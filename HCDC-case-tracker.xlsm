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zunez/src/legal-tools/"/>
    </mc:Choice>
  </mc:AlternateContent>
  <xr:revisionPtr revIDLastSave="0" documentId="13_ncr:1_{76706875-5FB5-9648-AF51-B18C63ACCF1E}" xr6:coauthVersionLast="36" xr6:coauthVersionMax="36" xr10:uidLastSave="{00000000-0000-0000-0000-000000000000}"/>
  <bookViews>
    <workbookView xWindow="0" yWindow="500" windowWidth="38400" windowHeight="21100" xr2:uid="{3556E5E8-A781-8E47-B72C-6CA21AAD2856}"/>
  </bookViews>
  <sheets>
    <sheet name="import_data" sheetId="7" r:id="rId1"/>
    <sheet name="import_web" sheetId="4" r:id="rId2"/>
    <sheet name="data_web" sheetId="3" r:id="rId3"/>
    <sheet name="Mailer" sheetId="11" r:id="rId4"/>
    <sheet name="Pricebook" sheetId="8" r:id="rId5"/>
    <sheet name="Settings" sheetId="1" r:id="rId6"/>
    <sheet name="dev" sheetId="10" r:id="rId7"/>
  </sheets>
  <functionGroups builtInGroupCount="19"/>
  <definedNames>
    <definedName name="_xlnm._FilterDatabase" localSheetId="2" hidden="1">data_web!$B$2:$G$2</definedName>
    <definedName name="_xlnm._FilterDatabase" localSheetId="0" hidden="1">import_data!$B$2:$AG$5097</definedName>
    <definedName name="_xlnm._FilterDatabase" localSheetId="3" hidden="1">Mailer!$B$2:$F$3752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14" i="11" l="1"/>
  <c r="A1010" i="11"/>
  <c r="A950" i="11"/>
  <c r="A1022" i="11"/>
  <c r="A1912" i="11"/>
  <c r="A1945" i="11"/>
  <c r="A3421" i="11"/>
  <c r="A2468" i="11"/>
  <c r="A3113" i="11"/>
  <c r="A3009" i="11"/>
  <c r="A83" i="11"/>
  <c r="A1670" i="11"/>
  <c r="A2411" i="11"/>
  <c r="A1982" i="11"/>
  <c r="A3482" i="11"/>
  <c r="A1083" i="11"/>
  <c r="A1147" i="11"/>
  <c r="A1588" i="11"/>
  <c r="A2541" i="11"/>
  <c r="A3356" i="11"/>
  <c r="A2753" i="11"/>
  <c r="A382" i="11"/>
  <c r="A2326" i="11"/>
  <c r="A1748" i="11"/>
  <c r="A1377" i="11"/>
  <c r="A1976" i="11"/>
  <c r="A510" i="11"/>
  <c r="A822" i="11"/>
  <c r="A2813" i="11"/>
  <c r="A846" i="11"/>
  <c r="A1508" i="11"/>
  <c r="A2595" i="11"/>
  <c r="A2328" i="11"/>
  <c r="A944" i="11"/>
  <c r="A2704" i="11"/>
  <c r="A602" i="11"/>
  <c r="A691" i="11"/>
  <c r="A1908" i="11"/>
  <c r="A2396" i="11"/>
  <c r="A1343" i="11"/>
  <c r="A1738" i="11"/>
  <c r="A1659" i="11"/>
  <c r="A3630" i="11"/>
  <c r="A284" i="11"/>
  <c r="A568" i="11"/>
  <c r="A1134" i="11"/>
  <c r="A5" i="11"/>
  <c r="A450" i="11"/>
  <c r="A1034" i="11"/>
  <c r="A1048" i="11"/>
  <c r="A3288" i="11"/>
  <c r="A1378" i="11"/>
  <c r="A3812" i="11"/>
  <c r="A1257" i="11"/>
  <c r="A3472" i="11"/>
  <c r="A856" i="11"/>
  <c r="A2212" i="11"/>
  <c r="A3715" i="11"/>
  <c r="A1598" i="11"/>
  <c r="A2795" i="11"/>
  <c r="A2847" i="11"/>
  <c r="A751" i="11"/>
  <c r="A611" i="11"/>
  <c r="A21" i="11"/>
  <c r="A3481" i="11"/>
  <c r="A100" i="11"/>
  <c r="A1455" i="11"/>
  <c r="A1894" i="11"/>
  <c r="A8" i="11"/>
  <c r="A3331" i="11"/>
  <c r="A2184" i="11"/>
  <c r="A1361" i="11"/>
  <c r="A20" i="11"/>
  <c r="A4" i="11"/>
  <c r="A2764" i="11"/>
  <c r="A2878" i="11"/>
  <c r="A3448" i="11"/>
  <c r="A1187" i="11"/>
  <c r="A3264" i="11"/>
  <c r="A1759" i="11"/>
  <c r="A2992" i="11"/>
  <c r="A975" i="11"/>
  <c r="A3684" i="11"/>
  <c r="A3783" i="11"/>
  <c r="A1906" i="11"/>
  <c r="A1344" i="11"/>
  <c r="A1093" i="11"/>
  <c r="A641" i="11"/>
  <c r="A1927" i="11"/>
  <c r="A2775" i="11"/>
  <c r="A2943" i="11"/>
  <c r="A2243" i="11"/>
  <c r="A2322" i="11"/>
  <c r="A3599" i="11"/>
  <c r="A1278" i="11"/>
  <c r="A945" i="11"/>
  <c r="A1965" i="11"/>
  <c r="A331" i="11"/>
  <c r="A2413" i="11"/>
  <c r="A3218" i="11"/>
  <c r="A1449" i="11"/>
  <c r="A797" i="11"/>
  <c r="A699" i="11"/>
  <c r="A887" i="11"/>
  <c r="A731" i="11"/>
  <c r="A271" i="11"/>
  <c r="A2346" i="11"/>
  <c r="A2720" i="11"/>
  <c r="A2426" i="11"/>
  <c r="A142" i="11"/>
  <c r="A1080" i="11"/>
  <c r="A2362" i="11"/>
  <c r="A1456" i="11"/>
  <c r="A2936" i="11"/>
  <c r="A2859" i="11"/>
  <c r="A168" i="11"/>
  <c r="A1964" i="11"/>
  <c r="A2576" i="11"/>
  <c r="A3081" i="11"/>
  <c r="A2573" i="11"/>
  <c r="A2422" i="11"/>
  <c r="A377" i="11"/>
  <c r="A108" i="11"/>
  <c r="A780" i="11"/>
  <c r="A933" i="11"/>
  <c r="A2178" i="11"/>
  <c r="A2772" i="11"/>
  <c r="A725" i="11"/>
  <c r="A33" i="11"/>
  <c r="A2688" i="11"/>
  <c r="G3214" i="11" l="1"/>
  <c r="H3214" i="11"/>
  <c r="G3215" i="11"/>
  <c r="H3215" i="11"/>
  <c r="G3216" i="11"/>
  <c r="H3216" i="11"/>
  <c r="G3217" i="11"/>
  <c r="H3217" i="11"/>
  <c r="G3218" i="11"/>
  <c r="H3218" i="11"/>
  <c r="G3219" i="11"/>
  <c r="H3219" i="11"/>
  <c r="G3220" i="11"/>
  <c r="H3220" i="11"/>
  <c r="G3221" i="11"/>
  <c r="H3221" i="11"/>
  <c r="G3222" i="11"/>
  <c r="H3222" i="11"/>
  <c r="G3223" i="11"/>
  <c r="H3223" i="11"/>
  <c r="G3224" i="11"/>
  <c r="H3224" i="11"/>
  <c r="G3225" i="11"/>
  <c r="H3225" i="11"/>
  <c r="G3226" i="11"/>
  <c r="H3226" i="11"/>
  <c r="G3227" i="11"/>
  <c r="H3227" i="11"/>
  <c r="G3228" i="11"/>
  <c r="H3228" i="11"/>
  <c r="G3229" i="11"/>
  <c r="H3229" i="11"/>
  <c r="G3230" i="11"/>
  <c r="H3230" i="11"/>
  <c r="G3231" i="11"/>
  <c r="H3231" i="11"/>
  <c r="G3232" i="11"/>
  <c r="H3232" i="11"/>
  <c r="G3233" i="11"/>
  <c r="H3233" i="11"/>
  <c r="G3234" i="11"/>
  <c r="H3234" i="11"/>
  <c r="G3235" i="11"/>
  <c r="H3235" i="11"/>
  <c r="G3236" i="11"/>
  <c r="H3236" i="11"/>
  <c r="G3237" i="11"/>
  <c r="H3237" i="11"/>
  <c r="G3238" i="11"/>
  <c r="H3238" i="11"/>
  <c r="G3239" i="11"/>
  <c r="H3239" i="11"/>
  <c r="G3240" i="11"/>
  <c r="H3240" i="11"/>
  <c r="G3241" i="11"/>
  <c r="H3241" i="11"/>
  <c r="G3242" i="11"/>
  <c r="H3242" i="11"/>
  <c r="G3243" i="11"/>
  <c r="H3243" i="11"/>
  <c r="G3244" i="11"/>
  <c r="H3244" i="11"/>
  <c r="G3245" i="11"/>
  <c r="H3245" i="11"/>
  <c r="G3246" i="11"/>
  <c r="H3246" i="11"/>
  <c r="G3247" i="11"/>
  <c r="H3247" i="11"/>
  <c r="G3248" i="11"/>
  <c r="H3248" i="11"/>
  <c r="G3249" i="11"/>
  <c r="H3249" i="11"/>
  <c r="G3250" i="11"/>
  <c r="H3250" i="11"/>
  <c r="G3251" i="11"/>
  <c r="H3251" i="11"/>
  <c r="G3252" i="11"/>
  <c r="H3252" i="11"/>
  <c r="G3253" i="11"/>
  <c r="H3253" i="11"/>
  <c r="G3254" i="11"/>
  <c r="H3254" i="11"/>
  <c r="G3255" i="11"/>
  <c r="H3255" i="11"/>
  <c r="G3256" i="11"/>
  <c r="H3256" i="11"/>
  <c r="G3257" i="11"/>
  <c r="H3257" i="11"/>
  <c r="G3258" i="11"/>
  <c r="H3258" i="11"/>
  <c r="G3259" i="11"/>
  <c r="H3259" i="11"/>
  <c r="G3260" i="11"/>
  <c r="H3260" i="11"/>
  <c r="G3261" i="11"/>
  <c r="H3261" i="11"/>
  <c r="G3262" i="11"/>
  <c r="H3262" i="11"/>
  <c r="G3263" i="11"/>
  <c r="H3263" i="11"/>
  <c r="G3264" i="11"/>
  <c r="H3264" i="11"/>
  <c r="G3265" i="11"/>
  <c r="H3265" i="11"/>
  <c r="G3266" i="11"/>
  <c r="H3266" i="11"/>
  <c r="G3267" i="11"/>
  <c r="H3267" i="11"/>
  <c r="G3268" i="11"/>
  <c r="H3268" i="11"/>
  <c r="G3269" i="11"/>
  <c r="H3269" i="11"/>
  <c r="G3270" i="11"/>
  <c r="H3270" i="11"/>
  <c r="G3271" i="11"/>
  <c r="H3271" i="11"/>
  <c r="G3272" i="11"/>
  <c r="H3272" i="11"/>
  <c r="G3273" i="11"/>
  <c r="H3273" i="11"/>
  <c r="G3274" i="11"/>
  <c r="H3274" i="11"/>
  <c r="G3275" i="11"/>
  <c r="H3275" i="11"/>
  <c r="G3276" i="11"/>
  <c r="H3276" i="11"/>
  <c r="G3277" i="11"/>
  <c r="H3277" i="11"/>
  <c r="G3278" i="11"/>
  <c r="H3278" i="11"/>
  <c r="G3279" i="11"/>
  <c r="H3279" i="11"/>
  <c r="G3280" i="11"/>
  <c r="H3280" i="11"/>
  <c r="G3281" i="11"/>
  <c r="H3281" i="11"/>
  <c r="G3282" i="11"/>
  <c r="H3282" i="11"/>
  <c r="G3283" i="11"/>
  <c r="H3283" i="11"/>
  <c r="G3284" i="11"/>
  <c r="H3284" i="11"/>
  <c r="G3285" i="11"/>
  <c r="H3285" i="11"/>
  <c r="G3286" i="11"/>
  <c r="H3286" i="11"/>
  <c r="G3287" i="11"/>
  <c r="H3287" i="11"/>
  <c r="G3288" i="11"/>
  <c r="H3288" i="11"/>
  <c r="G3289" i="11"/>
  <c r="H3289" i="11"/>
  <c r="G3290" i="11"/>
  <c r="H3290" i="11"/>
  <c r="G3291" i="11"/>
  <c r="H3291" i="11"/>
  <c r="G3292" i="11"/>
  <c r="H3292" i="11"/>
  <c r="G3293" i="11"/>
  <c r="H3293" i="11"/>
  <c r="G3294" i="11"/>
  <c r="H3294" i="11"/>
  <c r="G3295" i="11"/>
  <c r="H3295" i="11"/>
  <c r="G3296" i="11"/>
  <c r="H3296" i="11"/>
  <c r="G3297" i="11"/>
  <c r="H3297" i="11"/>
  <c r="G3298" i="11"/>
  <c r="H3298" i="11"/>
  <c r="G3299" i="11"/>
  <c r="H3299" i="11"/>
  <c r="G3300" i="11"/>
  <c r="H3300" i="11"/>
  <c r="G3301" i="11"/>
  <c r="H3301" i="11"/>
  <c r="G3302" i="11"/>
  <c r="H3302" i="11"/>
  <c r="G3303" i="11"/>
  <c r="H3303" i="11"/>
  <c r="G3304" i="11"/>
  <c r="H3304" i="11"/>
  <c r="G3305" i="11"/>
  <c r="H3305" i="11"/>
  <c r="G3306" i="11"/>
  <c r="H3306" i="11"/>
  <c r="G3307" i="11"/>
  <c r="H3307" i="11"/>
  <c r="G3308" i="11"/>
  <c r="H3308" i="11"/>
  <c r="G3309" i="11"/>
  <c r="H3309" i="11"/>
  <c r="G3310" i="11"/>
  <c r="H3310" i="11"/>
  <c r="G3311" i="11"/>
  <c r="H3311" i="11"/>
  <c r="G3312" i="11"/>
  <c r="H3312" i="11"/>
  <c r="G3313" i="11"/>
  <c r="H3313" i="11"/>
  <c r="G3314" i="11"/>
  <c r="H3314" i="11"/>
  <c r="G3315" i="11"/>
  <c r="H3315" i="11"/>
  <c r="G3316" i="11"/>
  <c r="H3316" i="11"/>
  <c r="G3317" i="11"/>
  <c r="H3317" i="11"/>
  <c r="G3318" i="11"/>
  <c r="H3318" i="11"/>
  <c r="G3319" i="11"/>
  <c r="H3319" i="11"/>
  <c r="G3320" i="11"/>
  <c r="H3320" i="11"/>
  <c r="G3321" i="11"/>
  <c r="H3321" i="11"/>
  <c r="G3322" i="11"/>
  <c r="H3322" i="11"/>
  <c r="G3323" i="11"/>
  <c r="H3323" i="11"/>
  <c r="G3324" i="11"/>
  <c r="H3324" i="11"/>
  <c r="G3325" i="11"/>
  <c r="H3325" i="11"/>
  <c r="G3326" i="11"/>
  <c r="H3326" i="11"/>
  <c r="G3327" i="11"/>
  <c r="H3327" i="11"/>
  <c r="G3328" i="11"/>
  <c r="H3328" i="11"/>
  <c r="G3329" i="11"/>
  <c r="H3329" i="11"/>
  <c r="G3330" i="11"/>
  <c r="H3330" i="11"/>
  <c r="G3331" i="11"/>
  <c r="H3331" i="11"/>
  <c r="G3332" i="11"/>
  <c r="H3332" i="11"/>
  <c r="G3333" i="11"/>
  <c r="H3333" i="11"/>
  <c r="G3334" i="11"/>
  <c r="H3334" i="11"/>
  <c r="G3335" i="11"/>
  <c r="H3335" i="11"/>
  <c r="G3336" i="11"/>
  <c r="H3336" i="11"/>
  <c r="G3337" i="11"/>
  <c r="H3337" i="11"/>
  <c r="G3338" i="11"/>
  <c r="H3338" i="11"/>
  <c r="G3339" i="11"/>
  <c r="H3339" i="11"/>
  <c r="G3340" i="11"/>
  <c r="H3340" i="11"/>
  <c r="G3341" i="11"/>
  <c r="H3341" i="11"/>
  <c r="G3342" i="11"/>
  <c r="H3342" i="11"/>
  <c r="G3343" i="11"/>
  <c r="H3343" i="11"/>
  <c r="G3344" i="11"/>
  <c r="H3344" i="11"/>
  <c r="G3345" i="11"/>
  <c r="H3345" i="11"/>
  <c r="G3346" i="11"/>
  <c r="H3346" i="11"/>
  <c r="G3347" i="11"/>
  <c r="H3347" i="11"/>
  <c r="G3348" i="11"/>
  <c r="H3348" i="11"/>
  <c r="G3349" i="11"/>
  <c r="H3349" i="11"/>
  <c r="G3350" i="11"/>
  <c r="H3350" i="11"/>
  <c r="G3351" i="11"/>
  <c r="H3351" i="11"/>
  <c r="G3352" i="11"/>
  <c r="H3352" i="11"/>
  <c r="G3353" i="11"/>
  <c r="H3353" i="11"/>
  <c r="G3354" i="11"/>
  <c r="H3354" i="11"/>
  <c r="G3355" i="11"/>
  <c r="H3355" i="11"/>
  <c r="G3356" i="11"/>
  <c r="H3356" i="11"/>
  <c r="G3357" i="11"/>
  <c r="H3357" i="11"/>
  <c r="G3358" i="11"/>
  <c r="H3358" i="11"/>
  <c r="G3359" i="11"/>
  <c r="H3359" i="11"/>
  <c r="G3360" i="11"/>
  <c r="H3360" i="11"/>
  <c r="G3361" i="11"/>
  <c r="H3361" i="11"/>
  <c r="G3362" i="11"/>
  <c r="H3362" i="11"/>
  <c r="G3363" i="11"/>
  <c r="H3363" i="11"/>
  <c r="G3364" i="11"/>
  <c r="H3364" i="11"/>
  <c r="G3365" i="11"/>
  <c r="H3365" i="11"/>
  <c r="G3366" i="11"/>
  <c r="H3366" i="11"/>
  <c r="G3367" i="11"/>
  <c r="H3367" i="11"/>
  <c r="G3368" i="11"/>
  <c r="H3368" i="11"/>
  <c r="G3369" i="11"/>
  <c r="H3369" i="11"/>
  <c r="G3370" i="11"/>
  <c r="H3370" i="11"/>
  <c r="G3371" i="11"/>
  <c r="H3371" i="11"/>
  <c r="G3372" i="11"/>
  <c r="H3372" i="11"/>
  <c r="G3373" i="11"/>
  <c r="H3373" i="11"/>
  <c r="G3374" i="11"/>
  <c r="H3374" i="11"/>
  <c r="G3375" i="11"/>
  <c r="H3375" i="11"/>
  <c r="G3376" i="11"/>
  <c r="H3376" i="11"/>
  <c r="G3377" i="11"/>
  <c r="H3377" i="11"/>
  <c r="G3378" i="11"/>
  <c r="H3378" i="11"/>
  <c r="G3379" i="11"/>
  <c r="H3379" i="11"/>
  <c r="G3380" i="11"/>
  <c r="H3380" i="11"/>
  <c r="G3381" i="11"/>
  <c r="H3381" i="11"/>
  <c r="G3382" i="11"/>
  <c r="H3382" i="11"/>
  <c r="G3383" i="11"/>
  <c r="H3383" i="11"/>
  <c r="G3384" i="11"/>
  <c r="H3384" i="11"/>
  <c r="G3385" i="11"/>
  <c r="H3385" i="11"/>
  <c r="G3386" i="11"/>
  <c r="H3386" i="11"/>
  <c r="G3387" i="11"/>
  <c r="H3387" i="11"/>
  <c r="G3388" i="11"/>
  <c r="H3388" i="11"/>
  <c r="G3389" i="11"/>
  <c r="H3389" i="11"/>
  <c r="G3390" i="11"/>
  <c r="H3390" i="11"/>
  <c r="G3391" i="11"/>
  <c r="H3391" i="11"/>
  <c r="G3392" i="11"/>
  <c r="H3392" i="11"/>
  <c r="G3393" i="11"/>
  <c r="H3393" i="11"/>
  <c r="G3394" i="11"/>
  <c r="H3394" i="11"/>
  <c r="G3395" i="11"/>
  <c r="H3395" i="11"/>
  <c r="G3396" i="11"/>
  <c r="H3396" i="11"/>
  <c r="G3397" i="11"/>
  <c r="H3397" i="11"/>
  <c r="G3398" i="11"/>
  <c r="H3398" i="11"/>
  <c r="G3399" i="11"/>
  <c r="H3399" i="11"/>
  <c r="G3400" i="11"/>
  <c r="H3400" i="11"/>
  <c r="G3401" i="11"/>
  <c r="H3401" i="11"/>
  <c r="G3402" i="11"/>
  <c r="H3402" i="11"/>
  <c r="G3403" i="11"/>
  <c r="H3403" i="11"/>
  <c r="G3404" i="11"/>
  <c r="H3404" i="11"/>
  <c r="G3405" i="11"/>
  <c r="H3405" i="11"/>
  <c r="G3406" i="11"/>
  <c r="H3406" i="11"/>
  <c r="G3407" i="11"/>
  <c r="H3407" i="11"/>
  <c r="G3408" i="11"/>
  <c r="H3408" i="11"/>
  <c r="G3409" i="11"/>
  <c r="H3409" i="11"/>
  <c r="G3410" i="11"/>
  <c r="H3410" i="11"/>
  <c r="G3411" i="11"/>
  <c r="H3411" i="11"/>
  <c r="G3412" i="11"/>
  <c r="H3412" i="11"/>
  <c r="G3413" i="11"/>
  <c r="H3413" i="11"/>
  <c r="G3414" i="11"/>
  <c r="H3414" i="11"/>
  <c r="G3415" i="11"/>
  <c r="H3415" i="11"/>
  <c r="G3416" i="11"/>
  <c r="H3416" i="11"/>
  <c r="G3417" i="11"/>
  <c r="H3417" i="11"/>
  <c r="G3418" i="11"/>
  <c r="H3418" i="11"/>
  <c r="G3419" i="11"/>
  <c r="H3419" i="11"/>
  <c r="G3420" i="11"/>
  <c r="H3420" i="11"/>
  <c r="G3421" i="11"/>
  <c r="H3421" i="11"/>
  <c r="G3422" i="11"/>
  <c r="H3422" i="11"/>
  <c r="G3423" i="11"/>
  <c r="H3423" i="11"/>
  <c r="G3424" i="11"/>
  <c r="H3424" i="11"/>
  <c r="G3425" i="11"/>
  <c r="H3425" i="11"/>
  <c r="G3426" i="11"/>
  <c r="H3426" i="11"/>
  <c r="G3427" i="11"/>
  <c r="H3427" i="11"/>
  <c r="G3428" i="11"/>
  <c r="H3428" i="11"/>
  <c r="G3429" i="11"/>
  <c r="H3429" i="11"/>
  <c r="G3430" i="11"/>
  <c r="H3430" i="11"/>
  <c r="G3431" i="11"/>
  <c r="H3431" i="11"/>
  <c r="G3432" i="11"/>
  <c r="H3432" i="11"/>
  <c r="G3433" i="11"/>
  <c r="H3433" i="11"/>
  <c r="G3434" i="11"/>
  <c r="H3434" i="11"/>
  <c r="G3435" i="11"/>
  <c r="H3435" i="11"/>
  <c r="G3436" i="11"/>
  <c r="H3436" i="11"/>
  <c r="G3437" i="11"/>
  <c r="H3437" i="11"/>
  <c r="G3438" i="11"/>
  <c r="H3438" i="11"/>
  <c r="G3439" i="11"/>
  <c r="H3439" i="11"/>
  <c r="G3440" i="11"/>
  <c r="H3440" i="11"/>
  <c r="G3441" i="11"/>
  <c r="H3441" i="11"/>
  <c r="G3442" i="11"/>
  <c r="H3442" i="11"/>
  <c r="G3443" i="11"/>
  <c r="H3443" i="11"/>
  <c r="G3444" i="11"/>
  <c r="H3444" i="11"/>
  <c r="G3445" i="11"/>
  <c r="H3445" i="11"/>
  <c r="G3446" i="11"/>
  <c r="H3446" i="11"/>
  <c r="G3447" i="11"/>
  <c r="H3447" i="11"/>
  <c r="G3448" i="11"/>
  <c r="H3448" i="11"/>
  <c r="G3449" i="11"/>
  <c r="H3449" i="11"/>
  <c r="G3450" i="11"/>
  <c r="H3450" i="11"/>
  <c r="G3451" i="11"/>
  <c r="H3451" i="11"/>
  <c r="G3452" i="11"/>
  <c r="H3452" i="11"/>
  <c r="G3453" i="11"/>
  <c r="H3453" i="11"/>
  <c r="G3454" i="11"/>
  <c r="H3454" i="11"/>
  <c r="G3455" i="11"/>
  <c r="H3455" i="11"/>
  <c r="G3456" i="11"/>
  <c r="H3456" i="11"/>
  <c r="G3457" i="11"/>
  <c r="H3457" i="11"/>
  <c r="G3458" i="11"/>
  <c r="H3458" i="11"/>
  <c r="G3459" i="11"/>
  <c r="H3459" i="11"/>
  <c r="G3460" i="11"/>
  <c r="H3460" i="11"/>
  <c r="G3461" i="11"/>
  <c r="H3461" i="11"/>
  <c r="G3462" i="11"/>
  <c r="H3462" i="11"/>
  <c r="G3463" i="11"/>
  <c r="H3463" i="11"/>
  <c r="G3464" i="11"/>
  <c r="H3464" i="11"/>
  <c r="G3465" i="11"/>
  <c r="H3465" i="11"/>
  <c r="G3466" i="11"/>
  <c r="H3466" i="11"/>
  <c r="G3467" i="11"/>
  <c r="H3467" i="11"/>
  <c r="G3468" i="11"/>
  <c r="H3468" i="11"/>
  <c r="G3469" i="11"/>
  <c r="H3469" i="11"/>
  <c r="G3470" i="11"/>
  <c r="H3470" i="11"/>
  <c r="G3471" i="11"/>
  <c r="H3471" i="11"/>
  <c r="G3472" i="11"/>
  <c r="H3472" i="11"/>
  <c r="G3473" i="11"/>
  <c r="H3473" i="11"/>
  <c r="G3474" i="11"/>
  <c r="H3474" i="11"/>
  <c r="G3475" i="11"/>
  <c r="H3475" i="11"/>
  <c r="G3476" i="11"/>
  <c r="H3476" i="11"/>
  <c r="G3477" i="11"/>
  <c r="H3477" i="11"/>
  <c r="G3478" i="11"/>
  <c r="H3478" i="11"/>
  <c r="G3479" i="11"/>
  <c r="H3479" i="11"/>
  <c r="G3480" i="11"/>
  <c r="H3480" i="11"/>
  <c r="G3481" i="11"/>
  <c r="H3481" i="11"/>
  <c r="G3482" i="11"/>
  <c r="H3482" i="11"/>
  <c r="G3483" i="11"/>
  <c r="H3483" i="11"/>
  <c r="G3484" i="11"/>
  <c r="H3484" i="11"/>
  <c r="G3485" i="11"/>
  <c r="H3485" i="11"/>
  <c r="G3486" i="11"/>
  <c r="H3486" i="11"/>
  <c r="G3487" i="11"/>
  <c r="H3487" i="11"/>
  <c r="G3488" i="11"/>
  <c r="H3488" i="11"/>
  <c r="G3489" i="11"/>
  <c r="H3489" i="11"/>
  <c r="G3490" i="11"/>
  <c r="H3490" i="11"/>
  <c r="G3491" i="11"/>
  <c r="H3491" i="11"/>
  <c r="G3492" i="11"/>
  <c r="H3492" i="11"/>
  <c r="G3493" i="11"/>
  <c r="H3493" i="11"/>
  <c r="G3494" i="11"/>
  <c r="H3494" i="11"/>
  <c r="G3495" i="11"/>
  <c r="H3495" i="11"/>
  <c r="G3496" i="11"/>
  <c r="H3496" i="11"/>
  <c r="G3497" i="11"/>
  <c r="H3497" i="11"/>
  <c r="G3498" i="11"/>
  <c r="H3498" i="11"/>
  <c r="G3499" i="11"/>
  <c r="H3499" i="11"/>
  <c r="G3500" i="11"/>
  <c r="H3500" i="11"/>
  <c r="G3501" i="11"/>
  <c r="H3501" i="11"/>
  <c r="G3502" i="11"/>
  <c r="H3502" i="11"/>
  <c r="G3503" i="11"/>
  <c r="H3503" i="11"/>
  <c r="G3504" i="11"/>
  <c r="H3504" i="11"/>
  <c r="G3505" i="11"/>
  <c r="H3505" i="11"/>
  <c r="G3506" i="11"/>
  <c r="H3506" i="11"/>
  <c r="G3507" i="11"/>
  <c r="H3507" i="11"/>
  <c r="G3508" i="11"/>
  <c r="H3508" i="11"/>
  <c r="G3509" i="11"/>
  <c r="H3509" i="11"/>
  <c r="G3510" i="11"/>
  <c r="H3510" i="11"/>
  <c r="G3511" i="11"/>
  <c r="H3511" i="11"/>
  <c r="G3512" i="11"/>
  <c r="H3512" i="11"/>
  <c r="G3513" i="11"/>
  <c r="H3513" i="11"/>
  <c r="G3514" i="11"/>
  <c r="H3514" i="11"/>
  <c r="G3515" i="11"/>
  <c r="H3515" i="11"/>
  <c r="G3516" i="11"/>
  <c r="H3516" i="11"/>
  <c r="G3517" i="11"/>
  <c r="H3517" i="11"/>
  <c r="G3518" i="11"/>
  <c r="H3518" i="11"/>
  <c r="G3519" i="11"/>
  <c r="H3519" i="11"/>
  <c r="G3520" i="11"/>
  <c r="H3520" i="11"/>
  <c r="G3521" i="11"/>
  <c r="H3521" i="11"/>
  <c r="G3522" i="11"/>
  <c r="H3522" i="11"/>
  <c r="G3523" i="11"/>
  <c r="H3523" i="11"/>
  <c r="G3524" i="11"/>
  <c r="H3524" i="11"/>
  <c r="G3525" i="11"/>
  <c r="H3525" i="11"/>
  <c r="G3526" i="11"/>
  <c r="H3526" i="11"/>
  <c r="G3527" i="11"/>
  <c r="H3527" i="11"/>
  <c r="G3528" i="11"/>
  <c r="H3528" i="11"/>
  <c r="G3529" i="11"/>
  <c r="H3529" i="11"/>
  <c r="G3530" i="11"/>
  <c r="H3530" i="11"/>
  <c r="G3531" i="11"/>
  <c r="H3531" i="11"/>
  <c r="G3532" i="11"/>
  <c r="H3532" i="11"/>
  <c r="G3533" i="11"/>
  <c r="H3533" i="11"/>
  <c r="G3534" i="11"/>
  <c r="H3534" i="11"/>
  <c r="G3535" i="11"/>
  <c r="H3535" i="11"/>
  <c r="G3536" i="11"/>
  <c r="H3536" i="11"/>
  <c r="G3537" i="11"/>
  <c r="H3537" i="11"/>
  <c r="G3538" i="11"/>
  <c r="H3538" i="11"/>
  <c r="G3539" i="11"/>
  <c r="H3539" i="11"/>
  <c r="G3540" i="11"/>
  <c r="H3540" i="11"/>
  <c r="G3541" i="11"/>
  <c r="H3541" i="11"/>
  <c r="G3542" i="11"/>
  <c r="H3542" i="11"/>
  <c r="G3543" i="11"/>
  <c r="H3543" i="11"/>
  <c r="G3544" i="11"/>
  <c r="H3544" i="11"/>
  <c r="G3545" i="11"/>
  <c r="H3545" i="11"/>
  <c r="G3546" i="11"/>
  <c r="H3546" i="11"/>
  <c r="G3547" i="11"/>
  <c r="H3547" i="11"/>
  <c r="G3548" i="11"/>
  <c r="H3548" i="11"/>
  <c r="G3549" i="11"/>
  <c r="H3549" i="11"/>
  <c r="G3550" i="11"/>
  <c r="H3550" i="11"/>
  <c r="G3551" i="11"/>
  <c r="H3551" i="11"/>
  <c r="G3552" i="11"/>
  <c r="H3552" i="11"/>
  <c r="G3553" i="11"/>
  <c r="H3553" i="11"/>
  <c r="G3554" i="11"/>
  <c r="H3554" i="11"/>
  <c r="G3555" i="11"/>
  <c r="H3555" i="11"/>
  <c r="G3556" i="11"/>
  <c r="H3556" i="11"/>
  <c r="G3557" i="11"/>
  <c r="H3557" i="11"/>
  <c r="G3558" i="11"/>
  <c r="H3558" i="11"/>
  <c r="G3559" i="11"/>
  <c r="H3559" i="11"/>
  <c r="G3560" i="11"/>
  <c r="H3560" i="11"/>
  <c r="G3561" i="11"/>
  <c r="H3561" i="11"/>
  <c r="G3562" i="11"/>
  <c r="H3562" i="11"/>
  <c r="G3563" i="11"/>
  <c r="H3563" i="11"/>
  <c r="G3564" i="11"/>
  <c r="H3564" i="11"/>
  <c r="G3565" i="11"/>
  <c r="H3565" i="11"/>
  <c r="G3566" i="11"/>
  <c r="H3566" i="11"/>
  <c r="G3567" i="11"/>
  <c r="H3567" i="11"/>
  <c r="G3568" i="11"/>
  <c r="H3568" i="11"/>
  <c r="G3569" i="11"/>
  <c r="H3569" i="11"/>
  <c r="G3570" i="11"/>
  <c r="H3570" i="11"/>
  <c r="G3571" i="11"/>
  <c r="H3571" i="11"/>
  <c r="G3572" i="11"/>
  <c r="H3572" i="11"/>
  <c r="G3573" i="11"/>
  <c r="H3573" i="11"/>
  <c r="G3574" i="11"/>
  <c r="H3574" i="11"/>
  <c r="G3575" i="11"/>
  <c r="H3575" i="11"/>
  <c r="G3576" i="11"/>
  <c r="H3576" i="11"/>
  <c r="G3577" i="11"/>
  <c r="H3577" i="11"/>
  <c r="G3578" i="11"/>
  <c r="H3578" i="11"/>
  <c r="G3579" i="11"/>
  <c r="H3579" i="11"/>
  <c r="G3580" i="11"/>
  <c r="H3580" i="11"/>
  <c r="G3581" i="11"/>
  <c r="H3581" i="11"/>
  <c r="G3582" i="11"/>
  <c r="H3582" i="11"/>
  <c r="G3583" i="11"/>
  <c r="H3583" i="11"/>
  <c r="G3584" i="11"/>
  <c r="H3584" i="11"/>
  <c r="G3585" i="11"/>
  <c r="H3585" i="11"/>
  <c r="G3586" i="11"/>
  <c r="H3586" i="11"/>
  <c r="G3587" i="11"/>
  <c r="H3587" i="11"/>
  <c r="G3588" i="11"/>
  <c r="H3588" i="11"/>
  <c r="G3589" i="11"/>
  <c r="H3589" i="11"/>
  <c r="G3590" i="11"/>
  <c r="H3590" i="11"/>
  <c r="G3591" i="11"/>
  <c r="H3591" i="11"/>
  <c r="G3592" i="11"/>
  <c r="H3592" i="11"/>
  <c r="G3593" i="11"/>
  <c r="H3593" i="11"/>
  <c r="G3594" i="11"/>
  <c r="H3594" i="11"/>
  <c r="G3595" i="11"/>
  <c r="H3595" i="11"/>
  <c r="G3596" i="11"/>
  <c r="H3596" i="11"/>
  <c r="G3597" i="11"/>
  <c r="H3597" i="11"/>
  <c r="G3598" i="11"/>
  <c r="H3598" i="11"/>
  <c r="G3599" i="11"/>
  <c r="H3599" i="11"/>
  <c r="G3600" i="11"/>
  <c r="H3600" i="11"/>
  <c r="G3601" i="11"/>
  <c r="H3601" i="11"/>
  <c r="G3602" i="11"/>
  <c r="H3602" i="11"/>
  <c r="G3603" i="11"/>
  <c r="H3603" i="11"/>
  <c r="G3604" i="11"/>
  <c r="H3604" i="11"/>
  <c r="G3605" i="11"/>
  <c r="H3605" i="11"/>
  <c r="G3606" i="11"/>
  <c r="H3606" i="11"/>
  <c r="G3607" i="11"/>
  <c r="H3607" i="11"/>
  <c r="G3608" i="11"/>
  <c r="H3608" i="11"/>
  <c r="G3609" i="11"/>
  <c r="H3609" i="11"/>
  <c r="G3610" i="11"/>
  <c r="H3610" i="11"/>
  <c r="G3611" i="11"/>
  <c r="H3611" i="11"/>
  <c r="G3612" i="11"/>
  <c r="H3612" i="11"/>
  <c r="G3613" i="11"/>
  <c r="H3613" i="11"/>
  <c r="G3614" i="11"/>
  <c r="H3614" i="11"/>
  <c r="G3615" i="11"/>
  <c r="H3615" i="11"/>
  <c r="G3616" i="11"/>
  <c r="H3616" i="11"/>
  <c r="G3617" i="11"/>
  <c r="H3617" i="11"/>
  <c r="G3618" i="11"/>
  <c r="H3618" i="11"/>
  <c r="G3619" i="11"/>
  <c r="H3619" i="11"/>
  <c r="G3620" i="11"/>
  <c r="H3620" i="11"/>
  <c r="G3621" i="11"/>
  <c r="H3621" i="11"/>
  <c r="G3622" i="11"/>
  <c r="H3622" i="11"/>
  <c r="G3623" i="11"/>
  <c r="H3623" i="11"/>
  <c r="G3624" i="11"/>
  <c r="H3624" i="11"/>
  <c r="G3625" i="11"/>
  <c r="H3625" i="11"/>
  <c r="G3626" i="11"/>
  <c r="H3626" i="11"/>
  <c r="G3627" i="11"/>
  <c r="H3627" i="11"/>
  <c r="G3628" i="11"/>
  <c r="H3628" i="11"/>
  <c r="G3629" i="11"/>
  <c r="H3629" i="11"/>
  <c r="G3630" i="11"/>
  <c r="H3630" i="11"/>
  <c r="G3631" i="11"/>
  <c r="H3631" i="11"/>
  <c r="G3632" i="11"/>
  <c r="H3632" i="11"/>
  <c r="G3633" i="11"/>
  <c r="H3633" i="11"/>
  <c r="G3634" i="11"/>
  <c r="H3634" i="11"/>
  <c r="G3635" i="11"/>
  <c r="H3635" i="11"/>
  <c r="G3636" i="11"/>
  <c r="H3636" i="11"/>
  <c r="G3637" i="11"/>
  <c r="H3637" i="11"/>
  <c r="G3638" i="11"/>
  <c r="H3638" i="11"/>
  <c r="G3639" i="11"/>
  <c r="H3639" i="11"/>
  <c r="G3640" i="11"/>
  <c r="H3640" i="11"/>
  <c r="G3641" i="11"/>
  <c r="H3641" i="11"/>
  <c r="G3642" i="11"/>
  <c r="H3642" i="11"/>
  <c r="G3643" i="11"/>
  <c r="H3643" i="11"/>
  <c r="G3644" i="11"/>
  <c r="H3644" i="11"/>
  <c r="G3645" i="11"/>
  <c r="H3645" i="11"/>
  <c r="G3646" i="11"/>
  <c r="H3646" i="11"/>
  <c r="G3647" i="11"/>
  <c r="H3647" i="11"/>
  <c r="G3648" i="11"/>
  <c r="H3648" i="11"/>
  <c r="G3649" i="11"/>
  <c r="H3649" i="11"/>
  <c r="G3650" i="11"/>
  <c r="H3650" i="11"/>
  <c r="G3651" i="11"/>
  <c r="H3651" i="11"/>
  <c r="G3652" i="11"/>
  <c r="H3652" i="11"/>
  <c r="G3653" i="11"/>
  <c r="H3653" i="11"/>
  <c r="G3654" i="11"/>
  <c r="H3654" i="11"/>
  <c r="G3655" i="11"/>
  <c r="H3655" i="11"/>
  <c r="G3656" i="11"/>
  <c r="H3656" i="11"/>
  <c r="G3657" i="11"/>
  <c r="H3657" i="11"/>
  <c r="G3658" i="11"/>
  <c r="H3658" i="11"/>
  <c r="G3659" i="11"/>
  <c r="H3659" i="11"/>
  <c r="G3660" i="11"/>
  <c r="H3660" i="11"/>
  <c r="G3661" i="11"/>
  <c r="H3661" i="11"/>
  <c r="G3662" i="11"/>
  <c r="H3662" i="11"/>
  <c r="G3663" i="11"/>
  <c r="H3663" i="11"/>
  <c r="G3664" i="11"/>
  <c r="H3664" i="11"/>
  <c r="G3665" i="11"/>
  <c r="H3665" i="11"/>
  <c r="G3666" i="11"/>
  <c r="H3666" i="11"/>
  <c r="G3667" i="11"/>
  <c r="H3667" i="11"/>
  <c r="G3668" i="11"/>
  <c r="H3668" i="11"/>
  <c r="G3669" i="11"/>
  <c r="H3669" i="11"/>
  <c r="G3670" i="11"/>
  <c r="H3670" i="11"/>
  <c r="G3671" i="11"/>
  <c r="H3671" i="11"/>
  <c r="G3672" i="11"/>
  <c r="H3672" i="11"/>
  <c r="G3673" i="11"/>
  <c r="H3673" i="11"/>
  <c r="G3674" i="11"/>
  <c r="H3674" i="11"/>
  <c r="G3675" i="11"/>
  <c r="H3675" i="11"/>
  <c r="G3676" i="11"/>
  <c r="H3676" i="11"/>
  <c r="G3677" i="11"/>
  <c r="H3677" i="11"/>
  <c r="G3678" i="11"/>
  <c r="H3678" i="11"/>
  <c r="G3679" i="11"/>
  <c r="H3679" i="11"/>
  <c r="G3680" i="11"/>
  <c r="H3680" i="11"/>
  <c r="G3681" i="11"/>
  <c r="H3681" i="11"/>
  <c r="G3682" i="11"/>
  <c r="H3682" i="11"/>
  <c r="G3683" i="11"/>
  <c r="H3683" i="11"/>
  <c r="G3684" i="11"/>
  <c r="H3684" i="11"/>
  <c r="G3685" i="11"/>
  <c r="H3685" i="11"/>
  <c r="G3686" i="11"/>
  <c r="H3686" i="11"/>
  <c r="G3687" i="11"/>
  <c r="H3687" i="11"/>
  <c r="G3688" i="11"/>
  <c r="H3688" i="11"/>
  <c r="G3689" i="11"/>
  <c r="H3689" i="11"/>
  <c r="G3690" i="11"/>
  <c r="H3690" i="11"/>
  <c r="G3691" i="11"/>
  <c r="H3691" i="11"/>
  <c r="G3692" i="11"/>
  <c r="H3692" i="11"/>
  <c r="G3693" i="11"/>
  <c r="H3693" i="11"/>
  <c r="G3694" i="11"/>
  <c r="H3694" i="11"/>
  <c r="G3695" i="11"/>
  <c r="H3695" i="11"/>
  <c r="G3696" i="11"/>
  <c r="H3696" i="11"/>
  <c r="G3697" i="11"/>
  <c r="H3697" i="11"/>
  <c r="G3698" i="11"/>
  <c r="H3698" i="11"/>
  <c r="G3699" i="11"/>
  <c r="H3699" i="11"/>
  <c r="G3700" i="11"/>
  <c r="H3700" i="11"/>
  <c r="G3701" i="11"/>
  <c r="H3701" i="11"/>
  <c r="G3702" i="11"/>
  <c r="H3702" i="11"/>
  <c r="G3703" i="11"/>
  <c r="H3703" i="11"/>
  <c r="G3704" i="11"/>
  <c r="H3704" i="11"/>
  <c r="G3705" i="11"/>
  <c r="H3705" i="11"/>
  <c r="G3706" i="11"/>
  <c r="H3706" i="11"/>
  <c r="G3707" i="11"/>
  <c r="H3707" i="11"/>
  <c r="G3708" i="11"/>
  <c r="H3708" i="11"/>
  <c r="G3709" i="11"/>
  <c r="H3709" i="11"/>
  <c r="G3710" i="11"/>
  <c r="H3710" i="11"/>
  <c r="G3711" i="11"/>
  <c r="H3711" i="11"/>
  <c r="G3712" i="11"/>
  <c r="H3712" i="11"/>
  <c r="G3713" i="11"/>
  <c r="H3713" i="11"/>
  <c r="G3714" i="11"/>
  <c r="H3714" i="11"/>
  <c r="G3715" i="11"/>
  <c r="H3715" i="11"/>
  <c r="G3716" i="11"/>
  <c r="H3716" i="11"/>
  <c r="G3717" i="11"/>
  <c r="H3717" i="11"/>
  <c r="G3718" i="11"/>
  <c r="H3718" i="11"/>
  <c r="G3719" i="11"/>
  <c r="H3719" i="11"/>
  <c r="G3720" i="11"/>
  <c r="H3720" i="11"/>
  <c r="G3721" i="11"/>
  <c r="H3721" i="11"/>
  <c r="G3722" i="11"/>
  <c r="H3722" i="11"/>
  <c r="G3723" i="11"/>
  <c r="H3723" i="11"/>
  <c r="G3724" i="11"/>
  <c r="H3724" i="11"/>
  <c r="G3725" i="11"/>
  <c r="H3725" i="11"/>
  <c r="G3726" i="11"/>
  <c r="H3726" i="11"/>
  <c r="G3727" i="11"/>
  <c r="H3727" i="11"/>
  <c r="G3728" i="11"/>
  <c r="H3728" i="11"/>
  <c r="G3729" i="11"/>
  <c r="H3729" i="11"/>
  <c r="G3730" i="11"/>
  <c r="H3730" i="11"/>
  <c r="G3731" i="11"/>
  <c r="H3731" i="11"/>
  <c r="G3732" i="11"/>
  <c r="H3732" i="11"/>
  <c r="G3733" i="11"/>
  <c r="H3733" i="11"/>
  <c r="G3734" i="11"/>
  <c r="H3734" i="11"/>
  <c r="G3735" i="11"/>
  <c r="H3735" i="11"/>
  <c r="G3736" i="11"/>
  <c r="H3736" i="11"/>
  <c r="G3737" i="11"/>
  <c r="H3737" i="11"/>
  <c r="G3738" i="11"/>
  <c r="H3738" i="11"/>
  <c r="G3739" i="11"/>
  <c r="H3739" i="11"/>
  <c r="G3740" i="11"/>
  <c r="H3740" i="11"/>
  <c r="G3741" i="11"/>
  <c r="H3741" i="11"/>
  <c r="G3742" i="11"/>
  <c r="H3742" i="11"/>
  <c r="G3743" i="11"/>
  <c r="H3743" i="11"/>
  <c r="G3744" i="11"/>
  <c r="H3744" i="11"/>
  <c r="G3745" i="11"/>
  <c r="H3745" i="11"/>
  <c r="G4" i="11"/>
  <c r="H4" i="11"/>
  <c r="G5" i="11"/>
  <c r="H5" i="11"/>
  <c r="G6" i="11"/>
  <c r="H6" i="11"/>
  <c r="G7" i="11"/>
  <c r="H7" i="11"/>
  <c r="G8" i="11"/>
  <c r="H8" i="11"/>
  <c r="G9" i="11"/>
  <c r="H9" i="1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17" i="11"/>
  <c r="H17" i="11"/>
  <c r="G18" i="11"/>
  <c r="H18" i="11"/>
  <c r="G19" i="11"/>
  <c r="H19" i="11"/>
  <c r="G20" i="11"/>
  <c r="H20" i="11"/>
  <c r="G21" i="11"/>
  <c r="H21" i="11"/>
  <c r="G22" i="11"/>
  <c r="H22" i="11"/>
  <c r="G23" i="11"/>
  <c r="H23" i="11"/>
  <c r="G24" i="11"/>
  <c r="H24" i="11"/>
  <c r="G25" i="11"/>
  <c r="H25" i="11"/>
  <c r="G26" i="11"/>
  <c r="H26" i="11"/>
  <c r="G27" i="11"/>
  <c r="H27" i="11"/>
  <c r="G28" i="11"/>
  <c r="H28" i="11"/>
  <c r="G29" i="11"/>
  <c r="H29" i="11"/>
  <c r="G30" i="11"/>
  <c r="H30" i="11"/>
  <c r="G31" i="11"/>
  <c r="H31" i="11"/>
  <c r="G32" i="11"/>
  <c r="H32" i="11"/>
  <c r="G33" i="11"/>
  <c r="H33" i="11"/>
  <c r="G34" i="11"/>
  <c r="H34" i="11"/>
  <c r="G35" i="11"/>
  <c r="H35" i="11"/>
  <c r="G36" i="11"/>
  <c r="H36" i="11"/>
  <c r="G37" i="11"/>
  <c r="H37" i="11"/>
  <c r="G38" i="11"/>
  <c r="H38" i="11"/>
  <c r="G39" i="11"/>
  <c r="H39" i="11"/>
  <c r="G40" i="11"/>
  <c r="H40" i="11"/>
  <c r="G41" i="11"/>
  <c r="H41" i="11"/>
  <c r="G42" i="11"/>
  <c r="H42" i="11"/>
  <c r="G43" i="11"/>
  <c r="H43" i="11"/>
  <c r="G44" i="11"/>
  <c r="H44" i="11"/>
  <c r="G45" i="11"/>
  <c r="H45" i="11"/>
  <c r="G46" i="11"/>
  <c r="H46" i="11"/>
  <c r="G47" i="11"/>
  <c r="H47" i="11"/>
  <c r="G48" i="11"/>
  <c r="H48" i="11"/>
  <c r="G49" i="11"/>
  <c r="H49" i="11"/>
  <c r="G50" i="11"/>
  <c r="H50" i="11"/>
  <c r="G51" i="11"/>
  <c r="H51" i="11"/>
  <c r="G52" i="11"/>
  <c r="H52" i="11"/>
  <c r="G53" i="11"/>
  <c r="H53" i="11"/>
  <c r="G54" i="11"/>
  <c r="H54" i="11"/>
  <c r="G55" i="11"/>
  <c r="H55" i="11"/>
  <c r="G56" i="11"/>
  <c r="H56" i="11"/>
  <c r="G57" i="11"/>
  <c r="H57" i="11"/>
  <c r="G58" i="11"/>
  <c r="H58" i="11"/>
  <c r="G59" i="11"/>
  <c r="H59" i="11"/>
  <c r="G60" i="11"/>
  <c r="H60" i="11"/>
  <c r="G61" i="11"/>
  <c r="H61" i="11"/>
  <c r="G62" i="11"/>
  <c r="H62" i="11"/>
  <c r="G63" i="11"/>
  <c r="H63" i="11"/>
  <c r="G64" i="11"/>
  <c r="H64" i="11"/>
  <c r="G65" i="11"/>
  <c r="H65" i="11"/>
  <c r="G66" i="11"/>
  <c r="H66" i="11"/>
  <c r="G67" i="11"/>
  <c r="H67" i="11"/>
  <c r="G68" i="11"/>
  <c r="H68" i="11"/>
  <c r="G69" i="11"/>
  <c r="H69" i="11"/>
  <c r="G70" i="11"/>
  <c r="H70" i="11"/>
  <c r="G71" i="11"/>
  <c r="H71" i="11"/>
  <c r="G72" i="11"/>
  <c r="H72" i="11"/>
  <c r="G73" i="11"/>
  <c r="H73" i="11"/>
  <c r="G74" i="11"/>
  <c r="H74" i="11"/>
  <c r="G75" i="11"/>
  <c r="H75" i="11"/>
  <c r="G76" i="11"/>
  <c r="H76" i="11"/>
  <c r="G77" i="11"/>
  <c r="H77" i="11"/>
  <c r="G78" i="11"/>
  <c r="H78" i="11"/>
  <c r="G79" i="11"/>
  <c r="H79" i="11"/>
  <c r="G80" i="11"/>
  <c r="H80" i="11"/>
  <c r="G81" i="11"/>
  <c r="H81" i="11"/>
  <c r="G82" i="11"/>
  <c r="H82" i="11"/>
  <c r="G83" i="11"/>
  <c r="H83" i="11"/>
  <c r="G84" i="11"/>
  <c r="H84" i="11"/>
  <c r="G85" i="11"/>
  <c r="H85" i="11"/>
  <c r="G86" i="11"/>
  <c r="H86" i="11"/>
  <c r="G87" i="11"/>
  <c r="H87" i="11"/>
  <c r="G88" i="11"/>
  <c r="H88" i="11"/>
  <c r="G89" i="11"/>
  <c r="H89" i="11"/>
  <c r="G90" i="11"/>
  <c r="H90" i="11"/>
  <c r="G91" i="11"/>
  <c r="H91" i="11"/>
  <c r="G92" i="11"/>
  <c r="H92" i="11"/>
  <c r="G93" i="11"/>
  <c r="H93" i="11"/>
  <c r="G94" i="11"/>
  <c r="H94" i="11"/>
  <c r="G95" i="11"/>
  <c r="H95" i="11"/>
  <c r="G96" i="11"/>
  <c r="H96" i="11"/>
  <c r="G97" i="11"/>
  <c r="H97" i="11"/>
  <c r="G98" i="11"/>
  <c r="H98" i="11"/>
  <c r="G99" i="11"/>
  <c r="H99" i="11"/>
  <c r="G100" i="11"/>
  <c r="H100" i="11"/>
  <c r="G101" i="11"/>
  <c r="H101" i="11"/>
  <c r="G102" i="11"/>
  <c r="H102" i="11"/>
  <c r="G103" i="11"/>
  <c r="H103" i="11"/>
  <c r="G104" i="11"/>
  <c r="H104" i="11"/>
  <c r="G105" i="11"/>
  <c r="H105" i="11"/>
  <c r="G106" i="11"/>
  <c r="H106" i="11"/>
  <c r="G107" i="11"/>
  <c r="H107" i="11"/>
  <c r="G108" i="11"/>
  <c r="H108" i="11"/>
  <c r="G109" i="11"/>
  <c r="H109" i="11"/>
  <c r="G110" i="11"/>
  <c r="H110" i="11"/>
  <c r="G111" i="11"/>
  <c r="H111" i="11"/>
  <c r="G112" i="11"/>
  <c r="H112" i="11"/>
  <c r="G113" i="11"/>
  <c r="H113" i="11"/>
  <c r="G114" i="11"/>
  <c r="H114" i="11"/>
  <c r="G115" i="11"/>
  <c r="H115" i="11"/>
  <c r="G116" i="11"/>
  <c r="H116" i="11"/>
  <c r="G117" i="11"/>
  <c r="H117" i="11"/>
  <c r="G118" i="11"/>
  <c r="H118" i="11"/>
  <c r="G119" i="11"/>
  <c r="H119" i="11"/>
  <c r="G120" i="11"/>
  <c r="H120" i="11"/>
  <c r="G121" i="11"/>
  <c r="H121" i="11"/>
  <c r="G122" i="11"/>
  <c r="H122" i="11"/>
  <c r="G123" i="11"/>
  <c r="H123" i="11"/>
  <c r="G124" i="11"/>
  <c r="H124" i="11"/>
  <c r="G125" i="11"/>
  <c r="H125" i="11"/>
  <c r="G126" i="11"/>
  <c r="H126" i="11"/>
  <c r="G127" i="11"/>
  <c r="H127" i="11"/>
  <c r="G128" i="11"/>
  <c r="H128" i="11"/>
  <c r="G129" i="11"/>
  <c r="H129" i="11"/>
  <c r="G130" i="11"/>
  <c r="H130" i="11"/>
  <c r="G131" i="11"/>
  <c r="H131" i="11"/>
  <c r="G132" i="11"/>
  <c r="H132" i="11"/>
  <c r="G133" i="11"/>
  <c r="H133" i="11"/>
  <c r="G134" i="11"/>
  <c r="H134" i="11"/>
  <c r="G135" i="11"/>
  <c r="H135" i="11"/>
  <c r="G136" i="11"/>
  <c r="H136" i="11"/>
  <c r="G137" i="11"/>
  <c r="H137" i="11"/>
  <c r="G138" i="11"/>
  <c r="H138" i="11"/>
  <c r="G139" i="11"/>
  <c r="H139" i="11"/>
  <c r="G140" i="11"/>
  <c r="H140" i="11"/>
  <c r="G141" i="11"/>
  <c r="H141" i="11"/>
  <c r="G142" i="11"/>
  <c r="H142" i="11"/>
  <c r="G143" i="11"/>
  <c r="H143" i="11"/>
  <c r="G144" i="11"/>
  <c r="H144" i="11"/>
  <c r="G145" i="11"/>
  <c r="H145" i="11"/>
  <c r="G146" i="11"/>
  <c r="H146" i="11"/>
  <c r="G147" i="11"/>
  <c r="H147" i="11"/>
  <c r="G148" i="11"/>
  <c r="H148" i="11"/>
  <c r="G149" i="11"/>
  <c r="H149" i="11"/>
  <c r="G150" i="11"/>
  <c r="H150" i="11"/>
  <c r="G151" i="11"/>
  <c r="H151" i="11"/>
  <c r="G152" i="11"/>
  <c r="H152" i="11"/>
  <c r="G153" i="11"/>
  <c r="H153" i="11"/>
  <c r="G154" i="11"/>
  <c r="H154" i="11"/>
  <c r="G155" i="11"/>
  <c r="H155" i="11"/>
  <c r="G156" i="11"/>
  <c r="H156" i="11"/>
  <c r="G157" i="11"/>
  <c r="H157" i="11"/>
  <c r="G158" i="11"/>
  <c r="H158" i="11"/>
  <c r="G159" i="11"/>
  <c r="H159" i="11"/>
  <c r="G160" i="11"/>
  <c r="H160" i="11"/>
  <c r="G161" i="11"/>
  <c r="H161" i="11"/>
  <c r="G162" i="11"/>
  <c r="H162" i="11"/>
  <c r="G163" i="11"/>
  <c r="H163" i="11"/>
  <c r="G164" i="11"/>
  <c r="H164" i="11"/>
  <c r="G165" i="11"/>
  <c r="H165" i="11"/>
  <c r="G166" i="11"/>
  <c r="H166" i="11"/>
  <c r="G167" i="11"/>
  <c r="H167" i="11"/>
  <c r="G168" i="11"/>
  <c r="H168" i="11"/>
  <c r="G169" i="11"/>
  <c r="H169" i="11"/>
  <c r="G170" i="11"/>
  <c r="H170" i="11"/>
  <c r="G171" i="11"/>
  <c r="H171" i="11"/>
  <c r="G172" i="11"/>
  <c r="H172" i="11"/>
  <c r="G173" i="11"/>
  <c r="H173" i="11"/>
  <c r="G174" i="11"/>
  <c r="H174" i="11"/>
  <c r="G175" i="11"/>
  <c r="H175" i="11"/>
  <c r="G176" i="11"/>
  <c r="H176" i="11"/>
  <c r="G177" i="11"/>
  <c r="H177" i="11"/>
  <c r="G178" i="11"/>
  <c r="H178" i="11"/>
  <c r="G179" i="11"/>
  <c r="H179" i="11"/>
  <c r="G180" i="11"/>
  <c r="H180" i="11"/>
  <c r="G181" i="11"/>
  <c r="H181" i="11"/>
  <c r="G182" i="11"/>
  <c r="H182" i="11"/>
  <c r="G183" i="11"/>
  <c r="H183" i="11"/>
  <c r="G184" i="11"/>
  <c r="H184" i="11"/>
  <c r="G185" i="11"/>
  <c r="H185" i="11"/>
  <c r="G186" i="11"/>
  <c r="H186" i="11"/>
  <c r="G187" i="11"/>
  <c r="H187" i="11"/>
  <c r="G188" i="11"/>
  <c r="H188" i="11"/>
  <c r="G189" i="11"/>
  <c r="H189" i="11"/>
  <c r="G190" i="11"/>
  <c r="H190" i="11"/>
  <c r="G191" i="11"/>
  <c r="H191" i="11"/>
  <c r="G192" i="11"/>
  <c r="H192" i="11"/>
  <c r="G193" i="11"/>
  <c r="H193" i="11"/>
  <c r="G194" i="11"/>
  <c r="H194" i="11"/>
  <c r="G195" i="11"/>
  <c r="H195" i="11"/>
  <c r="G196" i="11"/>
  <c r="H196" i="11"/>
  <c r="G197" i="11"/>
  <c r="H197" i="11"/>
  <c r="G198" i="11"/>
  <c r="H198" i="11"/>
  <c r="G199" i="11"/>
  <c r="H199" i="11"/>
  <c r="G200" i="11"/>
  <c r="H200" i="11"/>
  <c r="G201" i="11"/>
  <c r="H201" i="11"/>
  <c r="G202" i="11"/>
  <c r="H202" i="11"/>
  <c r="G203" i="11"/>
  <c r="H203" i="11"/>
  <c r="G204" i="11"/>
  <c r="H204" i="11"/>
  <c r="G205" i="11"/>
  <c r="H205" i="11"/>
  <c r="G206" i="11"/>
  <c r="H206" i="11"/>
  <c r="G207" i="11"/>
  <c r="H207" i="11"/>
  <c r="G208" i="11"/>
  <c r="H208" i="11"/>
  <c r="G209" i="11"/>
  <c r="H209" i="11"/>
  <c r="G210" i="11"/>
  <c r="H210" i="11"/>
  <c r="G211" i="11"/>
  <c r="H211" i="11"/>
  <c r="G212" i="11"/>
  <c r="H212" i="11"/>
  <c r="G213" i="11"/>
  <c r="H213" i="11"/>
  <c r="G214" i="11"/>
  <c r="H214" i="11"/>
  <c r="G215" i="11"/>
  <c r="H215" i="11"/>
  <c r="G216" i="11"/>
  <c r="H216" i="11"/>
  <c r="G217" i="11"/>
  <c r="H217" i="11"/>
  <c r="G218" i="11"/>
  <c r="H218" i="11"/>
  <c r="G219" i="11"/>
  <c r="H219" i="11"/>
  <c r="G220" i="11"/>
  <c r="H220" i="11"/>
  <c r="G221" i="11"/>
  <c r="H221" i="11"/>
  <c r="G222" i="11"/>
  <c r="H222" i="11"/>
  <c r="G223" i="11"/>
  <c r="H223" i="11"/>
  <c r="G224" i="11"/>
  <c r="H224" i="11"/>
  <c r="G225" i="11"/>
  <c r="H225" i="11"/>
  <c r="G226" i="11"/>
  <c r="H226" i="11"/>
  <c r="G227" i="11"/>
  <c r="H227" i="11"/>
  <c r="G228" i="11"/>
  <c r="H228" i="11"/>
  <c r="G229" i="11"/>
  <c r="H229" i="11"/>
  <c r="G230" i="11"/>
  <c r="H230" i="11"/>
  <c r="G231" i="11"/>
  <c r="H231" i="11"/>
  <c r="G232" i="11"/>
  <c r="H232" i="11"/>
  <c r="G233" i="11"/>
  <c r="H233" i="11"/>
  <c r="G234" i="11"/>
  <c r="H234" i="11"/>
  <c r="G235" i="11"/>
  <c r="H235" i="11"/>
  <c r="G236" i="11"/>
  <c r="H236" i="11"/>
  <c r="G237" i="11"/>
  <c r="H237" i="11"/>
  <c r="G238" i="11"/>
  <c r="H238" i="11"/>
  <c r="G239" i="11"/>
  <c r="H239" i="11"/>
  <c r="G240" i="11"/>
  <c r="H240" i="11"/>
  <c r="G241" i="11"/>
  <c r="H241" i="11"/>
  <c r="G242" i="11"/>
  <c r="H242" i="11"/>
  <c r="G243" i="11"/>
  <c r="H243" i="11"/>
  <c r="G244" i="11"/>
  <c r="H244" i="11"/>
  <c r="G245" i="11"/>
  <c r="H245" i="11"/>
  <c r="G246" i="11"/>
  <c r="H246" i="11"/>
  <c r="G247" i="11"/>
  <c r="H247" i="11"/>
  <c r="G248" i="11"/>
  <c r="H248" i="11"/>
  <c r="G249" i="11"/>
  <c r="H249" i="11"/>
  <c r="G250" i="11"/>
  <c r="H250" i="11"/>
  <c r="G251" i="11"/>
  <c r="H251" i="11"/>
  <c r="G252" i="11"/>
  <c r="H252" i="11"/>
  <c r="G253" i="11"/>
  <c r="H253" i="11"/>
  <c r="G254" i="11"/>
  <c r="H254" i="11"/>
  <c r="G255" i="11"/>
  <c r="H255" i="11"/>
  <c r="G256" i="11"/>
  <c r="H256" i="11"/>
  <c r="G257" i="11"/>
  <c r="H257" i="11"/>
  <c r="G258" i="11"/>
  <c r="H258" i="11"/>
  <c r="G259" i="11"/>
  <c r="H259" i="11"/>
  <c r="G260" i="11"/>
  <c r="H260" i="11"/>
  <c r="G261" i="11"/>
  <c r="H261" i="11"/>
  <c r="G262" i="11"/>
  <c r="H262" i="11"/>
  <c r="G263" i="11"/>
  <c r="H263" i="11"/>
  <c r="G264" i="11"/>
  <c r="H264" i="11"/>
  <c r="G265" i="11"/>
  <c r="H265" i="11"/>
  <c r="G266" i="11"/>
  <c r="H266" i="11"/>
  <c r="G267" i="11"/>
  <c r="H267" i="11"/>
  <c r="G268" i="11"/>
  <c r="H268" i="11"/>
  <c r="G269" i="11"/>
  <c r="H269" i="11"/>
  <c r="G270" i="11"/>
  <c r="H270" i="11"/>
  <c r="G271" i="11"/>
  <c r="H271" i="11"/>
  <c r="G272" i="11"/>
  <c r="H272" i="11"/>
  <c r="G273" i="11"/>
  <c r="H273" i="11"/>
  <c r="G274" i="11"/>
  <c r="H274" i="11"/>
  <c r="G275" i="11"/>
  <c r="H275" i="11"/>
  <c r="G276" i="11"/>
  <c r="H276" i="11"/>
  <c r="G277" i="11"/>
  <c r="H277" i="11"/>
  <c r="G278" i="11"/>
  <c r="H278" i="11"/>
  <c r="G279" i="11"/>
  <c r="H279" i="11"/>
  <c r="G280" i="11"/>
  <c r="H280" i="11"/>
  <c r="G281" i="11"/>
  <c r="H281" i="11"/>
  <c r="G282" i="11"/>
  <c r="H282" i="11"/>
  <c r="G283" i="11"/>
  <c r="H283" i="11"/>
  <c r="G284" i="11"/>
  <c r="H284" i="11"/>
  <c r="G285" i="11"/>
  <c r="H285" i="11"/>
  <c r="G286" i="11"/>
  <c r="H286" i="11"/>
  <c r="G287" i="11"/>
  <c r="H287" i="11"/>
  <c r="G288" i="11"/>
  <c r="H288" i="11"/>
  <c r="G289" i="11"/>
  <c r="H289" i="11"/>
  <c r="G290" i="11"/>
  <c r="H290" i="11"/>
  <c r="G291" i="11"/>
  <c r="H291" i="11"/>
  <c r="G292" i="11"/>
  <c r="H292" i="11"/>
  <c r="G293" i="11"/>
  <c r="H293" i="11"/>
  <c r="G294" i="11"/>
  <c r="H294" i="11"/>
  <c r="G295" i="11"/>
  <c r="H295" i="11"/>
  <c r="G296" i="11"/>
  <c r="H296" i="11"/>
  <c r="G297" i="11"/>
  <c r="H297" i="11"/>
  <c r="G298" i="11"/>
  <c r="H298" i="11"/>
  <c r="G299" i="11"/>
  <c r="H299" i="11"/>
  <c r="G300" i="11"/>
  <c r="H300" i="11"/>
  <c r="G301" i="11"/>
  <c r="H301" i="11"/>
  <c r="G302" i="11"/>
  <c r="H302" i="11"/>
  <c r="G303" i="11"/>
  <c r="H303" i="11"/>
  <c r="G304" i="11"/>
  <c r="H304" i="11"/>
  <c r="G305" i="11"/>
  <c r="H305" i="11"/>
  <c r="G306" i="11"/>
  <c r="H306" i="11"/>
  <c r="G307" i="11"/>
  <c r="H307" i="11"/>
  <c r="G308" i="11"/>
  <c r="H308" i="11"/>
  <c r="G309" i="11"/>
  <c r="H309" i="11"/>
  <c r="G310" i="11"/>
  <c r="H310" i="11"/>
  <c r="G311" i="11"/>
  <c r="H311" i="11"/>
  <c r="G312" i="11"/>
  <c r="H312" i="11"/>
  <c r="G313" i="11"/>
  <c r="H313" i="11"/>
  <c r="G314" i="11"/>
  <c r="H314" i="11"/>
  <c r="G315" i="11"/>
  <c r="H315" i="11"/>
  <c r="G316" i="11"/>
  <c r="H316" i="11"/>
  <c r="G317" i="11"/>
  <c r="H317" i="11"/>
  <c r="G318" i="11"/>
  <c r="H318" i="11"/>
  <c r="G319" i="11"/>
  <c r="H319" i="11"/>
  <c r="G320" i="11"/>
  <c r="H320" i="11"/>
  <c r="G321" i="11"/>
  <c r="H321" i="11"/>
  <c r="G322" i="11"/>
  <c r="H322" i="11"/>
  <c r="G323" i="11"/>
  <c r="H323" i="11"/>
  <c r="G324" i="11"/>
  <c r="H324" i="11"/>
  <c r="G325" i="11"/>
  <c r="H325" i="11"/>
  <c r="G326" i="11"/>
  <c r="H326" i="11"/>
  <c r="G327" i="11"/>
  <c r="H327" i="11"/>
  <c r="G328" i="11"/>
  <c r="H328" i="11"/>
  <c r="G329" i="11"/>
  <c r="H329" i="11"/>
  <c r="G330" i="11"/>
  <c r="H330" i="11"/>
  <c r="G331" i="11"/>
  <c r="H331" i="11"/>
  <c r="G332" i="11"/>
  <c r="H332" i="11"/>
  <c r="G333" i="11"/>
  <c r="H333" i="11"/>
  <c r="G334" i="11"/>
  <c r="H334" i="11"/>
  <c r="G335" i="11"/>
  <c r="H335" i="11"/>
  <c r="G336" i="11"/>
  <c r="H336" i="11"/>
  <c r="G337" i="11"/>
  <c r="H337" i="11"/>
  <c r="G338" i="11"/>
  <c r="H338" i="11"/>
  <c r="G339" i="11"/>
  <c r="H339" i="11"/>
  <c r="G340" i="11"/>
  <c r="H340" i="11"/>
  <c r="G341" i="11"/>
  <c r="H341" i="11"/>
  <c r="G342" i="11"/>
  <c r="H342" i="11"/>
  <c r="G343" i="11"/>
  <c r="H343" i="11"/>
  <c r="G344" i="11"/>
  <c r="H344" i="11"/>
  <c r="G345" i="11"/>
  <c r="H345" i="11"/>
  <c r="G346" i="11"/>
  <c r="H346" i="11"/>
  <c r="G347" i="11"/>
  <c r="H347" i="11"/>
  <c r="G348" i="11"/>
  <c r="H348" i="11"/>
  <c r="G349" i="11"/>
  <c r="H349" i="11"/>
  <c r="G350" i="11"/>
  <c r="H350" i="11"/>
  <c r="G351" i="11"/>
  <c r="H351" i="11"/>
  <c r="G352" i="11"/>
  <c r="H352" i="11"/>
  <c r="G353" i="11"/>
  <c r="H353" i="11"/>
  <c r="G354" i="11"/>
  <c r="H354" i="11"/>
  <c r="G355" i="11"/>
  <c r="H355" i="11"/>
  <c r="G356" i="11"/>
  <c r="H356" i="11"/>
  <c r="G357" i="11"/>
  <c r="H357" i="11"/>
  <c r="G358" i="11"/>
  <c r="H358" i="11"/>
  <c r="G359" i="11"/>
  <c r="H359" i="11"/>
  <c r="G360" i="11"/>
  <c r="H360" i="11"/>
  <c r="G361" i="11"/>
  <c r="H361" i="11"/>
  <c r="G362" i="11"/>
  <c r="H362" i="11"/>
  <c r="G363" i="11"/>
  <c r="H363" i="11"/>
  <c r="G364" i="11"/>
  <c r="H364" i="11"/>
  <c r="G365" i="11"/>
  <c r="H365" i="11"/>
  <c r="G366" i="11"/>
  <c r="H366" i="11"/>
  <c r="G367" i="11"/>
  <c r="H367" i="11"/>
  <c r="G368" i="11"/>
  <c r="H368" i="11"/>
  <c r="G369" i="11"/>
  <c r="H369" i="11"/>
  <c r="G370" i="11"/>
  <c r="H370" i="11"/>
  <c r="G371" i="11"/>
  <c r="H371" i="11"/>
  <c r="G372" i="11"/>
  <c r="H372" i="11"/>
  <c r="G373" i="11"/>
  <c r="H373" i="11"/>
  <c r="G374" i="11"/>
  <c r="H374" i="11"/>
  <c r="G375" i="11"/>
  <c r="H375" i="11"/>
  <c r="G376" i="11"/>
  <c r="H376" i="11"/>
  <c r="G377" i="11"/>
  <c r="H377" i="11"/>
  <c r="G378" i="11"/>
  <c r="H378" i="11"/>
  <c r="G379" i="11"/>
  <c r="H379" i="11"/>
  <c r="G380" i="11"/>
  <c r="H380" i="11"/>
  <c r="G381" i="11"/>
  <c r="H381" i="11"/>
  <c r="G382" i="11"/>
  <c r="H382" i="11"/>
  <c r="G383" i="11"/>
  <c r="H383" i="11"/>
  <c r="G384" i="11"/>
  <c r="H384" i="11"/>
  <c r="G385" i="11"/>
  <c r="H385" i="11"/>
  <c r="G386" i="11"/>
  <c r="H386" i="11"/>
  <c r="G387" i="11"/>
  <c r="H387" i="11"/>
  <c r="G388" i="11"/>
  <c r="H388" i="11"/>
  <c r="G389" i="11"/>
  <c r="H389" i="11"/>
  <c r="G390" i="11"/>
  <c r="H390" i="11"/>
  <c r="G391" i="11"/>
  <c r="H391" i="11"/>
  <c r="G392" i="11"/>
  <c r="H392" i="11"/>
  <c r="G393" i="11"/>
  <c r="H393" i="11"/>
  <c r="G394" i="11"/>
  <c r="H394" i="11"/>
  <c r="G395" i="11"/>
  <c r="H395" i="11"/>
  <c r="G396" i="11"/>
  <c r="H396" i="11"/>
  <c r="G397" i="11"/>
  <c r="H397" i="11"/>
  <c r="G398" i="11"/>
  <c r="H398" i="11"/>
  <c r="G399" i="11"/>
  <c r="H399" i="11"/>
  <c r="G400" i="11"/>
  <c r="H400" i="11"/>
  <c r="G401" i="11"/>
  <c r="H401" i="11"/>
  <c r="G402" i="11"/>
  <c r="H402" i="11"/>
  <c r="G403" i="11"/>
  <c r="H403" i="11"/>
  <c r="G404" i="11"/>
  <c r="H404" i="11"/>
  <c r="G405" i="11"/>
  <c r="H405" i="11"/>
  <c r="G406" i="11"/>
  <c r="H406" i="11"/>
  <c r="G407" i="11"/>
  <c r="H407" i="11"/>
  <c r="G408" i="11"/>
  <c r="H408" i="11"/>
  <c r="G409" i="11"/>
  <c r="H409" i="11"/>
  <c r="G410" i="11"/>
  <c r="H410" i="11"/>
  <c r="G411" i="11"/>
  <c r="H411" i="11"/>
  <c r="G412" i="11"/>
  <c r="H412" i="11"/>
  <c r="G413" i="11"/>
  <c r="H413" i="11"/>
  <c r="G414" i="11"/>
  <c r="H414" i="11"/>
  <c r="G415" i="11"/>
  <c r="H415" i="11"/>
  <c r="G416" i="11"/>
  <c r="H416" i="11"/>
  <c r="G417" i="11"/>
  <c r="H417" i="11"/>
  <c r="G418" i="11"/>
  <c r="H418" i="11"/>
  <c r="G419" i="11"/>
  <c r="H419" i="11"/>
  <c r="G420" i="11"/>
  <c r="H420" i="11"/>
  <c r="G421" i="11"/>
  <c r="H421" i="11"/>
  <c r="G422" i="11"/>
  <c r="H422" i="11"/>
  <c r="G423" i="11"/>
  <c r="H423" i="11"/>
  <c r="G424" i="11"/>
  <c r="H424" i="11"/>
  <c r="G425" i="11"/>
  <c r="H425" i="11"/>
  <c r="G426" i="11"/>
  <c r="H426" i="11"/>
  <c r="G427" i="11"/>
  <c r="H427" i="11"/>
  <c r="G428" i="11"/>
  <c r="H428" i="11"/>
  <c r="G429" i="11"/>
  <c r="H429" i="11"/>
  <c r="G430" i="11"/>
  <c r="H430" i="11"/>
  <c r="G431" i="11"/>
  <c r="H431" i="11"/>
  <c r="G432" i="11"/>
  <c r="H432" i="11"/>
  <c r="G433" i="11"/>
  <c r="H433" i="11"/>
  <c r="G434" i="11"/>
  <c r="H434" i="11"/>
  <c r="G435" i="11"/>
  <c r="H435" i="11"/>
  <c r="G436" i="11"/>
  <c r="H436" i="11"/>
  <c r="G437" i="11"/>
  <c r="H437" i="11"/>
  <c r="G438" i="11"/>
  <c r="H438" i="11"/>
  <c r="G439" i="11"/>
  <c r="H439" i="11"/>
  <c r="G440" i="11"/>
  <c r="H440" i="11"/>
  <c r="G441" i="11"/>
  <c r="H441" i="11"/>
  <c r="G442" i="11"/>
  <c r="H442" i="11"/>
  <c r="G443" i="11"/>
  <c r="H443" i="11"/>
  <c r="G444" i="11"/>
  <c r="H444" i="11"/>
  <c r="G445" i="11"/>
  <c r="H445" i="11"/>
  <c r="G446" i="11"/>
  <c r="H446" i="11"/>
  <c r="G447" i="11"/>
  <c r="H447" i="11"/>
  <c r="G448" i="11"/>
  <c r="H448" i="11"/>
  <c r="G449" i="11"/>
  <c r="H449" i="11"/>
  <c r="G450" i="11"/>
  <c r="H450" i="11"/>
  <c r="G451" i="11"/>
  <c r="H451" i="11"/>
  <c r="G452" i="11"/>
  <c r="H452" i="11"/>
  <c r="G453" i="11"/>
  <c r="H453" i="11"/>
  <c r="G454" i="11"/>
  <c r="H454" i="11"/>
  <c r="G455" i="11"/>
  <c r="H455" i="11"/>
  <c r="G456" i="11"/>
  <c r="H456" i="11"/>
  <c r="G457" i="11"/>
  <c r="H457" i="11"/>
  <c r="G458" i="11"/>
  <c r="H458" i="11"/>
  <c r="G459" i="11"/>
  <c r="H459" i="11"/>
  <c r="G460" i="11"/>
  <c r="H460" i="11"/>
  <c r="G461" i="11"/>
  <c r="H461" i="11"/>
  <c r="G462" i="11"/>
  <c r="H462" i="11"/>
  <c r="G463" i="11"/>
  <c r="H463" i="11"/>
  <c r="G464" i="11"/>
  <c r="H464" i="11"/>
  <c r="G465" i="11"/>
  <c r="H465" i="11"/>
  <c r="G466" i="11"/>
  <c r="H466" i="11"/>
  <c r="G467" i="11"/>
  <c r="H467" i="11"/>
  <c r="G468" i="11"/>
  <c r="H468" i="11"/>
  <c r="G469" i="11"/>
  <c r="H469" i="11"/>
  <c r="G470" i="11"/>
  <c r="H470" i="11"/>
  <c r="G471" i="11"/>
  <c r="H471" i="11"/>
  <c r="G472" i="11"/>
  <c r="H472" i="11"/>
  <c r="G473" i="11"/>
  <c r="H473" i="11"/>
  <c r="G474" i="11"/>
  <c r="H474" i="11"/>
  <c r="G475" i="11"/>
  <c r="H475" i="11"/>
  <c r="G476" i="11"/>
  <c r="H476" i="11"/>
  <c r="G477" i="11"/>
  <c r="H477" i="11"/>
  <c r="G478" i="11"/>
  <c r="H478" i="11"/>
  <c r="G479" i="11"/>
  <c r="H479" i="11"/>
  <c r="G480" i="11"/>
  <c r="H480" i="11"/>
  <c r="G481" i="11"/>
  <c r="H481" i="11"/>
  <c r="G482" i="11"/>
  <c r="H482" i="11"/>
  <c r="G483" i="11"/>
  <c r="H483" i="11"/>
  <c r="G484" i="11"/>
  <c r="H484" i="11"/>
  <c r="G485" i="11"/>
  <c r="H485" i="11"/>
  <c r="G486" i="11"/>
  <c r="H486" i="11"/>
  <c r="G487" i="11"/>
  <c r="H487" i="11"/>
  <c r="G488" i="11"/>
  <c r="H488" i="11"/>
  <c r="G489" i="11"/>
  <c r="H489" i="11"/>
  <c r="G490" i="11"/>
  <c r="H490" i="11"/>
  <c r="G491" i="11"/>
  <c r="H491" i="11"/>
  <c r="G492" i="11"/>
  <c r="H492" i="11"/>
  <c r="G493" i="11"/>
  <c r="H493" i="11"/>
  <c r="G494" i="11"/>
  <c r="H494" i="11"/>
  <c r="G495" i="11"/>
  <c r="H495" i="11"/>
  <c r="G496" i="11"/>
  <c r="H496" i="11"/>
  <c r="G497" i="11"/>
  <c r="H497" i="11"/>
  <c r="G498" i="11"/>
  <c r="H498" i="11"/>
  <c r="G499" i="11"/>
  <c r="H499" i="11"/>
  <c r="G500" i="11"/>
  <c r="H500" i="11"/>
  <c r="G501" i="11"/>
  <c r="H501" i="11"/>
  <c r="G502" i="11"/>
  <c r="H502" i="11"/>
  <c r="G503" i="11"/>
  <c r="H503" i="11"/>
  <c r="G504" i="11"/>
  <c r="H504" i="11"/>
  <c r="G505" i="11"/>
  <c r="H505" i="11"/>
  <c r="G506" i="11"/>
  <c r="H506" i="11"/>
  <c r="G507" i="11"/>
  <c r="H507" i="11"/>
  <c r="G508" i="11"/>
  <c r="H508" i="11"/>
  <c r="G509" i="11"/>
  <c r="H509" i="11"/>
  <c r="G510" i="11"/>
  <c r="H510" i="11"/>
  <c r="G511" i="11"/>
  <c r="H511" i="11"/>
  <c r="G512" i="11"/>
  <c r="H512" i="11"/>
  <c r="G513" i="11"/>
  <c r="H513" i="11"/>
  <c r="G514" i="11"/>
  <c r="H514" i="11"/>
  <c r="G515" i="11"/>
  <c r="H515" i="11"/>
  <c r="G516" i="11"/>
  <c r="H516" i="11"/>
  <c r="G517" i="11"/>
  <c r="H517" i="11"/>
  <c r="G518" i="11"/>
  <c r="H518" i="11"/>
  <c r="G519" i="11"/>
  <c r="H519" i="11"/>
  <c r="G520" i="11"/>
  <c r="H520" i="11"/>
  <c r="G521" i="11"/>
  <c r="H521" i="11"/>
  <c r="G522" i="11"/>
  <c r="H522" i="11"/>
  <c r="G523" i="11"/>
  <c r="H523" i="11"/>
  <c r="G524" i="11"/>
  <c r="H524" i="11"/>
  <c r="G525" i="11"/>
  <c r="H525" i="11"/>
  <c r="G526" i="11"/>
  <c r="H526" i="11"/>
  <c r="G527" i="11"/>
  <c r="H527" i="11"/>
  <c r="G528" i="11"/>
  <c r="H528" i="11"/>
  <c r="G529" i="11"/>
  <c r="H529" i="11"/>
  <c r="G530" i="11"/>
  <c r="H530" i="11"/>
  <c r="G531" i="11"/>
  <c r="H531" i="11"/>
  <c r="G532" i="11"/>
  <c r="H532" i="11"/>
  <c r="G533" i="11"/>
  <c r="H533" i="11"/>
  <c r="G534" i="11"/>
  <c r="H534" i="11"/>
  <c r="G535" i="11"/>
  <c r="H535" i="11"/>
  <c r="G536" i="11"/>
  <c r="H536" i="11"/>
  <c r="G537" i="11"/>
  <c r="H537" i="11"/>
  <c r="G538" i="11"/>
  <c r="H538" i="11"/>
  <c r="G539" i="11"/>
  <c r="H539" i="11"/>
  <c r="G540" i="11"/>
  <c r="H540" i="11"/>
  <c r="G541" i="11"/>
  <c r="H541" i="11"/>
  <c r="G542" i="11"/>
  <c r="H542" i="11"/>
  <c r="G543" i="11"/>
  <c r="H543" i="11"/>
  <c r="G544" i="11"/>
  <c r="H544" i="11"/>
  <c r="G545" i="11"/>
  <c r="H545" i="11"/>
  <c r="G546" i="11"/>
  <c r="H546" i="11"/>
  <c r="G547" i="11"/>
  <c r="H547" i="11"/>
  <c r="G548" i="11"/>
  <c r="H548" i="11"/>
  <c r="G549" i="11"/>
  <c r="H549" i="11"/>
  <c r="G550" i="11"/>
  <c r="H550" i="11"/>
  <c r="G551" i="11"/>
  <c r="H551" i="11"/>
  <c r="G552" i="11"/>
  <c r="H552" i="11"/>
  <c r="G553" i="11"/>
  <c r="H553" i="11"/>
  <c r="G554" i="11"/>
  <c r="H554" i="11"/>
  <c r="G555" i="11"/>
  <c r="H555" i="11"/>
  <c r="G556" i="11"/>
  <c r="H556" i="11"/>
  <c r="G557" i="11"/>
  <c r="H557" i="11"/>
  <c r="G558" i="11"/>
  <c r="H558" i="11"/>
  <c r="G559" i="11"/>
  <c r="H559" i="11"/>
  <c r="G560" i="11"/>
  <c r="H560" i="11"/>
  <c r="G561" i="11"/>
  <c r="H561" i="11"/>
  <c r="G562" i="11"/>
  <c r="H562" i="11"/>
  <c r="G563" i="11"/>
  <c r="H563" i="11"/>
  <c r="G564" i="11"/>
  <c r="H564" i="11"/>
  <c r="G565" i="11"/>
  <c r="H565" i="11"/>
  <c r="G566" i="11"/>
  <c r="H566" i="11"/>
  <c r="G567" i="11"/>
  <c r="H567" i="11"/>
  <c r="G568" i="11"/>
  <c r="H568" i="11"/>
  <c r="G569" i="11"/>
  <c r="H569" i="11"/>
  <c r="G570" i="11"/>
  <c r="H570" i="11"/>
  <c r="G571" i="11"/>
  <c r="H571" i="11"/>
  <c r="G572" i="11"/>
  <c r="H572" i="11"/>
  <c r="G573" i="11"/>
  <c r="H573" i="11"/>
  <c r="G574" i="11"/>
  <c r="H574" i="11"/>
  <c r="G575" i="11"/>
  <c r="H575" i="11"/>
  <c r="G576" i="11"/>
  <c r="H576" i="11"/>
  <c r="G577" i="11"/>
  <c r="H577" i="11"/>
  <c r="G578" i="11"/>
  <c r="H578" i="11"/>
  <c r="G579" i="11"/>
  <c r="H579" i="11"/>
  <c r="G580" i="11"/>
  <c r="H580" i="11"/>
  <c r="G581" i="11"/>
  <c r="H581" i="11"/>
  <c r="G582" i="11"/>
  <c r="H582" i="11"/>
  <c r="G583" i="11"/>
  <c r="H583" i="11"/>
  <c r="G584" i="11"/>
  <c r="H584" i="11"/>
  <c r="G585" i="11"/>
  <c r="H585" i="11"/>
  <c r="G586" i="11"/>
  <c r="H586" i="11"/>
  <c r="G587" i="11"/>
  <c r="H587" i="11"/>
  <c r="G588" i="11"/>
  <c r="H588" i="11"/>
  <c r="G589" i="11"/>
  <c r="H589" i="11"/>
  <c r="G590" i="11"/>
  <c r="H590" i="11"/>
  <c r="G591" i="11"/>
  <c r="H591" i="11"/>
  <c r="G592" i="11"/>
  <c r="H592" i="11"/>
  <c r="G593" i="11"/>
  <c r="H593" i="11"/>
  <c r="G594" i="11"/>
  <c r="H594" i="11"/>
  <c r="G595" i="11"/>
  <c r="H595" i="11"/>
  <c r="G596" i="11"/>
  <c r="H596" i="11"/>
  <c r="G597" i="11"/>
  <c r="H597" i="11"/>
  <c r="G598" i="11"/>
  <c r="H598" i="11"/>
  <c r="G599" i="11"/>
  <c r="H599" i="11"/>
  <c r="G600" i="11"/>
  <c r="H600" i="11"/>
  <c r="G601" i="11"/>
  <c r="H601" i="11"/>
  <c r="G602" i="11"/>
  <c r="H602" i="11"/>
  <c r="G603" i="11"/>
  <c r="H603" i="11"/>
  <c r="G604" i="11"/>
  <c r="H604" i="11"/>
  <c r="G605" i="11"/>
  <c r="H605" i="11"/>
  <c r="G606" i="11"/>
  <c r="H606" i="11"/>
  <c r="G607" i="11"/>
  <c r="H607" i="11"/>
  <c r="G608" i="11"/>
  <c r="H608" i="11"/>
  <c r="G609" i="11"/>
  <c r="H609" i="11"/>
  <c r="G610" i="11"/>
  <c r="H610" i="11"/>
  <c r="G611" i="11"/>
  <c r="H611" i="11"/>
  <c r="G612" i="11"/>
  <c r="H612" i="11"/>
  <c r="G613" i="11"/>
  <c r="H613" i="11"/>
  <c r="G614" i="11"/>
  <c r="H614" i="11"/>
  <c r="G615" i="11"/>
  <c r="H615" i="11"/>
  <c r="G616" i="11"/>
  <c r="H616" i="11"/>
  <c r="G617" i="11"/>
  <c r="H617" i="11"/>
  <c r="G618" i="11"/>
  <c r="H618" i="11"/>
  <c r="G619" i="11"/>
  <c r="H619" i="11"/>
  <c r="G620" i="11"/>
  <c r="H620" i="11"/>
  <c r="G621" i="11"/>
  <c r="H621" i="11"/>
  <c r="G622" i="11"/>
  <c r="H622" i="11"/>
  <c r="G623" i="11"/>
  <c r="H623" i="11"/>
  <c r="G624" i="11"/>
  <c r="H624" i="11"/>
  <c r="G625" i="11"/>
  <c r="H625" i="11"/>
  <c r="G626" i="11"/>
  <c r="H626" i="11"/>
  <c r="G627" i="11"/>
  <c r="H627" i="11"/>
  <c r="G628" i="11"/>
  <c r="H628" i="11"/>
  <c r="G629" i="11"/>
  <c r="H629" i="11"/>
  <c r="G630" i="11"/>
  <c r="H630" i="11"/>
  <c r="G631" i="11"/>
  <c r="H631" i="11"/>
  <c r="G632" i="11"/>
  <c r="H632" i="11"/>
  <c r="G633" i="11"/>
  <c r="H633" i="11"/>
  <c r="G634" i="11"/>
  <c r="H634" i="11"/>
  <c r="G635" i="11"/>
  <c r="H635" i="11"/>
  <c r="G636" i="11"/>
  <c r="H636" i="11"/>
  <c r="G637" i="11"/>
  <c r="H637" i="11"/>
  <c r="G638" i="11"/>
  <c r="H638" i="11"/>
  <c r="G639" i="11"/>
  <c r="H639" i="11"/>
  <c r="G640" i="11"/>
  <c r="H640" i="11"/>
  <c r="G641" i="11"/>
  <c r="H641" i="11"/>
  <c r="G642" i="11"/>
  <c r="H642" i="11"/>
  <c r="G643" i="11"/>
  <c r="H643" i="11"/>
  <c r="G644" i="11"/>
  <c r="H644" i="11"/>
  <c r="G645" i="11"/>
  <c r="H645" i="11"/>
  <c r="G646" i="11"/>
  <c r="H646" i="11"/>
  <c r="G647" i="11"/>
  <c r="H647" i="11"/>
  <c r="G648" i="11"/>
  <c r="H648" i="11"/>
  <c r="G649" i="11"/>
  <c r="H649" i="11"/>
  <c r="G650" i="11"/>
  <c r="H650" i="11"/>
  <c r="G651" i="11"/>
  <c r="H651" i="11"/>
  <c r="G652" i="11"/>
  <c r="H652" i="11"/>
  <c r="G653" i="11"/>
  <c r="H653" i="11"/>
  <c r="G654" i="11"/>
  <c r="H654" i="11"/>
  <c r="G655" i="11"/>
  <c r="H655" i="11"/>
  <c r="G656" i="11"/>
  <c r="H656" i="11"/>
  <c r="G657" i="11"/>
  <c r="H657" i="11"/>
  <c r="G658" i="11"/>
  <c r="H658" i="11"/>
  <c r="G659" i="11"/>
  <c r="H659" i="11"/>
  <c r="G660" i="11"/>
  <c r="H660" i="11"/>
  <c r="G661" i="11"/>
  <c r="H661" i="11"/>
  <c r="G662" i="11"/>
  <c r="H662" i="11"/>
  <c r="G663" i="11"/>
  <c r="H663" i="11"/>
  <c r="G664" i="11"/>
  <c r="H664" i="11"/>
  <c r="G665" i="11"/>
  <c r="H665" i="11"/>
  <c r="G666" i="11"/>
  <c r="H666" i="11"/>
  <c r="G667" i="11"/>
  <c r="H667" i="11"/>
  <c r="G668" i="11"/>
  <c r="H668" i="11"/>
  <c r="G669" i="11"/>
  <c r="H669" i="11"/>
  <c r="G670" i="11"/>
  <c r="H670" i="11"/>
  <c r="G671" i="11"/>
  <c r="H671" i="11"/>
  <c r="G672" i="11"/>
  <c r="H672" i="11"/>
  <c r="G673" i="11"/>
  <c r="H673" i="11"/>
  <c r="G674" i="11"/>
  <c r="H674" i="11"/>
  <c r="G675" i="11"/>
  <c r="H675" i="11"/>
  <c r="G676" i="11"/>
  <c r="H676" i="11"/>
  <c r="G677" i="11"/>
  <c r="H677" i="11"/>
  <c r="G678" i="11"/>
  <c r="H678" i="11"/>
  <c r="G679" i="11"/>
  <c r="H679" i="11"/>
  <c r="G680" i="11"/>
  <c r="H680" i="11"/>
  <c r="G681" i="11"/>
  <c r="H681" i="11"/>
  <c r="G682" i="11"/>
  <c r="H682" i="11"/>
  <c r="G683" i="11"/>
  <c r="H683" i="11"/>
  <c r="G684" i="11"/>
  <c r="H684" i="11"/>
  <c r="G685" i="11"/>
  <c r="H685" i="11"/>
  <c r="G686" i="11"/>
  <c r="H686" i="11"/>
  <c r="G687" i="11"/>
  <c r="H687" i="11"/>
  <c r="G688" i="11"/>
  <c r="H688" i="11"/>
  <c r="G689" i="11"/>
  <c r="H689" i="11"/>
  <c r="G690" i="11"/>
  <c r="H690" i="11"/>
  <c r="G691" i="11"/>
  <c r="H691" i="11"/>
  <c r="G692" i="11"/>
  <c r="H692" i="11"/>
  <c r="G693" i="11"/>
  <c r="H693" i="11"/>
  <c r="G694" i="11"/>
  <c r="H694" i="11"/>
  <c r="G695" i="11"/>
  <c r="H695" i="11"/>
  <c r="G696" i="11"/>
  <c r="H696" i="11"/>
  <c r="G697" i="11"/>
  <c r="H697" i="11"/>
  <c r="G698" i="11"/>
  <c r="H698" i="11"/>
  <c r="G699" i="11"/>
  <c r="H699" i="11"/>
  <c r="G700" i="11"/>
  <c r="H700" i="11"/>
  <c r="G701" i="11"/>
  <c r="H701" i="11"/>
  <c r="G702" i="11"/>
  <c r="H702" i="11"/>
  <c r="G703" i="11"/>
  <c r="H703" i="11"/>
  <c r="G704" i="11"/>
  <c r="H704" i="11"/>
  <c r="G705" i="11"/>
  <c r="H705" i="11"/>
  <c r="G706" i="11"/>
  <c r="H706" i="11"/>
  <c r="G707" i="11"/>
  <c r="H707" i="11"/>
  <c r="G708" i="11"/>
  <c r="H708" i="11"/>
  <c r="G709" i="11"/>
  <c r="H709" i="11"/>
  <c r="G710" i="11"/>
  <c r="H710" i="11"/>
  <c r="G711" i="11"/>
  <c r="H711" i="11"/>
  <c r="G712" i="11"/>
  <c r="H712" i="11"/>
  <c r="G713" i="11"/>
  <c r="H713" i="11"/>
  <c r="G714" i="11"/>
  <c r="H714" i="11"/>
  <c r="G715" i="11"/>
  <c r="H715" i="11"/>
  <c r="G716" i="11"/>
  <c r="H716" i="11"/>
  <c r="G717" i="11"/>
  <c r="H717" i="11"/>
  <c r="G718" i="11"/>
  <c r="H718" i="11"/>
  <c r="G719" i="11"/>
  <c r="H719" i="11"/>
  <c r="G720" i="11"/>
  <c r="H720" i="11"/>
  <c r="G721" i="11"/>
  <c r="H721" i="11"/>
  <c r="G722" i="11"/>
  <c r="H722" i="11"/>
  <c r="G723" i="11"/>
  <c r="H723" i="11"/>
  <c r="G724" i="11"/>
  <c r="H724" i="11"/>
  <c r="G725" i="11"/>
  <c r="H725" i="11"/>
  <c r="G726" i="11"/>
  <c r="H726" i="11"/>
  <c r="G727" i="11"/>
  <c r="H727" i="11"/>
  <c r="G728" i="11"/>
  <c r="H728" i="11"/>
  <c r="G729" i="11"/>
  <c r="H729" i="11"/>
  <c r="G730" i="11"/>
  <c r="H730" i="11"/>
  <c r="G731" i="11"/>
  <c r="H731" i="11"/>
  <c r="G732" i="11"/>
  <c r="H732" i="11"/>
  <c r="G733" i="11"/>
  <c r="H733" i="11"/>
  <c r="G734" i="11"/>
  <c r="H734" i="11"/>
  <c r="G735" i="11"/>
  <c r="H735" i="11"/>
  <c r="G736" i="11"/>
  <c r="H736" i="11"/>
  <c r="G737" i="11"/>
  <c r="H737" i="11"/>
  <c r="G738" i="11"/>
  <c r="H738" i="11"/>
  <c r="G739" i="11"/>
  <c r="H739" i="11"/>
  <c r="G740" i="11"/>
  <c r="H740" i="11"/>
  <c r="G741" i="11"/>
  <c r="H741" i="11"/>
  <c r="G742" i="11"/>
  <c r="H742" i="11"/>
  <c r="G743" i="11"/>
  <c r="H743" i="11"/>
  <c r="G744" i="11"/>
  <c r="H744" i="11"/>
  <c r="G745" i="11"/>
  <c r="H745" i="11"/>
  <c r="G746" i="11"/>
  <c r="H746" i="11"/>
  <c r="G747" i="11"/>
  <c r="H747" i="11"/>
  <c r="G748" i="11"/>
  <c r="H748" i="11"/>
  <c r="G749" i="11"/>
  <c r="H749" i="11"/>
  <c r="G750" i="11"/>
  <c r="H750" i="11"/>
  <c r="G751" i="11"/>
  <c r="H751" i="11"/>
  <c r="G752" i="11"/>
  <c r="H752" i="11"/>
  <c r="G753" i="11"/>
  <c r="H753" i="11"/>
  <c r="G754" i="11"/>
  <c r="H754" i="11"/>
  <c r="G755" i="11"/>
  <c r="H755" i="11"/>
  <c r="G756" i="11"/>
  <c r="H756" i="11"/>
  <c r="G757" i="11"/>
  <c r="H757" i="11"/>
  <c r="G758" i="11"/>
  <c r="H758" i="11"/>
  <c r="G759" i="11"/>
  <c r="H759" i="11"/>
  <c r="G760" i="11"/>
  <c r="H760" i="11"/>
  <c r="G761" i="11"/>
  <c r="H761" i="11"/>
  <c r="G762" i="11"/>
  <c r="H762" i="11"/>
  <c r="G763" i="11"/>
  <c r="H763" i="11"/>
  <c r="G764" i="11"/>
  <c r="H764" i="11"/>
  <c r="G765" i="11"/>
  <c r="H765" i="11"/>
  <c r="G766" i="11"/>
  <c r="H766" i="11"/>
  <c r="G767" i="11"/>
  <c r="H767" i="11"/>
  <c r="G768" i="11"/>
  <c r="H768" i="11"/>
  <c r="G769" i="11"/>
  <c r="H769" i="11"/>
  <c r="G770" i="11"/>
  <c r="H770" i="11"/>
  <c r="G771" i="11"/>
  <c r="H771" i="11"/>
  <c r="G772" i="11"/>
  <c r="H772" i="11"/>
  <c r="G773" i="11"/>
  <c r="H773" i="11"/>
  <c r="G774" i="11"/>
  <c r="H774" i="11"/>
  <c r="G775" i="11"/>
  <c r="H775" i="11"/>
  <c r="G776" i="11"/>
  <c r="H776" i="11"/>
  <c r="G777" i="11"/>
  <c r="H777" i="11"/>
  <c r="G778" i="11"/>
  <c r="H778" i="11"/>
  <c r="G779" i="11"/>
  <c r="H779" i="11"/>
  <c r="G780" i="11"/>
  <c r="H780" i="11"/>
  <c r="G781" i="11"/>
  <c r="H781" i="11"/>
  <c r="G782" i="11"/>
  <c r="H782" i="11"/>
  <c r="G783" i="11"/>
  <c r="H783" i="11"/>
  <c r="G784" i="11"/>
  <c r="H784" i="11"/>
  <c r="G785" i="11"/>
  <c r="H785" i="11"/>
  <c r="G786" i="11"/>
  <c r="H786" i="11"/>
  <c r="G787" i="11"/>
  <c r="H787" i="11"/>
  <c r="G788" i="11"/>
  <c r="H788" i="11"/>
  <c r="G789" i="11"/>
  <c r="H789" i="11"/>
  <c r="G790" i="11"/>
  <c r="H790" i="11"/>
  <c r="G791" i="11"/>
  <c r="H791" i="11"/>
  <c r="G792" i="11"/>
  <c r="H792" i="11"/>
  <c r="G793" i="11"/>
  <c r="H793" i="11"/>
  <c r="G794" i="11"/>
  <c r="H794" i="11"/>
  <c r="G795" i="11"/>
  <c r="H795" i="11"/>
  <c r="G796" i="11"/>
  <c r="H796" i="11"/>
  <c r="G797" i="11"/>
  <c r="H797" i="11"/>
  <c r="G798" i="11"/>
  <c r="H798" i="11"/>
  <c r="G799" i="11"/>
  <c r="H799" i="11"/>
  <c r="G800" i="11"/>
  <c r="H800" i="11"/>
  <c r="G801" i="11"/>
  <c r="H801" i="11"/>
  <c r="G802" i="11"/>
  <c r="H802" i="11"/>
  <c r="G803" i="11"/>
  <c r="H803" i="11"/>
  <c r="G804" i="11"/>
  <c r="H804" i="11"/>
  <c r="G805" i="11"/>
  <c r="H805" i="11"/>
  <c r="G806" i="11"/>
  <c r="H806" i="11"/>
  <c r="G807" i="11"/>
  <c r="H807" i="11"/>
  <c r="G808" i="11"/>
  <c r="H808" i="11"/>
  <c r="G809" i="11"/>
  <c r="H809" i="11"/>
  <c r="G810" i="11"/>
  <c r="H810" i="11"/>
  <c r="G811" i="11"/>
  <c r="H811" i="11"/>
  <c r="G812" i="11"/>
  <c r="H812" i="11"/>
  <c r="G813" i="11"/>
  <c r="H813" i="11"/>
  <c r="G814" i="11"/>
  <c r="H814" i="11"/>
  <c r="G815" i="11"/>
  <c r="H815" i="11"/>
  <c r="G816" i="11"/>
  <c r="H816" i="11"/>
  <c r="G817" i="11"/>
  <c r="H817" i="11"/>
  <c r="G818" i="11"/>
  <c r="H818" i="11"/>
  <c r="G819" i="11"/>
  <c r="H819" i="11"/>
  <c r="G820" i="11"/>
  <c r="H820" i="11"/>
  <c r="G821" i="11"/>
  <c r="H821" i="11"/>
  <c r="G822" i="11"/>
  <c r="H822" i="11"/>
  <c r="G823" i="11"/>
  <c r="H823" i="11"/>
  <c r="G824" i="11"/>
  <c r="H824" i="11"/>
  <c r="G825" i="11"/>
  <c r="H825" i="11"/>
  <c r="G826" i="11"/>
  <c r="H826" i="11"/>
  <c r="G827" i="11"/>
  <c r="H827" i="11"/>
  <c r="G828" i="11"/>
  <c r="H828" i="11"/>
  <c r="G829" i="11"/>
  <c r="H829" i="11"/>
  <c r="G830" i="11"/>
  <c r="H830" i="11"/>
  <c r="G831" i="11"/>
  <c r="H831" i="11"/>
  <c r="G832" i="11"/>
  <c r="H832" i="11"/>
  <c r="G833" i="11"/>
  <c r="H833" i="11"/>
  <c r="G834" i="11"/>
  <c r="H834" i="11"/>
  <c r="G835" i="11"/>
  <c r="H835" i="11"/>
  <c r="G836" i="11"/>
  <c r="H836" i="11"/>
  <c r="G837" i="11"/>
  <c r="H837" i="11"/>
  <c r="G838" i="11"/>
  <c r="H838" i="11"/>
  <c r="G839" i="11"/>
  <c r="H839" i="11"/>
  <c r="G840" i="11"/>
  <c r="H840" i="11"/>
  <c r="G841" i="11"/>
  <c r="H841" i="11"/>
  <c r="G842" i="11"/>
  <c r="H842" i="11"/>
  <c r="G843" i="11"/>
  <c r="H843" i="11"/>
  <c r="G844" i="11"/>
  <c r="H844" i="11"/>
  <c r="G845" i="11"/>
  <c r="H845" i="11"/>
  <c r="G846" i="11"/>
  <c r="H846" i="11"/>
  <c r="G847" i="11"/>
  <c r="H847" i="11"/>
  <c r="G848" i="11"/>
  <c r="H848" i="11"/>
  <c r="G849" i="11"/>
  <c r="H849" i="11"/>
  <c r="G850" i="11"/>
  <c r="H850" i="11"/>
  <c r="G851" i="11"/>
  <c r="H851" i="11"/>
  <c r="G852" i="11"/>
  <c r="H852" i="11"/>
  <c r="G853" i="11"/>
  <c r="H853" i="11"/>
  <c r="G854" i="11"/>
  <c r="H854" i="11"/>
  <c r="G855" i="11"/>
  <c r="H855" i="11"/>
  <c r="G856" i="11"/>
  <c r="H856" i="11"/>
  <c r="G857" i="11"/>
  <c r="H857" i="11"/>
  <c r="G858" i="11"/>
  <c r="H858" i="11"/>
  <c r="G859" i="11"/>
  <c r="H859" i="11"/>
  <c r="G860" i="11"/>
  <c r="H860" i="11"/>
  <c r="G861" i="11"/>
  <c r="H861" i="11"/>
  <c r="G862" i="11"/>
  <c r="H862" i="11"/>
  <c r="G863" i="11"/>
  <c r="H863" i="11"/>
  <c r="G864" i="11"/>
  <c r="H864" i="11"/>
  <c r="G865" i="11"/>
  <c r="H865" i="11"/>
  <c r="G866" i="11"/>
  <c r="H866" i="11"/>
  <c r="G867" i="11"/>
  <c r="H867" i="11"/>
  <c r="G868" i="11"/>
  <c r="H868" i="11"/>
  <c r="G869" i="11"/>
  <c r="H869" i="11"/>
  <c r="G870" i="11"/>
  <c r="H870" i="11"/>
  <c r="G871" i="11"/>
  <c r="H871" i="11"/>
  <c r="G872" i="11"/>
  <c r="H872" i="11"/>
  <c r="G873" i="11"/>
  <c r="H873" i="11"/>
  <c r="G874" i="11"/>
  <c r="H874" i="11"/>
  <c r="G875" i="11"/>
  <c r="H875" i="11"/>
  <c r="G876" i="11"/>
  <c r="H876" i="11"/>
  <c r="G877" i="11"/>
  <c r="H877" i="11"/>
  <c r="G878" i="11"/>
  <c r="H878" i="11"/>
  <c r="G879" i="11"/>
  <c r="H879" i="11"/>
  <c r="G880" i="11"/>
  <c r="H880" i="11"/>
  <c r="G881" i="11"/>
  <c r="H881" i="11"/>
  <c r="G882" i="11"/>
  <c r="H882" i="11"/>
  <c r="G883" i="11"/>
  <c r="H883" i="11"/>
  <c r="G884" i="11"/>
  <c r="H884" i="11"/>
  <c r="G885" i="11"/>
  <c r="H885" i="11"/>
  <c r="G886" i="11"/>
  <c r="H886" i="11"/>
  <c r="G887" i="11"/>
  <c r="H887" i="11"/>
  <c r="G888" i="11"/>
  <c r="H888" i="11"/>
  <c r="G889" i="11"/>
  <c r="H889" i="11"/>
  <c r="G890" i="11"/>
  <c r="H890" i="11"/>
  <c r="G891" i="11"/>
  <c r="H891" i="11"/>
  <c r="G892" i="11"/>
  <c r="H892" i="11"/>
  <c r="G893" i="11"/>
  <c r="H893" i="11"/>
  <c r="G894" i="11"/>
  <c r="H894" i="11"/>
  <c r="G895" i="11"/>
  <c r="H895" i="11"/>
  <c r="G896" i="11"/>
  <c r="H896" i="11"/>
  <c r="G897" i="11"/>
  <c r="H897" i="11"/>
  <c r="G898" i="11"/>
  <c r="H898" i="11"/>
  <c r="G899" i="11"/>
  <c r="H899" i="11"/>
  <c r="G900" i="11"/>
  <c r="H900" i="11"/>
  <c r="G901" i="11"/>
  <c r="H901" i="11"/>
  <c r="G902" i="11"/>
  <c r="H902" i="11"/>
  <c r="G903" i="11"/>
  <c r="H903" i="11"/>
  <c r="G904" i="11"/>
  <c r="H904" i="11"/>
  <c r="G905" i="11"/>
  <c r="H905" i="11"/>
  <c r="G906" i="11"/>
  <c r="H906" i="11"/>
  <c r="G907" i="11"/>
  <c r="H907" i="11"/>
  <c r="G908" i="11"/>
  <c r="H908" i="11"/>
  <c r="G909" i="11"/>
  <c r="H909" i="11"/>
  <c r="G910" i="11"/>
  <c r="H910" i="11"/>
  <c r="G911" i="11"/>
  <c r="H911" i="11"/>
  <c r="G912" i="11"/>
  <c r="H912" i="11"/>
  <c r="G913" i="11"/>
  <c r="H913" i="11"/>
  <c r="G914" i="11"/>
  <c r="H914" i="11"/>
  <c r="G915" i="11"/>
  <c r="H915" i="11"/>
  <c r="G916" i="11"/>
  <c r="H916" i="11"/>
  <c r="G917" i="11"/>
  <c r="H917" i="11"/>
  <c r="G918" i="11"/>
  <c r="H918" i="11"/>
  <c r="G919" i="11"/>
  <c r="H919" i="11"/>
  <c r="G920" i="11"/>
  <c r="H920" i="11"/>
  <c r="G921" i="11"/>
  <c r="H921" i="11"/>
  <c r="G922" i="11"/>
  <c r="H922" i="11"/>
  <c r="G923" i="11"/>
  <c r="H923" i="11"/>
  <c r="G924" i="11"/>
  <c r="H924" i="11"/>
  <c r="G925" i="11"/>
  <c r="H925" i="11"/>
  <c r="G926" i="11"/>
  <c r="H926" i="11"/>
  <c r="G927" i="11"/>
  <c r="H927" i="11"/>
  <c r="G928" i="11"/>
  <c r="H928" i="11"/>
  <c r="G929" i="11"/>
  <c r="H929" i="11"/>
  <c r="G930" i="11"/>
  <c r="H930" i="11"/>
  <c r="G931" i="11"/>
  <c r="H931" i="11"/>
  <c r="G932" i="11"/>
  <c r="H932" i="11"/>
  <c r="G933" i="11"/>
  <c r="H933" i="11"/>
  <c r="G934" i="11"/>
  <c r="H934" i="11"/>
  <c r="G935" i="11"/>
  <c r="H935" i="11"/>
  <c r="G936" i="11"/>
  <c r="H936" i="11"/>
  <c r="G937" i="11"/>
  <c r="H937" i="11"/>
  <c r="G938" i="11"/>
  <c r="H938" i="11"/>
  <c r="G939" i="11"/>
  <c r="H939" i="11"/>
  <c r="G940" i="11"/>
  <c r="H940" i="11"/>
  <c r="G941" i="11"/>
  <c r="H941" i="11"/>
  <c r="G942" i="11"/>
  <c r="H942" i="11"/>
  <c r="G943" i="11"/>
  <c r="H943" i="11"/>
  <c r="G944" i="11"/>
  <c r="H944" i="11"/>
  <c r="G945" i="11"/>
  <c r="H945" i="11"/>
  <c r="G946" i="11"/>
  <c r="H946" i="11"/>
  <c r="G947" i="11"/>
  <c r="H947" i="11"/>
  <c r="G948" i="11"/>
  <c r="H948" i="11"/>
  <c r="G949" i="11"/>
  <c r="H949" i="11"/>
  <c r="G950" i="11"/>
  <c r="H950" i="11"/>
  <c r="G951" i="11"/>
  <c r="H951" i="11"/>
  <c r="G952" i="11"/>
  <c r="H952" i="11"/>
  <c r="G953" i="11"/>
  <c r="H953" i="11"/>
  <c r="G954" i="11"/>
  <c r="H954" i="11"/>
  <c r="G955" i="11"/>
  <c r="H955" i="11"/>
  <c r="G956" i="11"/>
  <c r="H956" i="11"/>
  <c r="G957" i="11"/>
  <c r="H957" i="11"/>
  <c r="G958" i="11"/>
  <c r="H958" i="11"/>
  <c r="G959" i="11"/>
  <c r="H959" i="11"/>
  <c r="G960" i="11"/>
  <c r="H960" i="11"/>
  <c r="G961" i="11"/>
  <c r="H961" i="11"/>
  <c r="G962" i="11"/>
  <c r="H962" i="11"/>
  <c r="G963" i="11"/>
  <c r="H963" i="11"/>
  <c r="G964" i="11"/>
  <c r="H964" i="11"/>
  <c r="G965" i="11"/>
  <c r="H965" i="11"/>
  <c r="G966" i="11"/>
  <c r="H966" i="11"/>
  <c r="G967" i="11"/>
  <c r="H967" i="11"/>
  <c r="G968" i="11"/>
  <c r="H968" i="11"/>
  <c r="G969" i="11"/>
  <c r="H969" i="11"/>
  <c r="G970" i="11"/>
  <c r="H970" i="11"/>
  <c r="G971" i="11"/>
  <c r="H971" i="11"/>
  <c r="G972" i="11"/>
  <c r="H972" i="11"/>
  <c r="G973" i="11"/>
  <c r="H973" i="11"/>
  <c r="G974" i="11"/>
  <c r="H974" i="11"/>
  <c r="G975" i="11"/>
  <c r="H975" i="11"/>
  <c r="G976" i="11"/>
  <c r="H976" i="11"/>
  <c r="G977" i="11"/>
  <c r="H977" i="11"/>
  <c r="G978" i="11"/>
  <c r="H978" i="11"/>
  <c r="G979" i="11"/>
  <c r="H979" i="11"/>
  <c r="G980" i="11"/>
  <c r="H980" i="11"/>
  <c r="G981" i="11"/>
  <c r="H981" i="11"/>
  <c r="G982" i="11"/>
  <c r="H982" i="11"/>
  <c r="G983" i="11"/>
  <c r="H983" i="11"/>
  <c r="G984" i="11"/>
  <c r="H984" i="11"/>
  <c r="G985" i="11"/>
  <c r="H985" i="11"/>
  <c r="G986" i="11"/>
  <c r="H986" i="11"/>
  <c r="G987" i="11"/>
  <c r="H987" i="11"/>
  <c r="G988" i="11"/>
  <c r="H988" i="11"/>
  <c r="G989" i="11"/>
  <c r="H989" i="11"/>
  <c r="G990" i="11"/>
  <c r="H990" i="11"/>
  <c r="G991" i="11"/>
  <c r="H991" i="11"/>
  <c r="G992" i="11"/>
  <c r="H992" i="11"/>
  <c r="G993" i="11"/>
  <c r="H993" i="11"/>
  <c r="G994" i="11"/>
  <c r="H994" i="11"/>
  <c r="G995" i="11"/>
  <c r="H995" i="11"/>
  <c r="G996" i="11"/>
  <c r="H996" i="11"/>
  <c r="G997" i="11"/>
  <c r="H997" i="11"/>
  <c r="G998" i="11"/>
  <c r="H998" i="11"/>
  <c r="G999" i="11"/>
  <c r="H999" i="11"/>
  <c r="G1000" i="11"/>
  <c r="H1000" i="11"/>
  <c r="G1001" i="11"/>
  <c r="H1001" i="11"/>
  <c r="G1002" i="11"/>
  <c r="H1002" i="11"/>
  <c r="G1003" i="11"/>
  <c r="H1003" i="11"/>
  <c r="G1004" i="11"/>
  <c r="H1004" i="11"/>
  <c r="G1005" i="11"/>
  <c r="H1005" i="11"/>
  <c r="G1006" i="11"/>
  <c r="H1006" i="11"/>
  <c r="G1007" i="11"/>
  <c r="H1007" i="11"/>
  <c r="G1008" i="11"/>
  <c r="H1008" i="11"/>
  <c r="G1009" i="11"/>
  <c r="H1009" i="11"/>
  <c r="G1010" i="11"/>
  <c r="H1010" i="11"/>
  <c r="G1011" i="11"/>
  <c r="H1011" i="11"/>
  <c r="G1012" i="11"/>
  <c r="H1012" i="11"/>
  <c r="G1013" i="11"/>
  <c r="H1013" i="11"/>
  <c r="G1014" i="11"/>
  <c r="H1014" i="11"/>
  <c r="G1015" i="11"/>
  <c r="H1015" i="11"/>
  <c r="G1016" i="11"/>
  <c r="H1016" i="11"/>
  <c r="G1017" i="11"/>
  <c r="H1017" i="11"/>
  <c r="G1018" i="11"/>
  <c r="H1018" i="11"/>
  <c r="G1019" i="11"/>
  <c r="H1019" i="11"/>
  <c r="G1020" i="11"/>
  <c r="H1020" i="11"/>
  <c r="G1021" i="11"/>
  <c r="H1021" i="11"/>
  <c r="G1022" i="11"/>
  <c r="H1022" i="11"/>
  <c r="G1023" i="11"/>
  <c r="H1023" i="11"/>
  <c r="G1024" i="11"/>
  <c r="H1024" i="11"/>
  <c r="G1025" i="11"/>
  <c r="H1025" i="11"/>
  <c r="G1026" i="11"/>
  <c r="H1026" i="11"/>
  <c r="G1027" i="11"/>
  <c r="H1027" i="11"/>
  <c r="G1028" i="11"/>
  <c r="H1028" i="11"/>
  <c r="G1029" i="11"/>
  <c r="H1029" i="11"/>
  <c r="G1030" i="11"/>
  <c r="H1030" i="11"/>
  <c r="G1031" i="11"/>
  <c r="H1031" i="11"/>
  <c r="G1032" i="11"/>
  <c r="H1032" i="11"/>
  <c r="G1033" i="11"/>
  <c r="H1033" i="11"/>
  <c r="G1034" i="11"/>
  <c r="H1034" i="11"/>
  <c r="G1035" i="11"/>
  <c r="H1035" i="11"/>
  <c r="G1036" i="11"/>
  <c r="H1036" i="11"/>
  <c r="G1037" i="11"/>
  <c r="H1037" i="11"/>
  <c r="G1038" i="11"/>
  <c r="H1038" i="11"/>
  <c r="G1039" i="11"/>
  <c r="H1039" i="11"/>
  <c r="G1040" i="11"/>
  <c r="H1040" i="11"/>
  <c r="G1041" i="11"/>
  <c r="H1041" i="11"/>
  <c r="G1042" i="11"/>
  <c r="H1042" i="11"/>
  <c r="G1043" i="11"/>
  <c r="H1043" i="11"/>
  <c r="G1044" i="11"/>
  <c r="H1044" i="11"/>
  <c r="G1045" i="11"/>
  <c r="H1045" i="11"/>
  <c r="G1046" i="11"/>
  <c r="H1046" i="11"/>
  <c r="G1047" i="11"/>
  <c r="H1047" i="11"/>
  <c r="G1048" i="11"/>
  <c r="H1048" i="11"/>
  <c r="G1049" i="11"/>
  <c r="H1049" i="11"/>
  <c r="G1050" i="11"/>
  <c r="H1050" i="11"/>
  <c r="G1051" i="11"/>
  <c r="H1051" i="11"/>
  <c r="G1052" i="11"/>
  <c r="H1052" i="11"/>
  <c r="G1053" i="11"/>
  <c r="H1053" i="11"/>
  <c r="G1054" i="11"/>
  <c r="H1054" i="11"/>
  <c r="G1055" i="11"/>
  <c r="H1055" i="11"/>
  <c r="G1056" i="11"/>
  <c r="H1056" i="11"/>
  <c r="G1057" i="11"/>
  <c r="H1057" i="11"/>
  <c r="G1058" i="11"/>
  <c r="H1058" i="11"/>
  <c r="G1059" i="11"/>
  <c r="H1059" i="11"/>
  <c r="G1060" i="11"/>
  <c r="H1060" i="11"/>
  <c r="G1061" i="11"/>
  <c r="H1061" i="11"/>
  <c r="G1062" i="11"/>
  <c r="H1062" i="11"/>
  <c r="G1063" i="11"/>
  <c r="H1063" i="11"/>
  <c r="G1064" i="11"/>
  <c r="H1064" i="11"/>
  <c r="G1065" i="11"/>
  <c r="H1065" i="11"/>
  <c r="G1066" i="11"/>
  <c r="H1066" i="11"/>
  <c r="G1067" i="11"/>
  <c r="H1067" i="11"/>
  <c r="G1068" i="11"/>
  <c r="H1068" i="11"/>
  <c r="G1069" i="11"/>
  <c r="H1069" i="11"/>
  <c r="G1070" i="11"/>
  <c r="H1070" i="11"/>
  <c r="G1071" i="11"/>
  <c r="H1071" i="11"/>
  <c r="G1072" i="11"/>
  <c r="H1072" i="11"/>
  <c r="G1073" i="11"/>
  <c r="H1073" i="11"/>
  <c r="G1074" i="11"/>
  <c r="H1074" i="11"/>
  <c r="G1075" i="11"/>
  <c r="H1075" i="11"/>
  <c r="G1076" i="11"/>
  <c r="H1076" i="11"/>
  <c r="G1077" i="11"/>
  <c r="H1077" i="11"/>
  <c r="G1078" i="11"/>
  <c r="H1078" i="11"/>
  <c r="G1079" i="11"/>
  <c r="H1079" i="11"/>
  <c r="G1080" i="11"/>
  <c r="H1080" i="11"/>
  <c r="G1081" i="11"/>
  <c r="H1081" i="11"/>
  <c r="G1082" i="11"/>
  <c r="H1082" i="11"/>
  <c r="G1083" i="11"/>
  <c r="H1083" i="11"/>
  <c r="G1084" i="11"/>
  <c r="H1084" i="11"/>
  <c r="G1085" i="11"/>
  <c r="H1085" i="11"/>
  <c r="G1086" i="11"/>
  <c r="H1086" i="11"/>
  <c r="G1087" i="11"/>
  <c r="H1087" i="11"/>
  <c r="G1088" i="11"/>
  <c r="H1088" i="11"/>
  <c r="G1089" i="11"/>
  <c r="H1089" i="11"/>
  <c r="G1090" i="11"/>
  <c r="H1090" i="11"/>
  <c r="G1091" i="11"/>
  <c r="H1091" i="11"/>
  <c r="G1092" i="11"/>
  <c r="H1092" i="11"/>
  <c r="G1093" i="11"/>
  <c r="H1093" i="11"/>
  <c r="G1094" i="11"/>
  <c r="H1094" i="11"/>
  <c r="G1095" i="11"/>
  <c r="H1095" i="11"/>
  <c r="G1096" i="11"/>
  <c r="H1096" i="11"/>
  <c r="G1097" i="11"/>
  <c r="H1097" i="11"/>
  <c r="G1098" i="11"/>
  <c r="H1098" i="11"/>
  <c r="G1099" i="11"/>
  <c r="H1099" i="11"/>
  <c r="G1100" i="11"/>
  <c r="H1100" i="11"/>
  <c r="G1101" i="11"/>
  <c r="H1101" i="11"/>
  <c r="G1102" i="11"/>
  <c r="H1102" i="11"/>
  <c r="G1103" i="11"/>
  <c r="H1103" i="11"/>
  <c r="G1104" i="11"/>
  <c r="H1104" i="11"/>
  <c r="G1105" i="11"/>
  <c r="H1105" i="11"/>
  <c r="G1106" i="11"/>
  <c r="H1106" i="11"/>
  <c r="G1107" i="11"/>
  <c r="H1107" i="11"/>
  <c r="G1108" i="11"/>
  <c r="H1108" i="11"/>
  <c r="G1109" i="11"/>
  <c r="H1109" i="11"/>
  <c r="G1110" i="11"/>
  <c r="H1110" i="11"/>
  <c r="G1111" i="11"/>
  <c r="H1111" i="11"/>
  <c r="G1112" i="11"/>
  <c r="H1112" i="11"/>
  <c r="G1113" i="11"/>
  <c r="H1113" i="11"/>
  <c r="G1114" i="11"/>
  <c r="H1114" i="11"/>
  <c r="G1115" i="11"/>
  <c r="H1115" i="11"/>
  <c r="G1116" i="11"/>
  <c r="H1116" i="11"/>
  <c r="G1117" i="11"/>
  <c r="H1117" i="11"/>
  <c r="G1118" i="11"/>
  <c r="H1118" i="11"/>
  <c r="G1119" i="11"/>
  <c r="H1119" i="11"/>
  <c r="G1120" i="11"/>
  <c r="H1120" i="11"/>
  <c r="G1121" i="11"/>
  <c r="H1121" i="11"/>
  <c r="G1122" i="11"/>
  <c r="H1122" i="11"/>
  <c r="G1123" i="11"/>
  <c r="H1123" i="11"/>
  <c r="G1124" i="11"/>
  <c r="H1124" i="11"/>
  <c r="G1125" i="11"/>
  <c r="H1125" i="11"/>
  <c r="G1126" i="11"/>
  <c r="H1126" i="11"/>
  <c r="G1127" i="11"/>
  <c r="H1127" i="11"/>
  <c r="G1128" i="11"/>
  <c r="H1128" i="11"/>
  <c r="G1129" i="11"/>
  <c r="H1129" i="11"/>
  <c r="G1130" i="11"/>
  <c r="H1130" i="11"/>
  <c r="G1131" i="11"/>
  <c r="H1131" i="11"/>
  <c r="G1132" i="11"/>
  <c r="H1132" i="11"/>
  <c r="G1133" i="11"/>
  <c r="H1133" i="11"/>
  <c r="G1134" i="11"/>
  <c r="H1134" i="11"/>
  <c r="G1135" i="11"/>
  <c r="H1135" i="11"/>
  <c r="G1136" i="11"/>
  <c r="H1136" i="11"/>
  <c r="G1137" i="11"/>
  <c r="H1137" i="11"/>
  <c r="G1138" i="11"/>
  <c r="H1138" i="11"/>
  <c r="G1139" i="11"/>
  <c r="H1139" i="11"/>
  <c r="G1140" i="11"/>
  <c r="H1140" i="11"/>
  <c r="G1141" i="11"/>
  <c r="H1141" i="11"/>
  <c r="G1142" i="11"/>
  <c r="H1142" i="11"/>
  <c r="G1143" i="11"/>
  <c r="H1143" i="11"/>
  <c r="G1144" i="11"/>
  <c r="H1144" i="11"/>
  <c r="G1145" i="11"/>
  <c r="H1145" i="11"/>
  <c r="G1146" i="11"/>
  <c r="H1146" i="11"/>
  <c r="G1147" i="11"/>
  <c r="H1147" i="11"/>
  <c r="G1148" i="11"/>
  <c r="H1148" i="11"/>
  <c r="G1149" i="11"/>
  <c r="H1149" i="11"/>
  <c r="G1150" i="11"/>
  <c r="H1150" i="11"/>
  <c r="G1151" i="11"/>
  <c r="H1151" i="11"/>
  <c r="G1152" i="11"/>
  <c r="H1152" i="11"/>
  <c r="G1153" i="11"/>
  <c r="H1153" i="11"/>
  <c r="G1154" i="11"/>
  <c r="H1154" i="11"/>
  <c r="G1155" i="11"/>
  <c r="H1155" i="11"/>
  <c r="G1156" i="11"/>
  <c r="H1156" i="11"/>
  <c r="G1157" i="11"/>
  <c r="H1157" i="11"/>
  <c r="G1158" i="11"/>
  <c r="H1158" i="11"/>
  <c r="G1159" i="11"/>
  <c r="H1159" i="11"/>
  <c r="G1160" i="11"/>
  <c r="H1160" i="11"/>
  <c r="G1161" i="11"/>
  <c r="H1161" i="11"/>
  <c r="G1162" i="11"/>
  <c r="H1162" i="11"/>
  <c r="G1163" i="11"/>
  <c r="H1163" i="11"/>
  <c r="G1164" i="11"/>
  <c r="H1164" i="11"/>
  <c r="G1165" i="11"/>
  <c r="H1165" i="11"/>
  <c r="G1166" i="11"/>
  <c r="H1166" i="11"/>
  <c r="G1167" i="11"/>
  <c r="H1167" i="11"/>
  <c r="G1168" i="11"/>
  <c r="H1168" i="11"/>
  <c r="G1169" i="11"/>
  <c r="H1169" i="11"/>
  <c r="G1170" i="11"/>
  <c r="H1170" i="11"/>
  <c r="G1171" i="11"/>
  <c r="H1171" i="11"/>
  <c r="G1172" i="11"/>
  <c r="H1172" i="11"/>
  <c r="G1173" i="11"/>
  <c r="H1173" i="11"/>
  <c r="G1174" i="11"/>
  <c r="H1174" i="11"/>
  <c r="G1175" i="11"/>
  <c r="H1175" i="11"/>
  <c r="G1176" i="11"/>
  <c r="H1176" i="11"/>
  <c r="G1177" i="11"/>
  <c r="H1177" i="11"/>
  <c r="G1178" i="11"/>
  <c r="H1178" i="11"/>
  <c r="G1179" i="11"/>
  <c r="H1179" i="11"/>
  <c r="G1180" i="11"/>
  <c r="H1180" i="11"/>
  <c r="G1181" i="11"/>
  <c r="H1181" i="11"/>
  <c r="G1182" i="11"/>
  <c r="H1182" i="11"/>
  <c r="G1183" i="11"/>
  <c r="H1183" i="11"/>
  <c r="G1184" i="11"/>
  <c r="H1184" i="11"/>
  <c r="G1185" i="11"/>
  <c r="H1185" i="11"/>
  <c r="G1186" i="11"/>
  <c r="H1186" i="11"/>
  <c r="G1187" i="11"/>
  <c r="H1187" i="11"/>
  <c r="G1188" i="11"/>
  <c r="H1188" i="11"/>
  <c r="G1189" i="11"/>
  <c r="H1189" i="11"/>
  <c r="G1190" i="11"/>
  <c r="H1190" i="11"/>
  <c r="G1191" i="11"/>
  <c r="H1191" i="11"/>
  <c r="G1192" i="11"/>
  <c r="H1192" i="11"/>
  <c r="G1193" i="11"/>
  <c r="H1193" i="11"/>
  <c r="G1194" i="11"/>
  <c r="H1194" i="11"/>
  <c r="G1195" i="11"/>
  <c r="H1195" i="11"/>
  <c r="G1196" i="11"/>
  <c r="H1196" i="11"/>
  <c r="G1197" i="11"/>
  <c r="H1197" i="11"/>
  <c r="G1198" i="11"/>
  <c r="H1198" i="11"/>
  <c r="G1199" i="11"/>
  <c r="H1199" i="11"/>
  <c r="G1200" i="11"/>
  <c r="H1200" i="11"/>
  <c r="G1201" i="11"/>
  <c r="H1201" i="11"/>
  <c r="G1202" i="11"/>
  <c r="H1202" i="11"/>
  <c r="G1203" i="11"/>
  <c r="H1203" i="11"/>
  <c r="G1204" i="11"/>
  <c r="H1204" i="11"/>
  <c r="G1205" i="11"/>
  <c r="H1205" i="11"/>
  <c r="G1206" i="11"/>
  <c r="H1206" i="11"/>
  <c r="G1207" i="11"/>
  <c r="H1207" i="11"/>
  <c r="G1208" i="11"/>
  <c r="H1208" i="11"/>
  <c r="G1209" i="11"/>
  <c r="H1209" i="11"/>
  <c r="G1210" i="11"/>
  <c r="H1210" i="11"/>
  <c r="G1211" i="11"/>
  <c r="H1211" i="11"/>
  <c r="G1212" i="11"/>
  <c r="H1212" i="11"/>
  <c r="G1213" i="11"/>
  <c r="H1213" i="11"/>
  <c r="G1214" i="11"/>
  <c r="H1214" i="11"/>
  <c r="G1215" i="11"/>
  <c r="H1215" i="11"/>
  <c r="G1216" i="11"/>
  <c r="H1216" i="11"/>
  <c r="G1217" i="11"/>
  <c r="H1217" i="11"/>
  <c r="G1218" i="11"/>
  <c r="H1218" i="11"/>
  <c r="G1219" i="11"/>
  <c r="H1219" i="11"/>
  <c r="G1220" i="11"/>
  <c r="H1220" i="11"/>
  <c r="G1221" i="11"/>
  <c r="H1221" i="11"/>
  <c r="G1222" i="11"/>
  <c r="H1222" i="11"/>
  <c r="G1223" i="11"/>
  <c r="H1223" i="11"/>
  <c r="G1224" i="11"/>
  <c r="H1224" i="11"/>
  <c r="G1225" i="11"/>
  <c r="H1225" i="11"/>
  <c r="G1226" i="11"/>
  <c r="H1226" i="11"/>
  <c r="G1227" i="11"/>
  <c r="H1227" i="11"/>
  <c r="G1228" i="11"/>
  <c r="H1228" i="11"/>
  <c r="G1229" i="11"/>
  <c r="H1229" i="11"/>
  <c r="G1230" i="11"/>
  <c r="H1230" i="11"/>
  <c r="G1231" i="11"/>
  <c r="H1231" i="11"/>
  <c r="G1232" i="11"/>
  <c r="H1232" i="11"/>
  <c r="G1233" i="11"/>
  <c r="H1233" i="11"/>
  <c r="G1234" i="11"/>
  <c r="H1234" i="11"/>
  <c r="G1235" i="11"/>
  <c r="H1235" i="11"/>
  <c r="G1236" i="11"/>
  <c r="H1236" i="11"/>
  <c r="G1237" i="11"/>
  <c r="H1237" i="11"/>
  <c r="G1238" i="11"/>
  <c r="H1238" i="11"/>
  <c r="G1239" i="11"/>
  <c r="H1239" i="11"/>
  <c r="G1240" i="11"/>
  <c r="H1240" i="11"/>
  <c r="G1241" i="11"/>
  <c r="H1241" i="11"/>
  <c r="G1242" i="11"/>
  <c r="H1242" i="11"/>
  <c r="G1243" i="11"/>
  <c r="H1243" i="11"/>
  <c r="G1244" i="11"/>
  <c r="H1244" i="11"/>
  <c r="G1245" i="11"/>
  <c r="H1245" i="11"/>
  <c r="G1246" i="11"/>
  <c r="H1246" i="11"/>
  <c r="G1247" i="11"/>
  <c r="H1247" i="11"/>
  <c r="G1248" i="11"/>
  <c r="H1248" i="11"/>
  <c r="G1249" i="11"/>
  <c r="H1249" i="11"/>
  <c r="G1250" i="11"/>
  <c r="H1250" i="11"/>
  <c r="G1251" i="11"/>
  <c r="H1251" i="11"/>
  <c r="G1252" i="11"/>
  <c r="H1252" i="11"/>
  <c r="G1253" i="11"/>
  <c r="H1253" i="11"/>
  <c r="G1254" i="11"/>
  <c r="H1254" i="11"/>
  <c r="G1255" i="11"/>
  <c r="H1255" i="11"/>
  <c r="G1256" i="11"/>
  <c r="H1256" i="11"/>
  <c r="G1257" i="11"/>
  <c r="H1257" i="11"/>
  <c r="G1258" i="11"/>
  <c r="H1258" i="11"/>
  <c r="G1259" i="11"/>
  <c r="H1259" i="11"/>
  <c r="G1260" i="11"/>
  <c r="H1260" i="11"/>
  <c r="G1261" i="11"/>
  <c r="H1261" i="11"/>
  <c r="G1262" i="11"/>
  <c r="H1262" i="11"/>
  <c r="G1263" i="11"/>
  <c r="H1263" i="11"/>
  <c r="G1264" i="11"/>
  <c r="H1264" i="11"/>
  <c r="G1265" i="11"/>
  <c r="H1265" i="11"/>
  <c r="G1266" i="11"/>
  <c r="H1266" i="11"/>
  <c r="G1267" i="11"/>
  <c r="H1267" i="11"/>
  <c r="G1268" i="11"/>
  <c r="H1268" i="11"/>
  <c r="G1269" i="11"/>
  <c r="H1269" i="11"/>
  <c r="G1270" i="11"/>
  <c r="H1270" i="11"/>
  <c r="G1271" i="11"/>
  <c r="H1271" i="11"/>
  <c r="G1272" i="11"/>
  <c r="H1272" i="11"/>
  <c r="G1273" i="11"/>
  <c r="H1273" i="11"/>
  <c r="G1274" i="11"/>
  <c r="H1274" i="11"/>
  <c r="G1275" i="11"/>
  <c r="H1275" i="11"/>
  <c r="G1276" i="11"/>
  <c r="H1276" i="11"/>
  <c r="G1277" i="11"/>
  <c r="H1277" i="11"/>
  <c r="G1278" i="11"/>
  <c r="H1278" i="11"/>
  <c r="G1279" i="11"/>
  <c r="H1279" i="11"/>
  <c r="G1280" i="11"/>
  <c r="H1280" i="11"/>
  <c r="G1281" i="11"/>
  <c r="H1281" i="11"/>
  <c r="G1282" i="11"/>
  <c r="H1282" i="11"/>
  <c r="G1283" i="11"/>
  <c r="H1283" i="11"/>
  <c r="G1284" i="11"/>
  <c r="H1284" i="11"/>
  <c r="G1285" i="11"/>
  <c r="H1285" i="11"/>
  <c r="G1286" i="11"/>
  <c r="H1286" i="11"/>
  <c r="G1287" i="11"/>
  <c r="H1287" i="11"/>
  <c r="G1288" i="11"/>
  <c r="H1288" i="11"/>
  <c r="G1289" i="11"/>
  <c r="H1289" i="11"/>
  <c r="G1290" i="11"/>
  <c r="H1290" i="11"/>
  <c r="G1291" i="11"/>
  <c r="H1291" i="11"/>
  <c r="G1292" i="11"/>
  <c r="H1292" i="11"/>
  <c r="G1293" i="11"/>
  <c r="H1293" i="11"/>
  <c r="G1294" i="11"/>
  <c r="H1294" i="11"/>
  <c r="G1295" i="11"/>
  <c r="H1295" i="11"/>
  <c r="G1296" i="11"/>
  <c r="H1296" i="11"/>
  <c r="G1297" i="11"/>
  <c r="H1297" i="11"/>
  <c r="G1298" i="11"/>
  <c r="H1298" i="11"/>
  <c r="G1299" i="11"/>
  <c r="H1299" i="11"/>
  <c r="G1300" i="11"/>
  <c r="H1300" i="11"/>
  <c r="G1301" i="11"/>
  <c r="H1301" i="11"/>
  <c r="G1302" i="11"/>
  <c r="H1302" i="11"/>
  <c r="G1303" i="11"/>
  <c r="H1303" i="11"/>
  <c r="G1304" i="11"/>
  <c r="H1304" i="11"/>
  <c r="G1305" i="11"/>
  <c r="H1305" i="11"/>
  <c r="G1306" i="11"/>
  <c r="H1306" i="11"/>
  <c r="G1307" i="11"/>
  <c r="H1307" i="11"/>
  <c r="G1308" i="11"/>
  <c r="H1308" i="11"/>
  <c r="G1309" i="11"/>
  <c r="H1309" i="11"/>
  <c r="G1310" i="11"/>
  <c r="H1310" i="11"/>
  <c r="G1311" i="11"/>
  <c r="H1311" i="11"/>
  <c r="G1312" i="11"/>
  <c r="H1312" i="11"/>
  <c r="G1313" i="11"/>
  <c r="H1313" i="11"/>
  <c r="G1314" i="11"/>
  <c r="H1314" i="11"/>
  <c r="G1315" i="11"/>
  <c r="H1315" i="11"/>
  <c r="G1316" i="11"/>
  <c r="H1316" i="11"/>
  <c r="G1317" i="11"/>
  <c r="H1317" i="11"/>
  <c r="G1318" i="11"/>
  <c r="H1318" i="11"/>
  <c r="G1319" i="11"/>
  <c r="H1319" i="11"/>
  <c r="G1320" i="11"/>
  <c r="H1320" i="11"/>
  <c r="G1321" i="11"/>
  <c r="H1321" i="11"/>
  <c r="G1322" i="11"/>
  <c r="H1322" i="11"/>
  <c r="G1323" i="11"/>
  <c r="H1323" i="11"/>
  <c r="G1324" i="11"/>
  <c r="H1324" i="11"/>
  <c r="G1325" i="11"/>
  <c r="H1325" i="11"/>
  <c r="G1326" i="11"/>
  <c r="H1326" i="11"/>
  <c r="G1327" i="11"/>
  <c r="H1327" i="11"/>
  <c r="G1328" i="11"/>
  <c r="H1328" i="11"/>
  <c r="G1329" i="11"/>
  <c r="H1329" i="11"/>
  <c r="G1330" i="11"/>
  <c r="H1330" i="11"/>
  <c r="G1331" i="11"/>
  <c r="H1331" i="11"/>
  <c r="G1332" i="11"/>
  <c r="H1332" i="11"/>
  <c r="G1333" i="11"/>
  <c r="H1333" i="11"/>
  <c r="G1334" i="11"/>
  <c r="H1334" i="11"/>
  <c r="G1335" i="11"/>
  <c r="H1335" i="11"/>
  <c r="G1336" i="11"/>
  <c r="H1336" i="11"/>
  <c r="G1337" i="11"/>
  <c r="H1337" i="11"/>
  <c r="G1338" i="11"/>
  <c r="H1338" i="11"/>
  <c r="G1339" i="11"/>
  <c r="H1339" i="11"/>
  <c r="G1340" i="11"/>
  <c r="H1340" i="11"/>
  <c r="G1341" i="11"/>
  <c r="H1341" i="11"/>
  <c r="G1342" i="11"/>
  <c r="H1342" i="11"/>
  <c r="G1343" i="11"/>
  <c r="H1343" i="11"/>
  <c r="G1344" i="11"/>
  <c r="H1344" i="11"/>
  <c r="G1345" i="11"/>
  <c r="H1345" i="11"/>
  <c r="G1346" i="11"/>
  <c r="H1346" i="11"/>
  <c r="G1347" i="11"/>
  <c r="H1347" i="11"/>
  <c r="G1348" i="11"/>
  <c r="H1348" i="11"/>
  <c r="G1349" i="11"/>
  <c r="H1349" i="11"/>
  <c r="G1350" i="11"/>
  <c r="H1350" i="11"/>
  <c r="G1351" i="11"/>
  <c r="H1351" i="11"/>
  <c r="G1352" i="11"/>
  <c r="H1352" i="11"/>
  <c r="G1353" i="11"/>
  <c r="H1353" i="11"/>
  <c r="G1354" i="11"/>
  <c r="H1354" i="11"/>
  <c r="G1355" i="11"/>
  <c r="H1355" i="11"/>
  <c r="G1356" i="11"/>
  <c r="H1356" i="11"/>
  <c r="G1357" i="11"/>
  <c r="H1357" i="11"/>
  <c r="G1358" i="11"/>
  <c r="H1358" i="11"/>
  <c r="G1359" i="11"/>
  <c r="H1359" i="11"/>
  <c r="G1360" i="11"/>
  <c r="H1360" i="11"/>
  <c r="G1361" i="11"/>
  <c r="H1361" i="11"/>
  <c r="G1362" i="11"/>
  <c r="H1362" i="11"/>
  <c r="G1363" i="11"/>
  <c r="H1363" i="11"/>
  <c r="G1364" i="11"/>
  <c r="H1364" i="11"/>
  <c r="G1365" i="11"/>
  <c r="H1365" i="11"/>
  <c r="G1366" i="11"/>
  <c r="H1366" i="11"/>
  <c r="G1367" i="11"/>
  <c r="H1367" i="11"/>
  <c r="G1368" i="11"/>
  <c r="H1368" i="11"/>
  <c r="G1369" i="11"/>
  <c r="H1369" i="11"/>
  <c r="G1370" i="11"/>
  <c r="H1370" i="11"/>
  <c r="G1371" i="11"/>
  <c r="H1371" i="11"/>
  <c r="G1372" i="11"/>
  <c r="H1372" i="11"/>
  <c r="G1373" i="11"/>
  <c r="H1373" i="11"/>
  <c r="G1374" i="11"/>
  <c r="H1374" i="11"/>
  <c r="G1375" i="11"/>
  <c r="H1375" i="11"/>
  <c r="G1376" i="11"/>
  <c r="H1376" i="11"/>
  <c r="G1377" i="11"/>
  <c r="H1377" i="11"/>
  <c r="G1378" i="11"/>
  <c r="H1378" i="11"/>
  <c r="G1379" i="11"/>
  <c r="H1379" i="11"/>
  <c r="G1380" i="11"/>
  <c r="H1380" i="11"/>
  <c r="G1381" i="11"/>
  <c r="H1381" i="11"/>
  <c r="G1382" i="11"/>
  <c r="H1382" i="11"/>
  <c r="G1383" i="11"/>
  <c r="H1383" i="11"/>
  <c r="G1384" i="11"/>
  <c r="H1384" i="11"/>
  <c r="G1385" i="11"/>
  <c r="H1385" i="11"/>
  <c r="G1386" i="11"/>
  <c r="H1386" i="11"/>
  <c r="G1387" i="11"/>
  <c r="H1387" i="11"/>
  <c r="G1388" i="11"/>
  <c r="H1388" i="11"/>
  <c r="G1389" i="11"/>
  <c r="H1389" i="11"/>
  <c r="G1390" i="11"/>
  <c r="H1390" i="11"/>
  <c r="G1391" i="11"/>
  <c r="H1391" i="11"/>
  <c r="G1392" i="11"/>
  <c r="H1392" i="11"/>
  <c r="G1393" i="11"/>
  <c r="H1393" i="11"/>
  <c r="G1394" i="11"/>
  <c r="H1394" i="11"/>
  <c r="G1395" i="11"/>
  <c r="H1395" i="11"/>
  <c r="G1396" i="11"/>
  <c r="H1396" i="11"/>
  <c r="G1397" i="11"/>
  <c r="H1397" i="11"/>
  <c r="G1398" i="11"/>
  <c r="H1398" i="11"/>
  <c r="G1399" i="11"/>
  <c r="H1399" i="11"/>
  <c r="G1400" i="11"/>
  <c r="H1400" i="11"/>
  <c r="G1401" i="11"/>
  <c r="H1401" i="11"/>
  <c r="G1402" i="11"/>
  <c r="H1402" i="11"/>
  <c r="G1403" i="11"/>
  <c r="H1403" i="11"/>
  <c r="G1404" i="11"/>
  <c r="H1404" i="11"/>
  <c r="G1405" i="11"/>
  <c r="H1405" i="11"/>
  <c r="G1406" i="11"/>
  <c r="H1406" i="11"/>
  <c r="G1407" i="11"/>
  <c r="H1407" i="11"/>
  <c r="G1408" i="11"/>
  <c r="H1408" i="11"/>
  <c r="G1409" i="11"/>
  <c r="H1409" i="11"/>
  <c r="G1410" i="11"/>
  <c r="H1410" i="11"/>
  <c r="G1411" i="11"/>
  <c r="H1411" i="11"/>
  <c r="G1412" i="11"/>
  <c r="H1412" i="11"/>
  <c r="G1413" i="11"/>
  <c r="H1413" i="11"/>
  <c r="G1414" i="11"/>
  <c r="H1414" i="11"/>
  <c r="G1415" i="11"/>
  <c r="H1415" i="11"/>
  <c r="G1416" i="11"/>
  <c r="H1416" i="11"/>
  <c r="G1417" i="11"/>
  <c r="H1417" i="11"/>
  <c r="G1418" i="11"/>
  <c r="H1418" i="11"/>
  <c r="G1419" i="11"/>
  <c r="H1419" i="11"/>
  <c r="G1420" i="11"/>
  <c r="H1420" i="11"/>
  <c r="G1421" i="11"/>
  <c r="H1421" i="11"/>
  <c r="G1422" i="11"/>
  <c r="H1422" i="11"/>
  <c r="G1423" i="11"/>
  <c r="H1423" i="11"/>
  <c r="G1424" i="11"/>
  <c r="H1424" i="11"/>
  <c r="G1425" i="11"/>
  <c r="H1425" i="11"/>
  <c r="G1426" i="11"/>
  <c r="H1426" i="11"/>
  <c r="G1427" i="11"/>
  <c r="H1427" i="11"/>
  <c r="G1428" i="11"/>
  <c r="H1428" i="11"/>
  <c r="G1429" i="11"/>
  <c r="H1429" i="11"/>
  <c r="G1430" i="11"/>
  <c r="H1430" i="11"/>
  <c r="G1431" i="11"/>
  <c r="H1431" i="11"/>
  <c r="G1432" i="11"/>
  <c r="H1432" i="11"/>
  <c r="G1433" i="11"/>
  <c r="H1433" i="11"/>
  <c r="G1434" i="11"/>
  <c r="H1434" i="11"/>
  <c r="G1435" i="11"/>
  <c r="H1435" i="11"/>
  <c r="G1436" i="11"/>
  <c r="H1436" i="11"/>
  <c r="G1437" i="11"/>
  <c r="H1437" i="11"/>
  <c r="G1438" i="11"/>
  <c r="H1438" i="11"/>
  <c r="G1439" i="11"/>
  <c r="H1439" i="11"/>
  <c r="G1440" i="11"/>
  <c r="H1440" i="11"/>
  <c r="G1441" i="11"/>
  <c r="H1441" i="11"/>
  <c r="G1442" i="11"/>
  <c r="H1442" i="11"/>
  <c r="G1443" i="11"/>
  <c r="H1443" i="11"/>
  <c r="G1444" i="11"/>
  <c r="H1444" i="11"/>
  <c r="G1445" i="11"/>
  <c r="H1445" i="11"/>
  <c r="G1446" i="11"/>
  <c r="H1446" i="11"/>
  <c r="G1447" i="11"/>
  <c r="H1447" i="11"/>
  <c r="G1448" i="11"/>
  <c r="H1448" i="11"/>
  <c r="G1449" i="11"/>
  <c r="H1449" i="11"/>
  <c r="G1450" i="11"/>
  <c r="H1450" i="11"/>
  <c r="G1451" i="11"/>
  <c r="H1451" i="11"/>
  <c r="G1452" i="11"/>
  <c r="H1452" i="11"/>
  <c r="G1453" i="11"/>
  <c r="H1453" i="11"/>
  <c r="G1454" i="11"/>
  <c r="H1454" i="11"/>
  <c r="G1455" i="11"/>
  <c r="H1455" i="11"/>
  <c r="G1456" i="11"/>
  <c r="H1456" i="11"/>
  <c r="G1457" i="11"/>
  <c r="H1457" i="11"/>
  <c r="G1458" i="11"/>
  <c r="H1458" i="11"/>
  <c r="G1459" i="11"/>
  <c r="H1459" i="11"/>
  <c r="G1460" i="11"/>
  <c r="H1460" i="11"/>
  <c r="G1461" i="11"/>
  <c r="H1461" i="11"/>
  <c r="G1462" i="11"/>
  <c r="H1462" i="11"/>
  <c r="G1463" i="11"/>
  <c r="H1463" i="11"/>
  <c r="G1464" i="11"/>
  <c r="H1464" i="11"/>
  <c r="G1465" i="11"/>
  <c r="H1465" i="11"/>
  <c r="G1466" i="11"/>
  <c r="H1466" i="11"/>
  <c r="G1467" i="11"/>
  <c r="H1467" i="11"/>
  <c r="G1468" i="11"/>
  <c r="H1468" i="11"/>
  <c r="G1469" i="11"/>
  <c r="H1469" i="11"/>
  <c r="G1470" i="11"/>
  <c r="H1470" i="11"/>
  <c r="G1471" i="11"/>
  <c r="H1471" i="11"/>
  <c r="G1472" i="11"/>
  <c r="H1472" i="11"/>
  <c r="G1473" i="11"/>
  <c r="H1473" i="11"/>
  <c r="G1474" i="11"/>
  <c r="H1474" i="11"/>
  <c r="G1475" i="11"/>
  <c r="H1475" i="11"/>
  <c r="G1476" i="11"/>
  <c r="H1476" i="11"/>
  <c r="G1477" i="11"/>
  <c r="H1477" i="11"/>
  <c r="G1478" i="11"/>
  <c r="H1478" i="11"/>
  <c r="G1479" i="11"/>
  <c r="H1479" i="11"/>
  <c r="G1480" i="11"/>
  <c r="H1480" i="11"/>
  <c r="G1481" i="11"/>
  <c r="H1481" i="11"/>
  <c r="G1482" i="11"/>
  <c r="H1482" i="11"/>
  <c r="G1483" i="11"/>
  <c r="H1483" i="11"/>
  <c r="G1484" i="11"/>
  <c r="H1484" i="11"/>
  <c r="G1485" i="11"/>
  <c r="H1485" i="11"/>
  <c r="G1486" i="11"/>
  <c r="H1486" i="11"/>
  <c r="G1487" i="11"/>
  <c r="H1487" i="11"/>
  <c r="G1488" i="11"/>
  <c r="H1488" i="11"/>
  <c r="G1489" i="11"/>
  <c r="H1489" i="11"/>
  <c r="G1490" i="11"/>
  <c r="H1490" i="11"/>
  <c r="G1491" i="11"/>
  <c r="H1491" i="11"/>
  <c r="G1492" i="11"/>
  <c r="H1492" i="11"/>
  <c r="G1493" i="11"/>
  <c r="H1493" i="11"/>
  <c r="G1494" i="11"/>
  <c r="H1494" i="11"/>
  <c r="G1495" i="11"/>
  <c r="H1495" i="11"/>
  <c r="G1496" i="11"/>
  <c r="H1496" i="11"/>
  <c r="G1497" i="11"/>
  <c r="H1497" i="11"/>
  <c r="G1498" i="11"/>
  <c r="H1498" i="11"/>
  <c r="G1499" i="11"/>
  <c r="H1499" i="11"/>
  <c r="G1500" i="11"/>
  <c r="H1500" i="11"/>
  <c r="G1501" i="11"/>
  <c r="H1501" i="11"/>
  <c r="G1502" i="11"/>
  <c r="H1502" i="11"/>
  <c r="G1503" i="11"/>
  <c r="H1503" i="11"/>
  <c r="G1504" i="11"/>
  <c r="H1504" i="11"/>
  <c r="G1505" i="11"/>
  <c r="H1505" i="11"/>
  <c r="G1506" i="11"/>
  <c r="H1506" i="11"/>
  <c r="G1507" i="11"/>
  <c r="H1507" i="11"/>
  <c r="G1508" i="11"/>
  <c r="H1508" i="11"/>
  <c r="G1509" i="11"/>
  <c r="H1509" i="11"/>
  <c r="G1510" i="11"/>
  <c r="H1510" i="11"/>
  <c r="G1511" i="11"/>
  <c r="H1511" i="11"/>
  <c r="G1512" i="11"/>
  <c r="H1512" i="11"/>
  <c r="G1513" i="11"/>
  <c r="H1513" i="11"/>
  <c r="G1514" i="11"/>
  <c r="H1514" i="11"/>
  <c r="G1515" i="11"/>
  <c r="H1515" i="11"/>
  <c r="G1516" i="11"/>
  <c r="H1516" i="11"/>
  <c r="G1517" i="11"/>
  <c r="H1517" i="11"/>
  <c r="G1518" i="11"/>
  <c r="H1518" i="11"/>
  <c r="G1519" i="11"/>
  <c r="H1519" i="11"/>
  <c r="G1520" i="11"/>
  <c r="H1520" i="11"/>
  <c r="G1521" i="11"/>
  <c r="H1521" i="11"/>
  <c r="G1522" i="11"/>
  <c r="H1522" i="11"/>
  <c r="G1523" i="11"/>
  <c r="H1523" i="11"/>
  <c r="G1524" i="11"/>
  <c r="H1524" i="11"/>
  <c r="G1525" i="11"/>
  <c r="H1525" i="11"/>
  <c r="G1526" i="11"/>
  <c r="H1526" i="11"/>
  <c r="G1527" i="11"/>
  <c r="H1527" i="11"/>
  <c r="G1528" i="11"/>
  <c r="H1528" i="11"/>
  <c r="G1529" i="11"/>
  <c r="H1529" i="11"/>
  <c r="G1530" i="11"/>
  <c r="H1530" i="11"/>
  <c r="G1531" i="11"/>
  <c r="H1531" i="11"/>
  <c r="G1532" i="11"/>
  <c r="H1532" i="11"/>
  <c r="G1533" i="11"/>
  <c r="H1533" i="11"/>
  <c r="G1534" i="11"/>
  <c r="H1534" i="11"/>
  <c r="G1535" i="11"/>
  <c r="H1535" i="11"/>
  <c r="G1536" i="11"/>
  <c r="H1536" i="11"/>
  <c r="G1537" i="11"/>
  <c r="H1537" i="11"/>
  <c r="G1538" i="11"/>
  <c r="H1538" i="11"/>
  <c r="G1539" i="11"/>
  <c r="H1539" i="11"/>
  <c r="G1540" i="11"/>
  <c r="H1540" i="11"/>
  <c r="G1541" i="11"/>
  <c r="H1541" i="11"/>
  <c r="G1542" i="11"/>
  <c r="H1542" i="11"/>
  <c r="G1543" i="11"/>
  <c r="H1543" i="11"/>
  <c r="G1544" i="11"/>
  <c r="H1544" i="11"/>
  <c r="G1545" i="11"/>
  <c r="H1545" i="11"/>
  <c r="G1546" i="11"/>
  <c r="H1546" i="11"/>
  <c r="G1547" i="11"/>
  <c r="H1547" i="11"/>
  <c r="G1548" i="11"/>
  <c r="H1548" i="11"/>
  <c r="G1549" i="11"/>
  <c r="H1549" i="11"/>
  <c r="G1550" i="11"/>
  <c r="H1550" i="11"/>
  <c r="G1551" i="11"/>
  <c r="H1551" i="11"/>
  <c r="G1552" i="11"/>
  <c r="H1552" i="11"/>
  <c r="G1553" i="11"/>
  <c r="H1553" i="11"/>
  <c r="G1554" i="11"/>
  <c r="H1554" i="11"/>
  <c r="G1555" i="11"/>
  <c r="H1555" i="11"/>
  <c r="G1556" i="11"/>
  <c r="H1556" i="11"/>
  <c r="G1557" i="11"/>
  <c r="H1557" i="11"/>
  <c r="G1558" i="11"/>
  <c r="H1558" i="11"/>
  <c r="G1559" i="11"/>
  <c r="H1559" i="11"/>
  <c r="G1560" i="11"/>
  <c r="H1560" i="11"/>
  <c r="G1561" i="11"/>
  <c r="H1561" i="11"/>
  <c r="G1562" i="11"/>
  <c r="H1562" i="11"/>
  <c r="G1563" i="11"/>
  <c r="H1563" i="11"/>
  <c r="G1564" i="11"/>
  <c r="H1564" i="11"/>
  <c r="G1565" i="11"/>
  <c r="H1565" i="11"/>
  <c r="G1566" i="11"/>
  <c r="H1566" i="11"/>
  <c r="G1567" i="11"/>
  <c r="H1567" i="11"/>
  <c r="G1568" i="11"/>
  <c r="H1568" i="11"/>
  <c r="G1569" i="11"/>
  <c r="H1569" i="11"/>
  <c r="G1570" i="11"/>
  <c r="H1570" i="11"/>
  <c r="G1571" i="11"/>
  <c r="H1571" i="11"/>
  <c r="G1572" i="11"/>
  <c r="H1572" i="11"/>
  <c r="G1573" i="11"/>
  <c r="H1573" i="11"/>
  <c r="G1574" i="11"/>
  <c r="H1574" i="11"/>
  <c r="G1575" i="11"/>
  <c r="H1575" i="11"/>
  <c r="G1576" i="11"/>
  <c r="H1576" i="11"/>
  <c r="G1577" i="11"/>
  <c r="H1577" i="11"/>
  <c r="G1578" i="11"/>
  <c r="H1578" i="11"/>
  <c r="G1579" i="11"/>
  <c r="H1579" i="11"/>
  <c r="G1580" i="11"/>
  <c r="H1580" i="11"/>
  <c r="G1581" i="11"/>
  <c r="H1581" i="11"/>
  <c r="G1582" i="11"/>
  <c r="H1582" i="11"/>
  <c r="G1583" i="11"/>
  <c r="H1583" i="11"/>
  <c r="G1584" i="11"/>
  <c r="H1584" i="11"/>
  <c r="G1585" i="11"/>
  <c r="H1585" i="11"/>
  <c r="G1586" i="11"/>
  <c r="H1586" i="11"/>
  <c r="G1587" i="11"/>
  <c r="H1587" i="11"/>
  <c r="G1588" i="11"/>
  <c r="H1588" i="11"/>
  <c r="G1589" i="11"/>
  <c r="H1589" i="11"/>
  <c r="G1590" i="11"/>
  <c r="H1590" i="11"/>
  <c r="G1591" i="11"/>
  <c r="H1591" i="11"/>
  <c r="G1592" i="11"/>
  <c r="H1592" i="11"/>
  <c r="G1593" i="11"/>
  <c r="H1593" i="11"/>
  <c r="G1594" i="11"/>
  <c r="H1594" i="11"/>
  <c r="G1595" i="11"/>
  <c r="H1595" i="11"/>
  <c r="G1596" i="11"/>
  <c r="H1596" i="11"/>
  <c r="G1597" i="11"/>
  <c r="H1597" i="11"/>
  <c r="G1598" i="11"/>
  <c r="H1598" i="11"/>
  <c r="G1599" i="11"/>
  <c r="H1599" i="11"/>
  <c r="G1600" i="11"/>
  <c r="H1600" i="11"/>
  <c r="G1601" i="11"/>
  <c r="H1601" i="11"/>
  <c r="G1602" i="11"/>
  <c r="H1602" i="11"/>
  <c r="G1603" i="11"/>
  <c r="H1603" i="11"/>
  <c r="G1604" i="11"/>
  <c r="H1604" i="11"/>
  <c r="G1605" i="11"/>
  <c r="H1605" i="11"/>
  <c r="G1606" i="11"/>
  <c r="H1606" i="11"/>
  <c r="G1607" i="11"/>
  <c r="H1607" i="11"/>
  <c r="G1608" i="11"/>
  <c r="H1608" i="11"/>
  <c r="G1609" i="11"/>
  <c r="H1609" i="11"/>
  <c r="G1610" i="11"/>
  <c r="H1610" i="11"/>
  <c r="G1611" i="11"/>
  <c r="H1611" i="11"/>
  <c r="G1612" i="11"/>
  <c r="H1612" i="11"/>
  <c r="G1613" i="11"/>
  <c r="H1613" i="11"/>
  <c r="G1614" i="11"/>
  <c r="H1614" i="11"/>
  <c r="G1615" i="11"/>
  <c r="H1615" i="11"/>
  <c r="G1616" i="11"/>
  <c r="H1616" i="11"/>
  <c r="G1617" i="11"/>
  <c r="H1617" i="11"/>
  <c r="G1618" i="11"/>
  <c r="H1618" i="11"/>
  <c r="G1619" i="11"/>
  <c r="H1619" i="11"/>
  <c r="G1620" i="11"/>
  <c r="H1620" i="11"/>
  <c r="G1621" i="11"/>
  <c r="H1621" i="11"/>
  <c r="G1622" i="11"/>
  <c r="H1622" i="11"/>
  <c r="G1623" i="11"/>
  <c r="H1623" i="11"/>
  <c r="G1624" i="11"/>
  <c r="H1624" i="11"/>
  <c r="G1625" i="11"/>
  <c r="H1625" i="11"/>
  <c r="G1626" i="11"/>
  <c r="H1626" i="11"/>
  <c r="G1627" i="11"/>
  <c r="H1627" i="11"/>
  <c r="G1628" i="11"/>
  <c r="H1628" i="11"/>
  <c r="G1629" i="11"/>
  <c r="H1629" i="11"/>
  <c r="G1630" i="11"/>
  <c r="H1630" i="11"/>
  <c r="G1631" i="11"/>
  <c r="H1631" i="11"/>
  <c r="G1632" i="11"/>
  <c r="H1632" i="11"/>
  <c r="G1633" i="11"/>
  <c r="H1633" i="11"/>
  <c r="G1634" i="11"/>
  <c r="H1634" i="11"/>
  <c r="G1635" i="11"/>
  <c r="H1635" i="11"/>
  <c r="G1636" i="11"/>
  <c r="H1636" i="11"/>
  <c r="G1637" i="11"/>
  <c r="H1637" i="11"/>
  <c r="G1638" i="11"/>
  <c r="H1638" i="11"/>
  <c r="G1639" i="11"/>
  <c r="H1639" i="11"/>
  <c r="G1640" i="11"/>
  <c r="H1640" i="11"/>
  <c r="G1641" i="11"/>
  <c r="H1641" i="11"/>
  <c r="G1642" i="11"/>
  <c r="H1642" i="11"/>
  <c r="G1643" i="11"/>
  <c r="H1643" i="11"/>
  <c r="G1644" i="11"/>
  <c r="H1644" i="11"/>
  <c r="G1645" i="11"/>
  <c r="H1645" i="11"/>
  <c r="G1646" i="11"/>
  <c r="H1646" i="11"/>
  <c r="G1647" i="11"/>
  <c r="H1647" i="11"/>
  <c r="G1648" i="11"/>
  <c r="H1648" i="11"/>
  <c r="G1649" i="11"/>
  <c r="H1649" i="11"/>
  <c r="G1650" i="11"/>
  <c r="H1650" i="11"/>
  <c r="G1651" i="11"/>
  <c r="H1651" i="11"/>
  <c r="G1652" i="11"/>
  <c r="H1652" i="11"/>
  <c r="G1653" i="11"/>
  <c r="H1653" i="11"/>
  <c r="G1654" i="11"/>
  <c r="H1654" i="11"/>
  <c r="G1655" i="11"/>
  <c r="H1655" i="11"/>
  <c r="G1656" i="11"/>
  <c r="H1656" i="11"/>
  <c r="G1657" i="11"/>
  <c r="H1657" i="11"/>
  <c r="G1658" i="11"/>
  <c r="H1658" i="11"/>
  <c r="G1659" i="11"/>
  <c r="H1659" i="11"/>
  <c r="G1660" i="11"/>
  <c r="H1660" i="11"/>
  <c r="G1661" i="11"/>
  <c r="H1661" i="11"/>
  <c r="G1662" i="11"/>
  <c r="H1662" i="11"/>
  <c r="G1663" i="11"/>
  <c r="H1663" i="11"/>
  <c r="G1664" i="11"/>
  <c r="H1664" i="11"/>
  <c r="G1665" i="11"/>
  <c r="H1665" i="11"/>
  <c r="G1666" i="11"/>
  <c r="H1666" i="11"/>
  <c r="G1667" i="11"/>
  <c r="H1667" i="11"/>
  <c r="G1668" i="11"/>
  <c r="H1668" i="11"/>
  <c r="G1669" i="11"/>
  <c r="H1669" i="11"/>
  <c r="G1670" i="11"/>
  <c r="H1670" i="11"/>
  <c r="G1671" i="11"/>
  <c r="H1671" i="11"/>
  <c r="G1672" i="11"/>
  <c r="H1672" i="11"/>
  <c r="G1673" i="11"/>
  <c r="H1673" i="11"/>
  <c r="G1674" i="11"/>
  <c r="H1674" i="11"/>
  <c r="G1675" i="11"/>
  <c r="H1675" i="11"/>
  <c r="G1676" i="11"/>
  <c r="H1676" i="11"/>
  <c r="G1677" i="11"/>
  <c r="H1677" i="11"/>
  <c r="G1678" i="11"/>
  <c r="H1678" i="11"/>
  <c r="G1679" i="11"/>
  <c r="H1679" i="11"/>
  <c r="G1680" i="11"/>
  <c r="H1680" i="11"/>
  <c r="G1681" i="11"/>
  <c r="H1681" i="11"/>
  <c r="G1682" i="11"/>
  <c r="H1682" i="11"/>
  <c r="G1683" i="11"/>
  <c r="H1683" i="11"/>
  <c r="G1684" i="11"/>
  <c r="H1684" i="11"/>
  <c r="G1685" i="11"/>
  <c r="H1685" i="11"/>
  <c r="G1686" i="11"/>
  <c r="H1686" i="11"/>
  <c r="G1687" i="11"/>
  <c r="H1687" i="11"/>
  <c r="G1688" i="11"/>
  <c r="H1688" i="11"/>
  <c r="G1689" i="11"/>
  <c r="H1689" i="11"/>
  <c r="G1690" i="11"/>
  <c r="H1690" i="11"/>
  <c r="G1691" i="11"/>
  <c r="H1691" i="11"/>
  <c r="G1692" i="11"/>
  <c r="H1692" i="11"/>
  <c r="G1693" i="11"/>
  <c r="H1693" i="11"/>
  <c r="G1694" i="11"/>
  <c r="H1694" i="11"/>
  <c r="G1695" i="11"/>
  <c r="H1695" i="11"/>
  <c r="G1696" i="11"/>
  <c r="H1696" i="11"/>
  <c r="G1697" i="11"/>
  <c r="H1697" i="11"/>
  <c r="G1698" i="11"/>
  <c r="H1698" i="11"/>
  <c r="G1699" i="11"/>
  <c r="H1699" i="11"/>
  <c r="G1700" i="11"/>
  <c r="H1700" i="11"/>
  <c r="G1701" i="11"/>
  <c r="H1701" i="11"/>
  <c r="G1702" i="11"/>
  <c r="H1702" i="11"/>
  <c r="G1703" i="11"/>
  <c r="H1703" i="11"/>
  <c r="G1704" i="11"/>
  <c r="H1704" i="11"/>
  <c r="G1705" i="11"/>
  <c r="H1705" i="11"/>
  <c r="G1706" i="11"/>
  <c r="H1706" i="11"/>
  <c r="G1707" i="11"/>
  <c r="H1707" i="11"/>
  <c r="G1708" i="11"/>
  <c r="H1708" i="11"/>
  <c r="G1709" i="11"/>
  <c r="H1709" i="11"/>
  <c r="G1710" i="11"/>
  <c r="H1710" i="11"/>
  <c r="G1711" i="11"/>
  <c r="H1711" i="11"/>
  <c r="G1712" i="11"/>
  <c r="H1712" i="11"/>
  <c r="G1713" i="11"/>
  <c r="H1713" i="11"/>
  <c r="G1714" i="11"/>
  <c r="H1714" i="11"/>
  <c r="G1715" i="11"/>
  <c r="H1715" i="11"/>
  <c r="G1716" i="11"/>
  <c r="H1716" i="11"/>
  <c r="G1717" i="11"/>
  <c r="H1717" i="11"/>
  <c r="G1718" i="11"/>
  <c r="H1718" i="11"/>
  <c r="G1719" i="11"/>
  <c r="H1719" i="11"/>
  <c r="G1720" i="11"/>
  <c r="H1720" i="11"/>
  <c r="G1721" i="11"/>
  <c r="H1721" i="11"/>
  <c r="G1722" i="11"/>
  <c r="H1722" i="11"/>
  <c r="G1723" i="11"/>
  <c r="H1723" i="11"/>
  <c r="G1724" i="11"/>
  <c r="H1724" i="11"/>
  <c r="G1725" i="11"/>
  <c r="H1725" i="11"/>
  <c r="G1726" i="11"/>
  <c r="H1726" i="11"/>
  <c r="G1727" i="11"/>
  <c r="H1727" i="11"/>
  <c r="G1728" i="11"/>
  <c r="H1728" i="11"/>
  <c r="G1729" i="11"/>
  <c r="H1729" i="11"/>
  <c r="G1730" i="11"/>
  <c r="H1730" i="11"/>
  <c r="G1731" i="11"/>
  <c r="H1731" i="11"/>
  <c r="G1732" i="11"/>
  <c r="H1732" i="11"/>
  <c r="G1733" i="11"/>
  <c r="H1733" i="11"/>
  <c r="G1734" i="11"/>
  <c r="H1734" i="11"/>
  <c r="G1735" i="11"/>
  <c r="H1735" i="11"/>
  <c r="G1736" i="11"/>
  <c r="H1736" i="11"/>
  <c r="G1737" i="11"/>
  <c r="H1737" i="11"/>
  <c r="G1738" i="11"/>
  <c r="H1738" i="11"/>
  <c r="G1739" i="11"/>
  <c r="H1739" i="11"/>
  <c r="G1740" i="11"/>
  <c r="H1740" i="11"/>
  <c r="G1741" i="11"/>
  <c r="H1741" i="11"/>
  <c r="G1742" i="11"/>
  <c r="H1742" i="11"/>
  <c r="G1743" i="11"/>
  <c r="H1743" i="11"/>
  <c r="G1744" i="11"/>
  <c r="H1744" i="11"/>
  <c r="G1745" i="11"/>
  <c r="H1745" i="11"/>
  <c r="G1746" i="11"/>
  <c r="H1746" i="11"/>
  <c r="G1747" i="11"/>
  <c r="H1747" i="11"/>
  <c r="G1748" i="11"/>
  <c r="H1748" i="11"/>
  <c r="G1749" i="11"/>
  <c r="H1749" i="11"/>
  <c r="G1750" i="11"/>
  <c r="H1750" i="11"/>
  <c r="G1751" i="11"/>
  <c r="H1751" i="11"/>
  <c r="G1752" i="11"/>
  <c r="H1752" i="11"/>
  <c r="G1753" i="11"/>
  <c r="H1753" i="11"/>
  <c r="G1754" i="11"/>
  <c r="H1754" i="11"/>
  <c r="G1755" i="11"/>
  <c r="H1755" i="11"/>
  <c r="G1756" i="11"/>
  <c r="H1756" i="11"/>
  <c r="G1757" i="11"/>
  <c r="H1757" i="11"/>
  <c r="G1758" i="11"/>
  <c r="H1758" i="11"/>
  <c r="G1759" i="11"/>
  <c r="H1759" i="11"/>
  <c r="G1760" i="11"/>
  <c r="H1760" i="11"/>
  <c r="G1761" i="11"/>
  <c r="H1761" i="11"/>
  <c r="G1762" i="11"/>
  <c r="H1762" i="11"/>
  <c r="G1763" i="11"/>
  <c r="H1763" i="11"/>
  <c r="G1764" i="11"/>
  <c r="H1764" i="11"/>
  <c r="G1765" i="11"/>
  <c r="H1765" i="11"/>
  <c r="G1766" i="11"/>
  <c r="H1766" i="11"/>
  <c r="G1767" i="11"/>
  <c r="H1767" i="11"/>
  <c r="G1768" i="11"/>
  <c r="H1768" i="11"/>
  <c r="G1769" i="11"/>
  <c r="H1769" i="11"/>
  <c r="G1770" i="11"/>
  <c r="H1770" i="11"/>
  <c r="G1771" i="11"/>
  <c r="H1771" i="11"/>
  <c r="G1772" i="11"/>
  <c r="H1772" i="11"/>
  <c r="G1773" i="11"/>
  <c r="H1773" i="11"/>
  <c r="G1774" i="11"/>
  <c r="H1774" i="11"/>
  <c r="G1775" i="11"/>
  <c r="H1775" i="11"/>
  <c r="G1776" i="11"/>
  <c r="H1776" i="11"/>
  <c r="G1777" i="11"/>
  <c r="H1777" i="11"/>
  <c r="G1778" i="11"/>
  <c r="H1778" i="11"/>
  <c r="G1779" i="11"/>
  <c r="H1779" i="11"/>
  <c r="G1780" i="11"/>
  <c r="H1780" i="11"/>
  <c r="G1781" i="11"/>
  <c r="H1781" i="11"/>
  <c r="G1782" i="11"/>
  <c r="H1782" i="11"/>
  <c r="G1783" i="11"/>
  <c r="H1783" i="11"/>
  <c r="G1784" i="11"/>
  <c r="H1784" i="11"/>
  <c r="G1785" i="11"/>
  <c r="H1785" i="11"/>
  <c r="G1786" i="11"/>
  <c r="H1786" i="11"/>
  <c r="G1787" i="11"/>
  <c r="H1787" i="11"/>
  <c r="G1788" i="11"/>
  <c r="H1788" i="11"/>
  <c r="G1789" i="11"/>
  <c r="H1789" i="11"/>
  <c r="G1790" i="11"/>
  <c r="H1790" i="11"/>
  <c r="G1791" i="11"/>
  <c r="H1791" i="11"/>
  <c r="G1792" i="11"/>
  <c r="H1792" i="11"/>
  <c r="G1793" i="11"/>
  <c r="H1793" i="11"/>
  <c r="G1794" i="11"/>
  <c r="H1794" i="11"/>
  <c r="G1795" i="11"/>
  <c r="H1795" i="11"/>
  <c r="G1796" i="11"/>
  <c r="H1796" i="11"/>
  <c r="G1797" i="11"/>
  <c r="H1797" i="11"/>
  <c r="G1798" i="11"/>
  <c r="H1798" i="11"/>
  <c r="G1799" i="11"/>
  <c r="H1799" i="11"/>
  <c r="G1800" i="11"/>
  <c r="H1800" i="11"/>
  <c r="G1801" i="11"/>
  <c r="H1801" i="11"/>
  <c r="G1802" i="11"/>
  <c r="H1802" i="11"/>
  <c r="G1803" i="11"/>
  <c r="H1803" i="11"/>
  <c r="G1804" i="11"/>
  <c r="H1804" i="11"/>
  <c r="G1805" i="11"/>
  <c r="H1805" i="11"/>
  <c r="G1806" i="11"/>
  <c r="H1806" i="11"/>
  <c r="G1807" i="11"/>
  <c r="H1807" i="11"/>
  <c r="G1808" i="11"/>
  <c r="H1808" i="11"/>
  <c r="G1809" i="11"/>
  <c r="H1809" i="11"/>
  <c r="G1810" i="11"/>
  <c r="H1810" i="11"/>
  <c r="G1811" i="11"/>
  <c r="H1811" i="11"/>
  <c r="G1812" i="11"/>
  <c r="H1812" i="11"/>
  <c r="G1813" i="11"/>
  <c r="H1813" i="11"/>
  <c r="G1814" i="11"/>
  <c r="H1814" i="11"/>
  <c r="G1815" i="11"/>
  <c r="H1815" i="11"/>
  <c r="G1816" i="11"/>
  <c r="H1816" i="11"/>
  <c r="G1817" i="11"/>
  <c r="H1817" i="11"/>
  <c r="G1818" i="11"/>
  <c r="H1818" i="11"/>
  <c r="G1819" i="11"/>
  <c r="H1819" i="11"/>
  <c r="G1820" i="11"/>
  <c r="H1820" i="11"/>
  <c r="G1821" i="11"/>
  <c r="H1821" i="11"/>
  <c r="G1822" i="11"/>
  <c r="H1822" i="11"/>
  <c r="G1823" i="11"/>
  <c r="H1823" i="11"/>
  <c r="G1824" i="11"/>
  <c r="H1824" i="11"/>
  <c r="G1825" i="11"/>
  <c r="H1825" i="11"/>
  <c r="G1826" i="11"/>
  <c r="H1826" i="11"/>
  <c r="G1827" i="11"/>
  <c r="H1827" i="11"/>
  <c r="G1828" i="11"/>
  <c r="H1828" i="11"/>
  <c r="G1829" i="11"/>
  <c r="H1829" i="11"/>
  <c r="G1830" i="11"/>
  <c r="H1830" i="11"/>
  <c r="G1831" i="11"/>
  <c r="H1831" i="11"/>
  <c r="G1832" i="11"/>
  <c r="H1832" i="11"/>
  <c r="G1833" i="11"/>
  <c r="H1833" i="11"/>
  <c r="G1834" i="11"/>
  <c r="H1834" i="11"/>
  <c r="G1835" i="11"/>
  <c r="H1835" i="11"/>
  <c r="G1836" i="11"/>
  <c r="H1836" i="11"/>
  <c r="G1837" i="11"/>
  <c r="H1837" i="11"/>
  <c r="G1838" i="11"/>
  <c r="H1838" i="11"/>
  <c r="G1839" i="11"/>
  <c r="H1839" i="11"/>
  <c r="G1840" i="11"/>
  <c r="H1840" i="11"/>
  <c r="G1841" i="11"/>
  <c r="H1841" i="11"/>
  <c r="G1842" i="11"/>
  <c r="H1842" i="11"/>
  <c r="G1843" i="11"/>
  <c r="H1843" i="11"/>
  <c r="G1844" i="11"/>
  <c r="H1844" i="11"/>
  <c r="G1845" i="11"/>
  <c r="H1845" i="11"/>
  <c r="G1846" i="11"/>
  <c r="H1846" i="11"/>
  <c r="G1847" i="11"/>
  <c r="H1847" i="11"/>
  <c r="G1848" i="11"/>
  <c r="H1848" i="11"/>
  <c r="G1849" i="11"/>
  <c r="H1849" i="11"/>
  <c r="G1850" i="11"/>
  <c r="H1850" i="11"/>
  <c r="G1851" i="11"/>
  <c r="H1851" i="11"/>
  <c r="G1852" i="11"/>
  <c r="H1852" i="11"/>
  <c r="G1853" i="11"/>
  <c r="H1853" i="11"/>
  <c r="G1854" i="11"/>
  <c r="H1854" i="11"/>
  <c r="G1855" i="11"/>
  <c r="H1855" i="11"/>
  <c r="G1856" i="11"/>
  <c r="H1856" i="11"/>
  <c r="G1857" i="11"/>
  <c r="H1857" i="11"/>
  <c r="G1858" i="11"/>
  <c r="H1858" i="11"/>
  <c r="G1859" i="11"/>
  <c r="H1859" i="11"/>
  <c r="G1860" i="11"/>
  <c r="H1860" i="11"/>
  <c r="G1861" i="11"/>
  <c r="H1861" i="11"/>
  <c r="G1862" i="11"/>
  <c r="H1862" i="11"/>
  <c r="G1863" i="11"/>
  <c r="H1863" i="11"/>
  <c r="G1864" i="11"/>
  <c r="H1864" i="11"/>
  <c r="G1865" i="11"/>
  <c r="H1865" i="11"/>
  <c r="G1866" i="11"/>
  <c r="H1866" i="11"/>
  <c r="G1867" i="11"/>
  <c r="H1867" i="11"/>
  <c r="G1868" i="11"/>
  <c r="H1868" i="11"/>
  <c r="G1869" i="11"/>
  <c r="H1869" i="11"/>
  <c r="G1870" i="11"/>
  <c r="H1870" i="11"/>
  <c r="G1871" i="11"/>
  <c r="H1871" i="11"/>
  <c r="G1872" i="11"/>
  <c r="H1872" i="11"/>
  <c r="G1873" i="11"/>
  <c r="H1873" i="11"/>
  <c r="G1874" i="11"/>
  <c r="H1874" i="11"/>
  <c r="G1875" i="11"/>
  <c r="H1875" i="11"/>
  <c r="G1876" i="11"/>
  <c r="H1876" i="11"/>
  <c r="G1877" i="11"/>
  <c r="H1877" i="11"/>
  <c r="G1878" i="11"/>
  <c r="H1878" i="11"/>
  <c r="G1879" i="11"/>
  <c r="H1879" i="11"/>
  <c r="G1880" i="11"/>
  <c r="H1880" i="11"/>
  <c r="G1881" i="11"/>
  <c r="H1881" i="11"/>
  <c r="G1882" i="11"/>
  <c r="H1882" i="11"/>
  <c r="G1883" i="11"/>
  <c r="H1883" i="11"/>
  <c r="G1884" i="11"/>
  <c r="H1884" i="11"/>
  <c r="G1885" i="11"/>
  <c r="H1885" i="11"/>
  <c r="G1886" i="11"/>
  <c r="H1886" i="11"/>
  <c r="G1887" i="11"/>
  <c r="H1887" i="11"/>
  <c r="G1888" i="11"/>
  <c r="H1888" i="11"/>
  <c r="G1889" i="11"/>
  <c r="H1889" i="11"/>
  <c r="G1890" i="11"/>
  <c r="H1890" i="11"/>
  <c r="G1891" i="11"/>
  <c r="H1891" i="11"/>
  <c r="G1892" i="11"/>
  <c r="H1892" i="11"/>
  <c r="G1893" i="11"/>
  <c r="H1893" i="11"/>
  <c r="G1894" i="11"/>
  <c r="H1894" i="11"/>
  <c r="G1895" i="11"/>
  <c r="H1895" i="11"/>
  <c r="G1896" i="11"/>
  <c r="H1896" i="11"/>
  <c r="G1897" i="11"/>
  <c r="H1897" i="11"/>
  <c r="G1898" i="11"/>
  <c r="H1898" i="11"/>
  <c r="G1899" i="11"/>
  <c r="H1899" i="11"/>
  <c r="G1900" i="11"/>
  <c r="H1900" i="11"/>
  <c r="G1901" i="11"/>
  <c r="H1901" i="11"/>
  <c r="G1902" i="11"/>
  <c r="H1902" i="11"/>
  <c r="G1903" i="11"/>
  <c r="H1903" i="11"/>
  <c r="G1904" i="11"/>
  <c r="H1904" i="11"/>
  <c r="G1905" i="11"/>
  <c r="H1905" i="11"/>
  <c r="G1906" i="11"/>
  <c r="H1906" i="11"/>
  <c r="G1907" i="11"/>
  <c r="H1907" i="11"/>
  <c r="G1908" i="11"/>
  <c r="H1908" i="11"/>
  <c r="G1909" i="11"/>
  <c r="H1909" i="11"/>
  <c r="G1910" i="11"/>
  <c r="H1910" i="11"/>
  <c r="G1911" i="11"/>
  <c r="H1911" i="11"/>
  <c r="G1912" i="11"/>
  <c r="H1912" i="11"/>
  <c r="G1913" i="11"/>
  <c r="H1913" i="11"/>
  <c r="G1914" i="11"/>
  <c r="H1914" i="11"/>
  <c r="G1915" i="11"/>
  <c r="H1915" i="11"/>
  <c r="G1916" i="11"/>
  <c r="H1916" i="11"/>
  <c r="G1917" i="11"/>
  <c r="H1917" i="11"/>
  <c r="G1918" i="11"/>
  <c r="H1918" i="11"/>
  <c r="G1919" i="11"/>
  <c r="H1919" i="11"/>
  <c r="G1920" i="11"/>
  <c r="H1920" i="11"/>
  <c r="G1921" i="11"/>
  <c r="H1921" i="11"/>
  <c r="G1922" i="11"/>
  <c r="H1922" i="11"/>
  <c r="G1923" i="11"/>
  <c r="H1923" i="11"/>
  <c r="G1924" i="11"/>
  <c r="H1924" i="11"/>
  <c r="G1925" i="11"/>
  <c r="H1925" i="11"/>
  <c r="G1926" i="11"/>
  <c r="H1926" i="11"/>
  <c r="G1927" i="11"/>
  <c r="H1927" i="11"/>
  <c r="G1928" i="11"/>
  <c r="H1928" i="11"/>
  <c r="G1929" i="11"/>
  <c r="H1929" i="11"/>
  <c r="G1930" i="11"/>
  <c r="H1930" i="11"/>
  <c r="G1931" i="11"/>
  <c r="H1931" i="11"/>
  <c r="G1932" i="11"/>
  <c r="H1932" i="11"/>
  <c r="G1933" i="11"/>
  <c r="H1933" i="11"/>
  <c r="G1934" i="11"/>
  <c r="H1934" i="11"/>
  <c r="G1935" i="11"/>
  <c r="H1935" i="11"/>
  <c r="G1936" i="11"/>
  <c r="H1936" i="11"/>
  <c r="G1937" i="11"/>
  <c r="H1937" i="11"/>
  <c r="G1938" i="11"/>
  <c r="H1938" i="11"/>
  <c r="G1939" i="11"/>
  <c r="H1939" i="11"/>
  <c r="G1940" i="11"/>
  <c r="H1940" i="11"/>
  <c r="G1941" i="11"/>
  <c r="H1941" i="11"/>
  <c r="G1942" i="11"/>
  <c r="H1942" i="11"/>
  <c r="G1943" i="11"/>
  <c r="H1943" i="11"/>
  <c r="G1944" i="11"/>
  <c r="H1944" i="11"/>
  <c r="G1945" i="11"/>
  <c r="H1945" i="11"/>
  <c r="G1946" i="11"/>
  <c r="H1946" i="11"/>
  <c r="G1947" i="11"/>
  <c r="H1947" i="11"/>
  <c r="G1948" i="11"/>
  <c r="H1948" i="11"/>
  <c r="G1949" i="11"/>
  <c r="H1949" i="11"/>
  <c r="G1950" i="11"/>
  <c r="H1950" i="11"/>
  <c r="G1951" i="11"/>
  <c r="H1951" i="11"/>
  <c r="G1952" i="11"/>
  <c r="H1952" i="11"/>
  <c r="G1953" i="11"/>
  <c r="H1953" i="11"/>
  <c r="G1954" i="11"/>
  <c r="H1954" i="11"/>
  <c r="G1955" i="11"/>
  <c r="H1955" i="11"/>
  <c r="G1956" i="11"/>
  <c r="H1956" i="11"/>
  <c r="G1957" i="11"/>
  <c r="H1957" i="11"/>
  <c r="G1958" i="11"/>
  <c r="H1958" i="11"/>
  <c r="G1959" i="11"/>
  <c r="H1959" i="11"/>
  <c r="G1960" i="11"/>
  <c r="H1960" i="11"/>
  <c r="G1961" i="11"/>
  <c r="H1961" i="11"/>
  <c r="G1962" i="11"/>
  <c r="H1962" i="11"/>
  <c r="G1963" i="11"/>
  <c r="H1963" i="11"/>
  <c r="G1964" i="11"/>
  <c r="H1964" i="11"/>
  <c r="G1965" i="11"/>
  <c r="H1965" i="11"/>
  <c r="G1966" i="11"/>
  <c r="H1966" i="11"/>
  <c r="G1967" i="11"/>
  <c r="H1967" i="11"/>
  <c r="G1968" i="11"/>
  <c r="H1968" i="11"/>
  <c r="G1969" i="11"/>
  <c r="H1969" i="11"/>
  <c r="G1970" i="11"/>
  <c r="H1970" i="11"/>
  <c r="G1971" i="11"/>
  <c r="H1971" i="11"/>
  <c r="G1972" i="11"/>
  <c r="H1972" i="11"/>
  <c r="G1973" i="11"/>
  <c r="H1973" i="11"/>
  <c r="G1974" i="11"/>
  <c r="H1974" i="11"/>
  <c r="G1975" i="11"/>
  <c r="H1975" i="11"/>
  <c r="G1976" i="11"/>
  <c r="H1976" i="11"/>
  <c r="G1977" i="11"/>
  <c r="H1977" i="11"/>
  <c r="G1978" i="11"/>
  <c r="H1978" i="11"/>
  <c r="G1979" i="11"/>
  <c r="H1979" i="11"/>
  <c r="G1980" i="11"/>
  <c r="H1980" i="11"/>
  <c r="G1981" i="11"/>
  <c r="H1981" i="11"/>
  <c r="G1982" i="11"/>
  <c r="H1982" i="11"/>
  <c r="G1983" i="11"/>
  <c r="H1983" i="11"/>
  <c r="G1984" i="11"/>
  <c r="H1984" i="11"/>
  <c r="G1985" i="11"/>
  <c r="H1985" i="11"/>
  <c r="G1986" i="11"/>
  <c r="H1986" i="11"/>
  <c r="G1987" i="11"/>
  <c r="H1987" i="11"/>
  <c r="G1988" i="11"/>
  <c r="H1988" i="11"/>
  <c r="G1989" i="11"/>
  <c r="H1989" i="11"/>
  <c r="G1990" i="11"/>
  <c r="H1990" i="11"/>
  <c r="G1991" i="11"/>
  <c r="H1991" i="11"/>
  <c r="G1992" i="11"/>
  <c r="H1992" i="11"/>
  <c r="G1993" i="11"/>
  <c r="H1993" i="11"/>
  <c r="G1994" i="11"/>
  <c r="H1994" i="11"/>
  <c r="G1995" i="11"/>
  <c r="H1995" i="11"/>
  <c r="G1996" i="11"/>
  <c r="H1996" i="11"/>
  <c r="G1997" i="11"/>
  <c r="H1997" i="11"/>
  <c r="G1998" i="11"/>
  <c r="H1998" i="11"/>
  <c r="G1999" i="11"/>
  <c r="H1999" i="11"/>
  <c r="G2000" i="11"/>
  <c r="H2000" i="11"/>
  <c r="G2001" i="11"/>
  <c r="H2001" i="11"/>
  <c r="G2002" i="11"/>
  <c r="H2002" i="11"/>
  <c r="G2003" i="11"/>
  <c r="H2003" i="11"/>
  <c r="G2004" i="11"/>
  <c r="H2004" i="11"/>
  <c r="G2005" i="11"/>
  <c r="H2005" i="11"/>
  <c r="G2006" i="11"/>
  <c r="H2006" i="11"/>
  <c r="G2007" i="11"/>
  <c r="H2007" i="11"/>
  <c r="G2008" i="11"/>
  <c r="H2008" i="11"/>
  <c r="G2009" i="11"/>
  <c r="H2009" i="11"/>
  <c r="G2010" i="11"/>
  <c r="H2010" i="11"/>
  <c r="G2011" i="11"/>
  <c r="H2011" i="11"/>
  <c r="G2012" i="11"/>
  <c r="H2012" i="11"/>
  <c r="G2013" i="11"/>
  <c r="H2013" i="11"/>
  <c r="G2014" i="11"/>
  <c r="H2014" i="11"/>
  <c r="G2015" i="11"/>
  <c r="H2015" i="11"/>
  <c r="G2016" i="11"/>
  <c r="H2016" i="11"/>
  <c r="G2017" i="11"/>
  <c r="H2017" i="11"/>
  <c r="G2018" i="11"/>
  <c r="H2018" i="11"/>
  <c r="G2019" i="11"/>
  <c r="H2019" i="11"/>
  <c r="G2020" i="11"/>
  <c r="H2020" i="11"/>
  <c r="G2021" i="11"/>
  <c r="H2021" i="11"/>
  <c r="G2022" i="11"/>
  <c r="H2022" i="11"/>
  <c r="G2023" i="11"/>
  <c r="H2023" i="11"/>
  <c r="G2024" i="11"/>
  <c r="H2024" i="11"/>
  <c r="G2025" i="11"/>
  <c r="H2025" i="11"/>
  <c r="G2026" i="11"/>
  <c r="H2026" i="11"/>
  <c r="G2027" i="11"/>
  <c r="H2027" i="11"/>
  <c r="G2028" i="11"/>
  <c r="H2028" i="11"/>
  <c r="G2029" i="11"/>
  <c r="H2029" i="11"/>
  <c r="G2030" i="11"/>
  <c r="H2030" i="11"/>
  <c r="G2031" i="11"/>
  <c r="H2031" i="11"/>
  <c r="G2032" i="11"/>
  <c r="H2032" i="11"/>
  <c r="G2033" i="11"/>
  <c r="H2033" i="11"/>
  <c r="G2034" i="11"/>
  <c r="H2034" i="11"/>
  <c r="G2035" i="11"/>
  <c r="H2035" i="11"/>
  <c r="G2036" i="11"/>
  <c r="H2036" i="11"/>
  <c r="G2037" i="11"/>
  <c r="H2037" i="11"/>
  <c r="G2038" i="11"/>
  <c r="H2038" i="11"/>
  <c r="G2039" i="11"/>
  <c r="H2039" i="11"/>
  <c r="G2040" i="11"/>
  <c r="H2040" i="11"/>
  <c r="G2041" i="11"/>
  <c r="H2041" i="11"/>
  <c r="G2042" i="11"/>
  <c r="H2042" i="11"/>
  <c r="G2043" i="11"/>
  <c r="H2043" i="11"/>
  <c r="G2044" i="11"/>
  <c r="H2044" i="11"/>
  <c r="G2045" i="11"/>
  <c r="H2045" i="11"/>
  <c r="G2046" i="11"/>
  <c r="H2046" i="11"/>
  <c r="G2047" i="11"/>
  <c r="H2047" i="11"/>
  <c r="G2048" i="11"/>
  <c r="H2048" i="11"/>
  <c r="G2049" i="11"/>
  <c r="H2049" i="11"/>
  <c r="G2050" i="11"/>
  <c r="H2050" i="11"/>
  <c r="G2051" i="11"/>
  <c r="H2051" i="11"/>
  <c r="G2052" i="11"/>
  <c r="H2052" i="11"/>
  <c r="G2053" i="11"/>
  <c r="H2053" i="11"/>
  <c r="G2054" i="11"/>
  <c r="H2054" i="11"/>
  <c r="G2055" i="11"/>
  <c r="H2055" i="11"/>
  <c r="G2056" i="11"/>
  <c r="H2056" i="11"/>
  <c r="G2057" i="11"/>
  <c r="H2057" i="11"/>
  <c r="G2058" i="11"/>
  <c r="H2058" i="11"/>
  <c r="G2059" i="11"/>
  <c r="H2059" i="11"/>
  <c r="G2060" i="11"/>
  <c r="H2060" i="11"/>
  <c r="G2061" i="11"/>
  <c r="H2061" i="11"/>
  <c r="G2062" i="11"/>
  <c r="H2062" i="11"/>
  <c r="G2063" i="11"/>
  <c r="H2063" i="11"/>
  <c r="G2064" i="11"/>
  <c r="H2064" i="11"/>
  <c r="G2065" i="11"/>
  <c r="H2065" i="11"/>
  <c r="G2066" i="11"/>
  <c r="H2066" i="11"/>
  <c r="G2067" i="11"/>
  <c r="H2067" i="11"/>
  <c r="G2068" i="11"/>
  <c r="H2068" i="11"/>
  <c r="G2069" i="11"/>
  <c r="H2069" i="11"/>
  <c r="G2070" i="11"/>
  <c r="H2070" i="11"/>
  <c r="G2071" i="11"/>
  <c r="H2071" i="11"/>
  <c r="G2072" i="11"/>
  <c r="H2072" i="11"/>
  <c r="G2073" i="11"/>
  <c r="H2073" i="11"/>
  <c r="G2074" i="11"/>
  <c r="H2074" i="11"/>
  <c r="G2075" i="11"/>
  <c r="H2075" i="11"/>
  <c r="G2076" i="11"/>
  <c r="H2076" i="11"/>
  <c r="G2077" i="11"/>
  <c r="H2077" i="11"/>
  <c r="G2078" i="11"/>
  <c r="H2078" i="11"/>
  <c r="G2079" i="11"/>
  <c r="H2079" i="11"/>
  <c r="G2080" i="11"/>
  <c r="H2080" i="11"/>
  <c r="G2081" i="11"/>
  <c r="H2081" i="11"/>
  <c r="G2082" i="11"/>
  <c r="H2082" i="11"/>
  <c r="G2083" i="11"/>
  <c r="H2083" i="11"/>
  <c r="G2084" i="11"/>
  <c r="H2084" i="11"/>
  <c r="G2085" i="11"/>
  <c r="H2085" i="11"/>
  <c r="G2086" i="11"/>
  <c r="H2086" i="11"/>
  <c r="G2087" i="11"/>
  <c r="H2087" i="11"/>
  <c r="G2088" i="11"/>
  <c r="H2088" i="11"/>
  <c r="G2089" i="11"/>
  <c r="H2089" i="11"/>
  <c r="G2090" i="11"/>
  <c r="H2090" i="11"/>
  <c r="G2091" i="11"/>
  <c r="H2091" i="11"/>
  <c r="G2092" i="11"/>
  <c r="H2092" i="11"/>
  <c r="G2093" i="11"/>
  <c r="H2093" i="11"/>
  <c r="G2094" i="11"/>
  <c r="H2094" i="11"/>
  <c r="G2095" i="11"/>
  <c r="H2095" i="11"/>
  <c r="G2096" i="11"/>
  <c r="H2096" i="11"/>
  <c r="G2097" i="11"/>
  <c r="H2097" i="11"/>
  <c r="G2098" i="11"/>
  <c r="H2098" i="11"/>
  <c r="G2099" i="11"/>
  <c r="H2099" i="11"/>
  <c r="G2100" i="11"/>
  <c r="H2100" i="11"/>
  <c r="G2101" i="11"/>
  <c r="H2101" i="11"/>
  <c r="G2102" i="11"/>
  <c r="H2102" i="11"/>
  <c r="G2103" i="11"/>
  <c r="H2103" i="11"/>
  <c r="G2104" i="11"/>
  <c r="H2104" i="11"/>
  <c r="G2105" i="11"/>
  <c r="H2105" i="11"/>
  <c r="G2106" i="11"/>
  <c r="H2106" i="11"/>
  <c r="G2107" i="11"/>
  <c r="H2107" i="11"/>
  <c r="G2108" i="11"/>
  <c r="H2108" i="11"/>
  <c r="G2109" i="11"/>
  <c r="H2109" i="11"/>
  <c r="G2110" i="11"/>
  <c r="H2110" i="11"/>
  <c r="G2111" i="11"/>
  <c r="H2111" i="11"/>
  <c r="G2112" i="11"/>
  <c r="H2112" i="11"/>
  <c r="G2113" i="11"/>
  <c r="H2113" i="11"/>
  <c r="G2114" i="11"/>
  <c r="H2114" i="11"/>
  <c r="G2115" i="11"/>
  <c r="H2115" i="11"/>
  <c r="G2116" i="11"/>
  <c r="H2116" i="11"/>
  <c r="G2117" i="11"/>
  <c r="H2117" i="11"/>
  <c r="G2118" i="11"/>
  <c r="H2118" i="11"/>
  <c r="G2119" i="11"/>
  <c r="H2119" i="11"/>
  <c r="G2120" i="11"/>
  <c r="H2120" i="11"/>
  <c r="G2121" i="11"/>
  <c r="H2121" i="11"/>
  <c r="G2122" i="11"/>
  <c r="H2122" i="11"/>
  <c r="G2123" i="11"/>
  <c r="H2123" i="11"/>
  <c r="G2124" i="11"/>
  <c r="H2124" i="11"/>
  <c r="G2125" i="11"/>
  <c r="H2125" i="11"/>
  <c r="G2126" i="11"/>
  <c r="H2126" i="11"/>
  <c r="G2127" i="11"/>
  <c r="H2127" i="11"/>
  <c r="G2128" i="11"/>
  <c r="H2128" i="11"/>
  <c r="G2129" i="11"/>
  <c r="H2129" i="11"/>
  <c r="G2130" i="11"/>
  <c r="H2130" i="11"/>
  <c r="G2131" i="11"/>
  <c r="H2131" i="11"/>
  <c r="G2132" i="11"/>
  <c r="H2132" i="11"/>
  <c r="G2133" i="11"/>
  <c r="H2133" i="11"/>
  <c r="G2134" i="11"/>
  <c r="H2134" i="11"/>
  <c r="G2135" i="11"/>
  <c r="H2135" i="11"/>
  <c r="G2136" i="11"/>
  <c r="H2136" i="11"/>
  <c r="G2137" i="11"/>
  <c r="H2137" i="11"/>
  <c r="G2138" i="11"/>
  <c r="H2138" i="11"/>
  <c r="G2139" i="11"/>
  <c r="H2139" i="11"/>
  <c r="G2140" i="11"/>
  <c r="H2140" i="11"/>
  <c r="G2141" i="11"/>
  <c r="H2141" i="11"/>
  <c r="G2142" i="11"/>
  <c r="H2142" i="11"/>
  <c r="G2143" i="11"/>
  <c r="H2143" i="11"/>
  <c r="G2144" i="11"/>
  <c r="H2144" i="11"/>
  <c r="G2145" i="11"/>
  <c r="H2145" i="11"/>
  <c r="G2146" i="11"/>
  <c r="H2146" i="11"/>
  <c r="G2147" i="11"/>
  <c r="H2147" i="11"/>
  <c r="G2148" i="11"/>
  <c r="H2148" i="11"/>
  <c r="G2149" i="11"/>
  <c r="H2149" i="11"/>
  <c r="G2150" i="11"/>
  <c r="H2150" i="11"/>
  <c r="G2151" i="11"/>
  <c r="H2151" i="11"/>
  <c r="G2152" i="11"/>
  <c r="H2152" i="11"/>
  <c r="G2153" i="11"/>
  <c r="H2153" i="11"/>
  <c r="G2154" i="11"/>
  <c r="H2154" i="11"/>
  <c r="G2155" i="11"/>
  <c r="H2155" i="11"/>
  <c r="G2156" i="11"/>
  <c r="H2156" i="11"/>
  <c r="G2157" i="11"/>
  <c r="H2157" i="11"/>
  <c r="G2158" i="11"/>
  <c r="H2158" i="11"/>
  <c r="G2159" i="11"/>
  <c r="H2159" i="11"/>
  <c r="G2160" i="11"/>
  <c r="H2160" i="11"/>
  <c r="G2161" i="11"/>
  <c r="H2161" i="11"/>
  <c r="G2162" i="11"/>
  <c r="H2162" i="11"/>
  <c r="G2163" i="11"/>
  <c r="H2163" i="11"/>
  <c r="G2164" i="11"/>
  <c r="H2164" i="11"/>
  <c r="G2165" i="11"/>
  <c r="H2165" i="11"/>
  <c r="G2166" i="11"/>
  <c r="H2166" i="11"/>
  <c r="G2167" i="11"/>
  <c r="H2167" i="11"/>
  <c r="G2168" i="11"/>
  <c r="H2168" i="11"/>
  <c r="G2169" i="11"/>
  <c r="H2169" i="11"/>
  <c r="G2170" i="11"/>
  <c r="H2170" i="11"/>
  <c r="G2171" i="11"/>
  <c r="H2171" i="11"/>
  <c r="G2172" i="11"/>
  <c r="H2172" i="11"/>
  <c r="G2173" i="11"/>
  <c r="H2173" i="11"/>
  <c r="G2174" i="11"/>
  <c r="H2174" i="11"/>
  <c r="G2175" i="11"/>
  <c r="H2175" i="11"/>
  <c r="G2176" i="11"/>
  <c r="H2176" i="11"/>
  <c r="G2177" i="11"/>
  <c r="H2177" i="11"/>
  <c r="G2178" i="11"/>
  <c r="H2178" i="11"/>
  <c r="G2179" i="11"/>
  <c r="H2179" i="11"/>
  <c r="G2180" i="11"/>
  <c r="H2180" i="11"/>
  <c r="G2181" i="11"/>
  <c r="H2181" i="11"/>
  <c r="G2182" i="11"/>
  <c r="H2182" i="11"/>
  <c r="G2183" i="11"/>
  <c r="H2183" i="11"/>
  <c r="G2184" i="11"/>
  <c r="H2184" i="11"/>
  <c r="G2185" i="11"/>
  <c r="H2185" i="11"/>
  <c r="G2186" i="11"/>
  <c r="H2186" i="11"/>
  <c r="G2187" i="11"/>
  <c r="H2187" i="11"/>
  <c r="G2188" i="11"/>
  <c r="H2188" i="11"/>
  <c r="G2189" i="11"/>
  <c r="H2189" i="11"/>
  <c r="G2190" i="11"/>
  <c r="H2190" i="11"/>
  <c r="G2191" i="11"/>
  <c r="H2191" i="11"/>
  <c r="G2192" i="11"/>
  <c r="H2192" i="11"/>
  <c r="G2193" i="11"/>
  <c r="H2193" i="11"/>
  <c r="G2194" i="11"/>
  <c r="H2194" i="11"/>
  <c r="G2195" i="11"/>
  <c r="H2195" i="11"/>
  <c r="G2196" i="11"/>
  <c r="H2196" i="11"/>
  <c r="G2197" i="11"/>
  <c r="H2197" i="11"/>
  <c r="G2198" i="11"/>
  <c r="H2198" i="11"/>
  <c r="G2199" i="11"/>
  <c r="H2199" i="11"/>
  <c r="G2200" i="11"/>
  <c r="H2200" i="11"/>
  <c r="G2201" i="11"/>
  <c r="H2201" i="11"/>
  <c r="G2202" i="11"/>
  <c r="H2202" i="11"/>
  <c r="G2203" i="11"/>
  <c r="H2203" i="11"/>
  <c r="G2204" i="11"/>
  <c r="H2204" i="11"/>
  <c r="G2205" i="11"/>
  <c r="H2205" i="11"/>
  <c r="G2206" i="11"/>
  <c r="H2206" i="11"/>
  <c r="G2207" i="11"/>
  <c r="H2207" i="11"/>
  <c r="G2208" i="11"/>
  <c r="H2208" i="11"/>
  <c r="G2209" i="11"/>
  <c r="H2209" i="11"/>
  <c r="G2210" i="11"/>
  <c r="H2210" i="11"/>
  <c r="G2211" i="11"/>
  <c r="H2211" i="11"/>
  <c r="G2212" i="11"/>
  <c r="H2212" i="11"/>
  <c r="G2213" i="11"/>
  <c r="H2213" i="11"/>
  <c r="G2214" i="11"/>
  <c r="H2214" i="11"/>
  <c r="G2215" i="11"/>
  <c r="H2215" i="11"/>
  <c r="G2216" i="11"/>
  <c r="H2216" i="11"/>
  <c r="G2217" i="11"/>
  <c r="H2217" i="11"/>
  <c r="G2218" i="11"/>
  <c r="H2218" i="11"/>
  <c r="G2219" i="11"/>
  <c r="H2219" i="11"/>
  <c r="G2220" i="11"/>
  <c r="H2220" i="11"/>
  <c r="G2221" i="11"/>
  <c r="H2221" i="11"/>
  <c r="G2222" i="11"/>
  <c r="H2222" i="11"/>
  <c r="G2223" i="11"/>
  <c r="H2223" i="11"/>
  <c r="G2224" i="11"/>
  <c r="H2224" i="11"/>
  <c r="G2225" i="11"/>
  <c r="H2225" i="11"/>
  <c r="G2226" i="11"/>
  <c r="H2226" i="11"/>
  <c r="G2227" i="11"/>
  <c r="H2227" i="11"/>
  <c r="G2228" i="11"/>
  <c r="H2228" i="11"/>
  <c r="G2229" i="11"/>
  <c r="H2229" i="11"/>
  <c r="G2230" i="11"/>
  <c r="H2230" i="11"/>
  <c r="G2231" i="11"/>
  <c r="H2231" i="11"/>
  <c r="G2232" i="11"/>
  <c r="H2232" i="11"/>
  <c r="G2233" i="11"/>
  <c r="H2233" i="11"/>
  <c r="G2234" i="11"/>
  <c r="H2234" i="11"/>
  <c r="G2235" i="11"/>
  <c r="H2235" i="11"/>
  <c r="G2236" i="11"/>
  <c r="H2236" i="11"/>
  <c r="G2237" i="11"/>
  <c r="H2237" i="11"/>
  <c r="G2238" i="11"/>
  <c r="H2238" i="11"/>
  <c r="G2239" i="11"/>
  <c r="H2239" i="11"/>
  <c r="G2240" i="11"/>
  <c r="H2240" i="11"/>
  <c r="G2241" i="11"/>
  <c r="H2241" i="11"/>
  <c r="G2242" i="11"/>
  <c r="H2242" i="11"/>
  <c r="G2243" i="11"/>
  <c r="H2243" i="11"/>
  <c r="G2244" i="11"/>
  <c r="H2244" i="11"/>
  <c r="G2245" i="11"/>
  <c r="H2245" i="11"/>
  <c r="G2246" i="11"/>
  <c r="H2246" i="11"/>
  <c r="G2247" i="11"/>
  <c r="H2247" i="11"/>
  <c r="G2248" i="11"/>
  <c r="H2248" i="11"/>
  <c r="G2249" i="11"/>
  <c r="H2249" i="11"/>
  <c r="G2250" i="11"/>
  <c r="H2250" i="11"/>
  <c r="G2251" i="11"/>
  <c r="H2251" i="11"/>
  <c r="G2252" i="11"/>
  <c r="H2252" i="11"/>
  <c r="G2253" i="11"/>
  <c r="H2253" i="11"/>
  <c r="G2254" i="11"/>
  <c r="H2254" i="11"/>
  <c r="G2255" i="11"/>
  <c r="H2255" i="11"/>
  <c r="G2256" i="11"/>
  <c r="H2256" i="11"/>
  <c r="G2257" i="11"/>
  <c r="H2257" i="11"/>
  <c r="G2258" i="11"/>
  <c r="H2258" i="11"/>
  <c r="G2259" i="11"/>
  <c r="H2259" i="11"/>
  <c r="G2260" i="11"/>
  <c r="H2260" i="11"/>
  <c r="G2261" i="11"/>
  <c r="H2261" i="11"/>
  <c r="G2262" i="11"/>
  <c r="H2262" i="11"/>
  <c r="G2263" i="11"/>
  <c r="H2263" i="11"/>
  <c r="G2264" i="11"/>
  <c r="H2264" i="11"/>
  <c r="G2265" i="11"/>
  <c r="H2265" i="11"/>
  <c r="G2266" i="11"/>
  <c r="H2266" i="11"/>
  <c r="G2267" i="11"/>
  <c r="H2267" i="11"/>
  <c r="G2268" i="11"/>
  <c r="H2268" i="11"/>
  <c r="G2269" i="11"/>
  <c r="H2269" i="11"/>
  <c r="G2270" i="11"/>
  <c r="H2270" i="11"/>
  <c r="G2271" i="11"/>
  <c r="H2271" i="11"/>
  <c r="G2272" i="11"/>
  <c r="H2272" i="11"/>
  <c r="G2273" i="11"/>
  <c r="H2273" i="11"/>
  <c r="G2274" i="11"/>
  <c r="H2274" i="11"/>
  <c r="G2275" i="11"/>
  <c r="H2275" i="11"/>
  <c r="G2276" i="11"/>
  <c r="H2276" i="11"/>
  <c r="G2277" i="11"/>
  <c r="H2277" i="11"/>
  <c r="G2278" i="11"/>
  <c r="H2278" i="11"/>
  <c r="G2279" i="11"/>
  <c r="H2279" i="11"/>
  <c r="G2280" i="11"/>
  <c r="H2280" i="11"/>
  <c r="G2281" i="11"/>
  <c r="H2281" i="11"/>
  <c r="G2282" i="11"/>
  <c r="H2282" i="11"/>
  <c r="G2283" i="11"/>
  <c r="H2283" i="11"/>
  <c r="G2284" i="11"/>
  <c r="H2284" i="11"/>
  <c r="G2285" i="11"/>
  <c r="H2285" i="11"/>
  <c r="G2286" i="11"/>
  <c r="H2286" i="11"/>
  <c r="G2287" i="11"/>
  <c r="H2287" i="11"/>
  <c r="G2288" i="11"/>
  <c r="H2288" i="11"/>
  <c r="G2289" i="11"/>
  <c r="H2289" i="11"/>
  <c r="G2290" i="11"/>
  <c r="H2290" i="11"/>
  <c r="G2291" i="11"/>
  <c r="H2291" i="11"/>
  <c r="G2292" i="11"/>
  <c r="H2292" i="11"/>
  <c r="G2293" i="11"/>
  <c r="H2293" i="11"/>
  <c r="G2294" i="11"/>
  <c r="H2294" i="11"/>
  <c r="G2295" i="11"/>
  <c r="H2295" i="11"/>
  <c r="G2296" i="11"/>
  <c r="H2296" i="11"/>
  <c r="G2297" i="11"/>
  <c r="H2297" i="11"/>
  <c r="G2298" i="11"/>
  <c r="H2298" i="11"/>
  <c r="G2299" i="11"/>
  <c r="H2299" i="11"/>
  <c r="G2300" i="11"/>
  <c r="H2300" i="11"/>
  <c r="G2301" i="11"/>
  <c r="H2301" i="11"/>
  <c r="G2302" i="11"/>
  <c r="H2302" i="11"/>
  <c r="G2303" i="11"/>
  <c r="H2303" i="11"/>
  <c r="G2304" i="11"/>
  <c r="H2304" i="11"/>
  <c r="G2305" i="11"/>
  <c r="H2305" i="11"/>
  <c r="G2306" i="11"/>
  <c r="H2306" i="11"/>
  <c r="G2307" i="11"/>
  <c r="H2307" i="11"/>
  <c r="G2308" i="11"/>
  <c r="H2308" i="11"/>
  <c r="G2309" i="11"/>
  <c r="H2309" i="11"/>
  <c r="G2310" i="11"/>
  <c r="H2310" i="11"/>
  <c r="G2311" i="11"/>
  <c r="H2311" i="11"/>
  <c r="G2312" i="11"/>
  <c r="H2312" i="11"/>
  <c r="G2313" i="11"/>
  <c r="H2313" i="11"/>
  <c r="G2314" i="11"/>
  <c r="H2314" i="11"/>
  <c r="G2315" i="11"/>
  <c r="H2315" i="11"/>
  <c r="G2316" i="11"/>
  <c r="H2316" i="11"/>
  <c r="G2317" i="11"/>
  <c r="H2317" i="11"/>
  <c r="G2318" i="11"/>
  <c r="H2318" i="11"/>
  <c r="G2319" i="11"/>
  <c r="H2319" i="11"/>
  <c r="G2320" i="11"/>
  <c r="H2320" i="11"/>
  <c r="G2321" i="11"/>
  <c r="H2321" i="11"/>
  <c r="G2322" i="11"/>
  <c r="H2322" i="11"/>
  <c r="G2323" i="11"/>
  <c r="H2323" i="11"/>
  <c r="G2324" i="11"/>
  <c r="H2324" i="11"/>
  <c r="G2325" i="11"/>
  <c r="H2325" i="11"/>
  <c r="G2326" i="11"/>
  <c r="H2326" i="11"/>
  <c r="G2327" i="11"/>
  <c r="H2327" i="11"/>
  <c r="G2328" i="11"/>
  <c r="H2328" i="11"/>
  <c r="G2329" i="11"/>
  <c r="H2329" i="11"/>
  <c r="G2330" i="11"/>
  <c r="H2330" i="11"/>
  <c r="G2331" i="11"/>
  <c r="H2331" i="11"/>
  <c r="G2332" i="11"/>
  <c r="H2332" i="11"/>
  <c r="G2333" i="11"/>
  <c r="H2333" i="11"/>
  <c r="G2334" i="11"/>
  <c r="H2334" i="11"/>
  <c r="G2335" i="11"/>
  <c r="H2335" i="11"/>
  <c r="G2336" i="11"/>
  <c r="H2336" i="11"/>
  <c r="G2337" i="11"/>
  <c r="H2337" i="11"/>
  <c r="G2338" i="11"/>
  <c r="H2338" i="11"/>
  <c r="G2339" i="11"/>
  <c r="H2339" i="11"/>
  <c r="G2340" i="11"/>
  <c r="H2340" i="11"/>
  <c r="G2341" i="11"/>
  <c r="H2341" i="11"/>
  <c r="G2342" i="11"/>
  <c r="H2342" i="11"/>
  <c r="G2343" i="11"/>
  <c r="H2343" i="11"/>
  <c r="G2344" i="11"/>
  <c r="H2344" i="11"/>
  <c r="G2345" i="11"/>
  <c r="H2345" i="11"/>
  <c r="G2346" i="11"/>
  <c r="H2346" i="11"/>
  <c r="G2347" i="11"/>
  <c r="H2347" i="11"/>
  <c r="G2348" i="11"/>
  <c r="H2348" i="11"/>
  <c r="G2349" i="11"/>
  <c r="H2349" i="11"/>
  <c r="G2350" i="11"/>
  <c r="H2350" i="11"/>
  <c r="G2351" i="11"/>
  <c r="H2351" i="11"/>
  <c r="G2352" i="11"/>
  <c r="H2352" i="11"/>
  <c r="G2353" i="11"/>
  <c r="H2353" i="11"/>
  <c r="G2354" i="11"/>
  <c r="H2354" i="11"/>
  <c r="G2355" i="11"/>
  <c r="H2355" i="11"/>
  <c r="G2356" i="11"/>
  <c r="H2356" i="11"/>
  <c r="G2357" i="11"/>
  <c r="H2357" i="11"/>
  <c r="G2358" i="11"/>
  <c r="H2358" i="11"/>
  <c r="G2359" i="11"/>
  <c r="H2359" i="11"/>
  <c r="G2360" i="11"/>
  <c r="H2360" i="11"/>
  <c r="G2361" i="11"/>
  <c r="H2361" i="11"/>
  <c r="G2362" i="11"/>
  <c r="H2362" i="11"/>
  <c r="G2363" i="11"/>
  <c r="H2363" i="11"/>
  <c r="G2364" i="11"/>
  <c r="H2364" i="11"/>
  <c r="G2365" i="11"/>
  <c r="H2365" i="11"/>
  <c r="G2366" i="11"/>
  <c r="H2366" i="11"/>
  <c r="G2367" i="11"/>
  <c r="H2367" i="11"/>
  <c r="G2368" i="11"/>
  <c r="H2368" i="11"/>
  <c r="G2369" i="11"/>
  <c r="H2369" i="11"/>
  <c r="G2370" i="11"/>
  <c r="H2370" i="11"/>
  <c r="G2371" i="11"/>
  <c r="H2371" i="11"/>
  <c r="G2372" i="11"/>
  <c r="H2372" i="11"/>
  <c r="G2373" i="11"/>
  <c r="H2373" i="11"/>
  <c r="G2374" i="11"/>
  <c r="H2374" i="11"/>
  <c r="G2375" i="11"/>
  <c r="H2375" i="11"/>
  <c r="G2376" i="11"/>
  <c r="H2376" i="11"/>
  <c r="G2377" i="11"/>
  <c r="H2377" i="11"/>
  <c r="G2378" i="11"/>
  <c r="H2378" i="11"/>
  <c r="G2379" i="11"/>
  <c r="H2379" i="11"/>
  <c r="G2380" i="11"/>
  <c r="H2380" i="11"/>
  <c r="G2381" i="11"/>
  <c r="H2381" i="11"/>
  <c r="G2382" i="11"/>
  <c r="H2382" i="11"/>
  <c r="G2383" i="11"/>
  <c r="H2383" i="11"/>
  <c r="G2384" i="11"/>
  <c r="H2384" i="11"/>
  <c r="G2385" i="11"/>
  <c r="H2385" i="11"/>
  <c r="G2386" i="11"/>
  <c r="H2386" i="11"/>
  <c r="G2387" i="11"/>
  <c r="H2387" i="11"/>
  <c r="G2388" i="11"/>
  <c r="H2388" i="11"/>
  <c r="G2389" i="11"/>
  <c r="H2389" i="11"/>
  <c r="G2390" i="11"/>
  <c r="H2390" i="11"/>
  <c r="G2391" i="11"/>
  <c r="H2391" i="11"/>
  <c r="G2392" i="11"/>
  <c r="H2392" i="11"/>
  <c r="G2393" i="11"/>
  <c r="H2393" i="11"/>
  <c r="G2394" i="11"/>
  <c r="H2394" i="11"/>
  <c r="G2395" i="11"/>
  <c r="H2395" i="11"/>
  <c r="G2396" i="11"/>
  <c r="H2396" i="11"/>
  <c r="G2397" i="11"/>
  <c r="H2397" i="11"/>
  <c r="G2398" i="11"/>
  <c r="H2398" i="11"/>
  <c r="G2399" i="11"/>
  <c r="H2399" i="11"/>
  <c r="G2400" i="11"/>
  <c r="H2400" i="11"/>
  <c r="G2401" i="11"/>
  <c r="H2401" i="11"/>
  <c r="G2402" i="11"/>
  <c r="H2402" i="11"/>
  <c r="G2403" i="11"/>
  <c r="H2403" i="11"/>
  <c r="G2404" i="11"/>
  <c r="H2404" i="11"/>
  <c r="G2405" i="11"/>
  <c r="H2405" i="11"/>
  <c r="G2406" i="11"/>
  <c r="H2406" i="11"/>
  <c r="G2407" i="11"/>
  <c r="H2407" i="11"/>
  <c r="G2408" i="11"/>
  <c r="H2408" i="11"/>
  <c r="G2409" i="11"/>
  <c r="H2409" i="11"/>
  <c r="G2410" i="11"/>
  <c r="H2410" i="11"/>
  <c r="G2411" i="11"/>
  <c r="H2411" i="11"/>
  <c r="G2412" i="11"/>
  <c r="H2412" i="11"/>
  <c r="G2413" i="11"/>
  <c r="H2413" i="11"/>
  <c r="G2414" i="11"/>
  <c r="H2414" i="11"/>
  <c r="G2415" i="11"/>
  <c r="H2415" i="11"/>
  <c r="G2416" i="11"/>
  <c r="H2416" i="11"/>
  <c r="G2417" i="11"/>
  <c r="H2417" i="11"/>
  <c r="G2418" i="11"/>
  <c r="H2418" i="11"/>
  <c r="G2419" i="11"/>
  <c r="H2419" i="11"/>
  <c r="G2420" i="11"/>
  <c r="H2420" i="11"/>
  <c r="G2421" i="11"/>
  <c r="H2421" i="11"/>
  <c r="G2422" i="11"/>
  <c r="H2422" i="11"/>
  <c r="G2423" i="11"/>
  <c r="H2423" i="11"/>
  <c r="G2424" i="11"/>
  <c r="H2424" i="11"/>
  <c r="G2425" i="11"/>
  <c r="H2425" i="11"/>
  <c r="G2426" i="11"/>
  <c r="H2426" i="11"/>
  <c r="G2427" i="11"/>
  <c r="H2427" i="11"/>
  <c r="G2428" i="11"/>
  <c r="H2428" i="11"/>
  <c r="G2429" i="11"/>
  <c r="H2429" i="11"/>
  <c r="G2430" i="11"/>
  <c r="H2430" i="11"/>
  <c r="G2431" i="11"/>
  <c r="H2431" i="11"/>
  <c r="G2432" i="11"/>
  <c r="H2432" i="11"/>
  <c r="G2433" i="11"/>
  <c r="H2433" i="11"/>
  <c r="G2434" i="11"/>
  <c r="H2434" i="11"/>
  <c r="G2435" i="11"/>
  <c r="H2435" i="11"/>
  <c r="G2436" i="11"/>
  <c r="H2436" i="11"/>
  <c r="G2437" i="11"/>
  <c r="H2437" i="11"/>
  <c r="G2438" i="11"/>
  <c r="H2438" i="11"/>
  <c r="G2439" i="11"/>
  <c r="H2439" i="11"/>
  <c r="G2440" i="11"/>
  <c r="H2440" i="11"/>
  <c r="G2441" i="11"/>
  <c r="H2441" i="11"/>
  <c r="G2442" i="11"/>
  <c r="H2442" i="11"/>
  <c r="G2443" i="11"/>
  <c r="H2443" i="11"/>
  <c r="G2444" i="11"/>
  <c r="H2444" i="11"/>
  <c r="G2445" i="11"/>
  <c r="H2445" i="11"/>
  <c r="G2446" i="11"/>
  <c r="H2446" i="11"/>
  <c r="G2447" i="11"/>
  <c r="H2447" i="11"/>
  <c r="G2448" i="11"/>
  <c r="H2448" i="11"/>
  <c r="G2449" i="11"/>
  <c r="H2449" i="11"/>
  <c r="G2450" i="11"/>
  <c r="H2450" i="11"/>
  <c r="G2451" i="11"/>
  <c r="H2451" i="11"/>
  <c r="G2452" i="11"/>
  <c r="H2452" i="11"/>
  <c r="G2453" i="11"/>
  <c r="H2453" i="11"/>
  <c r="G2454" i="11"/>
  <c r="H2454" i="11"/>
  <c r="G2455" i="11"/>
  <c r="H2455" i="11"/>
  <c r="G2456" i="11"/>
  <c r="H2456" i="11"/>
  <c r="G2457" i="11"/>
  <c r="H2457" i="11"/>
  <c r="G2458" i="11"/>
  <c r="H2458" i="11"/>
  <c r="G2459" i="11"/>
  <c r="H2459" i="11"/>
  <c r="G2460" i="11"/>
  <c r="H2460" i="11"/>
  <c r="G2461" i="11"/>
  <c r="H2461" i="11"/>
  <c r="G2462" i="11"/>
  <c r="H2462" i="11"/>
  <c r="G2463" i="11"/>
  <c r="H2463" i="11"/>
  <c r="G2464" i="11"/>
  <c r="H2464" i="11"/>
  <c r="G2465" i="11"/>
  <c r="H2465" i="11"/>
  <c r="G2466" i="11"/>
  <c r="H2466" i="11"/>
  <c r="G2467" i="11"/>
  <c r="H2467" i="11"/>
  <c r="G2468" i="11"/>
  <c r="H2468" i="11"/>
  <c r="G2469" i="11"/>
  <c r="H2469" i="11"/>
  <c r="G2470" i="11"/>
  <c r="H2470" i="11"/>
  <c r="G2471" i="11"/>
  <c r="H2471" i="11"/>
  <c r="G2472" i="11"/>
  <c r="H2472" i="11"/>
  <c r="G2473" i="11"/>
  <c r="H2473" i="11"/>
  <c r="G2474" i="11"/>
  <c r="H2474" i="11"/>
  <c r="G2475" i="11"/>
  <c r="H2475" i="11"/>
  <c r="G2476" i="11"/>
  <c r="H2476" i="11"/>
  <c r="G2477" i="11"/>
  <c r="H2477" i="11"/>
  <c r="G2478" i="11"/>
  <c r="H2478" i="11"/>
  <c r="G2479" i="11"/>
  <c r="H2479" i="11"/>
  <c r="G2480" i="11"/>
  <c r="H2480" i="11"/>
  <c r="G2481" i="11"/>
  <c r="H2481" i="11"/>
  <c r="G2482" i="11"/>
  <c r="H2482" i="11"/>
  <c r="G2483" i="11"/>
  <c r="H2483" i="11"/>
  <c r="G2484" i="11"/>
  <c r="H2484" i="11"/>
  <c r="G2485" i="11"/>
  <c r="H2485" i="11"/>
  <c r="G2486" i="11"/>
  <c r="H2486" i="11"/>
  <c r="G2487" i="11"/>
  <c r="H2487" i="11"/>
  <c r="G2488" i="11"/>
  <c r="H2488" i="11"/>
  <c r="G2489" i="11"/>
  <c r="H2489" i="11"/>
  <c r="G2490" i="11"/>
  <c r="H2490" i="11"/>
  <c r="G2491" i="11"/>
  <c r="H2491" i="11"/>
  <c r="G2492" i="11"/>
  <c r="H2492" i="11"/>
  <c r="G2493" i="11"/>
  <c r="H2493" i="11"/>
  <c r="G2494" i="11"/>
  <c r="H2494" i="11"/>
  <c r="G2495" i="11"/>
  <c r="H2495" i="11"/>
  <c r="G2496" i="11"/>
  <c r="H2496" i="11"/>
  <c r="G2497" i="11"/>
  <c r="H2497" i="11"/>
  <c r="G2498" i="11"/>
  <c r="H2498" i="11"/>
  <c r="G2499" i="11"/>
  <c r="H2499" i="11"/>
  <c r="G2500" i="11"/>
  <c r="H2500" i="11"/>
  <c r="G2501" i="11"/>
  <c r="H2501" i="11"/>
  <c r="G2502" i="11"/>
  <c r="H2502" i="11"/>
  <c r="G2503" i="11"/>
  <c r="H2503" i="11"/>
  <c r="G2504" i="11"/>
  <c r="H2504" i="11"/>
  <c r="G2505" i="11"/>
  <c r="H2505" i="11"/>
  <c r="G2506" i="11"/>
  <c r="H2506" i="11"/>
  <c r="G2507" i="11"/>
  <c r="H2507" i="11"/>
  <c r="G2508" i="11"/>
  <c r="H2508" i="11"/>
  <c r="G2509" i="11"/>
  <c r="H2509" i="11"/>
  <c r="G2510" i="11"/>
  <c r="H2510" i="11"/>
  <c r="G2511" i="11"/>
  <c r="H2511" i="11"/>
  <c r="G2512" i="11"/>
  <c r="H2512" i="11"/>
  <c r="G2513" i="11"/>
  <c r="H2513" i="11"/>
  <c r="G2514" i="11"/>
  <c r="H2514" i="11"/>
  <c r="G2515" i="11"/>
  <c r="H2515" i="11"/>
  <c r="G2516" i="11"/>
  <c r="H2516" i="11"/>
  <c r="G2517" i="11"/>
  <c r="H2517" i="11"/>
  <c r="G2518" i="11"/>
  <c r="H2518" i="11"/>
  <c r="G2519" i="11"/>
  <c r="H2519" i="11"/>
  <c r="G2520" i="11"/>
  <c r="H2520" i="11"/>
  <c r="G2521" i="11"/>
  <c r="H2521" i="11"/>
  <c r="G2522" i="11"/>
  <c r="H2522" i="11"/>
  <c r="G2523" i="11"/>
  <c r="H2523" i="11"/>
  <c r="G2524" i="11"/>
  <c r="H2524" i="11"/>
  <c r="G2525" i="11"/>
  <c r="H2525" i="11"/>
  <c r="G2526" i="11"/>
  <c r="H2526" i="11"/>
  <c r="G2527" i="11"/>
  <c r="H2527" i="11"/>
  <c r="G2528" i="11"/>
  <c r="H2528" i="11"/>
  <c r="G2529" i="11"/>
  <c r="H2529" i="11"/>
  <c r="G2530" i="11"/>
  <c r="H2530" i="11"/>
  <c r="G2531" i="11"/>
  <c r="H2531" i="11"/>
  <c r="G2532" i="11"/>
  <c r="H2532" i="11"/>
  <c r="G2533" i="11"/>
  <c r="H2533" i="11"/>
  <c r="G2534" i="11"/>
  <c r="H2534" i="11"/>
  <c r="G2535" i="11"/>
  <c r="H2535" i="11"/>
  <c r="G2536" i="11"/>
  <c r="H2536" i="11"/>
  <c r="G2537" i="11"/>
  <c r="H2537" i="11"/>
  <c r="G2538" i="11"/>
  <c r="H2538" i="11"/>
  <c r="G2539" i="11"/>
  <c r="H2539" i="11"/>
  <c r="G2540" i="11"/>
  <c r="H2540" i="11"/>
  <c r="G2541" i="11"/>
  <c r="H2541" i="11"/>
  <c r="G2542" i="11"/>
  <c r="H2542" i="11"/>
  <c r="G2543" i="11"/>
  <c r="H2543" i="11"/>
  <c r="G2544" i="11"/>
  <c r="H2544" i="11"/>
  <c r="G2545" i="11"/>
  <c r="H2545" i="11"/>
  <c r="G2546" i="11"/>
  <c r="H2546" i="11"/>
  <c r="G2547" i="11"/>
  <c r="H2547" i="11"/>
  <c r="G2548" i="11"/>
  <c r="H2548" i="11"/>
  <c r="G2549" i="11"/>
  <c r="H2549" i="11"/>
  <c r="G2550" i="11"/>
  <c r="H2550" i="11"/>
  <c r="G2551" i="11"/>
  <c r="H2551" i="11"/>
  <c r="G2552" i="11"/>
  <c r="H2552" i="11"/>
  <c r="G2553" i="11"/>
  <c r="H2553" i="11"/>
  <c r="G2554" i="11"/>
  <c r="H2554" i="11"/>
  <c r="G2555" i="11"/>
  <c r="H2555" i="11"/>
  <c r="G2556" i="11"/>
  <c r="H2556" i="11"/>
  <c r="G2557" i="11"/>
  <c r="H2557" i="11"/>
  <c r="G2558" i="11"/>
  <c r="H2558" i="11"/>
  <c r="G2559" i="11"/>
  <c r="H2559" i="11"/>
  <c r="G2560" i="11"/>
  <c r="H2560" i="11"/>
  <c r="G2561" i="11"/>
  <c r="H2561" i="11"/>
  <c r="G2562" i="11"/>
  <c r="H2562" i="11"/>
  <c r="G2563" i="11"/>
  <c r="H2563" i="11"/>
  <c r="G2564" i="11"/>
  <c r="H2564" i="11"/>
  <c r="G2565" i="11"/>
  <c r="H2565" i="11"/>
  <c r="G2566" i="11"/>
  <c r="H2566" i="11"/>
  <c r="G2567" i="11"/>
  <c r="H2567" i="11"/>
  <c r="G2568" i="11"/>
  <c r="H2568" i="11"/>
  <c r="G2569" i="11"/>
  <c r="H2569" i="11"/>
  <c r="G2570" i="11"/>
  <c r="H2570" i="11"/>
  <c r="G2571" i="11"/>
  <c r="H2571" i="11"/>
  <c r="G2572" i="11"/>
  <c r="H2572" i="11"/>
  <c r="G2573" i="11"/>
  <c r="H2573" i="11"/>
  <c r="G2574" i="11"/>
  <c r="H2574" i="11"/>
  <c r="G2575" i="11"/>
  <c r="H2575" i="11"/>
  <c r="G2576" i="11"/>
  <c r="H2576" i="11"/>
  <c r="G2577" i="11"/>
  <c r="H2577" i="11"/>
  <c r="G2578" i="11"/>
  <c r="H2578" i="11"/>
  <c r="G2579" i="11"/>
  <c r="H2579" i="11"/>
  <c r="G2580" i="11"/>
  <c r="H2580" i="11"/>
  <c r="G2581" i="11"/>
  <c r="H2581" i="11"/>
  <c r="G2582" i="11"/>
  <c r="H2582" i="11"/>
  <c r="G2583" i="11"/>
  <c r="H2583" i="11"/>
  <c r="G2584" i="11"/>
  <c r="H2584" i="11"/>
  <c r="G2585" i="11"/>
  <c r="H2585" i="11"/>
  <c r="G2586" i="11"/>
  <c r="H2586" i="11"/>
  <c r="G2587" i="11"/>
  <c r="H2587" i="11"/>
  <c r="G2588" i="11"/>
  <c r="H2588" i="11"/>
  <c r="G2589" i="11"/>
  <c r="H2589" i="11"/>
  <c r="G2590" i="11"/>
  <c r="H2590" i="11"/>
  <c r="G2591" i="11"/>
  <c r="H2591" i="11"/>
  <c r="G2592" i="11"/>
  <c r="H2592" i="11"/>
  <c r="G2593" i="11"/>
  <c r="H2593" i="11"/>
  <c r="G2594" i="11"/>
  <c r="H2594" i="11"/>
  <c r="G2595" i="11"/>
  <c r="H2595" i="11"/>
  <c r="G2596" i="11"/>
  <c r="H2596" i="11"/>
  <c r="G2597" i="11"/>
  <c r="H2597" i="11"/>
  <c r="G2598" i="11"/>
  <c r="H2598" i="11"/>
  <c r="G2599" i="11"/>
  <c r="H2599" i="11"/>
  <c r="G2600" i="11"/>
  <c r="H2600" i="11"/>
  <c r="G2601" i="11"/>
  <c r="H2601" i="11"/>
  <c r="G2602" i="11"/>
  <c r="H2602" i="11"/>
  <c r="G2603" i="11"/>
  <c r="H2603" i="11"/>
  <c r="G2604" i="11"/>
  <c r="H2604" i="11"/>
  <c r="G2605" i="11"/>
  <c r="H2605" i="11"/>
  <c r="G2606" i="11"/>
  <c r="H2606" i="11"/>
  <c r="G2607" i="11"/>
  <c r="H2607" i="11"/>
  <c r="G2608" i="11"/>
  <c r="H2608" i="11"/>
  <c r="G2609" i="11"/>
  <c r="H2609" i="11"/>
  <c r="G2610" i="11"/>
  <c r="H2610" i="11"/>
  <c r="G2611" i="11"/>
  <c r="H2611" i="11"/>
  <c r="G2612" i="11"/>
  <c r="H2612" i="11"/>
  <c r="G2613" i="11"/>
  <c r="H2613" i="11"/>
  <c r="G2614" i="11"/>
  <c r="H2614" i="11"/>
  <c r="G2615" i="11"/>
  <c r="H2615" i="11"/>
  <c r="G2616" i="11"/>
  <c r="H2616" i="11"/>
  <c r="G2617" i="11"/>
  <c r="H2617" i="11"/>
  <c r="G2618" i="11"/>
  <c r="H2618" i="11"/>
  <c r="G2619" i="11"/>
  <c r="H2619" i="11"/>
  <c r="G2620" i="11"/>
  <c r="H2620" i="11"/>
  <c r="G2621" i="11"/>
  <c r="H2621" i="11"/>
  <c r="G2622" i="11"/>
  <c r="H2622" i="11"/>
  <c r="G2623" i="11"/>
  <c r="H2623" i="11"/>
  <c r="G2624" i="11"/>
  <c r="H2624" i="11"/>
  <c r="G2625" i="11"/>
  <c r="H2625" i="11"/>
  <c r="G2626" i="11"/>
  <c r="H2626" i="11"/>
  <c r="G2627" i="11"/>
  <c r="H2627" i="11"/>
  <c r="G2628" i="11"/>
  <c r="H2628" i="11"/>
  <c r="G2629" i="11"/>
  <c r="H2629" i="11"/>
  <c r="G2630" i="11"/>
  <c r="H2630" i="11"/>
  <c r="G2631" i="11"/>
  <c r="H2631" i="11"/>
  <c r="G2632" i="11"/>
  <c r="H2632" i="11"/>
  <c r="G2633" i="11"/>
  <c r="H2633" i="11"/>
  <c r="G2634" i="11"/>
  <c r="H2634" i="11"/>
  <c r="G2635" i="11"/>
  <c r="H2635" i="11"/>
  <c r="G2636" i="11"/>
  <c r="H2636" i="11"/>
  <c r="G2637" i="11"/>
  <c r="H2637" i="11"/>
  <c r="G2638" i="11"/>
  <c r="H2638" i="11"/>
  <c r="G2639" i="11"/>
  <c r="H2639" i="11"/>
  <c r="G2640" i="11"/>
  <c r="H2640" i="11"/>
  <c r="G2641" i="11"/>
  <c r="H2641" i="11"/>
  <c r="G2642" i="11"/>
  <c r="H2642" i="11"/>
  <c r="G2643" i="11"/>
  <c r="H2643" i="11"/>
  <c r="G2644" i="11"/>
  <c r="H2644" i="11"/>
  <c r="G2645" i="11"/>
  <c r="H2645" i="11"/>
  <c r="G2646" i="11"/>
  <c r="H2646" i="11"/>
  <c r="G2647" i="11"/>
  <c r="H2647" i="11"/>
  <c r="G2648" i="11"/>
  <c r="H2648" i="11"/>
  <c r="G2649" i="11"/>
  <c r="H2649" i="11"/>
  <c r="G2650" i="11"/>
  <c r="H2650" i="11"/>
  <c r="G2651" i="11"/>
  <c r="H2651" i="11"/>
  <c r="G2652" i="11"/>
  <c r="H2652" i="11"/>
  <c r="G2653" i="11"/>
  <c r="H2653" i="11"/>
  <c r="G2654" i="11"/>
  <c r="H2654" i="11"/>
  <c r="G2655" i="11"/>
  <c r="H2655" i="11"/>
  <c r="G2656" i="11"/>
  <c r="H2656" i="11"/>
  <c r="G2657" i="11"/>
  <c r="H2657" i="11"/>
  <c r="G2658" i="11"/>
  <c r="H2658" i="11"/>
  <c r="G2659" i="11"/>
  <c r="H2659" i="11"/>
  <c r="G2660" i="11"/>
  <c r="H2660" i="11"/>
  <c r="G2661" i="11"/>
  <c r="H2661" i="11"/>
  <c r="G2662" i="11"/>
  <c r="H2662" i="11"/>
  <c r="G2663" i="11"/>
  <c r="H2663" i="11"/>
  <c r="G2664" i="11"/>
  <c r="H2664" i="11"/>
  <c r="G2665" i="11"/>
  <c r="H2665" i="11"/>
  <c r="G2666" i="11"/>
  <c r="H2666" i="11"/>
  <c r="G2667" i="11"/>
  <c r="H2667" i="11"/>
  <c r="G2668" i="11"/>
  <c r="H2668" i="11"/>
  <c r="G2669" i="11"/>
  <c r="H2669" i="11"/>
  <c r="G2670" i="11"/>
  <c r="H2670" i="11"/>
  <c r="G2671" i="11"/>
  <c r="H2671" i="11"/>
  <c r="G2672" i="11"/>
  <c r="H2672" i="11"/>
  <c r="G2673" i="11"/>
  <c r="H2673" i="11"/>
  <c r="G2674" i="11"/>
  <c r="H2674" i="11"/>
  <c r="G2675" i="11"/>
  <c r="H2675" i="11"/>
  <c r="G2676" i="11"/>
  <c r="H2676" i="11"/>
  <c r="G2677" i="11"/>
  <c r="H2677" i="11"/>
  <c r="G2678" i="11"/>
  <c r="H2678" i="11"/>
  <c r="G2679" i="11"/>
  <c r="H2679" i="11"/>
  <c r="G2680" i="11"/>
  <c r="H2680" i="11"/>
  <c r="G2681" i="11"/>
  <c r="H2681" i="11"/>
  <c r="G2682" i="11"/>
  <c r="H2682" i="11"/>
  <c r="G2683" i="11"/>
  <c r="H2683" i="11"/>
  <c r="G2684" i="11"/>
  <c r="H2684" i="11"/>
  <c r="G2685" i="11"/>
  <c r="H2685" i="11"/>
  <c r="G2686" i="11"/>
  <c r="H2686" i="11"/>
  <c r="G2687" i="11"/>
  <c r="H2687" i="11"/>
  <c r="G2688" i="11"/>
  <c r="H2688" i="11"/>
  <c r="G2689" i="11"/>
  <c r="H2689" i="11"/>
  <c r="G2690" i="11"/>
  <c r="H2690" i="11"/>
  <c r="G2691" i="11"/>
  <c r="H2691" i="11"/>
  <c r="G2692" i="11"/>
  <c r="H2692" i="11"/>
  <c r="G2693" i="11"/>
  <c r="H2693" i="11"/>
  <c r="G2694" i="11"/>
  <c r="H2694" i="11"/>
  <c r="G2695" i="11"/>
  <c r="H2695" i="11"/>
  <c r="G2696" i="11"/>
  <c r="H2696" i="11"/>
  <c r="G2697" i="11"/>
  <c r="H2697" i="11"/>
  <c r="G2698" i="11"/>
  <c r="H2698" i="11"/>
  <c r="G2699" i="11"/>
  <c r="H2699" i="11"/>
  <c r="G2700" i="11"/>
  <c r="H2700" i="11"/>
  <c r="G2701" i="11"/>
  <c r="H2701" i="11"/>
  <c r="G2702" i="11"/>
  <c r="H2702" i="11"/>
  <c r="G2703" i="11"/>
  <c r="H2703" i="11"/>
  <c r="G2704" i="11"/>
  <c r="H2704" i="11"/>
  <c r="G2705" i="11"/>
  <c r="H2705" i="11"/>
  <c r="G2706" i="11"/>
  <c r="H2706" i="11"/>
  <c r="G2707" i="11"/>
  <c r="H2707" i="11"/>
  <c r="G2708" i="11"/>
  <c r="H2708" i="11"/>
  <c r="G2709" i="11"/>
  <c r="H2709" i="11"/>
  <c r="G2710" i="11"/>
  <c r="H2710" i="11"/>
  <c r="G2711" i="11"/>
  <c r="H2711" i="11"/>
  <c r="G2712" i="11"/>
  <c r="H2712" i="11"/>
  <c r="G2713" i="11"/>
  <c r="H2713" i="11"/>
  <c r="G2714" i="11"/>
  <c r="H2714" i="11"/>
  <c r="G2715" i="11"/>
  <c r="H2715" i="11"/>
  <c r="G2716" i="11"/>
  <c r="H2716" i="11"/>
  <c r="G2717" i="11"/>
  <c r="H2717" i="11"/>
  <c r="G2718" i="11"/>
  <c r="H2718" i="11"/>
  <c r="G2719" i="11"/>
  <c r="H2719" i="11"/>
  <c r="G2720" i="11"/>
  <c r="H2720" i="11"/>
  <c r="G2721" i="11"/>
  <c r="H2721" i="11"/>
  <c r="G2722" i="11"/>
  <c r="H2722" i="11"/>
  <c r="G2723" i="11"/>
  <c r="H2723" i="11"/>
  <c r="G2724" i="11"/>
  <c r="H2724" i="11"/>
  <c r="G2725" i="11"/>
  <c r="H2725" i="11"/>
  <c r="G2726" i="11"/>
  <c r="H2726" i="11"/>
  <c r="G2727" i="11"/>
  <c r="H2727" i="11"/>
  <c r="G2728" i="11"/>
  <c r="H2728" i="11"/>
  <c r="G2729" i="11"/>
  <c r="H2729" i="11"/>
  <c r="G2730" i="11"/>
  <c r="H2730" i="11"/>
  <c r="G2731" i="11"/>
  <c r="H2731" i="11"/>
  <c r="G2732" i="11"/>
  <c r="H2732" i="11"/>
  <c r="G2733" i="11"/>
  <c r="H2733" i="11"/>
  <c r="G2734" i="11"/>
  <c r="H2734" i="11"/>
  <c r="G2735" i="11"/>
  <c r="H2735" i="11"/>
  <c r="G2736" i="11"/>
  <c r="H2736" i="11"/>
  <c r="G2737" i="11"/>
  <c r="H2737" i="11"/>
  <c r="G2738" i="11"/>
  <c r="H2738" i="11"/>
  <c r="G2739" i="11"/>
  <c r="H2739" i="11"/>
  <c r="G2740" i="11"/>
  <c r="H2740" i="11"/>
  <c r="G2741" i="11"/>
  <c r="H2741" i="11"/>
  <c r="G2742" i="11"/>
  <c r="H2742" i="11"/>
  <c r="G2743" i="11"/>
  <c r="H2743" i="11"/>
  <c r="G2744" i="11"/>
  <c r="H2744" i="11"/>
  <c r="G2745" i="11"/>
  <c r="H2745" i="11"/>
  <c r="G2746" i="11"/>
  <c r="H2746" i="11"/>
  <c r="G2747" i="11"/>
  <c r="H2747" i="11"/>
  <c r="G2748" i="11"/>
  <c r="H2748" i="11"/>
  <c r="G2749" i="11"/>
  <c r="H2749" i="11"/>
  <c r="G2750" i="11"/>
  <c r="H2750" i="11"/>
  <c r="G2751" i="11"/>
  <c r="H2751" i="11"/>
  <c r="G2752" i="11"/>
  <c r="H2752" i="11"/>
  <c r="G2753" i="11"/>
  <c r="H2753" i="11"/>
  <c r="G2754" i="11"/>
  <c r="H2754" i="11"/>
  <c r="G2755" i="11"/>
  <c r="H2755" i="11"/>
  <c r="G2756" i="11"/>
  <c r="H2756" i="11"/>
  <c r="G2757" i="11"/>
  <c r="H2757" i="11"/>
  <c r="G2758" i="11"/>
  <c r="H2758" i="11"/>
  <c r="G2759" i="11"/>
  <c r="H2759" i="11"/>
  <c r="G2760" i="11"/>
  <c r="H2760" i="11"/>
  <c r="G2761" i="11"/>
  <c r="H2761" i="11"/>
  <c r="G2762" i="11"/>
  <c r="H2762" i="11"/>
  <c r="G2763" i="11"/>
  <c r="H2763" i="11"/>
  <c r="G2764" i="11"/>
  <c r="H2764" i="11"/>
  <c r="G2765" i="11"/>
  <c r="H2765" i="11"/>
  <c r="G2766" i="11"/>
  <c r="H2766" i="11"/>
  <c r="G2767" i="11"/>
  <c r="H2767" i="11"/>
  <c r="G2768" i="11"/>
  <c r="H2768" i="11"/>
  <c r="G2769" i="11"/>
  <c r="H2769" i="11"/>
  <c r="G2770" i="11"/>
  <c r="H2770" i="11"/>
  <c r="G2771" i="11"/>
  <c r="H2771" i="11"/>
  <c r="G2772" i="11"/>
  <c r="H2772" i="11"/>
  <c r="G2773" i="11"/>
  <c r="H2773" i="11"/>
  <c r="G2774" i="11"/>
  <c r="H2774" i="11"/>
  <c r="G2775" i="11"/>
  <c r="H2775" i="11"/>
  <c r="G2776" i="11"/>
  <c r="H2776" i="11"/>
  <c r="G2777" i="11"/>
  <c r="H2777" i="11"/>
  <c r="G2778" i="11"/>
  <c r="H2778" i="11"/>
  <c r="G2779" i="11"/>
  <c r="H2779" i="11"/>
  <c r="G2780" i="11"/>
  <c r="H2780" i="11"/>
  <c r="G2781" i="11"/>
  <c r="H2781" i="11"/>
  <c r="G2782" i="11"/>
  <c r="H2782" i="11"/>
  <c r="G2783" i="11"/>
  <c r="H2783" i="11"/>
  <c r="G2784" i="11"/>
  <c r="H2784" i="11"/>
  <c r="G2785" i="11"/>
  <c r="H2785" i="11"/>
  <c r="G2786" i="11"/>
  <c r="H2786" i="11"/>
  <c r="G2787" i="11"/>
  <c r="H2787" i="11"/>
  <c r="G2788" i="11"/>
  <c r="H2788" i="11"/>
  <c r="G2789" i="11"/>
  <c r="H2789" i="11"/>
  <c r="G2790" i="11"/>
  <c r="H2790" i="11"/>
  <c r="G2791" i="11"/>
  <c r="H2791" i="11"/>
  <c r="G2792" i="11"/>
  <c r="H2792" i="11"/>
  <c r="G2793" i="11"/>
  <c r="H2793" i="11"/>
  <c r="G2794" i="11"/>
  <c r="H2794" i="11"/>
  <c r="G2795" i="11"/>
  <c r="H2795" i="11"/>
  <c r="G2796" i="11"/>
  <c r="H2796" i="11"/>
  <c r="G2797" i="11"/>
  <c r="H2797" i="11"/>
  <c r="G2798" i="11"/>
  <c r="H2798" i="11"/>
  <c r="G2799" i="11"/>
  <c r="H2799" i="11"/>
  <c r="G2800" i="11"/>
  <c r="H2800" i="11"/>
  <c r="G2801" i="11"/>
  <c r="H2801" i="11"/>
  <c r="G2802" i="11"/>
  <c r="H2802" i="11"/>
  <c r="G2803" i="11"/>
  <c r="H2803" i="11"/>
  <c r="G2804" i="11"/>
  <c r="H2804" i="11"/>
  <c r="G2805" i="11"/>
  <c r="H2805" i="11"/>
  <c r="G2806" i="11"/>
  <c r="H2806" i="11"/>
  <c r="G2807" i="11"/>
  <c r="H2807" i="11"/>
  <c r="G2808" i="11"/>
  <c r="H2808" i="11"/>
  <c r="G2809" i="11"/>
  <c r="H2809" i="11"/>
  <c r="G2810" i="11"/>
  <c r="H2810" i="11"/>
  <c r="G2811" i="11"/>
  <c r="H2811" i="11"/>
  <c r="G2812" i="11"/>
  <c r="H2812" i="11"/>
  <c r="G2813" i="11"/>
  <c r="H2813" i="11"/>
  <c r="G2814" i="11"/>
  <c r="H2814" i="11"/>
  <c r="G2815" i="11"/>
  <c r="H2815" i="11"/>
  <c r="G2816" i="11"/>
  <c r="H2816" i="11"/>
  <c r="G2817" i="11"/>
  <c r="H2817" i="11"/>
  <c r="G2818" i="11"/>
  <c r="H2818" i="11"/>
  <c r="G2819" i="11"/>
  <c r="H2819" i="11"/>
  <c r="G2820" i="11"/>
  <c r="H2820" i="11"/>
  <c r="G2821" i="11"/>
  <c r="H2821" i="11"/>
  <c r="G2822" i="11"/>
  <c r="H2822" i="11"/>
  <c r="G2823" i="11"/>
  <c r="H2823" i="11"/>
  <c r="G2824" i="11"/>
  <c r="H2824" i="11"/>
  <c r="G2825" i="11"/>
  <c r="H2825" i="11"/>
  <c r="G2826" i="11"/>
  <c r="H2826" i="11"/>
  <c r="G2827" i="11"/>
  <c r="H2827" i="11"/>
  <c r="G2828" i="11"/>
  <c r="H2828" i="11"/>
  <c r="G2829" i="11"/>
  <c r="H2829" i="11"/>
  <c r="G2830" i="11"/>
  <c r="H2830" i="11"/>
  <c r="G2831" i="11"/>
  <c r="H2831" i="11"/>
  <c r="G2832" i="11"/>
  <c r="H2832" i="11"/>
  <c r="G2833" i="11"/>
  <c r="H2833" i="11"/>
  <c r="G2834" i="11"/>
  <c r="H2834" i="11"/>
  <c r="G2835" i="11"/>
  <c r="H2835" i="11"/>
  <c r="G2836" i="11"/>
  <c r="H2836" i="11"/>
  <c r="G2837" i="11"/>
  <c r="H2837" i="11"/>
  <c r="G2838" i="11"/>
  <c r="H2838" i="11"/>
  <c r="G2839" i="11"/>
  <c r="H2839" i="11"/>
  <c r="G2840" i="11"/>
  <c r="H2840" i="11"/>
  <c r="G2841" i="11"/>
  <c r="H2841" i="11"/>
  <c r="G2842" i="11"/>
  <c r="H2842" i="11"/>
  <c r="G2843" i="11"/>
  <c r="H2843" i="11"/>
  <c r="G2844" i="11"/>
  <c r="H2844" i="11"/>
  <c r="G2845" i="11"/>
  <c r="H2845" i="11"/>
  <c r="G2846" i="11"/>
  <c r="H2846" i="11"/>
  <c r="G2847" i="11"/>
  <c r="H2847" i="11"/>
  <c r="G2848" i="11"/>
  <c r="H2848" i="11"/>
  <c r="G2849" i="11"/>
  <c r="H2849" i="11"/>
  <c r="G2850" i="11"/>
  <c r="H2850" i="11"/>
  <c r="G2851" i="11"/>
  <c r="H2851" i="11"/>
  <c r="G2852" i="11"/>
  <c r="H2852" i="11"/>
  <c r="G2853" i="11"/>
  <c r="H2853" i="11"/>
  <c r="G2854" i="11"/>
  <c r="H2854" i="11"/>
  <c r="G2855" i="11"/>
  <c r="H2855" i="11"/>
  <c r="G2856" i="11"/>
  <c r="H2856" i="11"/>
  <c r="G2857" i="11"/>
  <c r="H2857" i="11"/>
  <c r="G2858" i="11"/>
  <c r="H2858" i="11"/>
  <c r="G2859" i="11"/>
  <c r="H2859" i="11"/>
  <c r="G2860" i="11"/>
  <c r="H2860" i="11"/>
  <c r="G2861" i="11"/>
  <c r="H2861" i="11"/>
  <c r="G2862" i="11"/>
  <c r="H2862" i="11"/>
  <c r="G2863" i="11"/>
  <c r="H2863" i="11"/>
  <c r="G2864" i="11"/>
  <c r="H2864" i="11"/>
  <c r="G2865" i="11"/>
  <c r="H2865" i="11"/>
  <c r="G2866" i="11"/>
  <c r="H2866" i="11"/>
  <c r="G2867" i="11"/>
  <c r="H2867" i="11"/>
  <c r="G2868" i="11"/>
  <c r="H2868" i="11"/>
  <c r="G2869" i="11"/>
  <c r="H2869" i="11"/>
  <c r="G2870" i="11"/>
  <c r="H2870" i="11"/>
  <c r="G2871" i="11"/>
  <c r="H2871" i="11"/>
  <c r="G2872" i="11"/>
  <c r="H2872" i="11"/>
  <c r="G2873" i="11"/>
  <c r="H2873" i="11"/>
  <c r="G2874" i="11"/>
  <c r="H2874" i="11"/>
  <c r="G2875" i="11"/>
  <c r="H2875" i="11"/>
  <c r="G2876" i="11"/>
  <c r="H2876" i="11"/>
  <c r="G2877" i="11"/>
  <c r="H2877" i="11"/>
  <c r="G2878" i="11"/>
  <c r="H2878" i="11"/>
  <c r="G2879" i="11"/>
  <c r="H2879" i="11"/>
  <c r="G2880" i="11"/>
  <c r="H2880" i="11"/>
  <c r="G2881" i="11"/>
  <c r="H2881" i="11"/>
  <c r="G2882" i="11"/>
  <c r="H2882" i="11"/>
  <c r="G2883" i="11"/>
  <c r="H2883" i="11"/>
  <c r="G2884" i="11"/>
  <c r="H2884" i="11"/>
  <c r="G2885" i="11"/>
  <c r="H2885" i="11"/>
  <c r="G2886" i="11"/>
  <c r="H2886" i="11"/>
  <c r="G2887" i="11"/>
  <c r="H2887" i="11"/>
  <c r="G2888" i="11"/>
  <c r="H2888" i="11"/>
  <c r="G2889" i="11"/>
  <c r="H2889" i="11"/>
  <c r="G2890" i="11"/>
  <c r="H2890" i="11"/>
  <c r="G2891" i="11"/>
  <c r="H2891" i="11"/>
  <c r="G2892" i="11"/>
  <c r="H2892" i="11"/>
  <c r="G2893" i="11"/>
  <c r="H2893" i="11"/>
  <c r="G2894" i="11"/>
  <c r="H2894" i="11"/>
  <c r="G2895" i="11"/>
  <c r="H2895" i="11"/>
  <c r="G2896" i="11"/>
  <c r="H2896" i="11"/>
  <c r="G2897" i="11"/>
  <c r="H2897" i="11"/>
  <c r="G2898" i="11"/>
  <c r="H2898" i="11"/>
  <c r="G2899" i="11"/>
  <c r="H2899" i="11"/>
  <c r="G2900" i="11"/>
  <c r="H2900" i="11"/>
  <c r="G2901" i="11"/>
  <c r="H2901" i="11"/>
  <c r="G2902" i="11"/>
  <c r="H2902" i="11"/>
  <c r="G2903" i="11"/>
  <c r="H2903" i="11"/>
  <c r="G2904" i="11"/>
  <c r="H2904" i="11"/>
  <c r="G2905" i="11"/>
  <c r="H2905" i="11"/>
  <c r="G2906" i="11"/>
  <c r="H2906" i="11"/>
  <c r="G2907" i="11"/>
  <c r="H2907" i="11"/>
  <c r="G2908" i="11"/>
  <c r="H2908" i="11"/>
  <c r="G2909" i="11"/>
  <c r="H2909" i="11"/>
  <c r="G2910" i="11"/>
  <c r="H2910" i="11"/>
  <c r="G2911" i="11"/>
  <c r="H2911" i="11"/>
  <c r="G2912" i="11"/>
  <c r="H2912" i="11"/>
  <c r="G2913" i="11"/>
  <c r="H2913" i="11"/>
  <c r="G2914" i="11"/>
  <c r="H2914" i="11"/>
  <c r="G2915" i="11"/>
  <c r="H2915" i="11"/>
  <c r="G2916" i="11"/>
  <c r="H2916" i="11"/>
  <c r="G2917" i="11"/>
  <c r="H2917" i="11"/>
  <c r="G2918" i="11"/>
  <c r="H2918" i="11"/>
  <c r="G2919" i="11"/>
  <c r="H2919" i="11"/>
  <c r="G2920" i="11"/>
  <c r="H2920" i="11"/>
  <c r="G2921" i="11"/>
  <c r="H2921" i="11"/>
  <c r="G2922" i="11"/>
  <c r="H2922" i="11"/>
  <c r="G2923" i="11"/>
  <c r="H2923" i="11"/>
  <c r="G2924" i="11"/>
  <c r="H2924" i="11"/>
  <c r="G2925" i="11"/>
  <c r="H2925" i="11"/>
  <c r="G2926" i="11"/>
  <c r="H2926" i="11"/>
  <c r="G2927" i="11"/>
  <c r="H2927" i="11"/>
  <c r="G2928" i="11"/>
  <c r="H2928" i="11"/>
  <c r="G2929" i="11"/>
  <c r="H2929" i="11"/>
  <c r="G2930" i="11"/>
  <c r="H2930" i="11"/>
  <c r="G2931" i="11"/>
  <c r="H2931" i="11"/>
  <c r="G2932" i="11"/>
  <c r="H2932" i="11"/>
  <c r="G2933" i="11"/>
  <c r="H2933" i="11"/>
  <c r="G2934" i="11"/>
  <c r="H2934" i="11"/>
  <c r="G2935" i="11"/>
  <c r="H2935" i="11"/>
  <c r="G2936" i="11"/>
  <c r="H2936" i="11"/>
  <c r="G2937" i="11"/>
  <c r="H2937" i="11"/>
  <c r="G2938" i="11"/>
  <c r="H2938" i="11"/>
  <c r="G2939" i="11"/>
  <c r="H2939" i="11"/>
  <c r="G2940" i="11"/>
  <c r="H2940" i="11"/>
  <c r="G2941" i="11"/>
  <c r="H2941" i="11"/>
  <c r="G2942" i="11"/>
  <c r="H2942" i="11"/>
  <c r="G2943" i="11"/>
  <c r="H2943" i="11"/>
  <c r="G2944" i="11"/>
  <c r="H2944" i="11"/>
  <c r="G2945" i="11"/>
  <c r="H2945" i="11"/>
  <c r="G2946" i="11"/>
  <c r="H2946" i="11"/>
  <c r="G2947" i="11"/>
  <c r="H2947" i="11"/>
  <c r="G2948" i="11"/>
  <c r="H2948" i="11"/>
  <c r="G2949" i="11"/>
  <c r="H2949" i="11"/>
  <c r="G2950" i="11"/>
  <c r="H2950" i="11"/>
  <c r="G2951" i="11"/>
  <c r="H2951" i="11"/>
  <c r="G2952" i="11"/>
  <c r="H2952" i="11"/>
  <c r="G2953" i="11"/>
  <c r="H2953" i="11"/>
  <c r="G2954" i="11"/>
  <c r="H2954" i="11"/>
  <c r="G2955" i="11"/>
  <c r="H2955" i="11"/>
  <c r="G2956" i="11"/>
  <c r="H2956" i="11"/>
  <c r="G2957" i="11"/>
  <c r="H2957" i="11"/>
  <c r="G2958" i="11"/>
  <c r="H2958" i="11"/>
  <c r="G2959" i="11"/>
  <c r="H2959" i="11"/>
  <c r="G2960" i="11"/>
  <c r="H2960" i="11"/>
  <c r="G2961" i="11"/>
  <c r="H2961" i="11"/>
  <c r="G2962" i="11"/>
  <c r="H2962" i="11"/>
  <c r="G2963" i="11"/>
  <c r="H2963" i="11"/>
  <c r="G2964" i="11"/>
  <c r="H2964" i="11"/>
  <c r="G2965" i="11"/>
  <c r="H2965" i="11"/>
  <c r="G2966" i="11"/>
  <c r="H2966" i="11"/>
  <c r="G2967" i="11"/>
  <c r="H2967" i="11"/>
  <c r="G2968" i="11"/>
  <c r="H2968" i="11"/>
  <c r="G2969" i="11"/>
  <c r="H2969" i="11"/>
  <c r="G2970" i="11"/>
  <c r="H2970" i="11"/>
  <c r="G2971" i="11"/>
  <c r="H2971" i="11"/>
  <c r="G2972" i="11"/>
  <c r="H2972" i="11"/>
  <c r="G2973" i="11"/>
  <c r="H2973" i="11"/>
  <c r="G2974" i="11"/>
  <c r="H2974" i="11"/>
  <c r="G2975" i="11"/>
  <c r="H2975" i="11"/>
  <c r="G2976" i="11"/>
  <c r="H2976" i="11"/>
  <c r="G2977" i="11"/>
  <c r="H2977" i="11"/>
  <c r="G2978" i="11"/>
  <c r="H2978" i="11"/>
  <c r="G2979" i="11"/>
  <c r="H2979" i="11"/>
  <c r="G2980" i="11"/>
  <c r="H2980" i="11"/>
  <c r="G2981" i="11"/>
  <c r="H2981" i="11"/>
  <c r="G2982" i="11"/>
  <c r="H2982" i="11"/>
  <c r="G2983" i="11"/>
  <c r="H2983" i="11"/>
  <c r="G2984" i="11"/>
  <c r="H2984" i="11"/>
  <c r="G2985" i="11"/>
  <c r="H2985" i="11"/>
  <c r="G2986" i="11"/>
  <c r="H2986" i="11"/>
  <c r="G2987" i="11"/>
  <c r="H2987" i="11"/>
  <c r="G2988" i="11"/>
  <c r="H2988" i="11"/>
  <c r="G2989" i="11"/>
  <c r="H2989" i="11"/>
  <c r="G2990" i="11"/>
  <c r="H2990" i="11"/>
  <c r="G2991" i="11"/>
  <c r="H2991" i="11"/>
  <c r="G2992" i="11"/>
  <c r="H2992" i="11"/>
  <c r="G2993" i="11"/>
  <c r="H2993" i="11"/>
  <c r="G2994" i="11"/>
  <c r="H2994" i="11"/>
  <c r="G2995" i="11"/>
  <c r="H2995" i="11"/>
  <c r="G2996" i="11"/>
  <c r="H2996" i="11"/>
  <c r="G2997" i="11"/>
  <c r="H2997" i="11"/>
  <c r="G2998" i="11"/>
  <c r="H2998" i="11"/>
  <c r="G2999" i="11"/>
  <c r="H2999" i="11"/>
  <c r="G3000" i="11"/>
  <c r="H3000" i="11"/>
  <c r="G3001" i="11"/>
  <c r="H3001" i="11"/>
  <c r="G3002" i="11"/>
  <c r="H3002" i="11"/>
  <c r="G3003" i="11"/>
  <c r="H3003" i="11"/>
  <c r="G3004" i="11"/>
  <c r="H3004" i="11"/>
  <c r="G3005" i="11"/>
  <c r="H3005" i="11"/>
  <c r="G3006" i="11"/>
  <c r="H3006" i="11"/>
  <c r="G3007" i="11"/>
  <c r="H3007" i="11"/>
  <c r="G3008" i="11"/>
  <c r="H3008" i="11"/>
  <c r="G3009" i="11"/>
  <c r="H3009" i="11"/>
  <c r="G3010" i="11"/>
  <c r="H3010" i="11"/>
  <c r="G3011" i="11"/>
  <c r="H3011" i="11"/>
  <c r="G3012" i="11"/>
  <c r="H3012" i="11"/>
  <c r="G3013" i="11"/>
  <c r="H3013" i="11"/>
  <c r="G3014" i="11"/>
  <c r="H3014" i="11"/>
  <c r="G3015" i="11"/>
  <c r="H3015" i="11"/>
  <c r="G3016" i="11"/>
  <c r="H3016" i="11"/>
  <c r="G3017" i="11"/>
  <c r="H3017" i="11"/>
  <c r="G3018" i="11"/>
  <c r="H3018" i="11"/>
  <c r="G3019" i="11"/>
  <c r="H3019" i="11"/>
  <c r="G3020" i="11"/>
  <c r="H3020" i="11"/>
  <c r="G3021" i="11"/>
  <c r="H3021" i="11"/>
  <c r="G3022" i="11"/>
  <c r="H3022" i="11"/>
  <c r="G3023" i="11"/>
  <c r="H3023" i="11"/>
  <c r="G3024" i="11"/>
  <c r="H3024" i="11"/>
  <c r="G3025" i="11"/>
  <c r="H3025" i="11"/>
  <c r="G3026" i="11"/>
  <c r="H3026" i="11"/>
  <c r="G3027" i="11"/>
  <c r="H3027" i="11"/>
  <c r="G3028" i="11"/>
  <c r="H3028" i="11"/>
  <c r="G3029" i="11"/>
  <c r="H3029" i="11"/>
  <c r="G3030" i="11"/>
  <c r="H3030" i="11"/>
  <c r="G3031" i="11"/>
  <c r="H3031" i="11"/>
  <c r="G3032" i="11"/>
  <c r="H3032" i="11"/>
  <c r="G3033" i="11"/>
  <c r="H3033" i="11"/>
  <c r="G3034" i="11"/>
  <c r="H3034" i="11"/>
  <c r="G3035" i="11"/>
  <c r="H3035" i="11"/>
  <c r="G3036" i="11"/>
  <c r="H3036" i="11"/>
  <c r="G3037" i="11"/>
  <c r="H3037" i="11"/>
  <c r="G3038" i="11"/>
  <c r="H3038" i="11"/>
  <c r="G3039" i="11"/>
  <c r="H3039" i="11"/>
  <c r="G3040" i="11"/>
  <c r="H3040" i="11"/>
  <c r="G3041" i="11"/>
  <c r="H3041" i="11"/>
  <c r="G3042" i="11"/>
  <c r="H3042" i="11"/>
  <c r="G3043" i="11"/>
  <c r="H3043" i="11"/>
  <c r="G3044" i="11"/>
  <c r="H3044" i="11"/>
  <c r="G3045" i="11"/>
  <c r="H3045" i="11"/>
  <c r="G3046" i="11"/>
  <c r="H3046" i="11"/>
  <c r="G3047" i="11"/>
  <c r="H3047" i="11"/>
  <c r="G3048" i="11"/>
  <c r="H3048" i="11"/>
  <c r="G3049" i="11"/>
  <c r="H3049" i="11"/>
  <c r="G3050" i="11"/>
  <c r="H3050" i="11"/>
  <c r="G3051" i="11"/>
  <c r="H3051" i="11"/>
  <c r="G3052" i="11"/>
  <c r="H3052" i="11"/>
  <c r="G3053" i="11"/>
  <c r="H3053" i="11"/>
  <c r="G3054" i="11"/>
  <c r="H3054" i="11"/>
  <c r="G3055" i="11"/>
  <c r="H3055" i="11"/>
  <c r="G3056" i="11"/>
  <c r="H3056" i="11"/>
  <c r="G3057" i="11"/>
  <c r="H3057" i="11"/>
  <c r="G3058" i="11"/>
  <c r="H3058" i="11"/>
  <c r="G3059" i="11"/>
  <c r="H3059" i="11"/>
  <c r="G3060" i="11"/>
  <c r="H3060" i="11"/>
  <c r="G3061" i="11"/>
  <c r="H3061" i="11"/>
  <c r="G3062" i="11"/>
  <c r="H3062" i="11"/>
  <c r="G3063" i="11"/>
  <c r="H3063" i="11"/>
  <c r="G3064" i="11"/>
  <c r="H3064" i="11"/>
  <c r="G3065" i="11"/>
  <c r="H3065" i="11"/>
  <c r="G3066" i="11"/>
  <c r="H3066" i="11"/>
  <c r="G3067" i="11"/>
  <c r="H3067" i="11"/>
  <c r="G3068" i="11"/>
  <c r="H3068" i="11"/>
  <c r="G3069" i="11"/>
  <c r="H3069" i="11"/>
  <c r="G3070" i="11"/>
  <c r="H3070" i="11"/>
  <c r="G3071" i="11"/>
  <c r="H3071" i="11"/>
  <c r="G3072" i="11"/>
  <c r="H3072" i="11"/>
  <c r="G3073" i="11"/>
  <c r="H3073" i="11"/>
  <c r="G3074" i="11"/>
  <c r="H3074" i="11"/>
  <c r="G3075" i="11"/>
  <c r="H3075" i="11"/>
  <c r="G3076" i="11"/>
  <c r="H3076" i="11"/>
  <c r="G3077" i="11"/>
  <c r="H3077" i="11"/>
  <c r="G3078" i="11"/>
  <c r="H3078" i="11"/>
  <c r="G3079" i="11"/>
  <c r="H3079" i="11"/>
  <c r="G3080" i="11"/>
  <c r="H3080" i="11"/>
  <c r="G3081" i="11"/>
  <c r="H3081" i="11"/>
  <c r="G3082" i="11"/>
  <c r="H3082" i="11"/>
  <c r="G3083" i="11"/>
  <c r="H3083" i="11"/>
  <c r="G3084" i="11"/>
  <c r="H3084" i="11"/>
  <c r="G3085" i="11"/>
  <c r="H3085" i="11"/>
  <c r="G3086" i="11"/>
  <c r="H3086" i="11"/>
  <c r="G3087" i="11"/>
  <c r="H3087" i="11"/>
  <c r="G3088" i="11"/>
  <c r="H3088" i="11"/>
  <c r="G3089" i="11"/>
  <c r="H3089" i="11"/>
  <c r="G3090" i="11"/>
  <c r="H3090" i="11"/>
  <c r="G3091" i="11"/>
  <c r="H3091" i="11"/>
  <c r="G3092" i="11"/>
  <c r="H3092" i="11"/>
  <c r="G3093" i="11"/>
  <c r="H3093" i="11"/>
  <c r="G3094" i="11"/>
  <c r="H3094" i="11"/>
  <c r="G3095" i="11"/>
  <c r="H3095" i="11"/>
  <c r="G3096" i="11"/>
  <c r="H3096" i="11"/>
  <c r="G3097" i="11"/>
  <c r="H3097" i="11"/>
  <c r="G3098" i="11"/>
  <c r="H3098" i="11"/>
  <c r="G3099" i="11"/>
  <c r="H3099" i="11"/>
  <c r="G3100" i="11"/>
  <c r="H3100" i="11"/>
  <c r="G3101" i="11"/>
  <c r="H3101" i="11"/>
  <c r="G3102" i="11"/>
  <c r="H3102" i="11"/>
  <c r="G3103" i="11"/>
  <c r="H3103" i="11"/>
  <c r="G3104" i="11"/>
  <c r="H3104" i="11"/>
  <c r="G3105" i="11"/>
  <c r="H3105" i="11"/>
  <c r="G3106" i="11"/>
  <c r="H3106" i="11"/>
  <c r="G3107" i="11"/>
  <c r="H3107" i="11"/>
  <c r="G3108" i="11"/>
  <c r="H3108" i="11"/>
  <c r="G3109" i="11"/>
  <c r="H3109" i="11"/>
  <c r="G3110" i="11"/>
  <c r="H3110" i="11"/>
  <c r="G3111" i="11"/>
  <c r="H3111" i="11"/>
  <c r="G3112" i="11"/>
  <c r="H3112" i="11"/>
  <c r="G3113" i="11"/>
  <c r="H3113" i="11"/>
  <c r="G3114" i="11"/>
  <c r="H3114" i="11"/>
  <c r="G3115" i="11"/>
  <c r="H3115" i="11"/>
  <c r="G3116" i="11"/>
  <c r="H3116" i="11"/>
  <c r="G3117" i="11"/>
  <c r="H3117" i="11"/>
  <c r="G3118" i="11"/>
  <c r="H3118" i="11"/>
  <c r="G3119" i="11"/>
  <c r="H3119" i="11"/>
  <c r="G3120" i="11"/>
  <c r="H3120" i="11"/>
  <c r="G3121" i="11"/>
  <c r="H3121" i="11"/>
  <c r="G3122" i="11"/>
  <c r="H3122" i="11"/>
  <c r="G3123" i="11"/>
  <c r="H3123" i="11"/>
  <c r="G3124" i="11"/>
  <c r="H3124" i="11"/>
  <c r="G3125" i="11"/>
  <c r="H3125" i="11"/>
  <c r="G3126" i="11"/>
  <c r="H3126" i="11"/>
  <c r="G3127" i="11"/>
  <c r="H3127" i="11"/>
  <c r="G3128" i="11"/>
  <c r="H3128" i="11"/>
  <c r="G3129" i="11"/>
  <c r="H3129" i="11"/>
  <c r="G3130" i="11"/>
  <c r="H3130" i="11"/>
  <c r="G3131" i="11"/>
  <c r="H3131" i="11"/>
  <c r="G3132" i="11"/>
  <c r="H3132" i="11"/>
  <c r="G3133" i="11"/>
  <c r="H3133" i="11"/>
  <c r="G3134" i="11"/>
  <c r="H3134" i="11"/>
  <c r="G3135" i="11"/>
  <c r="H3135" i="11"/>
  <c r="G3136" i="11"/>
  <c r="H3136" i="11"/>
  <c r="G3137" i="11"/>
  <c r="H3137" i="11"/>
  <c r="G3138" i="11"/>
  <c r="H3138" i="11"/>
  <c r="G3139" i="11"/>
  <c r="H3139" i="11"/>
  <c r="G3140" i="11"/>
  <c r="H3140" i="11"/>
  <c r="G3141" i="11"/>
  <c r="H3141" i="11"/>
  <c r="G3142" i="11"/>
  <c r="H3142" i="11"/>
  <c r="G3143" i="11"/>
  <c r="H3143" i="11"/>
  <c r="G3144" i="11"/>
  <c r="H3144" i="11"/>
  <c r="G3145" i="11"/>
  <c r="H3145" i="11"/>
  <c r="G3146" i="11"/>
  <c r="H3146" i="11"/>
  <c r="G3147" i="11"/>
  <c r="H3147" i="11"/>
  <c r="G3148" i="11"/>
  <c r="H3148" i="11"/>
  <c r="G3149" i="11"/>
  <c r="H3149" i="11"/>
  <c r="G3150" i="11"/>
  <c r="H3150" i="11"/>
  <c r="G3151" i="11"/>
  <c r="H3151" i="11"/>
  <c r="G3152" i="11"/>
  <c r="H3152" i="11"/>
  <c r="G3153" i="11"/>
  <c r="H3153" i="11"/>
  <c r="G3154" i="11"/>
  <c r="H3154" i="11"/>
  <c r="G3155" i="11"/>
  <c r="H3155" i="11"/>
  <c r="G3156" i="11"/>
  <c r="H3156" i="11"/>
  <c r="G3157" i="11"/>
  <c r="H3157" i="11"/>
  <c r="G3158" i="11"/>
  <c r="H3158" i="11"/>
  <c r="G3159" i="11"/>
  <c r="H3159" i="11"/>
  <c r="G3160" i="11"/>
  <c r="H3160" i="11"/>
  <c r="G3161" i="11"/>
  <c r="H3161" i="11"/>
  <c r="G3162" i="11"/>
  <c r="H3162" i="11"/>
  <c r="G3163" i="11"/>
  <c r="H3163" i="11"/>
  <c r="G3164" i="11"/>
  <c r="H3164" i="11"/>
  <c r="G3165" i="11"/>
  <c r="H3165" i="11"/>
  <c r="G3166" i="11"/>
  <c r="H3166" i="11"/>
  <c r="G3167" i="11"/>
  <c r="H3167" i="11"/>
  <c r="G3168" i="11"/>
  <c r="H3168" i="11"/>
  <c r="G3169" i="11"/>
  <c r="H3169" i="11"/>
  <c r="G3170" i="11"/>
  <c r="H3170" i="11"/>
  <c r="G3171" i="11"/>
  <c r="H3171" i="11"/>
  <c r="G3172" i="11"/>
  <c r="H3172" i="11"/>
  <c r="G3173" i="11"/>
  <c r="H3173" i="11"/>
  <c r="G3174" i="11"/>
  <c r="H3174" i="11"/>
  <c r="G3175" i="11"/>
  <c r="H3175" i="11"/>
  <c r="G3176" i="11"/>
  <c r="H3176" i="11"/>
  <c r="G3177" i="11"/>
  <c r="H3177" i="11"/>
  <c r="G3178" i="11"/>
  <c r="H3178" i="11"/>
  <c r="G3179" i="11"/>
  <c r="H3179" i="11"/>
  <c r="G3180" i="11"/>
  <c r="H3180" i="11"/>
  <c r="G3181" i="11"/>
  <c r="H3181" i="11"/>
  <c r="G3182" i="11"/>
  <c r="H3182" i="11"/>
  <c r="G3183" i="11"/>
  <c r="H3183" i="11"/>
  <c r="G3184" i="11"/>
  <c r="H3184" i="11"/>
  <c r="G3185" i="11"/>
  <c r="H3185" i="11"/>
  <c r="G3186" i="11"/>
  <c r="H3186" i="11"/>
  <c r="G3187" i="11"/>
  <c r="H3187" i="11"/>
  <c r="G3188" i="11"/>
  <c r="H3188" i="11"/>
  <c r="G3189" i="11"/>
  <c r="H3189" i="11"/>
  <c r="G3190" i="11"/>
  <c r="H3190" i="11"/>
  <c r="G3191" i="11"/>
  <c r="H3191" i="11"/>
  <c r="G3192" i="11"/>
  <c r="H3192" i="11"/>
  <c r="G3193" i="11"/>
  <c r="H3193" i="11"/>
  <c r="G3194" i="11"/>
  <c r="H3194" i="11"/>
  <c r="G3195" i="11"/>
  <c r="H3195" i="11"/>
  <c r="G3196" i="11"/>
  <c r="H3196" i="11"/>
  <c r="G3197" i="11"/>
  <c r="H3197" i="11"/>
  <c r="G3198" i="11"/>
  <c r="H3198" i="11"/>
  <c r="G3199" i="11"/>
  <c r="H3199" i="11"/>
  <c r="G3200" i="11"/>
  <c r="H3200" i="11"/>
  <c r="G3201" i="11"/>
  <c r="H3201" i="11"/>
  <c r="G3202" i="11"/>
  <c r="H3202" i="11"/>
  <c r="G3203" i="11"/>
  <c r="H3203" i="11"/>
  <c r="G3204" i="11"/>
  <c r="H3204" i="11"/>
  <c r="G3205" i="11"/>
  <c r="H3205" i="11"/>
  <c r="G3206" i="11"/>
  <c r="H3206" i="11"/>
  <c r="G3207" i="11"/>
  <c r="H3207" i="11"/>
  <c r="G3208" i="11"/>
  <c r="H3208" i="11"/>
  <c r="G3209" i="11"/>
  <c r="H3209" i="11"/>
  <c r="G3210" i="11"/>
  <c r="H3210" i="11"/>
  <c r="G3211" i="11"/>
  <c r="H3211" i="11"/>
  <c r="G3212" i="11"/>
  <c r="H3212" i="11"/>
  <c r="G3213" i="11"/>
  <c r="H3213" i="11"/>
  <c r="H3" i="11"/>
  <c r="G3" i="11"/>
  <c r="A2699" i="11" l="1"/>
  <c r="A1787" i="11"/>
  <c r="A2029" i="11"/>
  <c r="A3025" i="11"/>
  <c r="A2418" i="11"/>
  <c r="A1848" i="11"/>
  <c r="A2329" i="11"/>
  <c r="A956" i="11"/>
  <c r="A225" i="11"/>
  <c r="A218" i="11"/>
  <c r="A1205" i="11"/>
  <c r="A1916" i="11"/>
  <c r="A3267" i="11"/>
  <c r="A298" i="11"/>
  <c r="A3245" i="11"/>
  <c r="A989" i="11"/>
  <c r="A1049" i="11"/>
  <c r="A3494" i="11"/>
  <c r="A302" i="11"/>
  <c r="A3611" i="11"/>
  <c r="A2524" i="11"/>
  <c r="A2789" i="11"/>
  <c r="A1204" i="11"/>
  <c r="A1369" i="11"/>
  <c r="A875" i="11"/>
  <c r="A3692" i="11"/>
  <c r="A445" i="11"/>
  <c r="A2353" i="11"/>
  <c r="A3633" i="11"/>
  <c r="A3144" i="11"/>
  <c r="A52" i="11"/>
  <c r="A2145" i="11"/>
  <c r="A1372" i="11"/>
  <c r="A1401" i="11"/>
  <c r="A1427" i="11"/>
  <c r="A545" i="11"/>
  <c r="A345" i="11"/>
  <c r="A674" i="11"/>
  <c r="A1235" i="11"/>
  <c r="A2404" i="11"/>
  <c r="A2185" i="11"/>
  <c r="A335" i="11"/>
  <c r="A1648" i="11"/>
  <c r="A126" i="11"/>
  <c r="A1752" i="11"/>
  <c r="A2440" i="11"/>
  <c r="A2083" i="11"/>
  <c r="A143" i="11"/>
  <c r="A1037" i="11"/>
  <c r="A2048" i="11"/>
  <c r="A2065" i="11"/>
  <c r="A758" i="11"/>
  <c r="A1013" i="11"/>
  <c r="A408" i="11"/>
  <c r="A3600" i="11"/>
  <c r="A3500" i="11"/>
  <c r="A2937" i="11"/>
  <c r="A1468" i="11"/>
  <c r="A204" i="11"/>
  <c r="A3177" i="11"/>
  <c r="A2238" i="11"/>
  <c r="A2165" i="11"/>
  <c r="A809" i="11"/>
  <c r="A2194" i="11"/>
  <c r="A3527" i="11"/>
  <c r="A1415" i="11"/>
  <c r="A32" i="11"/>
  <c r="A2985" i="11"/>
  <c r="A506" i="11"/>
  <c r="A2678" i="11"/>
  <c r="A1364" i="11"/>
  <c r="A911" i="11"/>
  <c r="A1704" i="11"/>
  <c r="A531" i="11"/>
  <c r="A2219" i="11"/>
  <c r="A378" i="11"/>
  <c r="A2501" i="11"/>
  <c r="A2120" i="11"/>
  <c r="A3492" i="11"/>
  <c r="A193" i="11"/>
  <c r="A3446" i="11"/>
  <c r="A3666" i="11"/>
  <c r="A1266" i="11"/>
  <c r="A3327" i="11"/>
  <c r="A1698" i="11"/>
  <c r="A158" i="11"/>
  <c r="A3443" i="11"/>
  <c r="A2880" i="11"/>
  <c r="A2182" i="11"/>
  <c r="A1138" i="11"/>
  <c r="A3522" i="11"/>
  <c r="A2493" i="11"/>
  <c r="A471" i="11"/>
  <c r="A1125" i="11"/>
  <c r="A78" i="11"/>
  <c r="A565" i="11"/>
  <c r="A1538" i="11"/>
  <c r="A1722" i="11"/>
  <c r="A2093" i="11"/>
  <c r="A3047" i="11"/>
  <c r="A3749" i="11"/>
  <c r="A2719" i="11"/>
  <c r="A1197" i="11"/>
  <c r="A918" i="11"/>
  <c r="A361" i="11"/>
  <c r="A117" i="11"/>
  <c r="A3778" i="11"/>
  <c r="A3031" i="11"/>
  <c r="A1089" i="11"/>
  <c r="A3543" i="11"/>
  <c r="A947" i="11"/>
  <c r="A1609" i="11"/>
  <c r="A3018" i="11"/>
  <c r="A3785" i="11"/>
  <c r="A2064" i="11"/>
  <c r="A2588" i="11"/>
  <c r="A2538" i="11"/>
  <c r="A595" i="11"/>
  <c r="A2066" i="11"/>
  <c r="A2045" i="11"/>
  <c r="A3792" i="11"/>
  <c r="A325" i="11"/>
  <c r="A537" i="11"/>
  <c r="A808" i="11"/>
  <c r="A877" i="11"/>
  <c r="A872" i="11"/>
  <c r="A1676" i="11"/>
  <c r="A1801" i="11"/>
  <c r="A2031" i="11"/>
  <c r="A3552" i="11"/>
  <c r="A2157" i="11"/>
  <c r="A1956" i="11"/>
  <c r="A1949" i="11"/>
  <c r="A3352" i="11"/>
  <c r="A369" i="11"/>
  <c r="A854" i="11"/>
  <c r="A2665" i="11"/>
  <c r="A2673" i="11"/>
  <c r="A1046" i="11"/>
  <c r="A2507" i="11"/>
  <c r="A3516" i="11"/>
  <c r="A794" i="11"/>
  <c r="A843" i="11"/>
  <c r="A3559" i="11"/>
  <c r="A2760" i="11"/>
  <c r="A2370" i="11"/>
  <c r="A1464" i="11"/>
  <c r="A2050" i="11"/>
  <c r="A1268" i="11"/>
  <c r="A81" i="11"/>
  <c r="A753" i="11"/>
  <c r="A558" i="11"/>
  <c r="A1952" i="11"/>
  <c r="A582" i="11"/>
  <c r="A2857" i="11"/>
  <c r="A1118" i="11"/>
  <c r="A2447" i="11"/>
  <c r="A86" i="11"/>
  <c r="A2125" i="11"/>
  <c r="A397" i="11"/>
  <c r="A2451" i="11"/>
  <c r="A2604" i="11"/>
  <c r="A3553" i="11"/>
  <c r="A1522" i="11"/>
  <c r="A2649" i="11"/>
  <c r="A2612" i="11"/>
  <c r="A403" i="11"/>
  <c r="A3200" i="11"/>
  <c r="A1356" i="11"/>
  <c r="A1355" i="11"/>
  <c r="A1482" i="11"/>
  <c r="A3214" i="11"/>
  <c r="A1303" i="11"/>
  <c r="A1853" i="11"/>
  <c r="A2554" i="11"/>
  <c r="A2305" i="11"/>
  <c r="A1624" i="11"/>
  <c r="A637" i="11"/>
  <c r="A2337" i="11"/>
  <c r="A1106" i="11"/>
  <c r="A973" i="11"/>
  <c r="A2945" i="11"/>
  <c r="A1743" i="11"/>
  <c r="A970" i="11"/>
  <c r="A2933" i="11"/>
  <c r="A2138" i="11"/>
  <c r="A3563" i="11"/>
  <c r="A525" i="11"/>
  <c r="A2807" i="11"/>
  <c r="A2321" i="11"/>
  <c r="A3210" i="11"/>
  <c r="A239" i="11"/>
  <c r="A3568" i="11"/>
  <c r="A763" i="11"/>
  <c r="A3142" i="11"/>
  <c r="A1520" i="11"/>
  <c r="A110" i="11"/>
  <c r="A2740" i="11"/>
  <c r="A2697" i="11"/>
  <c r="A203" i="11"/>
  <c r="A1252" i="11"/>
  <c r="A2204" i="11"/>
  <c r="A2067" i="11"/>
  <c r="A2460" i="11"/>
  <c r="A2049" i="11"/>
  <c r="A353" i="11"/>
  <c r="A2750" i="11"/>
  <c r="A1932" i="11"/>
  <c r="A3765" i="11"/>
  <c r="A1970" i="11"/>
  <c r="A3087" i="11"/>
  <c r="A969" i="11"/>
  <c r="A628" i="11"/>
  <c r="A1295" i="11"/>
  <c r="A1746" i="11"/>
  <c r="A141" i="11"/>
  <c r="A638" i="11"/>
  <c r="A2904" i="11"/>
  <c r="A1985" i="11"/>
  <c r="A1070" i="11"/>
  <c r="A2011" i="11"/>
  <c r="A979" i="11"/>
  <c r="A817" i="11"/>
  <c r="A201" i="11"/>
  <c r="A3505" i="11"/>
  <c r="A3762" i="11"/>
  <c r="A1459" i="11"/>
  <c r="A3013" i="11"/>
  <c r="A1637" i="11"/>
  <c r="A1499" i="11"/>
  <c r="A3134" i="11"/>
  <c r="A406" i="11"/>
  <c r="A333" i="11"/>
  <c r="A2129" i="11"/>
  <c r="A3515" i="11"/>
  <c r="A125" i="11"/>
  <c r="A2827" i="11"/>
  <c r="A1341" i="11"/>
  <c r="A670" i="11"/>
  <c r="A3570" i="11"/>
  <c r="A561" i="11"/>
  <c r="A2521" i="11"/>
  <c r="A2960" i="11"/>
  <c r="A306" i="11"/>
  <c r="A134" i="11"/>
  <c r="A1843" i="11"/>
  <c r="A1850" i="11"/>
  <c r="A1480" i="11"/>
  <c r="A3084" i="11"/>
  <c r="A2253" i="11"/>
  <c r="A2692" i="11"/>
  <c r="A3561" i="11"/>
  <c r="A842" i="11"/>
  <c r="A2626" i="11"/>
  <c r="A685" i="11"/>
  <c r="A1755" i="11"/>
  <c r="A2335" i="11"/>
  <c r="A1165" i="11"/>
  <c r="A1399" i="11"/>
  <c r="A3493" i="11"/>
  <c r="A371" i="11"/>
  <c r="A1248" i="11"/>
  <c r="A786" i="11"/>
  <c r="A417" i="11"/>
  <c r="A757" i="11"/>
  <c r="A2599" i="11"/>
  <c r="A3802" i="11"/>
  <c r="A954" i="11"/>
  <c r="A230" i="11"/>
  <c r="A2441" i="11"/>
  <c r="A3526" i="11"/>
  <c r="A1154" i="11"/>
  <c r="A155" i="11"/>
  <c r="A1131" i="11"/>
  <c r="A1150" i="11"/>
  <c r="A1951" i="11"/>
  <c r="A507" i="11"/>
  <c r="A1443" i="11"/>
  <c r="A1012" i="11"/>
  <c r="A2675" i="11"/>
  <c r="A2270" i="11"/>
  <c r="A865" i="11"/>
  <c r="A129" i="11"/>
  <c r="A839" i="11"/>
  <c r="A774" i="11"/>
  <c r="A3647" i="11"/>
  <c r="A756" i="11"/>
  <c r="A733" i="11"/>
  <c r="A930" i="11"/>
  <c r="A1195" i="11"/>
  <c r="A2860" i="11"/>
  <c r="A286" i="11"/>
  <c r="A2585" i="11"/>
  <c r="A6" i="11"/>
  <c r="A2536" i="11"/>
  <c r="A1317" i="11"/>
  <c r="A1882" i="11"/>
  <c r="A2080" i="11"/>
  <c r="A2282" i="11"/>
  <c r="A3176" i="11"/>
  <c r="A773" i="11"/>
  <c r="A453" i="11"/>
  <c r="A1050" i="11"/>
  <c r="A1824" i="11"/>
  <c r="A1518" i="11"/>
  <c r="A121" i="11"/>
  <c r="A2352" i="11"/>
  <c r="A2808" i="11"/>
  <c r="A2979" i="11"/>
  <c r="A2015" i="11"/>
  <c r="A3460" i="11"/>
  <c r="A2686" i="11"/>
  <c r="A2106" i="11"/>
  <c r="A976" i="11"/>
  <c r="A3052" i="11"/>
  <c r="A1933" i="11"/>
  <c r="A823" i="11"/>
  <c r="A984" i="11"/>
  <c r="A3572" i="11"/>
  <c r="A2092" i="11"/>
  <c r="A1713" i="11"/>
  <c r="A3012" i="11"/>
  <c r="A1872" i="11"/>
  <c r="A164" i="11"/>
  <c r="A2989" i="11"/>
  <c r="A867" i="11"/>
  <c r="A3752" i="11"/>
  <c r="A706" i="11"/>
  <c r="A1373" i="11"/>
  <c r="A1762" i="11"/>
  <c r="A366" i="11"/>
  <c r="A3479" i="11"/>
  <c r="A1557" i="11"/>
  <c r="A3709" i="11"/>
  <c r="A3777" i="11"/>
  <c r="A651" i="11"/>
  <c r="A3788" i="11"/>
  <c r="A3354" i="11"/>
  <c r="A2019" i="11"/>
  <c r="A1305" i="11"/>
  <c r="A1008" i="11"/>
  <c r="A2956" i="11"/>
  <c r="A3429" i="11"/>
  <c r="A1739" i="11"/>
  <c r="A2258" i="11"/>
  <c r="A3649" i="11"/>
  <c r="A1892" i="11"/>
  <c r="A43" i="11"/>
  <c r="A2858" i="11"/>
  <c r="A1564" i="11"/>
  <c r="A1270" i="11"/>
  <c r="A3048" i="11"/>
  <c r="A2208" i="11"/>
  <c r="A937" i="11"/>
  <c r="A3154" i="11"/>
  <c r="A647" i="11"/>
  <c r="A3650" i="11"/>
  <c r="A2566" i="11"/>
  <c r="A2828" i="11"/>
  <c r="A337" i="11"/>
  <c r="A2183" i="11"/>
  <c r="A1047" i="11"/>
  <c r="A1582" i="11"/>
  <c r="A3593" i="11"/>
  <c r="A2706" i="11"/>
  <c r="A1102" i="11"/>
  <c r="A2108" i="11"/>
  <c r="A156" i="11"/>
  <c r="A281" i="11"/>
  <c r="A268" i="11"/>
  <c r="A573" i="11"/>
  <c r="A2119" i="11"/>
  <c r="A123" i="11"/>
  <c r="A2171" i="11"/>
  <c r="A364" i="11"/>
  <c r="A3726" i="11"/>
  <c r="A3062" i="11"/>
  <c r="A419" i="11"/>
  <c r="A3064" i="11"/>
  <c r="A267" i="11"/>
  <c r="A468" i="11"/>
  <c r="A1687" i="11"/>
  <c r="A3462" i="11"/>
  <c r="A1069" i="11"/>
  <c r="A102" i="11"/>
  <c r="A3735" i="11"/>
  <c r="A3339" i="11"/>
  <c r="A1169" i="11"/>
  <c r="A1036" i="11"/>
  <c r="A2976" i="11"/>
  <c r="A2918" i="11"/>
  <c r="A1540" i="11"/>
  <c r="A2308" i="11"/>
  <c r="A2211" i="11"/>
  <c r="A1600" i="11"/>
  <c r="A2852" i="11"/>
  <c r="A519" i="11"/>
  <c r="A3404" i="11"/>
  <c r="A762" i="11"/>
  <c r="A1666" i="11"/>
  <c r="A1690" i="11"/>
  <c r="A320" i="11"/>
  <c r="A2928" i="11"/>
  <c r="A315" i="11"/>
  <c r="A900" i="11"/>
  <c r="A910" i="11"/>
  <c r="A1917" i="11"/>
  <c r="A3114" i="11"/>
  <c r="A1706" i="11"/>
  <c r="A3019" i="11"/>
  <c r="A1296" i="11"/>
  <c r="A3473" i="11"/>
  <c r="A2198" i="11"/>
  <c r="A2376" i="11"/>
  <c r="A1438" i="11"/>
  <c r="A1647" i="11"/>
  <c r="A2849" i="11"/>
  <c r="A3775" i="11"/>
  <c r="A3300" i="11"/>
  <c r="A3712" i="11"/>
  <c r="A1122" i="11"/>
  <c r="A1148" i="11"/>
  <c r="A2637" i="11"/>
  <c r="A3277" i="11"/>
  <c r="A3467" i="11"/>
  <c r="A3724" i="11"/>
  <c r="A1922" i="11"/>
  <c r="A1570" i="11"/>
  <c r="A2494" i="11"/>
  <c r="A3769" i="11"/>
  <c r="A476" i="11"/>
  <c r="A3228" i="11"/>
  <c r="A1478" i="11"/>
  <c r="A3167" i="11"/>
  <c r="A1366" i="11"/>
  <c r="A3241" i="11"/>
  <c r="A1045" i="11"/>
  <c r="A2419" i="11"/>
  <c r="A2098" i="11"/>
  <c r="A270" i="11"/>
  <c r="A3184" i="11"/>
  <c r="A977" i="11"/>
  <c r="A3162" i="11"/>
  <c r="A3197" i="11"/>
  <c r="A3101" i="11"/>
  <c r="A96" i="11"/>
  <c r="A3399" i="11"/>
  <c r="A2262" i="11"/>
  <c r="A1096" i="11"/>
  <c r="A2221" i="11"/>
  <c r="A2054" i="11"/>
  <c r="A2232" i="11"/>
  <c r="A2814" i="11"/>
  <c r="A656" i="11"/>
  <c r="A778" i="11"/>
  <c r="A327" i="11"/>
  <c r="A3372" i="11"/>
  <c r="A1467" i="11"/>
  <c r="A3490" i="11"/>
  <c r="A3124" i="11"/>
  <c r="A515" i="11"/>
  <c r="A1855" i="11"/>
  <c r="A2934" i="11"/>
  <c r="A2313" i="11"/>
  <c r="A244" i="11"/>
  <c r="A1741" i="11"/>
  <c r="A3004" i="11"/>
  <c r="A3242" i="11"/>
  <c r="A217" i="11"/>
  <c r="A310" i="11"/>
  <c r="A3350" i="11"/>
  <c r="A3085" i="11"/>
  <c r="A2716" i="11"/>
  <c r="A1961" i="11"/>
  <c r="A2393" i="11"/>
  <c r="A2780" i="11"/>
  <c r="A3213" i="11"/>
  <c r="A3748" i="11"/>
  <c r="A61" i="11"/>
  <c r="A1726" i="11"/>
  <c r="A1237" i="11"/>
  <c r="A332" i="11"/>
  <c r="A503" i="11"/>
  <c r="A3174" i="11"/>
  <c r="A2978" i="11"/>
  <c r="A2900" i="11"/>
  <c r="A2778" i="11"/>
  <c r="A3750" i="11"/>
  <c r="A2974" i="11"/>
  <c r="A3745" i="11"/>
  <c r="A1340" i="11"/>
  <c r="A1875" i="11"/>
  <c r="A2969" i="11"/>
  <c r="A1635" i="11"/>
  <c r="A3061" i="11"/>
  <c r="A1153" i="11"/>
  <c r="A3388" i="11"/>
  <c r="A3030" i="11"/>
  <c r="A1918" i="11"/>
  <c r="A3003" i="11"/>
  <c r="A1281" i="11"/>
  <c r="A39" i="11"/>
  <c r="A1981" i="11"/>
  <c r="A2121" i="11"/>
  <c r="A1783" i="11"/>
  <c r="A2963" i="11"/>
  <c r="A578" i="11"/>
  <c r="A3585" i="11"/>
  <c r="A653" i="11"/>
  <c r="A363" i="11"/>
  <c r="A3668" i="11"/>
  <c r="A1862" i="11"/>
  <c r="A2586" i="11"/>
  <c r="A2590" i="11"/>
  <c r="A1267" i="11"/>
  <c r="A2503" i="11"/>
  <c r="A1732" i="11"/>
  <c r="A676" i="11"/>
  <c r="A1491" i="11"/>
  <c r="A828" i="11"/>
  <c r="A3418" i="11"/>
  <c r="A3468" i="11"/>
  <c r="A2788" i="11"/>
  <c r="A3207" i="11"/>
  <c r="A1084" i="11"/>
  <c r="A1231" i="11"/>
  <c r="A2758" i="11"/>
  <c r="A330" i="11"/>
  <c r="A220" i="11"/>
  <c r="A1214" i="11"/>
  <c r="A2192" i="11"/>
  <c r="A897" i="11"/>
  <c r="A2914" i="11"/>
  <c r="A2484" i="11"/>
  <c r="A1470" i="11"/>
  <c r="A951" i="11"/>
  <c r="A917" i="11"/>
  <c r="A738" i="11"/>
  <c r="A1863" i="11"/>
  <c r="A2722" i="11"/>
  <c r="A2997" i="11"/>
  <c r="A2965" i="11"/>
  <c r="A3425" i="11"/>
  <c r="A1532" i="11"/>
  <c r="A2964" i="11"/>
  <c r="A2877" i="11"/>
  <c r="A3240" i="11"/>
  <c r="A1720" i="11"/>
  <c r="A3349" i="11"/>
  <c r="A2631" i="11"/>
  <c r="A1639" i="11"/>
  <c r="A3325" i="11"/>
  <c r="A2001" i="11"/>
  <c r="A1511" i="11"/>
  <c r="A1462" i="11"/>
  <c r="A1515" i="11"/>
  <c r="A3714" i="11"/>
  <c r="A2402" i="11"/>
  <c r="A694" i="11"/>
  <c r="A3659" i="11"/>
  <c r="A1234" i="11"/>
  <c r="A2845" i="11"/>
  <c r="A3442" i="11"/>
  <c r="A2804" i="11"/>
  <c r="A1757" i="11"/>
  <c r="A1514" i="11"/>
  <c r="A1152" i="11"/>
  <c r="A1253" i="11"/>
  <c r="A1832" i="11"/>
  <c r="A2510" i="11"/>
  <c r="A1346" i="11"/>
  <c r="A235" i="11"/>
  <c r="A719" i="11"/>
  <c r="A2062" i="11"/>
  <c r="A542" i="11"/>
  <c r="A1604" i="11"/>
  <c r="A1348" i="11"/>
  <c r="A882" i="11"/>
  <c r="A857" i="11"/>
  <c r="A3196" i="11"/>
  <c r="A3093" i="11"/>
  <c r="A3135" i="11"/>
  <c r="A1393" i="11"/>
  <c r="A988" i="11"/>
  <c r="A3152" i="11"/>
  <c r="A3744" i="11"/>
  <c r="A2097" i="11"/>
  <c r="A1379" i="11"/>
  <c r="A1302" i="11"/>
  <c r="A1846" i="11"/>
  <c r="A2489" i="11"/>
  <c r="A3454" i="11"/>
  <c r="A1269" i="11"/>
  <c r="A1225" i="11"/>
  <c r="A1675" i="11"/>
  <c r="A2473" i="11"/>
  <c r="A2294" i="11"/>
  <c r="A2972" i="11"/>
  <c r="A2467" i="11"/>
  <c r="A704" i="11"/>
  <c r="A2024" i="11"/>
  <c r="A2287" i="11"/>
  <c r="A405" i="11"/>
  <c r="A37" i="11"/>
  <c r="A538" i="11"/>
  <c r="A2578" i="11"/>
  <c r="A79" i="11"/>
  <c r="A2958" i="11"/>
  <c r="A3165" i="11"/>
  <c r="A2569" i="11"/>
  <c r="A3407" i="11"/>
  <c r="A1754" i="11"/>
  <c r="A131" i="11"/>
  <c r="A1115" i="11"/>
  <c r="A2971" i="11"/>
  <c r="A543" i="11"/>
  <c r="A379" i="11"/>
  <c r="A1997" i="11"/>
  <c r="A2835" i="11"/>
  <c r="A1829" i="11"/>
  <c r="A1926" i="11"/>
  <c r="A3078" i="11"/>
  <c r="A1733" i="11"/>
  <c r="A1776" i="11"/>
  <c r="A3781" i="11"/>
  <c r="A3606" i="11"/>
  <c r="A3217" i="11"/>
  <c r="A768" i="11"/>
  <c r="A1571" i="11"/>
  <c r="A3278" i="11"/>
  <c r="A852" i="11"/>
  <c r="A883" i="11"/>
  <c r="A1363" i="11"/>
  <c r="A534" i="11"/>
  <c r="A14" i="11"/>
  <c r="A1852" i="11"/>
  <c r="A3734" i="11"/>
  <c r="A2689" i="11"/>
  <c r="A3375" i="11"/>
  <c r="A804" i="11"/>
  <c r="A514" i="11"/>
  <c r="A3753" i="11"/>
  <c r="A622" i="11"/>
  <c r="A251" i="11"/>
  <c r="A2137" i="11"/>
  <c r="A209" i="11"/>
  <c r="A3002" i="11"/>
  <c r="A613" i="11"/>
  <c r="A341" i="11"/>
  <c r="A1724" i="11"/>
  <c r="A2394" i="11"/>
  <c r="A3465" i="11"/>
  <c r="A280" i="11"/>
  <c r="A3764" i="11"/>
  <c r="A2830" i="11"/>
  <c r="A1432" i="11"/>
  <c r="A1823" i="11"/>
  <c r="A1585" i="11"/>
  <c r="A392" i="11"/>
  <c r="A491" i="11"/>
  <c r="A1210" i="11"/>
  <c r="A3269" i="11"/>
  <c r="A3237" i="11"/>
  <c r="A481" i="11"/>
  <c r="A2950" i="11"/>
  <c r="A3344" i="11"/>
  <c r="A1986" i="11"/>
  <c r="A3577" i="11"/>
  <c r="A2561" i="11"/>
  <c r="A1692" i="11"/>
  <c r="A92" i="11"/>
  <c r="A1780" i="11"/>
  <c r="A606" i="11"/>
  <c r="A3551" i="11"/>
  <c r="A836" i="11"/>
  <c r="A787" i="11"/>
  <c r="A2528" i="11"/>
  <c r="A3808" i="11"/>
  <c r="A50" i="11"/>
  <c r="A1723" i="11"/>
  <c r="A3006" i="11"/>
  <c r="A3250" i="11"/>
  <c r="A2228" i="11"/>
  <c r="A527" i="11"/>
  <c r="A1038" i="11"/>
  <c r="A2582" i="11"/>
  <c r="A181" i="11"/>
  <c r="A2629" i="11"/>
  <c r="A3737" i="11"/>
  <c r="A2707" i="11"/>
  <c r="A1184" i="11"/>
  <c r="A1876" i="11"/>
  <c r="A3422" i="11"/>
  <c r="A1649" i="11"/>
  <c r="A2285" i="11"/>
  <c r="A3276" i="11"/>
  <c r="A2805" i="11"/>
  <c r="A512" i="11"/>
  <c r="A1071" i="11"/>
  <c r="A2210" i="11"/>
  <c r="A1802" i="11"/>
  <c r="A3358" i="11"/>
  <c r="A1240" i="11"/>
  <c r="A3619" i="11"/>
  <c r="A2641" i="11"/>
  <c r="A3420" i="11"/>
  <c r="A3173" i="11"/>
  <c r="A2018" i="11"/>
  <c r="A106" i="11"/>
  <c r="A3016" i="11"/>
  <c r="A25" i="11"/>
  <c r="A1769" i="11"/>
  <c r="A2826" i="11"/>
  <c r="A791" i="11"/>
  <c r="A2300" i="11"/>
  <c r="A2166" i="11"/>
  <c r="A2549" i="11"/>
  <c r="A3297" i="11"/>
  <c r="A3796" i="11"/>
  <c r="A1632" i="11"/>
  <c r="A398" i="11"/>
  <c r="A3022" i="11"/>
  <c r="A698" i="11"/>
  <c r="A2913" i="11"/>
  <c r="A720" i="11"/>
  <c r="A3158" i="11"/>
  <c r="A920" i="11"/>
  <c r="A224" i="11"/>
  <c r="A2916" i="11"/>
  <c r="A2330" i="11"/>
  <c r="A3503" i="11"/>
  <c r="A3301" i="11"/>
  <c r="A3032" i="11"/>
  <c r="A370" i="11"/>
  <c r="A1934" i="11"/>
  <c r="A871" i="11"/>
  <c r="A3499" i="11"/>
  <c r="A721" i="11"/>
  <c r="A2543" i="11"/>
  <c r="A700" i="11"/>
  <c r="A2274" i="11"/>
  <c r="A3340" i="11"/>
  <c r="A3671" i="11"/>
  <c r="A2090" i="11"/>
  <c r="A3385" i="11"/>
  <c r="A3055" i="11"/>
  <c r="A2082" i="11"/>
  <c r="A2386" i="11"/>
  <c r="A3252" i="11"/>
  <c r="A1466" i="11"/>
  <c r="A1001" i="11"/>
  <c r="A819" i="11"/>
  <c r="A3361" i="11"/>
  <c r="A667" i="11"/>
  <c r="A3260" i="11"/>
  <c r="A722" i="11"/>
  <c r="A2883" i="11"/>
  <c r="A3261" i="11"/>
  <c r="A2457" i="11"/>
  <c r="A2886" i="11"/>
  <c r="A1409" i="11"/>
  <c r="A866" i="11"/>
  <c r="A1163" i="11"/>
  <c r="A3091" i="11"/>
  <c r="A2421" i="11"/>
  <c r="A35" i="11"/>
  <c r="A2627" i="11"/>
  <c r="A2164" i="11"/>
  <c r="A3436" i="11"/>
  <c r="A1388" i="11"/>
  <c r="A3700" i="11"/>
  <c r="A3723" i="11"/>
  <c r="A1396" i="11"/>
  <c r="A2295" i="11"/>
  <c r="A614" i="11"/>
  <c r="A2638" i="11"/>
  <c r="A746" i="11"/>
  <c r="A2042" i="11"/>
  <c r="A2339" i="11"/>
  <c r="A2786" i="11"/>
  <c r="A3348" i="11"/>
  <c r="A146" i="11"/>
  <c r="A3403" i="11"/>
  <c r="A465" i="11"/>
  <c r="A2297" i="11"/>
  <c r="A1620" i="11"/>
  <c r="A404" i="11"/>
  <c r="A2622" i="11"/>
  <c r="A57" i="11"/>
  <c r="A1413" i="11"/>
  <c r="A2380" i="11"/>
  <c r="A716" i="11"/>
  <c r="A535" i="11"/>
  <c r="A3145" i="11"/>
  <c r="A451" i="11"/>
  <c r="A1244" i="11"/>
  <c r="A942" i="11"/>
  <c r="A2742" i="11"/>
  <c r="A229" i="11"/>
  <c r="A1833" i="11"/>
  <c r="A1437" i="11"/>
  <c r="A1170" i="11"/>
  <c r="A3485" i="11"/>
  <c r="A2449" i="11"/>
  <c r="A3583" i="11"/>
  <c r="A798" i="11"/>
  <c r="A66" i="11"/>
  <c r="A2385" i="11"/>
  <c r="A3635" i="11"/>
  <c r="A2087" i="11"/>
  <c r="A1840" i="11"/>
  <c r="A3371" i="11"/>
  <c r="A3717" i="11"/>
  <c r="A1883" i="11"/>
  <c r="A2320" i="11"/>
  <c r="A695" i="11"/>
  <c r="A3566" i="11"/>
  <c r="A3366" i="11"/>
  <c r="A1774" i="11"/>
  <c r="A1503" i="11"/>
  <c r="A15" i="11"/>
  <c r="A1243" i="11"/>
  <c r="A3265" i="11"/>
  <c r="A3789" i="11"/>
  <c r="A1476" i="11"/>
  <c r="A3102" i="11"/>
  <c r="A3248" i="11"/>
  <c r="A1256" i="11"/>
  <c r="A2114" i="11"/>
  <c r="A273" i="11"/>
  <c r="A1162" i="11"/>
  <c r="A3369" i="11"/>
  <c r="A2633" i="11"/>
  <c r="A3530" i="11"/>
  <c r="A645" i="11"/>
  <c r="A3279" i="11"/>
  <c r="A1935" i="11"/>
  <c r="A2099" i="11"/>
  <c r="A2531" i="11"/>
  <c r="A1276" i="11"/>
  <c r="A112" i="11"/>
  <c r="A3000" i="11"/>
  <c r="A3524" i="11"/>
  <c r="A1017" i="11"/>
  <c r="A3219" i="11"/>
  <c r="A862" i="11"/>
  <c r="A2767" i="11"/>
  <c r="A3103" i="11"/>
  <c r="A1608" i="11"/>
  <c r="A1821" i="11"/>
  <c r="A1294" i="11"/>
  <c r="A2471" i="11"/>
  <c r="A279" i="11"/>
  <c r="A982" i="11"/>
  <c r="A2942" i="11"/>
  <c r="A2504" i="11"/>
  <c r="A624" i="11"/>
  <c r="A2991" i="11"/>
  <c r="A1347" i="11"/>
  <c r="A2327" i="11"/>
  <c r="A122" i="11"/>
  <c r="A1613" i="11"/>
  <c r="A3056" i="11"/>
  <c r="A2030" i="11"/>
  <c r="A1145" i="11"/>
  <c r="A3321" i="11"/>
  <c r="A604" i="11"/>
  <c r="A2044" i="11"/>
  <c r="A3648" i="11"/>
  <c r="A3496" i="11"/>
  <c r="A166" i="11"/>
  <c r="A3410" i="11"/>
  <c r="A2202" i="11"/>
  <c r="A795" i="11"/>
  <c r="A3363" i="11"/>
  <c r="A119" i="11"/>
  <c r="A1716" i="11"/>
  <c r="A1597" i="11"/>
  <c r="A2412" i="11"/>
  <c r="A1133" i="11"/>
  <c r="A311" i="11"/>
  <c r="A2990" i="11"/>
  <c r="A2770" i="11"/>
  <c r="A1779" i="11"/>
  <c r="A1026" i="11"/>
  <c r="A3457" i="11"/>
  <c r="A2581" i="11"/>
  <c r="A411" i="11"/>
  <c r="A1228" i="11"/>
  <c r="A572" i="11"/>
  <c r="A2416" i="11"/>
  <c r="A1844" i="11"/>
  <c r="A3040" i="11"/>
  <c r="A3696" i="11"/>
  <c r="A1068" i="11"/>
  <c r="A3483" i="11"/>
  <c r="A833" i="11"/>
  <c r="A2085" i="11"/>
  <c r="A3502" i="11"/>
  <c r="A455" i="11"/>
  <c r="A1590" i="11"/>
  <c r="A3589" i="11"/>
  <c r="A1626" i="11"/>
  <c r="A1911" i="11"/>
  <c r="A1798" i="11"/>
  <c r="A3175" i="11"/>
  <c r="A1586" i="11"/>
  <c r="A2255" i="11"/>
  <c r="A1764" i="11"/>
  <c r="A824" i="11"/>
  <c r="A1310" i="11"/>
  <c r="A1354" i="11"/>
  <c r="A2896" i="11"/>
  <c r="A952" i="11"/>
  <c r="A1113" i="11"/>
  <c r="A3790" i="11"/>
  <c r="A3307" i="11"/>
  <c r="A2643" i="11"/>
  <c r="A1983" i="11"/>
  <c r="A1947" i="11"/>
  <c r="A1910" i="11"/>
  <c r="A1328" i="11"/>
  <c r="A1297" i="11"/>
  <c r="A1053" i="11"/>
  <c r="A1212" i="11"/>
  <c r="A1453" i="11"/>
  <c r="A3232" i="11"/>
  <c r="A1315" i="11"/>
  <c r="A3704" i="11"/>
  <c r="A1909" i="11"/>
  <c r="A44" i="11"/>
  <c r="A2906" i="11"/>
  <c r="A2628" i="11"/>
  <c r="A3408" i="11"/>
  <c r="A1403" i="11"/>
  <c r="A2264" i="11"/>
  <c r="A1040" i="11"/>
  <c r="A3797" i="11"/>
  <c r="A2498" i="11"/>
  <c r="A2837" i="11"/>
  <c r="A1966" i="11"/>
  <c r="A1130" i="11"/>
  <c r="A3302" i="11"/>
  <c r="A2256" i="11"/>
  <c r="A2820" i="11"/>
  <c r="A2323" i="11"/>
  <c r="A3107" i="11"/>
  <c r="A346" i="11"/>
  <c r="A1420" i="11"/>
  <c r="A2616" i="11"/>
  <c r="A1880" i="11"/>
  <c r="A2993" i="11"/>
  <c r="A1139" i="11"/>
  <c r="A343" i="11"/>
  <c r="A3627" i="11"/>
  <c r="A216" i="11"/>
  <c r="A914" i="11"/>
  <c r="A3580" i="11"/>
  <c r="A231" i="11"/>
  <c r="A22" i="11"/>
  <c r="A1523" i="11"/>
  <c r="A2650" i="11"/>
  <c r="A3535" i="11"/>
  <c r="A586" i="11"/>
  <c r="A190" i="11"/>
  <c r="A1288" i="11"/>
  <c r="A213" i="11"/>
  <c r="A3268" i="11"/>
  <c r="A2959" i="11"/>
  <c r="A2844" i="11"/>
  <c r="A1255" i="11"/>
  <c r="A584" i="11"/>
  <c r="A1143" i="11"/>
  <c r="A19" i="11"/>
  <c r="A3166" i="11"/>
  <c r="A3108" i="11"/>
  <c r="A3415" i="11"/>
  <c r="A2051" i="11"/>
  <c r="A89" i="11"/>
  <c r="A424" i="11"/>
  <c r="A16" i="11"/>
  <c r="A2199" i="11"/>
  <c r="A905" i="11"/>
  <c r="A616" i="11"/>
  <c r="A2801" i="11"/>
  <c r="A3098" i="11"/>
  <c r="A3424" i="11"/>
  <c r="A1324" i="11"/>
  <c r="A38" i="11"/>
  <c r="A518" i="11"/>
  <c r="A1836" i="11"/>
  <c r="A3718" i="11"/>
  <c r="A557" i="11"/>
  <c r="A3549" i="11"/>
  <c r="A1689" i="11"/>
  <c r="A2448" i="11"/>
  <c r="A338" i="11"/>
  <c r="A1339" i="11"/>
  <c r="A2511" i="11"/>
  <c r="A885" i="11"/>
  <c r="A1718" i="11"/>
  <c r="A1108" i="11"/>
  <c r="A2317" i="11"/>
  <c r="A2197" i="11"/>
  <c r="A391" i="11"/>
  <c r="A3450" i="11"/>
  <c r="A2696" i="11"/>
  <c r="A2225" i="11"/>
  <c r="A701" i="11"/>
  <c r="A2529" i="11"/>
  <c r="A629" i="11"/>
  <c r="A3795" i="11"/>
  <c r="A505" i="11"/>
  <c r="A3412" i="11"/>
  <c r="A2523" i="11"/>
  <c r="A2492" i="11"/>
  <c r="A3287" i="11"/>
  <c r="A2890" i="11"/>
  <c r="A749" i="11"/>
  <c r="A1051" i="11"/>
  <c r="A1805" i="11"/>
  <c r="A1524" i="11"/>
  <c r="A1554" i="11"/>
  <c r="A2116" i="11"/>
  <c r="A1893" i="11"/>
  <c r="A660" i="11"/>
  <c r="A2037" i="11"/>
  <c r="A2061" i="11"/>
  <c r="A1497" i="11"/>
  <c r="A3021" i="11"/>
  <c r="A1549" i="11"/>
  <c r="A3199" i="11"/>
  <c r="A993" i="11"/>
  <c r="A2669" i="11"/>
  <c r="A357" i="11"/>
  <c r="A1325" i="11"/>
  <c r="A1980" i="11"/>
  <c r="A1141" i="11"/>
  <c r="A3109" i="11"/>
  <c r="A678" i="11"/>
  <c r="A2894" i="11"/>
  <c r="A2265" i="11"/>
  <c r="A1858" i="11"/>
  <c r="A3153" i="11"/>
  <c r="A245" i="11"/>
  <c r="A1085" i="11"/>
  <c r="A2407" i="11"/>
  <c r="A1439" i="11"/>
  <c r="A718" i="11"/>
  <c r="A1691" i="11"/>
  <c r="A3695" i="11"/>
  <c r="A2930" i="11"/>
  <c r="A2871" i="11"/>
  <c r="A1314" i="11"/>
  <c r="A384" i="11"/>
  <c r="A2101" i="11"/>
  <c r="A1674" i="11"/>
  <c r="A3118" i="11"/>
  <c r="A2603" i="11"/>
  <c r="A222" i="11"/>
  <c r="A499" i="11"/>
  <c r="A3067" i="11"/>
  <c r="A1712" i="11"/>
  <c r="A1710" i="11"/>
  <c r="A2998" i="11"/>
  <c r="A1472" i="11"/>
  <c r="A459" i="11"/>
  <c r="A2057" i="11"/>
  <c r="A2341" i="11"/>
  <c r="A1533" i="11"/>
  <c r="A1867" i="11"/>
  <c r="A610" i="11"/>
  <c r="A1601" i="11"/>
  <c r="A2838" i="11"/>
  <c r="A2059" i="11"/>
  <c r="A456" i="11"/>
  <c r="A2260" i="11"/>
  <c r="A2096" i="11"/>
  <c r="A1679" i="11"/>
  <c r="A2216" i="11"/>
  <c r="A389" i="11"/>
  <c r="A1259" i="11"/>
  <c r="A482" i="11"/>
  <c r="A3266" i="11"/>
  <c r="A2932" i="11"/>
  <c r="A1731" i="11"/>
  <c r="A2800" i="11"/>
  <c r="A2645" i="11"/>
  <c r="A623" i="11"/>
  <c r="A2177" i="11"/>
  <c r="A3809" i="11"/>
  <c r="A3478" i="11"/>
  <c r="A1061" i="11"/>
  <c r="A3618" i="11"/>
  <c r="A1218" i="11"/>
  <c r="A847" i="11"/>
  <c r="A1652" i="11"/>
  <c r="A1015" i="11"/>
  <c r="A1392" i="11"/>
  <c r="A2133" i="11"/>
  <c r="A329" i="11"/>
  <c r="A1185" i="11"/>
  <c r="A1610" i="11"/>
  <c r="A1075" i="11"/>
  <c r="A690" i="11"/>
  <c r="A1537" i="11"/>
  <c r="A2345" i="11"/>
  <c r="A2247" i="11"/>
  <c r="A3392" i="11"/>
  <c r="A1942" i="11"/>
  <c r="A3747" i="11"/>
  <c r="A2982" i="11"/>
  <c r="A289" i="11"/>
  <c r="A992" i="11"/>
  <c r="A3188" i="11"/>
  <c r="A517" i="11"/>
  <c r="A367" i="11"/>
  <c r="A3652" i="11"/>
  <c r="A2600" i="11"/>
  <c r="A1390" i="11"/>
  <c r="A1074" i="11"/>
  <c r="A1073" i="11"/>
  <c r="A2587" i="11"/>
  <c r="A1936" i="11"/>
  <c r="A265" i="11"/>
  <c r="A48" i="11"/>
  <c r="A1471" i="11"/>
  <c r="A1891" i="11"/>
  <c r="A922" i="11"/>
  <c r="A863" i="11"/>
  <c r="A1319" i="11"/>
  <c r="A2717" i="11"/>
  <c r="A1014" i="11"/>
  <c r="A652" i="11"/>
  <c r="A1686" i="11"/>
  <c r="A966" i="11"/>
  <c r="A1320" i="11"/>
  <c r="A3768" i="11"/>
  <c r="A697" i="11"/>
  <c r="A436" i="11"/>
  <c r="A191" i="11"/>
  <c r="A2565" i="11"/>
  <c r="A3582" i="11"/>
  <c r="A1336" i="11"/>
  <c r="A668" i="11"/>
  <c r="A3607" i="11"/>
  <c r="A509" i="11"/>
  <c r="A3730" i="11"/>
  <c r="A898" i="11"/>
  <c r="A2010" i="11"/>
  <c r="A2962" i="11"/>
  <c r="A1140" i="11"/>
  <c r="A627" i="11"/>
  <c r="A3183" i="11"/>
  <c r="A3636" i="11"/>
  <c r="A368" i="11"/>
  <c r="A1193" i="11"/>
  <c r="A3779" i="11"/>
  <c r="A3380" i="11"/>
  <c r="A214" i="11"/>
  <c r="A1577" i="11"/>
  <c r="A2257" i="11"/>
  <c r="A1220" i="11"/>
  <c r="A249" i="11"/>
  <c r="A486" i="11"/>
  <c r="A3086" i="11"/>
  <c r="A1703" i="11"/>
  <c r="A1707" i="11"/>
  <c r="A962" i="11"/>
  <c r="A2931" i="11"/>
  <c r="A3054" i="11"/>
  <c r="A3293" i="11"/>
  <c r="A290" i="11"/>
  <c r="A27" i="11"/>
  <c r="A200" i="11"/>
  <c r="A581" i="11"/>
  <c r="A3275" i="11"/>
  <c r="A2220" i="11"/>
  <c r="A3131" i="11"/>
  <c r="A1387" i="11"/>
  <c r="A1338" i="11"/>
  <c r="A1995" i="11"/>
  <c r="A2156" i="11"/>
  <c r="A80" i="11"/>
  <c r="A601" i="11"/>
  <c r="A2902" i="11"/>
  <c r="A2175" i="11"/>
  <c r="A2154" i="11"/>
  <c r="A2517" i="11"/>
  <c r="A1192" i="11"/>
  <c r="A2021" i="11"/>
  <c r="A880" i="11"/>
  <c r="A3655" i="11"/>
  <c r="A3417" i="11"/>
  <c r="A642" i="11"/>
  <c r="A560" i="11"/>
  <c r="A3623" i="11"/>
  <c r="A3702" i="11"/>
  <c r="A322" i="11"/>
  <c r="A570" i="11"/>
  <c r="A1475" i="11"/>
  <c r="A3487" i="11"/>
  <c r="A1528" i="11"/>
  <c r="A1994" i="11"/>
  <c r="A1993" i="11"/>
  <c r="A192" i="11"/>
  <c r="A1940" i="11"/>
  <c r="A2276" i="11"/>
  <c r="A1930" i="11"/>
  <c r="A909" i="11"/>
  <c r="A2354" i="11"/>
  <c r="A449" i="11"/>
  <c r="A2797" i="11"/>
  <c r="A2624" i="11"/>
  <c r="A3395" i="11"/>
  <c r="A3624" i="11"/>
  <c r="A1175" i="11"/>
  <c r="A2454" i="11"/>
  <c r="A3324" i="11"/>
  <c r="A2350" i="11"/>
  <c r="A2488" i="11"/>
  <c r="A755" i="11"/>
  <c r="A2389" i="11"/>
  <c r="A3111" i="11"/>
  <c r="A1011" i="11"/>
  <c r="A3681" i="11"/>
  <c r="A1280" i="11"/>
  <c r="A2879" i="11"/>
  <c r="A2690" i="11"/>
  <c r="A3728" i="11"/>
  <c r="A3721" i="11"/>
  <c r="A2127" i="11"/>
  <c r="A1182" i="11"/>
  <c r="A2464" i="11"/>
  <c r="A3463" i="11"/>
  <c r="A961" i="11"/>
  <c r="A2793" i="11"/>
  <c r="A2656" i="11"/>
  <c r="A1368" i="11"/>
  <c r="A747" i="11"/>
  <c r="A1819" i="11"/>
  <c r="A957" i="11"/>
  <c r="A3550" i="11"/>
  <c r="A770" i="11"/>
  <c r="A394" i="11"/>
  <c r="A3076" i="11"/>
  <c r="A2367" i="11"/>
  <c r="A3132" i="11"/>
  <c r="A275" i="11"/>
  <c r="A876" i="11"/>
  <c r="A1777" i="11"/>
  <c r="A1700" i="11"/>
  <c r="A101" i="11"/>
  <c r="A1596" i="11"/>
  <c r="A1454" i="11"/>
  <c r="A2291" i="11"/>
  <c r="A2209" i="11"/>
  <c r="A272" i="11"/>
  <c r="A2619" i="11"/>
  <c r="A2552" i="11"/>
  <c r="A650" i="11"/>
  <c r="A658" i="11"/>
  <c r="A105" i="11"/>
  <c r="A3691" i="11"/>
  <c r="A1566" i="11"/>
  <c r="A98" i="11"/>
  <c r="A1861" i="11"/>
  <c r="A800" i="11"/>
  <c r="A772" i="11"/>
  <c r="A1606" i="11"/>
  <c r="A3074" i="11"/>
  <c r="A1972" i="11"/>
  <c r="A1479" i="11"/>
  <c r="A1817" i="11"/>
  <c r="A305" i="11"/>
  <c r="A439" i="11"/>
  <c r="A3661" i="11"/>
  <c r="A1023" i="11"/>
  <c r="A662" i="11"/>
  <c r="A2151" i="11"/>
  <c r="A1242" i="11"/>
  <c r="A2981" i="11"/>
  <c r="A3129" i="11"/>
  <c r="A2935" i="11"/>
  <c r="A2410" i="11"/>
  <c r="A324" i="11"/>
  <c r="A3" i="11"/>
  <c r="A963" i="11"/>
  <c r="A2534" i="11"/>
  <c r="A923" i="11"/>
  <c r="A567" i="11"/>
  <c r="A2314" i="11"/>
  <c r="A779" i="11"/>
  <c r="A1742" i="11"/>
  <c r="A464" i="11"/>
  <c r="A9" i="11"/>
  <c r="A3274" i="11"/>
  <c r="A161" i="11"/>
  <c r="A2771" i="11"/>
  <c r="A571" i="11"/>
  <c r="A3773" i="11"/>
  <c r="A1044" i="11"/>
  <c r="A3774" i="11"/>
  <c r="A851" i="11"/>
  <c r="A1887" i="11"/>
  <c r="A359" i="11"/>
  <c r="A2023" i="11"/>
  <c r="A2854" i="11"/>
  <c r="A3719" i="11"/>
  <c r="A1060" i="11"/>
  <c r="A1224" i="11"/>
  <c r="A2664" i="11"/>
  <c r="A1042" i="11"/>
  <c r="A2864" i="11"/>
  <c r="A185" i="11"/>
  <c r="A396" i="11"/>
  <c r="A1897" i="11"/>
  <c r="A3427" i="11"/>
  <c r="A70" i="11"/>
  <c r="A1953" i="11"/>
  <c r="A255" i="11"/>
  <c r="A3758" i="11"/>
  <c r="A139" i="11"/>
  <c r="A825" i="11"/>
  <c r="A77" i="11"/>
  <c r="A410" i="11"/>
  <c r="A2251" i="11"/>
  <c r="A2348" i="11"/>
  <c r="A2909" i="11"/>
  <c r="A2954" i="11"/>
  <c r="A1496" i="11"/>
  <c r="A151" i="11"/>
  <c r="A724" i="11"/>
  <c r="A3430" i="11"/>
  <c r="A3370" i="11"/>
  <c r="A2874" i="11"/>
  <c r="A2986" i="11"/>
  <c r="A3280" i="11"/>
  <c r="A2970" i="11"/>
  <c r="A1822" i="11"/>
  <c r="A1576" i="11"/>
  <c r="A1818" i="11"/>
  <c r="A1452" i="11"/>
  <c r="A1304" i="11"/>
  <c r="A3755" i="11"/>
  <c r="A3141" i="11"/>
  <c r="A1273" i="11"/>
  <c r="A1827" i="11"/>
  <c r="A810" i="11"/>
  <c r="A815" i="11"/>
  <c r="A3027" i="11"/>
  <c r="A2071" i="11"/>
  <c r="A260" i="11"/>
  <c r="A69" i="11"/>
  <c r="A2150" i="11"/>
  <c r="A407" i="11"/>
  <c r="A646" i="11"/>
  <c r="A554" i="11"/>
  <c r="A3477" i="11"/>
  <c r="A2043" i="11"/>
  <c r="A3125" i="11"/>
  <c r="A3653" i="11"/>
  <c r="A1595" i="11"/>
  <c r="A2939" i="11"/>
  <c r="A1775" i="11"/>
  <c r="A2729" i="11"/>
  <c r="A3233" i="11"/>
  <c r="A2961" i="11"/>
  <c r="A1561" i="11"/>
  <c r="A832" i="11"/>
  <c r="A3033" i="11"/>
  <c r="A2461" i="11"/>
  <c r="A2783" i="11"/>
  <c r="A559" i="11"/>
  <c r="A318" i="11"/>
  <c r="A373" i="11"/>
  <c r="A1404" i="11"/>
  <c r="A3665" i="11"/>
  <c r="A598" i="11"/>
  <c r="A2885" i="11"/>
  <c r="A2787" i="11"/>
  <c r="A3529" i="11"/>
  <c r="A3329" i="11"/>
  <c r="A2818" i="11"/>
  <c r="A240" i="11"/>
  <c r="A210" i="11"/>
  <c r="A2867" i="11"/>
  <c r="A2822" i="11"/>
  <c r="A935" i="11"/>
  <c r="A648" i="11"/>
  <c r="A3082" i="11"/>
  <c r="A3620" i="11"/>
  <c r="A1871" i="11"/>
  <c r="A906" i="11"/>
  <c r="A3489" i="11"/>
  <c r="A585" i="11"/>
  <c r="A874" i="11"/>
  <c r="A1024" i="11"/>
  <c r="A3523" i="11"/>
  <c r="A1534" i="11"/>
  <c r="A1332" i="11"/>
  <c r="A2227" i="11"/>
  <c r="A45" i="11"/>
  <c r="A3484" i="11"/>
  <c r="A579" i="11"/>
  <c r="A1414" i="11"/>
  <c r="A2681" i="11"/>
  <c r="A484" i="11"/>
  <c r="A1483" i="11"/>
  <c r="A2817" i="11"/>
  <c r="A2226" i="11"/>
  <c r="A1326" i="11"/>
  <c r="A2081" i="11"/>
  <c r="A625" i="11"/>
  <c r="A2946" i="11"/>
  <c r="A138" i="11"/>
  <c r="A454" i="11"/>
  <c r="A3364" i="11"/>
  <c r="A1194" i="11"/>
  <c r="A2435" i="11"/>
  <c r="A1546" i="11"/>
  <c r="A1842" i="11"/>
  <c r="A2017" i="11"/>
  <c r="A1308" i="11"/>
  <c r="A40" i="11"/>
  <c r="A530" i="11"/>
  <c r="A2206" i="11"/>
  <c r="A742" i="11"/>
  <c r="A75" i="11"/>
  <c r="A2433" i="11"/>
  <c r="A3556" i="11"/>
  <c r="A2123" i="11"/>
  <c r="A2687" i="11"/>
  <c r="A683" i="11"/>
  <c r="A3613" i="11"/>
  <c r="A1525" i="11"/>
  <c r="A2701" i="11"/>
  <c r="A1312" i="11"/>
  <c r="A2110" i="11"/>
  <c r="A3037" i="11"/>
  <c r="A24" i="11"/>
  <c r="A2855" i="11"/>
  <c r="A3740" i="11"/>
  <c r="A3658" i="11"/>
  <c r="A2702" i="11"/>
  <c r="A2366" i="11"/>
  <c r="A2141" i="11"/>
  <c r="A1494" i="11"/>
  <c r="A2870" i="11"/>
  <c r="A1808" i="11"/>
  <c r="A1573" i="11"/>
  <c r="A145" i="11"/>
  <c r="A1838" i="11"/>
  <c r="A599" i="11"/>
  <c r="A413" i="11"/>
  <c r="A1213" i="11"/>
  <c r="A1112" i="11"/>
  <c r="A42" i="11"/>
  <c r="A3587" i="11"/>
  <c r="A2530" i="11"/>
  <c r="A3138" i="11"/>
  <c r="A3271" i="11"/>
  <c r="A1939" i="11"/>
  <c r="A1879" i="11"/>
  <c r="A7" i="11"/>
  <c r="A269" i="11"/>
  <c r="A402" i="11"/>
  <c r="A592" i="11"/>
  <c r="A381" i="11"/>
  <c r="A412" i="11"/>
  <c r="A243" i="11"/>
  <c r="A483" i="11"/>
  <c r="A144" i="11"/>
  <c r="A2872" i="11"/>
  <c r="A2446" i="11"/>
  <c r="A1662" i="11"/>
  <c r="A1565" i="11"/>
  <c r="A968" i="11"/>
  <c r="A745" i="11"/>
  <c r="A3024" i="11"/>
  <c r="A2299" i="11"/>
  <c r="A2876" i="11"/>
  <c r="A1705" i="11"/>
  <c r="A2957" i="11"/>
  <c r="A3626" i="11"/>
  <c r="A845" i="11"/>
  <c r="A1330" i="11"/>
  <c r="A1890" i="11"/>
  <c r="A2076" i="11"/>
  <c r="A1521" i="11"/>
  <c r="A2301" i="11"/>
  <c r="A1661" i="11"/>
  <c r="A2252" i="11"/>
  <c r="A65" i="11"/>
  <c r="A513" i="11"/>
  <c r="A3180" i="11"/>
  <c r="A2757" i="11"/>
  <c r="A1763" i="11"/>
  <c r="A2298" i="11"/>
  <c r="A2506" i="11"/>
  <c r="A924" i="11"/>
  <c r="A3573" i="11"/>
  <c r="A2792" i="11"/>
  <c r="A1394" i="11"/>
  <c r="A3679" i="11"/>
  <c r="A2361" i="11"/>
  <c r="A1111" i="11"/>
  <c r="A661" i="11"/>
  <c r="A3578" i="11"/>
  <c r="A36" i="11"/>
  <c r="A3397" i="11"/>
  <c r="A3402" i="11"/>
  <c r="A669" i="11"/>
  <c r="A3707" i="11"/>
  <c r="A2556" i="11"/>
  <c r="A228" i="11"/>
  <c r="A2377" i="11"/>
  <c r="A2674" i="11"/>
  <c r="A1065" i="11"/>
  <c r="A1043" i="11"/>
  <c r="A2966" i="11"/>
  <c r="A354" i="11"/>
  <c r="A2095" i="11"/>
  <c r="A1063" i="11"/>
  <c r="A71" i="11"/>
  <c r="A232" i="11"/>
  <c r="A1593" i="11"/>
  <c r="A1984" i="11"/>
  <c r="A1625" i="11"/>
  <c r="A2733" i="11"/>
  <c r="A1944" i="11"/>
  <c r="A1551" i="11"/>
  <c r="A242" i="11"/>
  <c r="A1536" i="11"/>
  <c r="A3365" i="11"/>
  <c r="A385" i="11"/>
  <c r="A907" i="11"/>
  <c r="A254" i="11"/>
  <c r="A3660" i="11"/>
  <c r="A2132" i="11"/>
  <c r="A2866" i="11"/>
  <c r="A666" i="11"/>
  <c r="A605" i="11"/>
  <c r="A850" i="11"/>
  <c r="A1358" i="11"/>
  <c r="A1229" i="11"/>
  <c r="A1018" i="11"/>
  <c r="A179" i="11"/>
  <c r="A3097" i="11"/>
  <c r="A2850" i="11"/>
  <c r="A3121" i="11"/>
  <c r="A1869" i="11"/>
  <c r="A1694" i="11"/>
  <c r="A1458" i="11"/>
  <c r="A309" i="11"/>
  <c r="A2607" i="11"/>
  <c r="A2512" i="11"/>
  <c r="A895" i="11"/>
  <c r="A2537" i="11"/>
  <c r="A1568" i="11"/>
  <c r="A2597" i="11"/>
  <c r="A447" i="11"/>
  <c r="A1715" i="11"/>
  <c r="A1412" i="11"/>
  <c r="A3249" i="11"/>
  <c r="A3243" i="11"/>
  <c r="A2003" i="11"/>
  <c r="A2055" i="11"/>
  <c r="A1337" i="11"/>
  <c r="A2724" i="11"/>
  <c r="A2324" i="11"/>
  <c r="A1088" i="11"/>
  <c r="A681" i="11"/>
  <c r="A1254" i="11"/>
  <c r="A3698" i="11"/>
  <c r="A1265" i="11"/>
  <c r="A516" i="11"/>
  <c r="A960" i="11"/>
  <c r="A1615" i="11"/>
  <c r="A2580" i="11"/>
  <c r="A500" i="11"/>
  <c r="A283" i="11"/>
  <c r="A3491" i="11"/>
  <c r="A3347" i="11"/>
  <c r="A3564" i="11"/>
  <c r="A3077" i="11"/>
  <c r="A1151" i="11"/>
  <c r="A3290" i="11"/>
  <c r="A3471" i="11"/>
  <c r="A2259" i="11"/>
  <c r="A1605" i="11"/>
  <c r="A1619" i="11"/>
  <c r="A393" i="11"/>
  <c r="A1350" i="11"/>
  <c r="A2915" i="11"/>
  <c r="A3656" i="11"/>
  <c r="A1943" i="11"/>
  <c r="A199" i="11"/>
  <c r="A1826" i="11"/>
  <c r="A3711" i="11"/>
  <c r="A3742" i="11"/>
  <c r="A2905" i="11"/>
  <c r="A3202" i="11"/>
  <c r="A936" i="11"/>
  <c r="A508" i="11"/>
  <c r="A593" i="11"/>
  <c r="A1411" i="11"/>
  <c r="A163" i="11"/>
  <c r="A420" i="11"/>
  <c r="A1313" i="11"/>
  <c r="A46" i="11"/>
  <c r="A2429" i="11"/>
  <c r="A2249" i="11"/>
  <c r="A3075" i="11"/>
  <c r="A3452" i="11"/>
  <c r="A3023" i="11"/>
  <c r="A107" i="11"/>
  <c r="A3581" i="11"/>
  <c r="A211" i="11"/>
  <c r="A2799" i="11"/>
  <c r="A3501" i="11"/>
  <c r="A848" i="11"/>
  <c r="A715" i="11"/>
  <c r="A1751" i="11"/>
  <c r="A1384" i="11"/>
  <c r="A2430" i="11"/>
  <c r="A2343" i="11"/>
  <c r="A221" i="11"/>
  <c r="A2342" i="11"/>
  <c r="A1249" i="11"/>
  <c r="A2606" i="11"/>
  <c r="A644" i="11"/>
  <c r="A1100" i="11"/>
  <c r="A3073" i="11"/>
  <c r="A3598" i="11"/>
  <c r="A1517" i="11"/>
  <c r="A2033" i="11"/>
  <c r="A3171" i="11"/>
  <c r="A2275" i="11"/>
  <c r="A154" i="11"/>
  <c r="A2007" i="11"/>
  <c r="A1202" i="11"/>
  <c r="A1469" i="11"/>
  <c r="A589" i="11"/>
  <c r="A2570" i="11"/>
  <c r="A1318" i="11"/>
  <c r="A2615" i="11"/>
  <c r="A2063" i="11"/>
  <c r="A577" i="11"/>
  <c r="A3239" i="11"/>
  <c r="A1251" i="11"/>
  <c r="A2527" i="11"/>
  <c r="A3225" i="11"/>
  <c r="A3508" i="11"/>
  <c r="A252" i="11"/>
  <c r="A2700" i="11"/>
  <c r="A2289" i="11"/>
  <c r="A2152" i="11"/>
  <c r="A73" i="11"/>
  <c r="A400" i="11"/>
  <c r="A818" i="11"/>
  <c r="A1370" i="11"/>
  <c r="A1090" i="11"/>
  <c r="A1292" i="11"/>
  <c r="A414" i="11"/>
  <c r="A736" i="11"/>
  <c r="A801" i="11"/>
  <c r="A2782" i="11"/>
  <c r="A2977" i="11"/>
  <c r="A183" i="11"/>
  <c r="A438" i="11"/>
  <c r="A247" i="11"/>
  <c r="A3057" i="11"/>
  <c r="A2897" i="11"/>
  <c r="A2584" i="11"/>
  <c r="A607" i="11"/>
  <c r="A3594" i="11"/>
  <c r="A901" i="11"/>
  <c r="A1450" i="11"/>
  <c r="A3059" i="11"/>
  <c r="A1989" i="11"/>
  <c r="A734" i="11"/>
  <c r="A1834" i="11"/>
  <c r="A1174" i="11"/>
  <c r="A1729" i="11"/>
  <c r="A3163" i="11"/>
  <c r="A3323" i="11"/>
  <c r="A3673" i="11"/>
  <c r="A2563" i="11"/>
  <c r="A296" i="11"/>
  <c r="A1033" i="11"/>
  <c r="A890" i="11"/>
  <c r="A2567" i="11"/>
  <c r="A2834" i="11"/>
  <c r="A437" i="11"/>
  <c r="A1898" i="11"/>
  <c r="A1135" i="11"/>
  <c r="A2865" i="11"/>
  <c r="A1382" i="11"/>
  <c r="A3431" i="11"/>
  <c r="A3017" i="11"/>
  <c r="A3518" i="11"/>
  <c r="A1329" i="11"/>
  <c r="A206" i="11"/>
  <c r="A3028" i="11"/>
  <c r="A152" i="11"/>
  <c r="A2368" i="11"/>
  <c r="A2532" i="11"/>
  <c r="A2781" i="11"/>
  <c r="A136" i="11"/>
  <c r="A2598" i="11"/>
  <c r="A3548" i="11"/>
  <c r="A2000" i="11"/>
  <c r="A124" i="11"/>
  <c r="A3545" i="11"/>
  <c r="A3798" i="11"/>
  <c r="A1129" i="11"/>
  <c r="A76" i="11"/>
  <c r="A3122" i="11"/>
  <c r="A980" i="11"/>
  <c r="A3664" i="11"/>
  <c r="A1128" i="11"/>
  <c r="A430" i="11"/>
  <c r="A908" i="11"/>
  <c r="A1680" i="11"/>
  <c r="A838" i="11"/>
  <c r="A3784" i="11"/>
  <c r="A3772" i="11"/>
  <c r="A3690" i="11"/>
  <c r="A566" i="11"/>
  <c r="A2568" i="11"/>
  <c r="A1146" i="11"/>
  <c r="A1020" i="11"/>
  <c r="A3743" i="11"/>
  <c r="A3793" i="11"/>
  <c r="A3227" i="11"/>
  <c r="A3282" i="11"/>
  <c r="A1501" i="11"/>
  <c r="A1735" i="11"/>
  <c r="A2779" i="11"/>
  <c r="A3733" i="11"/>
  <c r="A655" i="11"/>
  <c r="A1367" i="11"/>
  <c r="A374" i="11"/>
  <c r="A475" i="11"/>
  <c r="A1611" i="11"/>
  <c r="A3146" i="11"/>
  <c r="A2684" i="11"/>
  <c r="A3072" i="11"/>
  <c r="A1937" i="11"/>
  <c r="A3699" i="11"/>
  <c r="A1931" i="11"/>
  <c r="A682" i="11"/>
  <c r="A1156" i="11"/>
  <c r="A1612" i="11"/>
  <c r="A3706" i="11"/>
  <c r="A3355" i="11"/>
  <c r="A498" i="11"/>
  <c r="A1126" i="11"/>
  <c r="A1574" i="11"/>
  <c r="A2060" i="11"/>
  <c r="A1144" i="11"/>
  <c r="A2213" i="11"/>
  <c r="A1177" i="11"/>
  <c r="A2564" i="11"/>
  <c r="A1672" i="11"/>
  <c r="A1114" i="11"/>
  <c r="A1365" i="11"/>
  <c r="A1631" i="11"/>
  <c r="A2466" i="11"/>
  <c r="A2117" i="11"/>
  <c r="A182" i="11"/>
  <c r="A1602" i="11"/>
  <c r="A3757" i="11"/>
  <c r="A2853" i="11"/>
  <c r="A523" i="11"/>
  <c r="A1155" i="11"/>
  <c r="A3115" i="11"/>
  <c r="A1810" i="11"/>
  <c r="A932" i="11"/>
  <c r="A2809" i="11"/>
  <c r="A540" i="11"/>
  <c r="A2273" i="11"/>
  <c r="A2281" i="11"/>
  <c r="A2250" i="11"/>
  <c r="A1782" i="11"/>
  <c r="A541" i="11"/>
  <c r="A1553" i="11"/>
  <c r="A2609" i="11"/>
  <c r="A807" i="11"/>
  <c r="A1968" i="11"/>
  <c r="A1062" i="11"/>
  <c r="A277" i="11"/>
  <c r="A3622" i="11"/>
  <c r="A441" i="11"/>
  <c r="A2911" i="11"/>
  <c r="A1622" i="11"/>
  <c r="A2463" i="11"/>
  <c r="A2642" i="11"/>
  <c r="A2456" i="11"/>
  <c r="A2825" i="11"/>
  <c r="A502" i="11"/>
  <c r="A603" i="11"/>
  <c r="A2046" i="11"/>
  <c r="A777" i="11"/>
  <c r="A2424" i="11"/>
  <c r="A2522" i="11"/>
  <c r="A1660" i="11"/>
  <c r="A1035" i="11"/>
  <c r="A1465" i="11"/>
  <c r="A2721" i="11"/>
  <c r="A830" i="11"/>
  <c r="A3095" i="11"/>
  <c r="A965" i="11"/>
  <c r="A2487" i="11"/>
  <c r="A234" i="11"/>
  <c r="A771" i="11"/>
  <c r="A489" i="11"/>
  <c r="A1567" i="11"/>
  <c r="A687" i="11"/>
  <c r="A1591" i="11"/>
  <c r="A120" i="11"/>
  <c r="A858" i="11"/>
  <c r="A712" i="11"/>
  <c r="A2593" i="11"/>
  <c r="A496" i="11"/>
  <c r="A2068" i="11"/>
  <c r="A68" i="11"/>
  <c r="A1616" i="11"/>
  <c r="A805" i="11"/>
  <c r="A2495" i="11"/>
  <c r="A3716" i="11"/>
  <c r="A2756" i="11"/>
  <c r="A1664" i="11"/>
  <c r="A1025" i="11"/>
  <c r="A3534" i="11"/>
  <c r="A2475" i="11"/>
  <c r="A590" i="11"/>
  <c r="A2153" i="11"/>
  <c r="A1232" i="11"/>
  <c r="A3475" i="11"/>
  <c r="A1398" i="11"/>
  <c r="A3574" i="11"/>
  <c r="A184" i="11"/>
  <c r="A893" i="11"/>
  <c r="A1835" i="11"/>
  <c r="A620" i="11"/>
  <c r="A1857" i="11"/>
  <c r="A1806" i="11"/>
  <c r="A3063" i="11"/>
  <c r="A539" i="11"/>
  <c r="A1385" i="11"/>
  <c r="A3179" i="11"/>
  <c r="A1555" i="11"/>
  <c r="A1990" i="11"/>
  <c r="A17" i="11"/>
  <c r="A54" i="11"/>
  <c r="A1007" i="11"/>
  <c r="A3104" i="11"/>
  <c r="A2952" i="11"/>
  <c r="A949" i="11"/>
  <c r="A2020" i="11"/>
  <c r="A2908" i="11"/>
  <c r="A1003" i="11"/>
  <c r="A802" i="11"/>
  <c r="A1099" i="11"/>
  <c r="A2640" i="11"/>
  <c r="A294" i="11"/>
  <c r="A3732" i="11"/>
  <c r="A2356" i="11"/>
  <c r="A2004" i="11"/>
  <c r="A2392" i="11"/>
  <c r="A3094" i="11"/>
  <c r="A562" i="11"/>
  <c r="A153" i="11"/>
  <c r="A263" i="11"/>
  <c r="A2284" i="11"/>
  <c r="A477" i="11"/>
  <c r="A26" i="11"/>
  <c r="A1721" i="11"/>
  <c r="A2196" i="11"/>
  <c r="A1599" i="11"/>
  <c r="A187" i="11"/>
  <c r="A1021" i="11"/>
  <c r="A2594" i="11"/>
  <c r="A3432" i="11"/>
  <c r="A1958" i="11"/>
  <c r="A1923" i="11"/>
  <c r="A2747" i="11"/>
  <c r="A3096" i="11"/>
  <c r="A3592" i="11"/>
  <c r="A2458" i="11"/>
  <c r="A3116" i="11"/>
  <c r="A1351" i="11"/>
  <c r="A1542" i="11"/>
  <c r="A608" i="11"/>
  <c r="A3379" i="11"/>
  <c r="A376" i="11"/>
  <c r="A1441" i="11"/>
  <c r="A1180" i="11"/>
  <c r="A2623" i="11"/>
  <c r="A3029" i="11"/>
  <c r="A1558" i="11"/>
  <c r="A744" i="11"/>
  <c r="A3311" i="11"/>
  <c r="A2179" i="11"/>
  <c r="A1230" i="11"/>
  <c r="A2955" i="11"/>
  <c r="A2223" i="11"/>
  <c r="A99" i="11"/>
  <c r="A2432" i="11"/>
  <c r="A3362" i="11"/>
  <c r="A821" i="11"/>
  <c r="A889" i="11"/>
  <c r="A1263" i="11"/>
  <c r="A2374" i="11"/>
  <c r="A3185" i="11"/>
  <c r="A3776" i="11"/>
  <c r="A2988" i="11"/>
  <c r="A591" i="11"/>
  <c r="A3157" i="11"/>
  <c r="A2244" i="11"/>
  <c r="A2811" i="11"/>
  <c r="A2052" i="11"/>
  <c r="A3610" i="11"/>
  <c r="A1489" i="11"/>
  <c r="A3638" i="11"/>
  <c r="A1813" i="11"/>
  <c r="A3205" i="11"/>
  <c r="A3308" i="11"/>
  <c r="A2381" i="11"/>
  <c r="A3525" i="11"/>
  <c r="A2713" i="11"/>
  <c r="A1896" i="11"/>
  <c r="A580" i="11"/>
  <c r="A1864" i="11"/>
  <c r="A2518" i="11"/>
  <c r="A3127" i="11"/>
  <c r="A1190" i="11"/>
  <c r="A91" i="11"/>
  <c r="A2815" i="11"/>
  <c r="A264" i="11"/>
  <c r="A529" i="11"/>
  <c r="A1211" i="11"/>
  <c r="A2737" i="11"/>
  <c r="A1924" i="11"/>
  <c r="A3045" i="11"/>
  <c r="A2621" i="11"/>
  <c r="A2453" i="11"/>
  <c r="A2715" i="11"/>
  <c r="A1506" i="11"/>
  <c r="A1433" i="11"/>
  <c r="A3336" i="11"/>
  <c r="A2505" i="11"/>
  <c r="A781" i="11"/>
  <c r="A3751" i="11"/>
  <c r="A1955" i="11"/>
  <c r="A60" i="11"/>
  <c r="A2980" i="11"/>
  <c r="A1563" i="11"/>
  <c r="A2763" i="11"/>
  <c r="A1176" i="11"/>
  <c r="A752" i="11"/>
  <c r="A2277" i="11"/>
  <c r="A2703" i="11"/>
  <c r="A1658" i="11"/>
  <c r="A2601" i="11"/>
  <c r="A3741" i="11"/>
  <c r="A3065" i="11"/>
  <c r="A3727" i="11"/>
  <c r="A1353" i="11"/>
  <c r="A3110" i="11"/>
  <c r="A3117" i="11"/>
  <c r="A178" i="11"/>
  <c r="A2833" i="11"/>
  <c r="A596" i="11"/>
  <c r="A820" i="11"/>
  <c r="A34" i="11"/>
  <c r="A1477" i="11"/>
  <c r="A2397" i="11"/>
  <c r="A3309" i="11"/>
  <c r="A1306" i="11"/>
  <c r="A2439" i="11"/>
  <c r="A340" i="11"/>
  <c r="A1913" i="11"/>
  <c r="A3373" i="11"/>
  <c r="A3139" i="11"/>
  <c r="A469" i="11"/>
  <c r="A159" i="11"/>
  <c r="A2203" i="11"/>
  <c r="A1725" i="11"/>
  <c r="A3616" i="11"/>
  <c r="A2944" i="11"/>
  <c r="A743" i="11"/>
  <c r="A2836" i="11"/>
  <c r="A87" i="11"/>
  <c r="A1132" i="11"/>
  <c r="A2571" i="11"/>
  <c r="A2754" i="11"/>
  <c r="A1137" i="11"/>
  <c r="A737" i="11"/>
  <c r="A3090" i="11"/>
  <c r="A1974" i="11"/>
  <c r="A303" i="11"/>
  <c r="A317" i="11"/>
  <c r="A1495" i="11"/>
  <c r="A1500" i="11"/>
  <c r="A2727" i="11"/>
  <c r="A2520" i="11"/>
  <c r="A462" i="11"/>
  <c r="A1641" i="11"/>
  <c r="A574" i="11"/>
  <c r="A3039" i="11"/>
  <c r="A3804" i="11"/>
  <c r="A266" i="11"/>
  <c r="A548" i="11"/>
  <c r="A1488" i="11"/>
  <c r="A13" i="11"/>
  <c r="A3304" i="11"/>
  <c r="A188" i="11"/>
  <c r="A3285" i="11"/>
  <c r="A2652" i="11"/>
  <c r="A3405" i="11"/>
  <c r="A2630" i="11"/>
  <c r="A711" i="11"/>
  <c r="A2662" i="11"/>
  <c r="A754" i="11"/>
  <c r="A2519" i="11"/>
  <c r="A2136" i="11"/>
  <c r="A1792" i="11"/>
  <c r="A1992" i="11"/>
  <c r="A3381" i="11"/>
  <c r="A365" i="11"/>
  <c r="A2140" i="11"/>
  <c r="A2040" i="11"/>
  <c r="A2514" i="11"/>
  <c r="A2546" i="11"/>
  <c r="A2744" i="11"/>
  <c r="A3215" i="11"/>
  <c r="A3353" i="11"/>
  <c r="A1110" i="11"/>
  <c r="A2987" i="11"/>
  <c r="A1587" i="11"/>
  <c r="A2414" i="11"/>
  <c r="A3800" i="11"/>
  <c r="A837" i="11"/>
  <c r="A443" i="11"/>
  <c r="A2790" i="11"/>
  <c r="A793" i="11"/>
  <c r="A288" i="11"/>
  <c r="A2490" i="11"/>
  <c r="A2400" i="11"/>
  <c r="A1795" i="11"/>
  <c r="A3426" i="11"/>
  <c r="A2882" i="11"/>
  <c r="A1614" i="11"/>
  <c r="A3026" i="11"/>
  <c r="A2384" i="11"/>
  <c r="A1673" i="11"/>
  <c r="A2743" i="11"/>
  <c r="A1028" i="11"/>
  <c r="A2472" i="11"/>
  <c r="A864" i="11"/>
  <c r="A521" i="11"/>
  <c r="A1767" i="11"/>
  <c r="A3669" i="11"/>
  <c r="A3464" i="11"/>
  <c r="A2079" i="11"/>
  <c r="A1247" i="11"/>
  <c r="A3295" i="11"/>
  <c r="A3292" i="11"/>
  <c r="A2497" i="11"/>
  <c r="A2500" i="11"/>
  <c r="A2752" i="11"/>
  <c r="A1207" i="11"/>
  <c r="A998" i="11"/>
  <c r="A433" i="11"/>
  <c r="A1127" i="11"/>
  <c r="A474" i="11"/>
  <c r="A1684" i="11"/>
  <c r="A2058" i="11"/>
  <c r="A587" i="11"/>
  <c r="A3603" i="11"/>
  <c r="A1199" i="11"/>
  <c r="A3262" i="11"/>
  <c r="A3007" i="11"/>
  <c r="A478" i="11"/>
  <c r="A723" i="11"/>
  <c r="A1957" i="11"/>
  <c r="A295" i="11"/>
  <c r="A3334" i="11"/>
  <c r="A160" i="11"/>
  <c r="A175" i="11"/>
  <c r="A97" i="11"/>
  <c r="A765" i="11"/>
  <c r="A1408" i="11"/>
  <c r="A1969" i="11"/>
  <c r="A2545" i="11"/>
  <c r="A1584" i="11"/>
  <c r="A1714" i="11"/>
  <c r="A1381" i="11"/>
  <c r="A2189" i="11"/>
  <c r="A495" i="11"/>
  <c r="A3234" i="11"/>
  <c r="A2708" i="11"/>
  <c r="A3058" i="11"/>
  <c r="A3579" i="11"/>
  <c r="A1233" i="11"/>
  <c r="A759" i="11"/>
  <c r="A1424" i="11"/>
  <c r="A1285" i="11"/>
  <c r="A792" i="11"/>
  <c r="A2158" i="11"/>
  <c r="A730" i="11"/>
  <c r="A428" i="11"/>
  <c r="A2919" i="11"/>
  <c r="A2951" i="11"/>
  <c r="A3254" i="11"/>
  <c r="A41" i="11"/>
  <c r="A3687" i="11"/>
  <c r="A167" i="11"/>
  <c r="A1383" i="11"/>
  <c r="A1208" i="11"/>
  <c r="A3368" i="11"/>
  <c r="A1223" i="11"/>
  <c r="A3396" i="11"/>
  <c r="A916" i="11"/>
  <c r="A162" i="11"/>
  <c r="A528" i="11"/>
  <c r="A1529" i="11"/>
  <c r="A849" i="11"/>
  <c r="A1402" i="11"/>
  <c r="A2187" i="11"/>
  <c r="A1645" i="11"/>
  <c r="A2292" i="11"/>
  <c r="A2415" i="11"/>
  <c r="A2796" i="11"/>
  <c r="A769" i="11"/>
  <c r="A312" i="11"/>
  <c r="A2648" i="11"/>
  <c r="A940" i="11"/>
  <c r="A796" i="11"/>
  <c r="A460" i="11"/>
  <c r="A2176" i="11"/>
  <c r="A316" i="11"/>
  <c r="A3539" i="11"/>
  <c r="A1389" i="11"/>
  <c r="A3126" i="11"/>
  <c r="A1097" i="11"/>
  <c r="A3542" i="11"/>
  <c r="A1444" i="11"/>
  <c r="A2639" i="11"/>
  <c r="A3120" i="11"/>
  <c r="A2160" i="11"/>
  <c r="A3008" i="11"/>
  <c r="A2602" i="11"/>
  <c r="A1709" i="11"/>
  <c r="A147" i="11"/>
  <c r="A2478" i="11"/>
  <c r="A618" i="11"/>
  <c r="A3406" i="11"/>
  <c r="A2794" i="11"/>
  <c r="A3738" i="11"/>
  <c r="A1669" i="11"/>
  <c r="A1087" i="11"/>
  <c r="A2462" i="11"/>
  <c r="A215" i="11"/>
  <c r="A1219" i="11"/>
  <c r="A347" i="11"/>
  <c r="A972" i="11"/>
  <c r="A3677" i="11"/>
  <c r="A2784" i="11"/>
  <c r="A2551" i="11"/>
  <c r="A3662" i="11"/>
  <c r="A1236" i="11"/>
  <c r="A457" i="11"/>
  <c r="A2215" i="11"/>
  <c r="A831" i="11"/>
  <c r="A1539" i="11"/>
  <c r="A1076" i="11"/>
  <c r="A431" i="11"/>
  <c r="A3220" i="11"/>
  <c r="A3387" i="11"/>
  <c r="A556" i="11"/>
  <c r="A1765" i="11"/>
  <c r="A3148" i="11"/>
  <c r="A2455" i="11"/>
  <c r="A524" i="11"/>
  <c r="A3705" i="11"/>
  <c r="A418" i="11"/>
  <c r="A2089" i="11"/>
  <c r="A287" i="11"/>
  <c r="A1188" i="11"/>
  <c r="A1258" i="11"/>
  <c r="A2748" i="11"/>
  <c r="A487" i="11"/>
  <c r="A3328" i="11"/>
  <c r="A2577" i="11"/>
  <c r="A2983" i="11"/>
  <c r="A1711" i="11"/>
  <c r="A532" i="11"/>
  <c r="A3317" i="11"/>
  <c r="A2002" i="11"/>
  <c r="A3258" i="11"/>
  <c r="A689" i="11"/>
  <c r="A892" i="11"/>
  <c r="A194" i="11"/>
  <c r="A1717" i="11"/>
  <c r="A967" i="11"/>
  <c r="A705" i="11"/>
  <c r="A860" i="11"/>
  <c r="A3298" i="11"/>
  <c r="A479" i="11"/>
  <c r="A3231" i="11"/>
  <c r="A3766" i="11"/>
  <c r="A3675" i="11"/>
  <c r="A1345" i="11"/>
  <c r="A2278" i="11"/>
  <c r="A3178" i="11"/>
  <c r="A2459" i="11"/>
  <c r="A1473" i="11"/>
  <c r="A2312" i="11"/>
  <c r="A2167" i="11"/>
  <c r="A1005" i="11"/>
  <c r="A1814" i="11"/>
  <c r="A948" i="11"/>
  <c r="A2620" i="11"/>
  <c r="A1925" i="11"/>
  <c r="A3313" i="11"/>
  <c r="A764" i="11"/>
  <c r="A165" i="11"/>
  <c r="A958" i="11"/>
  <c r="A1998" i="11"/>
  <c r="A569" i="11"/>
  <c r="A3384" i="11"/>
  <c r="A3536" i="11"/>
  <c r="A202" i="11"/>
  <c r="A2351" i="11"/>
  <c r="A2539" i="11"/>
  <c r="A2231" i="11"/>
  <c r="A2862" i="11"/>
  <c r="A466" i="11"/>
  <c r="A600" i="11"/>
  <c r="A2718" i="11"/>
  <c r="A1030" i="11"/>
  <c r="A2892" i="11"/>
  <c r="A549" i="11"/>
  <c r="A2073" i="11"/>
  <c r="A2319" i="11"/>
  <c r="A1820" i="11"/>
  <c r="A2357" i="11"/>
  <c r="A2679" i="11"/>
  <c r="A826" i="11"/>
  <c r="A3398" i="11"/>
  <c r="A285" i="11"/>
  <c r="A10" i="11"/>
  <c r="A2379" i="11"/>
  <c r="A555" i="11"/>
  <c r="A3198" i="11"/>
  <c r="A2625" i="11"/>
  <c r="A1282" i="11"/>
  <c r="A3299" i="11"/>
  <c r="A728" i="11"/>
  <c r="A3584" i="11"/>
  <c r="A195" i="11"/>
  <c r="A1376" i="11"/>
  <c r="A3014" i="11"/>
  <c r="A64" i="11"/>
  <c r="A3575" i="11"/>
  <c r="A446" i="11"/>
  <c r="A3319" i="11"/>
  <c r="A1560" i="11"/>
  <c r="A2195" i="11"/>
  <c r="A326" i="11"/>
  <c r="A925" i="11"/>
  <c r="A550" i="11"/>
  <c r="A3537" i="11"/>
  <c r="A1682" i="11"/>
  <c r="A2201" i="11"/>
  <c r="A3051" i="11"/>
  <c r="A2893" i="11"/>
  <c r="A3567" i="11"/>
  <c r="A3540" i="11"/>
  <c r="A1055" i="11"/>
  <c r="A282" i="11"/>
  <c r="A740" i="11"/>
  <c r="A426" i="11"/>
  <c r="A3782" i="11"/>
  <c r="A1621" i="11"/>
  <c r="A3601" i="11"/>
  <c r="A3038" i="11"/>
  <c r="A2481" i="11"/>
  <c r="A3337" i="11"/>
  <c r="A355" i="11"/>
  <c r="A3161" i="11"/>
  <c r="A1000" i="11"/>
  <c r="A308" i="11"/>
  <c r="A3360" i="11"/>
  <c r="A149" i="11"/>
  <c r="A3377" i="11"/>
  <c r="A2542" i="11"/>
  <c r="A3230" i="11"/>
  <c r="A2663" i="11"/>
  <c r="A2948" i="11"/>
  <c r="A1531" i="11"/>
  <c r="A1734" i="11"/>
  <c r="A2728" i="11"/>
  <c r="A3760" i="11"/>
  <c r="A3333" i="11"/>
  <c r="A3382" i="11"/>
  <c r="A3497" i="11"/>
  <c r="A767" i="11"/>
  <c r="A2170" i="11"/>
  <c r="A1279" i="11"/>
  <c r="A1803" i="11"/>
  <c r="A1407" i="11"/>
  <c r="A693" i="11"/>
  <c r="A3519" i="11"/>
  <c r="A1646" i="11"/>
  <c r="A1999" i="11"/>
  <c r="A3182" i="11"/>
  <c r="A1512" i="11"/>
  <c r="A3767" i="11"/>
  <c r="A991" i="11"/>
  <c r="A3159" i="11"/>
  <c r="A1104" i="11"/>
  <c r="A2476" i="11"/>
  <c r="A894" i="11"/>
  <c r="A1919" i="11"/>
  <c r="A2927" i="11"/>
  <c r="A3330" i="11"/>
  <c r="A448" i="11"/>
  <c r="A470" i="11"/>
  <c r="A2540" i="11"/>
  <c r="A2949" i="11"/>
  <c r="A348" i="11"/>
  <c r="A1640" i="11"/>
  <c r="A2161" i="11"/>
  <c r="A375" i="11"/>
  <c r="A2388" i="11"/>
  <c r="A1856" i="11"/>
  <c r="A3068" i="11"/>
  <c r="A3441" i="11"/>
  <c r="A1866" i="11"/>
  <c r="A2056" i="11"/>
  <c r="A3128" i="11"/>
  <c r="A3440" i="11"/>
  <c r="A3001" i="11"/>
  <c r="A665" i="11"/>
  <c r="A3272" i="11"/>
  <c r="A547" i="11"/>
  <c r="A987" i="11"/>
  <c r="A3320" i="11"/>
  <c r="A350" i="11"/>
  <c r="A2398" i="11"/>
  <c r="A2572" i="11"/>
  <c r="A3439" i="11"/>
  <c r="A1121" i="11"/>
  <c r="A238" i="11"/>
  <c r="A1865" i="11"/>
  <c r="A1991" i="11"/>
  <c r="A2283" i="11"/>
  <c r="A2856" i="11"/>
  <c r="A1630" i="11"/>
  <c r="A903" i="11"/>
  <c r="A2403" i="11"/>
  <c r="A349" i="11"/>
  <c r="A461" i="11"/>
  <c r="A1667" i="11"/>
  <c r="A3186" i="11"/>
  <c r="A3235" i="11"/>
  <c r="A432" i="11"/>
  <c r="A1451" i="11"/>
  <c r="A814" i="11"/>
  <c r="A1854" i="11"/>
  <c r="A1395" i="11"/>
  <c r="A401" i="11"/>
  <c r="A2008" i="11"/>
  <c r="A3112" i="11"/>
  <c r="A2557" i="11"/>
  <c r="A3531" i="11"/>
  <c r="A1841" i="11"/>
  <c r="A657" i="11"/>
  <c r="A3400" i="11"/>
  <c r="A1737" i="11"/>
  <c r="A1988" i="11"/>
  <c r="A671" i="11"/>
  <c r="A546" i="11"/>
  <c r="A3414" i="11"/>
  <c r="A3419" i="11"/>
  <c r="A3634" i="11"/>
  <c r="A1756" i="11"/>
  <c r="A3694" i="11"/>
  <c r="A3458" i="11"/>
  <c r="A257" i="11"/>
  <c r="A844" i="11"/>
  <c r="A2562" i="11"/>
  <c r="A2842" i="11"/>
  <c r="A3451" i="11"/>
  <c r="A2181" i="11"/>
  <c r="A594" i="11"/>
  <c r="A1651" i="11"/>
  <c r="A3223" i="11"/>
  <c r="A2390" i="11"/>
  <c r="A2139" i="11"/>
  <c r="A1440" i="11"/>
  <c r="A422" i="11"/>
  <c r="A344" i="11"/>
  <c r="A1331" i="11"/>
  <c r="A3041" i="11"/>
  <c r="A2174" i="11"/>
  <c r="A3591" i="11"/>
  <c r="A2887" i="11"/>
  <c r="A2034" i="11"/>
  <c r="A2947" i="11"/>
  <c r="A840" i="11"/>
  <c r="A2134" i="11"/>
  <c r="A3685" i="11"/>
  <c r="A1971" i="11"/>
  <c r="A2925" i="11"/>
  <c r="A522" i="11"/>
  <c r="A2122" i="11"/>
  <c r="A1271" i="11"/>
  <c r="A3005" i="11"/>
  <c r="A3476" i="11"/>
  <c r="A999" i="11"/>
  <c r="A3283" i="11"/>
  <c r="A458" i="11"/>
  <c r="A3099" i="11"/>
  <c r="A2480" i="11"/>
  <c r="A2591" i="11"/>
  <c r="A3637" i="11"/>
  <c r="A1510" i="11"/>
  <c r="A928" i="11"/>
  <c r="A2111" i="11"/>
  <c r="A551" i="11"/>
  <c r="A1828" i="11"/>
  <c r="A2636" i="11"/>
  <c r="A1699" i="11"/>
  <c r="A985" i="11"/>
  <c r="A3725" i="11"/>
  <c r="A2078" i="11"/>
  <c r="A3557" i="11"/>
  <c r="A1179" i="11"/>
  <c r="A1544" i="11"/>
  <c r="A2651" i="11"/>
  <c r="A127" i="11"/>
  <c r="A109" i="11"/>
  <c r="A2973" i="11"/>
  <c r="A2311" i="11"/>
  <c r="A790" i="11"/>
  <c r="A1973" i="11"/>
  <c r="A3588" i="11"/>
  <c r="A236" i="11"/>
  <c r="A1987" i="11"/>
  <c r="A902" i="11"/>
  <c r="A226" i="11"/>
  <c r="A2180" i="11"/>
  <c r="A2332" i="11"/>
  <c r="A274" i="11"/>
  <c r="A2155" i="11"/>
  <c r="A2671" i="11"/>
  <c r="A3595" i="11"/>
  <c r="A1552" i="11"/>
  <c r="A2499" i="11"/>
  <c r="A1800" i="11"/>
  <c r="A223" i="11"/>
  <c r="A1902" i="11"/>
  <c r="A3050" i="11"/>
  <c r="A1227" i="11"/>
  <c r="A3614" i="11"/>
  <c r="A1665" i="11"/>
  <c r="A2437" i="11"/>
  <c r="A2589" i="11"/>
  <c r="A649" i="11"/>
  <c r="A2218" i="11"/>
  <c r="A3569" i="11"/>
  <c r="A3069" i="11"/>
  <c r="A1697" i="11"/>
  <c r="A2207" i="11"/>
  <c r="A619" i="11"/>
  <c r="A1311" i="11"/>
  <c r="A3201" i="11"/>
  <c r="A1766" i="11"/>
  <c r="A293" i="11"/>
  <c r="A1845" i="11"/>
  <c r="A2709" i="11"/>
  <c r="A3504" i="11"/>
  <c r="A2302" i="11"/>
  <c r="A782" i="11"/>
  <c r="A2610" i="11"/>
  <c r="A739" i="11"/>
  <c r="A2657" i="11"/>
  <c r="A3247" i="11"/>
  <c r="A3150" i="11"/>
  <c r="A2502" i="11"/>
  <c r="A3621" i="11"/>
  <c r="A3423" i="11"/>
  <c r="A2222" i="11"/>
  <c r="A2509" i="11"/>
  <c r="A3528" i="11"/>
  <c r="A3507" i="11"/>
  <c r="A564" i="11"/>
  <c r="A2553" i="11"/>
  <c r="A115" i="11"/>
  <c r="A1888" i="11"/>
  <c r="A803" i="11"/>
  <c r="A2387" i="11"/>
  <c r="A2229" i="11"/>
  <c r="A710" i="11"/>
  <c r="A2785" i="11"/>
  <c r="A1831" i="11"/>
  <c r="A2583" i="11"/>
  <c r="A352" i="11"/>
  <c r="A2124" i="11"/>
  <c r="A3083" i="11"/>
  <c r="A197" i="11"/>
  <c r="A3506" i="11"/>
  <c r="A2186" i="11"/>
  <c r="A31" i="11"/>
  <c r="A3541" i="11"/>
  <c r="A526" i="11"/>
  <c r="A2280" i="11"/>
  <c r="A3080" i="11"/>
  <c r="A2375" i="11"/>
  <c r="A2269" i="11"/>
  <c r="A2159" i="11"/>
  <c r="A2921" i="11"/>
  <c r="A3172" i="11"/>
  <c r="A1322" i="11"/>
  <c r="A1374" i="11"/>
  <c r="A2618" i="11"/>
  <c r="A2611" i="11"/>
  <c r="A1461" i="11"/>
  <c r="A1119" i="11"/>
  <c r="A3689" i="11"/>
  <c r="A2333" i="11"/>
  <c r="A3512" i="11"/>
  <c r="A2399" i="11"/>
  <c r="A2560" i="11"/>
  <c r="A915" i="11"/>
  <c r="A3401" i="11"/>
  <c r="A1289" i="11"/>
  <c r="A1859" i="11"/>
  <c r="A1519" i="11"/>
  <c r="A342" i="11"/>
  <c r="A2486" i="11"/>
  <c r="A1627" i="11"/>
  <c r="A3453" i="11"/>
  <c r="A799" i="11"/>
  <c r="A174" i="11"/>
  <c r="A2100" i="11"/>
  <c r="A1178" i="11"/>
  <c r="A3310" i="11"/>
  <c r="A1445" i="11"/>
  <c r="A659" i="11"/>
  <c r="A2128" i="11"/>
  <c r="A3641" i="11"/>
  <c r="A1016" i="11"/>
  <c r="A2863" i="11"/>
  <c r="A2310" i="11"/>
  <c r="A3596" i="11"/>
  <c r="A816" i="11"/>
  <c r="A2401" i="11"/>
  <c r="A2162" i="11"/>
  <c r="A2172" i="11"/>
  <c r="A2802" i="11"/>
  <c r="A2749" i="11"/>
  <c r="A2373" i="11"/>
  <c r="A3672" i="11"/>
  <c r="A3294" i="11"/>
  <c r="A919" i="11"/>
  <c r="A1905" i="11"/>
  <c r="A321" i="11"/>
  <c r="A1830" i="11"/>
  <c r="A1753" i="11"/>
  <c r="A2635" i="11"/>
  <c r="A3351" i="11"/>
  <c r="A3257" i="11"/>
  <c r="A1287" i="11"/>
  <c r="A1683" i="11"/>
  <c r="A130" i="11"/>
  <c r="A30" i="11"/>
  <c r="A2548" i="11"/>
  <c r="A3411" i="11"/>
  <c r="A3318" i="11"/>
  <c r="A1884" i="11"/>
  <c r="A597" i="11"/>
  <c r="A946" i="11"/>
  <c r="A313" i="11"/>
  <c r="A2824" i="11"/>
  <c r="A1623" i="11"/>
  <c r="A1535" i="11"/>
  <c r="A261" i="11"/>
  <c r="A3357" i="11"/>
  <c r="A1914" i="11"/>
  <c r="A94" i="11"/>
  <c r="A1592" i="11"/>
  <c r="A3049" i="11"/>
  <c r="A3376" i="11"/>
  <c r="A3810" i="11"/>
  <c r="A1744" i="11"/>
  <c r="A2190" i="11"/>
  <c r="A1708" i="11"/>
  <c r="A2214" i="11"/>
  <c r="A2288" i="11"/>
  <c r="A297" i="11"/>
  <c r="A1149" i="11"/>
  <c r="A2735" i="11"/>
  <c r="A2968" i="11"/>
  <c r="A3314" i="11"/>
  <c r="A3345" i="11"/>
  <c r="A314" i="11"/>
  <c r="A3674" i="11"/>
  <c r="A2660" i="11"/>
  <c r="A2263" i="11"/>
  <c r="A3643" i="11"/>
  <c r="A133" i="11"/>
  <c r="A3130" i="11"/>
  <c r="A180" i="11"/>
  <c r="A1688" i="11"/>
  <c r="A1793" i="11"/>
  <c r="A2768" i="11"/>
  <c r="A1815" i="11"/>
  <c r="A334" i="11"/>
  <c r="A1166" i="11"/>
  <c r="A3697" i="11"/>
  <c r="A1241" i="11"/>
  <c r="A934" i="11"/>
  <c r="A2104" i="11"/>
  <c r="A427" i="11"/>
  <c r="A3383" i="11"/>
  <c r="A3686" i="11"/>
  <c r="A692" i="11"/>
  <c r="A2759" i="11"/>
  <c r="A1107" i="11"/>
  <c r="A2336" i="11"/>
  <c r="A1142" i="11"/>
  <c r="A1352" i="11"/>
  <c r="A1507" i="11"/>
  <c r="A3729" i="11"/>
  <c r="A563" i="11"/>
  <c r="A3639" i="11"/>
  <c r="A1421" i="11"/>
  <c r="A938" i="11"/>
  <c r="A3780" i="11"/>
  <c r="A1962" i="11"/>
  <c r="A2559" i="11"/>
  <c r="A1031" i="11"/>
  <c r="A939" i="11"/>
  <c r="A533" i="11"/>
  <c r="A686" i="11"/>
  <c r="A1657" i="11"/>
  <c r="A3763" i="11"/>
  <c r="A2508" i="11"/>
  <c r="A3644" i="11"/>
  <c r="A2647" i="11"/>
  <c r="A1006" i="11"/>
  <c r="A1643" i="11"/>
  <c r="A2924" i="11"/>
  <c r="A2738" i="11"/>
  <c r="A3042" i="11"/>
  <c r="A2075" i="11"/>
  <c r="A2224" i="11"/>
  <c r="A2452" i="11"/>
  <c r="A3628" i="11"/>
  <c r="A1105" i="11"/>
  <c r="A2829" i="11"/>
  <c r="A2746" i="11"/>
  <c r="A873" i="11"/>
  <c r="A775" i="11"/>
  <c r="A1428" i="11"/>
  <c r="A3187" i="11"/>
  <c r="A2405" i="11"/>
  <c r="A3315" i="11"/>
  <c r="A380" i="11"/>
  <c r="A2041" i="11"/>
  <c r="A1123" i="11"/>
  <c r="A1419" i="11"/>
  <c r="A3020" i="11"/>
  <c r="A150" i="11"/>
  <c r="A1161" i="11"/>
  <c r="A631" i="11"/>
  <c r="A1079" i="11"/>
  <c r="A3079" i="11"/>
  <c r="A1770" i="11"/>
  <c r="A72" i="11"/>
  <c r="A1186" i="11"/>
  <c r="A2739" i="11"/>
  <c r="A3035" i="11"/>
  <c r="A176" i="11"/>
  <c r="A1072" i="11"/>
  <c r="A1589" i="11"/>
  <c r="A1545" i="11"/>
  <c r="A2443" i="11"/>
  <c r="A1633" i="11"/>
  <c r="A3236" i="11"/>
  <c r="A1357" i="11"/>
  <c r="A708" i="11"/>
  <c r="A788" i="11"/>
  <c r="A3181" i="11"/>
  <c r="A2899" i="11"/>
  <c r="A2442" i="11"/>
  <c r="A1550" i="11"/>
  <c r="A953" i="11"/>
  <c r="A2230" i="11"/>
  <c r="A1239" i="11"/>
  <c r="A1410" i="11"/>
  <c r="A3517" i="11"/>
  <c r="A3667" i="11"/>
  <c r="A1221" i="11"/>
  <c r="A1781" i="11"/>
  <c r="A2907" i="11"/>
  <c r="A1301" i="11"/>
  <c r="A1543" i="11"/>
  <c r="A172" i="11"/>
  <c r="A829" i="11"/>
  <c r="A3342" i="11"/>
  <c r="A3663" i="11"/>
  <c r="A1272" i="11"/>
  <c r="A3586" i="11"/>
  <c r="A2149" i="11"/>
  <c r="A2434" i="11"/>
  <c r="A1874" i="11"/>
  <c r="A1579" i="11"/>
  <c r="A1915" i="11"/>
  <c r="A2148" i="11"/>
  <c r="A926" i="11"/>
  <c r="A2006" i="11"/>
  <c r="A3437" i="11"/>
  <c r="A2130" i="11"/>
  <c r="A3710" i="11"/>
  <c r="A971" i="11"/>
  <c r="A879" i="11"/>
  <c r="A636" i="11"/>
  <c r="A323" i="11"/>
  <c r="A630" i="11"/>
  <c r="A177" i="11"/>
  <c r="A1077" i="11"/>
  <c r="A1636" i="11"/>
  <c r="A1885" i="11"/>
  <c r="A1575" i="11"/>
  <c r="A1889" i="11"/>
  <c r="A2239" i="11"/>
  <c r="A3160" i="11"/>
  <c r="A1173" i="11"/>
  <c r="A2241" i="11"/>
  <c r="A3291" i="11"/>
  <c r="A53" i="11"/>
  <c r="A463" i="11"/>
  <c r="A3708" i="11"/>
  <c r="A205" i="11"/>
  <c r="A1442" i="11"/>
  <c r="A1209" i="11"/>
  <c r="A3394" i="11"/>
  <c r="A3229" i="11"/>
  <c r="A2315" i="11"/>
  <c r="A2940" i="11"/>
  <c r="A617" i="11"/>
  <c r="A2371" i="11"/>
  <c r="A888" i="11"/>
  <c r="A2496" i="11"/>
  <c r="A2325" i="11"/>
  <c r="A2558" i="11"/>
  <c r="A3756" i="11"/>
  <c r="A1547" i="11"/>
  <c r="A2574" i="11"/>
  <c r="A2431" i="11"/>
  <c r="A834" i="11"/>
  <c r="A1081" i="11"/>
  <c r="A868" i="11"/>
  <c r="A3036" i="11"/>
  <c r="A2710" i="11"/>
  <c r="A3238" i="11"/>
  <c r="A964" i="11"/>
  <c r="A1203" i="11"/>
  <c r="A1158" i="11"/>
  <c r="A1572" i="11"/>
  <c r="A2579" i="11"/>
  <c r="A135" i="11"/>
  <c r="A1019" i="11"/>
  <c r="A959" i="11"/>
  <c r="A1474" i="11"/>
  <c r="A116" i="11"/>
  <c r="A2237" i="11"/>
  <c r="A2444" i="11"/>
  <c r="A1486" i="11"/>
  <c r="A2240" i="11"/>
  <c r="A3469" i="11"/>
  <c r="A735" i="11"/>
  <c r="A1092" i="11"/>
  <c r="A501" i="11"/>
  <c r="A3805" i="11"/>
  <c r="A621" i="11"/>
  <c r="A1578" i="11"/>
  <c r="A2143" i="11"/>
  <c r="A3273" i="11"/>
  <c r="A784" i="11"/>
  <c r="A1198" i="11"/>
  <c r="A1435" i="11"/>
  <c r="A3615" i="11"/>
  <c r="A1181" i="11"/>
  <c r="A63" i="11"/>
  <c r="A2303" i="11"/>
  <c r="A3654" i="11"/>
  <c r="A1164" i="11"/>
  <c r="A1434" i="11"/>
  <c r="A2922" i="11"/>
  <c r="A196" i="11"/>
  <c r="A3470" i="11"/>
  <c r="A132" i="11"/>
  <c r="A3255" i="11"/>
  <c r="A2903" i="11"/>
  <c r="A452" i="11"/>
  <c r="A304" i="11"/>
  <c r="A2272" i="11"/>
  <c r="A1594" i="11"/>
  <c r="A114" i="11"/>
  <c r="A3088" i="11"/>
  <c r="A1275" i="11"/>
  <c r="A3066" i="11"/>
  <c r="A2465" i="11"/>
  <c r="A1788" i="11"/>
  <c r="A1009" i="11"/>
  <c r="A1323" i="11"/>
  <c r="A3140" i="11"/>
  <c r="A2841" i="11"/>
  <c r="A3089" i="11"/>
  <c r="A2774" i="11"/>
  <c r="A423" i="11"/>
  <c r="A2695" i="11"/>
  <c r="A2912" i="11"/>
  <c r="A2395" i="11"/>
  <c r="A3343" i="11"/>
  <c r="A2005" i="11"/>
  <c r="A1959" i="11"/>
  <c r="A2307" i="11"/>
  <c r="A2009" i="11"/>
  <c r="A488" i="11"/>
  <c r="A1963" i="11"/>
  <c r="A212" i="11"/>
  <c r="A233" i="11"/>
  <c r="A1878" i="11"/>
  <c r="A1067" i="11"/>
  <c r="A664" i="11"/>
  <c r="A2661" i="11"/>
  <c r="A3444" i="11"/>
  <c r="A1977" i="11"/>
  <c r="A1799" i="11"/>
  <c r="A1786" i="11"/>
  <c r="A490" i="11"/>
  <c r="A3151" i="11"/>
  <c r="A853" i="11"/>
  <c r="A520" i="11"/>
  <c r="A2846" i="11"/>
  <c r="A140" i="11"/>
  <c r="A1886" i="11"/>
  <c r="A504" i="11"/>
  <c r="A1418" i="11"/>
  <c r="A3520" i="11"/>
  <c r="A3312" i="11"/>
  <c r="A3511" i="11"/>
  <c r="A1581" i="11"/>
  <c r="A2169" i="11"/>
  <c r="A1321" i="11"/>
  <c r="A2550" i="11"/>
  <c r="A307" i="11"/>
  <c r="A3263" i="11"/>
  <c r="A250" i="11"/>
  <c r="A1200" i="11"/>
  <c r="A2769" i="11"/>
  <c r="A1029" i="11"/>
  <c r="A1825" i="11"/>
  <c r="A3391" i="11"/>
  <c r="A3393" i="11"/>
  <c r="A1797" i="11"/>
  <c r="A1423" i="11"/>
  <c r="A3270" i="11"/>
  <c r="A2027" i="11"/>
  <c r="A2482" i="11"/>
  <c r="A1804" i="11"/>
  <c r="A1426" i="11"/>
  <c r="A319" i="11"/>
  <c r="A2146" i="11"/>
  <c r="A1222" i="11"/>
  <c r="A137" i="11"/>
  <c r="A1493" i="11"/>
  <c r="A3799" i="11"/>
  <c r="A1502" i="11"/>
  <c r="A2236" i="11"/>
  <c r="A707" i="11"/>
  <c r="A1921" i="11"/>
  <c r="A1448" i="11"/>
  <c r="A1316" i="11"/>
  <c r="A1750" i="11"/>
  <c r="A2923" i="11"/>
  <c r="A3670" i="11"/>
  <c r="A983" i="11"/>
  <c r="A3070" i="11"/>
  <c r="A1059" i="11"/>
  <c r="A3558" i="11"/>
  <c r="A2271" i="11"/>
  <c r="A3378" i="11"/>
  <c r="A328" i="11"/>
  <c r="A1490" i="11"/>
  <c r="A1058" i="11"/>
  <c r="A2670" i="11"/>
  <c r="A2791" i="11"/>
  <c r="A2248" i="11"/>
  <c r="A2427" i="11"/>
  <c r="A2711" i="11"/>
  <c r="A2409" i="11"/>
  <c r="A207" i="11"/>
  <c r="A732" i="11"/>
  <c r="A1607" i="11"/>
  <c r="A1066" i="11"/>
  <c r="A2115" i="11"/>
  <c r="A3203" i="11"/>
  <c r="A2705" i="11"/>
  <c r="A1274" i="11"/>
  <c r="A3390" i="11"/>
  <c r="A634" i="11"/>
  <c r="A409" i="11"/>
  <c r="A3053" i="11"/>
  <c r="A2142" i="11"/>
  <c r="A2072" i="11"/>
  <c r="A2644" i="11"/>
  <c r="A3286" i="11"/>
  <c r="A609" i="11"/>
  <c r="A1736" i="11"/>
  <c r="A3251" i="11"/>
  <c r="A2126" i="11"/>
  <c r="A84" i="11"/>
  <c r="A360" i="11"/>
  <c r="A2131" i="11"/>
  <c r="A1541" i="11"/>
  <c r="A1032" i="11"/>
  <c r="A3335" i="11"/>
  <c r="A783" i="11"/>
  <c r="A1979" i="11"/>
  <c r="A2910" i="11"/>
  <c r="A2677" i="11"/>
  <c r="A1812" i="11"/>
  <c r="A2026" i="11"/>
  <c r="A3253" i="11"/>
  <c r="A1870" i="11"/>
  <c r="A2286" i="11"/>
  <c r="A3413" i="11"/>
  <c r="A3137" i="11"/>
  <c r="A1771" i="11"/>
  <c r="A3562" i="11"/>
  <c r="A2094" i="11"/>
  <c r="A2819" i="11"/>
  <c r="A2425" i="11"/>
  <c r="A2025" i="11"/>
  <c r="A3046" i="11"/>
  <c r="A1938" i="11"/>
  <c r="A3474" i="11"/>
  <c r="A2477" i="11"/>
  <c r="A1562" i="11"/>
  <c r="A931" i="11"/>
  <c r="A1250" i="11"/>
  <c r="A1492" i="11"/>
  <c r="A2891" i="11"/>
  <c r="A494" i="11"/>
  <c r="A219" i="11"/>
  <c r="A170" i="11"/>
  <c r="A3456" i="11"/>
  <c r="A1431" i="11"/>
  <c r="A356" i="11"/>
  <c r="A3071" i="11"/>
  <c r="A2726" i="11"/>
  <c r="A827" i="11"/>
  <c r="A3602" i="11"/>
  <c r="A3680" i="11"/>
  <c r="A1618" i="11"/>
  <c r="A2035" i="11"/>
  <c r="A1429" i="11"/>
  <c r="A3156" i="11"/>
  <c r="A2798" i="11"/>
  <c r="A2088" i="11"/>
  <c r="A766" i="11"/>
  <c r="A3651" i="11"/>
  <c r="A688" i="11"/>
  <c r="A2306" i="11"/>
  <c r="A2267" i="11"/>
  <c r="A2014" i="11"/>
  <c r="A1948" i="11"/>
  <c r="A1526" i="11"/>
  <c r="A3226" i="11"/>
  <c r="A2254" i="11"/>
  <c r="A1120" i="11"/>
  <c r="A1784" i="11"/>
  <c r="A3193" i="11"/>
  <c r="A904" i="11"/>
  <c r="A3143" i="11"/>
  <c r="A729" i="11"/>
  <c r="A1416" i="11"/>
  <c r="A1504" i="11"/>
  <c r="A1928" i="11"/>
  <c r="A881" i="11"/>
  <c r="A1191" i="11"/>
  <c r="A552" i="11"/>
  <c r="A3811" i="11"/>
  <c r="A3631" i="11"/>
  <c r="A886" i="11"/>
  <c r="A3034" i="11"/>
  <c r="A1794" i="11"/>
  <c r="A3386" i="11"/>
  <c r="A2861" i="11"/>
  <c r="A3296" i="11"/>
  <c r="A2839" i="11"/>
  <c r="A2344" i="11"/>
  <c r="A3244" i="11"/>
  <c r="A2200" i="11"/>
  <c r="A1628" i="11"/>
  <c r="A2848" i="11"/>
  <c r="A748" i="11"/>
  <c r="A1946" i="11"/>
  <c r="A1405" i="11"/>
  <c r="A1260" i="11"/>
  <c r="A884" i="11"/>
  <c r="A1300" i="11"/>
  <c r="A913" i="11"/>
  <c r="A3011" i="11"/>
  <c r="A1041" i="11"/>
  <c r="A472" i="11"/>
  <c r="A941" i="11"/>
  <c r="A3192" i="11"/>
  <c r="A2926" i="11"/>
  <c r="A1761" i="11"/>
  <c r="A301" i="11"/>
  <c r="A1094" i="11"/>
  <c r="A1685" i="11"/>
  <c r="A2382" i="11"/>
  <c r="A2469" i="11"/>
  <c r="A1868" i="11"/>
  <c r="A3169" i="11"/>
  <c r="A2755" i="11"/>
  <c r="A1873" i="11"/>
  <c r="A3678" i="11"/>
  <c r="A2515" i="11"/>
  <c r="A2575" i="11"/>
  <c r="A3168" i="11"/>
  <c r="A3043" i="11"/>
  <c r="A1509" i="11"/>
  <c r="A292" i="11"/>
  <c r="A2996" i="11"/>
  <c r="A1929" i="11"/>
  <c r="A3100" i="11"/>
  <c r="A2296" i="11"/>
  <c r="A3521" i="11"/>
  <c r="A3682" i="11"/>
  <c r="A3428" i="11"/>
  <c r="A2693" i="11"/>
  <c r="A2592" i="11"/>
  <c r="A544" i="11"/>
  <c r="A1157" i="11"/>
  <c r="A1941" i="11"/>
  <c r="A2118" i="11"/>
  <c r="A1899" i="11"/>
  <c r="A82" i="11"/>
  <c r="A1261" i="11"/>
  <c r="A1809" i="11"/>
  <c r="A3787" i="11"/>
  <c r="A3303" i="11"/>
  <c r="A1702" i="11"/>
  <c r="A12" i="11"/>
  <c r="A1481" i="11"/>
  <c r="A878" i="11"/>
  <c r="A237" i="11"/>
  <c r="A2479" i="11"/>
  <c r="A67" i="11"/>
  <c r="A440" i="11"/>
  <c r="A2938" i="11"/>
  <c r="A2555" i="11"/>
  <c r="A1485" i="11"/>
  <c r="A1678" i="11"/>
  <c r="A2613" i="11"/>
  <c r="A1907" i="11"/>
  <c r="A1505" i="11"/>
  <c r="A2617" i="11"/>
  <c r="A1277" i="11"/>
  <c r="A85" i="11"/>
  <c r="A869" i="11"/>
  <c r="A2032" i="11"/>
  <c r="A1436" i="11"/>
  <c r="A1650" i="11"/>
  <c r="A640" i="11"/>
  <c r="A2533" i="11"/>
  <c r="A2975" i="11"/>
  <c r="A3746" i="11"/>
  <c r="A3256" i="11"/>
  <c r="A1569" i="11"/>
  <c r="A1095" i="11"/>
  <c r="A2423" i="11"/>
  <c r="A3438" i="11"/>
  <c r="A2234" i="11"/>
  <c r="A434" i="11"/>
  <c r="A927" i="11"/>
  <c r="A2438" i="11"/>
  <c r="A943" i="11"/>
  <c r="A1851" i="11"/>
  <c r="A1446" i="11"/>
  <c r="A2246" i="11"/>
  <c r="A1975" i="11"/>
  <c r="A2634" i="11"/>
  <c r="A663" i="11"/>
  <c r="A1400" i="11"/>
  <c r="A3374" i="11"/>
  <c r="A1057" i="11"/>
  <c r="A1629" i="11"/>
  <c r="A2831" i="11"/>
  <c r="A2135" i="11"/>
  <c r="A3576" i="11"/>
  <c r="A18" i="11"/>
  <c r="A3208" i="11"/>
  <c r="A3625" i="11"/>
  <c r="A3701" i="11"/>
  <c r="A588" i="11"/>
  <c r="A59" i="11"/>
  <c r="A2086" i="11"/>
  <c r="A726" i="11"/>
  <c r="A1054" i="11"/>
  <c r="A1246" i="11"/>
  <c r="A3206" i="11"/>
  <c r="A2331" i="11"/>
  <c r="A1807" i="11"/>
  <c r="A639" i="11"/>
  <c r="A444" i="11"/>
  <c r="A974" i="11"/>
  <c r="A3010" i="11"/>
  <c r="A2039" i="11"/>
  <c r="A1967" i="11"/>
  <c r="A673" i="11"/>
  <c r="A2022" i="11"/>
  <c r="A2408" i="11"/>
  <c r="A615" i="11"/>
  <c r="A2653" i="11"/>
  <c r="A3326" i="11"/>
  <c r="A3688" i="11"/>
  <c r="A171" i="11"/>
  <c r="A3416" i="11"/>
  <c r="A3289" i="11"/>
  <c r="A3642" i="11"/>
  <c r="A2683" i="11"/>
  <c r="A2682" i="11"/>
  <c r="A675" i="11"/>
  <c r="A2676" i="11"/>
  <c r="A1078" i="11"/>
  <c r="A3259" i="11"/>
  <c r="A2632" i="11"/>
  <c r="A3445" i="11"/>
  <c r="A493" i="11"/>
  <c r="A1727" i="11"/>
  <c r="A643" i="11"/>
  <c r="A2112" i="11"/>
  <c r="A497" i="11"/>
  <c r="A1447" i="11"/>
  <c r="A3341" i="11"/>
  <c r="A679" i="11"/>
  <c r="A395" i="11"/>
  <c r="A1530" i="11"/>
  <c r="A1391" i="11"/>
  <c r="A680" i="11"/>
  <c r="A1877" i="11"/>
  <c r="A2694" i="11"/>
  <c r="A3466" i="11"/>
  <c r="A1463" i="11"/>
  <c r="A246" i="11"/>
  <c r="A2873" i="11"/>
  <c r="A2470" i="11"/>
  <c r="A789" i="11"/>
  <c r="A299" i="11"/>
  <c r="A2999" i="11"/>
  <c r="A300" i="11"/>
  <c r="A2428" i="11"/>
  <c r="A253" i="11"/>
  <c r="A169" i="11"/>
  <c r="A1086" i="11"/>
  <c r="A93" i="11"/>
  <c r="A1730" i="11"/>
  <c r="A3459" i="11"/>
  <c r="A2347" i="11"/>
  <c r="A2309" i="11"/>
  <c r="A978" i="11"/>
  <c r="A113" i="11"/>
  <c r="A2734" i="11"/>
  <c r="A1136" i="11"/>
  <c r="A2036" i="11"/>
  <c r="A1293" i="11"/>
  <c r="A1860" i="11"/>
  <c r="A2417" i="11"/>
  <c r="A241" i="11"/>
  <c r="A2884" i="11"/>
  <c r="A3565" i="11"/>
  <c r="A761" i="11"/>
  <c r="A2761" i="11"/>
  <c r="A2832" i="11"/>
  <c r="A859" i="11"/>
  <c r="A713" i="11"/>
  <c r="A2191" i="11"/>
  <c r="A58" i="11"/>
  <c r="A2655" i="11"/>
  <c r="A415" i="11"/>
  <c r="A1693" i="11"/>
  <c r="A1745" i="11"/>
  <c r="A1513" i="11"/>
  <c r="A262" i="11"/>
  <c r="A3801" i="11"/>
  <c r="A62" i="11"/>
  <c r="A709" i="11"/>
  <c r="A1335" i="11"/>
  <c r="A2736" i="11"/>
  <c r="A3807" i="11"/>
  <c r="A3106" i="11"/>
  <c r="A2102" i="11"/>
  <c r="A383" i="11"/>
  <c r="A3736" i="11"/>
  <c r="A3209" i="11"/>
  <c r="A2420" i="11"/>
  <c r="A1109" i="11"/>
  <c r="A3544" i="11"/>
  <c r="A1559" i="11"/>
  <c r="A3554" i="11"/>
  <c r="A148" i="11"/>
  <c r="A2741" i="11"/>
  <c r="A1655" i="11"/>
  <c r="A1895" i="11"/>
  <c r="A1380" i="11"/>
  <c r="A1654" i="11"/>
  <c r="A1342" i="11"/>
  <c r="A2881" i="11"/>
  <c r="A2360" i="11"/>
  <c r="A899" i="11"/>
  <c r="A806" i="11"/>
  <c r="A386" i="11"/>
  <c r="A1668" i="11"/>
  <c r="A1196" i="11"/>
  <c r="A3609" i="11"/>
  <c r="A3791" i="11"/>
  <c r="A336" i="11"/>
  <c r="A2667" i="11"/>
  <c r="A2091" i="11"/>
  <c r="A672" i="11"/>
  <c r="A3155" i="11"/>
  <c r="A47" i="11"/>
  <c r="A785" i="11"/>
  <c r="A2304" i="11"/>
  <c r="A2069" i="11"/>
  <c r="A3571" i="11"/>
  <c r="A2547" i="11"/>
  <c r="A1183" i="11"/>
  <c r="A2340" i="11"/>
  <c r="A2614" i="11"/>
  <c r="A912" i="11"/>
  <c r="A2113" i="11"/>
  <c r="A696" i="11"/>
  <c r="A416" i="11"/>
  <c r="A2658" i="11"/>
  <c r="A3449" i="11"/>
  <c r="A2654" i="11"/>
  <c r="A3346" i="11"/>
  <c r="A2840" i="11"/>
  <c r="A3123" i="11"/>
  <c r="A2898" i="11"/>
  <c r="A90" i="11"/>
  <c r="A813" i="11"/>
  <c r="A1816" i="11"/>
  <c r="A3170" i="11"/>
  <c r="A1773" i="11"/>
  <c r="A2516" i="11"/>
  <c r="A2233" i="11"/>
  <c r="A1238" i="11"/>
  <c r="A3731" i="11"/>
  <c r="A189" i="11"/>
  <c r="A1168" i="11"/>
  <c r="A3389" i="11"/>
  <c r="A1527" i="11"/>
  <c r="A2316" i="11"/>
  <c r="A3212" i="11"/>
  <c r="A2483" i="11"/>
  <c r="A111" i="11"/>
  <c r="A1740" i="11"/>
  <c r="A3533" i="11"/>
  <c r="A703" i="11"/>
  <c r="A677" i="11"/>
  <c r="A2765" i="11"/>
  <c r="A1117" i="11"/>
  <c r="A2242" i="11"/>
  <c r="A2074" i="11"/>
  <c r="A372" i="11"/>
  <c r="A1484" i="11"/>
  <c r="A1796" i="11"/>
  <c r="A55" i="11"/>
  <c r="A1101" i="11"/>
  <c r="A442" i="11"/>
  <c r="A1160" i="11"/>
  <c r="A3306" i="11"/>
  <c r="A3447" i="11"/>
  <c r="A1360" i="11"/>
  <c r="A2349" i="11"/>
  <c r="A1002" i="11"/>
  <c r="A467" i="11"/>
  <c r="A1719" i="11"/>
  <c r="A2680" i="11"/>
  <c r="A583" i="11"/>
  <c r="A3722" i="11"/>
  <c r="A3629" i="11"/>
  <c r="A1098" i="11"/>
  <c r="A3605" i="11"/>
  <c r="A118" i="11"/>
  <c r="A1052" i="11"/>
  <c r="A955" i="11"/>
  <c r="A3133" i="11"/>
  <c r="A3509" i="11"/>
  <c r="A2917" i="11"/>
  <c r="A1103" i="11"/>
  <c r="A1309" i="11"/>
  <c r="A2875" i="11"/>
  <c r="A3486" i="11"/>
  <c r="A896" i="11"/>
  <c r="A2691" i="11"/>
  <c r="A1978" i="11"/>
  <c r="A3164" i="11"/>
  <c r="A1298" i="11"/>
  <c r="A990" i="11"/>
  <c r="A2077" i="11"/>
  <c r="A632" i="11"/>
  <c r="A3532" i="11"/>
  <c r="A3632" i="11"/>
  <c r="A1004" i="11"/>
  <c r="A3657" i="11"/>
  <c r="A3703" i="11"/>
  <c r="A480" i="11"/>
  <c r="A2485" i="11"/>
  <c r="A208" i="11"/>
  <c r="A2672" i="11"/>
  <c r="A1556" i="11"/>
  <c r="A1116" i="11"/>
  <c r="A2967" i="11"/>
  <c r="A1548" i="11"/>
  <c r="A3147" i="11"/>
  <c r="A2725" i="11"/>
  <c r="A291" i="11"/>
  <c r="A2920" i="11"/>
  <c r="A741" i="11"/>
  <c r="A1216" i="11"/>
  <c r="A2205" i="11"/>
  <c r="A2445" i="11"/>
  <c r="A2266" i="11"/>
  <c r="A2105" i="11"/>
  <c r="A1189" i="11"/>
  <c r="A435" i="11"/>
  <c r="A1634" i="11"/>
  <c r="A51" i="11"/>
  <c r="A1333" i="11"/>
  <c r="A1124" i="11"/>
  <c r="A3720" i="11"/>
  <c r="A28" i="11"/>
  <c r="A173" i="11"/>
  <c r="A2659" i="11"/>
  <c r="A3322" i="11"/>
  <c r="A1695" i="11"/>
  <c r="A812" i="11"/>
  <c r="A2535" i="11"/>
  <c r="A2731" i="11"/>
  <c r="A11" i="11"/>
  <c r="A2406" i="11"/>
  <c r="A2712" i="11"/>
  <c r="A3246" i="11"/>
  <c r="A3771" i="11"/>
  <c r="A3794" i="11"/>
  <c r="A2608" i="11"/>
  <c r="A891" i="11"/>
  <c r="A2777" i="11"/>
  <c r="A2378" i="11"/>
  <c r="A2144" i="11"/>
  <c r="A2812" i="11"/>
  <c r="A3216" i="11"/>
  <c r="A1790" i="11"/>
  <c r="A2745" i="11"/>
  <c r="A1064" i="11"/>
  <c r="A258" i="11"/>
  <c r="A1903" i="11"/>
  <c r="A276" i="11"/>
  <c r="A870" i="11"/>
  <c r="A2290" i="11"/>
  <c r="A811" i="11"/>
  <c r="A2359" i="11"/>
  <c r="A3803" i="11"/>
  <c r="A1960" i="11"/>
  <c r="A1307" i="11"/>
  <c r="A3461" i="11"/>
  <c r="A575" i="11"/>
  <c r="A2188" i="11"/>
  <c r="A1638" i="11"/>
  <c r="A2732" i="11"/>
  <c r="A1039" i="11"/>
  <c r="A157" i="11"/>
  <c r="A2369" i="11"/>
  <c r="A2245" i="11"/>
  <c r="A3332" i="11"/>
  <c r="A2513" i="11"/>
  <c r="A3786" i="11"/>
  <c r="A1950" i="11"/>
  <c r="A1901" i="11"/>
  <c r="A3194" i="11"/>
  <c r="A3813" i="11"/>
  <c r="A2365" i="11"/>
  <c r="A994" i="11"/>
  <c r="A2012" i="11"/>
  <c r="A3480" i="11"/>
  <c r="A855" i="11"/>
  <c r="A1580" i="11"/>
  <c r="A1375" i="11"/>
  <c r="A186" i="11"/>
  <c r="A2821" i="11"/>
  <c r="A1349" i="11"/>
  <c r="A1386" i="11"/>
  <c r="A3433" i="11"/>
  <c r="A2147" i="11"/>
  <c r="A2268" i="11"/>
  <c r="A1359" i="11"/>
  <c r="A861" i="11"/>
  <c r="A2047" i="11"/>
  <c r="A2843" i="11"/>
  <c r="A2646" i="11"/>
  <c r="A1701" i="11"/>
  <c r="A2751" i="11"/>
  <c r="A2107" i="11"/>
  <c r="A3761" i="11"/>
  <c r="A1904" i="11"/>
  <c r="A1159" i="11"/>
  <c r="A1171" i="11"/>
  <c r="A553" i="11"/>
  <c r="A2338" i="11"/>
  <c r="A358" i="11"/>
  <c r="A3739" i="11"/>
  <c r="A2235" i="11"/>
  <c r="A2803" i="11"/>
  <c r="A633" i="11"/>
  <c r="A1583" i="11"/>
  <c r="A2293" i="11"/>
  <c r="A3434" i="11"/>
  <c r="A1217" i="11"/>
  <c r="A3221" i="11"/>
  <c r="A2929" i="11"/>
  <c r="A635" i="11"/>
  <c r="A1406" i="11"/>
  <c r="A714" i="11"/>
  <c r="A1397" i="11"/>
  <c r="A1881" i="11"/>
  <c r="A2889" i="11"/>
  <c r="A1785" i="11"/>
  <c r="A23" i="11"/>
  <c r="A2776" i="11"/>
  <c r="A3645" i="11"/>
  <c r="A2762" i="11"/>
  <c r="A1286" i="11"/>
  <c r="A2994" i="11"/>
  <c r="A2888" i="11"/>
  <c r="A2984" i="11"/>
  <c r="A1677" i="11"/>
  <c r="A2953" i="11"/>
  <c r="A2685" i="11"/>
  <c r="A2941" i="11"/>
  <c r="A1167" i="11"/>
  <c r="A485" i="11"/>
  <c r="A3281" i="11"/>
  <c r="A3597" i="11"/>
  <c r="A339" i="11"/>
  <c r="A1696" i="11"/>
  <c r="A2851" i="11"/>
  <c r="A3640" i="11"/>
  <c r="A103" i="11"/>
  <c r="A3560" i="11"/>
  <c r="A256" i="11"/>
  <c r="A981" i="11"/>
  <c r="A2766" i="11"/>
  <c r="A56" i="11"/>
  <c r="A2723" i="11"/>
  <c r="A3604" i="11"/>
  <c r="A717" i="11"/>
  <c r="A3538" i="11"/>
  <c r="A2436" i="11"/>
  <c r="A3498" i="11"/>
  <c r="A1653" i="11"/>
  <c r="A2773" i="11"/>
  <c r="A1644" i="11"/>
  <c r="A3713" i="11"/>
  <c r="A2816" i="11"/>
  <c r="A1656" i="11"/>
  <c r="A3676" i="11"/>
  <c r="A1425" i="11"/>
  <c r="A3488" i="11"/>
  <c r="A760" i="11"/>
  <c r="A3806" i="11"/>
  <c r="A2363" i="11"/>
  <c r="A921" i="11"/>
  <c r="A2355" i="11"/>
  <c r="A3608" i="11"/>
  <c r="A3092" i="11"/>
  <c r="A995" i="11"/>
  <c r="A2806" i="11"/>
  <c r="A3547" i="11"/>
  <c r="A2217" i="11"/>
  <c r="A198" i="11"/>
  <c r="A3435" i="11"/>
  <c r="A2730" i="11"/>
  <c r="A1334" i="11"/>
  <c r="A3455" i="11"/>
  <c r="A776" i="11"/>
  <c r="A1760" i="11"/>
  <c r="A2168" i="11"/>
  <c r="A2810" i="11"/>
  <c r="A997" i="11"/>
  <c r="A1849" i="11"/>
  <c r="A74" i="11"/>
  <c r="A1837" i="11"/>
  <c r="A1498" i="11"/>
  <c r="A2698" i="11"/>
  <c r="A3190" i="11"/>
  <c r="A278" i="11"/>
  <c r="A1290" i="11"/>
  <c r="A2666" i="11"/>
  <c r="A1996" i="11"/>
  <c r="A1847" i="11"/>
  <c r="A1417" i="11"/>
  <c r="A1226" i="11"/>
  <c r="A2318" i="11"/>
  <c r="A1457" i="11"/>
  <c r="A2526" i="11"/>
  <c r="A702" i="11"/>
  <c r="A3189" i="11"/>
  <c r="A128" i="11"/>
  <c r="A1056" i="11"/>
  <c r="A1920" i="11"/>
  <c r="A1603" i="11"/>
  <c r="A3546" i="11"/>
  <c r="A1791" i="11"/>
  <c r="A536" i="11"/>
  <c r="A996" i="11"/>
  <c r="A3105" i="11"/>
  <c r="A929" i="11"/>
  <c r="A1516" i="11"/>
  <c r="A2364" i="11"/>
  <c r="A2103" i="11"/>
  <c r="A3316" i="11"/>
  <c r="A2016" i="11"/>
  <c r="A1671" i="11"/>
  <c r="A1283" i="11"/>
  <c r="A3754" i="11"/>
  <c r="A1284" i="11"/>
  <c r="A2605" i="11"/>
  <c r="A3191" i="11"/>
  <c r="A3617" i="11"/>
  <c r="A1772" i="11"/>
  <c r="A2372" i="11"/>
  <c r="A3204" i="11"/>
  <c r="A3590" i="11"/>
  <c r="A2084" i="11"/>
  <c r="A1900" i="11"/>
  <c r="A1082" i="11"/>
  <c r="A492" i="11"/>
  <c r="A2053" i="11"/>
  <c r="A3555" i="11"/>
  <c r="A2596" i="11"/>
  <c r="A387" i="11"/>
  <c r="A1091" i="11"/>
  <c r="A1206" i="11"/>
  <c r="A3409" i="11"/>
  <c r="A227" i="11"/>
  <c r="A390" i="11"/>
  <c r="A3338" i="11"/>
  <c r="A29" i="11"/>
  <c r="A2544" i="11"/>
  <c r="A3693" i="11"/>
  <c r="A1201" i="11"/>
  <c r="A3495" i="11"/>
  <c r="A986" i="11"/>
  <c r="A248" i="11"/>
  <c r="A1430" i="11"/>
  <c r="A1749" i="11"/>
  <c r="A1663" i="11"/>
  <c r="A1747" i="11"/>
  <c r="A1245" i="11"/>
  <c r="A750" i="11"/>
  <c r="A1371" i="11"/>
  <c r="A3510" i="11"/>
  <c r="A684" i="11"/>
  <c r="A1789" i="11"/>
  <c r="A3195" i="11"/>
  <c r="A3044" i="11"/>
  <c r="A3224" i="11"/>
  <c r="A3136" i="11"/>
  <c r="A2901" i="11"/>
  <c r="A1778" i="11"/>
  <c r="A3211" i="11"/>
  <c r="A2895" i="11"/>
  <c r="A399" i="11"/>
  <c r="A421" i="11"/>
  <c r="A612" i="11"/>
  <c r="A1362" i="11"/>
  <c r="A3149" i="11"/>
  <c r="A49" i="11"/>
  <c r="A104" i="11"/>
  <c r="A3513" i="11"/>
  <c r="A1681" i="11"/>
  <c r="A1172" i="11"/>
  <c r="A2491" i="11"/>
  <c r="A1327" i="11"/>
  <c r="A2383" i="11"/>
  <c r="A2173" i="11"/>
  <c r="A511" i="11"/>
  <c r="A3119" i="11"/>
  <c r="A2070" i="11"/>
  <c r="A388" i="11"/>
  <c r="A1460" i="11"/>
  <c r="A3284" i="11"/>
  <c r="A1487" i="11"/>
  <c r="A835" i="11"/>
  <c r="A2668" i="11"/>
  <c r="A2038" i="11"/>
  <c r="A95" i="11"/>
  <c r="A362" i="11"/>
  <c r="A2334" i="11"/>
  <c r="A576" i="11"/>
  <c r="A88" i="11"/>
  <c r="A1422" i="11"/>
  <c r="A1215" i="11"/>
  <c r="A3646" i="11"/>
  <c r="A3683" i="11"/>
  <c r="A1954" i="11"/>
  <c r="A2869" i="11"/>
  <c r="A3015" i="11"/>
  <c r="A2823" i="11"/>
  <c r="A1617" i="11"/>
  <c r="A2714" i="11"/>
  <c r="A1291" i="11"/>
  <c r="A654" i="11"/>
  <c r="A3367" i="11"/>
  <c r="A3222" i="11"/>
  <c r="A2391" i="11"/>
  <c r="A1768" i="11"/>
  <c r="A2474" i="11"/>
  <c r="A1264" i="11"/>
  <c r="A2028" i="11"/>
  <c r="A2193" i="11"/>
  <c r="A2358" i="11"/>
  <c r="A2163" i="11"/>
  <c r="A2995" i="11"/>
  <c r="A3612" i="11"/>
  <c r="A1262" i="11"/>
  <c r="A473" i="11"/>
  <c r="A626" i="11"/>
  <c r="A351" i="11"/>
  <c r="A1642" i="11"/>
  <c r="A3770" i="11"/>
  <c r="A425" i="11"/>
  <c r="A2868" i="11"/>
  <c r="A2279" i="11"/>
  <c r="A259" i="11"/>
  <c r="A3305" i="11"/>
  <c r="A3060" i="11"/>
  <c r="A2261" i="11"/>
  <c r="A429" i="11"/>
  <c r="A727" i="11"/>
  <c r="A3359" i="11"/>
  <c r="A1758" i="11"/>
  <c r="A841" i="11"/>
  <c r="A3759" i="11"/>
  <c r="A2109" i="11"/>
  <c r="A2013" i="11"/>
  <c r="A1811" i="11"/>
  <c r="A1027" i="11"/>
  <c r="A1299" i="11"/>
  <c r="A2525" i="11"/>
  <c r="A1728" i="11"/>
  <c r="A1839" i="11"/>
  <c r="A2450" i="11"/>
  <c r="G5" i="10"/>
  <c r="G4" i="10"/>
  <c r="G3" i="10"/>
  <c r="I6" i="8"/>
  <c r="J6" i="8" s="1"/>
  <c r="A1" i="11" l="1"/>
  <c r="I7" i="8"/>
  <c r="J7" i="8" s="1"/>
  <c r="I8" i="8"/>
  <c r="J8" i="8" s="1"/>
  <c r="I9" i="8"/>
  <c r="J9" i="8" s="1"/>
</calcChain>
</file>

<file path=xl/sharedStrings.xml><?xml version="1.0" encoding="utf-8"?>
<sst xmlns="http://schemas.openxmlformats.org/spreadsheetml/2006/main" count="18507" uniqueCount="9166">
  <si>
    <t>Case(Cause)#</t>
  </si>
  <si>
    <t>Style</t>
  </si>
  <si>
    <t>File Date</t>
  </si>
  <si>
    <t>Court</t>
  </si>
  <si>
    <t>Type of Action/Offense</t>
  </si>
  <si>
    <t>Case Region</t>
  </si>
  <si>
    <t>Sort Order</t>
  </si>
  <si>
    <t>Configurations</t>
  </si>
  <si>
    <t>no</t>
  </si>
  <si>
    <t>Configuration</t>
  </si>
  <si>
    <t>yes</t>
  </si>
  <si>
    <t>(F)</t>
  </si>
  <si>
    <t>rundate</t>
  </si>
  <si>
    <t>cdi</t>
  </si>
  <si>
    <t>cas</t>
  </si>
  <si>
    <t>fda</t>
  </si>
  <si>
    <t>ins</t>
  </si>
  <si>
    <t>cad</t>
  </si>
  <si>
    <t>crt</t>
  </si>
  <si>
    <t>cst</t>
  </si>
  <si>
    <t>dst</t>
  </si>
  <si>
    <t>bam</t>
  </si>
  <si>
    <t>curr_off</t>
  </si>
  <si>
    <t>curr_off_lit</t>
  </si>
  <si>
    <t>curr_l_d</t>
  </si>
  <si>
    <t>nda</t>
  </si>
  <si>
    <t>cnc</t>
  </si>
  <si>
    <t>rea</t>
  </si>
  <si>
    <t>def_nam</t>
  </si>
  <si>
    <t>def_spn</t>
  </si>
  <si>
    <t>def_rac</t>
  </si>
  <si>
    <t>def_sex</t>
  </si>
  <si>
    <t>def_dob</t>
  </si>
  <si>
    <t>def_stnum</t>
  </si>
  <si>
    <t>def_stnam</t>
  </si>
  <si>
    <t>def_cty</t>
  </si>
  <si>
    <t>def_st</t>
  </si>
  <si>
    <t>def_zip</t>
  </si>
  <si>
    <t>aty_nam</t>
  </si>
  <si>
    <t>aty_spn</t>
  </si>
  <si>
    <t>aty_coc</t>
  </si>
  <si>
    <t>aty_coc_lit</t>
  </si>
  <si>
    <t>def_birthplace</t>
  </si>
  <si>
    <t>def_uscitizen</t>
  </si>
  <si>
    <t>A</t>
  </si>
  <si>
    <t>F</t>
  </si>
  <si>
    <t>M</t>
  </si>
  <si>
    <t>U</t>
  </si>
  <si>
    <t>J</t>
  </si>
  <si>
    <t>Y</t>
  </si>
  <si>
    <t>W</t>
  </si>
  <si>
    <t>ASSAULT-BODILY INJURY</t>
  </si>
  <si>
    <t>C</t>
  </si>
  <si>
    <t>ASSAULT-FAMILY MEMBER</t>
  </si>
  <si>
    <t>X</t>
  </si>
  <si>
    <t>DISM</t>
  </si>
  <si>
    <t>TERRORISTIC THREAT FAMILY/HOUS</t>
  </si>
  <si>
    <t>TERRORISTIC THREAT FEAR IMMINE</t>
  </si>
  <si>
    <t>TERRORISTIC THREAT</t>
  </si>
  <si>
    <t>BURGLARY OF VEHICLE</t>
  </si>
  <si>
    <t>POSS-UNL USE OF CRIM INSTR</t>
  </si>
  <si>
    <t>THEFT &gt;=$750 &lt;$2,500</t>
  </si>
  <si>
    <t>I</t>
  </si>
  <si>
    <t>THEFT-MAIL &lt;=10 ADDRESSES</t>
  </si>
  <si>
    <t>THEFT &gt;=$100&lt;$750</t>
  </si>
  <si>
    <t>THEFT &lt;$100 W/PREV CONVICTION</t>
  </si>
  <si>
    <t>CRIMINAL MISCHIEF &gt;=$750&lt;$2,50</t>
  </si>
  <si>
    <t>CRIM MISCH &gt;=100 &lt;$750</t>
  </si>
  <si>
    <t>INTERFERE DUTIES PUB SERVANT</t>
  </si>
  <si>
    <t>VIOL BOND/PROTECTIVE ORDER</t>
  </si>
  <si>
    <t>PROSTITUTION - NON PUBLIC OFFE</t>
  </si>
  <si>
    <t>EVADING ARREST/DETENTION</t>
  </si>
  <si>
    <t>RESIST ARR-SEARCH</t>
  </si>
  <si>
    <t>FALSE REPORT TO POLICE OFFICER</t>
  </si>
  <si>
    <t>FAIL IDENT TO P-O-FUGITIVE</t>
  </si>
  <si>
    <t>FAIL TO ID TO P.O. FALSE INF/F</t>
  </si>
  <si>
    <t>FAIL TO ID TO P.O. FALSE INF</t>
  </si>
  <si>
    <t>ESCAPE</t>
  </si>
  <si>
    <t>UNLAW CARRY WPN</t>
  </si>
  <si>
    <t>CARRYING HANDGUN IN MOTOR VEHI</t>
  </si>
  <si>
    <t>DISCHARGE FIREARM METRO AREA</t>
  </si>
  <si>
    <t>UNLAW. CARRY WPN/LIC/HOLDER IN</t>
  </si>
  <si>
    <t>FALSE REPORT</t>
  </si>
  <si>
    <t>HARASSING COMMUNICATION</t>
  </si>
  <si>
    <t>DEADLY CONDUCT</t>
  </si>
  <si>
    <t>INTERFER W/EMER REQ FOR ASSIST</t>
  </si>
  <si>
    <t>FSGI ACC ATTEND DAMAGE VEH&gt;=$2</t>
  </si>
  <si>
    <t>DWI 2ND</t>
  </si>
  <si>
    <t>DRIVING WHILE INTOXICATED</t>
  </si>
  <si>
    <t>DWI/OPEN ALCOHOL CONTAINER</t>
  </si>
  <si>
    <t>DWI 1ST OFFENDER BAC&gt;=0.15</t>
  </si>
  <si>
    <t>DWI 2ND OFFENDER BAC&gt;=0.15</t>
  </si>
  <si>
    <t>DRV W/LIC INV W/PR CN/SUS/W/O</t>
  </si>
  <si>
    <t>RACING ON HIGHWAY</t>
  </si>
  <si>
    <t>RECKLESS DRIVING</t>
  </si>
  <si>
    <t>UNLAWFUL RESTRAINT</t>
  </si>
  <si>
    <t>POSS CS PG 3 &lt;28 GRAMS</t>
  </si>
  <si>
    <t>CRIM TRES HAB/SHLTR/SUPRFUND/I</t>
  </si>
  <si>
    <t>CRIMINAL TRESPASS</t>
  </si>
  <si>
    <t>VIOL PROTECTIVE ORDER</t>
  </si>
  <si>
    <t>OUT OF STATE - FUGITIVE</t>
  </si>
  <si>
    <t>OUT OF COUNTY - MISDEMEANOR</t>
  </si>
  <si>
    <t>FALSIFY DRUG TEST RESULTS</t>
  </si>
  <si>
    <t>THEFT AGGREGATE =&gt;$750&lt;$2500 1</t>
  </si>
  <si>
    <t>INDECENT EXPOSURE</t>
  </si>
  <si>
    <t>BURG COIN OPERATED MACHINE</t>
  </si>
  <si>
    <t>THEFT AGGREGATE =&gt;$100&lt;$750 MU</t>
  </si>
  <si>
    <t>Prompt to append web data?</t>
  </si>
  <si>
    <t>Automatically remove raw web data?</t>
  </si>
  <si>
    <t>Prompt to append text data?</t>
  </si>
  <si>
    <t>ATT BURGLARY OF BUILDING</t>
  </si>
  <si>
    <t>TAMPER W/I.D. PERSONAL PROP</t>
  </si>
  <si>
    <t>RACING ON HIGHWAY W/ENHAN</t>
  </si>
  <si>
    <t>Offense</t>
  </si>
  <si>
    <t>Single payment</t>
  </si>
  <si>
    <t>Half down</t>
  </si>
  <si>
    <t>Payment multiplier</t>
  </si>
  <si>
    <t>3monthly</t>
  </si>
  <si>
    <t>6monthly</t>
  </si>
  <si>
    <t>Example</t>
  </si>
  <si>
    <t>Single payment price [ $ ]</t>
  </si>
  <si>
    <t>Three monthly payments</t>
  </si>
  <si>
    <t>Six monthly payments</t>
  </si>
  <si>
    <t>Total cost [ $ ]</t>
  </si>
  <si>
    <t>Cost/invoice [ $ ]</t>
  </si>
  <si>
    <t>Payment plan</t>
  </si>
  <si>
    <t>Filter dups, concat records case/offense</t>
  </si>
  <si>
    <t>del address=NULL</t>
  </si>
  <si>
    <t>best dst=B, O, N</t>
  </si>
  <si>
    <t>not DISM</t>
  </si>
  <si>
    <t>#BLANK</t>
  </si>
  <si>
    <t>Item</t>
  </si>
  <si>
    <t>Status</t>
  </si>
  <si>
    <t>Comment</t>
  </si>
  <si>
    <t>0000</t>
  </si>
  <si>
    <t>0001</t>
  </si>
  <si>
    <t>0002</t>
  </si>
  <si>
    <t>0003</t>
  </si>
  <si>
    <t>0004</t>
  </si>
  <si>
    <t>Updated filter to accept #ANY syntax</t>
  </si>
  <si>
    <t>Updated filter</t>
  </si>
  <si>
    <t>del attorny!=''</t>
  </si>
  <si>
    <t>Updated filter to accept #BLANK syntax</t>
  </si>
  <si>
    <t>Punch list</t>
  </si>
  <si>
    <t>Tests</t>
  </si>
  <si>
    <t>Requirement</t>
  </si>
  <si>
    <t>Keyword filter (exclusive)</t>
  </si>
  <si>
    <t>Parameter</t>
  </si>
  <si>
    <t>Keywords</t>
  </si>
  <si>
    <t>0005</t>
  </si>
  <si>
    <t>Error trap for Cancel button on Import</t>
  </si>
  <si>
    <t>HOMELESS</t>
  </si>
  <si>
    <t>UNKNOWN</t>
  </si>
  <si>
    <t>D</t>
  </si>
  <si>
    <t>THEFT AGGREGATE =&gt;$100&lt;$750 1C</t>
  </si>
  <si>
    <t>Z</t>
  </si>
  <si>
    <t>HARASSMENT - VERBAL</t>
  </si>
  <si>
    <t>BURGLARY MOTOR VEHICLE - ENHAN</t>
  </si>
  <si>
    <t>HARBORING RUNAWAY CHILD</t>
  </si>
  <si>
    <t>LIQUOR-SALE W/O PERMIT WET ARE</t>
  </si>
  <si>
    <t>DISORDERLY COND/FIREARM/DEADLY</t>
  </si>
  <si>
    <t>PROST BUYER PAYMENT OF FEE</t>
  </si>
  <si>
    <t>PROSTITUTION-2ND</t>
  </si>
  <si>
    <t>FAIL GV INFO STRIK HWY FIX/LAN</t>
  </si>
  <si>
    <t>R</t>
  </si>
  <si>
    <t>CRUELTY NON-LIVESTOCK ANIMALS</t>
  </si>
  <si>
    <t>UNLAWFUL INSTALL OF TRACKING D</t>
  </si>
  <si>
    <t>DRIVING WHILE LIC SUSPENDED -</t>
  </si>
  <si>
    <t>DRIVING WHILE LIC SUSPENDED</t>
  </si>
  <si>
    <t>ILLEGAL DUMPING</t>
  </si>
  <si>
    <t>INDECENT ASSLT TOUCH COMPL GEN</t>
  </si>
  <si>
    <t>POSS MARIJUANA 2-4 0Z</t>
  </si>
  <si>
    <t>FORG FIN INSTR &gt;=$100&lt;$750</t>
  </si>
  <si>
    <t>POSS GAMBL DEVICE/EQUIP/PARA</t>
  </si>
  <si>
    <t>FLEEING/ATT ELUDE POLICE OFF</t>
  </si>
  <si>
    <t>VIO PROC PROV APP SALTWATER FI</t>
  </si>
  <si>
    <t>POSS FIREARM PRIOR ASSAULT FM</t>
  </si>
  <si>
    <t>PUBLIC LEWDNESS</t>
  </si>
  <si>
    <t>PURCHASE/FURNISH ALCOH TO MINO</t>
  </si>
  <si>
    <t>P</t>
  </si>
  <si>
    <t>WEAPON-POSSESSION OF</t>
  </si>
  <si>
    <t>BURGLARY OF HABITATION</t>
  </si>
  <si>
    <t>POSS CS PG 1 &lt;1G</t>
  </si>
  <si>
    <t>ENGAGING IN ORG CRIM ACTIVITY</t>
  </si>
  <si>
    <t>POSS W/INT DEL/MAN/DEL PG1 &gt;=4</t>
  </si>
  <si>
    <t>EVADING ARREST/DETENTION W/VEH</t>
  </si>
  <si>
    <t>EVAD ARREST/DETENTION W/PREV C</t>
  </si>
  <si>
    <t>AGG ASSAULT-FAMILY MEMBER</t>
  </si>
  <si>
    <t>AGG ROBBERY-DEADLY WPN</t>
  </si>
  <si>
    <t>THEFT &lt;$2,500 2/MORE PREV CONV</t>
  </si>
  <si>
    <t>SEX ASSLT CHILD 14-17</t>
  </si>
  <si>
    <t>INJURY TO ELDERLY</t>
  </si>
  <si>
    <t>ROBBERY-BODILY INJURY</t>
  </si>
  <si>
    <t>AGG ASSAULT W/DEADLY WEAPON</t>
  </si>
  <si>
    <t>DWI THIRD</t>
  </si>
  <si>
    <t>TAMPER GOVT RECORD</t>
  </si>
  <si>
    <t>TAMPER/FABRICATE PHYS EVD W/IN</t>
  </si>
  <si>
    <t>BURG W-INTENT-COMMIT OTHER FEL</t>
  </si>
  <si>
    <t>BURGLARY OF A BUILDING</t>
  </si>
  <si>
    <t>MAN/DEL CS PG I &lt;1GRAM</t>
  </si>
  <si>
    <t>ASLT FAM/HOUSE MEM IMPED BRTH/</t>
  </si>
  <si>
    <t>ASSAULT PUBLIC SERVANT</t>
  </si>
  <si>
    <t>POSS CS PG 1  1 - 4 GRAMS</t>
  </si>
  <si>
    <t>FELON POSS WPN</t>
  </si>
  <si>
    <t>CRIMINAL MISCHIEF &gt;=$2,500&lt;30K</t>
  </si>
  <si>
    <t>FAIL TO REGISTER AS SEX OFFEND</t>
  </si>
  <si>
    <t>ASSAULT PEACE OFFICER</t>
  </si>
  <si>
    <t>CONTINUOUS VIOL AGAINST THE FA</t>
  </si>
  <si>
    <t>INJURY CHILD UNDER 15 B/INJURY</t>
  </si>
  <si>
    <t>UNAUTH USE OF VEHICLE</t>
  </si>
  <si>
    <t>FSRA ACC INVOLVING DEATH_(C)(1</t>
  </si>
  <si>
    <t>CONTINUE SEX AB/CHILD</t>
  </si>
  <si>
    <t>TRANSIENT</t>
  </si>
  <si>
    <t>POSS CS PG 1 4G - 200G</t>
  </si>
  <si>
    <t>ASSLT INT/RCK/IMP/BRTH/CIRC/PR</t>
  </si>
  <si>
    <t>ASSLT FAM/HOUSEHOLD MEM W/PREV</t>
  </si>
  <si>
    <t>THEFT &gt;=$30,000 &lt;$150,000</t>
  </si>
  <si>
    <t>FRAUD/USE/POSS ID INFO-LESS 5</t>
  </si>
  <si>
    <t>INDECENCY W/CHILD SEXUAL CONTA</t>
  </si>
  <si>
    <t>AGG ASSAULT - FAMILY MEMBER SB</t>
  </si>
  <si>
    <t>VIOL BOND/PRO ORD 2+ TIMES W/I</t>
  </si>
  <si>
    <t>THEFT &gt;=2,500 &lt;30,000</t>
  </si>
  <si>
    <t>POSS W/INT MAN/DEL CS PG1 &gt;= 4</t>
  </si>
  <si>
    <t>ROBBERY-THREATS</t>
  </si>
  <si>
    <t>DWI W/CHILD UNDER 15 YOA</t>
  </si>
  <si>
    <t>FAIL TO COMPLY AS SEX OFFENDER</t>
  </si>
  <si>
    <t>ATT BURG HAB W/I COMMIT THEFT</t>
  </si>
  <si>
    <t>THEFT &gt;=$100,000 &lt;$200,000</t>
  </si>
  <si>
    <t>BURG OF VEHICLE W/2 OR MORE CO</t>
  </si>
  <si>
    <t>INTOXICATED ASSLT W/VEH SBI</t>
  </si>
  <si>
    <t>POSS PROH WPN</t>
  </si>
  <si>
    <t>FORGERY GOVT FINANCIAL INST</t>
  </si>
  <si>
    <t>THFT MATERIAL ALUM/BRNZ/COPPR/</t>
  </si>
  <si>
    <t>POSS MARIJ  4 OZ. - 5 LBS.</t>
  </si>
  <si>
    <t>FALSE NAME/INFO ON TITLE DOCUM</t>
  </si>
  <si>
    <t>TAMPER GOVT RECORD-HARM</t>
  </si>
  <si>
    <t>MURDER</t>
  </si>
  <si>
    <t>MAN/DEL CS PG III/IV 200-400 G</t>
  </si>
  <si>
    <t>POSS W/INT DEL CS PG1 1G &lt;4 GR</t>
  </si>
  <si>
    <t>CREDIT/DEBIT CARD ABUSE</t>
  </si>
  <si>
    <t>SEXUAL ASSAULT PROH/DEVIATE</t>
  </si>
  <si>
    <t>ASSAULT OF PREGNANT PERSON</t>
  </si>
  <si>
    <t>ONLINE SOLICITATION OF MINOR</t>
  </si>
  <si>
    <t>DEADLY COND-DISCH F-ARM HAB/BL</t>
  </si>
  <si>
    <t>ENDANGERING A CHILD</t>
  </si>
  <si>
    <t>MAN/DEL CS PG III/IV  &lt;28 GRAM</t>
  </si>
  <si>
    <t>POSS CS PG 2 4G - 400G</t>
  </si>
  <si>
    <t>IMPERSON P-O</t>
  </si>
  <si>
    <t>DEL MARIJ &gt;1/4 OZ &lt;=5LBS</t>
  </si>
  <si>
    <t>MAN/DEL CS PG II 1-4 GRAMS</t>
  </si>
  <si>
    <t>CARRY PROH WPN PROHBITED PLACE</t>
  </si>
  <si>
    <t>POSS CS PG 2 1-4 GRAMS</t>
  </si>
  <si>
    <t>INJ TO DISABLED - BOD INJ</t>
  </si>
  <si>
    <t>AGG ASLT-SER BOD INJURY</t>
  </si>
  <si>
    <t>POSS W/INT DEL CS PG1 200-400G</t>
  </si>
  <si>
    <t>USED OIL ACT VIOLATION</t>
  </si>
  <si>
    <t>SEX/PER/BY CHILD/EMP/AUTH/INDC</t>
  </si>
  <si>
    <t>INVASIVE VISUAL REC BATH/DRESS</t>
  </si>
  <si>
    <t>ASSAULT - SECURITY OFFICER</t>
  </si>
  <si>
    <t>UNLAW CARRY WPN-LIC PREMISE</t>
  </si>
  <si>
    <t>THEFT FROM PERSON</t>
  </si>
  <si>
    <t>INTOX MANSLAUGHTER W/VEH</t>
  </si>
  <si>
    <t>BURG OF BUILDING W/I TO COMMIT</t>
  </si>
  <si>
    <t>L</t>
  </si>
  <si>
    <t>HIRED</t>
  </si>
  <si>
    <t>E</t>
  </si>
  <si>
    <t>G</t>
  </si>
  <si>
    <t>H</t>
  </si>
  <si>
    <t>K</t>
  </si>
  <si>
    <t>Q</t>
  </si>
  <si>
    <t>S</t>
  </si>
  <si>
    <t>T</t>
  </si>
  <si>
    <t>V</t>
  </si>
  <si>
    <t>UNK</t>
  </si>
  <si>
    <t>DRIVING WHILE INTOXICATED, EVADING ARREST/DETENTION W/VEH</t>
  </si>
  <si>
    <t>ASSAULT-FAMILY MEMBER, INTERFER W/EMER REQ FOR ASSIST</t>
  </si>
  <si>
    <t>POSS CS PG 3 &lt;28 GRAMS, DRIVING WHILE INTOXICATED</t>
  </si>
  <si>
    <t>THEFT &lt;$100 W/PREV CONVICTION, EVADING ARREST/DETENTION</t>
  </si>
  <si>
    <t>DRIVING WHILE INTOXICATED, AGG ASSAULT W/DEADLY WEAPON</t>
  </si>
  <si>
    <t>THEFT &gt;=$100&lt;$750, THEFT &gt;=$100&lt;$750</t>
  </si>
  <si>
    <t>VIOL PROTECTIVE ORDER, TERRORISTIC THREAT FAMILY/HOUS</t>
  </si>
  <si>
    <t>ASSAULT-FAMILY MEMBER, TERRORISTIC THREAT FAMILY/HOUS</t>
  </si>
  <si>
    <t>TERRORISTIC THREAT FAMILY/HOUS, POSS CS PG 1  1 - 4 GRAMS</t>
  </si>
  <si>
    <t>CONTINUE SEX AB/CHILD, INDECENCY W/CHILD SEXUAL CONTA</t>
  </si>
  <si>
    <t>TERRORISTIC THREAT, INTERFERE DUTIES PUB SERVANT</t>
  </si>
  <si>
    <t>POSS W/INT DEL CS PG1 1G &lt;4 GR, FELON POSS WPN</t>
  </si>
  <si>
    <t>DRIVING WHILE INTOXICATED, POSS CS PG 1  1 - 4 GRAMS</t>
  </si>
  <si>
    <t>INTERFER W/EMER REQ FOR ASSIST, ASSLT FAM/HOUSEHOLD MEM W/PREV</t>
  </si>
  <si>
    <t>DRIVING WHILE INTOXICATED, FSGI ACC ATTEND DAMAGE VEH&gt;=$2</t>
  </si>
  <si>
    <t>CRIMINAL MISCHIEF &gt;=$750&lt;$2,50, ROBBERY-THREATS</t>
  </si>
  <si>
    <t>THEFT &gt;=$100&lt;$750, FAIL TO ID TO P.O. FALSE INF</t>
  </si>
  <si>
    <t>CARRYING HANDGUN IN MOTOR VEHI, POSS MARIJ  4 OZ. - 5 LBS.</t>
  </si>
  <si>
    <t>DRIVING WHILE INTOXICATED, FAIL GV INFO STRIK HWY FIX/LAN</t>
  </si>
  <si>
    <t>POSS CS PG 1 &lt;1G, POSS CS PG 1 &lt;1G</t>
  </si>
  <si>
    <t>DWI 2ND, ASSAULT-BODILY INJURY</t>
  </si>
  <si>
    <t>EVADING ARREST/DETENTION W/VEH, UNAUTH USE OF VEHICLE</t>
  </si>
  <si>
    <t>POSS W/INT DEL/MAN/DEL PG1 &gt;=4, POSS W/INT DEL/MAN/DEL PG1 &gt;=4</t>
  </si>
  <si>
    <t>CARRYING HANDGUN IN MOTOR VEHI, POSS CS PG 1  1 - 4 GRAMS</t>
  </si>
  <si>
    <t>DWI 2ND, POSS CS PG 3 &lt;28 GRAMS</t>
  </si>
  <si>
    <t>BURGLARY OF HABITATION, ATT BURGLARY HABITATION</t>
  </si>
  <si>
    <t>DRIVING WHILE INTOXICATED, POSS CS PG 3 &lt;28 GRAMS</t>
  </si>
  <si>
    <t>UNLAW CARRY WPN, POSS CS PG 1  1 - 4 GRAMS</t>
  </si>
  <si>
    <t>POSS CS PG 1 &lt;1G, THEFT &lt;$2,500 2/MORE PREV CONV</t>
  </si>
  <si>
    <t>ASSAULT-BODILY INJURY, CRIMINAL TRESPASS</t>
  </si>
  <si>
    <t>CRIMINAL TRESPASS, THEFT &gt;=$100&lt;$750</t>
  </si>
  <si>
    <t>DWI 2ND, CARRYING HANDGUN IN MOTOR VEHI</t>
  </si>
  <si>
    <t>TERRORISTIC THREAT FAMILY/HOUS, ASSAULT PEACE OFFICER</t>
  </si>
  <si>
    <t>THEFT FROM PERSON, CREDIT/DEBIT CARD ABUSE</t>
  </si>
  <si>
    <t>DRIVING WHILE INTOXICATED, UNAUTH USE OF VEHICLE</t>
  </si>
  <si>
    <t>POSS CS PG 1 &lt;1G, FELON POSS WPN</t>
  </si>
  <si>
    <t>TERRORISTIC THREAT FAMILY/HOUS, RETALIATION</t>
  </si>
  <si>
    <t>ATT BURGLARY OF BUILDING, INTERFERE DUTIES PUB SERVANT</t>
  </si>
  <si>
    <t>TERRORISTIC THREAT FEAR IMMINE, CRIM MISCH &gt;=100 &lt;$750</t>
  </si>
  <si>
    <t>POSS CS PG 1  1 - 4 GRAMS, POSS CS PG 1 &lt;1G</t>
  </si>
  <si>
    <t>DRIVING WHILE INTOXICATED, FALSIFY DRUG TEST RESULTS</t>
  </si>
  <si>
    <t>DEL MARIJ &gt;1/4 OZ &lt;=5LBS, POSS CS PG 1  1 - 4 GRAMS</t>
  </si>
  <si>
    <t>DRIVING WHILE INTOXICATED, INHALANT PARAPHERNALIA</t>
  </si>
  <si>
    <t>CARRYING HANDGUN IN MOTOR VEHI, POSS CS PG 3 &lt;28 GRAMS</t>
  </si>
  <si>
    <t>AGG ASSAULT W/DEADLY WEAPON, FELON POSS WPN</t>
  </si>
  <si>
    <t>CARRYING HANDGUN IN MOTOR VEHI, FAIL TO ID TO P.O. FALSE INF/F</t>
  </si>
  <si>
    <t>FELON POSS WPN, POSS W/INT DEL CS PG1 1G &lt;4 GR</t>
  </si>
  <si>
    <t>ASSAULT-FAMILY MEMBER, CRIM MISCH &gt;=100 &lt;$750</t>
  </si>
  <si>
    <t>ASSAULT-FAMILY MEMBER, EVADING ARREST/DETENTION</t>
  </si>
  <si>
    <t>THEFT &gt;=$750 &lt;$2,500, FAIL TO ID TO P.O. FALSE INF</t>
  </si>
  <si>
    <t>POSS W/INT DEL CS PG1 200-400G, POSS W/INT DEL/MAN/DEL PG1 &gt;=4</t>
  </si>
  <si>
    <t>BURGLARY MOTOR VEHICLE - ENHAN, FRAUD/USE/POSS ID INFO-LESS 5</t>
  </si>
  <si>
    <t>ASSAULT-FAMILY MEMBER, BURGLARY OF HABITATION</t>
  </si>
  <si>
    <t>RESIST ARR-SEARCH, THEFT &lt;$100 W/PREV CONVICTION</t>
  </si>
  <si>
    <t>CARRYING HANDGUN IN MOTOR VEHI, DRIVING WHILE INTOXICATED</t>
  </si>
  <si>
    <t>EVADING ARREST/DETENTION, EVADING ARREST/DETENTION</t>
  </si>
  <si>
    <t>ASSAULT-BODILY INJURY, TERRORISTIC THREAT FEAR IMMINE</t>
  </si>
  <si>
    <t>ENGAGING IN ORG CRIM ACTIVITY, EVAD ARREST/DETENTION W/PREV C</t>
  </si>
  <si>
    <t>UNLAW CARRY WPN, POSS MARIJ  4 OZ. - 5 LBS.</t>
  </si>
  <si>
    <t>CARRYING HANDGUN IN MOTOR VEHI, EVAD ARREST/DETENTION W/PREV C</t>
  </si>
  <si>
    <t>DRIVING WHILE INTOXICATED, FELON POSS WPN</t>
  </si>
  <si>
    <t>DRIVING WHILE INTOXICATED, CARRYING HANDGUN IN MOTOR VEHI</t>
  </si>
  <si>
    <t>CARRYING HANDGUN IN MOTOR VEHI, EVADING ARREST/DETENTION</t>
  </si>
  <si>
    <t>POSS CS PG 1 4G - 200G, EVADING ARREST/DETENTION W/VEH</t>
  </si>
  <si>
    <t>POSS W/INT DEL/MAN/DEL PG1 &gt;=4, POSS W/INT DEL CS PG1 200-400G</t>
  </si>
  <si>
    <t>POSS CS PG 1 &lt;1G, POSS CS PG 1  1 - 4 GRAMS</t>
  </si>
  <si>
    <t>DWI THIRD, RETALIATION</t>
  </si>
  <si>
    <t>TERRORISTIC THREAT FEAR IMMINE, UNLAW CARRY WPN</t>
  </si>
  <si>
    <t>CARRYING HANDGUN IN MOTOR VEHI, VIOL PROTECTIVE ORDER</t>
  </si>
  <si>
    <t>INTERFER W/EMER REQ FOR ASSIST, ASSAULT-FAMILY MEMBER</t>
  </si>
  <si>
    <t>CRIMINAL MISCHIEF &gt;=$750&lt;$2,50, CRIMINAL MISCHIEF &gt;=$750&lt;$2,50</t>
  </si>
  <si>
    <t>DWI 2ND OFFENDER BAC&gt;=0.15, FSGI ACC ATTEND DAMAGE VEH&gt;=$2</t>
  </si>
  <si>
    <t>FSGI ACC ATTEND DAMAGE VEH&gt;=$2, DRIVING WHILE INTOXICATED</t>
  </si>
  <si>
    <t>CARRYING HANDGUN IN MOTOR VEHI, AGG ASSAULT-FAMILY MEMBER</t>
  </si>
  <si>
    <t>FELON POSS WPN, MAN/DEL CS PG III/IV  &lt;28 GRAM</t>
  </si>
  <si>
    <t>TERRORISTIC THREAT FAMILY/HOUS, BURGLARY OF HABITATION</t>
  </si>
  <si>
    <t>POSS CS PG 3 &lt;28 GRAMS, CARRYING HANDGUN IN MOTOR VEHI</t>
  </si>
  <si>
    <t>FSGI ACC ATTEND DAMAGE VEH&gt;=$2, DWI 2ND OFFENDER BAC&gt;=0.15</t>
  </si>
  <si>
    <t>AGG ASSAULT-FAMILY MEMBER, AGG ASSAULT W/DEADLY WEAPON</t>
  </si>
  <si>
    <t>ASSAULT-FAMILY MEMBER, THEFT OF SERVICE &gt;=$100&lt;$750</t>
  </si>
  <si>
    <t>TERRORISTIC THREAT FEAR IMMINE, CRIMINAL TRESPASS</t>
  </si>
  <si>
    <t>BURGLARY OF VEHICLE, EVADING ARREST/DETENTION</t>
  </si>
  <si>
    <t>CRIM MISCH &gt;=100 &lt;$750, ASSAULT-FAMILY MEMBER</t>
  </si>
  <si>
    <t>ASSAULT-FAMILY MEMBER, ASSAULT-FAMILY MEMBER</t>
  </si>
  <si>
    <t>THEFT &gt;=$100&lt;$750, RESIST ARR-SEARCH</t>
  </si>
  <si>
    <t>ASSAULT-FAMILY MEMBER, INJURY CHILD UNDER 15 B/INJURY</t>
  </si>
  <si>
    <t>EVADING ARREST/DETENTION, CRIMINAL TRESPASS</t>
  </si>
  <si>
    <t>DRIVING WHILE INTOXICATED, INTERFERE DUTIES PUB SERVANT</t>
  </si>
  <si>
    <t>EVADING ARREST/DETENTION, BURGLARY OF VEHICLE</t>
  </si>
  <si>
    <t>ASSAULT-FAMILY MEMBER, ESCAPE</t>
  </si>
  <si>
    <t>POSS PROH WPN, POSS PROH WPN</t>
  </si>
  <si>
    <t>ASSAULT PEACE OFFICER, ASSAULT PEACE OFFICER</t>
  </si>
  <si>
    <t>THEFT &gt;=$100&lt;$750, INTERFERE DUTIES PUB SERVANT</t>
  </si>
  <si>
    <t>RECKLESS DRIVING, CARRYING HANDGUN IN MOTOR VEHI</t>
  </si>
  <si>
    <t>CARRYING HANDGUN IN MOTOR VEHI, FAIL IDENT TO P-O-FUGITIVE</t>
  </si>
  <si>
    <t>ASSAULT-FAMILY MEMBER, INTERFERE DUTIES PUB SERVANT</t>
  </si>
  <si>
    <t>ASSAULT OF PREGNANT PERSON, POSS CS PG 1 &lt;1G</t>
  </si>
  <si>
    <t>ENDANGERING A CHILD, HARASSMENT OF PUBLIC SERVANT</t>
  </si>
  <si>
    <t>DRIVING WHILE INTOXICATED, POSS DANGEROUS DRUG</t>
  </si>
  <si>
    <t>AGG ROBBERY-DEADLY WPN, AGG ROBBERY-DEADLY WPN</t>
  </si>
  <si>
    <t>CARRYING HANDGUN IN MOTOR VEHI, THEFT AGGREGATE =&gt;$2,500&lt;$30K</t>
  </si>
  <si>
    <t>CARRYING HANDGUN IN MOTOR VEHI, BURGLARY OF VEHICLE</t>
  </si>
  <si>
    <t>INJURY CHILD UNDER 15 B/INJURY, INJURY CHILD UNDER 15 B/INJURY</t>
  </si>
  <si>
    <t>CARRYING HANDGUN IN MOTOR VEHI, POSS CS PG 1 4G - 200G</t>
  </si>
  <si>
    <t>CRIMINAL TRESPASS, CRIMINAL TRESPASS</t>
  </si>
  <si>
    <t>FAIL TO ID TO P.O. FALSE INF, DRIVING WHILE INTOXICATED</t>
  </si>
  <si>
    <t>DRIVING WHILE INTOXICATED, EVADING ARREST/DETENTION</t>
  </si>
  <si>
    <t>AIR POLLUTION, AIR POLLUTION</t>
  </si>
  <si>
    <t>FAIL TO ID TO P.O. FALSE INF, BURGLARY MOTOR VEHICLE - ENHAN</t>
  </si>
  <si>
    <t>ASSAULT-FAMILY MEMBER, DRIVING WHILE INTOXICATED</t>
  </si>
  <si>
    <t>ASSAULT-BODILY INJURY, CRIM TRES HAB/SHLTR/SUPRFUND/I, CRIM TRES HAB/SHLTR/SUPRFUND/I</t>
  </si>
  <si>
    <t>THEFT &gt;=$100&lt;$750, POSS CS PG 1 4G - 200G, EVADING ARREST/DETENTION W/VEH</t>
  </si>
  <si>
    <t>FRAUD/USE/POSS ID INFO- 5-9 IT, THEFT OF FIREARM, FELON POSS WPN</t>
  </si>
  <si>
    <t>EVAD ARREST/DETENTION W/PREV C, CRUELTY NON-LSTOCK ANIM KIL/PO, DEADLY COND-DISCH F-ARM HAB/BL</t>
  </si>
  <si>
    <t>EVADING ARREST/DETENTION, THEFT &gt;=$100&lt;$750, EVADING ARREST/DETENTION</t>
  </si>
  <si>
    <t>POSS CS PG 3 &lt;28 GRAMS, EVADING ARREST/DETENTION, POSS CS PG 3 &lt;28 GRAMS</t>
  </si>
  <si>
    <t>ASSAULT-BODILY INJURY, ASSAULT-BODILY INJURY, ASSAULT-BODILY INJURY, ASSAULT-BODILY INJURY</t>
  </si>
  <si>
    <t>HBK-id</t>
  </si>
  <si>
    <t>Defendant</t>
  </si>
  <si>
    <t>Street</t>
  </si>
  <si>
    <t>City, State Zip</t>
  </si>
  <si>
    <t>Offenses</t>
  </si>
  <si>
    <t>H CONRAD TIPS</t>
  </si>
  <si>
    <t>7 BRIAR DALE CT A PT A</t>
  </si>
  <si>
    <t>BRUCE DENNIS TRIPLETT</t>
  </si>
  <si>
    <t xml:space="preserve">11677 SABO ROAD </t>
  </si>
  <si>
    <t>ANTONIO RODEL SHORT</t>
  </si>
  <si>
    <t xml:space="preserve">805 SCHILLING AVE </t>
  </si>
  <si>
    <t>ARTHUR RAY MITCHELL</t>
  </si>
  <si>
    <t xml:space="preserve">5501 PARKER RD </t>
  </si>
  <si>
    <t>GILBERTO GARCIA</t>
  </si>
  <si>
    <t xml:space="preserve">1210 BALMORHEA AVE </t>
  </si>
  <si>
    <t>GREGORY LEO WILSON</t>
  </si>
  <si>
    <t xml:space="preserve">4718 KRESS ST </t>
  </si>
  <si>
    <t>ROBERT ALAN CURRY</t>
  </si>
  <si>
    <t xml:space="preserve">6103 CRANE ST </t>
  </si>
  <si>
    <t>MYRON GENE JONES</t>
  </si>
  <si>
    <t xml:space="preserve">9730 CABALLERO DR </t>
  </si>
  <si>
    <t>RUSS LEE NELON</t>
  </si>
  <si>
    <t xml:space="preserve">5639 STARLING ST </t>
  </si>
  <si>
    <t>LEWIS WEST</t>
  </si>
  <si>
    <t xml:space="preserve">7878 SPENCER HWY 904 </t>
  </si>
  <si>
    <t>KATHRYN BENNETT</t>
  </si>
  <si>
    <t xml:space="preserve">8331 FM 2977 </t>
  </si>
  <si>
    <t>RILEY ADRIAN LISTER</t>
  </si>
  <si>
    <t xml:space="preserve">10950 BEAUMONT HWY 90 </t>
  </si>
  <si>
    <t>JOHNNY MCARTHUR DOWL</t>
  </si>
  <si>
    <t xml:space="preserve">9313 SANDRA STREET </t>
  </si>
  <si>
    <t>LEE FIELDS</t>
  </si>
  <si>
    <t>1431 BRIGHTON FORT D R</t>
  </si>
  <si>
    <t>DAVID WESLY MCCAA</t>
  </si>
  <si>
    <t xml:space="preserve">1402 EDISON </t>
  </si>
  <si>
    <t>MICHAEL JOSEPH HOLTHAUS</t>
  </si>
  <si>
    <t xml:space="preserve">4410 MALLOW STREET </t>
  </si>
  <si>
    <t>PAMELA WILLIAMS</t>
  </si>
  <si>
    <t xml:space="preserve">16112 N FREEWAY </t>
  </si>
  <si>
    <t>JOHN WILLIAM AIKMAN</t>
  </si>
  <si>
    <t xml:space="preserve">22237 MAIN BLVD </t>
  </si>
  <si>
    <t>KATHERINA THOMAS</t>
  </si>
  <si>
    <t xml:space="preserve">2406 JONAHS WAY </t>
  </si>
  <si>
    <t>MARSHA MEANS</t>
  </si>
  <si>
    <t xml:space="preserve">1809 HAILEY STREET </t>
  </si>
  <si>
    <t>FREEMAN JR. BANKS</t>
  </si>
  <si>
    <t xml:space="preserve">10001 S GESSNER </t>
  </si>
  <si>
    <t>CHARLES WESLEY MOTTE</t>
  </si>
  <si>
    <t xml:space="preserve">5620 N FWY </t>
  </si>
  <si>
    <t>PAUL ANTHONY GARZA</t>
  </si>
  <si>
    <t xml:space="preserve">8201 EASTON ST </t>
  </si>
  <si>
    <t>MONTANA JACK HOWARD</t>
  </si>
  <si>
    <t xml:space="preserve">4103 MCKINNEY ST </t>
  </si>
  <si>
    <t>LUIS GUTIERREZ</t>
  </si>
  <si>
    <t xml:space="preserve">10852 SHADY LN </t>
  </si>
  <si>
    <t>DAVID JEFFREY BIGELOW</t>
  </si>
  <si>
    <t xml:space="preserve">827 OAK ST APT </t>
  </si>
  <si>
    <t>FELICIA NELL SMITH</t>
  </si>
  <si>
    <t>8125 HONEYWOOD TRL A P</t>
  </si>
  <si>
    <t>ALBERT JOSEPH MATTHEWS</t>
  </si>
  <si>
    <t xml:space="preserve">1314 BAYSWATER DR. </t>
  </si>
  <si>
    <t>ROGER EARL TUBBS</t>
  </si>
  <si>
    <t xml:space="preserve">6921 JAY ST </t>
  </si>
  <si>
    <t>DARREN HALSEY</t>
  </si>
  <si>
    <t xml:space="preserve">15911 LONG RD </t>
  </si>
  <si>
    <t>ANTHONY RAY HICKS</t>
  </si>
  <si>
    <t xml:space="preserve">5414 HIRONDEL ST </t>
  </si>
  <si>
    <t>CLIFFORD FERNANDO GUZMAN</t>
  </si>
  <si>
    <t xml:space="preserve">10525 EASTEX FWY IB </t>
  </si>
  <si>
    <t>ROBERT LEE ALANIZ</t>
  </si>
  <si>
    <t xml:space="preserve">12910 PEGGY LANE </t>
  </si>
  <si>
    <t>CARL HINES</t>
  </si>
  <si>
    <t xml:space="preserve">4709 BOICEWOOD ST </t>
  </si>
  <si>
    <t>GERALD MOUTON</t>
  </si>
  <si>
    <t xml:space="preserve">10638 BAIMBRIDGE </t>
  </si>
  <si>
    <t>CERETA BURTON HARDY</t>
  </si>
  <si>
    <t xml:space="preserve">16354 ELLA BLVD </t>
  </si>
  <si>
    <t>CHERIE MARIA SNODDY</t>
  </si>
  <si>
    <t xml:space="preserve">3318 MEADOWCREEK </t>
  </si>
  <si>
    <t>KENNETH ANTHONY TUFTS</t>
  </si>
  <si>
    <t xml:space="preserve">9315 BALSAM LN </t>
  </si>
  <si>
    <t>ANNETTE DENISE RANDALL</t>
  </si>
  <si>
    <t xml:space="preserve">12107 ROCKFORD </t>
  </si>
  <si>
    <t>JOHN MILLER</t>
  </si>
  <si>
    <t xml:space="preserve">9622 LOCKWOOD DR </t>
  </si>
  <si>
    <t>FLOYD WALKER</t>
  </si>
  <si>
    <t xml:space="preserve">2421 CARMEL ST </t>
  </si>
  <si>
    <t>SHANNON RENE SUBLETT</t>
  </si>
  <si>
    <t xml:space="preserve">2802 FRANCIS ST </t>
  </si>
  <si>
    <t>MALCOLM JEROY SINGLETON</t>
  </si>
  <si>
    <t xml:space="preserve">12202 JOAN OF ARC ST </t>
  </si>
  <si>
    <t>JESSE GEORGE STEVENSON</t>
  </si>
  <si>
    <t xml:space="preserve">4926 FOX HOLLOW BLVD </t>
  </si>
  <si>
    <t>FEDERICK BERNARD FURLOW</t>
  </si>
  <si>
    <t xml:space="preserve">215 HOLYHEAD DR </t>
  </si>
  <si>
    <t>ALFONSO VALDEZ MARTINEZ</t>
  </si>
  <si>
    <t xml:space="preserve">5209 CHENNAULT ST </t>
  </si>
  <si>
    <t>ROBERT DWAYNE SCALES</t>
  </si>
  <si>
    <t xml:space="preserve">24200 FOX HOLLOW </t>
  </si>
  <si>
    <t>ANNETTE WITKOWSKI</t>
  </si>
  <si>
    <t xml:space="preserve">7302 ALABONSON RD </t>
  </si>
  <si>
    <t>FELECIA WHITSEY WHITE</t>
  </si>
  <si>
    <t xml:space="preserve">11901 BOB WHITE DR </t>
  </si>
  <si>
    <t>JEROME MICHAEL READO</t>
  </si>
  <si>
    <t xml:space="preserve">59 DARRINGTON ROAD </t>
  </si>
  <si>
    <t>MICHELLE SIMMONS</t>
  </si>
  <si>
    <t xml:space="preserve">1022 MCCALL </t>
  </si>
  <si>
    <t>CARMELLA ANN JOHNSON</t>
  </si>
  <si>
    <t>1325 GREENS PARKWAY #70</t>
  </si>
  <si>
    <t>JOHN LOUIS JEFFRIES</t>
  </si>
  <si>
    <t xml:space="preserve">7341 EVANS </t>
  </si>
  <si>
    <t>EARL JOSEPH BALTIMORE</t>
  </si>
  <si>
    <t xml:space="preserve">1415 W GULF BANK RD </t>
  </si>
  <si>
    <t>DEWITT BYRON CARTER</t>
  </si>
  <si>
    <t>1647 KELLIWOOD OAKS DR</t>
  </si>
  <si>
    <t>DWAYNE ANTHONY BUTLER</t>
  </si>
  <si>
    <t xml:space="preserve">4747 TIDEWATER </t>
  </si>
  <si>
    <t>JEFFREY LYNN ROBERSON</t>
  </si>
  <si>
    <t xml:space="preserve">5138 JEFFERSON ST </t>
  </si>
  <si>
    <t>DANIEL CUELLAR</t>
  </si>
  <si>
    <t xml:space="preserve">1909 CHAPMAN ST </t>
  </si>
  <si>
    <t>JOHN BROWN SHERDEN</t>
  </si>
  <si>
    <t xml:space="preserve">11203 BLADES ST </t>
  </si>
  <si>
    <t>REGINALD HARRIS</t>
  </si>
  <si>
    <t xml:space="preserve">1037 THERESA ST </t>
  </si>
  <si>
    <t>KEITH ANDRE MANUEL</t>
  </si>
  <si>
    <t xml:space="preserve">4632 DAVENPORT ST </t>
  </si>
  <si>
    <t>NOLAN OSBORNE WASHINGTON</t>
  </si>
  <si>
    <t>1933 HUSSION ST APT 3509</t>
  </si>
  <si>
    <t>STEPHEN FREEMAN</t>
  </si>
  <si>
    <t xml:space="preserve">9892 FORUM PARK DR </t>
  </si>
  <si>
    <t>MATTHEW ADAM CHAVEZ</t>
  </si>
  <si>
    <t xml:space="preserve">301 CANIFF RD </t>
  </si>
  <si>
    <t>SHAWN KAYE BLACKSHEAR</t>
  </si>
  <si>
    <t xml:space="preserve">10901 TELEPHONE ROAD </t>
  </si>
  <si>
    <t>RICHARD MARTINEZ</t>
  </si>
  <si>
    <t xml:space="preserve">8282 PARK PLACE BLVD </t>
  </si>
  <si>
    <t>WENDELL MARK NEWTON</t>
  </si>
  <si>
    <t xml:space="preserve">7310 SILVER STAR DR </t>
  </si>
  <si>
    <t>JEFFREY THEIS</t>
  </si>
  <si>
    <t xml:space="preserve">22819 WILLHANNA DR </t>
  </si>
  <si>
    <t>FARRIS JR FLOWERS</t>
  </si>
  <si>
    <t>10555 SPICE LANE APT 1202</t>
  </si>
  <si>
    <t>ANDRE LEON MONROE</t>
  </si>
  <si>
    <t xml:space="preserve">409 BLUE POINT RD </t>
  </si>
  <si>
    <t>DENNIS MAE STEWART</t>
  </si>
  <si>
    <t xml:space="preserve">2528 BENNINGTON ST </t>
  </si>
  <si>
    <t>WARREN MICHELL WATSON</t>
  </si>
  <si>
    <t xml:space="preserve">13033 LANDMARK #3 </t>
  </si>
  <si>
    <t>SHANE HIETT</t>
  </si>
  <si>
    <t>15431 EVERGREEN KNOLL LN</t>
  </si>
  <si>
    <t>PAUL ANTHONY MALCOLM</t>
  </si>
  <si>
    <t xml:space="preserve">10202 FORUM PARK </t>
  </si>
  <si>
    <t>HOLLY ANNE HUEBNER</t>
  </si>
  <si>
    <t xml:space="preserve">5625 ANTOINE DR </t>
  </si>
  <si>
    <t>KEVIN EUGENE ROBERSON</t>
  </si>
  <si>
    <t xml:space="preserve">4405 DABNEY ST </t>
  </si>
  <si>
    <t>RONALD DAVIS</t>
  </si>
  <si>
    <t>REGINALD WAYNE GUILLORY</t>
  </si>
  <si>
    <t xml:space="preserve">3108 CRESTON DR </t>
  </si>
  <si>
    <t>TONY LATRELL BELLARD</t>
  </si>
  <si>
    <t xml:space="preserve">8803 CANDY ST </t>
  </si>
  <si>
    <t>STEPHEN RODRIGUEZ</t>
  </si>
  <si>
    <t xml:space="preserve">2527 RANDOLPH </t>
  </si>
  <si>
    <t>MARIA LOPEZ</t>
  </si>
  <si>
    <t xml:space="preserve">4343 S SHAVER ST </t>
  </si>
  <si>
    <t>NATHANIEL HUBERT</t>
  </si>
  <si>
    <t xml:space="preserve">4210 AKARD </t>
  </si>
  <si>
    <t>CHARLES LEE WILLIAMS</t>
  </si>
  <si>
    <t xml:space="preserve">618 FINFROCK </t>
  </si>
  <si>
    <t>KRISTIE JAYNE RODRIGUEZ-FABER</t>
  </si>
  <si>
    <t xml:space="preserve">462 GRAND OAKS BLVD </t>
  </si>
  <si>
    <t>KARL HARRISON</t>
  </si>
  <si>
    <t xml:space="preserve">8610 ARDLEY CIR </t>
  </si>
  <si>
    <t>RICARDO ESPINOZA</t>
  </si>
  <si>
    <t xml:space="preserve">112 HUMBLE AVE </t>
  </si>
  <si>
    <t>BRENT TODD WALLACE</t>
  </si>
  <si>
    <t xml:space="preserve">8006 LICHEN LN </t>
  </si>
  <si>
    <t>DOUGLASS LEE BARROW</t>
  </si>
  <si>
    <t xml:space="preserve">5515 GINERIDGE DRIVE </t>
  </si>
  <si>
    <t>DEBORAH DESELLER</t>
  </si>
  <si>
    <t>1144 GREENCROFT STEE T</t>
  </si>
  <si>
    <t>SEDERICK LADON BARRETT</t>
  </si>
  <si>
    <t xml:space="preserve">3817 NAGLE ST </t>
  </si>
  <si>
    <t>CHARLES ALLEN MINKS</t>
  </si>
  <si>
    <t>8389 NORTH HAMILTON RD</t>
  </si>
  <si>
    <t>DAVE JR. BATTISTE</t>
  </si>
  <si>
    <t xml:space="preserve">1800 FM 1092 RD </t>
  </si>
  <si>
    <t>ROBERT S TURNER</t>
  </si>
  <si>
    <t xml:space="preserve">2823 ISABELLA ST </t>
  </si>
  <si>
    <t>VERONICA PATRICE HOSEA</t>
  </si>
  <si>
    <t xml:space="preserve">1600 ELDRIDGE PKWY </t>
  </si>
  <si>
    <t>JARVIS DWAYNE MANUEL</t>
  </si>
  <si>
    <t xml:space="preserve">4743 WINNETKA ST </t>
  </si>
  <si>
    <t>JASON HENRY BOLT</t>
  </si>
  <si>
    <t>2002 SAN SEBASTIAN C T</t>
  </si>
  <si>
    <t>KEITH LAMONT DAVIS</t>
  </si>
  <si>
    <t xml:space="preserve">5938 SCHROEDER RD </t>
  </si>
  <si>
    <t>LAMONE TILLEY</t>
  </si>
  <si>
    <t xml:space="preserve">6014 SOUTHMONT </t>
  </si>
  <si>
    <t>JERRY DEAN BAKER</t>
  </si>
  <si>
    <t xml:space="preserve">10965 S GESSNER RD </t>
  </si>
  <si>
    <t>LONZY COOPER</t>
  </si>
  <si>
    <t xml:space="preserve">5327 MYRTLEWOOD ST </t>
  </si>
  <si>
    <t>PATRICK SLOAN</t>
  </si>
  <si>
    <t xml:space="preserve">13227 TREGARNON DR </t>
  </si>
  <si>
    <t>VICTOR BARNARBUS TAYLOR</t>
  </si>
  <si>
    <t xml:space="preserve">3930 SOUTHLAWN ST </t>
  </si>
  <si>
    <t>MARCUS DIXON</t>
  </si>
  <si>
    <t xml:space="preserve">3602 HOMBLY RD </t>
  </si>
  <si>
    <t>PAUL LEE JOHNSON</t>
  </si>
  <si>
    <t xml:space="preserve">7425 RHOBELL ST </t>
  </si>
  <si>
    <t>CLAUDIE RATHEL JOHNSON</t>
  </si>
  <si>
    <t>5615 CHIMNEY ROCK RD APT 424</t>
  </si>
  <si>
    <t>ROBERTO JR. REYNA</t>
  </si>
  <si>
    <t xml:space="preserve">7209 HERSHE </t>
  </si>
  <si>
    <t>CORNELIUS JUDE CHAISSON</t>
  </si>
  <si>
    <t xml:space="preserve">6900 N MAIN </t>
  </si>
  <si>
    <t>GLORIA MITCHELL</t>
  </si>
  <si>
    <t xml:space="preserve">8818 LINDA VISTA RD </t>
  </si>
  <si>
    <t>TERRY BOWMAN</t>
  </si>
  <si>
    <t>6614 APPLE VALLEY LA NE</t>
  </si>
  <si>
    <t>SHABAR JEROME WHITFIELD</t>
  </si>
  <si>
    <t xml:space="preserve">15926 ALTA MESA </t>
  </si>
  <si>
    <t>ARBURN JEANNINE DAVIDSON</t>
  </si>
  <si>
    <t xml:space="preserve">3637 S SHAVER ST </t>
  </si>
  <si>
    <t>STEVEN DOWDY</t>
  </si>
  <si>
    <t xml:space="preserve">975 SHELDON RD </t>
  </si>
  <si>
    <t>GERALD WAYNE KILPATRICK</t>
  </si>
  <si>
    <t xml:space="preserve">4902 REED RD </t>
  </si>
  <si>
    <t>BRYAN ERVIN</t>
  </si>
  <si>
    <t xml:space="preserve">1277 DICKSINSON RD </t>
  </si>
  <si>
    <t>ROCKY DEONDRE BAILEY</t>
  </si>
  <si>
    <t xml:space="preserve">3201 FM 929 </t>
  </si>
  <si>
    <t>VICTOR JESUS VILLARREAL</t>
  </si>
  <si>
    <t xml:space="preserve">308 W. FRANCIS ST </t>
  </si>
  <si>
    <t xml:space="preserve">7931 COOLGROVE DR </t>
  </si>
  <si>
    <t>JOSE LUIS GARZA</t>
  </si>
  <si>
    <t xml:space="preserve">5336 CLAY ST </t>
  </si>
  <si>
    <t>ALEX BERLINGERI</t>
  </si>
  <si>
    <t xml:space="preserve">9443 WINDY SPRING LN </t>
  </si>
  <si>
    <t>ROY EDWARD MORIN</t>
  </si>
  <si>
    <t xml:space="preserve">6603 SPINDLE DR </t>
  </si>
  <si>
    <t>MARK C. HARITOS</t>
  </si>
  <si>
    <t xml:space="preserve">105 BEGONIA LANE </t>
  </si>
  <si>
    <t>ALEJANDRO DAVILA</t>
  </si>
  <si>
    <t xml:space="preserve">10000 CLUB CREEK </t>
  </si>
  <si>
    <t>EDUARDO CRUZ RAMIREZ</t>
  </si>
  <si>
    <t xml:space="preserve">11012 BURMAN STREET </t>
  </si>
  <si>
    <t>FREDRICK LAMAR MIMS</t>
  </si>
  <si>
    <t xml:space="preserve">10326 KIRKDALE </t>
  </si>
  <si>
    <t>CORY LAROYCE MOMON</t>
  </si>
  <si>
    <t xml:space="preserve">5720 BELVEDERE ST </t>
  </si>
  <si>
    <t>BEVERLY NAPPER</t>
  </si>
  <si>
    <t xml:space="preserve">3501 ADAIR ST APT 1 </t>
  </si>
  <si>
    <t>BRENDA JACKSON</t>
  </si>
  <si>
    <t>12806 DISCIPLINE AVEN UE</t>
  </si>
  <si>
    <t>ERNESTO RENE AMAYA</t>
  </si>
  <si>
    <t xml:space="preserve">6018 MOONMIST DR </t>
  </si>
  <si>
    <t>TERRY LEMOND OLIVER</t>
  </si>
  <si>
    <t xml:space="preserve">3437 BACON ST </t>
  </si>
  <si>
    <t>RUBEN G. FRIAS</t>
  </si>
  <si>
    <t xml:space="preserve">5325 W 43RD ST </t>
  </si>
  <si>
    <t>BOBBY RAY THOMAS</t>
  </si>
  <si>
    <t>13834 ALDINE WESTFIEL D</t>
  </si>
  <si>
    <t>RODNEY ALLEN COLEMAN</t>
  </si>
  <si>
    <t xml:space="preserve">5330 WILLOW GLEN DR </t>
  </si>
  <si>
    <t>AMIN TREYMAINE VICK</t>
  </si>
  <si>
    <t>21015 COTTAGE STREAM CT</t>
  </si>
  <si>
    <t>CLAYTON RAYE HARGROVE</t>
  </si>
  <si>
    <t xml:space="preserve">1001 BATTLEBELL RD </t>
  </si>
  <si>
    <t>NAVEAL ALEXANDER</t>
  </si>
  <si>
    <t xml:space="preserve">8800 TIDWELL RD </t>
  </si>
  <si>
    <t>CARLOS GUTKOWSKI</t>
  </si>
  <si>
    <t xml:space="preserve">2131 CROMWELL STREET </t>
  </si>
  <si>
    <t>VALENTINE GARCIA</t>
  </si>
  <si>
    <t xml:space="preserve">16212 WOOD DRIVE </t>
  </si>
  <si>
    <t>GERTRUDE FENNELL</t>
  </si>
  <si>
    <t xml:space="preserve">502 E FAYLE ST </t>
  </si>
  <si>
    <t>THOMAS RYAN HUBBARD</t>
  </si>
  <si>
    <t xml:space="preserve">3206 LAVERNE ST </t>
  </si>
  <si>
    <t>ROBERT RILEY</t>
  </si>
  <si>
    <t xml:space="preserve">1250 DUNLAP APT 401 </t>
  </si>
  <si>
    <t>RICKIE LANE SMITH</t>
  </si>
  <si>
    <t xml:space="preserve">6201 SHERMAN </t>
  </si>
  <si>
    <t>GABRIEL ALLEN</t>
  </si>
  <si>
    <t>11722 BOLLINGER PARK CT</t>
  </si>
  <si>
    <t>KENIETH MARCKIETH BARNES</t>
  </si>
  <si>
    <t>1227 DUNSTON FALLS D R</t>
  </si>
  <si>
    <t>FRANK JR. WATTS</t>
  </si>
  <si>
    <t xml:space="preserve">5130 MALMEDY RD </t>
  </si>
  <si>
    <t>DARLA CLABAUGH</t>
  </si>
  <si>
    <t xml:space="preserve">5451 QUAILTREE LN </t>
  </si>
  <si>
    <t>WARREN TRAMELLE BROWN</t>
  </si>
  <si>
    <t xml:space="preserve">8458 RINN ST </t>
  </si>
  <si>
    <t>RICARDO DELAGARZA</t>
  </si>
  <si>
    <t xml:space="preserve">408 AVENUE B </t>
  </si>
  <si>
    <t>CHARLES DEWEY SAMPAY</t>
  </si>
  <si>
    <t xml:space="preserve">129826 SOUTHBRIDGE </t>
  </si>
  <si>
    <t>HERMINA L. CHAVIS</t>
  </si>
  <si>
    <t xml:space="preserve">10303 OTTER CIRCLE </t>
  </si>
  <si>
    <t>JARROD CARROLL BRISCOE</t>
  </si>
  <si>
    <t xml:space="preserve">9707 S GESSNER </t>
  </si>
  <si>
    <t>JORGE EDUARDO BADILLO</t>
  </si>
  <si>
    <t>11905 PRINCESS GARDEN WAY</t>
  </si>
  <si>
    <t>NICOLE YVETTE BROWN</t>
  </si>
  <si>
    <t xml:space="preserve">12707 MURR WAY </t>
  </si>
  <si>
    <t>JULIUS JOSEPH JANCA</t>
  </si>
  <si>
    <t xml:space="preserve">3603 ROBERTS BLVD </t>
  </si>
  <si>
    <t>LISA MARIE SORIANO</t>
  </si>
  <si>
    <t xml:space="preserve">7123 FAIRWAY DR </t>
  </si>
  <si>
    <t>ALONSO LOPEZ</t>
  </si>
  <si>
    <t xml:space="preserve">312 B HAWKINS </t>
  </si>
  <si>
    <t>LUIS ALBERTO ESPINOZA CAVAZOS</t>
  </si>
  <si>
    <t xml:space="preserve">10801 LEGACY PARK DR </t>
  </si>
  <si>
    <t>PATRICIA CASAS</t>
  </si>
  <si>
    <t xml:space="preserve">3271 SHAVER </t>
  </si>
  <si>
    <t>RICHARD RAY FINNELS</t>
  </si>
  <si>
    <t xml:space="preserve">310 BLINKIN AVENUE </t>
  </si>
  <si>
    <t>HERMAN VANCE</t>
  </si>
  <si>
    <t xml:space="preserve">5307 KNIGHTWOOD ST </t>
  </si>
  <si>
    <t>KELVIN RAY GLASPIE</t>
  </si>
  <si>
    <t xml:space="preserve">938 SOUTH FM 1673 </t>
  </si>
  <si>
    <t>ANTONIO HERNANDEZ</t>
  </si>
  <si>
    <t xml:space="preserve">14411 WICKHURST PLACE </t>
  </si>
  <si>
    <t>MARK ANTHONY BANE</t>
  </si>
  <si>
    <t xml:space="preserve">3509 EVERGREEN DR </t>
  </si>
  <si>
    <t>SCOTT ALLEN FOWLER</t>
  </si>
  <si>
    <t xml:space="preserve">6130 SUNNYCREST ST </t>
  </si>
  <si>
    <t>OWEN DOUGLAS GARDNER</t>
  </si>
  <si>
    <t>9603 HOMESTEAD APT 4 4D</t>
  </si>
  <si>
    <t>TECUMSEH IRVIN MANUEL</t>
  </si>
  <si>
    <t xml:space="preserve">4514 WIPPRECHT ST. </t>
  </si>
  <si>
    <t>LUVEL MCAFFEE</t>
  </si>
  <si>
    <t xml:space="preserve">1350 BROADFIELD BLVD </t>
  </si>
  <si>
    <t>JOHN L. JOHNSON</t>
  </si>
  <si>
    <t xml:space="preserve">1719 GRAY ST </t>
  </si>
  <si>
    <t>WADEL WAYNE PRICE</t>
  </si>
  <si>
    <t xml:space="preserve">4611 COKE ST </t>
  </si>
  <si>
    <t>NIKITA ROSHAN PETTIFORD</t>
  </si>
  <si>
    <t xml:space="preserve">200 KELLINGTON </t>
  </si>
  <si>
    <t>JAMES MITCHELL WALKER</t>
  </si>
  <si>
    <t>5728 W MOUNT HOUSTON RD</t>
  </si>
  <si>
    <t>LAWANDA GAIL THOMAS</t>
  </si>
  <si>
    <t xml:space="preserve">9393 TIDWELL </t>
  </si>
  <si>
    <t>STEPHEN A. HUTCH</t>
  </si>
  <si>
    <t xml:space="preserve">1217 WESTWOOD DR </t>
  </si>
  <si>
    <t>NATASHA DAVIS</t>
  </si>
  <si>
    <t xml:space="preserve">16111 ASPENGLENN DR </t>
  </si>
  <si>
    <t>ESTELLA ANN SUAREZ</t>
  </si>
  <si>
    <t xml:space="preserve">14830 SCOTTER DR </t>
  </si>
  <si>
    <t>KENYON VERRELL RELIFORD</t>
  </si>
  <si>
    <t xml:space="preserve">6215 TIERWESTER </t>
  </si>
  <si>
    <t>DEDRICK GOREE</t>
  </si>
  <si>
    <t xml:space="preserve">3629 N MACGREGOR WAY </t>
  </si>
  <si>
    <t>MARK WEAVER</t>
  </si>
  <si>
    <t xml:space="preserve">17711 PORT O CALL ST </t>
  </si>
  <si>
    <t>JOSE ISARDO LARA</t>
  </si>
  <si>
    <t xml:space="preserve">1735 EDENA DR </t>
  </si>
  <si>
    <t>DERRICK KING</t>
  </si>
  <si>
    <t xml:space="preserve">7320 JENSEN DR </t>
  </si>
  <si>
    <t>DWAINE EWING</t>
  </si>
  <si>
    <t xml:space="preserve">2106 TWIN BROOK DR </t>
  </si>
  <si>
    <t>RODNEY SPELL</t>
  </si>
  <si>
    <t xml:space="preserve">4040 EUROPA </t>
  </si>
  <si>
    <t>JOSE JR HERNANDEZ-BLEILER</t>
  </si>
  <si>
    <t xml:space="preserve">8727 POINT PARK </t>
  </si>
  <si>
    <t>JEFFERY SCOTT KENYON</t>
  </si>
  <si>
    <t xml:space="preserve">1016 JOHNSON </t>
  </si>
  <si>
    <t>JOSEPH REYES</t>
  </si>
  <si>
    <t xml:space="preserve">7514 MOSSROSE </t>
  </si>
  <si>
    <t>MOSES ALMAZAN</t>
  </si>
  <si>
    <t xml:space="preserve">715 JANISCH RD </t>
  </si>
  <si>
    <t>RODERICK CALVIN PALMS</t>
  </si>
  <si>
    <t xml:space="preserve">5611 HERON </t>
  </si>
  <si>
    <t>GUADALUPE JR PEREZ</t>
  </si>
  <si>
    <t xml:space="preserve">7525 HILLCROFT </t>
  </si>
  <si>
    <t>CHRISTOPHER AARON DINKINS</t>
  </si>
  <si>
    <t xml:space="preserve">3930 HIDDEN GLEN DR </t>
  </si>
  <si>
    <t>QUNITA NECOLE JOHNSON</t>
  </si>
  <si>
    <t xml:space="preserve">5818 WESTOVER ST </t>
  </si>
  <si>
    <t>JACKIE BENTON GRIFFIN</t>
  </si>
  <si>
    <t xml:space="preserve">17703 AUTUMN HILLS DR </t>
  </si>
  <si>
    <t>CLYDE CARL BOLT</t>
  </si>
  <si>
    <t xml:space="preserve">2424 MCKEE ST </t>
  </si>
  <si>
    <t>RODNEY BLAKE ANDREWS</t>
  </si>
  <si>
    <t xml:space="preserve">10300 SHADY </t>
  </si>
  <si>
    <t>MARTIN OLIVARES GARZA</t>
  </si>
  <si>
    <t>11505 KEEGANS RIDGE R D</t>
  </si>
  <si>
    <t>JAMES ANTHONY FLORES</t>
  </si>
  <si>
    <t xml:space="preserve">6606 AVENUE J </t>
  </si>
  <si>
    <t>GEORGE AMMON LILLIE</t>
  </si>
  <si>
    <t>12501 BROADWAY ST APT 6104</t>
  </si>
  <si>
    <t>TERRELL SYLVESTER</t>
  </si>
  <si>
    <t xml:space="preserve">7313 NORTH LINE DR </t>
  </si>
  <si>
    <t>JOHN RAYMOND KOLENDA</t>
  </si>
  <si>
    <t xml:space="preserve">4802 SYCAMORE AVE </t>
  </si>
  <si>
    <t>PARON GREEN</t>
  </si>
  <si>
    <t xml:space="preserve">4025 BURKE </t>
  </si>
  <si>
    <t>KEN O. STENZEL</t>
  </si>
  <si>
    <t xml:space="preserve">7617 ST LO RD </t>
  </si>
  <si>
    <t>MARK ELLIOTT DOMIO</t>
  </si>
  <si>
    <t xml:space="preserve">17623 DURHAM RIDGE LN </t>
  </si>
  <si>
    <t>JASON ALAN JONES</t>
  </si>
  <si>
    <t xml:space="preserve">4719 PARKLAND ST </t>
  </si>
  <si>
    <t>GEORGINA DURAN</t>
  </si>
  <si>
    <t xml:space="preserve">15416 STOLTJE DRIVE </t>
  </si>
  <si>
    <t>ARINDELL ALEX HODGE</t>
  </si>
  <si>
    <t xml:space="preserve">9619 OREGANO CIR </t>
  </si>
  <si>
    <t>DERRICK WAYNE FRIELDS</t>
  </si>
  <si>
    <t>15 CHARLESTON OAKS 2209</t>
  </si>
  <si>
    <t>COREY JAMES WINZER</t>
  </si>
  <si>
    <t xml:space="preserve">6734 DEER RIDGE LN </t>
  </si>
  <si>
    <t>KEVIN ROBICHEAUX</t>
  </si>
  <si>
    <t>702 N SAM HOUSTON P KWY E</t>
  </si>
  <si>
    <t>JEREMY LEE ECHARD</t>
  </si>
  <si>
    <t xml:space="preserve">5714 WERNER ST </t>
  </si>
  <si>
    <t>JAMES D. HAYNES</t>
  </si>
  <si>
    <t xml:space="preserve">163 CR283 </t>
  </si>
  <si>
    <t>HENRY LEWIS</t>
  </si>
  <si>
    <t xml:space="preserve">2411 19TH AVE N </t>
  </si>
  <si>
    <t xml:space="preserve">695 NORMANDY </t>
  </si>
  <si>
    <t>SHERN E SCOTT</t>
  </si>
  <si>
    <t xml:space="preserve">304 E 39TH ST 4 </t>
  </si>
  <si>
    <t>TRUONG QUOC TRAN</t>
  </si>
  <si>
    <t xml:space="preserve">8323 WILCREST DR </t>
  </si>
  <si>
    <t>KEVIN DEWAYNE WHITE</t>
  </si>
  <si>
    <t xml:space="preserve">8522 PEARL LAKE DR </t>
  </si>
  <si>
    <t>YOHANCE JUDE RICHARDSON</t>
  </si>
  <si>
    <t xml:space="preserve">2518 2ND STREET </t>
  </si>
  <si>
    <t>PATRICIA MARTINEZ</t>
  </si>
  <si>
    <t xml:space="preserve">14526 ALDERSON ST </t>
  </si>
  <si>
    <t>KEVIN JERMAINE WILLIAMS</t>
  </si>
  <si>
    <t xml:space="preserve">10334 VALLEY WIND DR </t>
  </si>
  <si>
    <t>SCOTT JOHN</t>
  </si>
  <si>
    <t>335 E SAN AUGUSTINE ST</t>
  </si>
  <si>
    <t>ERIC DWAYNE SMITH</t>
  </si>
  <si>
    <t xml:space="preserve">4929 REDBUD ST </t>
  </si>
  <si>
    <t>NDIFREKAB S. WILLIAMS</t>
  </si>
  <si>
    <t xml:space="preserve">6805 FLAMINGO DR </t>
  </si>
  <si>
    <t>ADRIAN ORLANDO HERRERA</t>
  </si>
  <si>
    <t xml:space="preserve">8327 W. TIDEWELL </t>
  </si>
  <si>
    <t>GREGORY DOMINGUEZ COMPEAN</t>
  </si>
  <si>
    <t xml:space="preserve">2102 BROADWAY ST </t>
  </si>
  <si>
    <t>JOSE ANTONIO AVILA</t>
  </si>
  <si>
    <t xml:space="preserve">2219 LEE ST </t>
  </si>
  <si>
    <t>DONALD WILLIAM FALK</t>
  </si>
  <si>
    <t xml:space="preserve">8325 BROADWAY </t>
  </si>
  <si>
    <t>STACY MAY</t>
  </si>
  <si>
    <t xml:space="preserve">412 BAKER DR </t>
  </si>
  <si>
    <t>ROGERS SMITH</t>
  </si>
  <si>
    <t xml:space="preserve">5010 WYLIE ST </t>
  </si>
  <si>
    <t>TIFFANY M. DEROUSSELLE</t>
  </si>
  <si>
    <t xml:space="preserve">3518 COVEY TRL </t>
  </si>
  <si>
    <t>ROBERT CLINTON SQUARE</t>
  </si>
  <si>
    <t xml:space="preserve">11025 FONDREN RD </t>
  </si>
  <si>
    <t>ROBERT III COLEMAN</t>
  </si>
  <si>
    <t xml:space="preserve">13814 HALLFIELD DR </t>
  </si>
  <si>
    <t>JIMMY YOUNG</t>
  </si>
  <si>
    <t>11201 VETERANS MEMORI AL DR</t>
  </si>
  <si>
    <t xml:space="preserve">1120 RED BLUFF RD </t>
  </si>
  <si>
    <t>DENNIS GREER</t>
  </si>
  <si>
    <t>990 CYPRESS STATION DRIVE</t>
  </si>
  <si>
    <t>TERRY JR LEWIS</t>
  </si>
  <si>
    <t xml:space="preserve">350 REMINGTON RIDGE </t>
  </si>
  <si>
    <t>BOBBY EUGENE MARTIN</t>
  </si>
  <si>
    <t xml:space="preserve">9401 FIRNAT ST </t>
  </si>
  <si>
    <t>MANUEL JR. MARIN</t>
  </si>
  <si>
    <t xml:space="preserve">3317 HINT TRACE </t>
  </si>
  <si>
    <t>PAULINE PATRICE GREENLEAF</t>
  </si>
  <si>
    <t xml:space="preserve">3822 MAINER ST </t>
  </si>
  <si>
    <t>JOSE ARNOLDO JUAREZ</t>
  </si>
  <si>
    <t xml:space="preserve">5959 BISSONNET ST </t>
  </si>
  <si>
    <t>CLEVELAND III WILLIAMS</t>
  </si>
  <si>
    <t xml:space="preserve">114 PRIVATE RD 4303 </t>
  </si>
  <si>
    <t>ERIC DESHAWN WILLIAMS</t>
  </si>
  <si>
    <t xml:space="preserve">7601 CURRY RD APT 11 </t>
  </si>
  <si>
    <t>LATESSA SWEENEY</t>
  </si>
  <si>
    <t>17103 IMPERIAL VALLEY DR</t>
  </si>
  <si>
    <t>THOMAS CANTU</t>
  </si>
  <si>
    <t xml:space="preserve">3510 PINE RIDGE </t>
  </si>
  <si>
    <t>LISA TORRES</t>
  </si>
  <si>
    <t xml:space="preserve">8520 MADIE DR </t>
  </si>
  <si>
    <t>TASHAWNA WARD</t>
  </si>
  <si>
    <t xml:space="preserve">5500 DE SOTO ST </t>
  </si>
  <si>
    <t>ALVIN RHODER</t>
  </si>
  <si>
    <t xml:space="preserve">22110 PEARL LAKE DR </t>
  </si>
  <si>
    <t>TANGELA LASHAN JONES</t>
  </si>
  <si>
    <t xml:space="preserve">1042 MARCOLIN ST </t>
  </si>
  <si>
    <t>MARCO VELASQUEZ-FUNEZ</t>
  </si>
  <si>
    <t xml:space="preserve">7047 BISSONNET ST </t>
  </si>
  <si>
    <t>CHRISTOPHER SIMMONS</t>
  </si>
  <si>
    <t xml:space="preserve">4807 STONECROP CT </t>
  </si>
  <si>
    <t>PATRICK MCCLAIN</t>
  </si>
  <si>
    <t xml:space="preserve">1911 MLK BLVD 1212 </t>
  </si>
  <si>
    <t>HOWARD DWAYNE JOHNSON</t>
  </si>
  <si>
    <t xml:space="preserve">10950 TANNER PARK CT </t>
  </si>
  <si>
    <t>BEAU CHRISTOPHER FREEZE</t>
  </si>
  <si>
    <t xml:space="preserve">3607 NEWTON </t>
  </si>
  <si>
    <t>MECHELLE NICOLE WHITE</t>
  </si>
  <si>
    <t xml:space="preserve">6034 LATTIMER DR </t>
  </si>
  <si>
    <t>JOSHUA WHITTED</t>
  </si>
  <si>
    <t xml:space="preserve">10019 SUGARVINE LN </t>
  </si>
  <si>
    <t>MICHAEL S LAWRENCE</t>
  </si>
  <si>
    <t xml:space="preserve">9606 RED MAPLE DR </t>
  </si>
  <si>
    <t>GINGER LYNN BEVILL</t>
  </si>
  <si>
    <t xml:space="preserve">2501 JULIE ST </t>
  </si>
  <si>
    <t>PHANOMPHONE TANOVANH</t>
  </si>
  <si>
    <t>12635 RED BUD VILLA L N</t>
  </si>
  <si>
    <t>ADRIAN THEODORE DAVIS</t>
  </si>
  <si>
    <t xml:space="preserve">16802 CHAPMAN LAKE CT </t>
  </si>
  <si>
    <t>GUILLERMO ANTONIO JIMENEZ</t>
  </si>
  <si>
    <t xml:space="preserve">22602 CAPITOL LANDING </t>
  </si>
  <si>
    <t>DAVID BARAJAS</t>
  </si>
  <si>
    <t xml:space="preserve">2309 CALOWAY CIR </t>
  </si>
  <si>
    <t>MARISELLA RAQUEL FLORES</t>
  </si>
  <si>
    <t>1430 FOUNTAIN VIEW D R</t>
  </si>
  <si>
    <t>IGNACIO HERNANDEZ</t>
  </si>
  <si>
    <t xml:space="preserve">13323 BLAZEY DR </t>
  </si>
  <si>
    <t>DONALD FARLEY</t>
  </si>
  <si>
    <t xml:space="preserve">411 WEST RD APT </t>
  </si>
  <si>
    <t>MIGUEL ANGEL GARZA</t>
  </si>
  <si>
    <t xml:space="preserve">2001 JENKINS RD </t>
  </si>
  <si>
    <t>TENETRIA LAYSHUN RIGGS</t>
  </si>
  <si>
    <t xml:space="preserve">10910 GULF FREEWAY </t>
  </si>
  <si>
    <t>LUIS CONTRERAS</t>
  </si>
  <si>
    <t>3735 COUNTRY PLACE D R</t>
  </si>
  <si>
    <t>JOSEPH LEE PERRY</t>
  </si>
  <si>
    <t xml:space="preserve">23535 EARLMIST DR </t>
  </si>
  <si>
    <t>JOSHUA SEAN RESNICK</t>
  </si>
  <si>
    <t xml:space="preserve">1651 WITTE RD </t>
  </si>
  <si>
    <t>MELVIN EFRAIN FIGUEROA</t>
  </si>
  <si>
    <t xml:space="preserve">6305 WESTWARD ST </t>
  </si>
  <si>
    <t>LORENZO CASANOVA</t>
  </si>
  <si>
    <t xml:space="preserve">4220 WIPPRECHT ST </t>
  </si>
  <si>
    <t>ATOYA CHANELLE BRAWLEY</t>
  </si>
  <si>
    <t>7014 DUMBLE ST UNIT B</t>
  </si>
  <si>
    <t>MONIQUE SMITH</t>
  </si>
  <si>
    <t xml:space="preserve">9115 BRANDON ST </t>
  </si>
  <si>
    <t>CASEY THOMAS LEMMON</t>
  </si>
  <si>
    <t xml:space="preserve">510 KERRY LEIGH CT </t>
  </si>
  <si>
    <t>ANITA LOUISE MONTOYA</t>
  </si>
  <si>
    <t xml:space="preserve">9329 KLONDIKE ST </t>
  </si>
  <si>
    <t>ROBERT LEE ADDISON</t>
  </si>
  <si>
    <t xml:space="preserve">4414 PLAAG </t>
  </si>
  <si>
    <t>ENRIQUE CAMPA GARCIA</t>
  </si>
  <si>
    <t xml:space="preserve">1601 COUGAR CREEK ST </t>
  </si>
  <si>
    <t>CLARENCE FISCHER JR</t>
  </si>
  <si>
    <t xml:space="preserve">19702 DUNBAR AVE </t>
  </si>
  <si>
    <t>RICKY DURRELL ELLIS</t>
  </si>
  <si>
    <t xml:space="preserve">2103 DEERHURST </t>
  </si>
  <si>
    <t>TEDRIA FLUELLEN</t>
  </si>
  <si>
    <t xml:space="preserve">15747 HIRAM CLARKE RD </t>
  </si>
  <si>
    <t>JASON DION HUNTER</t>
  </si>
  <si>
    <t xml:space="preserve">5030 RIDGE MANOR DR </t>
  </si>
  <si>
    <t>TEVIS DEMOND ERVIN</t>
  </si>
  <si>
    <t xml:space="preserve">9225 LONG POINT RD </t>
  </si>
  <si>
    <t>ROBBIN EARL WHITE</t>
  </si>
  <si>
    <t xml:space="preserve">12819 FOREST BLOOM LN </t>
  </si>
  <si>
    <t>CEDRIC CLEAVON JOHNSON</t>
  </si>
  <si>
    <t xml:space="preserve">8606 ROCKMONT COURT </t>
  </si>
  <si>
    <t>KIMBERLY NICOLE TOTH</t>
  </si>
  <si>
    <t xml:space="preserve">814 S. ILLINOIS AVE </t>
  </si>
  <si>
    <t>RODRICK LAVANCE WATTELL</t>
  </si>
  <si>
    <t xml:space="preserve">2303 W TIDWELL RD </t>
  </si>
  <si>
    <t>EFREM LANE</t>
  </si>
  <si>
    <t xml:space="preserve">100 HOLLOW TREE </t>
  </si>
  <si>
    <t>JAMES WILLIAMSON</t>
  </si>
  <si>
    <t>8300 QUEENSTON BLVD 537</t>
  </si>
  <si>
    <t>GREGORY LORENZO MIKE</t>
  </si>
  <si>
    <t xml:space="preserve">3431 WALNUT BEND LN </t>
  </si>
  <si>
    <t>STEVEN CHOATE</t>
  </si>
  <si>
    <t xml:space="preserve">2500 EAST JAME </t>
  </si>
  <si>
    <t>DENESHA M WASHINGTON</t>
  </si>
  <si>
    <t xml:space="preserve">4215 RUSSELL APT A </t>
  </si>
  <si>
    <t>MILTON VASQUEZ</t>
  </si>
  <si>
    <t xml:space="preserve">1909 LONE OAK </t>
  </si>
  <si>
    <t>FILIP LE MARTINEZ</t>
  </si>
  <si>
    <t xml:space="preserve">10518 AMBURSEN </t>
  </si>
  <si>
    <t>CHURLONDA DENICE FLETCHER</t>
  </si>
  <si>
    <t>8501 BROADWAY ST APT 2001</t>
  </si>
  <si>
    <t>SHKEREZADE MALBALECO MIDKIFF</t>
  </si>
  <si>
    <t xml:space="preserve">14202 NORDIC </t>
  </si>
  <si>
    <t>MARTICE AGNEW</t>
  </si>
  <si>
    <t xml:space="preserve">4514 FALLEN OAKS DR </t>
  </si>
  <si>
    <t>IGNACIO AGUILERA</t>
  </si>
  <si>
    <t xml:space="preserve">6830 KERNEL ST </t>
  </si>
  <si>
    <t>JOSE SANTIAGO MAGUEYAL</t>
  </si>
  <si>
    <t xml:space="preserve">1006 TWIN FALLS RD </t>
  </si>
  <si>
    <t>RAY ANTHONY VASQUEZ</t>
  </si>
  <si>
    <t xml:space="preserve">10700 FUQUA ST </t>
  </si>
  <si>
    <t>RAY MURPHY</t>
  </si>
  <si>
    <t xml:space="preserve">11334 CLOVER GREEN LN </t>
  </si>
  <si>
    <t>JOHN MICHAEL PILKEY</t>
  </si>
  <si>
    <t xml:space="preserve">3295 FM 3514 </t>
  </si>
  <si>
    <t>ALIA FALAH ABDALLAH</t>
  </si>
  <si>
    <t>5103 BINION FOREST L N</t>
  </si>
  <si>
    <t>MICHELLE CARRILLO</t>
  </si>
  <si>
    <t xml:space="preserve">335 WYNELL ST </t>
  </si>
  <si>
    <t>RAUL MURILLO</t>
  </si>
  <si>
    <t>12707 PASO DEL FLORES DR</t>
  </si>
  <si>
    <t>ALRENZO WENDELL TAYLOR</t>
  </si>
  <si>
    <t>2819 BANFF MOUNTAIN TRL</t>
  </si>
  <si>
    <t>MOISES MARTINEZ</t>
  </si>
  <si>
    <t xml:space="preserve">1227 FORESTBURG DR </t>
  </si>
  <si>
    <t>JIMMY MAC COSEY</t>
  </si>
  <si>
    <t xml:space="preserve">9918 WOODWICK ST </t>
  </si>
  <si>
    <t>JOHNNY WAYNE JOHNSON</t>
  </si>
  <si>
    <t xml:space="preserve">6913 JAY </t>
  </si>
  <si>
    <t>KIJAN WILLIAMS</t>
  </si>
  <si>
    <t xml:space="preserve">906 HEATHCLIFF DR </t>
  </si>
  <si>
    <t>STEFANO FEDERICO SOBRERO</t>
  </si>
  <si>
    <t>21507 MANDARIN GLEN C IR</t>
  </si>
  <si>
    <t>CYNTHIA WALKER</t>
  </si>
  <si>
    <t xml:space="preserve">12813 SLEEPY TONE LN </t>
  </si>
  <si>
    <t>THOMAS WAYNE OWENS</t>
  </si>
  <si>
    <t xml:space="preserve">8306 GULF FREEWAY </t>
  </si>
  <si>
    <t>DERRICK DEJUAN CURRY</t>
  </si>
  <si>
    <t xml:space="preserve">4110 ROSALINDA LN </t>
  </si>
  <si>
    <t>DANIEL THOMAS</t>
  </si>
  <si>
    <t xml:space="preserve">545 SEMINAR APT 469 </t>
  </si>
  <si>
    <t>BRANDON LARON ANDRUS</t>
  </si>
  <si>
    <t xml:space="preserve">2826 TIDEWATER </t>
  </si>
  <si>
    <t>LAZARO ROQUE PEREZ</t>
  </si>
  <si>
    <t xml:space="preserve">6325 NEFF ST </t>
  </si>
  <si>
    <t>CREG JOSEPH PADDIO</t>
  </si>
  <si>
    <t>5631 COBARK CREEK TR L</t>
  </si>
  <si>
    <t>RICHARD ANTHONY BONTON</t>
  </si>
  <si>
    <t xml:space="preserve">13002 PAPINEAU WOODS </t>
  </si>
  <si>
    <t>AGAPITO III TRISTAN</t>
  </si>
  <si>
    <t xml:space="preserve">9011 HARRELL </t>
  </si>
  <si>
    <t>ROSHANDA DENISE MILLER</t>
  </si>
  <si>
    <t xml:space="preserve">2608 CALUMET APT 51 </t>
  </si>
  <si>
    <t>CHRISTOPHER SAMPSON</t>
  </si>
  <si>
    <t xml:space="preserve">2323 GARAPAN ST </t>
  </si>
  <si>
    <t>FERNANDO GARCIA</t>
  </si>
  <si>
    <t xml:space="preserve">2929 US 90 </t>
  </si>
  <si>
    <t>STEPHANIE NICHOLE SALINAS</t>
  </si>
  <si>
    <t xml:space="preserve">11715 S GLEN DR </t>
  </si>
  <si>
    <t>DUSTIN WILLIAM RILEY</t>
  </si>
  <si>
    <t xml:space="preserve">32522 EDGE WATER DR </t>
  </si>
  <si>
    <t>ROBERT DALE SCHANNETTE</t>
  </si>
  <si>
    <t xml:space="preserve">810 FOREST IVY LN </t>
  </si>
  <si>
    <t>HUGO ALBERTO GONZALEZ</t>
  </si>
  <si>
    <t xml:space="preserve">8000 BELLAIRE BLV </t>
  </si>
  <si>
    <t>JOHN P LALLY</t>
  </si>
  <si>
    <t xml:space="preserve">7711 TWIN HILLS DR </t>
  </si>
  <si>
    <t>MICHAEL WAYNE TREZVANT</t>
  </si>
  <si>
    <t>9530 CURRY LANDING D R</t>
  </si>
  <si>
    <t>APRIL TCHAO</t>
  </si>
  <si>
    <t xml:space="preserve">6220 FAIRDALE LANE </t>
  </si>
  <si>
    <t>DUSTIN POLASEK</t>
  </si>
  <si>
    <t xml:space="preserve">22402 GOLDSTONE DR </t>
  </si>
  <si>
    <t>JOSE ANGEL RAMIREZ</t>
  </si>
  <si>
    <t xml:space="preserve">6837 AVENUE S </t>
  </si>
  <si>
    <t>BERNARD NOAL PALMER</t>
  </si>
  <si>
    <t xml:space="preserve">3711 SOUTHMORE BLVD </t>
  </si>
  <si>
    <t>JUAN MARTINEZ</t>
  </si>
  <si>
    <t xml:space="preserve">121 E WITCHER LN </t>
  </si>
  <si>
    <t>FRANK DIAZ</t>
  </si>
  <si>
    <t xml:space="preserve">4545 COOK RD </t>
  </si>
  <si>
    <t>BRANDON JOSEPH COOK</t>
  </si>
  <si>
    <t xml:space="preserve">2319 B. HODGES </t>
  </si>
  <si>
    <t>JORGE ARMANDO VALDEZ</t>
  </si>
  <si>
    <t xml:space="preserve">302 MAROBY ST </t>
  </si>
  <si>
    <t>ISAAC RAY DELEON</t>
  </si>
  <si>
    <t>3424 STERLING GARDEN LN</t>
  </si>
  <si>
    <t>GILBERT MARTINEZ</t>
  </si>
  <si>
    <t xml:space="preserve">2234 MARNEL RD </t>
  </si>
  <si>
    <t>JESSE LEAL</t>
  </si>
  <si>
    <t xml:space="preserve">10250 FLAXMAN </t>
  </si>
  <si>
    <t>KERRICK COLEMAN</t>
  </si>
  <si>
    <t xml:space="preserve">2603 DAWN STAR DR </t>
  </si>
  <si>
    <t>BENNIE MARTINEZ</t>
  </si>
  <si>
    <t xml:space="preserve">801 MISSISSIPPI ST </t>
  </si>
  <si>
    <t>FRANK DAVID GALLEGOS</t>
  </si>
  <si>
    <t xml:space="preserve">23654 2ND ST </t>
  </si>
  <si>
    <t>MATTHEW RAY THOMPSON</t>
  </si>
  <si>
    <t xml:space="preserve">8415 SONNEVILLE DR </t>
  </si>
  <si>
    <t>JOSE LUIS RODRIGUEZ</t>
  </si>
  <si>
    <t>5323 DARLING HURST D R</t>
  </si>
  <si>
    <t>TRAVIS NEAL</t>
  </si>
  <si>
    <t>9247 WESTWOOD VILLAG E</t>
  </si>
  <si>
    <t>CHRIS RUDOLPH DAVIS</t>
  </si>
  <si>
    <t xml:space="preserve">500 W PITTS AVE </t>
  </si>
  <si>
    <t>ROBERT RAY YOUNG</t>
  </si>
  <si>
    <t xml:space="preserve">500 VANN RD </t>
  </si>
  <si>
    <t>TERRANCE POSEY</t>
  </si>
  <si>
    <t>875 UNION STATION P KWY APT 15</t>
  </si>
  <si>
    <t>SHARONICA WATT</t>
  </si>
  <si>
    <t>6003 WHITTER FOREST DR</t>
  </si>
  <si>
    <t>ROGER JUAREZ</t>
  </si>
  <si>
    <t xml:space="preserve">6602 ALFANO ST </t>
  </si>
  <si>
    <t>ROSALINE EVETTE WEBSTER</t>
  </si>
  <si>
    <t xml:space="preserve">11111 ROCKFORD RD </t>
  </si>
  <si>
    <t>CLETTRIS UNDRELL BRADWELL</t>
  </si>
  <si>
    <t xml:space="preserve">10950 BEAUMONT HWY </t>
  </si>
  <si>
    <t>DOMINIC OMAR DAVIDSON</t>
  </si>
  <si>
    <t xml:space="preserve">12360 RICHMOND AVE </t>
  </si>
  <si>
    <t>DEMARCUS DEMMARGUS SCHIELE</t>
  </si>
  <si>
    <t xml:space="preserve">4907 HARDY ST </t>
  </si>
  <si>
    <t>ISABEL MARIE GONZALES</t>
  </si>
  <si>
    <t xml:space="preserve">321 INNSDALE STREET </t>
  </si>
  <si>
    <t>JOSHUA PACE</t>
  </si>
  <si>
    <t xml:space="preserve">701 ALVA </t>
  </si>
  <si>
    <t>ANTONIO JR BETANCOURT</t>
  </si>
  <si>
    <t>MARCUS LAMOND WILLIAMS</t>
  </si>
  <si>
    <t>13127 HOLLOWCREEK PAR K DR</t>
  </si>
  <si>
    <t>ALBERT CLAYTON HARGIS</t>
  </si>
  <si>
    <t xml:space="preserve">2925 LA BRANCH ST. </t>
  </si>
  <si>
    <t>GLYNN CHASE WASHINGTON</t>
  </si>
  <si>
    <t xml:space="preserve">15602 SIERRA VALLE </t>
  </si>
  <si>
    <t>SHONDA LAKEITHA BAINES</t>
  </si>
  <si>
    <t>5379 TIMBER CREEK PL ACE DR</t>
  </si>
  <si>
    <t>CRAIG ALLEN NEAL</t>
  </si>
  <si>
    <t xml:space="preserve">10610 CASTLETON ST </t>
  </si>
  <si>
    <t>GARY LITTLE</t>
  </si>
  <si>
    <t xml:space="preserve">1108 NOBILITY DR </t>
  </si>
  <si>
    <t>ANDREW ROSENTAL</t>
  </si>
  <si>
    <t xml:space="preserve">22415 PARK POINT DR </t>
  </si>
  <si>
    <t>SHAMARION DENAY SMITH</t>
  </si>
  <si>
    <t xml:space="preserve">790 W LITTLE YORK </t>
  </si>
  <si>
    <t>QUATERRIA LASHES ROBINSON</t>
  </si>
  <si>
    <t>6307 FAULKNER RIDGE DR</t>
  </si>
  <si>
    <t>JORGE GARCIA BARRERA</t>
  </si>
  <si>
    <t xml:space="preserve">7251 JUNCO DR </t>
  </si>
  <si>
    <t>COURTNEY JOHNSON</t>
  </si>
  <si>
    <t xml:space="preserve">9520 WILCREST DR </t>
  </si>
  <si>
    <t>HENRY WILLIAMS</t>
  </si>
  <si>
    <t xml:space="preserve">15415 LEE RD </t>
  </si>
  <si>
    <t>MARTIN GARCIA</t>
  </si>
  <si>
    <t xml:space="preserve">2630 BOSTIC ST </t>
  </si>
  <si>
    <t>SHEKEITHA LAVERNE WARREN</t>
  </si>
  <si>
    <t xml:space="preserve">12226 BROOKVALLEY DR </t>
  </si>
  <si>
    <t>MARK CHRISTOPHER JONES</t>
  </si>
  <si>
    <t xml:space="preserve">6121 WINSOME LN </t>
  </si>
  <si>
    <t>ANTHONY DWIGHT SHED</t>
  </si>
  <si>
    <t xml:space="preserve">7618 DAWNRIDGE DR </t>
  </si>
  <si>
    <t>MARCUS ALVA</t>
  </si>
  <si>
    <t xml:space="preserve">2615 QUAIL RUN DR </t>
  </si>
  <si>
    <t>MICHAEL A. TAYLOR</t>
  </si>
  <si>
    <t xml:space="preserve">6900 BISSONNET #503 </t>
  </si>
  <si>
    <t>SHALISA DAWN JOHNSON</t>
  </si>
  <si>
    <t>1226 BAERTLETT COVE DR</t>
  </si>
  <si>
    <t>CARLOS RENEY RUIZ</t>
  </si>
  <si>
    <t>12550 JOHN F KENNEDY BLVD</t>
  </si>
  <si>
    <t>DEJENAY BECKWITH</t>
  </si>
  <si>
    <t xml:space="preserve">601 E 21ST </t>
  </si>
  <si>
    <t>SENDY COVARRUBIAS</t>
  </si>
  <si>
    <t xml:space="preserve">5210 LANTANA </t>
  </si>
  <si>
    <t>JONATHAN KENNETH KIRKLIN</t>
  </si>
  <si>
    <t xml:space="preserve">5814 LYNDHURST DR </t>
  </si>
  <si>
    <t>JIMMY NORRIS</t>
  </si>
  <si>
    <t xml:space="preserve">301 TRI CITY BEACH </t>
  </si>
  <si>
    <t>DUNLEY NEVILLE SANDERS</t>
  </si>
  <si>
    <t xml:space="preserve">8505 DENBY ST </t>
  </si>
  <si>
    <t>CHRISTOPHER J RODRIGUEZ</t>
  </si>
  <si>
    <t xml:space="preserve">8419 SUNNY RIDGE DR </t>
  </si>
  <si>
    <t>TUYET THI TRAN</t>
  </si>
  <si>
    <t xml:space="preserve">8902 BOLD FOREST DR </t>
  </si>
  <si>
    <t>LUIS ALBERTO LLANES HURTADO</t>
  </si>
  <si>
    <t xml:space="preserve">20411 FERNBUSH DR </t>
  </si>
  <si>
    <t>FABIAN DUNTE TUBBS</t>
  </si>
  <si>
    <t xml:space="preserve">20623 KIWI PL </t>
  </si>
  <si>
    <t>RAHEEL QURESHI</t>
  </si>
  <si>
    <t xml:space="preserve">14427 ANDREA WAY LN </t>
  </si>
  <si>
    <t>LARRY SHAW</t>
  </si>
  <si>
    <t>JAMES RODNEY WILSON</t>
  </si>
  <si>
    <t xml:space="preserve">208 S TIMBERLAND DR </t>
  </si>
  <si>
    <t>ORVILLE RAY HARWELL</t>
  </si>
  <si>
    <t xml:space="preserve">12926 YORKMONT DR </t>
  </si>
  <si>
    <t>RICHARD ANTHONY BLACKBURN</t>
  </si>
  <si>
    <t xml:space="preserve">5310 LOUISE </t>
  </si>
  <si>
    <t>RAY MARIECE TURNER</t>
  </si>
  <si>
    <t xml:space="preserve">4215 BARBERRY DR </t>
  </si>
  <si>
    <t>RONALD RAY BARNES</t>
  </si>
  <si>
    <t xml:space="preserve">906 KENFOREST DR </t>
  </si>
  <si>
    <t>DANDREA CHARMAINE MOORE</t>
  </si>
  <si>
    <t>JOSHUA NOE FLORES</t>
  </si>
  <si>
    <t xml:space="preserve">2101 VERDE VALLEY DR </t>
  </si>
  <si>
    <t>AARON ARCHIBALD</t>
  </si>
  <si>
    <t xml:space="preserve">25710 BEAVER RUN DR </t>
  </si>
  <si>
    <t>MARILLA FELCHLE CARLIN</t>
  </si>
  <si>
    <t xml:space="preserve">12403 ROCKHAMPTON DR </t>
  </si>
  <si>
    <t>JOAN AUDRA LIBERTO</t>
  </si>
  <si>
    <t>2555 N REPSDORPH RD APT 212</t>
  </si>
  <si>
    <t>DARRIUS GOLD</t>
  </si>
  <si>
    <t>301 TRI CITY BEACH RD</t>
  </si>
  <si>
    <t>BETTY BROWN</t>
  </si>
  <si>
    <t xml:space="preserve">3901 OMEARA DR </t>
  </si>
  <si>
    <t>MARK ANTHONY FOSTER</t>
  </si>
  <si>
    <t xml:space="preserve">3211 EASTEX FRWY </t>
  </si>
  <si>
    <t>ROBERT FLOYD WHITE</t>
  </si>
  <si>
    <t xml:space="preserve">3615 ABINGER LN </t>
  </si>
  <si>
    <t>GENE HOLBERT</t>
  </si>
  <si>
    <t xml:space="preserve">11910 SUNSET RANGE DR </t>
  </si>
  <si>
    <t>REXAVIER RAYMUNDO HERRERA</t>
  </si>
  <si>
    <t xml:space="preserve">7843 REDGATE CIR </t>
  </si>
  <si>
    <t>EDWARD GUERRERO</t>
  </si>
  <si>
    <t xml:space="preserve">2207 CROSSCOACH LN </t>
  </si>
  <si>
    <t>MICHAEL LINO TREVINO</t>
  </si>
  <si>
    <t xml:space="preserve">5731 EDWARD DR </t>
  </si>
  <si>
    <t>JOSEPH CRUZ MARTINEZ</t>
  </si>
  <si>
    <t xml:space="preserve">1123 RED BUD ST </t>
  </si>
  <si>
    <t>CHRISTOPHER KEVIN BERLINER</t>
  </si>
  <si>
    <t xml:space="preserve">10923 BIRCH DR </t>
  </si>
  <si>
    <t>SHARON NICOLE BENNETT</t>
  </si>
  <si>
    <t xml:space="preserve">9940 RICHMOND AVE </t>
  </si>
  <si>
    <t>COREY DAVON MEREDITH</t>
  </si>
  <si>
    <t>201 WILCREST DR APT 836</t>
  </si>
  <si>
    <t>MINDY JOSEPHINE JOHNSON</t>
  </si>
  <si>
    <t xml:space="preserve">3024 OAKSHIRE </t>
  </si>
  <si>
    <t>CINTHIA YACELY ZAMORA</t>
  </si>
  <si>
    <t xml:space="preserve">6120 BELLAIRE BLVD </t>
  </si>
  <si>
    <t>MATTHEW ALAN WAGONER</t>
  </si>
  <si>
    <t xml:space="preserve">5615 BUCKOW DRIVE </t>
  </si>
  <si>
    <t>JOSHUA PADDIO</t>
  </si>
  <si>
    <t xml:space="preserve">400 GREENS RD </t>
  </si>
  <si>
    <t>KENNETH EUGENE LEAKS</t>
  </si>
  <si>
    <t xml:space="preserve">5312 RIO RAMOS ST </t>
  </si>
  <si>
    <t>JUAN JOSE AMAYA</t>
  </si>
  <si>
    <t xml:space="preserve">8323 CINNAMON LANE </t>
  </si>
  <si>
    <t>JAMES JEFFERSON FAIRFAX</t>
  </si>
  <si>
    <t xml:space="preserve">15203 NEWLY DR </t>
  </si>
  <si>
    <t>KIANA JOHNSON</t>
  </si>
  <si>
    <t>7559 BUBBLING SPRING LN</t>
  </si>
  <si>
    <t>JAVIER DE LA PAZ</t>
  </si>
  <si>
    <t xml:space="preserve">2201 WIRT RD </t>
  </si>
  <si>
    <t>JOHNTAVIOUS SMITH</t>
  </si>
  <si>
    <t xml:space="preserve">6602 HARBOR TOWN DR </t>
  </si>
  <si>
    <t>KYLE DAVID CUNNINGHAM</t>
  </si>
  <si>
    <t xml:space="preserve">5006 MONTEITH DR </t>
  </si>
  <si>
    <t>KWASI COFFIN</t>
  </si>
  <si>
    <t xml:space="preserve">12231 TURCHIN DR </t>
  </si>
  <si>
    <t>CEDRIC DESHUN CRAWFORD</t>
  </si>
  <si>
    <t>3230 W LITTLE YORK R D</t>
  </si>
  <si>
    <t>MELISSA DENISE GILLIAM</t>
  </si>
  <si>
    <t xml:space="preserve">14531 ELLA BLVD </t>
  </si>
  <si>
    <t>DAVID MATA</t>
  </si>
  <si>
    <t xml:space="preserve">2227 RAINBOW DR </t>
  </si>
  <si>
    <t>CLIFTON GOUDEAU</t>
  </si>
  <si>
    <t xml:space="preserve">14580 CROSBY FREEWAY </t>
  </si>
  <si>
    <t>RACHELLE NEALEY</t>
  </si>
  <si>
    <t xml:space="preserve">411 HIGHLAND CROSS </t>
  </si>
  <si>
    <t>SHAWN HAMMOND</t>
  </si>
  <si>
    <t xml:space="preserve">4201 ROGERS ST </t>
  </si>
  <si>
    <t>CHANNON LOFTON</t>
  </si>
  <si>
    <t>16458 RODEO RIVER DRI VE</t>
  </si>
  <si>
    <t>OSCAR GERARDO CHAVEZ RODRIGUEZ</t>
  </si>
  <si>
    <t xml:space="preserve">12583 LA ROCHELLE DR </t>
  </si>
  <si>
    <t>MUHAMMED WALLACE</t>
  </si>
  <si>
    <t xml:space="preserve">315 VICTORIA DR </t>
  </si>
  <si>
    <t>DUSTIN EDGARDO CASTILLO CABRERA</t>
  </si>
  <si>
    <t>22715 IMPERIAL VALLEY DR</t>
  </si>
  <si>
    <t>DAMON RUSSELL DUNCAN</t>
  </si>
  <si>
    <t xml:space="preserve">4902 EL SALVADOR DR </t>
  </si>
  <si>
    <t>FELISA COLBERT</t>
  </si>
  <si>
    <t>5609 ALDINE BENDER R D</t>
  </si>
  <si>
    <t>FRANCISCO HERNANDEZ RAMIREZ</t>
  </si>
  <si>
    <t xml:space="preserve">8402 HANSEN ST </t>
  </si>
  <si>
    <t>ISRAEL COURY CAVAZOS</t>
  </si>
  <si>
    <t>BRENDA GONZALEZ</t>
  </si>
  <si>
    <t>10700 FUQUA ST APT 27 3</t>
  </si>
  <si>
    <t>ERIC TAYLOR</t>
  </si>
  <si>
    <t xml:space="preserve">23919 LEATHERGATE DR </t>
  </si>
  <si>
    <t>CORA CURRY</t>
  </si>
  <si>
    <t xml:space="preserve">3360 ALICE ST </t>
  </si>
  <si>
    <t>JESSICA HICKS</t>
  </si>
  <si>
    <t>9601 W MONTGOMERY RD 241</t>
  </si>
  <si>
    <t>LAURENCE EARL STEWART</t>
  </si>
  <si>
    <t xml:space="preserve">925 NORTHWOOD DRIVE </t>
  </si>
  <si>
    <t>AMIE ENOCH</t>
  </si>
  <si>
    <t xml:space="preserve">7132 CROWN WEST </t>
  </si>
  <si>
    <t>JEFFERY BENOARD THOMAS</t>
  </si>
  <si>
    <t xml:space="preserve">2950 MEADOWGRASS LN </t>
  </si>
  <si>
    <t>TRISTEN ROSHARD WILLIAMS</t>
  </si>
  <si>
    <t xml:space="preserve">2505 BURKETT </t>
  </si>
  <si>
    <t xml:space="preserve">507 SHAVER ST </t>
  </si>
  <si>
    <t>CESAR ESTUARDO RIVAS ALONSO</t>
  </si>
  <si>
    <t xml:space="preserve">22943 PRECIOUS PL </t>
  </si>
  <si>
    <t>MARINA NAVARRETE</t>
  </si>
  <si>
    <t xml:space="preserve">7014 LIVERY LANE </t>
  </si>
  <si>
    <t xml:space="preserve">306 CR 2801 </t>
  </si>
  <si>
    <t>SAMUEL DIAZ</t>
  </si>
  <si>
    <t xml:space="preserve">8271 STONE ST </t>
  </si>
  <si>
    <t>RICHARD STJOHN</t>
  </si>
  <si>
    <t xml:space="preserve">14511 TISHA LN </t>
  </si>
  <si>
    <t>JEREMY JERMAIN BRATCHER</t>
  </si>
  <si>
    <t>ANTHONY CASTANEDA</t>
  </si>
  <si>
    <t xml:space="preserve">22702 CARTER GATE DR </t>
  </si>
  <si>
    <t>BLANCA ESTELA CARDOZA</t>
  </si>
  <si>
    <t xml:space="preserve">350 QUEENSTOWN RD </t>
  </si>
  <si>
    <t>VINCENT LOERA</t>
  </si>
  <si>
    <t xml:space="preserve">17611 FAVOR BEND </t>
  </si>
  <si>
    <t>ALBERT WAYNE VELA</t>
  </si>
  <si>
    <t xml:space="preserve">12306 GREEN RIVER </t>
  </si>
  <si>
    <t>JEREAL OBRIEN TELSEE</t>
  </si>
  <si>
    <t xml:space="preserve">5402 GREYLOG </t>
  </si>
  <si>
    <t>GENA CAROL RODEN</t>
  </si>
  <si>
    <t xml:space="preserve">525 WILSON RD </t>
  </si>
  <si>
    <t>JOSHUA MANUEL TAGLE</t>
  </si>
  <si>
    <t xml:space="preserve">5501 STARLING ST </t>
  </si>
  <si>
    <t>JUSTIN ANDREW GRAY</t>
  </si>
  <si>
    <t xml:space="preserve">8165 RICHMOND AVE </t>
  </si>
  <si>
    <t>MARIO ALBERTO GONZALEZ</t>
  </si>
  <si>
    <t xml:space="preserve">1023 TULIPTREE LN </t>
  </si>
  <si>
    <t>BRANDON DEON RUFFIN</t>
  </si>
  <si>
    <t xml:space="preserve">7302 BRETSHIRE DR </t>
  </si>
  <si>
    <t>WILLIAM RAMIREZ</t>
  </si>
  <si>
    <t xml:space="preserve">201 N 13TH AVE 702 </t>
  </si>
  <si>
    <t>BRENDA TILLMAN</t>
  </si>
  <si>
    <t xml:space="preserve">5313 WILMINGTON ST </t>
  </si>
  <si>
    <t>TERRENCE DESHAUN STARKS</t>
  </si>
  <si>
    <t xml:space="preserve">23307 ORIOLE SKY WAY </t>
  </si>
  <si>
    <t>GERONIMO III YBARRA</t>
  </si>
  <si>
    <t xml:space="preserve">527 EL DORADO </t>
  </si>
  <si>
    <t>RICKEY . MOSLEY</t>
  </si>
  <si>
    <t xml:space="preserve">2222 LOCKWOOD DR </t>
  </si>
  <si>
    <t>JAFAR CHOUKAIR</t>
  </si>
  <si>
    <t xml:space="preserve">17107 OSPREY LANDING </t>
  </si>
  <si>
    <t xml:space="preserve">1216 DEWALT ST </t>
  </si>
  <si>
    <t>VIRGINIA JACKSON</t>
  </si>
  <si>
    <t xml:space="preserve">5025 OLD VISTA RD </t>
  </si>
  <si>
    <t>DEMONICA CASSOND WHITTINGTON</t>
  </si>
  <si>
    <t xml:space="preserve">6473 DAWNRIDGE DRIVE </t>
  </si>
  <si>
    <t>URIEL ARROYO</t>
  </si>
  <si>
    <t xml:space="preserve">1714 MARY ST </t>
  </si>
  <si>
    <t>MICHELLE DENISE WILLIAMS</t>
  </si>
  <si>
    <t xml:space="preserve">614 FRANKIE ST </t>
  </si>
  <si>
    <t>JOHN ERIC RANDLE</t>
  </si>
  <si>
    <t>6 N SAM HOUSTON P KWY E</t>
  </si>
  <si>
    <t>THURL W. FLOWERS</t>
  </si>
  <si>
    <t xml:space="preserve">11245 WEST RD </t>
  </si>
  <si>
    <t>ASHLEY NICOLE KIDD</t>
  </si>
  <si>
    <t xml:space="preserve">5605 CHIMNEY ROCK RD </t>
  </si>
  <si>
    <t>JOSEPH RAHSAAN COOK</t>
  </si>
  <si>
    <t xml:space="preserve">820 N BIBB AVE </t>
  </si>
  <si>
    <t>JERMAINE BERNARD MIKE</t>
  </si>
  <si>
    <t>10950 TANNER PARK CT APT 4001</t>
  </si>
  <si>
    <t>WILLIAM SHEPHERD</t>
  </si>
  <si>
    <t>RAYMOND GARCIA</t>
  </si>
  <si>
    <t xml:space="preserve">14512 TEXARKANA </t>
  </si>
  <si>
    <t>ERIC FLORES</t>
  </si>
  <si>
    <t xml:space="preserve">9443 RIPPLING FIELDS </t>
  </si>
  <si>
    <t>CARMELO CASTRO</t>
  </si>
  <si>
    <t xml:space="preserve">12654 ASHFORD RIVER </t>
  </si>
  <si>
    <t xml:space="preserve">10600 HAZEN ST 208 </t>
  </si>
  <si>
    <t>JERMAINE GURRIOD BOUTTE</t>
  </si>
  <si>
    <t xml:space="preserve">5950 ANTIONE </t>
  </si>
  <si>
    <t>DARRENCE MARTIN</t>
  </si>
  <si>
    <t xml:space="preserve">11900 OAKMOOR PKWY </t>
  </si>
  <si>
    <t>CHRISTINE PRYOR GREEN</t>
  </si>
  <si>
    <t xml:space="preserve">12101 FONDREN RD </t>
  </si>
  <si>
    <t>ALTON EUGENE SCHULTZE</t>
  </si>
  <si>
    <t xml:space="preserve">14504 N HUMBLE LAKE </t>
  </si>
  <si>
    <t>CHRISTOPHER RAY RODRIGUEZ</t>
  </si>
  <si>
    <t xml:space="preserve">9797 MEADOWGLEN LN. </t>
  </si>
  <si>
    <t>ROSANA SANCHEZ</t>
  </si>
  <si>
    <t xml:space="preserve">4801 ALLENDALE RD </t>
  </si>
  <si>
    <t>SOHAIL LATIF NAJIB</t>
  </si>
  <si>
    <t xml:space="preserve">11455 BISSONET </t>
  </si>
  <si>
    <t>SARAHI GARZA</t>
  </si>
  <si>
    <t xml:space="preserve">555 NORMANDY ST </t>
  </si>
  <si>
    <t>GERALRONDA VENTURA CONKRITE</t>
  </si>
  <si>
    <t xml:space="preserve">15439 CAMPDEN HILL </t>
  </si>
  <si>
    <t>CORDARO TERRELL THOMPSON</t>
  </si>
  <si>
    <t xml:space="preserve">2700 WARD RD </t>
  </si>
  <si>
    <t>CLARENCE LEE</t>
  </si>
  <si>
    <t xml:space="preserve">1919 S KIRKWOOD RD </t>
  </si>
  <si>
    <t>TRARELL DAMARUS ROBINSON</t>
  </si>
  <si>
    <t xml:space="preserve">14330 TORREY VISTA DR </t>
  </si>
  <si>
    <t>KEVIN BERRY</t>
  </si>
  <si>
    <t>12807 EDGEWOOD PARK D R</t>
  </si>
  <si>
    <t>ANTHONY MEDELLIN</t>
  </si>
  <si>
    <t xml:space="preserve">304 W MARVICK </t>
  </si>
  <si>
    <t>JAMIE URIOSTEGUI</t>
  </si>
  <si>
    <t xml:space="preserve">4719 RAVEN CIR E </t>
  </si>
  <si>
    <t>KIARYE BASS</t>
  </si>
  <si>
    <t xml:space="preserve">17111 HAFER RD </t>
  </si>
  <si>
    <t>PONCE WOODS</t>
  </si>
  <si>
    <t xml:space="preserve">4423 QUAIL GATE </t>
  </si>
  <si>
    <t>LUCIA SANDY PLATA</t>
  </si>
  <si>
    <t>5915 FLINTLOCK RD AP T 211</t>
  </si>
  <si>
    <t>JORGE LUIS ELIZONDO</t>
  </si>
  <si>
    <t xml:space="preserve">4707 SIEGEL ST </t>
  </si>
  <si>
    <t>JOHNATHAN ROBINSON</t>
  </si>
  <si>
    <t xml:space="preserve">8326 COLONIAL LN </t>
  </si>
  <si>
    <t>ANTHONY JOSEPH SCHUTTE</t>
  </si>
  <si>
    <t xml:space="preserve">2319 DAFFODIL ST </t>
  </si>
  <si>
    <t>MARGARET DENISE GONZALEZ</t>
  </si>
  <si>
    <t xml:space="preserve">9507 PINELAND RD </t>
  </si>
  <si>
    <t>IESHIA LYNNETTE LUCKETT</t>
  </si>
  <si>
    <t>5500 EL CAMINO DEL R EY ST</t>
  </si>
  <si>
    <t>RONNIE WRIGHT</t>
  </si>
  <si>
    <t xml:space="preserve">2350 ATASCOCITA RD </t>
  </si>
  <si>
    <t>CARLA PRISCILLA CRUZ</t>
  </si>
  <si>
    <t xml:space="preserve">7825 CORPORATE DR </t>
  </si>
  <si>
    <t>MARK ANDREWS</t>
  </si>
  <si>
    <t xml:space="preserve">1525 VERMONT </t>
  </si>
  <si>
    <t>MORRIS LYNN STONE</t>
  </si>
  <si>
    <t xml:space="preserve">6405 GOFORTH </t>
  </si>
  <si>
    <t>JOSE DELCARMEN PALMA</t>
  </si>
  <si>
    <t xml:space="preserve">11506 MILE DR </t>
  </si>
  <si>
    <t>CRANSTON SPECKS</t>
  </si>
  <si>
    <t>2930 NAPOLEONIC COUR T</t>
  </si>
  <si>
    <t>WILLIAM R. TAYLOR</t>
  </si>
  <si>
    <t xml:space="preserve">23010 S WARMSTONE WAY </t>
  </si>
  <si>
    <t>JESUS ALEX ALVIAR</t>
  </si>
  <si>
    <t>29823 N LEGENDS CHASE CIR</t>
  </si>
  <si>
    <t>GILBERTO SAMUEL PARADA</t>
  </si>
  <si>
    <t xml:space="preserve">8404 SOUTH COURSE DR </t>
  </si>
  <si>
    <t>KAMBIZ PIRZADEH</t>
  </si>
  <si>
    <t>10855 MEADOWGLEN LN A PT 915</t>
  </si>
  <si>
    <t>JAMOIL TODD BLAND</t>
  </si>
  <si>
    <t xml:space="preserve">10630 BEECHNUT ST </t>
  </si>
  <si>
    <t>TERECA RENAE PARKER</t>
  </si>
  <si>
    <t>14621 EASTEX FWY  # 2 10 OR 211</t>
  </si>
  <si>
    <t>ARMAND LETIF JONES</t>
  </si>
  <si>
    <t xml:space="preserve">6602 WESTON ST </t>
  </si>
  <si>
    <t>BRANDON. CLAY</t>
  </si>
  <si>
    <t xml:space="preserve">6007 KENILWOOD DR </t>
  </si>
  <si>
    <t>SELVIN OMAR SILVA</t>
  </si>
  <si>
    <t xml:space="preserve">7542 GREENDOWNS ST </t>
  </si>
  <si>
    <t>THEODRE MCDUELL</t>
  </si>
  <si>
    <t xml:space="preserve">3002 ENNIS STREET </t>
  </si>
  <si>
    <t>JOSHUA DUNTA JOHNSON</t>
  </si>
  <si>
    <t xml:space="preserve">5639 ELM SPRINGS DR </t>
  </si>
  <si>
    <t>ADRIANE DIANE THORNBURG</t>
  </si>
  <si>
    <t xml:space="preserve">100 N WALKER RD </t>
  </si>
  <si>
    <t>ROCKY JOE RENFRO</t>
  </si>
  <si>
    <t xml:space="preserve">3916 QUAIL MEADOW DR </t>
  </si>
  <si>
    <t>BRADLEY WAYNE BEENE</t>
  </si>
  <si>
    <t xml:space="preserve">12509 LEWIS RD </t>
  </si>
  <si>
    <t>BABAJIDE IBRAHIM ARE</t>
  </si>
  <si>
    <t>3806 PARKRIDGE GLEN DR</t>
  </si>
  <si>
    <t>COREY LANDOR</t>
  </si>
  <si>
    <t xml:space="preserve">3516 ADAIR ST </t>
  </si>
  <si>
    <t>LUIS CORNEJO</t>
  </si>
  <si>
    <t xml:space="preserve">6143 BEECHNUT ST </t>
  </si>
  <si>
    <t>MATTHEW GUADALUPE KEENE</t>
  </si>
  <si>
    <t xml:space="preserve">15335 PARK ROW DR </t>
  </si>
  <si>
    <t>MELODY HOLLINS</t>
  </si>
  <si>
    <t xml:space="preserve">3008 SOUTHMORE BLVD </t>
  </si>
  <si>
    <t>JASON ALLEN COWART</t>
  </si>
  <si>
    <t>519 BROAD RIPPLE DR IVE</t>
  </si>
  <si>
    <t>CHRISTOPHER JOHN THOMAS</t>
  </si>
  <si>
    <t xml:space="preserve">500 AIRTEX </t>
  </si>
  <si>
    <t>ALLEN L RUFFIN</t>
  </si>
  <si>
    <t xml:space="preserve">6921 BACHER ST </t>
  </si>
  <si>
    <t>MARVIN FARINGTON</t>
  </si>
  <si>
    <t xml:space="preserve">4555 FM 521 </t>
  </si>
  <si>
    <t>BRETT CABELLER</t>
  </si>
  <si>
    <t>865 S COUNTRY CLUB DR</t>
  </si>
  <si>
    <t>JOSEPH CHISSELL</t>
  </si>
  <si>
    <t xml:space="preserve">309 UVALDE RD </t>
  </si>
  <si>
    <t>JAMES LEE MERCHANT</t>
  </si>
  <si>
    <t xml:space="preserve">15902 HWY 3 </t>
  </si>
  <si>
    <t>DIAMOND TURNER</t>
  </si>
  <si>
    <t xml:space="preserve">1811 CITY HALL DR </t>
  </si>
  <si>
    <t>MARAH SALINAS</t>
  </si>
  <si>
    <t xml:space="preserve">11011 PINE CONE LN </t>
  </si>
  <si>
    <t>LATROY RYCE</t>
  </si>
  <si>
    <t xml:space="preserve">2605 KINGSDALE DR </t>
  </si>
  <si>
    <t>ROSA VENTURA MARQUEZ</t>
  </si>
  <si>
    <t xml:space="preserve">8700 GUSTINE LN </t>
  </si>
  <si>
    <t>AMBER SHREE JEROME</t>
  </si>
  <si>
    <t xml:space="preserve">13703 PAXTON DR </t>
  </si>
  <si>
    <t>STANLEY CHARLES MADERE</t>
  </si>
  <si>
    <t xml:space="preserve">2434 LIDSTONE ST </t>
  </si>
  <si>
    <t>CHAD MCCAIN</t>
  </si>
  <si>
    <t xml:space="preserve">7201 SPENCER HWY </t>
  </si>
  <si>
    <t>EDGAR VARGAS</t>
  </si>
  <si>
    <t xml:space="preserve">13375 EMPORIA ST </t>
  </si>
  <si>
    <t>JOHN RODRIGUEZ</t>
  </si>
  <si>
    <t xml:space="preserve">15614 MESA RD </t>
  </si>
  <si>
    <t>WILLIAM HENRY COOPER</t>
  </si>
  <si>
    <t xml:space="preserve">8255 SUNBURY LN </t>
  </si>
  <si>
    <t>COOPER BURNLEY SIMS</t>
  </si>
  <si>
    <t xml:space="preserve">13126 LAKE MIST DR. </t>
  </si>
  <si>
    <t>FABIAN RODRIGUEZ</t>
  </si>
  <si>
    <t xml:space="preserve">708 MAJESTIC ST </t>
  </si>
  <si>
    <t>WILLIE EARL MURRAY</t>
  </si>
  <si>
    <t xml:space="preserve">6217 NUBEN ST </t>
  </si>
  <si>
    <t>FLORIN MADUTA</t>
  </si>
  <si>
    <t xml:space="preserve">5509 SW 9TH </t>
  </si>
  <si>
    <t>BRIAN ROGEL</t>
  </si>
  <si>
    <t xml:space="preserve">5235 POMANDER RD </t>
  </si>
  <si>
    <t>AARON JA'WANN WILLIAMS</t>
  </si>
  <si>
    <t xml:space="preserve">1212 GRAND PLAZA DR </t>
  </si>
  <si>
    <t>JOSE CANDELARIO VARONA-HERNANDEZ</t>
  </si>
  <si>
    <t xml:space="preserve">11135 WILLWOOD DR </t>
  </si>
  <si>
    <t>ANDRE COLLINS MCINTYRE</t>
  </si>
  <si>
    <t xml:space="preserve">7809 W BELLFORT </t>
  </si>
  <si>
    <t>VINCENT PRICE</t>
  </si>
  <si>
    <t xml:space="preserve">2513 HARRIS AVE </t>
  </si>
  <si>
    <t>WESTLY NORMAN CROSBY</t>
  </si>
  <si>
    <t>6555 HARBOR TOWN DR 509</t>
  </si>
  <si>
    <t>TRAVIS PRINCE</t>
  </si>
  <si>
    <t xml:space="preserve">7878 SPENCER HWY </t>
  </si>
  <si>
    <t>GREGORY LEONARD MASON</t>
  </si>
  <si>
    <t xml:space="preserve">12710 LAUREL VALE WAY </t>
  </si>
  <si>
    <t>KRISTIN NICHOLE CACY</t>
  </si>
  <si>
    <t>513 OLD WEST HWY 15 4</t>
  </si>
  <si>
    <t>MINDY DIANE RITCHEY</t>
  </si>
  <si>
    <t xml:space="preserve">2893 STATE HIGHWAY 6 </t>
  </si>
  <si>
    <t>DARLENE MARIE SIMONEAU</t>
  </si>
  <si>
    <t xml:space="preserve">23215 NAPLES DR </t>
  </si>
  <si>
    <t>ANDRE THOMAS</t>
  </si>
  <si>
    <t xml:space="preserve">3822 TINFORD ST </t>
  </si>
  <si>
    <t>JODI RENEE JAMES</t>
  </si>
  <si>
    <t xml:space="preserve">5939 BELLFORT ST </t>
  </si>
  <si>
    <t>ACENETH AREVALO</t>
  </si>
  <si>
    <t xml:space="preserve">9914 AVES ST </t>
  </si>
  <si>
    <t>MARQUIS LAMAR HARRELL</t>
  </si>
  <si>
    <t xml:space="preserve">24235 STARGAZER PT </t>
  </si>
  <si>
    <t>ALVIN J. SCOTT</t>
  </si>
  <si>
    <t xml:space="preserve">1301 SIMON BOLIVAR </t>
  </si>
  <si>
    <t>MICHELLE MINCKS</t>
  </si>
  <si>
    <t xml:space="preserve">401 PARK STREET </t>
  </si>
  <si>
    <t>DAMIEN MATTHEWS</t>
  </si>
  <si>
    <t xml:space="preserve">711 BLUE ROCK CT </t>
  </si>
  <si>
    <t>JOSE MANUEL CORTES</t>
  </si>
  <si>
    <t xml:space="preserve">6522 WESTOVER STREET </t>
  </si>
  <si>
    <t>JOSHUA CED JONES</t>
  </si>
  <si>
    <t>9027 MARTIN LUTHER K ING BLVD</t>
  </si>
  <si>
    <t>STEPHEN JOINER DAVIS</t>
  </si>
  <si>
    <t xml:space="preserve">5100 FM 1960 W </t>
  </si>
  <si>
    <t>JOSE MEDRANO-BELLO</t>
  </si>
  <si>
    <t xml:space="preserve">11410 GREEN GLADE DR </t>
  </si>
  <si>
    <t>ROBERT PATERSON</t>
  </si>
  <si>
    <t>1603 ATUMN SPRINGS D R</t>
  </si>
  <si>
    <t>LORENA NUNEZ WILSON</t>
  </si>
  <si>
    <t xml:space="preserve">16700 KUYKENDAHL RD </t>
  </si>
  <si>
    <t>DAVID SOLIS</t>
  </si>
  <si>
    <t xml:space="preserve">926 BELSHEAR CT </t>
  </si>
  <si>
    <t>SAMMY KIMBLE</t>
  </si>
  <si>
    <t xml:space="preserve">1505 GALE ST </t>
  </si>
  <si>
    <t>ROGER LEE HALL</t>
  </si>
  <si>
    <t xml:space="preserve">3510 CRANE ST </t>
  </si>
  <si>
    <t>HECTOR JAVIER PENA</t>
  </si>
  <si>
    <t xml:space="preserve">7922 PECAN VILLAS </t>
  </si>
  <si>
    <t>JESUS JARA</t>
  </si>
  <si>
    <t xml:space="preserve">248 CRESCENT DR </t>
  </si>
  <si>
    <t>JUANA ALVAREZ SINICIO</t>
  </si>
  <si>
    <t xml:space="preserve">146 LOMITAS DR </t>
  </si>
  <si>
    <t>BLAINE HARRISON KELLY</t>
  </si>
  <si>
    <t xml:space="preserve">8606 KEMPRIDGE </t>
  </si>
  <si>
    <t>TODD BREON CHAVIS</t>
  </si>
  <si>
    <t xml:space="preserve">5350 W GULF BANK </t>
  </si>
  <si>
    <t>BOBBIE JOSEPH JR CEASAR</t>
  </si>
  <si>
    <t xml:space="preserve">10075 WESTPARK DR </t>
  </si>
  <si>
    <t>JARRETT NUNN</t>
  </si>
  <si>
    <t>MARGARET M. TORRES</t>
  </si>
  <si>
    <t xml:space="preserve">23327 GOOD DALE LN </t>
  </si>
  <si>
    <t>MARTIN JOSE JUAREZ</t>
  </si>
  <si>
    <t xml:space="preserve">8801 SOUTH BRAESWOOD </t>
  </si>
  <si>
    <t>NYA KUMARI MITCHELL</t>
  </si>
  <si>
    <t xml:space="preserve">4415 SHAVER S </t>
  </si>
  <si>
    <t>JOSHUA CARDELL WILLIAMS</t>
  </si>
  <si>
    <t xml:space="preserve">13135 NATURE TRAIL </t>
  </si>
  <si>
    <t>ANTHONY STEWART</t>
  </si>
  <si>
    <t xml:space="preserve">17417 RED OOOAK DR </t>
  </si>
  <si>
    <t>HUNTER WADE KUBALA</t>
  </si>
  <si>
    <t>5550 N BRAESWOOD BLV D</t>
  </si>
  <si>
    <t>ROBERTO A. ORTIZ</t>
  </si>
  <si>
    <t xml:space="preserve">7922 FALL GLEN DR </t>
  </si>
  <si>
    <t>BRAVLIO FERRYFINO</t>
  </si>
  <si>
    <t xml:space="preserve">1207 BLALOCK DRIVE </t>
  </si>
  <si>
    <t>ELIZABETH JIMENEZ JUAREZ</t>
  </si>
  <si>
    <t xml:space="preserve">3913 LYNNFIELD </t>
  </si>
  <si>
    <t>XAVIER LAMARR JONES</t>
  </si>
  <si>
    <t>5145 SILVER CREEK DR IVE</t>
  </si>
  <si>
    <t>RONALD JEROME TEZENO</t>
  </si>
  <si>
    <t xml:space="preserve">2201 AVENUE A APT 4 </t>
  </si>
  <si>
    <t>THOMAS KERRY DAVIS</t>
  </si>
  <si>
    <t xml:space="preserve">2800 HIRSCHFIELD RD </t>
  </si>
  <si>
    <t>PATRICK NEIL VINSON</t>
  </si>
  <si>
    <t xml:space="preserve">2350 ATASCOCITA ROAD </t>
  </si>
  <si>
    <t>STEVEN ALBERT WILKERSON</t>
  </si>
  <si>
    <t>15603 PINE MOUNTAIN D R</t>
  </si>
  <si>
    <t>ARTURO GUERRA ROJAS</t>
  </si>
  <si>
    <t xml:space="preserve">2528 WILLIAM TELL ST </t>
  </si>
  <si>
    <t>LANCE MINNEWEATHER</t>
  </si>
  <si>
    <t>18219 THICKET GROVE R D</t>
  </si>
  <si>
    <t>TIFFANY NICO ROMO</t>
  </si>
  <si>
    <t xml:space="preserve">6631 AVENUE P </t>
  </si>
  <si>
    <t>SIERRA ARREDONDO</t>
  </si>
  <si>
    <t xml:space="preserve">2001 JENKINS </t>
  </si>
  <si>
    <t>DENNIS RYAN PIERCE</t>
  </si>
  <si>
    <t>13945 OLD CHOCOLATE B AYOU RD</t>
  </si>
  <si>
    <t>KIMBERLY BAILEY</t>
  </si>
  <si>
    <t xml:space="preserve">8635 VALLEY WEST CT </t>
  </si>
  <si>
    <t>AARON CANTU</t>
  </si>
  <si>
    <t xml:space="preserve">2702 FOREST GARDEN </t>
  </si>
  <si>
    <t>ALEJANDRO TORRES</t>
  </si>
  <si>
    <t xml:space="preserve">6735 LEEDALE ST </t>
  </si>
  <si>
    <t>ERIC SCOTT PRICE</t>
  </si>
  <si>
    <t xml:space="preserve">633 RUSHCREEK </t>
  </si>
  <si>
    <t>REGINALD GREEN</t>
  </si>
  <si>
    <t xml:space="preserve">2347 LOYANNE DR </t>
  </si>
  <si>
    <t>LUIS FERNANDO MEDRANO</t>
  </si>
  <si>
    <t xml:space="preserve">1404 E 36TH ST </t>
  </si>
  <si>
    <t>ASHLEY SMITH</t>
  </si>
  <si>
    <t xml:space="preserve">20023 S. NAVAHO TRL </t>
  </si>
  <si>
    <t>MARIA GUADALUPE RODRIGUEZ</t>
  </si>
  <si>
    <t xml:space="preserve">5909 GLENMONT DRIVE </t>
  </si>
  <si>
    <t>AMBER JEAN STEPHENS</t>
  </si>
  <si>
    <t xml:space="preserve">16710 BRITFORD ST </t>
  </si>
  <si>
    <t>DAVID LOTHRIDGE</t>
  </si>
  <si>
    <t xml:space="preserve">2555 N REPSDORPH DR </t>
  </si>
  <si>
    <t>PHILIP THOMAS ASHE</t>
  </si>
  <si>
    <t xml:space="preserve">12353 BEAMER RD </t>
  </si>
  <si>
    <t>YOHAN ACOSTA-GONZALEZ</t>
  </si>
  <si>
    <t>910 CYPRESS STATION DR</t>
  </si>
  <si>
    <t>DAWNSHEA MILES</t>
  </si>
  <si>
    <t xml:space="preserve">12411 WEST VILLIAGE </t>
  </si>
  <si>
    <t>ANDREW DE WILLIS</t>
  </si>
  <si>
    <t xml:space="preserve">7509 S FINCH CIR </t>
  </si>
  <si>
    <t>PATRICK CHEVELLE LOGAN</t>
  </si>
  <si>
    <t xml:space="preserve">831 WILSON RD </t>
  </si>
  <si>
    <t>NARCISCO MENDOZA</t>
  </si>
  <si>
    <t xml:space="preserve">5224 KELSO ST </t>
  </si>
  <si>
    <t>JAMARCUS TREYVION DRUMGOLE</t>
  </si>
  <si>
    <t xml:space="preserve">2512 N 6TH ST </t>
  </si>
  <si>
    <t>CAROLYN DASHANIQUE BAKER</t>
  </si>
  <si>
    <t>2635 VILLAGE SQUARE DR</t>
  </si>
  <si>
    <t>REGGIE ALLEN NUNN</t>
  </si>
  <si>
    <t>905 CYPRESS STATION DRIVE APT</t>
  </si>
  <si>
    <t>ALAN ANTONIO ARCE</t>
  </si>
  <si>
    <t xml:space="preserve">9125 N HWY 6 </t>
  </si>
  <si>
    <t>CHRISTOPHER CHARLES HUNT</t>
  </si>
  <si>
    <t xml:space="preserve">10770 BARLEY LANE </t>
  </si>
  <si>
    <t>TROY FABIAN HEFLIN</t>
  </si>
  <si>
    <t xml:space="preserve">3045 WALNUT BEND LN </t>
  </si>
  <si>
    <t>STEPHANIE ESCAMILLA</t>
  </si>
  <si>
    <t xml:space="preserve">1910 COULCREST DR </t>
  </si>
  <si>
    <t>KIRKLAND WYCOFF</t>
  </si>
  <si>
    <t>10406 HUNTINGTON CRES T</t>
  </si>
  <si>
    <t>JAMILLAH LATEEFA LINDLEY</t>
  </si>
  <si>
    <t xml:space="preserve">17135 AMAROSE DR </t>
  </si>
  <si>
    <t>CARTEZ MOODY</t>
  </si>
  <si>
    <t xml:space="preserve">8301 WILLOW PLACE DR </t>
  </si>
  <si>
    <t>ANDREW TREVINO</t>
  </si>
  <si>
    <t>15235 HENDERON POINT DRIVE</t>
  </si>
  <si>
    <t>PATRICK RYAN ANDRESS</t>
  </si>
  <si>
    <t>532 COUNTY ROAD 234 2</t>
  </si>
  <si>
    <t xml:space="preserve">7011 CHASEWOOD DR </t>
  </si>
  <si>
    <t>WALTER CRAIG JACKSON</t>
  </si>
  <si>
    <t xml:space="preserve">8602 WILLIAMSDELL ST </t>
  </si>
  <si>
    <t>ARTHUR LEE CROCKETT</t>
  </si>
  <si>
    <t>7313 NORTHLINE DR 31 7</t>
  </si>
  <si>
    <t>KIMBERLY SALMERON</t>
  </si>
  <si>
    <t>22306 BRIDGESTONE CAN YON DR</t>
  </si>
  <si>
    <t>PELTON BARRETT</t>
  </si>
  <si>
    <t xml:space="preserve">4601 VILLAGE LN </t>
  </si>
  <si>
    <t>DANIYELL SIMMONS</t>
  </si>
  <si>
    <t xml:space="preserve">4317 AVE K </t>
  </si>
  <si>
    <t>ADRIENNE KLEIN</t>
  </si>
  <si>
    <t xml:space="preserve">1028 OAK HOLLOW DR. </t>
  </si>
  <si>
    <t>BRANDON R WALTON</t>
  </si>
  <si>
    <t xml:space="preserve">7812 TIERWESTER ST </t>
  </si>
  <si>
    <t>MARION SWANSON</t>
  </si>
  <si>
    <t xml:space="preserve">22803 TOMBALL PKWY </t>
  </si>
  <si>
    <t>SYLVIA STEWART</t>
  </si>
  <si>
    <t>990 CYPRESS STATION DR</t>
  </si>
  <si>
    <t>MICHAEL VILTZ MITCHELL</t>
  </si>
  <si>
    <t>2726 PLANTATION WOOD LN</t>
  </si>
  <si>
    <t>CORAZONE AQUINO WARE</t>
  </si>
  <si>
    <t xml:space="preserve">7727 ALPERTON DR </t>
  </si>
  <si>
    <t>TREY CLENTON CLARK</t>
  </si>
  <si>
    <t xml:space="preserve">2010 WOODY BEND </t>
  </si>
  <si>
    <t>ALAN TODD GREGORY</t>
  </si>
  <si>
    <t>FREDERICK NELSON</t>
  </si>
  <si>
    <t xml:space="preserve">11450 SUBURBAN </t>
  </si>
  <si>
    <t>CARL EDWARD MURCHISON</t>
  </si>
  <si>
    <t xml:space="preserve">13803 ROSEMERE ST </t>
  </si>
  <si>
    <t>HAXEL PONSE</t>
  </si>
  <si>
    <t>1200 NORTHWOOD DR #5 08</t>
  </si>
  <si>
    <t>JUAN DEDIOS PORTILLO</t>
  </si>
  <si>
    <t xml:space="preserve">1523 SKINNER RD </t>
  </si>
  <si>
    <t>JOSE CARLOS JIMENEZ</t>
  </si>
  <si>
    <t xml:space="preserve">13935 SMITH RD </t>
  </si>
  <si>
    <t>BLISSE FRAIZER</t>
  </si>
  <si>
    <t xml:space="preserve">22515 TWO LAKES DR </t>
  </si>
  <si>
    <t>PRISCILLA ANN BRANDY</t>
  </si>
  <si>
    <t xml:space="preserve">7402 SUNDOWN DR </t>
  </si>
  <si>
    <t>ANGEL ADRIAN CASTILLO</t>
  </si>
  <si>
    <t xml:space="preserve">2002 ELYSIAN ST </t>
  </si>
  <si>
    <t>JUAN MUNIZ</t>
  </si>
  <si>
    <t xml:space="preserve">4604 CHAPMAN </t>
  </si>
  <si>
    <t>RYAN DUANE FREEMAN</t>
  </si>
  <si>
    <t xml:space="preserve">2715 KINGFISHER DR </t>
  </si>
  <si>
    <t>MICHAEL HARRIS</t>
  </si>
  <si>
    <t xml:space="preserve">11701 BOB WHITE DR </t>
  </si>
  <si>
    <t>EFRAIN AGUILAR</t>
  </si>
  <si>
    <t xml:space="preserve">13333 WEST RD </t>
  </si>
  <si>
    <t>ERNESTO L REYES</t>
  </si>
  <si>
    <t xml:space="preserve">5901 WEBER RD 2801 </t>
  </si>
  <si>
    <t>PHILLIP TYRELL MARTIN</t>
  </si>
  <si>
    <t xml:space="preserve">9806 GUEST </t>
  </si>
  <si>
    <t>ANDREA NIKIA HARRIS</t>
  </si>
  <si>
    <t xml:space="preserve">2210 GAGNE ST </t>
  </si>
  <si>
    <t>ANTHONY JAMAL SCOTT</t>
  </si>
  <si>
    <t xml:space="preserve">4901 W 43RD STREET </t>
  </si>
  <si>
    <t>CLIFFORD WILL HILL</t>
  </si>
  <si>
    <t xml:space="preserve">187 CASA GRANDE </t>
  </si>
  <si>
    <t>JUSTIN ERAIL MILLER</t>
  </si>
  <si>
    <t xml:space="preserve">2635 ALMEDA PLAZA DR </t>
  </si>
  <si>
    <t>RAFAEL ANTONIO VIANA</t>
  </si>
  <si>
    <t xml:space="preserve">7700 CORPORATE DR </t>
  </si>
  <si>
    <t>LEON JAMES RICHARD</t>
  </si>
  <si>
    <t>230 W CASTLE HARBOU R</t>
  </si>
  <si>
    <t>JEREMY W. FLANAGAN</t>
  </si>
  <si>
    <t xml:space="preserve">8915 APPOMATTOX </t>
  </si>
  <si>
    <t>OMAR CAMARILLO</t>
  </si>
  <si>
    <t xml:space="preserve">1001 W HART AVE </t>
  </si>
  <si>
    <t>JUSTIN KYLE HOOD</t>
  </si>
  <si>
    <t xml:space="preserve">9814 FM 1960 BYP </t>
  </si>
  <si>
    <t>DREYVON A ANDERSON-SANDERS</t>
  </si>
  <si>
    <t xml:space="preserve">2907 ALMEDA PLAZA DR </t>
  </si>
  <si>
    <t>TAKEYAH JANAY WILLIAMS</t>
  </si>
  <si>
    <t xml:space="preserve">8201 RICHMOND AVE </t>
  </si>
  <si>
    <t>PATRICK DWAYNE RICHARDS</t>
  </si>
  <si>
    <t xml:space="preserve">1515 DAMAREE LN </t>
  </si>
  <si>
    <t>GIDEON ISAACKS</t>
  </si>
  <si>
    <t xml:space="preserve">1710 THELMA </t>
  </si>
  <si>
    <t>GIL MOISES ESCOTO</t>
  </si>
  <si>
    <t xml:space="preserve">718 MARTIN ST </t>
  </si>
  <si>
    <t>COURTNEY DONTA BROOKS</t>
  </si>
  <si>
    <t xml:space="preserve">1705 JENKINS </t>
  </si>
  <si>
    <t>JAMAL LEONARD</t>
  </si>
  <si>
    <t xml:space="preserve">18427 STARK POINT CT </t>
  </si>
  <si>
    <t>RICARDO E VALDEZ</t>
  </si>
  <si>
    <t>1926 LOUETTA PARK CI R</t>
  </si>
  <si>
    <t>VICTORIA REID</t>
  </si>
  <si>
    <t xml:space="preserve">23902 KUKENDAHL RD </t>
  </si>
  <si>
    <t>MAURICIO VASQUEZ</t>
  </si>
  <si>
    <t xml:space="preserve">5542 GROVETON </t>
  </si>
  <si>
    <t>JERROD DARQUEL JEFFERSON</t>
  </si>
  <si>
    <t xml:space="preserve">2000 TIDWELL RD </t>
  </si>
  <si>
    <t>KENDRICK ALEXANDER</t>
  </si>
  <si>
    <t xml:space="preserve">4611 CROKER RIDGE RD </t>
  </si>
  <si>
    <t>DONNEL JOSHAU BICKHAM</t>
  </si>
  <si>
    <t xml:space="preserve">12500 N FREEWAY </t>
  </si>
  <si>
    <t xml:space="preserve">7500 PINEMOUNT </t>
  </si>
  <si>
    <t>ALAN TORRES</t>
  </si>
  <si>
    <t xml:space="preserve">7700 BLALOCK </t>
  </si>
  <si>
    <t>JUAN BENAVIDE</t>
  </si>
  <si>
    <t>2338 BACK BAY BROOK TRAIL</t>
  </si>
  <si>
    <t>DENARIK LONTE GRAY</t>
  </si>
  <si>
    <t xml:space="preserve">6200 GREENS RD </t>
  </si>
  <si>
    <t>ROBERT LEE PALMER</t>
  </si>
  <si>
    <t xml:space="preserve">5959 PINEMONT DR </t>
  </si>
  <si>
    <t>DAYEISHA FINLEY</t>
  </si>
  <si>
    <t>211 DOMINION PARK D R</t>
  </si>
  <si>
    <t>MARION JOSEPH FORBES</t>
  </si>
  <si>
    <t xml:space="preserve">4403 HULL ST </t>
  </si>
  <si>
    <t>DEQUAVIA DENISE RODGERS</t>
  </si>
  <si>
    <t xml:space="preserve">13100 STONEFIELD DR </t>
  </si>
  <si>
    <t>STEVEN DILLE</t>
  </si>
  <si>
    <t>21322 SWEET GRASS LAN E</t>
  </si>
  <si>
    <t>JEREMY SANCHEZ MANUEL</t>
  </si>
  <si>
    <t xml:space="preserve">18310 MABLE POND LN </t>
  </si>
  <si>
    <t>CRYSTAL ANN ACEVEDO</t>
  </si>
  <si>
    <t xml:space="preserve">1102 FINCH ST </t>
  </si>
  <si>
    <t>RACHEL GONZALEZ GALINDO</t>
  </si>
  <si>
    <t xml:space="preserve">2514 LAWRENCE ST </t>
  </si>
  <si>
    <t>WILBERT JACKSON</t>
  </si>
  <si>
    <t xml:space="preserve">3422 RIPPLEBROOK DR </t>
  </si>
  <si>
    <t>ROBERT LEON KENNEDY</t>
  </si>
  <si>
    <t xml:space="preserve">8542 CHALETFORD DR </t>
  </si>
  <si>
    <t>DEWAYNE GADERSON</t>
  </si>
  <si>
    <t xml:space="preserve">7410 LINDENCREST </t>
  </si>
  <si>
    <t>BRANDON JOHN CUSTER</t>
  </si>
  <si>
    <t>200 DOMINION PARK D R</t>
  </si>
  <si>
    <t>CHRISTIAN J. TERRY</t>
  </si>
  <si>
    <t xml:space="preserve">1122 MEADOW ST </t>
  </si>
  <si>
    <t>DARRION RYSHON MALLARD</t>
  </si>
  <si>
    <t>24910 ALBERTI SONATA DR</t>
  </si>
  <si>
    <t>JEREMIAH DEMETRI HIMES</t>
  </si>
  <si>
    <t xml:space="preserve">7247 ST AUGUSTINE </t>
  </si>
  <si>
    <t>STEPHENSON ALEXANDER BAUTISTA</t>
  </si>
  <si>
    <t>8945 SOUTH GESSNER A PT 129</t>
  </si>
  <si>
    <t>TERRY THORNTON</t>
  </si>
  <si>
    <t>1822 BARKER CYPRESS DR</t>
  </si>
  <si>
    <t>PRECIOUS WASHINGTON</t>
  </si>
  <si>
    <t>810 DUNSEN GLEN DRI VE</t>
  </si>
  <si>
    <t>JOHN XAVIER CAMARENA</t>
  </si>
  <si>
    <t xml:space="preserve">510 ALVIN ST </t>
  </si>
  <si>
    <t>MARIO ALBERTO OLVERA</t>
  </si>
  <si>
    <t xml:space="preserve">1016 MICHIGAN 2 </t>
  </si>
  <si>
    <t>REGINALD TERRELL</t>
  </si>
  <si>
    <t xml:space="preserve">2806 LANDMARK DRIVE </t>
  </si>
  <si>
    <t>RYAN ANGELA DELANEY</t>
  </si>
  <si>
    <t xml:space="preserve">10603 S WILCREST DR </t>
  </si>
  <si>
    <t>JORDAN DEAN BOONE</t>
  </si>
  <si>
    <t xml:space="preserve">12626 GREEN RIVER DR </t>
  </si>
  <si>
    <t>ALEX DANIEL DELGADO</t>
  </si>
  <si>
    <t xml:space="preserve">11238 HARTWICK </t>
  </si>
  <si>
    <t>JUAN JOSE DIAZ</t>
  </si>
  <si>
    <t xml:space="preserve">6127 WINSTEAD LN </t>
  </si>
  <si>
    <t>ANTHONY MONTGOMERY</t>
  </si>
  <si>
    <t>JOSHUA RODRIGUEZ</t>
  </si>
  <si>
    <t xml:space="preserve">3201 RED BLUFF </t>
  </si>
  <si>
    <t>TRACY MICHELE FLEMING</t>
  </si>
  <si>
    <t xml:space="preserve">325 E 38TH STREET </t>
  </si>
  <si>
    <t>PATIENCE HAMMER</t>
  </si>
  <si>
    <t>9393 FM 1960 BYPASS RD W</t>
  </si>
  <si>
    <t>MICHAEL JOSEPH BRYANT</t>
  </si>
  <si>
    <t xml:space="preserve">12422 DERMOTT </t>
  </si>
  <si>
    <t>JAMIE MELVIN RICHARDSON</t>
  </si>
  <si>
    <t xml:space="preserve">18204 CHISHOLM </t>
  </si>
  <si>
    <t>JAYTHAN LAWRENCE GILDER</t>
  </si>
  <si>
    <t xml:space="preserve">6038 HAIGHT ST </t>
  </si>
  <si>
    <t>ROMEO ASPOP</t>
  </si>
  <si>
    <t xml:space="preserve">6005 S GESSNER RD </t>
  </si>
  <si>
    <t>DAVID GAYTAN</t>
  </si>
  <si>
    <t xml:space="preserve">6406 TEXARKANA </t>
  </si>
  <si>
    <t>ABDUL HASEEB MAHMOOD</t>
  </si>
  <si>
    <t xml:space="preserve">20914 SHELBY MEADOW </t>
  </si>
  <si>
    <t>MICHAEL GETACHEW HEYILEMARYAM</t>
  </si>
  <si>
    <t xml:space="preserve">5824 GULFTON ST </t>
  </si>
  <si>
    <t>JEREMY JACOB ABREGO</t>
  </si>
  <si>
    <t xml:space="preserve">626 SAIPAN PL </t>
  </si>
  <si>
    <t>JAMICIA LYNTAE ONEZINE</t>
  </si>
  <si>
    <t xml:space="preserve">945 REV BJ LEWIS DR </t>
  </si>
  <si>
    <t>RON WAYNE MCMAHON</t>
  </si>
  <si>
    <t xml:space="preserve">10674 OAKBROOK </t>
  </si>
  <si>
    <t>CYRUS CHRISTOPHER GOLSHAN</t>
  </si>
  <si>
    <t xml:space="preserve">15302 BARBAROSSA DR </t>
  </si>
  <si>
    <t>ORLANDO FERMA LOPEZ</t>
  </si>
  <si>
    <t xml:space="preserve">6111 GLENMONT DR </t>
  </si>
  <si>
    <t>BRITTANY YARBROUGH</t>
  </si>
  <si>
    <t xml:space="preserve">22117 DIANE DR </t>
  </si>
  <si>
    <t>JUAN CARLOS DELCID</t>
  </si>
  <si>
    <t xml:space="preserve">1327 BELLVILLE DR </t>
  </si>
  <si>
    <t>LIONEL III IRVIN</t>
  </si>
  <si>
    <t xml:space="preserve">910 CYPRESS STATION </t>
  </si>
  <si>
    <t>LOGAN CHARLES DANIEL</t>
  </si>
  <si>
    <t>MICKAYLA MONTGOMERY</t>
  </si>
  <si>
    <t xml:space="preserve">18100 WEST ROAD </t>
  </si>
  <si>
    <t>OLADIMEJI OLADAPO ODUSANWO</t>
  </si>
  <si>
    <t>19919 FAIRGRANGE PLAC E LN</t>
  </si>
  <si>
    <t>JAMIL RASHID MUHAMMAD</t>
  </si>
  <si>
    <t>11707 N MICHAEL CIRCL E</t>
  </si>
  <si>
    <t>JERRICK KENDRICK</t>
  </si>
  <si>
    <t xml:space="preserve">5800 HOLLISTER ST </t>
  </si>
  <si>
    <t>FIDEL ANTONIO DIAZ</t>
  </si>
  <si>
    <t xml:space="preserve">914 VISTA BEND DR </t>
  </si>
  <si>
    <t>DRAYSHUN KYLES</t>
  </si>
  <si>
    <t xml:space="preserve">21602 RAIN LEAF CT </t>
  </si>
  <si>
    <t>FEDERICO CRISTOBAL-RUBIO</t>
  </si>
  <si>
    <t xml:space="preserve">9001 KEMPWOOD DR </t>
  </si>
  <si>
    <t>TERRY LYNN SHERMAN</t>
  </si>
  <si>
    <t xml:space="preserve">7601 CURRY RD </t>
  </si>
  <si>
    <t>ZACHARIAH GONZALES</t>
  </si>
  <si>
    <t xml:space="preserve">918 MOORSIDE LANE </t>
  </si>
  <si>
    <t>JAYLESSIA ROCHELLE BOLT</t>
  </si>
  <si>
    <t>13223 CHAMPIONS CENTR E DR 217</t>
  </si>
  <si>
    <t>CASEY DAVIS</t>
  </si>
  <si>
    <t>PHILLIP DEWAYNE WILLIAMS</t>
  </si>
  <si>
    <t xml:space="preserve">2533 GLEN AVE </t>
  </si>
  <si>
    <t>RAVAN SYMORA JACKSON</t>
  </si>
  <si>
    <t xml:space="preserve">10615 MEADOWGLEN LN </t>
  </si>
  <si>
    <t>KARLOS GRAY</t>
  </si>
  <si>
    <t xml:space="preserve">11201 OLYMPIA DR 2704 </t>
  </si>
  <si>
    <t>JAMES FRANKLIN MAULL</t>
  </si>
  <si>
    <t>ASHLEY BEAIRD</t>
  </si>
  <si>
    <t xml:space="preserve">6121 WINSOME </t>
  </si>
  <si>
    <t>JENNIFER ALANIZ</t>
  </si>
  <si>
    <t xml:space="preserve">8056 LENORE ST </t>
  </si>
  <si>
    <t>SCOUT CARROLL</t>
  </si>
  <si>
    <t xml:space="preserve">12275 COBBS CREEK RD </t>
  </si>
  <si>
    <t>ANGELA LYNN EDMONDS</t>
  </si>
  <si>
    <t xml:space="preserve">5900 SLEINSKY RD </t>
  </si>
  <si>
    <t>NINA RUTH WALKER</t>
  </si>
  <si>
    <t xml:space="preserve">10910 ROANDALE DR </t>
  </si>
  <si>
    <t>DENNIS ROBERTO GONZALEZ</t>
  </si>
  <si>
    <t xml:space="preserve">6201 W BELLFORT ST </t>
  </si>
  <si>
    <t>DEMETRIA JOHNSON</t>
  </si>
  <si>
    <t xml:space="preserve">1919 RUNNELS ST </t>
  </si>
  <si>
    <t>LILLIE NELSON</t>
  </si>
  <si>
    <t xml:space="preserve">9307 TRIOLA LN </t>
  </si>
  <si>
    <t>JUAN GUERRERO</t>
  </si>
  <si>
    <t>801 COUNTRY PLACE # 51</t>
  </si>
  <si>
    <t>REYNALDO RIVAS</t>
  </si>
  <si>
    <t>9231 COMANCHE PEAK L N</t>
  </si>
  <si>
    <t>DAVID DEXTER CRUZ</t>
  </si>
  <si>
    <t>2401 W SAM HOUSTON P KWY</t>
  </si>
  <si>
    <t>CIERRA MICHELLE GARRETT</t>
  </si>
  <si>
    <t xml:space="preserve">12500 NORTH FREEWAY </t>
  </si>
  <si>
    <t>BAYRON STEEF MUNGUIA</t>
  </si>
  <si>
    <t xml:space="preserve">706 DANBURY PARK LN </t>
  </si>
  <si>
    <t>DESMOND D. O'QUINN</t>
  </si>
  <si>
    <t xml:space="preserve">5806 SOUTHSEAS </t>
  </si>
  <si>
    <t>GARY LEON JORDAN</t>
  </si>
  <si>
    <t xml:space="preserve">11914 DUANE ST </t>
  </si>
  <si>
    <t>REMARSH DEMOND TURNER</t>
  </si>
  <si>
    <t>6326 AUSTINVILLE DRI VER</t>
  </si>
  <si>
    <t>MARIA DUARTE</t>
  </si>
  <si>
    <t>4029 BURKE RD APT 29 03</t>
  </si>
  <si>
    <t>SHANAE LATARA JORDAN-STEVENS</t>
  </si>
  <si>
    <t>6727 TELEPHONE RD 23 8</t>
  </si>
  <si>
    <t>ROBERT ANTHONY RAMIREZ</t>
  </si>
  <si>
    <t xml:space="preserve">4115 COURTNEY ST </t>
  </si>
  <si>
    <t>KORY DELON BAXTER</t>
  </si>
  <si>
    <t xml:space="preserve">6226 GREY OAKS DR </t>
  </si>
  <si>
    <t>KAREEM KAVON BARBER</t>
  </si>
  <si>
    <t xml:space="preserve">6902 ROCKERGATE DR </t>
  </si>
  <si>
    <t>MYKISHA NICOLE SAMS</t>
  </si>
  <si>
    <t xml:space="preserve">3106 OXBRIDGE CT </t>
  </si>
  <si>
    <t>MARIELA HUATO</t>
  </si>
  <si>
    <t xml:space="preserve">17812 HORTHHAGEN DR </t>
  </si>
  <si>
    <t>ANTHONY COOPER</t>
  </si>
  <si>
    <t xml:space="preserve">3324 BAYOU DR </t>
  </si>
  <si>
    <t>TIFFANY PERES</t>
  </si>
  <si>
    <t xml:space="preserve">12402 MILE DRIVE </t>
  </si>
  <si>
    <t>DILLON JOHNSON</t>
  </si>
  <si>
    <t xml:space="preserve">3026 FRESCO WELLS DR </t>
  </si>
  <si>
    <t>AMBER MCNAMEE</t>
  </si>
  <si>
    <t xml:space="preserve">19534 SHADY BANK DR </t>
  </si>
  <si>
    <t>JOSE LEONEL CABRERA</t>
  </si>
  <si>
    <t xml:space="preserve">2505 14 TH </t>
  </si>
  <si>
    <t>ISAIAH JABBAUR WALTER</t>
  </si>
  <si>
    <t xml:space="preserve">23382 HIGH POINT </t>
  </si>
  <si>
    <t>JOSEPH TREBOR EDMONSOND</t>
  </si>
  <si>
    <t xml:space="preserve">7339 SONET GLEN </t>
  </si>
  <si>
    <t>CHRISTINA NICOLE CHRISTOPHER</t>
  </si>
  <si>
    <t xml:space="preserve">8600 THETA S </t>
  </si>
  <si>
    <t>JESSICA HARVEY</t>
  </si>
  <si>
    <t xml:space="preserve">601 ELSBETH </t>
  </si>
  <si>
    <t>ENRIQUE REYES RAMIREZ</t>
  </si>
  <si>
    <t xml:space="preserve">6015 WINSOME LN </t>
  </si>
  <si>
    <t>TUCKER CHURCH SHAW</t>
  </si>
  <si>
    <t>TONEY MILLER</t>
  </si>
  <si>
    <t xml:space="preserve">24919 MATHEWS ROAD </t>
  </si>
  <si>
    <t>TRAVOY RAMON HOLLIE</t>
  </si>
  <si>
    <t>8200 SUNBURY LANE AP T 409S</t>
  </si>
  <si>
    <t>JARROD JEROME THOMAS</t>
  </si>
  <si>
    <t xml:space="preserve">6902 BETHUNE DR </t>
  </si>
  <si>
    <t>CRAIG WALKER</t>
  </si>
  <si>
    <t xml:space="preserve">3811 BROOKMEADE DR </t>
  </si>
  <si>
    <t>CURTIS JORDAN SANDERS</t>
  </si>
  <si>
    <t>16222 STUEBNER AIRLIN E RD</t>
  </si>
  <si>
    <t>EARLENE MARIE JOHNSON</t>
  </si>
  <si>
    <t>10600 SOUTHDOWN TRACE TRAIL 180</t>
  </si>
  <si>
    <t>ROGER ALLAN PACE</t>
  </si>
  <si>
    <t>MICHAEL MARQUIE SCRUGGS</t>
  </si>
  <si>
    <t xml:space="preserve">2401 LAZY HOLLOW DR </t>
  </si>
  <si>
    <t>CASSUNDRA PLESHETTE JONES</t>
  </si>
  <si>
    <t xml:space="preserve">16618 QUIET TRAIL DR </t>
  </si>
  <si>
    <t>KEUINDARIUS LEON DEVON ST JULIEN</t>
  </si>
  <si>
    <t xml:space="preserve">10430 EARLY SQUARE CT </t>
  </si>
  <si>
    <t>ESLI MOLINA</t>
  </si>
  <si>
    <t xml:space="preserve">8100 MAPLECREST DR </t>
  </si>
  <si>
    <t>EDUARDO PALACIOS</t>
  </si>
  <si>
    <t xml:space="preserve">1107 PARK LN </t>
  </si>
  <si>
    <t>FELIPE RODRIGUEZ</t>
  </si>
  <si>
    <t xml:space="preserve">1919 BARNSLEY LN </t>
  </si>
  <si>
    <t>JERRY DARRELL COOK</t>
  </si>
  <si>
    <t>ROBERT LOUIS CARTER</t>
  </si>
  <si>
    <t xml:space="preserve">6300 W BELFORT </t>
  </si>
  <si>
    <t>ROBERT ALLEN JOHNSON</t>
  </si>
  <si>
    <t xml:space="preserve">14114 MORINSCOTT DR </t>
  </si>
  <si>
    <t>KEVIN DAVID ESCOBAR MNTOYA</t>
  </si>
  <si>
    <t xml:space="preserve">4131 WILLOW BEACH DR </t>
  </si>
  <si>
    <t>ESTEFANY MEJIA</t>
  </si>
  <si>
    <t xml:space="preserve">7926 DARNAY DRIVE </t>
  </si>
  <si>
    <t>MARK ARMSTEAD</t>
  </si>
  <si>
    <t xml:space="preserve">3433 LINN </t>
  </si>
  <si>
    <t>JOSHUA A. DAVILA</t>
  </si>
  <si>
    <t xml:space="preserve">10202 SAGEBUD </t>
  </si>
  <si>
    <t>MICHEAL JAMAL BOWERS</t>
  </si>
  <si>
    <t xml:space="preserve">8162 RICHMOND AVE </t>
  </si>
  <si>
    <t>ROGER DALE ALEXANDER</t>
  </si>
  <si>
    <t xml:space="preserve">5834 SOUTHLEA ST </t>
  </si>
  <si>
    <t>MARVIN JAMES DAUGHTRY</t>
  </si>
  <si>
    <t>14803 SHEFFIELD TERRA CE</t>
  </si>
  <si>
    <t>JUVENAL J VILLA</t>
  </si>
  <si>
    <t xml:space="preserve">903 EAST 35TH ST </t>
  </si>
  <si>
    <t>NICHOLAS ALEXANDER GRAY</t>
  </si>
  <si>
    <t xml:space="preserve">7742 GLENHEATH ST </t>
  </si>
  <si>
    <t>PAUL HENRY</t>
  </si>
  <si>
    <t xml:space="preserve">15230 BEECHNUT ST </t>
  </si>
  <si>
    <t>KELVIN JOEL WHEATFALL</t>
  </si>
  <si>
    <t xml:space="preserve">8205 CRESTVIEW DR </t>
  </si>
  <si>
    <t>IRMA OGAVU</t>
  </si>
  <si>
    <t xml:space="preserve">605 BERRY RD </t>
  </si>
  <si>
    <t>BRYAN FEILDING</t>
  </si>
  <si>
    <t>ELISA JEAN HERNANDEZ</t>
  </si>
  <si>
    <t xml:space="preserve">1002 JAMES ST </t>
  </si>
  <si>
    <t>RUANI MANUEL REYES-DIAZ</t>
  </si>
  <si>
    <t>15742 YOUPON VALLEY D R</t>
  </si>
  <si>
    <t>JULIAN VILLANUEVA JR.</t>
  </si>
  <si>
    <t xml:space="preserve">6619 AVENUE H </t>
  </si>
  <si>
    <t>WHITNEY NICOLE MARTIN</t>
  </si>
  <si>
    <t xml:space="preserve">716 NUECES </t>
  </si>
  <si>
    <t>PEDRO ZAGADA</t>
  </si>
  <si>
    <t>11500 KEEGANS RIDGE 5 05</t>
  </si>
  <si>
    <t>RONNIE LYNN WEEDEN</t>
  </si>
  <si>
    <t xml:space="preserve">11669 PEBBLE ST </t>
  </si>
  <si>
    <t>KEVIN EARL ALINIECE</t>
  </si>
  <si>
    <t xml:space="preserve">16314 EDGEMONT DR </t>
  </si>
  <si>
    <t>BROOKE CHANDLER BECHTEL</t>
  </si>
  <si>
    <t xml:space="preserve">605 N EASTWOOD ST </t>
  </si>
  <si>
    <t>JASMINE ALLYSON LEDOUX</t>
  </si>
  <si>
    <t>23770 SPRINGWOODS VLG PKWY 326</t>
  </si>
  <si>
    <t>METTRICK JR DIXON</t>
  </si>
  <si>
    <t>8811 BOONE RD APT 15 02</t>
  </si>
  <si>
    <t>JOSHUA DELACRUZ</t>
  </si>
  <si>
    <t xml:space="preserve">3514 WEISER DRIVE </t>
  </si>
  <si>
    <t>MILAGRO ARELY FUENTES-MARTEL</t>
  </si>
  <si>
    <t xml:space="preserve">115 MCMASTERS AVE </t>
  </si>
  <si>
    <t>CEDRIKKUS WOODRUPP</t>
  </si>
  <si>
    <t xml:space="preserve">500 GRESHAM AVE </t>
  </si>
  <si>
    <t>TRANESHA KIERRA KIRKWOOD</t>
  </si>
  <si>
    <t>8326 CONSTELLATION L N</t>
  </si>
  <si>
    <t>ROMAN TORRES</t>
  </si>
  <si>
    <t>19311 CYPRESS FLOWER DR</t>
  </si>
  <si>
    <t>JOHN ALEX CASTILLO</t>
  </si>
  <si>
    <t xml:space="preserve">10802 GREEN CREEK DR </t>
  </si>
  <si>
    <t>TYLER DILLINGHAM</t>
  </si>
  <si>
    <t xml:space="preserve">3565 AMOS ST </t>
  </si>
  <si>
    <t>GILBERTO SUSTAITA</t>
  </si>
  <si>
    <t>535 NORTH MILBY STR EET</t>
  </si>
  <si>
    <t>MUNTASER HAZEM JUDEH</t>
  </si>
  <si>
    <t>1701 UPLAND DR APT 1 1</t>
  </si>
  <si>
    <t>PAUL ANTHONY RUIZ</t>
  </si>
  <si>
    <t xml:space="preserve">10434 WILLIE ST </t>
  </si>
  <si>
    <t>KRISTA D REYES</t>
  </si>
  <si>
    <t xml:space="preserve">2205 W WALKER STREET </t>
  </si>
  <si>
    <t>ADONDRIA JACKSON</t>
  </si>
  <si>
    <t xml:space="preserve">6412 OVERDALE </t>
  </si>
  <si>
    <t>OSCAR BASORIA</t>
  </si>
  <si>
    <t xml:space="preserve">3635 S SHAVER ST </t>
  </si>
  <si>
    <t>STEVEN GREG LUNDAY JR</t>
  </si>
  <si>
    <t xml:space="preserve">222 W MURRILL AVE </t>
  </si>
  <si>
    <t>ANTHONY PETER TURNER</t>
  </si>
  <si>
    <t xml:space="preserve">10550 VALLEY FORGE DR </t>
  </si>
  <si>
    <t>DEANDRE FINNEY</t>
  </si>
  <si>
    <t xml:space="preserve">9797 LEAWOOD BLVD </t>
  </si>
  <si>
    <t>CARVELL J BURNS</t>
  </si>
  <si>
    <t xml:space="preserve">10793 BRAES BEND DR </t>
  </si>
  <si>
    <t>DAVID SIMMONS</t>
  </si>
  <si>
    <t>15119 WEEPING CEDAR L N</t>
  </si>
  <si>
    <t>WARREN ISAAC MASTERS</t>
  </si>
  <si>
    <t xml:space="preserve">6418 RIDGEWAY DR </t>
  </si>
  <si>
    <t>ROBERT DILLON DEAN</t>
  </si>
  <si>
    <t xml:space="preserve">10611 SWAN GLEN DRIVE </t>
  </si>
  <si>
    <t>SYLVIA MONIQUE MCFEE</t>
  </si>
  <si>
    <t xml:space="preserve">10122 BERRYPATCH LN </t>
  </si>
  <si>
    <t>JONATHAN SALT HALE</t>
  </si>
  <si>
    <t xml:space="preserve">10 KINGS RIVER CT </t>
  </si>
  <si>
    <t>MYRIN BANKS</t>
  </si>
  <si>
    <t xml:space="preserve">8819 FM 1960 </t>
  </si>
  <si>
    <t>JOSE ANGEL QUIROZ</t>
  </si>
  <si>
    <t>BRETT MILLER</t>
  </si>
  <si>
    <t xml:space="preserve">1817 ISABELLA ST </t>
  </si>
  <si>
    <t>JOSE LUIS BRIONES</t>
  </si>
  <si>
    <t xml:space="preserve">1316 WHITEWING AVE </t>
  </si>
  <si>
    <t>ERIC ARTRISTE LARKIN-BEATTY</t>
  </si>
  <si>
    <t>10950 TANNER PARK CT APT 1404</t>
  </si>
  <si>
    <t>HENRY ANTONIO APARICIO</t>
  </si>
  <si>
    <t xml:space="preserve">19908 WESTCLIFFE CT </t>
  </si>
  <si>
    <t>JAIME GOMEZ</t>
  </si>
  <si>
    <t xml:space="preserve">3101 SPENCER HWY </t>
  </si>
  <si>
    <t>SERGIO MARTINEZ</t>
  </si>
  <si>
    <t xml:space="preserve">4203 PRIARE MEADOW </t>
  </si>
  <si>
    <t>JEREMEY JERODD BROWN</t>
  </si>
  <si>
    <t xml:space="preserve">3509 SEABROOK </t>
  </si>
  <si>
    <t>NICHELLE MAXIEY</t>
  </si>
  <si>
    <t xml:space="preserve">6210 CULBERSON ST </t>
  </si>
  <si>
    <t>WILLIE LEE LEWIS</t>
  </si>
  <si>
    <t xml:space="preserve">2200 TIDWELL RD </t>
  </si>
  <si>
    <t>JAMES SCOTT JR BRADLEY</t>
  </si>
  <si>
    <t xml:space="preserve">4134 LOVERS LANE </t>
  </si>
  <si>
    <t>NOLAN MCKENDRICK SHARP</t>
  </si>
  <si>
    <t xml:space="preserve">1502 MANSFIELD ST </t>
  </si>
  <si>
    <t>JAIME HINOJOSA</t>
  </si>
  <si>
    <t xml:space="preserve">7118 EL PASO ST </t>
  </si>
  <si>
    <t>SAMUEL CARL WOLK</t>
  </si>
  <si>
    <t xml:space="preserve">4000 W 34TH ST </t>
  </si>
  <si>
    <t>JOSEPH ROMERO MARTINEZ</t>
  </si>
  <si>
    <t xml:space="preserve">114 SUSIE CT </t>
  </si>
  <si>
    <t>JERRECK HILLIARD</t>
  </si>
  <si>
    <t xml:space="preserve">2401 WESTRIDGE ST </t>
  </si>
  <si>
    <t>ROSE M RIVERA</t>
  </si>
  <si>
    <t xml:space="preserve">6920 SCHLEY </t>
  </si>
  <si>
    <t>MALINDA KERSCHELL WILLIAMS</t>
  </si>
  <si>
    <t xml:space="preserve">4307 HERRIDGE ST </t>
  </si>
  <si>
    <t>MIGUEL NEFTALIC MELGAR</t>
  </si>
  <si>
    <t xml:space="preserve">10600 SOUTHDOWN TRACE </t>
  </si>
  <si>
    <t>JOSEPH DEON DAVIS</t>
  </si>
  <si>
    <t>9850 MEADOWGLEN LN A PT 102</t>
  </si>
  <si>
    <t>FREDERICK DEAN SIMMONS</t>
  </si>
  <si>
    <t xml:space="preserve">1799 FM 528 12102 </t>
  </si>
  <si>
    <t>KYRAN LERON TAYLOR</t>
  </si>
  <si>
    <t xml:space="preserve">9722 PARK HEATH LN </t>
  </si>
  <si>
    <t>JARTAVIS JACKSON</t>
  </si>
  <si>
    <t>7507  ROARING SPRING S DR</t>
  </si>
  <si>
    <t>ALBERT CAPISTRAN</t>
  </si>
  <si>
    <t xml:space="preserve">11003 ALMOND GROVE </t>
  </si>
  <si>
    <t>ALLEN ALEXANDER</t>
  </si>
  <si>
    <t xml:space="preserve">1415 GREENS PKWY 20 </t>
  </si>
  <si>
    <t>SHATERRA YVONNE HOLMES</t>
  </si>
  <si>
    <t xml:space="preserve">15030 CHETLAND PL DR </t>
  </si>
  <si>
    <t>EUGENIO GARZA</t>
  </si>
  <si>
    <t xml:space="preserve">13623 YARDMASTER TRL </t>
  </si>
  <si>
    <t>JOSE AYALA</t>
  </si>
  <si>
    <t xml:space="preserve">7421 SOUTHWAY </t>
  </si>
  <si>
    <t>BRADLEY SCOTT MATTHEWS</t>
  </si>
  <si>
    <t>18930 BRIGHTON TRAILS LN</t>
  </si>
  <si>
    <t>ROBERT DAMON WASHINGTON</t>
  </si>
  <si>
    <t xml:space="preserve">1230 E FM 1960 BYP </t>
  </si>
  <si>
    <t>ADRIAN ROSALES</t>
  </si>
  <si>
    <t xml:space="preserve">638 HEIDRICH ST </t>
  </si>
  <si>
    <t>JOSHUA DANCURTIS FRANKLIN</t>
  </si>
  <si>
    <t xml:space="preserve">3501 7TH ST </t>
  </si>
  <si>
    <t>KOLADA JEFFREY GEORGE</t>
  </si>
  <si>
    <t>9600 BRAES BAYOU DR APT 29</t>
  </si>
  <si>
    <t>NELSON PERALES</t>
  </si>
  <si>
    <t xml:space="preserve">3115 MARINER DR </t>
  </si>
  <si>
    <t>KYLE MICHAEL RIDDLE</t>
  </si>
  <si>
    <t>5826 WILLOW OAK DRIV E</t>
  </si>
  <si>
    <t>AARON CHRISTIAN CHISHOLM</t>
  </si>
  <si>
    <t xml:space="preserve">701 S RICHEY ST </t>
  </si>
  <si>
    <t>CELESTINO SOTO VILLEGAS</t>
  </si>
  <si>
    <t xml:space="preserve">11000 KINGHURST DR </t>
  </si>
  <si>
    <t>JORDAN HARDIMAN</t>
  </si>
  <si>
    <t xml:space="preserve">8914 SUNNY HILL </t>
  </si>
  <si>
    <t>IVAN LAFUENTE</t>
  </si>
  <si>
    <t xml:space="preserve">2410 BLUE REEF ROAD </t>
  </si>
  <si>
    <t>DEREK EVAN DECHENNE</t>
  </si>
  <si>
    <t xml:space="preserve">2734 ASH RD </t>
  </si>
  <si>
    <t>ROBERT REDEAU</t>
  </si>
  <si>
    <t>AALYAH DENISE MITCHELL</t>
  </si>
  <si>
    <t>12515 BARKER CYPRESS RD</t>
  </si>
  <si>
    <t>DENZEL JOHNWELL</t>
  </si>
  <si>
    <t xml:space="preserve">12800 DUNLAP </t>
  </si>
  <si>
    <t>DOMITILO S QUINTANILLA</t>
  </si>
  <si>
    <t xml:space="preserve">2504 MUNGER ST </t>
  </si>
  <si>
    <t>STEVENSON MILLER MCCLENDON</t>
  </si>
  <si>
    <t xml:space="preserve">12706 MILL VALLEY DR </t>
  </si>
  <si>
    <t>BRADYN COX</t>
  </si>
  <si>
    <t xml:space="preserve">5507 LONG ARBOR LANE </t>
  </si>
  <si>
    <t>CHRISTOPHER RODRIGUEZ</t>
  </si>
  <si>
    <t>6550 HILCROFT APT 17 1</t>
  </si>
  <si>
    <t>KEITHDRICK DUANE AUSTIN</t>
  </si>
  <si>
    <t xml:space="preserve">5015 ALDINE BENDER </t>
  </si>
  <si>
    <t>MONICA MELISSA WALKER</t>
  </si>
  <si>
    <t xml:space="preserve">1143 COUNTY ROAD 219 </t>
  </si>
  <si>
    <t>OSCAR WALDEMAR MENDEZ</t>
  </si>
  <si>
    <t xml:space="preserve">3217 YORKSHIRE ST </t>
  </si>
  <si>
    <t>DAVID DOMASK</t>
  </si>
  <si>
    <t xml:space="preserve">11110 MELBA LN </t>
  </si>
  <si>
    <t>LATISIA BREAUX</t>
  </si>
  <si>
    <t xml:space="preserve">6225 LIBERTY RD </t>
  </si>
  <si>
    <t>FREDRICK JAMES KELLEY</t>
  </si>
  <si>
    <t>9002 STERLINGSHIRE S T APT 2102</t>
  </si>
  <si>
    <t>TIFFANY NICOLE SAMS</t>
  </si>
  <si>
    <t xml:space="preserve">114 HEIGHTS BLVD I </t>
  </si>
  <si>
    <t>BRANDI LADAWN VANCE-TAX</t>
  </si>
  <si>
    <t xml:space="preserve">2002 BEALL ST TRLR 2 </t>
  </si>
  <si>
    <t>ERICK HUGO SCHOELLMAN</t>
  </si>
  <si>
    <t xml:space="preserve">29519 RICHARDS RD </t>
  </si>
  <si>
    <t>ANDREW SAM</t>
  </si>
  <si>
    <t xml:space="preserve">3222 EAGLE RIDGE WAY </t>
  </si>
  <si>
    <t>TROY ANTHONY FISHER</t>
  </si>
  <si>
    <t>15903 YORKTOWN CROSSI NG PKWY</t>
  </si>
  <si>
    <t>KENDRYC LE DAVIS</t>
  </si>
  <si>
    <t xml:space="preserve">110 E JANISCH ST </t>
  </si>
  <si>
    <t>JONTREVIEN CHARLES PERRY</t>
  </si>
  <si>
    <t>11519 SANDSTONE CANYO N DR</t>
  </si>
  <si>
    <t>FAITH M WAMBU</t>
  </si>
  <si>
    <t>DEMARCUS DARNELL JOHNSON</t>
  </si>
  <si>
    <t>3442 CARBERNET SHORE S DR</t>
  </si>
  <si>
    <t>ANGEL SANCHEZ</t>
  </si>
  <si>
    <t xml:space="preserve">502 N JONES AVE </t>
  </si>
  <si>
    <t>BAO PHONG BUI</t>
  </si>
  <si>
    <t xml:space="preserve">8200 BROADWAY ST </t>
  </si>
  <si>
    <t>DONOVAN WILLIAM TRIBBLE</t>
  </si>
  <si>
    <t xml:space="preserve">3603 TRUXTON DR </t>
  </si>
  <si>
    <t>JOHN ALLEN DUHON</t>
  </si>
  <si>
    <t xml:space="preserve">1000 MAIN ST </t>
  </si>
  <si>
    <t>STEWART JAMES STRICKLIN</t>
  </si>
  <si>
    <t xml:space="preserve">4308 CYNTHIA ST </t>
  </si>
  <si>
    <t>BRODIE LOFTON</t>
  </si>
  <si>
    <t xml:space="preserve">15415 N BRENTWOOD DR </t>
  </si>
  <si>
    <t>TYRIQ ZAKEE BOOKER</t>
  </si>
  <si>
    <t xml:space="preserve">6407 ANTIONE DR </t>
  </si>
  <si>
    <t>JOSEPH ANTHONY TREJO</t>
  </si>
  <si>
    <t xml:space="preserve">12111 BEXHILL DR </t>
  </si>
  <si>
    <t>WANDEE JAVON WADE</t>
  </si>
  <si>
    <t xml:space="preserve">3707 PINTAN </t>
  </si>
  <si>
    <t>COREY DEYARN MILES</t>
  </si>
  <si>
    <t>7402 CALHOUN RD APT 212</t>
  </si>
  <si>
    <t>TIMOTHY TANNER</t>
  </si>
  <si>
    <t xml:space="preserve">16730 PORT O CALL </t>
  </si>
  <si>
    <t>DEVON MICHEL TURNER</t>
  </si>
  <si>
    <t xml:space="preserve">4606 COURT RD </t>
  </si>
  <si>
    <t>JOSE F. SALAZAR</t>
  </si>
  <si>
    <t xml:space="preserve">13011 BETHEL CT </t>
  </si>
  <si>
    <t>RONALD CHEVIS</t>
  </si>
  <si>
    <t xml:space="preserve">3003 RALSTON </t>
  </si>
  <si>
    <t>TELISCIA MARNETTE DAVIS</t>
  </si>
  <si>
    <t xml:space="preserve">1116 VERDE TRAILS DR </t>
  </si>
  <si>
    <t>CHINYE ACHAPU</t>
  </si>
  <si>
    <t xml:space="preserve">701 FAIRMONT PKWY </t>
  </si>
  <si>
    <t>MICHAEL THOMAS SANDERS</t>
  </si>
  <si>
    <t xml:space="preserve">3830 RUSH RD </t>
  </si>
  <si>
    <t>KELDRICK DUANE EDWARDS</t>
  </si>
  <si>
    <t xml:space="preserve">905 CYPRESS STATION </t>
  </si>
  <si>
    <t>TONYEKA SPENCER</t>
  </si>
  <si>
    <t>19434 REMINGTON MARTI N DR</t>
  </si>
  <si>
    <t>ROBERT HENRY DAVIS</t>
  </si>
  <si>
    <t xml:space="preserve">14135 CHAMPION </t>
  </si>
  <si>
    <t>KEVIN DANIEL NOBE-RODGERS</t>
  </si>
  <si>
    <t xml:space="preserve">31503 MARLIN ST </t>
  </si>
  <si>
    <t>LUIS JUNIOR SANTANA</t>
  </si>
  <si>
    <t xml:space="preserve">3618 ROSEMARY LN </t>
  </si>
  <si>
    <t>DAVID DEWAYNE ELDRIDGE</t>
  </si>
  <si>
    <t xml:space="preserve">12200 FLEMING DR 1308 </t>
  </si>
  <si>
    <t>VICTOR SAINZ</t>
  </si>
  <si>
    <t xml:space="preserve">301 WINONA </t>
  </si>
  <si>
    <t>JAMES YEAGER</t>
  </si>
  <si>
    <t xml:space="preserve">43 CYNTOLYN RD </t>
  </si>
  <si>
    <t>NIKKI RAE ROBERT</t>
  </si>
  <si>
    <t xml:space="preserve">444 ORCHARD HILL </t>
  </si>
  <si>
    <t>DAVID ANTONIO GARCIA</t>
  </si>
  <si>
    <t xml:space="preserve">19403 LAKE HOLLOW LN </t>
  </si>
  <si>
    <t>LAURO ALI PENA</t>
  </si>
  <si>
    <t xml:space="preserve">1914 RAINY RIVER DR </t>
  </si>
  <si>
    <t>JAVONN KENNETH BURKS</t>
  </si>
  <si>
    <t>505 CYPRESS STATION DR</t>
  </si>
  <si>
    <t>COLE BICKHAM</t>
  </si>
  <si>
    <t>15331 E. WESTWOOD CIR CLE</t>
  </si>
  <si>
    <t>ALLYN LORINCE THOMAS</t>
  </si>
  <si>
    <t>5414 CACTUS FOREST D R</t>
  </si>
  <si>
    <t>ANDRE ANTHONY PALMER</t>
  </si>
  <si>
    <t xml:space="preserve">8800 GUSTINE LN </t>
  </si>
  <si>
    <t>JOSIAH RICHARD INIGUEZ</t>
  </si>
  <si>
    <t xml:space="preserve">4814 GLENVILLAGE DR </t>
  </si>
  <si>
    <t>KENNETH ERNESTO CATALAN</t>
  </si>
  <si>
    <t>18514 ALEMARBLE OAK S T</t>
  </si>
  <si>
    <t>JARQUIS LENARD SMITH</t>
  </si>
  <si>
    <t xml:space="preserve">12818 CINDER CONE TRL </t>
  </si>
  <si>
    <t>SASHA T HUMPHRIES</t>
  </si>
  <si>
    <t>ONEAL RAY IV</t>
  </si>
  <si>
    <t>9801 LARKWOOD DR APT 2723</t>
  </si>
  <si>
    <t>HAZEL CHONG ARREDONDO</t>
  </si>
  <si>
    <t>16308 LIVE OAK SQUARE DR</t>
  </si>
  <si>
    <t>TONY COLE</t>
  </si>
  <si>
    <t>17435 IMPEIRAL VALLEY DR</t>
  </si>
  <si>
    <t>JARIUS WATSON</t>
  </si>
  <si>
    <t>11111 PLEASANT COLNEY DR</t>
  </si>
  <si>
    <t>GABRIELLE MARIE MENA</t>
  </si>
  <si>
    <t xml:space="preserve">7494 STANWICK </t>
  </si>
  <si>
    <t>SHAKEEMA PRISCILLA DEPRADINE</t>
  </si>
  <si>
    <t>7511 BEECHNUT ST APT 241</t>
  </si>
  <si>
    <t>MARCUS ISSAC GONZALEZ</t>
  </si>
  <si>
    <t xml:space="preserve">210 WELLS FARGO DR </t>
  </si>
  <si>
    <t>ISAIAH LOGAN</t>
  </si>
  <si>
    <t>1351 GREENS PKWY APT 217</t>
  </si>
  <si>
    <t>KENNETH ALLEN COLEMAN</t>
  </si>
  <si>
    <t xml:space="preserve">310 PARRAMATTA LN </t>
  </si>
  <si>
    <t>BRYCE DANIELS</t>
  </si>
  <si>
    <t xml:space="preserve">13131 FALLSVIEW LN </t>
  </si>
  <si>
    <t>ELIJAH SANGSTER</t>
  </si>
  <si>
    <t xml:space="preserve">12063 BALLARDVALE LN </t>
  </si>
  <si>
    <t>DANIEL ANDREW SHELTON</t>
  </si>
  <si>
    <t xml:space="preserve">555 SEMINAR DR </t>
  </si>
  <si>
    <t>OSCAR MEDINA</t>
  </si>
  <si>
    <t xml:space="preserve">2010 SEMMES ST </t>
  </si>
  <si>
    <t>DANIEL HINOJOSA-ROSALES</t>
  </si>
  <si>
    <t xml:space="preserve">9200 BISSONNET </t>
  </si>
  <si>
    <t>LAKERIYA KING</t>
  </si>
  <si>
    <t xml:space="preserve">10901 VILLAGE BEND LN </t>
  </si>
  <si>
    <t>BRANDIE ANTOINETTE MCGEE</t>
  </si>
  <si>
    <t>12777 ASHFORD POINT D R APT 2417</t>
  </si>
  <si>
    <t>DEON DENARD CALDWELL</t>
  </si>
  <si>
    <t xml:space="preserve">18200 WESTFIELD PLACE </t>
  </si>
  <si>
    <t>GUADALUPE HERNANDEZ</t>
  </si>
  <si>
    <t>11500 GREEN PLAZA DR 1405</t>
  </si>
  <si>
    <t>VICTORIA FIGUEROA</t>
  </si>
  <si>
    <t xml:space="preserve">2507 LAND BREEZE </t>
  </si>
  <si>
    <t>DAVID D. STOVALL</t>
  </si>
  <si>
    <t xml:space="preserve">1919 STEBBINS DR </t>
  </si>
  <si>
    <t>VERONICA BETH KIRK</t>
  </si>
  <si>
    <t xml:space="preserve">1131 PEACH FORD LN </t>
  </si>
  <si>
    <t>JESUS ALBERTO GONZALEZ</t>
  </si>
  <si>
    <t>9000 TOWN PARK DR AP T 809</t>
  </si>
  <si>
    <t>SYDNEE J. BROWN</t>
  </si>
  <si>
    <t xml:space="preserve">549 SUMMER PARK DR </t>
  </si>
  <si>
    <t>DEON DESHAY PRUITT</t>
  </si>
  <si>
    <t xml:space="preserve">7410 TOUCHSTONE ST </t>
  </si>
  <si>
    <t>RAYMOND III PUGH</t>
  </si>
  <si>
    <t xml:space="preserve">3206 KENTUCKY DR </t>
  </si>
  <si>
    <t>T KEYAH HILL</t>
  </si>
  <si>
    <t xml:space="preserve">18204 CHISHOLM TRL </t>
  </si>
  <si>
    <t>ERI CAMPOS</t>
  </si>
  <si>
    <t xml:space="preserve">20403 GREENMONT DR </t>
  </si>
  <si>
    <t>ROBERT EARL JOHNSON</t>
  </si>
  <si>
    <t xml:space="preserve">197 GOODSON DR </t>
  </si>
  <si>
    <t>IRIS BARDALES</t>
  </si>
  <si>
    <t>1255 NORTH ELDRIDGE PKWY</t>
  </si>
  <si>
    <t>SHANDRANIQUE MCCLAIN</t>
  </si>
  <si>
    <t xml:space="preserve">1708 MECHANIC ST </t>
  </si>
  <si>
    <t>ASHLEY CABRERA</t>
  </si>
  <si>
    <t xml:space="preserve">13421 TURLIN </t>
  </si>
  <si>
    <t>TRACY QUINDELL NELLOMS</t>
  </si>
  <si>
    <t xml:space="preserve">936 ASHLAND BLVD </t>
  </si>
  <si>
    <t>ARTURO OJEDA</t>
  </si>
  <si>
    <t xml:space="preserve">639 HIDEN VALLEY DR </t>
  </si>
  <si>
    <t>ROBERT ANDREW SHORT</t>
  </si>
  <si>
    <t xml:space="preserve">212 OAKDALE ST </t>
  </si>
  <si>
    <t>SHAQUILLE DEANDRE WESTERN</t>
  </si>
  <si>
    <t>1919 RUNNELS ST APT 163</t>
  </si>
  <si>
    <t>CLAUDIA POVEDA GUERRERO</t>
  </si>
  <si>
    <t xml:space="preserve">9707 RICHMOND AVE </t>
  </si>
  <si>
    <t>MOSES JACOB LOPEZ</t>
  </si>
  <si>
    <t xml:space="preserve">130 W MITCHELL RD </t>
  </si>
  <si>
    <t>OSCAR A. BLANCO</t>
  </si>
  <si>
    <t xml:space="preserve">14015 BROWNWOOD ST </t>
  </si>
  <si>
    <t>MICHAEL CHRISTIAN PELLETIER</t>
  </si>
  <si>
    <t xml:space="preserve">8155 RICHMOND AVE </t>
  </si>
  <si>
    <t>ASHER JONES</t>
  </si>
  <si>
    <t xml:space="preserve">3224 TAMPA STREET </t>
  </si>
  <si>
    <t>GEARY DORAINE SELLERS</t>
  </si>
  <si>
    <t xml:space="preserve">22720 MORTON RANCH RD </t>
  </si>
  <si>
    <t>FRANCISCO LUNA</t>
  </si>
  <si>
    <t>7531 BUBBLING SPRING LN</t>
  </si>
  <si>
    <t>WENDY GERARDINA NEGRETE</t>
  </si>
  <si>
    <t xml:space="preserve">6001 REIMS RD </t>
  </si>
  <si>
    <t>MARK FIGUEROA</t>
  </si>
  <si>
    <t>11000 CRESCENT MOON D R</t>
  </si>
  <si>
    <t>JOSHUA RENE GONZALEZ</t>
  </si>
  <si>
    <t xml:space="preserve">2936 GOLFCREST BLVD </t>
  </si>
  <si>
    <t>BRANDON J. GARRETT</t>
  </si>
  <si>
    <t>3522 BARKERS CROSSIN G AVE</t>
  </si>
  <si>
    <t>MARK A. SALAS</t>
  </si>
  <si>
    <t xml:space="preserve">101 E EDGEBROOK </t>
  </si>
  <si>
    <t>JESSICA CAROL KEYS</t>
  </si>
  <si>
    <t>3225 WOODLAND PARK D R</t>
  </si>
  <si>
    <t>MARCELLES DION LEWIS</t>
  </si>
  <si>
    <t xml:space="preserve">1919 ROBCREST WAY </t>
  </si>
  <si>
    <t>CHRISTOPHER PAUL CORDOVA</t>
  </si>
  <si>
    <t xml:space="preserve">2830 WIMBERLY ST </t>
  </si>
  <si>
    <t>ERIC HOLMES</t>
  </si>
  <si>
    <t>2509 DOLLY WRIGHT ST .</t>
  </si>
  <si>
    <t>SHANNON ALYSSA MCCARTHY</t>
  </si>
  <si>
    <t xml:space="preserve">6903 ABILENE ST </t>
  </si>
  <si>
    <t>JOHN SHAVERS</t>
  </si>
  <si>
    <t>10311 DOUGLAS FIR VIL LA AVE</t>
  </si>
  <si>
    <t>MARKYSE WADE</t>
  </si>
  <si>
    <t xml:space="preserve">8623 VALLEY LEDGE DR </t>
  </si>
  <si>
    <t>MYA MECHELL DEWRELL</t>
  </si>
  <si>
    <t xml:space="preserve">14025 VILLAGROVE </t>
  </si>
  <si>
    <t>KATHERINE HERRERA-LOPEZ</t>
  </si>
  <si>
    <t xml:space="preserve">1803 MERLE ST </t>
  </si>
  <si>
    <t>CHRISTIAN TERRILL LOYD</t>
  </si>
  <si>
    <t xml:space="preserve">13801 NAPOLI DR 10201 </t>
  </si>
  <si>
    <t>MICHELLE NICOLE GUAJARDO</t>
  </si>
  <si>
    <t xml:space="preserve">2802 PRESTON AVE </t>
  </si>
  <si>
    <t>EMERSON PAZ-CASERES</t>
  </si>
  <si>
    <t xml:space="preserve">4700 S KIRKWOOD RD </t>
  </si>
  <si>
    <t>EMILIANO LICONA</t>
  </si>
  <si>
    <t xml:space="preserve">2005 OAKS DR </t>
  </si>
  <si>
    <t>COURTNEY LAWTON</t>
  </si>
  <si>
    <t xml:space="preserve">22921 PARRAMATTA LN </t>
  </si>
  <si>
    <t>MAURO ESPINOZA</t>
  </si>
  <si>
    <t xml:space="preserve">11217 BENTLEY ST </t>
  </si>
  <si>
    <t>MICHAEL LOESA DUBON</t>
  </si>
  <si>
    <t>2206 WOODHEAD ST UNI T 2</t>
  </si>
  <si>
    <t>ALAN KIRBY GOODNER</t>
  </si>
  <si>
    <t xml:space="preserve">3363 S SHAVER ST </t>
  </si>
  <si>
    <t>KENNETH EDWARD BOWDEN JR.</t>
  </si>
  <si>
    <t xml:space="preserve">7302 ST LOUIS </t>
  </si>
  <si>
    <t>ELMIR KOLENOVIC</t>
  </si>
  <si>
    <t xml:space="preserve">5511 WOODLAND GLADE </t>
  </si>
  <si>
    <t>TAM DINH HUYNH</t>
  </si>
  <si>
    <t xml:space="preserve">2304 RAFFAELLO DR </t>
  </si>
  <si>
    <t>QUINSTON DERRANN REGGINS</t>
  </si>
  <si>
    <t xml:space="preserve">5903 MATT RD </t>
  </si>
  <si>
    <t>JORGE SALGADO-ACOSTA</t>
  </si>
  <si>
    <t xml:space="preserve">1776 GESSNER RD </t>
  </si>
  <si>
    <t>TALBERT JERMAINE STEPHENS</t>
  </si>
  <si>
    <t xml:space="preserve">7882 LOCKSLEY RD </t>
  </si>
  <si>
    <t>ROSAURA PUENTE</t>
  </si>
  <si>
    <t xml:space="preserve">900 RITCHIE </t>
  </si>
  <si>
    <t>DEXTER MORGAN</t>
  </si>
  <si>
    <t xml:space="preserve">911 PILOT POINT DR </t>
  </si>
  <si>
    <t>MARKALEN JOSEF ZENON</t>
  </si>
  <si>
    <t xml:space="preserve">17502 CHESTNUT TRL </t>
  </si>
  <si>
    <t>JAMES LEBRON KINNEMORE</t>
  </si>
  <si>
    <t>14923 RAIN DANCE DRIV E</t>
  </si>
  <si>
    <t>LIONEL III RICHARD</t>
  </si>
  <si>
    <t xml:space="preserve">7002 CENTRE GROVE </t>
  </si>
  <si>
    <t>VIRGINIA ANN SAVIDGE</t>
  </si>
  <si>
    <t xml:space="preserve">1125 WEST 40TH </t>
  </si>
  <si>
    <t>DEMETRIUS HAYNES</t>
  </si>
  <si>
    <t xml:space="preserve">525 SEMINAR DR </t>
  </si>
  <si>
    <t>KISHON WILLIAMS</t>
  </si>
  <si>
    <t>9207 WATER EDGE POIN T LN</t>
  </si>
  <si>
    <t>JERMAN DANIEL DELGADO</t>
  </si>
  <si>
    <t xml:space="preserve">2331 FRICK RD </t>
  </si>
  <si>
    <t>FRANCISCO RUIZ AMAYA</t>
  </si>
  <si>
    <t xml:space="preserve">3820 SHERWOOD LN </t>
  </si>
  <si>
    <t>ALBERTO CASTANEDA</t>
  </si>
  <si>
    <t xml:space="preserve">9218 SCOTFORD </t>
  </si>
  <si>
    <t>WILLIAM LEE JR.</t>
  </si>
  <si>
    <t xml:space="preserve">7325 PHILLIPS ST </t>
  </si>
  <si>
    <t>TERRANCE EARL SMITH</t>
  </si>
  <si>
    <t xml:space="preserve">787 MILLVILLE DR </t>
  </si>
  <si>
    <t>DALI AMADEUS BRETON-BECERRIL</t>
  </si>
  <si>
    <t xml:space="preserve">15511 GOLDEN EAGLE DR </t>
  </si>
  <si>
    <t>I'KIRA SHANAE JARMON</t>
  </si>
  <si>
    <t xml:space="preserve">5850 W GULF BANK </t>
  </si>
  <si>
    <t>JASHAWN KEI REED</t>
  </si>
  <si>
    <t xml:space="preserve">11702 ROANDALE DR </t>
  </si>
  <si>
    <t>JADA YVETTE MARTIN</t>
  </si>
  <si>
    <t xml:space="preserve">2600 WESTRIDGE ST </t>
  </si>
  <si>
    <t>JOHN GERARD OSHAUGHNESSY</t>
  </si>
  <si>
    <t xml:space="preserve">2405 GEORGIA AVE </t>
  </si>
  <si>
    <t>TREVEON COLLINS</t>
  </si>
  <si>
    <t>4219 LANDSHIRE BEND DR</t>
  </si>
  <si>
    <t>ASHER SINIARD</t>
  </si>
  <si>
    <t xml:space="preserve">17515 RUSTINGTON DR </t>
  </si>
  <si>
    <t>AUGUSTIN DELGADO DELGADO</t>
  </si>
  <si>
    <t xml:space="preserve">14138 LAREDO </t>
  </si>
  <si>
    <t>DEANDRESS DEMARKUS ALLEN</t>
  </si>
  <si>
    <t xml:space="preserve">696 PINELOCH DR </t>
  </si>
  <si>
    <t>ALEJOS GONZALES</t>
  </si>
  <si>
    <t xml:space="preserve">1100 BURKE RD </t>
  </si>
  <si>
    <t>DARSHANNON MCCLAIN</t>
  </si>
  <si>
    <t xml:space="preserve">2203 HUTTON ST </t>
  </si>
  <si>
    <t>SKYLER JATHETH ROGERS</t>
  </si>
  <si>
    <t>14539 GABLE MOUNTAIN CIR</t>
  </si>
  <si>
    <t>MCSTIMEY BOWIE</t>
  </si>
  <si>
    <t xml:space="preserve">20910 BURNT AMBER </t>
  </si>
  <si>
    <t>SALVADOR VASQUEZ HERNANDEZ</t>
  </si>
  <si>
    <t xml:space="preserve">7957 W AIRPORT BLVD </t>
  </si>
  <si>
    <t>CALVIN RENE BANKS</t>
  </si>
  <si>
    <t>2301 FOUNTAIN VIEW D R</t>
  </si>
  <si>
    <t>KARRISSA MAE BASS</t>
  </si>
  <si>
    <t xml:space="preserve">209 W. CAROLINE ST </t>
  </si>
  <si>
    <t>LEON JAMAAL HOPE</t>
  </si>
  <si>
    <t>15240 OLD GALVESTON R OAD 904</t>
  </si>
  <si>
    <t>ZIANIA ELIZABETH RODRIGUEZ</t>
  </si>
  <si>
    <t xml:space="preserve">722 LEICESTER LN </t>
  </si>
  <si>
    <t>OSCAR QUINONES</t>
  </si>
  <si>
    <t xml:space="preserve">7807 SPRING FERN LN </t>
  </si>
  <si>
    <t>DAYTIL DAPRE JOHNSON</t>
  </si>
  <si>
    <t xml:space="preserve">2200 JEFFERSON ST </t>
  </si>
  <si>
    <t>GARRY HIEU NGUYEN</t>
  </si>
  <si>
    <t>903 HAMMERLY BLVE 2 03</t>
  </si>
  <si>
    <t>MARCO ARTEAGA</t>
  </si>
  <si>
    <t xml:space="preserve">19411 CADABRA DR </t>
  </si>
  <si>
    <t>ERICK RAFAEL LUPIAN</t>
  </si>
  <si>
    <t xml:space="preserve">12802 PEGGYS LN </t>
  </si>
  <si>
    <t>LONNIE JR GREEN</t>
  </si>
  <si>
    <t xml:space="preserve">2204 HILTON HEAD </t>
  </si>
  <si>
    <t>RICO JOHNSON</t>
  </si>
  <si>
    <t xml:space="preserve">5818 SOUTHTOWN ST </t>
  </si>
  <si>
    <t>DAVID STOCKDALE</t>
  </si>
  <si>
    <t xml:space="preserve">9804 BLUEBIRD ST </t>
  </si>
  <si>
    <t>JASMEET BASRA</t>
  </si>
  <si>
    <t>5602 BALLINA CANYON LN</t>
  </si>
  <si>
    <t>JANELLE THOMPSON</t>
  </si>
  <si>
    <t>21315 GABLE MEADOWS L N</t>
  </si>
  <si>
    <t>KAITLIN MICHELLE MILTON</t>
  </si>
  <si>
    <t xml:space="preserve">17202 QUIET COVEY CT </t>
  </si>
  <si>
    <t>NAHUM BENITEZ SALINAS</t>
  </si>
  <si>
    <t xml:space="preserve">521 S IOWA ST </t>
  </si>
  <si>
    <t>TONY AUNNI JENKINS</t>
  </si>
  <si>
    <t xml:space="preserve">2015 OPAL SPRINGS </t>
  </si>
  <si>
    <t>JAHNA WILHITE</t>
  </si>
  <si>
    <t xml:space="preserve">11234 REBEL RD </t>
  </si>
  <si>
    <t>IGNACIO SEGUNDO</t>
  </si>
  <si>
    <t xml:space="preserve">4923 OTTERBURY DRIVE </t>
  </si>
  <si>
    <t>JOANN MARIE REITTIE</t>
  </si>
  <si>
    <t xml:space="preserve">2410 QUIVER LN </t>
  </si>
  <si>
    <t>LUIS ZEPEDA</t>
  </si>
  <si>
    <t xml:space="preserve">2502 WESTERLAND DR </t>
  </si>
  <si>
    <t>KELLIE MARIE BURGER</t>
  </si>
  <si>
    <t xml:space="preserve">420 WALLISVILLE RD </t>
  </si>
  <si>
    <t>CHAD BROWN</t>
  </si>
  <si>
    <t xml:space="preserve">14144 AVERY BROOK LN </t>
  </si>
  <si>
    <t>CAMERON JESSE ROMO</t>
  </si>
  <si>
    <t xml:space="preserve">11622 GRAYWOOD DR </t>
  </si>
  <si>
    <t>OSCAR PERDOMO</t>
  </si>
  <si>
    <t xml:space="preserve">10714 ODYSSEY CT </t>
  </si>
  <si>
    <t>PATRICK CHARLES TAYLOR</t>
  </si>
  <si>
    <t xml:space="preserve">7203 ORLANDO ST </t>
  </si>
  <si>
    <t>STEPHEN ANTHONY PEREZ</t>
  </si>
  <si>
    <t xml:space="preserve">3811 BALMORHEA AVE </t>
  </si>
  <si>
    <t>KIRBY MURPHY</t>
  </si>
  <si>
    <t xml:space="preserve">717 W GREENS RD </t>
  </si>
  <si>
    <t>EDY GARCIA</t>
  </si>
  <si>
    <t xml:space="preserve">4206 DALMATIAN DR </t>
  </si>
  <si>
    <t>KEVANIKA SHAWEE WASHINGTON</t>
  </si>
  <si>
    <t xml:space="preserve">15301 NORTHWEST FRWY </t>
  </si>
  <si>
    <t>LIZETT MELISSA ZARZOZA</t>
  </si>
  <si>
    <t xml:space="preserve">249 TURNER DR </t>
  </si>
  <si>
    <t>JALIL WILLIAMS</t>
  </si>
  <si>
    <t xml:space="preserve">1601 GARTH RD </t>
  </si>
  <si>
    <t>JOE ANGEL HERNANDEZ</t>
  </si>
  <si>
    <t xml:space="preserve">5113 PARKER RD </t>
  </si>
  <si>
    <t>ANNMARIE CHEYENE ALEX</t>
  </si>
  <si>
    <t xml:space="preserve">16806 CASTLE FRASER </t>
  </si>
  <si>
    <t>ANTHONY MICHAEL FERNANDEZ</t>
  </si>
  <si>
    <t>1410 DORESETSHIRE DR IVE</t>
  </si>
  <si>
    <t>ROBERTO SALINAS GONZALEZ</t>
  </si>
  <si>
    <t xml:space="preserve">3304 DARTMOUTH DR </t>
  </si>
  <si>
    <t>JOHN S DEJESUS</t>
  </si>
  <si>
    <t xml:space="preserve">520 GULF BANK RD </t>
  </si>
  <si>
    <t>BRANDON M GUMP</t>
  </si>
  <si>
    <t xml:space="preserve">3826 LILES </t>
  </si>
  <si>
    <t>RAISHON JYMON LOVE</t>
  </si>
  <si>
    <t xml:space="preserve">7914 BANEWAY DR </t>
  </si>
  <si>
    <t>VICTOR HERNANDEZ</t>
  </si>
  <si>
    <t xml:space="preserve">9222 LOREN LN </t>
  </si>
  <si>
    <t>ARTHUR MIRELES</t>
  </si>
  <si>
    <t xml:space="preserve">5667 YALE ST </t>
  </si>
  <si>
    <t>ROSA SMITH</t>
  </si>
  <si>
    <t xml:space="preserve">21801 NORTHCREST DR </t>
  </si>
  <si>
    <t>JENNIFER GUTIERREZ</t>
  </si>
  <si>
    <t xml:space="preserve">7710 AZALEA ST </t>
  </si>
  <si>
    <t>LAURYN VANBUREN</t>
  </si>
  <si>
    <t xml:space="preserve">6601 DUNLAP ST </t>
  </si>
  <si>
    <t>ANTHONY MONTREAL WOOLRIDGE</t>
  </si>
  <si>
    <t xml:space="preserve">3264 SIMMONS STREET </t>
  </si>
  <si>
    <t>JORDAN TAYLOR ALEXANDER</t>
  </si>
  <si>
    <t xml:space="preserve">5110 AZALEA </t>
  </si>
  <si>
    <t>ANTHONY BRYANT</t>
  </si>
  <si>
    <t xml:space="preserve">4439 GRAPEVINE ST </t>
  </si>
  <si>
    <t>BIONDREA DARNELLE SWEARINGTON</t>
  </si>
  <si>
    <t>5514 PEBBLE SPRINGS DR</t>
  </si>
  <si>
    <t>KEODRICK BUFFETT</t>
  </si>
  <si>
    <t xml:space="preserve">6806 COVINGTON DR </t>
  </si>
  <si>
    <t xml:space="preserve">3700 WATONGA BLVD </t>
  </si>
  <si>
    <t>CHRISTOPHER BEARD</t>
  </si>
  <si>
    <t>TAIWO SALAMI ADEBAYO</t>
  </si>
  <si>
    <t xml:space="preserve">2301 HAYES ROAD </t>
  </si>
  <si>
    <t>DOUGLAS SHIPP</t>
  </si>
  <si>
    <t xml:space="preserve">1640 DECKER ST </t>
  </si>
  <si>
    <t>ALFREDO CHAVEZ</t>
  </si>
  <si>
    <t xml:space="preserve">405 W HOMAN AVE </t>
  </si>
  <si>
    <t>MIRANDA JASSO</t>
  </si>
  <si>
    <t xml:space="preserve">803 HOLLAND AVE </t>
  </si>
  <si>
    <t>EUGENE III BROOKS</t>
  </si>
  <si>
    <t>10300 S WILCREST DR A PT314</t>
  </si>
  <si>
    <t>GAGE REID PEREZ</t>
  </si>
  <si>
    <t xml:space="preserve">8255 SUNBURY LANE </t>
  </si>
  <si>
    <t>JUAN ANTONIO CASTILLO</t>
  </si>
  <si>
    <t xml:space="preserve">16441 EL CAMINO REAL </t>
  </si>
  <si>
    <t>JOSHUA ADAM POLITO</t>
  </si>
  <si>
    <t xml:space="preserve">12000 FLEMING DR </t>
  </si>
  <si>
    <t xml:space="preserve">3406 WISCONSIN ST </t>
  </si>
  <si>
    <t>FLORINDA GONZALES</t>
  </si>
  <si>
    <t xml:space="preserve">13393 HOLIFAX </t>
  </si>
  <si>
    <t>ABELARDO SAENZ</t>
  </si>
  <si>
    <t xml:space="preserve">6711 AVENUE H </t>
  </si>
  <si>
    <t>CHRISTOPHER SANTANA MORENO</t>
  </si>
  <si>
    <t>9601 W MONTGOMERY RD APT 104</t>
  </si>
  <si>
    <t>QUINTECEIA ALEXANDER</t>
  </si>
  <si>
    <t xml:space="preserve">4910 BLANTON BLVD </t>
  </si>
  <si>
    <t>RAUL MALDONADO-MENDOZA</t>
  </si>
  <si>
    <t xml:space="preserve">2315 CHEW ST </t>
  </si>
  <si>
    <t>APRIL M CAVANAUGH</t>
  </si>
  <si>
    <t xml:space="preserve">2300 W LOOP S </t>
  </si>
  <si>
    <t>JOSHUA BRIANE COLEMAN</t>
  </si>
  <si>
    <t xml:space="preserve">11111 W. MONTGOMERY </t>
  </si>
  <si>
    <t>MORGAN HALL</t>
  </si>
  <si>
    <t xml:space="preserve">34 N HIGHLAND CT </t>
  </si>
  <si>
    <t>IYAH TANESHIA CHRISTOPHER</t>
  </si>
  <si>
    <t xml:space="preserve">12710 BEXHILL DRIVE. </t>
  </si>
  <si>
    <t>ADDEL GONZALEZ-COLUMBIE</t>
  </si>
  <si>
    <t xml:space="preserve">11315 FONDREN RD </t>
  </si>
  <si>
    <t>GUSTAVO NEGRET</t>
  </si>
  <si>
    <t>311 HIGHLAND CROSS DRIVE</t>
  </si>
  <si>
    <t>KENNETH DEWAYNE SUMLIN</t>
  </si>
  <si>
    <t xml:space="preserve">100 HOLLOW TREE LN </t>
  </si>
  <si>
    <t>MICHAEL RAY LASLY</t>
  </si>
  <si>
    <t xml:space="preserve">1112 NANCY </t>
  </si>
  <si>
    <t>ALEXIS JOEL LOZANO</t>
  </si>
  <si>
    <t>10550 VALLEY FORGE DR APT 104</t>
  </si>
  <si>
    <t>HEATHER NICOLE SOTO</t>
  </si>
  <si>
    <t>JOSIA ARISTO ROBINSON</t>
  </si>
  <si>
    <t xml:space="preserve">293 COUNTY RD 2637 </t>
  </si>
  <si>
    <t>JATAVIA JASMINE HEBERT</t>
  </si>
  <si>
    <t xml:space="preserve">9550 N WAYSIDE DR </t>
  </si>
  <si>
    <t>RANDALL FERNANDEZ</t>
  </si>
  <si>
    <t xml:space="preserve">17907 ASPHODEL LN </t>
  </si>
  <si>
    <t>DECOREY JEFFERSON</t>
  </si>
  <si>
    <t xml:space="preserve">12500 DUNLAP ST </t>
  </si>
  <si>
    <t>ANTHONY LARIOS</t>
  </si>
  <si>
    <t xml:space="preserve">20606 RAINSTONE CT </t>
  </si>
  <si>
    <t>IMAN WHITE</t>
  </si>
  <si>
    <t>990 CYPRSS STATION DR.</t>
  </si>
  <si>
    <t>JERODD LIJAUHN BARNABA</t>
  </si>
  <si>
    <t xml:space="preserve">807 SOUTH CIRCLE DR </t>
  </si>
  <si>
    <t>ALBERT NAPIER</t>
  </si>
  <si>
    <t xml:space="preserve">17703 WEST STRACK </t>
  </si>
  <si>
    <t>THOMAS GYPSY PINCKLEY</t>
  </si>
  <si>
    <t xml:space="preserve">1602 ANVIL DR </t>
  </si>
  <si>
    <t>ELIJAH DUPREE HUFF</t>
  </si>
  <si>
    <t xml:space="preserve">6539 LANGHAM WAY </t>
  </si>
  <si>
    <t>ALEXIS MORGAN WELKER</t>
  </si>
  <si>
    <t>10550 VALLEY FORGE DR APT 139</t>
  </si>
  <si>
    <t>MARIA GOMEZ</t>
  </si>
  <si>
    <t>JEREMY JAMES WEINMANN</t>
  </si>
  <si>
    <t>5635 TIMBER CREEK PL ACE DR</t>
  </si>
  <si>
    <t>SAQUIYA LUCRITIA GERALD</t>
  </si>
  <si>
    <t xml:space="preserve">15115 MESA DR </t>
  </si>
  <si>
    <t>RASHAUD RESHUN JACKSON</t>
  </si>
  <si>
    <t xml:space="preserve">12500 SANDPIPPER DR </t>
  </si>
  <si>
    <t>FERNANDO E. TREMINIO</t>
  </si>
  <si>
    <t xml:space="preserve">23831 GOODFELLOW DR </t>
  </si>
  <si>
    <t>HECTOR MARTINEZ</t>
  </si>
  <si>
    <t xml:space="preserve">10050 WARWANA RD </t>
  </si>
  <si>
    <t>JAMES FOBBS</t>
  </si>
  <si>
    <t xml:space="preserve">3914 CORTO ST </t>
  </si>
  <si>
    <t>JOSE LOERA</t>
  </si>
  <si>
    <t xml:space="preserve">12843 ABALONE WAY </t>
  </si>
  <si>
    <t>ADONIE ANDRUS</t>
  </si>
  <si>
    <t xml:space="preserve">14230 WUNDERLICH DR </t>
  </si>
  <si>
    <t>MIKAYLA C SAVAGE</t>
  </si>
  <si>
    <t>906 W MOUNT HOUSTON RD</t>
  </si>
  <si>
    <t>SEAN SCOTT</t>
  </si>
  <si>
    <t xml:space="preserve">10800 KIPP WAY DR </t>
  </si>
  <si>
    <t>MICHELLE JOHNSON</t>
  </si>
  <si>
    <t xml:space="preserve">1432 HANKAMER ST </t>
  </si>
  <si>
    <t>JARED EARL SIMMONS</t>
  </si>
  <si>
    <t xml:space="preserve">3807 DELANO ST </t>
  </si>
  <si>
    <t>DAVID CANDELARIO SALISBURY</t>
  </si>
  <si>
    <t>10818 MOONLIT MEADOWS CT</t>
  </si>
  <si>
    <t>LYRIC A. LEBLANC</t>
  </si>
  <si>
    <t xml:space="preserve">5621 ALDINE BENDER </t>
  </si>
  <si>
    <t>YUNIOR FIGUEROA</t>
  </si>
  <si>
    <t xml:space="preserve">14222 WUNDERLICH </t>
  </si>
  <si>
    <t>JAMOND DWAYNE JOHNSON</t>
  </si>
  <si>
    <t>320 MASSEY TOMKINS RD</t>
  </si>
  <si>
    <t>BRANDY MORGAN</t>
  </si>
  <si>
    <t xml:space="preserve">1322 GAMMA ST </t>
  </si>
  <si>
    <t>ISAIAH MCCARDELL</t>
  </si>
  <si>
    <t>16 CHARLSTON PARK DRIVE</t>
  </si>
  <si>
    <t>ADRIAN ARGUETA</t>
  </si>
  <si>
    <t xml:space="preserve">5350 AEROPARK </t>
  </si>
  <si>
    <t>ELIJAH CHAMBERS SIZEMORE</t>
  </si>
  <si>
    <t xml:space="preserve">6506 WESTOVER ST </t>
  </si>
  <si>
    <t>JOSEPH JOVONTE WELLS</t>
  </si>
  <si>
    <t>790 W LITTLE YORK A PT 1206</t>
  </si>
  <si>
    <t>DAVID JR CERVANTES</t>
  </si>
  <si>
    <t xml:space="preserve">7014 PALMETTO </t>
  </si>
  <si>
    <t>JOHNISHA GRANVILLE</t>
  </si>
  <si>
    <t xml:space="preserve">15004 CORSSWINDS </t>
  </si>
  <si>
    <t>ISMAEL LARA</t>
  </si>
  <si>
    <t xml:space="preserve">270 EV EVANSTON ST </t>
  </si>
  <si>
    <t>MALIK ANDREW-PAUL CARR</t>
  </si>
  <si>
    <t xml:space="preserve">7234 VICTORVILLE RD </t>
  </si>
  <si>
    <t>FERMIN MEDINA</t>
  </si>
  <si>
    <t xml:space="preserve">8417 WOODLYN RD </t>
  </si>
  <si>
    <t>SHADANA LOUISE BLACK</t>
  </si>
  <si>
    <t xml:space="preserve">15211 PARK ROW APT </t>
  </si>
  <si>
    <t>RUDOLPH JR RIVERA</t>
  </si>
  <si>
    <t xml:space="preserve">12727 ROBERT E LEE DR </t>
  </si>
  <si>
    <t>BEVERLY M. VASQUEZ</t>
  </si>
  <si>
    <t xml:space="preserve">5751 RUE ST </t>
  </si>
  <si>
    <t>TAKEISHELA ROBERTSON</t>
  </si>
  <si>
    <t xml:space="preserve">7810 LAVENDER ST </t>
  </si>
  <si>
    <t>ANTHONY HUGHES</t>
  </si>
  <si>
    <t>BRITTANY NICHOLE BERTRAND</t>
  </si>
  <si>
    <t xml:space="preserve">235 E 38TH ST </t>
  </si>
  <si>
    <t>TAVON SCRANTON</t>
  </si>
  <si>
    <t xml:space="preserve">5625 ATIONE </t>
  </si>
  <si>
    <t>JOSHUA KYON LONG</t>
  </si>
  <si>
    <t xml:space="preserve">19245 HWY 90 </t>
  </si>
  <si>
    <t>LB SCOTT</t>
  </si>
  <si>
    <t>5619 ALDINE BENDER R D</t>
  </si>
  <si>
    <t>MICHAEL KELVIN SWENSON</t>
  </si>
  <si>
    <t>2330 SOUTHWEST FWY 3 31</t>
  </si>
  <si>
    <t>ROBERT ANDRADE</t>
  </si>
  <si>
    <t xml:space="preserve">4100 VISTA RD </t>
  </si>
  <si>
    <t>MOSES C. DELAGARZA</t>
  </si>
  <si>
    <t xml:space="preserve">1804 QURTZ ST </t>
  </si>
  <si>
    <t>NATASHA MARIE STAFFORD</t>
  </si>
  <si>
    <t xml:space="preserve">4365 S 4TH ST </t>
  </si>
  <si>
    <t xml:space="preserve">3201 GARTH RD </t>
  </si>
  <si>
    <t>JOSHUA EARL SIMMONS</t>
  </si>
  <si>
    <t xml:space="preserve">136 BATES CT </t>
  </si>
  <si>
    <t>DEVIN GREENE</t>
  </si>
  <si>
    <t xml:space="preserve">3560 DIXIE DR </t>
  </si>
  <si>
    <t>NASTACIA MARIE MITCHELL-HANSON</t>
  </si>
  <si>
    <t xml:space="preserve">3400 SHADY HILL DR </t>
  </si>
  <si>
    <t>CARLOS ANTONIO DIAZ-BEITEZ</t>
  </si>
  <si>
    <t xml:space="preserve">9403 BELLAIRE BLVD </t>
  </si>
  <si>
    <t>DAIVION T. TAYLOR</t>
  </si>
  <si>
    <t xml:space="preserve">16915 BALMORAL ST </t>
  </si>
  <si>
    <t>LINDSAY HOWELL-SIMMS</t>
  </si>
  <si>
    <t xml:space="preserve">2509 AVE K </t>
  </si>
  <si>
    <t>JEREMY DIJON LEE</t>
  </si>
  <si>
    <t xml:space="preserve">509 FIFTH ST </t>
  </si>
  <si>
    <t>STEPHENIE GUZMAN</t>
  </si>
  <si>
    <t xml:space="preserve">520 ATASCOCITA RD </t>
  </si>
  <si>
    <t>ASHTON KEITH MENIFEE</t>
  </si>
  <si>
    <t xml:space="preserve">6411 COBALT ST </t>
  </si>
  <si>
    <t>MARCO ANTONIO HERNANDEZ</t>
  </si>
  <si>
    <t>6422 PROVIDENT GREEN DR</t>
  </si>
  <si>
    <t>JOHN CHARLES BARZILLA</t>
  </si>
  <si>
    <t xml:space="preserve">4206 PANOLA DR </t>
  </si>
  <si>
    <t>RICARDO TORRES TRUJILLO</t>
  </si>
  <si>
    <t xml:space="preserve">9125 SH-6-S </t>
  </si>
  <si>
    <t>DAVID SAUCIR</t>
  </si>
  <si>
    <t xml:space="preserve">4718 BROOKLAWN DR </t>
  </si>
  <si>
    <t>RAMI RYAN AL-NOUBANI</t>
  </si>
  <si>
    <t xml:space="preserve">19203 OPUL TRAILS CT </t>
  </si>
  <si>
    <t>BROOKS FAY SERENA</t>
  </si>
  <si>
    <t xml:space="preserve">6516 SHERWOOD DR </t>
  </si>
  <si>
    <t>SHANEKIA LATIA MCMILLIAN</t>
  </si>
  <si>
    <t>14220 PARK ROW APT 21 5</t>
  </si>
  <si>
    <t>ALECIA RENNE BAGLEY</t>
  </si>
  <si>
    <t xml:space="preserve">4045 NORTH FWY IB </t>
  </si>
  <si>
    <t>KEANDRE A. ROSE</t>
  </si>
  <si>
    <t xml:space="preserve">1205 PRUITT ST </t>
  </si>
  <si>
    <t>DETRANE COLEMAN LINDSEY</t>
  </si>
  <si>
    <t xml:space="preserve">5314 DASHWOOD DR </t>
  </si>
  <si>
    <t>CODY A BRYANT</t>
  </si>
  <si>
    <t xml:space="preserve">11501 29TH ST </t>
  </si>
  <si>
    <t>KEELYN D MCCLELLAND</t>
  </si>
  <si>
    <t xml:space="preserve">13655 ELLA BLVD </t>
  </si>
  <si>
    <t>JOSE ROBERTO GONZALEZ</t>
  </si>
  <si>
    <t xml:space="preserve">806 VIRGINIA ST </t>
  </si>
  <si>
    <t>KENNETH WAYNE JR. MORRIS</t>
  </si>
  <si>
    <t>10222 HORSESHOE BEND DR</t>
  </si>
  <si>
    <t>TYRE DEANTE SMITH</t>
  </si>
  <si>
    <t>14400 ELLA BLVD APT 2 6</t>
  </si>
  <si>
    <t>YANIEL CASTILLO-CARDENAS</t>
  </si>
  <si>
    <t xml:space="preserve">9900 RICHMOND AVE </t>
  </si>
  <si>
    <t>ISAAC KOWFIE ANTOBAM</t>
  </si>
  <si>
    <t xml:space="preserve">1000 NORTHWOOD DR </t>
  </si>
  <si>
    <t>DESTINY NICHOLE BLACKWELL</t>
  </si>
  <si>
    <t xml:space="preserve">135 S CHESTNUT </t>
  </si>
  <si>
    <t>FRANCIS KWAKYE</t>
  </si>
  <si>
    <t>6300 WEST BELLFORT S T</t>
  </si>
  <si>
    <t>LARRY YEARGIN</t>
  </si>
  <si>
    <t xml:space="preserve">7642 CRISP WOOD LN </t>
  </si>
  <si>
    <t>BRETT LOGAN BURNAMAN</t>
  </si>
  <si>
    <t xml:space="preserve">169 BEECHWOOD DR </t>
  </si>
  <si>
    <t>WILLIAM PALMER CROOKS</t>
  </si>
  <si>
    <t xml:space="preserve">3802 CONNORVALE RD </t>
  </si>
  <si>
    <t>LUCIUS JOHN WILLIAMS</t>
  </si>
  <si>
    <t xml:space="preserve">3722 SEABROOK ST </t>
  </si>
  <si>
    <t>TEODOLO VAZQUEZ RODRIGUEZ</t>
  </si>
  <si>
    <t xml:space="preserve">3302 CAMEO DR </t>
  </si>
  <si>
    <t>MATTHEW PAUL DONALDSON</t>
  </si>
  <si>
    <t xml:space="preserve">130 BLUEBAY DR </t>
  </si>
  <si>
    <t>MONICA JACKQUELYN MARTINEZVALLE</t>
  </si>
  <si>
    <t xml:space="preserve">2006 BEATTY ST </t>
  </si>
  <si>
    <t>TYJAE GOFF</t>
  </si>
  <si>
    <t xml:space="preserve">2119 HAMPTON ST B </t>
  </si>
  <si>
    <t>DESHAUN FORBES</t>
  </si>
  <si>
    <t xml:space="preserve">8791 HAMMERLY </t>
  </si>
  <si>
    <t>JAYQUON DIONTE GLOVER</t>
  </si>
  <si>
    <t xml:space="preserve">14023 ST HWY 155 S </t>
  </si>
  <si>
    <t>ALAN REYES</t>
  </si>
  <si>
    <t xml:space="preserve">11709 RUBENSTEIN ST </t>
  </si>
  <si>
    <t>KAYLE DANIELLE ALEXANDER</t>
  </si>
  <si>
    <t xml:space="preserve">315 LAVACA LN </t>
  </si>
  <si>
    <t>HAYDEN MITCHELL DONHAM</t>
  </si>
  <si>
    <t xml:space="preserve">1310 WILDWOOD DR </t>
  </si>
  <si>
    <t>DWIGHT RANDELL BURTON</t>
  </si>
  <si>
    <t xml:space="preserve">155 PERFIDIA DR </t>
  </si>
  <si>
    <t>MARKESHA L. ROBINSON</t>
  </si>
  <si>
    <t xml:space="preserve">12247 AURONIA DR </t>
  </si>
  <si>
    <t>KION JERMAINE HOOKS</t>
  </si>
  <si>
    <t xml:space="preserve">4910 FAIRGREEN LN </t>
  </si>
  <si>
    <t>ADRIAN HUNTER</t>
  </si>
  <si>
    <t>20718 BANNER MEADOW L N</t>
  </si>
  <si>
    <t>MOHAMMED MADANI</t>
  </si>
  <si>
    <t xml:space="preserve">14618 TAYMOUTH DR </t>
  </si>
  <si>
    <t>ALBERT OSCAR GOMEZ</t>
  </si>
  <si>
    <t xml:space="preserve">1101 CRESLINE </t>
  </si>
  <si>
    <t>JAHAD BEN THOMPSON</t>
  </si>
  <si>
    <t>8106 KNIGHTWOOD FORE ST DR</t>
  </si>
  <si>
    <t>ALEJANDRO OSUALDO VASQUEZ-TIU</t>
  </si>
  <si>
    <t xml:space="preserve">2929 ROLIDO DR </t>
  </si>
  <si>
    <t>ISRAEL AMADOR</t>
  </si>
  <si>
    <t xml:space="preserve">2106 LINDEN CREEK LN </t>
  </si>
  <si>
    <t>ORION MATTHEW DE LA GARZA</t>
  </si>
  <si>
    <t xml:space="preserve">9514 GULFBRIDGE ST </t>
  </si>
  <si>
    <t>JUAN MANUEL ALVAREZ-PEREZ</t>
  </si>
  <si>
    <t xml:space="preserve">64.5 BURBANK ST </t>
  </si>
  <si>
    <t>MANUEL HUGO GUTIERREZ</t>
  </si>
  <si>
    <t xml:space="preserve">7520 COOK RD APT </t>
  </si>
  <si>
    <t>LUIS HUERTAS</t>
  </si>
  <si>
    <t xml:space="preserve">101 SOUTH POINT CT </t>
  </si>
  <si>
    <t>DAVID SCOTT CAVEN</t>
  </si>
  <si>
    <t>649 NORTH POST OAK LN</t>
  </si>
  <si>
    <t>NASIR IMANI EDMOND</t>
  </si>
  <si>
    <t xml:space="preserve">6302 SCHEVERS ST </t>
  </si>
  <si>
    <t>LEONARD TREYLON HOLMES</t>
  </si>
  <si>
    <t xml:space="preserve">5315 NEWKIRK LN </t>
  </si>
  <si>
    <t>ERICK FERNANDEZ</t>
  </si>
  <si>
    <t xml:space="preserve">7906 ANZA CIR </t>
  </si>
  <si>
    <t>STEVEN DWAIN COLE</t>
  </si>
  <si>
    <t xml:space="preserve">14823 EASINGWOOD </t>
  </si>
  <si>
    <t>JESSICA WEBB</t>
  </si>
  <si>
    <t xml:space="preserve">10103 WILLOW CROSSING </t>
  </si>
  <si>
    <t>CELIA MARIE ZARAGOSA</t>
  </si>
  <si>
    <t xml:space="preserve">7002 ESMMES ST </t>
  </si>
  <si>
    <t>SAMANTHA ALEXANDRA CORDERO</t>
  </si>
  <si>
    <t xml:space="preserve">5145 SILVER CREEK DR </t>
  </si>
  <si>
    <t>JESUS ROSALES</t>
  </si>
  <si>
    <t xml:space="preserve">981 ASHLAND BLVD </t>
  </si>
  <si>
    <t>CAMERON ROMEO GHAFFARIAN</t>
  </si>
  <si>
    <t xml:space="preserve">7818 OAK CASTLE </t>
  </si>
  <si>
    <t>JUAN GARZA DELEON</t>
  </si>
  <si>
    <t xml:space="preserve">2802 SKELETON DR </t>
  </si>
  <si>
    <t>BRIA NICOLE PICKENS</t>
  </si>
  <si>
    <t xml:space="preserve">333 ARITEX DR </t>
  </si>
  <si>
    <t>JESUS PATINO</t>
  </si>
  <si>
    <t xml:space="preserve">7123 QUINCE ST </t>
  </si>
  <si>
    <t>CHASE ROSHAD BROOKS</t>
  </si>
  <si>
    <t xml:space="preserve">5711 EASTHAMPTON DR </t>
  </si>
  <si>
    <t>RYON E. TORRES</t>
  </si>
  <si>
    <t xml:space="preserve">3722 RAMSGATE DR </t>
  </si>
  <si>
    <t>ZACHARY ALAN WILSON</t>
  </si>
  <si>
    <t xml:space="preserve">306 RHODES CIR. </t>
  </si>
  <si>
    <t>DARIUS JOHNSON</t>
  </si>
  <si>
    <t xml:space="preserve">10901 TELEPHONE RD </t>
  </si>
  <si>
    <t>DMITRI BENSON JULES</t>
  </si>
  <si>
    <t xml:space="preserve">3626 FALLBROOK DR. </t>
  </si>
  <si>
    <t>TAREZ LAMAR LOCKHART</t>
  </si>
  <si>
    <t xml:space="preserve">3909 BURKE RD </t>
  </si>
  <si>
    <t>DERECK ANTONIO JOGLAR</t>
  </si>
  <si>
    <t>15155 RICHMOND AVE 12 34</t>
  </si>
  <si>
    <t>ZACCHEUS DWIGHT STEPTOE</t>
  </si>
  <si>
    <t xml:space="preserve">7211 NORTHLINE DR </t>
  </si>
  <si>
    <t>ROBERT A VALDEZ</t>
  </si>
  <si>
    <t xml:space="preserve">5218 MILWEE ST </t>
  </si>
  <si>
    <t>MORRIS DWYANE GREEN</t>
  </si>
  <si>
    <t xml:space="preserve">1490 HARWIN </t>
  </si>
  <si>
    <t>JEREMIAH ROBINSON</t>
  </si>
  <si>
    <t>BRIAN WALDEMIR CASTILLO</t>
  </si>
  <si>
    <t xml:space="preserve">4301 LINDALE </t>
  </si>
  <si>
    <t>EMMANUEL ANDRES CARDOZA</t>
  </si>
  <si>
    <t xml:space="preserve">1950 SPENWICK DR </t>
  </si>
  <si>
    <t>NTIRANYIBAGIRA AZADI</t>
  </si>
  <si>
    <t>1442 LAKESIDE ESTATE S DR</t>
  </si>
  <si>
    <t>KIANA CHAMPAYNE WOODS</t>
  </si>
  <si>
    <t xml:space="preserve">8803 BASKOVE DR </t>
  </si>
  <si>
    <t>JONTREY REMBRANDT HOUSTON</t>
  </si>
  <si>
    <t xml:space="preserve">12000 MLK BLVD </t>
  </si>
  <si>
    <t>DEMONITA TRAVON SCOTT</t>
  </si>
  <si>
    <t>12010 CHAMPIONS VALLE Y DR</t>
  </si>
  <si>
    <t>KENNETH LAWRENCE SARVER</t>
  </si>
  <si>
    <t xml:space="preserve">7140 S DAIRY ASHFORD </t>
  </si>
  <si>
    <t>ISRAEL ALVARADO</t>
  </si>
  <si>
    <t>8520 PITNER RD APT 8 03</t>
  </si>
  <si>
    <t>STEPHANIE MICHAELA BRAVO</t>
  </si>
  <si>
    <t>IRAN ABISAI JIMENEZ</t>
  </si>
  <si>
    <t xml:space="preserve">4411 OLD YALE ST </t>
  </si>
  <si>
    <t>MARQUICE JREMANE WEAR</t>
  </si>
  <si>
    <t xml:space="preserve">8160 RECORD ST </t>
  </si>
  <si>
    <t>RYANESHA NICOLE MARSHALL-SPARKS</t>
  </si>
  <si>
    <t>2301 LAZY HOLLOW DR APT 303A</t>
  </si>
  <si>
    <t>MICAH DANE URESTI</t>
  </si>
  <si>
    <t>DANTE GABRIEL COTTO</t>
  </si>
  <si>
    <t xml:space="preserve">502 WISDOM DR </t>
  </si>
  <si>
    <t xml:space="preserve">2827 DUNVALE RD </t>
  </si>
  <si>
    <t>HERNANDEZ JACKELIN JULIA</t>
  </si>
  <si>
    <t xml:space="preserve">9635 VILVEN LN </t>
  </si>
  <si>
    <t>STANDLY DEWAIN HATTER</t>
  </si>
  <si>
    <t xml:space="preserve">258 LENA DR </t>
  </si>
  <si>
    <t>STEPHEN JAMES ROSS</t>
  </si>
  <si>
    <t xml:space="preserve">2215 BAUER DR </t>
  </si>
  <si>
    <t>DABID IBAN GONZALEZ</t>
  </si>
  <si>
    <t xml:space="preserve">10555 SPICE </t>
  </si>
  <si>
    <t>SHAI-KEEM THOMAS</t>
  </si>
  <si>
    <t xml:space="preserve">600 HAROLD ST </t>
  </si>
  <si>
    <t>JOHN VAN TRAN</t>
  </si>
  <si>
    <t xml:space="preserve">101 CRAWFORD ST 202 </t>
  </si>
  <si>
    <t>GILBERT R MORALES</t>
  </si>
  <si>
    <t xml:space="preserve">439 METERS ST </t>
  </si>
  <si>
    <t>DANISHA CHATMAN</t>
  </si>
  <si>
    <t xml:space="preserve">13711 TANVERN CT </t>
  </si>
  <si>
    <t>JUAN PABLO ESPINO MORENO</t>
  </si>
  <si>
    <t xml:space="preserve">3103 QUITMAN ST </t>
  </si>
  <si>
    <t>ISAIAH KEITH FRAZIER</t>
  </si>
  <si>
    <t xml:space="preserve">3306 BINZ ST </t>
  </si>
  <si>
    <t>JACKSON COHL HARRINGTON</t>
  </si>
  <si>
    <t>5965 WHISPERING LAKE S DR</t>
  </si>
  <si>
    <t>ASHTON MICAH ELDER</t>
  </si>
  <si>
    <t>17902 MISSION BLUFF L N</t>
  </si>
  <si>
    <t>MARTELL O. HAMILTON</t>
  </si>
  <si>
    <t xml:space="preserve">13025 DONEGAL WAY </t>
  </si>
  <si>
    <t>GESSEL ORTIZ-GARCIA</t>
  </si>
  <si>
    <t>18614 PADDYS CREEK TR L</t>
  </si>
  <si>
    <t>JIMMY LEE WILLIAMS</t>
  </si>
  <si>
    <t xml:space="preserve">9321 SHERBOURNE ST </t>
  </si>
  <si>
    <t>DEVON PAIGE SHIPPER</t>
  </si>
  <si>
    <t>MICHELLE LYNN TSATSARONIS</t>
  </si>
  <si>
    <t xml:space="preserve">30626 MATENS </t>
  </si>
  <si>
    <t>DAVID L DORSEY</t>
  </si>
  <si>
    <t xml:space="preserve">7050 INWOOD PARK DR </t>
  </si>
  <si>
    <t>JOSE CASTANON</t>
  </si>
  <si>
    <t xml:space="preserve">9237 HILLIS </t>
  </si>
  <si>
    <t>DEMETRIUS BLUE</t>
  </si>
  <si>
    <t xml:space="preserve">4600 CHAPPARRAL </t>
  </si>
  <si>
    <t>JERMONTE MARQUIS BARNES</t>
  </si>
  <si>
    <t xml:space="preserve">6363 W AIRPORT BLVD </t>
  </si>
  <si>
    <t>LAMARK WILLIAMS</t>
  </si>
  <si>
    <t xml:space="preserve">9303 W TIDWELL </t>
  </si>
  <si>
    <t>JESSICA L JOHNSON</t>
  </si>
  <si>
    <t xml:space="preserve">9903 RODGERS RD </t>
  </si>
  <si>
    <t>KIZHON BROWN</t>
  </si>
  <si>
    <t xml:space="preserve">11318 MURR WAY </t>
  </si>
  <si>
    <t>HANNAH SHEA DONAHUE</t>
  </si>
  <si>
    <t xml:space="preserve">9730 SHEPHERD DR </t>
  </si>
  <si>
    <t>BRITTANY NICOLE SMITH</t>
  </si>
  <si>
    <t xml:space="preserve">12042 FERN FOREST DR </t>
  </si>
  <si>
    <t>JUAN FRANCISCO GARCIA-REYES</t>
  </si>
  <si>
    <t xml:space="preserve">1141 BURKE </t>
  </si>
  <si>
    <t>VIVIAN GRACE BAILEY</t>
  </si>
  <si>
    <t xml:space="preserve">25415 LYNBRIAR </t>
  </si>
  <si>
    <t>JUANA MARIA LEIJA</t>
  </si>
  <si>
    <t>17416 JACKSON PINES D R</t>
  </si>
  <si>
    <t>DANTE ANTONIO DEBERARDINO</t>
  </si>
  <si>
    <t xml:space="preserve">19 ELLICOTT WAY </t>
  </si>
  <si>
    <t>MAKAYLA DANIELLA HAYNES</t>
  </si>
  <si>
    <t xml:space="preserve">8125 MILLS ROAD </t>
  </si>
  <si>
    <t>ERWIN GONZALEZ-GIRON</t>
  </si>
  <si>
    <t xml:space="preserve">1602 SIMPSON </t>
  </si>
  <si>
    <t>DARRELL WAYNE JONES</t>
  </si>
  <si>
    <t xml:space="preserve">6813 SHERWOOD DR </t>
  </si>
  <si>
    <t>JERIMIAH JOE REYNOSA-SILVA</t>
  </si>
  <si>
    <t xml:space="preserve">11131 CLARK RD </t>
  </si>
  <si>
    <t>DIEGO CARABAJAL</t>
  </si>
  <si>
    <t xml:space="preserve">530 COLLINGSWORTH </t>
  </si>
  <si>
    <t>WILLIAM DARNELL RIGGS</t>
  </si>
  <si>
    <t>14630 SIERRA GARDEN D R</t>
  </si>
  <si>
    <t>JOSE ANGEL SANCHEZ</t>
  </si>
  <si>
    <t xml:space="preserve">5867 WESTOVER ST </t>
  </si>
  <si>
    <t>DARNATHEUS RICHARDSON</t>
  </si>
  <si>
    <t xml:space="preserve">5420 RAND ST </t>
  </si>
  <si>
    <t>LISA LENORE PRINCE</t>
  </si>
  <si>
    <t xml:space="preserve">14550 FONMEADOW DR </t>
  </si>
  <si>
    <t>MCKENZIE JONES</t>
  </si>
  <si>
    <t xml:space="preserve">19998 PARK ROW DRIVE </t>
  </si>
  <si>
    <t>JOHN NAIN REYES</t>
  </si>
  <si>
    <t xml:space="preserve">1514 FREEDONIA DR </t>
  </si>
  <si>
    <t>MIGUEL A MEDRANO FLORES</t>
  </si>
  <si>
    <t>CALEB RYAN</t>
  </si>
  <si>
    <t xml:space="preserve">6802 BLEKER ST </t>
  </si>
  <si>
    <t>ROSA MALENY FERRUFINO</t>
  </si>
  <si>
    <t xml:space="preserve">7503 FONDREN ROAD </t>
  </si>
  <si>
    <t>GARY SMITH</t>
  </si>
  <si>
    <t xml:space="preserve">3303 ELSER ST </t>
  </si>
  <si>
    <t>CALEB COOKS</t>
  </si>
  <si>
    <t xml:space="preserve">3829 SOUTHLAWN ST </t>
  </si>
  <si>
    <t xml:space="preserve">498 CR 4281 </t>
  </si>
  <si>
    <t>MENGSTEAB ADHANOM</t>
  </si>
  <si>
    <t>MICHAEL CHRISTIAN DE LA CRUZ</t>
  </si>
  <si>
    <t xml:space="preserve">19211 HOPEVIEW CT </t>
  </si>
  <si>
    <t>ARTURO PEREZ</t>
  </si>
  <si>
    <t xml:space="preserve">6526 BROOKFIELD </t>
  </si>
  <si>
    <t>RODRICK GLOVER</t>
  </si>
  <si>
    <t xml:space="preserve">1318 DELLBROOK DR </t>
  </si>
  <si>
    <t>FERAS AHMAD SULEIMAN</t>
  </si>
  <si>
    <t xml:space="preserve">6026 WATERWALK CT </t>
  </si>
  <si>
    <t>VALERIE HARVEL</t>
  </si>
  <si>
    <t xml:space="preserve">14335 ELLA BLVD </t>
  </si>
  <si>
    <t>ZEMARCUS KHALIL GREEN</t>
  </si>
  <si>
    <t xml:space="preserve">9103 KENTSHIRE DR </t>
  </si>
  <si>
    <t>RAYMUNDO SALAS GARCIA</t>
  </si>
  <si>
    <t xml:space="preserve">7446 LAKEHURST DR </t>
  </si>
  <si>
    <t>COBY MICHAEL KIRCHNER</t>
  </si>
  <si>
    <t xml:space="preserve">4782 COUNTY ROAD 138 </t>
  </si>
  <si>
    <t>CERENITY FAITH BRADFORD</t>
  </si>
  <si>
    <t xml:space="preserve">6206 NOVATO DR </t>
  </si>
  <si>
    <t>JUANA BEATRIZ MIRANDA-NAVARRO</t>
  </si>
  <si>
    <t xml:space="preserve">1109 THERESA ST </t>
  </si>
  <si>
    <t>MICHAEL T. VICTOR</t>
  </si>
  <si>
    <t xml:space="preserve">14126 BURTCLIFF ST </t>
  </si>
  <si>
    <t>JUSTUS TERRELL WILLIAMS-ARMSTRONG</t>
  </si>
  <si>
    <t xml:space="preserve">5858 HERON DRIVE </t>
  </si>
  <si>
    <t>JORGE ALFREDO RUIZ</t>
  </si>
  <si>
    <t xml:space="preserve">7140 APPLETON ST </t>
  </si>
  <si>
    <t>SYDNEI RENE DUMAS</t>
  </si>
  <si>
    <t xml:space="preserve">3723 ZEPHYR ST </t>
  </si>
  <si>
    <t>HAROLD DEWAYNE CHRISTIAN</t>
  </si>
  <si>
    <t xml:space="preserve">5401 DOOLITTLE BLVD </t>
  </si>
  <si>
    <t>JAZMINE CAPUCHINO</t>
  </si>
  <si>
    <t xml:space="preserve">10109 FAIRFAX ST </t>
  </si>
  <si>
    <t>VALENTINA OSPINA</t>
  </si>
  <si>
    <t>2323 FIRST PARK DRIV E</t>
  </si>
  <si>
    <t>TENEESHA LA MOMON</t>
  </si>
  <si>
    <t xml:space="preserve">4002 CORDER ST </t>
  </si>
  <si>
    <t>HOMERO JACOB DIAZ</t>
  </si>
  <si>
    <t xml:space="preserve">1406 HITCHIN LANE </t>
  </si>
  <si>
    <t>DAVID BLAKE ANDREWS</t>
  </si>
  <si>
    <t xml:space="preserve">2202 KINGSDALE DR </t>
  </si>
  <si>
    <t>JENISE DJEREE BENJAMIN</t>
  </si>
  <si>
    <t xml:space="preserve">9110 FALLS GULCH CT </t>
  </si>
  <si>
    <t>JONAH JEROME SMITH</t>
  </si>
  <si>
    <t>508 WEST DONOVAN ST . UNIT L</t>
  </si>
  <si>
    <t>SIRILO GARCIA RUIZ</t>
  </si>
  <si>
    <t xml:space="preserve">7950 AMELIA RD </t>
  </si>
  <si>
    <t>ALEJANDRO CAMPOS</t>
  </si>
  <si>
    <t xml:space="preserve">6711 ATWELL DR </t>
  </si>
  <si>
    <t>JAVONTE MYERS-KEARNEY</t>
  </si>
  <si>
    <t xml:space="preserve">6642 BRIARGATE DR </t>
  </si>
  <si>
    <t>ASHLEY S FISHER</t>
  </si>
  <si>
    <t xml:space="preserve">8426 FLINTRIDGE DR </t>
  </si>
  <si>
    <t>JAMES CHRISTOPHER LEE</t>
  </si>
  <si>
    <t xml:space="preserve">3430 FALCON TRAIL CT </t>
  </si>
  <si>
    <t>NOHEMY ISABEL RAMIREZ</t>
  </si>
  <si>
    <t xml:space="preserve">907 RAINY RIVER DR </t>
  </si>
  <si>
    <t>MARIESHA DOCKERY</t>
  </si>
  <si>
    <t>18206 TENASSERIM PINE TER</t>
  </si>
  <si>
    <t>CHRISTOPHER DEVIAN HARLAND</t>
  </si>
  <si>
    <t xml:space="preserve">1526 CHERTSEY CIRCLE </t>
  </si>
  <si>
    <t>LUIS GARCIA</t>
  </si>
  <si>
    <t xml:space="preserve">12035 HUFFMEISTER RD </t>
  </si>
  <si>
    <t>CELIA COLEMAN-FLORES</t>
  </si>
  <si>
    <t xml:space="preserve">213 AVENUE D </t>
  </si>
  <si>
    <t>HONGYIN YANG</t>
  </si>
  <si>
    <t>9367 WESTWOOD VILLAG E DR</t>
  </si>
  <si>
    <t>HERIBERTO AGUINAGA</t>
  </si>
  <si>
    <t xml:space="preserve">1105 SOREN LN </t>
  </si>
  <si>
    <t>JORGE HERRERA</t>
  </si>
  <si>
    <t xml:space="preserve">3007 BANDELL DR </t>
  </si>
  <si>
    <t>GABRIEL POSEY</t>
  </si>
  <si>
    <t xml:space="preserve">633 RUSH ST </t>
  </si>
  <si>
    <t>JAZMOND STRINGER</t>
  </si>
  <si>
    <t>13555 BREATON RIDGE S T</t>
  </si>
  <si>
    <t>CHRISTOPHER JAMES MCDONALD</t>
  </si>
  <si>
    <t xml:space="preserve">10626 WOLBROOK ST </t>
  </si>
  <si>
    <t>ALEJANDRO C. GOMEZ HENRIGUEZ</t>
  </si>
  <si>
    <t xml:space="preserve">11150 BEAMER RD </t>
  </si>
  <si>
    <t>CHARLES EDWARD MARKS</t>
  </si>
  <si>
    <t xml:space="preserve">602 GIRARD ST </t>
  </si>
  <si>
    <t>RICHARD ALLEN-JOSEPH CROSBY</t>
  </si>
  <si>
    <t xml:space="preserve">12850 WHITTINGTON DR </t>
  </si>
  <si>
    <t>ADRIAN GAVY JR MONDRAGON</t>
  </si>
  <si>
    <t xml:space="preserve">5839 S BRENWOOD DR </t>
  </si>
  <si>
    <t>SEDRICK JEROME JONES</t>
  </si>
  <si>
    <t xml:space="preserve">9220 NATHANIEL </t>
  </si>
  <si>
    <t>JORDAN N BENAVIDES</t>
  </si>
  <si>
    <t xml:space="preserve">22514 SHIBEPARK CT </t>
  </si>
  <si>
    <t>TREYVON KIRKPATRICK</t>
  </si>
  <si>
    <t xml:space="preserve">2543 MONTANA BLUE DR </t>
  </si>
  <si>
    <t>EVIAN STANLEY</t>
  </si>
  <si>
    <t xml:space="preserve">15914 OWL STREET </t>
  </si>
  <si>
    <t>YAZID DURAN</t>
  </si>
  <si>
    <t xml:space="preserve">2514 PINE LAKE DR </t>
  </si>
  <si>
    <t>MAURICIO BALADEZ ZUNIGA</t>
  </si>
  <si>
    <t xml:space="preserve">1106 MISSOURI ST </t>
  </si>
  <si>
    <t>MIKAYLA JANELLE DAVIS</t>
  </si>
  <si>
    <t xml:space="preserve">301 WILCREST DR </t>
  </si>
  <si>
    <t>NICHOLAS SMITH</t>
  </si>
  <si>
    <t>3310 CHERRY FOREST D R</t>
  </si>
  <si>
    <t>MEGAN LASHAE MOORE</t>
  </si>
  <si>
    <t xml:space="preserve">7510 FETTLE LN </t>
  </si>
  <si>
    <t>MICHEAL ANDREW PAYNE</t>
  </si>
  <si>
    <t>14927 VINE GROVE FALL S CT</t>
  </si>
  <si>
    <t>CURTIS LOPEZ</t>
  </si>
  <si>
    <t xml:space="preserve">12425 PALMWAY </t>
  </si>
  <si>
    <t>CRISTOPHER GARZA</t>
  </si>
  <si>
    <t xml:space="preserve">86811 KELLER STREET </t>
  </si>
  <si>
    <t>JOSHUA LA GASCEY</t>
  </si>
  <si>
    <t>11903 DINOSAUR VALLEY DR</t>
  </si>
  <si>
    <t>ANSELMO HERRERA</t>
  </si>
  <si>
    <t xml:space="preserve">3340 FEDERAL RD </t>
  </si>
  <si>
    <t>CLARK ALLEN COURTNEY</t>
  </si>
  <si>
    <t xml:space="preserve">2829 DREW ST </t>
  </si>
  <si>
    <t>CHRISTOPHER DEMON COLTON</t>
  </si>
  <si>
    <t xml:space="preserve">15914 LAND VIEW DR </t>
  </si>
  <si>
    <t>BRIGETTE ELIESE REISSIG</t>
  </si>
  <si>
    <t xml:space="preserve">17231 BLACKHAWK BLVD </t>
  </si>
  <si>
    <t>BOBBY JOE CLARK</t>
  </si>
  <si>
    <t>18204 CHISLOM TRIAL D R</t>
  </si>
  <si>
    <t>JULIAN RAY PEREZ</t>
  </si>
  <si>
    <t xml:space="preserve">8 1/2 LATHAM ST </t>
  </si>
  <si>
    <t>KORDERAN SMITH</t>
  </si>
  <si>
    <t>23526 PADOVA GARDENS DR</t>
  </si>
  <si>
    <t>RYAN BISHOP</t>
  </si>
  <si>
    <t xml:space="preserve">3500 LOUETTA RD </t>
  </si>
  <si>
    <t>JEREMY RICHARDSON</t>
  </si>
  <si>
    <t xml:space="preserve">4213 ALICE ST </t>
  </si>
  <si>
    <t>ELIJAH GRANGER</t>
  </si>
  <si>
    <t xml:space="preserve">19903 MOUNTAIN DALE </t>
  </si>
  <si>
    <t>MATTHEW JOSEPH HARRIS</t>
  </si>
  <si>
    <t xml:space="preserve">14445 WALLISVILLE RD </t>
  </si>
  <si>
    <t>GISELLE I. REYES</t>
  </si>
  <si>
    <t xml:space="preserve">1514 FREEDONA DR </t>
  </si>
  <si>
    <t>BRANDYE THRASH</t>
  </si>
  <si>
    <t xml:space="preserve">8721 TOWN PARK DR </t>
  </si>
  <si>
    <t>KAMERON ELIJAH JONES</t>
  </si>
  <si>
    <t xml:space="preserve">2500 E WALLISVILLED </t>
  </si>
  <si>
    <t>JQUES MINOR</t>
  </si>
  <si>
    <t xml:space="preserve">2605 REED RD </t>
  </si>
  <si>
    <t>JOSE ALFARO</t>
  </si>
  <si>
    <t xml:space="preserve">2929 DUNVALE RD </t>
  </si>
  <si>
    <t>CHARMIKA JACQUETTE ORUMAH</t>
  </si>
  <si>
    <t>HECTOR GUTIERREZ</t>
  </si>
  <si>
    <t xml:space="preserve">15313 GULF FWY IB </t>
  </si>
  <si>
    <t>NATASHA LETOYA SILBY</t>
  </si>
  <si>
    <t xml:space="preserve">38359 PIERCE RD </t>
  </si>
  <si>
    <t>STEBAN SALINAS</t>
  </si>
  <si>
    <t xml:space="preserve">8021 PARNELL ST </t>
  </si>
  <si>
    <t>WILLIAM PATRICK CAMPBELL</t>
  </si>
  <si>
    <t xml:space="preserve">3800 OMEARA DR </t>
  </si>
  <si>
    <t>RUDY JR VENTURA</t>
  </si>
  <si>
    <t xml:space="preserve">10023 LEAWOOD BLVD </t>
  </si>
  <si>
    <t>LUIS ALBERTO CAMACHO-COSME</t>
  </si>
  <si>
    <t xml:space="preserve">14115 FM 529 RD </t>
  </si>
  <si>
    <t>JAKE SMITH</t>
  </si>
  <si>
    <t xml:space="preserve">4747 WIDEROP LN </t>
  </si>
  <si>
    <t>CHIWIZU CHARLES EMEKA-OKOLI</t>
  </si>
  <si>
    <t xml:space="preserve">19547 LITTLE PINE LN </t>
  </si>
  <si>
    <t>CHAZ LARIC CADDIE</t>
  </si>
  <si>
    <t xml:space="preserve">111111 PLEASANT COLONY </t>
  </si>
  <si>
    <t>AVEION JEBILL NEWELL</t>
  </si>
  <si>
    <t>535 SEMINAR DRIVE A PT 264</t>
  </si>
  <si>
    <t>JUSTIN MICHAEL ROZELLE</t>
  </si>
  <si>
    <t xml:space="preserve">10826 MESQUITE </t>
  </si>
  <si>
    <t>DIAMOND ALEXANDER</t>
  </si>
  <si>
    <t>12025 RICHMOND AVE 43 02</t>
  </si>
  <si>
    <t>BRYTAVION RODGERS</t>
  </si>
  <si>
    <t xml:space="preserve">12600 DUNLAP ST </t>
  </si>
  <si>
    <t>THUY KIM HO</t>
  </si>
  <si>
    <t>14734 LOXLEY MEADOWS DR</t>
  </si>
  <si>
    <t>DERRICK WAYNE EDWARDS</t>
  </si>
  <si>
    <t>515 REMINGTON LODGE CT</t>
  </si>
  <si>
    <t>ANDREW MARINO</t>
  </si>
  <si>
    <t xml:space="preserve">17719 BOONERS COVE CT </t>
  </si>
  <si>
    <t>DAVID RAUL NAVARRO</t>
  </si>
  <si>
    <t xml:space="preserve">9607 KAPRI LN APT 5 </t>
  </si>
  <si>
    <t>LEONARDO DANIEL BARBOZA MARTINEZ</t>
  </si>
  <si>
    <t xml:space="preserve">10734 CONCHO ST </t>
  </si>
  <si>
    <t>PRECIOUS SEBASTINE</t>
  </si>
  <si>
    <t xml:space="preserve">14805 GRISBY RD </t>
  </si>
  <si>
    <t>EDWARD RIVERA</t>
  </si>
  <si>
    <t xml:space="preserve">7203 GILLEN ST </t>
  </si>
  <si>
    <t>CHRISTOPHER RAY GARCIA</t>
  </si>
  <si>
    <t xml:space="preserve">14127 ASTONSHIRE LN </t>
  </si>
  <si>
    <t>CHRISTOPHER DEWAYNE WILLIAMS</t>
  </si>
  <si>
    <t xml:space="preserve">1117 TEXAS AVENUE </t>
  </si>
  <si>
    <t>JASON AGUILERA</t>
  </si>
  <si>
    <t xml:space="preserve">808 SUNNYBROOK LN </t>
  </si>
  <si>
    <t>ALBERTO ANSELMO MEJIA</t>
  </si>
  <si>
    <t xml:space="preserve">3503 KESTREL RD </t>
  </si>
  <si>
    <t>JOB ALAN JAUREGUI</t>
  </si>
  <si>
    <t xml:space="preserve">15807 N BEND CT </t>
  </si>
  <si>
    <t>TRENTON WINFREY</t>
  </si>
  <si>
    <t xml:space="preserve">3347 CHALFONT DR </t>
  </si>
  <si>
    <t>JULIAN FLOWERS</t>
  </si>
  <si>
    <t xml:space="preserve">1518 ELKANS RD </t>
  </si>
  <si>
    <t>PABLO MORENO</t>
  </si>
  <si>
    <t xml:space="preserve">9634 PARK HEATH LN </t>
  </si>
  <si>
    <t>KEUNTAE BATES</t>
  </si>
  <si>
    <t>9215 WOODWIND LAKES DR</t>
  </si>
  <si>
    <t>MOHAMMAD SAEED ALBERAQDAR</t>
  </si>
  <si>
    <t xml:space="preserve">9850 RICHMOND AVE </t>
  </si>
  <si>
    <t>RUBY EVELYN ESPINOZA</t>
  </si>
  <si>
    <t>12161 WESTHEIMER RD # 300</t>
  </si>
  <si>
    <t>BRIDGETT DAWN MCWILLIAMS</t>
  </si>
  <si>
    <t xml:space="preserve">1400 WINROCK BLVD </t>
  </si>
  <si>
    <t>DERREK KNOX</t>
  </si>
  <si>
    <t xml:space="preserve">8102 TWIN HILLS DR </t>
  </si>
  <si>
    <t>AIDA REYNAGA</t>
  </si>
  <si>
    <t xml:space="preserve">3335 PERSIMMON </t>
  </si>
  <si>
    <t>JACOBI WHOOPER</t>
  </si>
  <si>
    <t xml:space="preserve">8411 BATTLEOAK </t>
  </si>
  <si>
    <t>KEAMBRA AAQILAH BIBBS</t>
  </si>
  <si>
    <t xml:space="preserve">5771 BELNEATH ST </t>
  </si>
  <si>
    <t>WILLIAM ALEXANDER STARR</t>
  </si>
  <si>
    <t xml:space="preserve">PO     BOX 120433 </t>
  </si>
  <si>
    <t xml:space="preserve">918 SKYLINE VISTA </t>
  </si>
  <si>
    <t>DIEGO ANDRES FUENTES GUZMAN</t>
  </si>
  <si>
    <t>9903 DEER TRAIL DRIV E</t>
  </si>
  <si>
    <t>DIANA ISABEL GARCIA</t>
  </si>
  <si>
    <t xml:space="preserve">15015 CARRAWAY CT </t>
  </si>
  <si>
    <t>DESTINYQUE ROCHELLE-MARIE KENNEDY</t>
  </si>
  <si>
    <t xml:space="preserve">2009 WENTWORTH ST </t>
  </si>
  <si>
    <t>LAMONTAY SHOWERS</t>
  </si>
  <si>
    <t>6464 E SAM HOUSTON P KWY N</t>
  </si>
  <si>
    <t>ULYSIS TORRES</t>
  </si>
  <si>
    <t xml:space="preserve">7526 ANN DR </t>
  </si>
  <si>
    <t>ERI REYNOLDS</t>
  </si>
  <si>
    <t xml:space="preserve">1205 NOBLE ST </t>
  </si>
  <si>
    <t>EMPRESS MCINTOSH</t>
  </si>
  <si>
    <t xml:space="preserve">116 E EDGEBROOK DR </t>
  </si>
  <si>
    <t>KAETLYN MARIE LITTLEFORD</t>
  </si>
  <si>
    <t>16818 PINE CASTLE DRI VE</t>
  </si>
  <si>
    <t>ANGEL NUNEZ</t>
  </si>
  <si>
    <t xml:space="preserve">13035 WINDFERN RD </t>
  </si>
  <si>
    <t>ISAIAH ORLANDO MARTINEZ</t>
  </si>
  <si>
    <t xml:space="preserve">1639 PECAN BRANCH DR </t>
  </si>
  <si>
    <t>HAROLD MCALLISTER III</t>
  </si>
  <si>
    <t xml:space="preserve">10433 ALEDO DR </t>
  </si>
  <si>
    <t>ERIN EMIL</t>
  </si>
  <si>
    <t>17435 IMPERIAL VALLEY DR</t>
  </si>
  <si>
    <t>NICHOLAS GILLIS</t>
  </si>
  <si>
    <t>12630 ASHFORD POINT D R APT 602</t>
  </si>
  <si>
    <t>JAMEL ROSEMOND JOHNSON</t>
  </si>
  <si>
    <t>10111 BISSONNET STREE T</t>
  </si>
  <si>
    <t>NATALIA TORRES</t>
  </si>
  <si>
    <t xml:space="preserve">5050 YALE ST </t>
  </si>
  <si>
    <t>EDDIE DEANDRE SMITH</t>
  </si>
  <si>
    <t>DANIEL MATTHEW THORNTON</t>
  </si>
  <si>
    <t xml:space="preserve">6603 ROCKERGATE DR </t>
  </si>
  <si>
    <t>JORGE ALBERTO MARTINEZ</t>
  </si>
  <si>
    <t>5407 BRIDGE FOREST D R</t>
  </si>
  <si>
    <t>DEBBIE LOCH</t>
  </si>
  <si>
    <t xml:space="preserve">7500 PINEMONT DR </t>
  </si>
  <si>
    <t>LEDARIUS BENTON</t>
  </si>
  <si>
    <t xml:space="preserve">2202 LACEWING LN </t>
  </si>
  <si>
    <t>SHERWIN JESUS LOPEZ</t>
  </si>
  <si>
    <t xml:space="preserve">12613 SEATTLE SLEW </t>
  </si>
  <si>
    <t>MAIRA SANCHEZ</t>
  </si>
  <si>
    <t>347 RICHEY ST APT 7 4</t>
  </si>
  <si>
    <t>ZECHARIAH GUTIERREZ</t>
  </si>
  <si>
    <t xml:space="preserve">10106 SIERRA DR </t>
  </si>
  <si>
    <t>ROMAN RAMIREZ</t>
  </si>
  <si>
    <t xml:space="preserve">11710 BRIAR FOREST DR </t>
  </si>
  <si>
    <t>CHRISTOPHER ANDREK HAYES</t>
  </si>
  <si>
    <t xml:space="preserve">7922 CORINTH </t>
  </si>
  <si>
    <t>BRANDON JAMES THOMAS</t>
  </si>
  <si>
    <t>1000 CYPRESS STATION DRIVE 301</t>
  </si>
  <si>
    <t>JAHLON KANNADY-CURRY</t>
  </si>
  <si>
    <t>3322 YELLOWSTONE BLV D</t>
  </si>
  <si>
    <t>GERARDO LOPEZ</t>
  </si>
  <si>
    <t xml:space="preserve">13313 CUTTEN RD 6204 </t>
  </si>
  <si>
    <t>JOHN MICHAEL CRAWFORD</t>
  </si>
  <si>
    <t xml:space="preserve">2802 TRUXILLO </t>
  </si>
  <si>
    <t>ARTHUR IV NEVILLE</t>
  </si>
  <si>
    <t xml:space="preserve">9800 HOLLOCK ST </t>
  </si>
  <si>
    <t>GRAYSON ONEIL HARRIS</t>
  </si>
  <si>
    <t>502 SOUTH POST OAK LANE</t>
  </si>
  <si>
    <t>JULIAN ALEXANDER GUERRERO</t>
  </si>
  <si>
    <t xml:space="preserve">4526 OTTERBURY DR </t>
  </si>
  <si>
    <t>AUSTIN JAMES ROSALIS</t>
  </si>
  <si>
    <t xml:space="preserve">17403 TEMPE CT </t>
  </si>
  <si>
    <t>SANDINA SAWYER</t>
  </si>
  <si>
    <t xml:space="preserve">30476 REIDS PRARIE RD </t>
  </si>
  <si>
    <t>ARIEL TREVINO</t>
  </si>
  <si>
    <t xml:space="preserve">3113.5 MICHIGAN ST </t>
  </si>
  <si>
    <t>CARLOS ALFREDO GUTIERREZ</t>
  </si>
  <si>
    <t>1614 WILSHIRE PARK D RIVE</t>
  </si>
  <si>
    <t>DAVID ARMENDARIZ</t>
  </si>
  <si>
    <t xml:space="preserve">2134 LITTLE CEDAR DR </t>
  </si>
  <si>
    <t>DEREK ANTHONY WILLIAMS</t>
  </si>
  <si>
    <t>14906 WINDFERN FOREST DR</t>
  </si>
  <si>
    <t>SHAQUILE JEVON HILL</t>
  </si>
  <si>
    <t xml:space="preserve">12010 KUYKENDAHL RD </t>
  </si>
  <si>
    <t>MIGUEL HIDALGO</t>
  </si>
  <si>
    <t xml:space="preserve">10302 JUNIPER GLEN DR </t>
  </si>
  <si>
    <t>TAMARYAN JACKSON</t>
  </si>
  <si>
    <t xml:space="preserve">6407 NUBEN ST </t>
  </si>
  <si>
    <t>ANTHONY LYNN JOHNSON</t>
  </si>
  <si>
    <t xml:space="preserve">7005 S GESSNER RD </t>
  </si>
  <si>
    <t>JORJE VALLES</t>
  </si>
  <si>
    <t>JOSEPH FRANCIS</t>
  </si>
  <si>
    <t xml:space="preserve">545 SEMINAR </t>
  </si>
  <si>
    <t>DIAMOND HARRIS</t>
  </si>
  <si>
    <t>DENNIS MARK DOWDING</t>
  </si>
  <si>
    <t xml:space="preserve">3 JESTER ROAD </t>
  </si>
  <si>
    <t>SHALYNN JOCHERI FORD</t>
  </si>
  <si>
    <t xml:space="preserve">4533 ALLISON RD </t>
  </si>
  <si>
    <t>ERNEST ADAMS</t>
  </si>
  <si>
    <t>CHRIS JR. JALOMO</t>
  </si>
  <si>
    <t xml:space="preserve">3510 RAMSEY DR </t>
  </si>
  <si>
    <t>CHRISTA CHOATE</t>
  </si>
  <si>
    <t xml:space="preserve">2718 DURBAN DR </t>
  </si>
  <si>
    <t>AUSTIN LEE SANCHEZ</t>
  </si>
  <si>
    <t xml:space="preserve">19426 SANDY WOODS DR </t>
  </si>
  <si>
    <t>DIANA ICEL ORTIZ LOPEZ</t>
  </si>
  <si>
    <t xml:space="preserve">11212 WESTPARK DR </t>
  </si>
  <si>
    <t>JEREMY RAY ROBERTS</t>
  </si>
  <si>
    <t xml:space="preserve">5606 CUNNINGHAM DR </t>
  </si>
  <si>
    <t>JACOB ALAN MCCUNE</t>
  </si>
  <si>
    <t xml:space="preserve">715 REINERMAN ST </t>
  </si>
  <si>
    <t>ASTRID YAMILE FLORES</t>
  </si>
  <si>
    <t xml:space="preserve">7702 KEMPSEY LANE </t>
  </si>
  <si>
    <t>NESTOR MARIANO VIDAL BATISTA</t>
  </si>
  <si>
    <t xml:space="preserve">10111 BISSONNET ST </t>
  </si>
  <si>
    <t>JAVIER HERNANDEZ</t>
  </si>
  <si>
    <t xml:space="preserve">1705 JENKINS ROAD </t>
  </si>
  <si>
    <t>GERARDO MANUEL PEREZ</t>
  </si>
  <si>
    <t xml:space="preserve">105 W 3RD ST </t>
  </si>
  <si>
    <t>LAZARO MARTINEZ-ALVARADO</t>
  </si>
  <si>
    <t xml:space="preserve">3553 GULF BANK RD </t>
  </si>
  <si>
    <t>DAMIAN LOPEZ</t>
  </si>
  <si>
    <t xml:space="preserve">2506 CAMILLE ST </t>
  </si>
  <si>
    <t>ROBERT ANTHONY HENSON</t>
  </si>
  <si>
    <t>1118 POLAR BEAR TRAI L</t>
  </si>
  <si>
    <t>REINIER JUSTO IRAOLA GONZALEZ</t>
  </si>
  <si>
    <t xml:space="preserve">6425 S GESSNER RD </t>
  </si>
  <si>
    <t>GUADALUPE ESTHER CANALES</t>
  </si>
  <si>
    <t xml:space="preserve">3356 BURKE RD </t>
  </si>
  <si>
    <t xml:space="preserve">6533 BAYOU GLEN RD </t>
  </si>
  <si>
    <t>TERRION SELMER</t>
  </si>
  <si>
    <t>12451 SARATOGA WOODS LN</t>
  </si>
  <si>
    <t>CAMERON ISIAH JOSHUA</t>
  </si>
  <si>
    <t xml:space="preserve">1909 HARLEM ST </t>
  </si>
  <si>
    <t>ZAKENDRA HART</t>
  </si>
  <si>
    <t xml:space="preserve">4505 EARLINE ST </t>
  </si>
  <si>
    <t>GENARO MORENO CORTEZ</t>
  </si>
  <si>
    <t xml:space="preserve">11106 SAGERIVER DR </t>
  </si>
  <si>
    <t>ASHLEY DANIELLE MILLER</t>
  </si>
  <si>
    <t xml:space="preserve">16407 EL CAMINO REAL </t>
  </si>
  <si>
    <t>JESUS ARTURO MEDONZA</t>
  </si>
  <si>
    <t xml:space="preserve">1407 W HARRIS </t>
  </si>
  <si>
    <t>SULAY ANDREA MARTINEZ</t>
  </si>
  <si>
    <t xml:space="preserve">9519 EBLEN </t>
  </si>
  <si>
    <t>DEMONTRE KEON NELSON</t>
  </si>
  <si>
    <t xml:space="preserve">19406 AQUATIC DR </t>
  </si>
  <si>
    <t>EDWIN NEFTALI MAZARIEGO CARRANZA</t>
  </si>
  <si>
    <t xml:space="preserve">10534 BEECHNUT ST </t>
  </si>
  <si>
    <t>TOMMY EVERETT HENSON</t>
  </si>
  <si>
    <t xml:space="preserve">16826 COLONY CREEK DR </t>
  </si>
  <si>
    <t>DENNIS ROSS</t>
  </si>
  <si>
    <t>6703 LOCH BRUCERAY D R</t>
  </si>
  <si>
    <t>TREVION SHEPPARD</t>
  </si>
  <si>
    <t xml:space="preserve">20202 FOXCHESTER LANE </t>
  </si>
  <si>
    <t>MARQUIS WILLIAMS</t>
  </si>
  <si>
    <t xml:space="preserve">5507 ELMLAWN DR </t>
  </si>
  <si>
    <t>MIRIAM DELEON</t>
  </si>
  <si>
    <t xml:space="preserve">2730 LAFFERTY RD </t>
  </si>
  <si>
    <t>KEMARIA EMAN REESE WRIGHT</t>
  </si>
  <si>
    <t xml:space="preserve">14530 MYERS DR </t>
  </si>
  <si>
    <t>DANIEL LEE GARCIA</t>
  </si>
  <si>
    <t>2135 SHADOWDALE DR 5 8</t>
  </si>
  <si>
    <t>LENARD STEVEN FRAUSTO</t>
  </si>
  <si>
    <t xml:space="preserve">33435 ROLLINGWOOD DR </t>
  </si>
  <si>
    <t>MISHON CRANE</t>
  </si>
  <si>
    <t xml:space="preserve">11718 PARKRIVER DR </t>
  </si>
  <si>
    <t>ETHAN CENTAHOAS BAUCOM</t>
  </si>
  <si>
    <t xml:space="preserve">2511 2ND ST </t>
  </si>
  <si>
    <t>CLARISA TORRES</t>
  </si>
  <si>
    <t xml:space="preserve">10134 VALLEY WIND DR </t>
  </si>
  <si>
    <t>FREDERICK DEWAYNE JACKSON</t>
  </si>
  <si>
    <t xml:space="preserve">21031 FERNHOLLOW LN </t>
  </si>
  <si>
    <t>MASON BROWN</t>
  </si>
  <si>
    <t>5503 MOSSY TIMBERS D R</t>
  </si>
  <si>
    <t>KEDY DESHUN JOHNSON</t>
  </si>
  <si>
    <t xml:space="preserve">15301 NORTHWEST FWY </t>
  </si>
  <si>
    <t>OSEAS DANIEL CHAY</t>
  </si>
  <si>
    <t xml:space="preserve">9290 WOODFAIR DR </t>
  </si>
  <si>
    <t>DONALD MAYBERRY</t>
  </si>
  <si>
    <t xml:space="preserve">5207 MYRTLEWOOD ST </t>
  </si>
  <si>
    <t>ELAINE CRISTINA DOS SANTOS PEREIRA</t>
  </si>
  <si>
    <t xml:space="preserve">919 IVY PARKWAY DR </t>
  </si>
  <si>
    <t>ACO STANKOVIC</t>
  </si>
  <si>
    <t>14719 OAKHEATH RIVER CT</t>
  </si>
  <si>
    <t>LATARA BOYD</t>
  </si>
  <si>
    <t>CRISTIAN GABRIEL CRUZ</t>
  </si>
  <si>
    <t xml:space="preserve">6417 ANTOINE DR </t>
  </si>
  <si>
    <t>ADRIAN CAPETILLO</t>
  </si>
  <si>
    <t xml:space="preserve">1724 PARKEY LN </t>
  </si>
  <si>
    <t>NELSON FLORES-CALDERON</t>
  </si>
  <si>
    <t>7020 STUEBNER AIRLIN E RD</t>
  </si>
  <si>
    <t>KEKUDA SHERIFF</t>
  </si>
  <si>
    <t xml:space="preserve">14906 WESTPARK DR </t>
  </si>
  <si>
    <t>WARREN SEBASTIAAN MCMAHAN</t>
  </si>
  <si>
    <t xml:space="preserve">11954 LONGLEAF LN </t>
  </si>
  <si>
    <t>WILLIAM LASHAWN JONES</t>
  </si>
  <si>
    <t>10101 S GESSNER RD AP T 307</t>
  </si>
  <si>
    <t>LEDARION MCCRAY</t>
  </si>
  <si>
    <t>JOHN WHITE</t>
  </si>
  <si>
    <t>4822 E SAM HOUSTON P KWY N</t>
  </si>
  <si>
    <t>JA MICHAEL CRUSE</t>
  </si>
  <si>
    <t xml:space="preserve">6400 W BELLFORT AVE </t>
  </si>
  <si>
    <t>DAVID WAYNE ELY</t>
  </si>
  <si>
    <t xml:space="preserve">300 MARKET ST </t>
  </si>
  <si>
    <t>ERIC LARVELL CRAWFORD</t>
  </si>
  <si>
    <t xml:space="preserve">14406 BARON CREEK LN </t>
  </si>
  <si>
    <t>GIOVANNI RODRIGUEZ</t>
  </si>
  <si>
    <t xml:space="preserve">10515 ROCKCREST DR </t>
  </si>
  <si>
    <t>KYLEE JONES</t>
  </si>
  <si>
    <t xml:space="preserve">1044 ROCK CRESS DR </t>
  </si>
  <si>
    <t>BEREKET TSEGAYE JEMANEH</t>
  </si>
  <si>
    <t xml:space="preserve">6500 SANDS POINT DR </t>
  </si>
  <si>
    <t>JUAN MANUEL BELTRAN</t>
  </si>
  <si>
    <t xml:space="preserve">17806 AUTUMN HILLS DR </t>
  </si>
  <si>
    <t>CALEB REYNOLDS</t>
  </si>
  <si>
    <t xml:space="preserve">1214 DAWN RD </t>
  </si>
  <si>
    <t>JUSTIN LAMAR COOPER</t>
  </si>
  <si>
    <t xml:space="preserve">5100 FM 1960 RD W </t>
  </si>
  <si>
    <t>JOHNNY N FRAZIER</t>
  </si>
  <si>
    <t xml:space="preserve">12102 FONDREN BEND DR </t>
  </si>
  <si>
    <t>MASON WILLIAMS</t>
  </si>
  <si>
    <t xml:space="preserve">2255 ELDRIDGE STREET </t>
  </si>
  <si>
    <t>CHARO GUSTAVO CORONA</t>
  </si>
  <si>
    <t xml:space="preserve">6339 ANNUNCIATION ST </t>
  </si>
  <si>
    <t>NOE PEREZ</t>
  </si>
  <si>
    <t xml:space="preserve">14614 TECK COURT </t>
  </si>
  <si>
    <t>SEDARIUS ROBINSON</t>
  </si>
  <si>
    <t xml:space="preserve">3846 BENNINGTON ST </t>
  </si>
  <si>
    <t>JORDAN DAVIS</t>
  </si>
  <si>
    <t xml:space="preserve">16918 MIDNIGHT SKY CT </t>
  </si>
  <si>
    <t>GAVIN DELOYD LIVINGSTON</t>
  </si>
  <si>
    <t xml:space="preserve">3400 N LOOP 336 W </t>
  </si>
  <si>
    <t>TYREN DEMARCUS SCALES</t>
  </si>
  <si>
    <t xml:space="preserve">1129 RAMADA DR </t>
  </si>
  <si>
    <t>WESLEY FRANK ORTIZ-DESPIAU</t>
  </si>
  <si>
    <t xml:space="preserve">46B    HALL DR </t>
  </si>
  <si>
    <t>GENESIS HILL-CAMMACK</t>
  </si>
  <si>
    <t xml:space="preserve">5525 APALA DR </t>
  </si>
  <si>
    <t>EDWARD THOMPSON</t>
  </si>
  <si>
    <t>1269 STEPHENSON BROW N</t>
  </si>
  <si>
    <t>XAVIER SLAUGHTER</t>
  </si>
  <si>
    <t xml:space="preserve">6600 DUNLAP ST 3049 </t>
  </si>
  <si>
    <t>WHITTNEY LASHELL KELLY</t>
  </si>
  <si>
    <t xml:space="preserve">1660 WILLOW BEND DR </t>
  </si>
  <si>
    <t>ISRAEL SEGURA</t>
  </si>
  <si>
    <t xml:space="preserve">3723 KIM ST </t>
  </si>
  <si>
    <t>ISAIAS JR. GARCIA</t>
  </si>
  <si>
    <t xml:space="preserve">7429 MILEY ST </t>
  </si>
  <si>
    <t>DARION DUANE HARPER</t>
  </si>
  <si>
    <t>JEREMY LEWIS</t>
  </si>
  <si>
    <t xml:space="preserve">10501 SOUTHPORT DR </t>
  </si>
  <si>
    <t>DANIEL PAUL BAXTER</t>
  </si>
  <si>
    <t>WALTISHA ANNETTE JACKSON</t>
  </si>
  <si>
    <t xml:space="preserve">633 RUSHCREEK DR </t>
  </si>
  <si>
    <t>CHRISTOPHER WATKINS JR</t>
  </si>
  <si>
    <t xml:space="preserve">8323 CINNAMON LN </t>
  </si>
  <si>
    <t>LAUREN BRIELLE VROMAN</t>
  </si>
  <si>
    <t xml:space="preserve">416 E 9TH ST </t>
  </si>
  <si>
    <t>ASHLEY STANFORD</t>
  </si>
  <si>
    <t xml:space="preserve">5715 VISION LN </t>
  </si>
  <si>
    <t>ANDREW M GERLACH</t>
  </si>
  <si>
    <t xml:space="preserve">1118 SUNSET LAKES DR </t>
  </si>
  <si>
    <t>KENYA K JOHNSON</t>
  </si>
  <si>
    <t>12655 KUYKENDAHL RD 5 303</t>
  </si>
  <si>
    <t>KARLA NINETH RODRIGUEZ</t>
  </si>
  <si>
    <t xml:space="preserve">2304 WICHITA STREET </t>
  </si>
  <si>
    <t>JACOB D PANCAKE</t>
  </si>
  <si>
    <t xml:space="preserve">703 TEABURY AVE </t>
  </si>
  <si>
    <t>RONALD JEROME POLEDORE</t>
  </si>
  <si>
    <t xml:space="preserve">235 KESTREL LN </t>
  </si>
  <si>
    <t>GERARDO DUFRESNE</t>
  </si>
  <si>
    <t xml:space="preserve">19920 FOXWOOD FOREST </t>
  </si>
  <si>
    <t>JONATHAN RENE ALVAREZ GONZALES</t>
  </si>
  <si>
    <t xml:space="preserve">11107 SAGEBURROW DR </t>
  </si>
  <si>
    <t>DOMENICK LEWIS DEMASI</t>
  </si>
  <si>
    <t xml:space="preserve">4503 TOLDEO BEND DR </t>
  </si>
  <si>
    <t>DONANVAN JORDAN CUMMINGS</t>
  </si>
  <si>
    <t xml:space="preserve">4806 GRELINDE ST </t>
  </si>
  <si>
    <t>MURRY WILLIAMS</t>
  </si>
  <si>
    <t>13011 NORTHBOROUGH DR 402</t>
  </si>
  <si>
    <t>YASMIN RENEE ROBBINS</t>
  </si>
  <si>
    <t xml:space="preserve">13210 GLENWYCK ST </t>
  </si>
  <si>
    <t>MICHAEL BELCON</t>
  </si>
  <si>
    <t xml:space="preserve">22718 NORTHGATE RIDGE </t>
  </si>
  <si>
    <t>KEMAR ALLEN</t>
  </si>
  <si>
    <t>16303 IMPERIAL VALLEY DR</t>
  </si>
  <si>
    <t>BIBIANA RAMOS</t>
  </si>
  <si>
    <t xml:space="preserve">8008 SEAWALL BLVD </t>
  </si>
  <si>
    <t>GAYLON LINCOLN</t>
  </si>
  <si>
    <t>JOHNTELLIOTT JOHNSON</t>
  </si>
  <si>
    <t>505 CYPRESS STATION DR APT 70</t>
  </si>
  <si>
    <t>SHANIA MCCLAIN</t>
  </si>
  <si>
    <t>RICARDO MEJIA</t>
  </si>
  <si>
    <t>8000 CREEKBEND DR 81 6</t>
  </si>
  <si>
    <t>CYNTRELL ALLEGRA COATS</t>
  </si>
  <si>
    <t xml:space="preserve">5810 FONDREN RD 206 </t>
  </si>
  <si>
    <t>JA QUES LINDSEY</t>
  </si>
  <si>
    <t xml:space="preserve">10800 FONDREN RD 2421 </t>
  </si>
  <si>
    <t>TYRUS GILLIARD</t>
  </si>
  <si>
    <t xml:space="preserve">135 3 N THORNTREE </t>
  </si>
  <si>
    <t>JANICE W BARNEY SORBELLINI</t>
  </si>
  <si>
    <t xml:space="preserve">420 W IVY AVE </t>
  </si>
  <si>
    <t>DAIJAVON TYSHAL JOHNSON</t>
  </si>
  <si>
    <t>11714 CHETMAN DR APT A</t>
  </si>
  <si>
    <t>CALEB SIMON</t>
  </si>
  <si>
    <t>7903 GRANT RIDGE LAN E</t>
  </si>
  <si>
    <t>MUHAMMAD ISMAIL</t>
  </si>
  <si>
    <t>JOSELYN ABIGAIL MEDRANO</t>
  </si>
  <si>
    <t xml:space="preserve">329 WYNELL TERRACE </t>
  </si>
  <si>
    <t>NICHOLAS ANDREW HUNT</t>
  </si>
  <si>
    <t>1010 N TEAL ESTATES CIR</t>
  </si>
  <si>
    <t>LEOPOLDO VELIZ JR.</t>
  </si>
  <si>
    <t xml:space="preserve">2919 BARRIOS ST </t>
  </si>
  <si>
    <t>RICHARD AGUILAR</t>
  </si>
  <si>
    <t xml:space="preserve">2001 LAVERNE ST 716 </t>
  </si>
  <si>
    <t>ISAIAH JEREMY MONTALVO</t>
  </si>
  <si>
    <t xml:space="preserve">2636 YORKTOWN ST 348 </t>
  </si>
  <si>
    <t>JELECIA DE GRADY</t>
  </si>
  <si>
    <t>8820 WESTHEIMER RD 2 230</t>
  </si>
  <si>
    <t>SEAN BRANDON WOTRING</t>
  </si>
  <si>
    <t xml:space="preserve">1805 S EGRET BAY </t>
  </si>
  <si>
    <t>CAROLINA ANNE MARTINEZ</t>
  </si>
  <si>
    <t>17418 SORREL RIDGE DR IVE</t>
  </si>
  <si>
    <t>KIERSTON TREVON FRANCIS</t>
  </si>
  <si>
    <t xml:space="preserve">17502 BIG OAKS GROVE </t>
  </si>
  <si>
    <t>ALEXIS DARRION DRAKE</t>
  </si>
  <si>
    <t xml:space="preserve">15715 RIDGEGATE RD </t>
  </si>
  <si>
    <t>ANDY ANH PHAM</t>
  </si>
  <si>
    <t>11035 HERON VILLAGE D R</t>
  </si>
  <si>
    <t>BRIANA HERNANDEZ</t>
  </si>
  <si>
    <t xml:space="preserve">18639 KITA CT </t>
  </si>
  <si>
    <t>ASIM JAVID</t>
  </si>
  <si>
    <t xml:space="preserve">2003 PARKIVIEW LANE </t>
  </si>
  <si>
    <t>DERRICK IVEY</t>
  </si>
  <si>
    <t xml:space="preserve">10925 BEAMER RD 390 </t>
  </si>
  <si>
    <t>GESLI CRUZ</t>
  </si>
  <si>
    <t xml:space="preserve">11826 TIERRA PALMS CT </t>
  </si>
  <si>
    <t>CHARLES COURTNEY BURKHART</t>
  </si>
  <si>
    <t xml:space="preserve">2067 ROUND SPRINGS </t>
  </si>
  <si>
    <t>CORVIN M HEARNE</t>
  </si>
  <si>
    <t xml:space="preserve">3547 BACON ST </t>
  </si>
  <si>
    <t>KERMAN MORGAN III ROY</t>
  </si>
  <si>
    <t xml:space="preserve">815 W ABRAMS ST </t>
  </si>
  <si>
    <t>TIMOTHY JAY ROSS</t>
  </si>
  <si>
    <t xml:space="preserve">224 AUSTIN ST </t>
  </si>
  <si>
    <t>JONLOUIS BERROA</t>
  </si>
  <si>
    <t xml:space="preserve">510 WESTGREEN BLVD </t>
  </si>
  <si>
    <t>LILLY ELIZABETH SANCHEZ</t>
  </si>
  <si>
    <t xml:space="preserve">7506 CORRIE CV </t>
  </si>
  <si>
    <t>CHRISTOPHER MICHAEL LOWE</t>
  </si>
  <si>
    <t xml:space="preserve">12401 OVERBROOK LN </t>
  </si>
  <si>
    <t>ARTURO FLORES</t>
  </si>
  <si>
    <t xml:space="preserve">2010 ARROYO VISTA </t>
  </si>
  <si>
    <t>KAMRYN JEANAE BROWN</t>
  </si>
  <si>
    <t xml:space="preserve">17601 CYPRESS STATION </t>
  </si>
  <si>
    <t>AUDIEL AYALA</t>
  </si>
  <si>
    <t xml:space="preserve">347 RICHEY ST 57 </t>
  </si>
  <si>
    <t>MARIA-GORATTI ILOGBARA</t>
  </si>
  <si>
    <t xml:space="preserve">10839 SANDPIPER DR </t>
  </si>
  <si>
    <t>DARNISHA LATAYE WILSON</t>
  </si>
  <si>
    <t xml:space="preserve">15806 WILLMORE LN </t>
  </si>
  <si>
    <t>EDWIN CORADO</t>
  </si>
  <si>
    <t>3230 SOUTH GESSNER R D 1211</t>
  </si>
  <si>
    <t>JUSTIN WESLEY GOSCH</t>
  </si>
  <si>
    <t xml:space="preserve">301 GRAMMER SR </t>
  </si>
  <si>
    <t>DILLON MYLES BENTON</t>
  </si>
  <si>
    <t xml:space="preserve">5215 CHATHAM HILL LN </t>
  </si>
  <si>
    <t>FABIAN MOSQUEDA</t>
  </si>
  <si>
    <t xml:space="preserve">5637 MARY FRANCIS DR </t>
  </si>
  <si>
    <t>ULICES HERRERA</t>
  </si>
  <si>
    <t xml:space="preserve">4403 CONNORVALE RD </t>
  </si>
  <si>
    <t>ISAIAH QUANELL RHODES</t>
  </si>
  <si>
    <t>9914 SMOKEY QUARTZ L N</t>
  </si>
  <si>
    <t>ARLEXIO ALTHEO HULL</t>
  </si>
  <si>
    <t xml:space="preserve">207 EUGENE ROAD </t>
  </si>
  <si>
    <t>RODNEY HOWARD</t>
  </si>
  <si>
    <t xml:space="preserve">3030 HIRSCHFIELD RD </t>
  </si>
  <si>
    <t>PEDRO FIDEL VELAZQUEZ GOMEZ</t>
  </si>
  <si>
    <t xml:space="preserve">3214 ASKEW STREET </t>
  </si>
  <si>
    <t>JACK JOHNSON</t>
  </si>
  <si>
    <t xml:space="preserve">1214 WEST TALMAGE ST </t>
  </si>
  <si>
    <t>RASHAD JAVON WASHINGTON</t>
  </si>
  <si>
    <t xml:space="preserve">1134 RIVER ROCK DR </t>
  </si>
  <si>
    <t>DOMINGO BARRON LIMON</t>
  </si>
  <si>
    <t xml:space="preserve">11615 SANDSTONE </t>
  </si>
  <si>
    <t>EDWARD JONATHAN MORALES</t>
  </si>
  <si>
    <t>16250 IMPERIAL VALLEY DR  APT 6</t>
  </si>
  <si>
    <t>LILLIAN WILLIAMS</t>
  </si>
  <si>
    <t xml:space="preserve">6600 DUNLAP ST </t>
  </si>
  <si>
    <t>ANGELA PALOMAREZ</t>
  </si>
  <si>
    <t>SHELBY MARIE MORTENSEN</t>
  </si>
  <si>
    <t xml:space="preserve">18611 ANNE DR </t>
  </si>
  <si>
    <t>KESEAN TYREE DILWORTH</t>
  </si>
  <si>
    <t xml:space="preserve">7534 STONE PINE LANE </t>
  </si>
  <si>
    <t>CHRISTOPHER DALTON WORTMAN</t>
  </si>
  <si>
    <t xml:space="preserve">602 GIRARD </t>
  </si>
  <si>
    <t>JAYLEN FERGUSON</t>
  </si>
  <si>
    <t xml:space="preserve">10201 CATHEDRAL </t>
  </si>
  <si>
    <t>SEARRA MICHELLE HARRIS</t>
  </si>
  <si>
    <t xml:space="preserve">10555 FONDREN RD 708 </t>
  </si>
  <si>
    <t>KELLY ESCOBAR-VASQUEZ</t>
  </si>
  <si>
    <t>9502 HANGING MOSS TR AIL</t>
  </si>
  <si>
    <t>CHRISTOPHER STOKES</t>
  </si>
  <si>
    <t xml:space="preserve">504 ARBOR WOOD COVE </t>
  </si>
  <si>
    <t>DAVID CARLOS REYES SANCHES</t>
  </si>
  <si>
    <t xml:space="preserve">16202 EL CAMINO REAL </t>
  </si>
  <si>
    <t>LAURA LORENA ALVAREZ-JAIMES</t>
  </si>
  <si>
    <t xml:space="preserve">19100 GLENWEST DR </t>
  </si>
  <si>
    <t>MIRIAH HALLINAN</t>
  </si>
  <si>
    <t xml:space="preserve">302 SHOREACRES BLVD </t>
  </si>
  <si>
    <t>EDUARDO JR CASTILLO</t>
  </si>
  <si>
    <t xml:space="preserve">3210 CHESTERSHIRE DR </t>
  </si>
  <si>
    <t>HERBERT SINGLETON</t>
  </si>
  <si>
    <t xml:space="preserve">2305 JEFFERSON HWY </t>
  </si>
  <si>
    <t>HANNAH ELIZABETH GORDON</t>
  </si>
  <si>
    <t xml:space="preserve">23010 FRANZ ROAD </t>
  </si>
  <si>
    <t>TONY ANTHONY CARTER</t>
  </si>
  <si>
    <t xml:space="preserve">1351 GREENS PKWY </t>
  </si>
  <si>
    <t>RONIE FURIGAY</t>
  </si>
  <si>
    <t>10960 VILLAGE BEND LN C</t>
  </si>
  <si>
    <t>AMY MARIE LUEDKE</t>
  </si>
  <si>
    <t xml:space="preserve">2605 REED RD 2207 </t>
  </si>
  <si>
    <t>JASON WATSON</t>
  </si>
  <si>
    <t xml:space="preserve">5300 COKE ST 127 </t>
  </si>
  <si>
    <t>KYLE A BUTTERFIELD</t>
  </si>
  <si>
    <t xml:space="preserve">21410 PARK BLUFF DR </t>
  </si>
  <si>
    <t>HENRY VINCENT MOYA</t>
  </si>
  <si>
    <t xml:space="preserve">1335 SILVERDO DR 313 </t>
  </si>
  <si>
    <t>ROBRT UYLESS BROWNING</t>
  </si>
  <si>
    <t>7700 CORPORATE DR 20 6</t>
  </si>
  <si>
    <t>DANIEL WAYNE KELSO</t>
  </si>
  <si>
    <t xml:space="preserve">937 OAKBEND CT </t>
  </si>
  <si>
    <t>ARIEL BRINAE DAVIS</t>
  </si>
  <si>
    <t>7600 HIGHMEADOW DR 1 051</t>
  </si>
  <si>
    <t>NICOLAS GARCIA</t>
  </si>
  <si>
    <t xml:space="preserve">2530 WOODWILD DR </t>
  </si>
  <si>
    <t>JOSE EDUARDO ACOSTA SANCHEZ</t>
  </si>
  <si>
    <t xml:space="preserve">2203 ANGELINA DR </t>
  </si>
  <si>
    <t>TYLER CLAY</t>
  </si>
  <si>
    <t xml:space="preserve">15530 ELLA BOULEVARD </t>
  </si>
  <si>
    <t>JONATHAN ALEXANDER CEPEDA</t>
  </si>
  <si>
    <t xml:space="preserve">24210 ROCKIN SEVEN DR </t>
  </si>
  <si>
    <t>MIA HOPSON</t>
  </si>
  <si>
    <t xml:space="preserve">4009 INDIAN PT </t>
  </si>
  <si>
    <t>KARINA ORTIZ</t>
  </si>
  <si>
    <t xml:space="preserve">919 BRIGHT LOTUS LN </t>
  </si>
  <si>
    <t>ANGEL JONES</t>
  </si>
  <si>
    <t>875 N ELDRIDGE PKWY 255</t>
  </si>
  <si>
    <t>ALSANDRIA JONES</t>
  </si>
  <si>
    <t xml:space="preserve">15914 MAL PASO DR </t>
  </si>
  <si>
    <t>HAILEY MARIE RODRIGUEZ</t>
  </si>
  <si>
    <t xml:space="preserve">1109 CRESLINE ST </t>
  </si>
  <si>
    <t>ICELAND JOY LADNER</t>
  </si>
  <si>
    <t xml:space="preserve">11902 S YOUNGWOOD LN </t>
  </si>
  <si>
    <t>MICHAEL DAQAVION JONES</t>
  </si>
  <si>
    <t xml:space="preserve">5122 MYRTLEWOOD ST </t>
  </si>
  <si>
    <t>KRISTIAN RASHAUD HARRIS</t>
  </si>
  <si>
    <t>DERRON JAMES TRENT</t>
  </si>
  <si>
    <t>5635 TIMBER CREEK PL C 304</t>
  </si>
  <si>
    <t>LAMONDRAE IRVING</t>
  </si>
  <si>
    <t>12750 BRIAR FOREST DR APT 406</t>
  </si>
  <si>
    <t>KATHLYN NGO</t>
  </si>
  <si>
    <t>18035 DUNOON BAY POIN T COURT</t>
  </si>
  <si>
    <t>HERIBERTO GIL</t>
  </si>
  <si>
    <t xml:space="preserve">6836 AVENUE C 5 </t>
  </si>
  <si>
    <t>KIMEKA AISHA WALTON</t>
  </si>
  <si>
    <t>7926 ASHLAND SPRINGS LN</t>
  </si>
  <si>
    <t>DACORY JAKELLE WILLIAMS</t>
  </si>
  <si>
    <t xml:space="preserve">5626 GREYLOG </t>
  </si>
  <si>
    <t>REYNA FUNES-LOPEZ</t>
  </si>
  <si>
    <t xml:space="preserve">8655 PITNER RD 98 </t>
  </si>
  <si>
    <t>VALERIE DIAZ</t>
  </si>
  <si>
    <t xml:space="preserve">2628 ORIOLE WOOD CT </t>
  </si>
  <si>
    <t>ALEC XAVIER TEVIS</t>
  </si>
  <si>
    <t>19835 ATASCOCITA PINE S DR</t>
  </si>
  <si>
    <t>JOSE OJEDA SALGADO</t>
  </si>
  <si>
    <t>9707 S GESSNER RD 40 4</t>
  </si>
  <si>
    <t>ILLYA DANGELO WILKS-BROWN</t>
  </si>
  <si>
    <t xml:space="preserve">1130 LONG PRAIRIE DR </t>
  </si>
  <si>
    <t>JACOB RYAN CHAMBERS</t>
  </si>
  <si>
    <t xml:space="preserve">8310 ACHGILL ST </t>
  </si>
  <si>
    <t>JASON ESTRADA</t>
  </si>
  <si>
    <t xml:space="preserve">8919 BELLE GLEN DR </t>
  </si>
  <si>
    <t>GERARDO SANTIAGO ZAVALA</t>
  </si>
  <si>
    <t xml:space="preserve">230 T.C JESTER </t>
  </si>
  <si>
    <t>IVAN CAMPOS</t>
  </si>
  <si>
    <t xml:space="preserve">7627 DIXIE DR </t>
  </si>
  <si>
    <t>WIL ALFREDO MEDRANO</t>
  </si>
  <si>
    <t xml:space="preserve">1911 SOUTHMORE 290 </t>
  </si>
  <si>
    <t>DESTINY JACOBS</t>
  </si>
  <si>
    <t>12327 ASHFORD HOLLOW DR</t>
  </si>
  <si>
    <t>JUAN RAMON GARAY RODRIGUEZ</t>
  </si>
  <si>
    <t xml:space="preserve">6715 BAYOU CREST DR </t>
  </si>
  <si>
    <t>ROLAND GILBERT CORTEZ</t>
  </si>
  <si>
    <t xml:space="preserve">4006 ALSHIRE </t>
  </si>
  <si>
    <t>ERIC MONTOYA</t>
  </si>
  <si>
    <t xml:space="preserve">10201 HARWIN DR 2105 </t>
  </si>
  <si>
    <t>HENRY RODRIGUEZ</t>
  </si>
  <si>
    <t xml:space="preserve">7003 BISSONNET ST </t>
  </si>
  <si>
    <t>JOAQUIN RODRIGUEZ PEREZ</t>
  </si>
  <si>
    <t xml:space="preserve">7738 GLENVISTA ST </t>
  </si>
  <si>
    <t>ANSELMO EDOBEI FLORES</t>
  </si>
  <si>
    <t xml:space="preserve">22303 MAPLEWOOD DR </t>
  </si>
  <si>
    <t>OLIVIA ALICE VISGER</t>
  </si>
  <si>
    <t>13250 WESTHEIMER RD 1 18</t>
  </si>
  <si>
    <t>KYLIE GRAHAM</t>
  </si>
  <si>
    <t xml:space="preserve">3821 TREEBROOK DRIVE </t>
  </si>
  <si>
    <t>KAMRYN MOON</t>
  </si>
  <si>
    <t xml:space="preserve">20031 LIONS GATE DR </t>
  </si>
  <si>
    <t>DALTON LEMOINA</t>
  </si>
  <si>
    <t>220406 TIMBER TRAIL WA Y</t>
  </si>
  <si>
    <t>EVELYNN JIMENEZ</t>
  </si>
  <si>
    <t>16115 KINTYRE POINT R D</t>
  </si>
  <si>
    <t>DI-JORNAYE HICKS</t>
  </si>
  <si>
    <t xml:space="preserve">103 E EDGEBROOK DR </t>
  </si>
  <si>
    <t>ARMANI BROWN</t>
  </si>
  <si>
    <t>2331 BAMMELWOOD DR 2 15</t>
  </si>
  <si>
    <t>KAMREN HUDSON</t>
  </si>
  <si>
    <t xml:space="preserve">7705 SPRINGHILL </t>
  </si>
  <si>
    <t>LAVONTRE HENRY-KING</t>
  </si>
  <si>
    <t>9002 STERLINGSHIRE 1 102</t>
  </si>
  <si>
    <t>MARIAH DION WHITE</t>
  </si>
  <si>
    <t xml:space="preserve">2042 SWEET LILAC DR </t>
  </si>
  <si>
    <t>DENNIS ARROYO</t>
  </si>
  <si>
    <t xml:space="preserve">7403 YELLOW PINE DR </t>
  </si>
  <si>
    <t>NED STALKS</t>
  </si>
  <si>
    <t xml:space="preserve">1040 LEBBOUEE STREET </t>
  </si>
  <si>
    <t>JOHN MANCIAZ</t>
  </si>
  <si>
    <t xml:space="preserve">12806 COULSON </t>
  </si>
  <si>
    <t>EUREKA MICHELLE ROGERS</t>
  </si>
  <si>
    <t xml:space="preserve">625 WILSON RD 96 </t>
  </si>
  <si>
    <t>ERICA YULIANA SALINAS</t>
  </si>
  <si>
    <t xml:space="preserve">12909 BLACKPOOL LN </t>
  </si>
  <si>
    <t>OSWALDO CENTENO MADRIGAL</t>
  </si>
  <si>
    <t xml:space="preserve">7000 DECKER LN </t>
  </si>
  <si>
    <t>ROBERT DRAVEN PRELL</t>
  </si>
  <si>
    <t xml:space="preserve">2406 HUCKLEBERRY </t>
  </si>
  <si>
    <t>MAKAYLA WASHINGTON</t>
  </si>
  <si>
    <t xml:space="preserve">8507 COTTAGE GATE LN </t>
  </si>
  <si>
    <t>JOSEPH JEROME GREEN</t>
  </si>
  <si>
    <t xml:space="preserve">10803 SAFEGUARD ST </t>
  </si>
  <si>
    <t>EVAN EDWARDS</t>
  </si>
  <si>
    <t xml:space="preserve">5927 ALMEDA RD 21514 </t>
  </si>
  <si>
    <t>BELINDA REYNA</t>
  </si>
  <si>
    <t>3120 PASADENA BLVD 9 0</t>
  </si>
  <si>
    <t>JASMINE CHARMAINE COLEMAN</t>
  </si>
  <si>
    <t>14695 BRIAR FOREST DR 7303</t>
  </si>
  <si>
    <t>LUCIO EDUARDO LLAMAS</t>
  </si>
  <si>
    <t>7100 WESTVIEW DR APT 1606</t>
  </si>
  <si>
    <t>USIAS LOPEZ VELASQUEZ</t>
  </si>
  <si>
    <t xml:space="preserve">12215 NORTHWWOD 122 </t>
  </si>
  <si>
    <t>ERIC DEWAYNE AMMONS</t>
  </si>
  <si>
    <t>735 DULLES AVE APT 501</t>
  </si>
  <si>
    <t>JAIRO G PADILLA-HERNANDEZ</t>
  </si>
  <si>
    <t xml:space="preserve">4102 YOUNG ST </t>
  </si>
  <si>
    <t>DYLON JAMES GREENWOOD</t>
  </si>
  <si>
    <t>NICOLE IRVIN</t>
  </si>
  <si>
    <t>3100 W SAM HOUSTON P KWY S 131</t>
  </si>
  <si>
    <t>ABASI RUBEN DOMINGUEZ</t>
  </si>
  <si>
    <t xml:space="preserve">3262 WESTHEIMER </t>
  </si>
  <si>
    <t>GADIEL BRAVO-CUEVAS</t>
  </si>
  <si>
    <t>9616 LONG POINT RD 8 1</t>
  </si>
  <si>
    <t>KEITH LAMONT DARDEN</t>
  </si>
  <si>
    <t xml:space="preserve">8915 GLENHURST 6524 </t>
  </si>
  <si>
    <t>ROMANUS ANTHONY ROBERTSON</t>
  </si>
  <si>
    <t xml:space="preserve">16755 ELLA BLVD </t>
  </si>
  <si>
    <t>HALEY VERNICE NEUMAN</t>
  </si>
  <si>
    <t>TOMMY YOUNG</t>
  </si>
  <si>
    <t xml:space="preserve">6607 PRINO RD </t>
  </si>
  <si>
    <t>CECILIA SIERDA ABAD</t>
  </si>
  <si>
    <t xml:space="preserve">15930 DUNMAN </t>
  </si>
  <si>
    <t>REYNALDO CUMMINGS</t>
  </si>
  <si>
    <t>2150 BENTWORTH DR 22 5</t>
  </si>
  <si>
    <t>AMBER MAY MURDOCK</t>
  </si>
  <si>
    <t>9902 MEMORIAL CROSSI NG</t>
  </si>
  <si>
    <t>ALIZA B MARTINEZ</t>
  </si>
  <si>
    <t xml:space="preserve">4826 ALDINE MAIL RD </t>
  </si>
  <si>
    <t>BRIAN J. MCNULTY</t>
  </si>
  <si>
    <t xml:space="preserve">2510 ROBB ST </t>
  </si>
  <si>
    <t>MONICA MARTINEZ PAREDES</t>
  </si>
  <si>
    <t xml:space="preserve">1502 ZORA ST </t>
  </si>
  <si>
    <t>JAVEN MOORE</t>
  </si>
  <si>
    <t xml:space="preserve">8732 FOXXGATE DR </t>
  </si>
  <si>
    <t>YUNESKY ESPINETA PEREZ</t>
  </si>
  <si>
    <t xml:space="preserve">7215 WOODSMAN TRL </t>
  </si>
  <si>
    <t>JONATHAN ZAMORA</t>
  </si>
  <si>
    <t xml:space="preserve">2615 LANCASTER </t>
  </si>
  <si>
    <t>KATIE LYNN EARHART</t>
  </si>
  <si>
    <t xml:space="preserve">5484 CR538B </t>
  </si>
  <si>
    <t>WADE JOHNSON</t>
  </si>
  <si>
    <t xml:space="preserve">2000 WESTBROURGH 201 </t>
  </si>
  <si>
    <t>AUSTIN BROWN</t>
  </si>
  <si>
    <t>3030 SHADOWBRIAR DR 1031</t>
  </si>
  <si>
    <t>PEDRO RAYMUNDO RIVERA</t>
  </si>
  <si>
    <t xml:space="preserve">6113 GULF FWY IB 264 </t>
  </si>
  <si>
    <t>DARYL DERNARD WILLIAMS</t>
  </si>
  <si>
    <t>1538 CHANDLER PARK L N</t>
  </si>
  <si>
    <t>KAMRAN HAIDER</t>
  </si>
  <si>
    <t xml:space="preserve">11222 ASHSORD POINT </t>
  </si>
  <si>
    <t>JESSICA ROSE GALLOWAY</t>
  </si>
  <si>
    <t xml:space="preserve">2607 RICEFLOWER </t>
  </si>
  <si>
    <t>DAVONTE LAMAR HARRIS</t>
  </si>
  <si>
    <t>2102 OLD SPING HILL RD</t>
  </si>
  <si>
    <t>DEVIN MICHAEL TORRES</t>
  </si>
  <si>
    <t>4119 SAND RIPPLE LAN E</t>
  </si>
  <si>
    <t>EDWARD CHASE LINSCOMB</t>
  </si>
  <si>
    <t>6311 W GULF BANK RD B</t>
  </si>
  <si>
    <t>ERNEST JAMES EBERLE</t>
  </si>
  <si>
    <t>1100 WEST GATEWAY BL VD APT 132</t>
  </si>
  <si>
    <t>BRYAN PHAM</t>
  </si>
  <si>
    <t xml:space="preserve">17414 HAMILWOOD DR </t>
  </si>
  <si>
    <t>CARMEN ALMESTICA AYALA</t>
  </si>
  <si>
    <t xml:space="preserve">3631 RED FIR DR </t>
  </si>
  <si>
    <t>JOSE DE MONTOYA</t>
  </si>
  <si>
    <t>7575 PLUM CREEK DR 7 904</t>
  </si>
  <si>
    <t>EFREN ALFONSO GONZALEZ</t>
  </si>
  <si>
    <t xml:space="preserve">15522 MOSSY PARK </t>
  </si>
  <si>
    <t>ASHLEY THOMAS</t>
  </si>
  <si>
    <t xml:space="preserve">802 SEMINAR DR </t>
  </si>
  <si>
    <t>JERALD D BOYD</t>
  </si>
  <si>
    <t xml:space="preserve">3319 CHALFONT DR </t>
  </si>
  <si>
    <t>DAQUALAUN CHANDLER</t>
  </si>
  <si>
    <t xml:space="preserve">18600 PARK VIEW DR </t>
  </si>
  <si>
    <t>DERIC DWYNE DUPRE</t>
  </si>
  <si>
    <t xml:space="preserve">16112 NORTH FREEWAY </t>
  </si>
  <si>
    <t>FRANKLIN EMIGDIO CHACON</t>
  </si>
  <si>
    <t xml:space="preserve">11835 TIERRA PALMS CT </t>
  </si>
  <si>
    <t>DAQUAN ADDISON</t>
  </si>
  <si>
    <t xml:space="preserve">5011 IVY FAIR WAY </t>
  </si>
  <si>
    <t>AJOSE ELMER</t>
  </si>
  <si>
    <t>9201 CLAIREWOOD DR 0 68</t>
  </si>
  <si>
    <t>KEI AYZIA PARKER</t>
  </si>
  <si>
    <t xml:space="preserve">8204 HITCHING TR </t>
  </si>
  <si>
    <t>BRODRICK THOMPSON</t>
  </si>
  <si>
    <t>8301 WILLOW PLACE DR IVE</t>
  </si>
  <si>
    <t>DANIEL DEJESUS RODRIGUEZ</t>
  </si>
  <si>
    <t xml:space="preserve">8145 BARKLEY </t>
  </si>
  <si>
    <t>MICHEL PAPPILLION</t>
  </si>
  <si>
    <t>322 BREEZE PARK DRI VE</t>
  </si>
  <si>
    <t>CAILAH PRUITT</t>
  </si>
  <si>
    <t xml:space="preserve">11490 HARWIN DR 518 </t>
  </si>
  <si>
    <t>CHELSEA ROGERS</t>
  </si>
  <si>
    <t xml:space="preserve">19507 INGHAM DR </t>
  </si>
  <si>
    <t>JASMINE ELIZABETH LUMKINS</t>
  </si>
  <si>
    <t xml:space="preserve">11501 WEST RD 1816 </t>
  </si>
  <si>
    <t>RANJIT DHALIWAL</t>
  </si>
  <si>
    <t xml:space="preserve">7011 JASMINE TRAIL </t>
  </si>
  <si>
    <t xml:space="preserve">2009 HARRIS AVE </t>
  </si>
  <si>
    <t>JONATHON CISNEROS</t>
  </si>
  <si>
    <t xml:space="preserve">4007 MONITOR ST </t>
  </si>
  <si>
    <t>JOSEPH MAALIK MOORE</t>
  </si>
  <si>
    <t xml:space="preserve">6510 HOLLY COVE LN </t>
  </si>
  <si>
    <t>JOSEF L RODRIGUEZ</t>
  </si>
  <si>
    <t xml:space="preserve">805 MARSHAL APT 8 </t>
  </si>
  <si>
    <t>DERRICK BAKER</t>
  </si>
  <si>
    <t>11423 MILNERS POINT D R</t>
  </si>
  <si>
    <t>JUAN TERRAZA LOPEZ</t>
  </si>
  <si>
    <t xml:space="preserve">811 PEMBERTON </t>
  </si>
  <si>
    <t>SAMUEL EMMANUEL MERCER</t>
  </si>
  <si>
    <t xml:space="preserve">735 WEST RIDGE DR </t>
  </si>
  <si>
    <t>KRISHNA GOLEMAN</t>
  </si>
  <si>
    <t xml:space="preserve">20210 BIG TIMBER CT </t>
  </si>
  <si>
    <t>KAYLA RENEE DANJUH JACOBS</t>
  </si>
  <si>
    <t xml:space="preserve">21300 HWY 16 N </t>
  </si>
  <si>
    <t>ARACELY TOVAR</t>
  </si>
  <si>
    <t>10417 ALDINE WESTFIEL D RD</t>
  </si>
  <si>
    <t>ANDRE MICHAEL REED</t>
  </si>
  <si>
    <t xml:space="preserve">10525 EASTEX FREEWAY </t>
  </si>
  <si>
    <t>FABIAN TYRECE JONES</t>
  </si>
  <si>
    <t xml:space="preserve">12550 JFK 1402 </t>
  </si>
  <si>
    <t>CHRISTOPHER GARCIA</t>
  </si>
  <si>
    <t xml:space="preserve">815 SPATES ST </t>
  </si>
  <si>
    <t>ELIJAN MARQUEE HOLLOWAY</t>
  </si>
  <si>
    <t>4384 BARON DE BASTRO P</t>
  </si>
  <si>
    <t>CARLOS IVAN GONZALEZ</t>
  </si>
  <si>
    <t xml:space="preserve">7526 SANTA FE DR </t>
  </si>
  <si>
    <t>TOMAS ISIDORO GARZA</t>
  </si>
  <si>
    <t xml:space="preserve">2634 DEBORAH ST </t>
  </si>
  <si>
    <t>RUBY YVONNE RODRIGUEZ</t>
  </si>
  <si>
    <t xml:space="preserve">1903 LEXINGTON ST </t>
  </si>
  <si>
    <t>CINDIE COLEMAN</t>
  </si>
  <si>
    <t xml:space="preserve">918 BECKER ST </t>
  </si>
  <si>
    <t>ELI JERAMY ROUNSVILLE</t>
  </si>
  <si>
    <t xml:space="preserve">4510 IDAHO ST </t>
  </si>
  <si>
    <t>TYREE RECTOR</t>
  </si>
  <si>
    <t xml:space="preserve">7402 CALHOUN RD </t>
  </si>
  <si>
    <t>KAILAND JUSHAY THOMPSON</t>
  </si>
  <si>
    <t xml:space="preserve">5510 S RICE AVE 1522 </t>
  </si>
  <si>
    <t>JONATHAN DIAZ</t>
  </si>
  <si>
    <t>5700 THOUSAND OAKS D R</t>
  </si>
  <si>
    <t>JASON URIEL CAMPUZANO</t>
  </si>
  <si>
    <t xml:space="preserve">3039 PATIENCE AVE </t>
  </si>
  <si>
    <t>JADARREN DONDRE JENKINS</t>
  </si>
  <si>
    <t xml:space="preserve">4621 LARKSPUR ST </t>
  </si>
  <si>
    <t>LEON DEWAYNE WILSON</t>
  </si>
  <si>
    <t xml:space="preserve">7402 CALHOUN RD 3 </t>
  </si>
  <si>
    <t>MILTON JAMES CARNEY</t>
  </si>
  <si>
    <t>2110 BRUNDAGE DR 421 1</t>
  </si>
  <si>
    <t>SHANAE DANIELLE GILLESPIE</t>
  </si>
  <si>
    <t xml:space="preserve">5011 PAIGE STREET 8 </t>
  </si>
  <si>
    <t>ELVIS NOEL REYES</t>
  </si>
  <si>
    <t>201 PLAZA VERDE DRI VE</t>
  </si>
  <si>
    <t>MELODY A TAYLOR</t>
  </si>
  <si>
    <t xml:space="preserve">5151 HIDALGO ST 261 </t>
  </si>
  <si>
    <t>RENE ANTONIO ORTIZ</t>
  </si>
  <si>
    <t>14102 WHITE HEATHER D R</t>
  </si>
  <si>
    <t>MELINDA MICHELLE CORTEZ</t>
  </si>
  <si>
    <t xml:space="preserve">1026 S 6TH ST </t>
  </si>
  <si>
    <t>LARIAH SHERELL NELLUMS</t>
  </si>
  <si>
    <t xml:space="preserve">4700 WENDA ST 1027 </t>
  </si>
  <si>
    <t>RODOLFO AGUILAR-BADILLO</t>
  </si>
  <si>
    <t xml:space="preserve">224 GRACE ST APT 6 </t>
  </si>
  <si>
    <t>JAZZLASHA MCCEISH BLUE</t>
  </si>
  <si>
    <t xml:space="preserve">10580 HAMMERLY BLVD </t>
  </si>
  <si>
    <t>ZYLYRIC COLLINS</t>
  </si>
  <si>
    <t xml:space="preserve">13875 ELLA BLVD </t>
  </si>
  <si>
    <t>RO'JAE KIZZEE DAE'JON</t>
  </si>
  <si>
    <t xml:space="preserve">506 ISRAEL OTIS ST </t>
  </si>
  <si>
    <t>DEKEIDRIAN KESHUN ROLLINS</t>
  </si>
  <si>
    <t xml:space="preserve">17 NORMAN LN </t>
  </si>
  <si>
    <t>SAADIQ ABRAXAS BARNES</t>
  </si>
  <si>
    <t xml:space="preserve">7226 ENSWORTH DR </t>
  </si>
  <si>
    <t>JOSE GOMEZ</t>
  </si>
  <si>
    <t xml:space="preserve">17050 IMPERIAL VALLEY </t>
  </si>
  <si>
    <t>REBEKAH MARIE SANTOYA</t>
  </si>
  <si>
    <t>21315 SLIPPERY CREEK LANE</t>
  </si>
  <si>
    <t>GIOVANNY RAMIREZ</t>
  </si>
  <si>
    <t xml:space="preserve">8218 AVERT COURT </t>
  </si>
  <si>
    <t>PASCUAL MITOGO</t>
  </si>
  <si>
    <t>9425 WESTHEIMER RD 2 406</t>
  </si>
  <si>
    <t>ZAVION DUNN</t>
  </si>
  <si>
    <t>ROBERT LEE DUNBAR</t>
  </si>
  <si>
    <t xml:space="preserve">16619 BLACKHAWK BLVD </t>
  </si>
  <si>
    <t>LEROY DIXON</t>
  </si>
  <si>
    <t>907 BELLSHIRE DR 12 1</t>
  </si>
  <si>
    <t>JAIRO VALLE</t>
  </si>
  <si>
    <t xml:space="preserve">302 SHADY GLADE DR </t>
  </si>
  <si>
    <t>NATALIE LATHAM</t>
  </si>
  <si>
    <t xml:space="preserve">3350 MCCUE RD 302 </t>
  </si>
  <si>
    <t>MANUEL ALEXANDER JUAREZ</t>
  </si>
  <si>
    <t xml:space="preserve">8914 BULL RUN STREET </t>
  </si>
  <si>
    <t>HAMAD AHMED HUSSEIN</t>
  </si>
  <si>
    <t>2819 BACK BAY BROOK TRL</t>
  </si>
  <si>
    <t>QUIANA ANIYA GIPSON</t>
  </si>
  <si>
    <t>9002 STERLINGSHIRE S T 302</t>
  </si>
  <si>
    <t>HOWARD DEWAYNE WALKER</t>
  </si>
  <si>
    <t>19780 ATASCOCITA SHOR ES DR</t>
  </si>
  <si>
    <t>WILLIAM NAHUN GARCIA</t>
  </si>
  <si>
    <t>1114 LAVENDER SHADE CT</t>
  </si>
  <si>
    <t>KAMERYN RILEY</t>
  </si>
  <si>
    <t xml:space="preserve">9516 ADOBE ROAD </t>
  </si>
  <si>
    <t>FRANKLIN LEE MORAN</t>
  </si>
  <si>
    <t xml:space="preserve">3326 REDFIELD DR </t>
  </si>
  <si>
    <t>DIANA LOPEZ</t>
  </si>
  <si>
    <t xml:space="preserve">308 N MCMASTERS </t>
  </si>
  <si>
    <t>JAYDEN WHOOPER</t>
  </si>
  <si>
    <t xml:space="preserve">19531 SHANDY BANKS DR </t>
  </si>
  <si>
    <t>JORGE GATICA</t>
  </si>
  <si>
    <t xml:space="preserve">1742 WOOD VINE DR </t>
  </si>
  <si>
    <t>ROUMALDO SALAS</t>
  </si>
  <si>
    <t xml:space="preserve">1301 AVENUE N </t>
  </si>
  <si>
    <t>ALEXANDER SMITH</t>
  </si>
  <si>
    <t xml:space="preserve">4903 JARL COURT </t>
  </si>
  <si>
    <t>JEU ROBLES AGUILAR</t>
  </si>
  <si>
    <t xml:space="preserve">1073 TAFELSKY DR </t>
  </si>
  <si>
    <t>RODRIGO VALDEZ</t>
  </si>
  <si>
    <t xml:space="preserve">7705 RHOBELL ST </t>
  </si>
  <si>
    <t>CRISTOBAL RODRIGUEZ</t>
  </si>
  <si>
    <t>SCHUYLER TRACE MCKINNEY</t>
  </si>
  <si>
    <t xml:space="preserve">12622 GRAYTON DR </t>
  </si>
  <si>
    <t>MISAEL AGUIRRE</t>
  </si>
  <si>
    <t xml:space="preserve">3822 BRIER GARDEN </t>
  </si>
  <si>
    <t>VICTORIA SIERRIA FULLER</t>
  </si>
  <si>
    <t xml:space="preserve">12431 LINCOLN CRK </t>
  </si>
  <si>
    <t>GILBERTO DAVID RODRIGUEZ</t>
  </si>
  <si>
    <t xml:space="preserve">1422 LOCHSTONE DR </t>
  </si>
  <si>
    <t>BERTHA GONGORA</t>
  </si>
  <si>
    <t>4004 IRVINGTON BLVD 112</t>
  </si>
  <si>
    <t>EDWARD ABURTO</t>
  </si>
  <si>
    <t xml:space="preserve">7606 HOLLOW GLEN LN </t>
  </si>
  <si>
    <t>WINELL CHRISTIE</t>
  </si>
  <si>
    <t xml:space="preserve">5751 GREEHOUSE ROAD </t>
  </si>
  <si>
    <t>CARL CONLEY</t>
  </si>
  <si>
    <t>9390 W FM 1960 BYP 7 06</t>
  </si>
  <si>
    <t>LINDA PATRICIA DOROTEO</t>
  </si>
  <si>
    <t>12000 FLEMING DR 1402 B</t>
  </si>
  <si>
    <t>WERNER CHAN-GARCIA</t>
  </si>
  <si>
    <t>3500 WOODCHASE DR 10 24</t>
  </si>
  <si>
    <t>JOSE VASQUEZ-PEREZ</t>
  </si>
  <si>
    <t xml:space="preserve">6503 WANDA LANE </t>
  </si>
  <si>
    <t>JULIO RUIZ</t>
  </si>
  <si>
    <t>19635 ADELAIDE MEADOW S CT</t>
  </si>
  <si>
    <t>DAVONTAE MOTT</t>
  </si>
  <si>
    <t xml:space="preserve">244 GARNET DR </t>
  </si>
  <si>
    <t>MALACHI PAYNES</t>
  </si>
  <si>
    <t xml:space="preserve">6231 EL GRANATE DR </t>
  </si>
  <si>
    <t>OSCAR EDGARDO MEDRANO METZGUEN</t>
  </si>
  <si>
    <t>9903 S DAIRY ASHFORD RD</t>
  </si>
  <si>
    <t>MORRIS PATIN</t>
  </si>
  <si>
    <t xml:space="preserve">19042 S WHIMSEY </t>
  </si>
  <si>
    <t>ASHLEY RENE BURKEEN</t>
  </si>
  <si>
    <t xml:space="preserve">3022 CHARLES ST </t>
  </si>
  <si>
    <t>CAMERON JONES</t>
  </si>
  <si>
    <t xml:space="preserve">8310 OLD MAPLE LN </t>
  </si>
  <si>
    <t>HECTOR PINEDA</t>
  </si>
  <si>
    <t xml:space="preserve">4400 W 34TH ST </t>
  </si>
  <si>
    <t>DANIEL LINSEISEN</t>
  </si>
  <si>
    <t xml:space="preserve">32118 DECKER OAKS DR </t>
  </si>
  <si>
    <t>OSQUEL MORA</t>
  </si>
  <si>
    <t xml:space="preserve">9303 TOWN PARK DRIVE </t>
  </si>
  <si>
    <t>ROMAN TORRES ROJAS</t>
  </si>
  <si>
    <t xml:space="preserve">9707 S GESSNER RD </t>
  </si>
  <si>
    <t>JONATHAN ALEXANDER BUTHER MARTINEZ</t>
  </si>
  <si>
    <t>16127 EAGLEWOOD SPRIN G CT</t>
  </si>
  <si>
    <t>ALAN JOVANNY OCEGUEDA</t>
  </si>
  <si>
    <t xml:space="preserve">4438 KACEE DR </t>
  </si>
  <si>
    <t>ALBINO GARCIA</t>
  </si>
  <si>
    <t>119 OVERLAND PARK D R</t>
  </si>
  <si>
    <t>DINAEL NOEMIAS FUENTES</t>
  </si>
  <si>
    <t xml:space="preserve">6438 GLADEWELL DR </t>
  </si>
  <si>
    <t>QUENTIN D HORNSBY</t>
  </si>
  <si>
    <t>6409 SPRINGDALE RD 1 10</t>
  </si>
  <si>
    <t>MARIO AVILA</t>
  </si>
  <si>
    <t xml:space="preserve">814 MAYO AVE </t>
  </si>
  <si>
    <t>JAZLYNN MARIE URBANO</t>
  </si>
  <si>
    <t xml:space="preserve">11017 LERA ST </t>
  </si>
  <si>
    <t>EDGAR CATETE</t>
  </si>
  <si>
    <t>7000 BLOCK OF GULF F REEWAY</t>
  </si>
  <si>
    <t>JOSE CRISTOBAL CERVANTES</t>
  </si>
  <si>
    <t>12510 GREENSBROOK FOR EST DRIVE</t>
  </si>
  <si>
    <t>LUIS DEHOYOS</t>
  </si>
  <si>
    <t xml:space="preserve">1712 PRIEST </t>
  </si>
  <si>
    <t>GERARDO MONZO</t>
  </si>
  <si>
    <t>19634 PLANTATION TREE CT</t>
  </si>
  <si>
    <t>CARLOS RAMOS</t>
  </si>
  <si>
    <t xml:space="preserve">1423 BURBANK ST </t>
  </si>
  <si>
    <t>KENDRICK TYRECE PROPHET</t>
  </si>
  <si>
    <t xml:space="preserve">9601 W MONTGOMERY RD </t>
  </si>
  <si>
    <t>JACOB RYAN CASAS</t>
  </si>
  <si>
    <t xml:space="preserve">3107 RED RIDGE CT </t>
  </si>
  <si>
    <t>ANGEL GARCIA</t>
  </si>
  <si>
    <t xml:space="preserve">10221 SILVERCREST ST </t>
  </si>
  <si>
    <t>BRADLEY KYLE PARKER</t>
  </si>
  <si>
    <t xml:space="preserve">18731 DEER TRACE DR </t>
  </si>
  <si>
    <t>KYLEE ALEXIS TURNPAUGH</t>
  </si>
  <si>
    <t xml:space="preserve">4723 MEADOWS EDGE LN </t>
  </si>
  <si>
    <t>ALONZO DEON QUEEN</t>
  </si>
  <si>
    <t xml:space="preserve">3134 KELLING ST </t>
  </si>
  <si>
    <t>CAMEY ALYSE BAZAN</t>
  </si>
  <si>
    <t xml:space="preserve">7030 MAIDSTONE </t>
  </si>
  <si>
    <t>ANGELIQUE DUROW HOPKINS</t>
  </si>
  <si>
    <t xml:space="preserve">8451 BIGWOOD ST </t>
  </si>
  <si>
    <t>ANGEL LIZAMA</t>
  </si>
  <si>
    <t xml:space="preserve">4414 PARK TRAIL LN </t>
  </si>
  <si>
    <t>ANDREA IRENE CARDENAS</t>
  </si>
  <si>
    <t xml:space="preserve">5702 HOPPER RD </t>
  </si>
  <si>
    <t>HECTOR MANUEL SALAZAR</t>
  </si>
  <si>
    <t>2679 TINAS TERRACE D R</t>
  </si>
  <si>
    <t>DAMIEN LAUAR SCOTT</t>
  </si>
  <si>
    <t xml:space="preserve">2315 MINTGLADE LN </t>
  </si>
  <si>
    <t>TRACIE ELIJAH MURRAY MCLEROY</t>
  </si>
  <si>
    <t>4339 PALMER PLANTATI ON DR</t>
  </si>
  <si>
    <t>ALEXANDRA MATA</t>
  </si>
  <si>
    <t xml:space="preserve">14004 STONESHIRE ST </t>
  </si>
  <si>
    <t>ELIAS ENOC PALMA-GAMEZ</t>
  </si>
  <si>
    <t xml:space="preserve">11603 HENDON LN </t>
  </si>
  <si>
    <t>KEVON SLOAN</t>
  </si>
  <si>
    <t xml:space="preserve">3301 PEASE ST </t>
  </si>
  <si>
    <t>FANY YESSENIA HERNANEZ</t>
  </si>
  <si>
    <t xml:space="preserve">14070 TOWNEWAY DR </t>
  </si>
  <si>
    <t>GILBERTO GOMEZ</t>
  </si>
  <si>
    <t xml:space="preserve">2 GOODSON DR </t>
  </si>
  <si>
    <t>DETREVEYON JAMARCUS THOMAS</t>
  </si>
  <si>
    <t>4306 WEST THUNDERWOO D CIR</t>
  </si>
  <si>
    <t>DIONNE CHRISTOPHE</t>
  </si>
  <si>
    <t xml:space="preserve">2611 BENS BRANCH DR </t>
  </si>
  <si>
    <t>BRITTANY MICHELLE JORDAN</t>
  </si>
  <si>
    <t xml:space="preserve">7950 BELFORT LN </t>
  </si>
  <si>
    <t>ALYSSA MAGDALENA MARTINEZ</t>
  </si>
  <si>
    <t>9733 NEUENS RD APT 2 0</t>
  </si>
  <si>
    <t>JASMINE CARLY MCFARLANE</t>
  </si>
  <si>
    <t xml:space="preserve">2212 S AVE </t>
  </si>
  <si>
    <t>MARCELL LAMON WILSON</t>
  </si>
  <si>
    <t xml:space="preserve">7100 ALMEDA DR </t>
  </si>
  <si>
    <t>MELVIN JOSEPH DOUGLAS</t>
  </si>
  <si>
    <t xml:space="preserve">15931 KENBROOK DR </t>
  </si>
  <si>
    <t>EDUARDO ISRAEL TZOC-TZUL</t>
  </si>
  <si>
    <t>6425 WESTHEIMER RD 4 07</t>
  </si>
  <si>
    <t>ADEDIJI VICTOR OJO</t>
  </si>
  <si>
    <t>12626 HUNTING BROOK D R</t>
  </si>
  <si>
    <t>KEMARQUIS DEONTE FOSTER</t>
  </si>
  <si>
    <t xml:space="preserve">531 JAMES ST </t>
  </si>
  <si>
    <t>ERNEST LEE JR HICKS</t>
  </si>
  <si>
    <t xml:space="preserve">3210 BAYOAKS HARBOR </t>
  </si>
  <si>
    <t>ADEMOLA TOSIN ALADE</t>
  </si>
  <si>
    <t>9290 WOODFAIR DR APT 1513</t>
  </si>
  <si>
    <t>RITZA RODRIGUEZ</t>
  </si>
  <si>
    <t xml:space="preserve">6002 ANTOINE DR 58 </t>
  </si>
  <si>
    <t>SANTOS CURUP XOLIX</t>
  </si>
  <si>
    <t xml:space="preserve">10300 HARWIN DR 12 </t>
  </si>
  <si>
    <t>SALMA AKTHER</t>
  </si>
  <si>
    <t>9803 CLUB CREEK DR 1 30</t>
  </si>
  <si>
    <t>ANGEL D ACOSTA</t>
  </si>
  <si>
    <t xml:space="preserve">5723 CHAPMAN ST </t>
  </si>
  <si>
    <t>JEFFEREY ONEAL PIPER</t>
  </si>
  <si>
    <t xml:space="preserve">407 W GREENS RD </t>
  </si>
  <si>
    <t>CHRISTOPHER NOMBORTO PLATA</t>
  </si>
  <si>
    <t xml:space="preserve">16663 ROYAL MILE IB </t>
  </si>
  <si>
    <t>DANGER JOHNSON</t>
  </si>
  <si>
    <t xml:space="preserve">925 NORTHWOOD 7808 </t>
  </si>
  <si>
    <t>ROAMA QUENTA RANDOLPH</t>
  </si>
  <si>
    <t xml:space="preserve">12726 CINDER CONE TRL </t>
  </si>
  <si>
    <t>MEAGAN NICOLE FIORELLO</t>
  </si>
  <si>
    <t xml:space="preserve">16866 BIG REED DR </t>
  </si>
  <si>
    <t>JAQEASHA DEVONNE SCALLION</t>
  </si>
  <si>
    <t xml:space="preserve">14001 SEWALK </t>
  </si>
  <si>
    <t>KANIYA JACKSON</t>
  </si>
  <si>
    <t xml:space="preserve">5050 YALE ST 225 </t>
  </si>
  <si>
    <t>DENAY BROOK LUNA</t>
  </si>
  <si>
    <t xml:space="preserve">614 OAK RD </t>
  </si>
  <si>
    <t>DAMION RAYVON BAINES</t>
  </si>
  <si>
    <t>10901 TELEPHONE RD 15 3</t>
  </si>
  <si>
    <t>EDGARDO ELVIR PONCE-MONDRAGON</t>
  </si>
  <si>
    <t xml:space="preserve">12300 FLEMING DR </t>
  </si>
  <si>
    <t>TEDDRIC MATTHEWS</t>
  </si>
  <si>
    <t xml:space="preserve">10211 FIELDTREE DRIVE </t>
  </si>
  <si>
    <t>JEREMY MARCUS KIRBY</t>
  </si>
  <si>
    <t xml:space="preserve">1906 ROSEGALE </t>
  </si>
  <si>
    <t>ADEWALE GBOGBOADE</t>
  </si>
  <si>
    <t>2222 WESTERLAND DR 6 4</t>
  </si>
  <si>
    <t>DANIEL P SKYPORT</t>
  </si>
  <si>
    <t xml:space="preserve">5910 NE 52ND AVE </t>
  </si>
  <si>
    <t>MARQUISE TERRY</t>
  </si>
  <si>
    <t xml:space="preserve">10026 LYNNWOOD </t>
  </si>
  <si>
    <t>INGRID R BENEDITH</t>
  </si>
  <si>
    <t>8501 BROADWAY ST 310 1</t>
  </si>
  <si>
    <t>EULISES DIAZ</t>
  </si>
  <si>
    <t xml:space="preserve">14018 BAYGARDENS </t>
  </si>
  <si>
    <t>TULIO DIAZ</t>
  </si>
  <si>
    <t>DIANNA CONNER</t>
  </si>
  <si>
    <t xml:space="preserve">10019 MEADOWVINE DR </t>
  </si>
  <si>
    <t>CESAR EDGARDO DUQUE</t>
  </si>
  <si>
    <t xml:space="preserve">8630 MOUNT HOUSTON </t>
  </si>
  <si>
    <t>MISON RAMIE</t>
  </si>
  <si>
    <t>8102 WEST AIRPORT BL VD</t>
  </si>
  <si>
    <t>JOSHUA JONATHAN BOLANOS</t>
  </si>
  <si>
    <t>5355 RUE DELA CROIX DR</t>
  </si>
  <si>
    <t>CHRISTOPHER MARSHALL DAVIS</t>
  </si>
  <si>
    <t xml:space="preserve">1219 ABIGAIL LN </t>
  </si>
  <si>
    <t>GABRIEL AGUILAR-MARTINEZ</t>
  </si>
  <si>
    <t xml:space="preserve">8701 GUSTINE LN </t>
  </si>
  <si>
    <t>SEAN JOSEPH BURRUS</t>
  </si>
  <si>
    <t>7007 DURANGO CREEK L N</t>
  </si>
  <si>
    <t>SHAUN VARUGHESE JOHNSON</t>
  </si>
  <si>
    <t xml:space="preserve">5510 HARTFORD GROVE </t>
  </si>
  <si>
    <t>ROMAN DIULA VALCARCEL</t>
  </si>
  <si>
    <t xml:space="preserve">2500 OLD FARM RD 513 </t>
  </si>
  <si>
    <t>TAYLOR DENNIS</t>
  </si>
  <si>
    <t xml:space="preserve">4800 LAMONTE LN </t>
  </si>
  <si>
    <t>JALYNN MICHELLE SIMON</t>
  </si>
  <si>
    <t xml:space="preserve">5415 CANDLECREST DR </t>
  </si>
  <si>
    <t>MARVIN NOE MARTINEZ-GARCIA</t>
  </si>
  <si>
    <t xml:space="preserve">801 E NASA PKWY </t>
  </si>
  <si>
    <t>MARQUEZ A. SONNIER</t>
  </si>
  <si>
    <t xml:space="preserve">17607 EASTEX FWY IB </t>
  </si>
  <si>
    <t>JOSE ANGEL MARTINEZ</t>
  </si>
  <si>
    <t xml:space="preserve">5730 TIMBER CREEK DR </t>
  </si>
  <si>
    <t>ANGEL MARIE DUHON</t>
  </si>
  <si>
    <t xml:space="preserve">311 BURKETTE ST </t>
  </si>
  <si>
    <t>JOSHUA MCGEE</t>
  </si>
  <si>
    <t xml:space="preserve">12255 W VILLAGE DR </t>
  </si>
  <si>
    <t>JARVIS BARTHOLOMEW</t>
  </si>
  <si>
    <t xml:space="preserve">12893 HIGH STAR DRIVE </t>
  </si>
  <si>
    <t>RAEGAN DSEAN HILL</t>
  </si>
  <si>
    <t xml:space="preserve">1823 STACY CRST </t>
  </si>
  <si>
    <t>MARIA CHAVEZ</t>
  </si>
  <si>
    <t xml:space="preserve">9423 MISTY VALE LN </t>
  </si>
  <si>
    <t>JACOREY QUANTEL WILLIAMS</t>
  </si>
  <si>
    <t xml:space="preserve">7520 COOK RD 2505 </t>
  </si>
  <si>
    <t>DEQUARIOUS MERLIN ROBINS</t>
  </si>
  <si>
    <t xml:space="preserve">832 WILSON RD </t>
  </si>
  <si>
    <t>DESTINE ALIYAUNA DONYA LONGMIRE</t>
  </si>
  <si>
    <t>4200 CYPRESS CREEK P KWY</t>
  </si>
  <si>
    <t>LYRIK RACQUEL SCOTTHICKMAN</t>
  </si>
  <si>
    <t xml:space="preserve">4324 WINDSONG ST </t>
  </si>
  <si>
    <t>DEBORAH FRITZ HAMMOND</t>
  </si>
  <si>
    <t xml:space="preserve">715 ARION LN </t>
  </si>
  <si>
    <t>JUAN CARLOS RODRIGUEZ</t>
  </si>
  <si>
    <t>2202 CHAMERLAIN STRE ET</t>
  </si>
  <si>
    <t>TAYLON JALEEL BRISCOE</t>
  </si>
  <si>
    <t xml:space="preserve">2327 BECKER DR </t>
  </si>
  <si>
    <t>RAHIB ISMIYEV</t>
  </si>
  <si>
    <t>14698 BRIAR FOREST DR 5104</t>
  </si>
  <si>
    <t>ROBERTO ALEXIS HERNANDEZ</t>
  </si>
  <si>
    <t xml:space="preserve">12818 HIGHMANOR DRIVE </t>
  </si>
  <si>
    <t>GERSON TURCIOS LOPEZ</t>
  </si>
  <si>
    <t>600 E LITTLE YORK R D</t>
  </si>
  <si>
    <t>ARMESHA KEYERA PALMER</t>
  </si>
  <si>
    <t xml:space="preserve">4417 CLOVER ST </t>
  </si>
  <si>
    <t>HALEIGH SHANNELL RATHBUN</t>
  </si>
  <si>
    <t xml:space="preserve">3306 FALLING BROOK </t>
  </si>
  <si>
    <t>ALI HUSSAIN AL QASSAM</t>
  </si>
  <si>
    <t>19006 KENSWICK COVE D R</t>
  </si>
  <si>
    <t>NATHAN CASTRO</t>
  </si>
  <si>
    <t>13916 ALDINE WESTFIEL D RD</t>
  </si>
  <si>
    <t>ROBERT THEODORE FRANKLIN II</t>
  </si>
  <si>
    <t xml:space="preserve">2514 POMERAN </t>
  </si>
  <si>
    <t>CHRISTIAN BIAGASE</t>
  </si>
  <si>
    <t>903 AUTUMN FLATS WA Y</t>
  </si>
  <si>
    <t>CHRISTOPHER MOORE</t>
  </si>
  <si>
    <t xml:space="preserve">777 COOLWOOD DR 802 </t>
  </si>
  <si>
    <t>EDUARDO ALVAREZ-VERONA</t>
  </si>
  <si>
    <t xml:space="preserve">418 MEMORY LN </t>
  </si>
  <si>
    <t>DERON LANGSTON SESSION</t>
  </si>
  <si>
    <t>9415 WESTHEIMER RD 3 07C</t>
  </si>
  <si>
    <t>DANDRE CAIN WASHINGTON</t>
  </si>
  <si>
    <t xml:space="preserve">3306 S FRY RD </t>
  </si>
  <si>
    <t>MAXIMINO BRISENO-MARTINEZ</t>
  </si>
  <si>
    <t>15330 LIBERTY RIVER D R</t>
  </si>
  <si>
    <t>CRISTIAN BELTRAN ELEOCADIO</t>
  </si>
  <si>
    <t xml:space="preserve">10000 HAMMERLY 120 </t>
  </si>
  <si>
    <t>ARIEL BARIENTOS</t>
  </si>
  <si>
    <t xml:space="preserve">12700 BEAUMONT HWY </t>
  </si>
  <si>
    <t>DONNESHA LYNNAE THOMAS</t>
  </si>
  <si>
    <t xml:space="preserve">7926 MILLARD ST </t>
  </si>
  <si>
    <t>KIMBERLY ROMERO-RIVAS</t>
  </si>
  <si>
    <t>5331 BEVERLY HILLS S T</t>
  </si>
  <si>
    <t>MAYNOR EDUARDO VEGA</t>
  </si>
  <si>
    <t>7342 SOMERSET HILL L N</t>
  </si>
  <si>
    <t>MIREYA DUENEZ-MEDELLIN</t>
  </si>
  <si>
    <t>2002 WILLIAM TELL ST REET</t>
  </si>
  <si>
    <t>CASHIRI AHMAD AUSBROOKS</t>
  </si>
  <si>
    <t xml:space="preserve">8331 WESTBANK AVE </t>
  </si>
  <si>
    <t>JOHNNY FUENTES</t>
  </si>
  <si>
    <t xml:space="preserve">16926 BONNIE SEAN DR </t>
  </si>
  <si>
    <t>DEVONDRE RASHAUD BARLOW</t>
  </si>
  <si>
    <t xml:space="preserve">2419 IRISH SPRING </t>
  </si>
  <si>
    <t>RICHARD CERVANTES</t>
  </si>
  <si>
    <t xml:space="preserve">1002 SAURIS CT </t>
  </si>
  <si>
    <t>JULIO NAJERA</t>
  </si>
  <si>
    <t>1500 STRAWBERRY RD 1 33</t>
  </si>
  <si>
    <t>EDDIE STEWART ROBINSON</t>
  </si>
  <si>
    <t>22820 IMPERIAL VALLEY DR</t>
  </si>
  <si>
    <t>ULISES GONZALEZ</t>
  </si>
  <si>
    <t>205 CALLE SAN JEREM IAS</t>
  </si>
  <si>
    <t>ANAIYAH CODNER</t>
  </si>
  <si>
    <t xml:space="preserve">12700 STAFFORD RD </t>
  </si>
  <si>
    <t>JONATHAN UBEDA</t>
  </si>
  <si>
    <t xml:space="preserve">25355 PINE KNOB DR </t>
  </si>
  <si>
    <t>BYRON WILFREDO CRUZ FUNEZ</t>
  </si>
  <si>
    <t xml:space="preserve">8901 BISSONNET ST 15 </t>
  </si>
  <si>
    <t>JAMES CURTIS JOHNSON</t>
  </si>
  <si>
    <t xml:space="preserve">21077 KINGSLAND BLVD </t>
  </si>
  <si>
    <t>JESSICA K JOHNSON</t>
  </si>
  <si>
    <t>15700 LEXINGTON BLVD 1503</t>
  </si>
  <si>
    <t>ERWIN RAMIRO CHU CHIQUIN</t>
  </si>
  <si>
    <t>5701 DEEP FOREST CIR 413</t>
  </si>
  <si>
    <t>ARMANDO ENRIQUEZ GUTIERREZ</t>
  </si>
  <si>
    <t xml:space="preserve">8513 WESTHEIMER RD </t>
  </si>
  <si>
    <t>LILLY GARCIA</t>
  </si>
  <si>
    <t xml:space="preserve">12460 1 2 HEMPSTEAD </t>
  </si>
  <si>
    <t>MARCO ANTONIO CARCHURE</t>
  </si>
  <si>
    <t xml:space="preserve">6407 ANTOINE DR </t>
  </si>
  <si>
    <t>ELLEXIS REBEKA FRANCIS</t>
  </si>
  <si>
    <t xml:space="preserve">14037 WALSH DR </t>
  </si>
  <si>
    <t>ASHTON TAYLOR ANDERSON</t>
  </si>
  <si>
    <t xml:space="preserve">30546 COUNTRY MEADOWS </t>
  </si>
  <si>
    <t>LUIS OMAR RODRIGUEZ</t>
  </si>
  <si>
    <t>6110 HARVEST TERRACE CT</t>
  </si>
  <si>
    <t>ISAIAH JORRYN LAVINE</t>
  </si>
  <si>
    <t>3500 WOODCHASE DR 13 08</t>
  </si>
  <si>
    <t>PHILLIP LYNOTT DAUGHTERY</t>
  </si>
  <si>
    <t>11355 RICHMOND AVE 20 3</t>
  </si>
  <si>
    <t>DAMIEN JOSHUA HARRIS</t>
  </si>
  <si>
    <t xml:space="preserve">5823 BELNEATH ST </t>
  </si>
  <si>
    <t>VICENTE MURILLO</t>
  </si>
  <si>
    <t>2815 CALIFORNIA ST T RLR 95</t>
  </si>
  <si>
    <t>MARCO A CASTILLO</t>
  </si>
  <si>
    <t xml:space="preserve">4346 WILD ACRES </t>
  </si>
  <si>
    <t>JARVIS BONDS</t>
  </si>
  <si>
    <t xml:space="preserve">12006 IBISCO COURT </t>
  </si>
  <si>
    <t>ROBERTO ABELINO CASTILLO</t>
  </si>
  <si>
    <t>2223 SPRING CYPRESS RD</t>
  </si>
  <si>
    <t>MARKEICE TAIWAN LESHORE</t>
  </si>
  <si>
    <t xml:space="preserve">328 FIG TREE </t>
  </si>
  <si>
    <t>STEPHANIE SKEHAN</t>
  </si>
  <si>
    <t>10134 HORSESHOE BEND DR</t>
  </si>
  <si>
    <t>KRYSTAL ZUNIGA</t>
  </si>
  <si>
    <t xml:space="preserve">7351 RUSK ST </t>
  </si>
  <si>
    <t>JOSE ABELARDO VICTORIA</t>
  </si>
  <si>
    <t>9844 CYPRESSWOOD DR 705</t>
  </si>
  <si>
    <t>HONORIO MENDOZA BACILIO</t>
  </si>
  <si>
    <t xml:space="preserve">5821 CLAREWOOD DR 9 </t>
  </si>
  <si>
    <t>WALNISHA TRAMMER</t>
  </si>
  <si>
    <t xml:space="preserve">12534 MILLBANKS DR </t>
  </si>
  <si>
    <t>CHRISTOPHER BALDERAS</t>
  </si>
  <si>
    <t xml:space="preserve">3226 AVENUE G </t>
  </si>
  <si>
    <t>CODY WARREN RONEY</t>
  </si>
  <si>
    <t xml:space="preserve">4949 FM 2351 </t>
  </si>
  <si>
    <t>FEDERICO RAMIREZ</t>
  </si>
  <si>
    <t xml:space="preserve">16410 E CROSBY ST </t>
  </si>
  <si>
    <t>NICHOLAS FRANK GUERRERO</t>
  </si>
  <si>
    <t xml:space="preserve">1902 SKINNER RD </t>
  </si>
  <si>
    <t>YURY ANDRES LEANO</t>
  </si>
  <si>
    <t xml:space="preserve">20119 BARLEY CT </t>
  </si>
  <si>
    <t>JULIAN ULLOA</t>
  </si>
  <si>
    <t>8701 HAMMERLY BLVD 1 723</t>
  </si>
  <si>
    <t>KATELYNN ALISA MEDRANO</t>
  </si>
  <si>
    <t xml:space="preserve">17017 ALBIN CIR </t>
  </si>
  <si>
    <t>CHARLES DAVID EMANUEL</t>
  </si>
  <si>
    <t xml:space="preserve">7447 NORTH FREEWAY </t>
  </si>
  <si>
    <t>ADRIAN TIRADO</t>
  </si>
  <si>
    <t>6425 WESTHEIMER RD 2 023</t>
  </si>
  <si>
    <t>DONAL FUENTES CHICAJ</t>
  </si>
  <si>
    <t xml:space="preserve">8100 BELLAIRE 1543 </t>
  </si>
  <si>
    <t>ALEJANDRO MARTINEZ</t>
  </si>
  <si>
    <t xml:space="preserve">702 WITTER ST </t>
  </si>
  <si>
    <t>TRAVAS JAY IRVINE</t>
  </si>
  <si>
    <t>REGINA GUADALUPE MOLINA</t>
  </si>
  <si>
    <t xml:space="preserve">23031 EARLMIST DR </t>
  </si>
  <si>
    <t>KYLEE MARIE CASTILLO-ORDONEZ</t>
  </si>
  <si>
    <t xml:space="preserve">600 MAPLE AVE </t>
  </si>
  <si>
    <t>CHRISTOPHER CORY CAMPBELL</t>
  </si>
  <si>
    <t xml:space="preserve">4640 MAIN ST 292 </t>
  </si>
  <si>
    <t>KRISTA LYNDELL MORGAN</t>
  </si>
  <si>
    <t>7740 W LITTLE YORK R D</t>
  </si>
  <si>
    <t>ABRAHAM TORRES</t>
  </si>
  <si>
    <t xml:space="preserve">1854 W ALABANA </t>
  </si>
  <si>
    <t>ANGELA YRACHETA SOSA</t>
  </si>
  <si>
    <t xml:space="preserve">10008 SPARROW </t>
  </si>
  <si>
    <t>BRIJIDO OMAR MORENO</t>
  </si>
  <si>
    <t>6150 W TIDWELL RD 70 9</t>
  </si>
  <si>
    <t>LEON LONG</t>
  </si>
  <si>
    <t xml:space="preserve">7326 FOXPORT LN </t>
  </si>
  <si>
    <t>ERWIN POP CAAL</t>
  </si>
  <si>
    <t xml:space="preserve">6313 GULF FWY IB 470 </t>
  </si>
  <si>
    <t>BOANERGES ADONAY CASTANEDA-CRUZ</t>
  </si>
  <si>
    <t xml:space="preserve">3202 LUCIDA LN </t>
  </si>
  <si>
    <t>DEJARIA IJEANE DIXON</t>
  </si>
  <si>
    <t xml:space="preserve">1094 ELLINGTON ST A </t>
  </si>
  <si>
    <t>LAUREN ASHLEY BOYD</t>
  </si>
  <si>
    <t xml:space="preserve">2444 BLACK OAK DR </t>
  </si>
  <si>
    <t>JANNIE GRINNER</t>
  </si>
  <si>
    <t>6225 TIERWESTER ST 2 5</t>
  </si>
  <si>
    <t>JACSON LOPEZ</t>
  </si>
  <si>
    <t xml:space="preserve">6421 HERMANN RD 71 </t>
  </si>
  <si>
    <t>SAUL HERNANDEZ</t>
  </si>
  <si>
    <t>8791 HAMMERLY BLVD 1 81</t>
  </si>
  <si>
    <t>JOSE LUIS ALEJO</t>
  </si>
  <si>
    <t xml:space="preserve">6403 ROSEMARY LN </t>
  </si>
  <si>
    <t>JUANITA VECERRA MARTINEZ</t>
  </si>
  <si>
    <t xml:space="preserve">9114 BEECHNUT 7 </t>
  </si>
  <si>
    <t>DYQUAN LADAMIEN ATKINS</t>
  </si>
  <si>
    <t>15306 EVERGREEN PLACE DR</t>
  </si>
  <si>
    <t>MAGNO RENE MIRANDA-CENTENO</t>
  </si>
  <si>
    <t xml:space="preserve">103 GOODSON DRIVE </t>
  </si>
  <si>
    <t>CARLOS AGUIRRE</t>
  </si>
  <si>
    <t xml:space="preserve">7315 MESONES DRIVE </t>
  </si>
  <si>
    <t>LINDA PHAM SPETH</t>
  </si>
  <si>
    <t xml:space="preserve">2101 PALM CASTLE DR </t>
  </si>
  <si>
    <t xml:space="preserve">510-A  WATERFRONT DR </t>
  </si>
  <si>
    <t>CARLOS ALBERTO MONTEMAYOR MELLADO</t>
  </si>
  <si>
    <t xml:space="preserve">711 FM 1959 RD 1106 </t>
  </si>
  <si>
    <t>CHEONG SAT O</t>
  </si>
  <si>
    <t>9968 BELLAIRE BOULEV ARD #100</t>
  </si>
  <si>
    <t>GABRIELA DAVILA</t>
  </si>
  <si>
    <t xml:space="preserve">11849 ALGONQUIN </t>
  </si>
  <si>
    <t>ISAIAS FUENTES BAUTISTA</t>
  </si>
  <si>
    <t xml:space="preserve">7900 CREEKBEND DR </t>
  </si>
  <si>
    <t>JOSE BAUTISTA DE LOS SANT</t>
  </si>
  <si>
    <t xml:space="preserve">2001 OJEMAN RD 2114 </t>
  </si>
  <si>
    <t>TINA MARIE BUCHANAN</t>
  </si>
  <si>
    <t xml:space="preserve">16802 DUNBAR GROVE </t>
  </si>
  <si>
    <t>DOMANIC L BRANDON</t>
  </si>
  <si>
    <t xml:space="preserve">516 E FOREST AVE </t>
  </si>
  <si>
    <t>BREANNA KATRICE SMITH</t>
  </si>
  <si>
    <t>791 BATESWOOD DR 32 6</t>
  </si>
  <si>
    <t>SANJUANITA REYNA</t>
  </si>
  <si>
    <t>7211 NORTHLINE DR AP T 326</t>
  </si>
  <si>
    <t>BILLIE ALAINA CROCKETT</t>
  </si>
  <si>
    <t>2950 W SAM HOUSTON P KWY S 102</t>
  </si>
  <si>
    <t>DEMON DAUNTE FERGUSON</t>
  </si>
  <si>
    <t xml:space="preserve">3405 MELBOURNE ST </t>
  </si>
  <si>
    <t>TUYEN T PHAM</t>
  </si>
  <si>
    <t>3402 OCEAN RIDGE CIR CLE</t>
  </si>
  <si>
    <t xml:space="preserve">510-B  11TH AVENUE </t>
  </si>
  <si>
    <t>SUT I FONG</t>
  </si>
  <si>
    <t>9888 BELLAIRE BOULEV ARD #136</t>
  </si>
  <si>
    <t>FANG-LIN YANG</t>
  </si>
  <si>
    <t xml:space="preserve">9011 BELLAIRE BLVD </t>
  </si>
  <si>
    <t>ADRIANA CARDOZA</t>
  </si>
  <si>
    <t>JORDAN RAY OBAYA</t>
  </si>
  <si>
    <t xml:space="preserve">2329 ST EMANUEL ST </t>
  </si>
  <si>
    <t>STEPHANIE SARABIA</t>
  </si>
  <si>
    <t xml:space="preserve">2109 MERIE ST </t>
  </si>
  <si>
    <t>DARREN NGOC LE</t>
  </si>
  <si>
    <t xml:space="preserve">2927 DESTIN SHORE DR </t>
  </si>
  <si>
    <t>DOMINIC DAVID PETERSON</t>
  </si>
  <si>
    <t xml:space="preserve">15530 ELLA BLVD </t>
  </si>
  <si>
    <t>TERRY SAULSBERRY</t>
  </si>
  <si>
    <t xml:space="preserve">5520 CAVALCADE ST </t>
  </si>
  <si>
    <t>EDWARD GEORGE SOUTHWICK</t>
  </si>
  <si>
    <t xml:space="preserve">6631 MINOLA STREET </t>
  </si>
  <si>
    <t>ADA ELIZABETH MEDIN BARRAGAN</t>
  </si>
  <si>
    <t xml:space="preserve">785 4TH ST </t>
  </si>
  <si>
    <t>MARCUS CORNELL WATSON</t>
  </si>
  <si>
    <t xml:space="preserve">14531 ELLA 2902 </t>
  </si>
  <si>
    <t>FERDINAND LEWIS GLAPION</t>
  </si>
  <si>
    <t xml:space="preserve">10811 ODYSSEY CT </t>
  </si>
  <si>
    <t>CLARENCE MILLER</t>
  </si>
  <si>
    <t xml:space="preserve">613 WILSON RD </t>
  </si>
  <si>
    <t>JOHN MANUEL TREVINO</t>
  </si>
  <si>
    <t xml:space="preserve">700 THICKET LN </t>
  </si>
  <si>
    <t>JAILAND B SMITH</t>
  </si>
  <si>
    <t>8155 RICHMOND AVE 20 6</t>
  </si>
  <si>
    <t>1790 HUGHES LANDING BLVD STE 4</t>
  </si>
  <si>
    <t>CHESTER LENTON BULLARD</t>
  </si>
  <si>
    <t xml:space="preserve">6310 FM 2025 </t>
  </si>
  <si>
    <t>ERIC LEE JOHNSON</t>
  </si>
  <si>
    <t xml:space="preserve">411 MILL CREEK RD </t>
  </si>
  <si>
    <t>MARLON BRANT WILLIAMS</t>
  </si>
  <si>
    <t xml:space="preserve">2517 DRY BAND LANE </t>
  </si>
  <si>
    <t>MEESEON KANG</t>
  </si>
  <si>
    <t xml:space="preserve">8906 AIRPORT BLVD </t>
  </si>
  <si>
    <t>ZULFIKARALI KASAMALI PRASLA</t>
  </si>
  <si>
    <t xml:space="preserve">1915 HOLLYSWAY </t>
  </si>
  <si>
    <t>CHRISTOPHER KWAN ARMSTRONG</t>
  </si>
  <si>
    <t>TRAYVEONTAY KWAN LINDEN</t>
  </si>
  <si>
    <t xml:space="preserve">5418 TAVENOR </t>
  </si>
  <si>
    <t>JORQUETTA EVETTE SANER</t>
  </si>
  <si>
    <t>7909 S SAM HOUSTON P KWY E 815</t>
  </si>
  <si>
    <t>BRIANNA MCKAYLA FLORES</t>
  </si>
  <si>
    <t xml:space="preserve">11810 HAMMOND DR </t>
  </si>
  <si>
    <t>STUART DEE DAVIS</t>
  </si>
  <si>
    <t>414 CHERRY SPRINGS LN</t>
  </si>
  <si>
    <t>TYRONNICA J LOVELESS</t>
  </si>
  <si>
    <t xml:space="preserve">15503 FM 529 APT 724 </t>
  </si>
  <si>
    <t>MORGAN LEIGH SCOTT</t>
  </si>
  <si>
    <t xml:space="preserve">3606 CLAVERTON DR </t>
  </si>
  <si>
    <t>JOSHUA EDWIN MURRAY</t>
  </si>
  <si>
    <t>1960 BARKER CYPRESS 1492</t>
  </si>
  <si>
    <t>ROBERT MICHAEL PERRICONE</t>
  </si>
  <si>
    <t xml:space="preserve">7709 BIGWOOD ST </t>
  </si>
  <si>
    <t>TANIA MARIA SANCHEZ</t>
  </si>
  <si>
    <t xml:space="preserve">407 RICHEY APT 36 </t>
  </si>
  <si>
    <t>DIANA KAY INSERRA</t>
  </si>
  <si>
    <t xml:space="preserve">1102 W 15TH ST </t>
  </si>
  <si>
    <t>LAUREN TAYLOR POLITE</t>
  </si>
  <si>
    <t xml:space="preserve">3210 BEAVER GLEN </t>
  </si>
  <si>
    <t>PATRICK RYAN SLEVIN</t>
  </si>
  <si>
    <t xml:space="preserve">13403 GOLDENMERE CT </t>
  </si>
  <si>
    <t>HASSAN MOUSSA AL MAHADI</t>
  </si>
  <si>
    <t xml:space="preserve">108 AVONDALE ST </t>
  </si>
  <si>
    <t>EPIPHANY PORTER</t>
  </si>
  <si>
    <t xml:space="preserve">5901 SELINSKY RD 208 </t>
  </si>
  <si>
    <t>AIDEN QUINN JOHNSON</t>
  </si>
  <si>
    <t>CAITLIN ELIZABETH ROBEY</t>
  </si>
  <si>
    <t>6230 PEBBLE CANYON C T</t>
  </si>
  <si>
    <t>BRADLEY ALLEN COMPTON</t>
  </si>
  <si>
    <t xml:space="preserve">1705 JENKINS RD 22 </t>
  </si>
  <si>
    <t>JOSE N. GARCIA</t>
  </si>
  <si>
    <t xml:space="preserve">1 GOODSON DR 110 </t>
  </si>
  <si>
    <t>DAVID EUGENE SPIRES</t>
  </si>
  <si>
    <t xml:space="preserve">10631 SEAFORD DR </t>
  </si>
  <si>
    <t>ADAM GARZA</t>
  </si>
  <si>
    <t xml:space="preserve">808 ARMOR AVE </t>
  </si>
  <si>
    <t>ORLANDO CHILDRESS</t>
  </si>
  <si>
    <t xml:space="preserve">2501 PEBBLE BROOK DR </t>
  </si>
  <si>
    <t>BYRON HERNANDEZ SALDIVAR</t>
  </si>
  <si>
    <t>13503 NORTHBOROUGH DR 1008</t>
  </si>
  <si>
    <t>JONATHAN VEALS</t>
  </si>
  <si>
    <t>8030 OAK LEAF MEADOW CT</t>
  </si>
  <si>
    <t>RUDY PALACIOS</t>
  </si>
  <si>
    <t xml:space="preserve">6733 GLENMONT DR </t>
  </si>
  <si>
    <t>FERNANDO VEGA</t>
  </si>
  <si>
    <t xml:space="preserve">2107 LINDEN CREEK LN </t>
  </si>
  <si>
    <t>EDWIN NAVARRO</t>
  </si>
  <si>
    <t>WILJOEY MARRERO</t>
  </si>
  <si>
    <t>15455 POINT NORTHWEST BLVD</t>
  </si>
  <si>
    <t>TIFFANY MARIE GILBERT</t>
  </si>
  <si>
    <t>3525 S SAM HOUSTON P KWY E 626</t>
  </si>
  <si>
    <t>LARONN WILLIAM INGRAM</t>
  </si>
  <si>
    <t>GARY WALTER BOEHM</t>
  </si>
  <si>
    <t xml:space="preserve">6969 GUHN RD 143 </t>
  </si>
  <si>
    <t>ALEJANDRO JUAREZ HERNANDEZ</t>
  </si>
  <si>
    <t xml:space="preserve">217 GRACE ST </t>
  </si>
  <si>
    <t>ARAIA LOPEZ</t>
  </si>
  <si>
    <t xml:space="preserve">14135 BANDERA ST </t>
  </si>
  <si>
    <t>RUBEN RAMIREZ</t>
  </si>
  <si>
    <t xml:space="preserve">9930 BUENA PARK CT </t>
  </si>
  <si>
    <t>CEASAR CAAL GABRIEL</t>
  </si>
  <si>
    <t xml:space="preserve">2602 BEATTY ST </t>
  </si>
  <si>
    <t>OSCAR ALEXANDER TREJO</t>
  </si>
  <si>
    <t>6550 HILLCROFT AVE 3 19</t>
  </si>
  <si>
    <t>BALDOMERO VILLA</t>
  </si>
  <si>
    <t>6301 W BELLFORT AVE 171</t>
  </si>
  <si>
    <t>REGINA COLEMAN</t>
  </si>
  <si>
    <t>8800 S BRAESWOOD BLV D</t>
  </si>
  <si>
    <t>ANTONIO LOPEZ PEREZ</t>
  </si>
  <si>
    <t>7760 HAMMERLY BLVD 4 4</t>
  </si>
  <si>
    <t>MARVIN Y GONZALEZ</t>
  </si>
  <si>
    <t xml:space="preserve">2930 WESTHEIMER RD </t>
  </si>
  <si>
    <t>GABRIELA RODRIGUEZ</t>
  </si>
  <si>
    <t xml:space="preserve">821 E DREYER </t>
  </si>
  <si>
    <t>JUAN ANTONIO CHAVEZ JR</t>
  </si>
  <si>
    <t xml:space="preserve">815 AXILDA ST </t>
  </si>
  <si>
    <t>HELMER VIDAL MARTINEZ CARTAGENA</t>
  </si>
  <si>
    <t xml:space="preserve">12445 CARIDAS DR </t>
  </si>
  <si>
    <t>DVUNTAY LOUISON</t>
  </si>
  <si>
    <t>12910 ASHFORD POINT D R</t>
  </si>
  <si>
    <t>GAVIN PEREZ</t>
  </si>
  <si>
    <t xml:space="preserve">2546 ACDIANA LN </t>
  </si>
  <si>
    <t>VICTOR MONTANO</t>
  </si>
  <si>
    <t xml:space="preserve">16631 CAINGORM DR </t>
  </si>
  <si>
    <t>JOSE ALFREDO AGUIRRE</t>
  </si>
  <si>
    <t xml:space="preserve">10207 GULF MEADOWS DR </t>
  </si>
  <si>
    <t>ETIANNA ETIENNE</t>
  </si>
  <si>
    <t>20710 CALLOWAY CREST CT</t>
  </si>
  <si>
    <t>KEANAN DAVELLE HOLZENDORF</t>
  </si>
  <si>
    <t>10445 GREENS CROSSING 127</t>
  </si>
  <si>
    <t>WALTER MACARIO</t>
  </si>
  <si>
    <t>6330 WINDSWEPT LN 11 6</t>
  </si>
  <si>
    <t>MIGUEL ANGEL HERNANDEZ-HERNANDEZ</t>
  </si>
  <si>
    <t xml:space="preserve">302 OATES RD </t>
  </si>
  <si>
    <t>RASHEED TREMAYNE TYNES</t>
  </si>
  <si>
    <t>5220 BROWNWAY ST 121 6</t>
  </si>
  <si>
    <t>STEPHANIE LEIGHANE CARRIZAL</t>
  </si>
  <si>
    <t xml:space="preserve">5771 EAST HAMPTON DR </t>
  </si>
  <si>
    <t>JAQUALYN ALEX</t>
  </si>
  <si>
    <t xml:space="preserve">6214 GREAT OAKS DR </t>
  </si>
  <si>
    <t>JOSHUA ADAM GOFF</t>
  </si>
  <si>
    <t xml:space="preserve">18 CR 42682 </t>
  </si>
  <si>
    <t>VICTOR ALONSO ARTEAGA</t>
  </si>
  <si>
    <t>OSCAR RENE GARCIA</t>
  </si>
  <si>
    <t xml:space="preserve">15338 SILVERMAN ST </t>
  </si>
  <si>
    <t>JOHN ANTHONY SERRATO</t>
  </si>
  <si>
    <t xml:space="preserve">3002 AIRPORT BLVD </t>
  </si>
  <si>
    <t>GABRIEL GARCIA</t>
  </si>
  <si>
    <t xml:space="preserve">27702 SASS FIELDS CT </t>
  </si>
  <si>
    <t>TERRANCE SANDERS</t>
  </si>
  <si>
    <t xml:space="preserve">7206 FOXWOOD </t>
  </si>
  <si>
    <t>ESSCARY JOSE ROMERO</t>
  </si>
  <si>
    <t xml:space="preserve">3723 BROOKMEADE </t>
  </si>
  <si>
    <t>JIMMY LIMONES</t>
  </si>
  <si>
    <t xml:space="preserve">2509 22ND AVE N </t>
  </si>
  <si>
    <t>LUDMIN TKEL</t>
  </si>
  <si>
    <t>2503 SHEARWATER BEND DR</t>
  </si>
  <si>
    <t>YANIEL LEYVA AMPUDIA</t>
  </si>
  <si>
    <t xml:space="preserve">15425 WELDON DR </t>
  </si>
  <si>
    <t>EDDIE JOSEPH NIXON</t>
  </si>
  <si>
    <t>8585 SIENNA SPRINGS BLVD</t>
  </si>
  <si>
    <t>ATHENA LEON</t>
  </si>
  <si>
    <t xml:space="preserve">720 18TH ST </t>
  </si>
  <si>
    <t>LAZARO NOE NUNEZ</t>
  </si>
  <si>
    <t xml:space="preserve">511 KENMORE AVE </t>
  </si>
  <si>
    <t>KEE HAMLET</t>
  </si>
  <si>
    <t xml:space="preserve">3223 SPRING CYPREES </t>
  </si>
  <si>
    <t>REBECCA HALEY</t>
  </si>
  <si>
    <t>1003 N ARCHIBALD AVE UNIT F</t>
  </si>
  <si>
    <t>ROBERTO PEREZ RIVAS</t>
  </si>
  <si>
    <t xml:space="preserve">WITTE  RD APT 74 </t>
  </si>
  <si>
    <t>JONATHAN ALEJANDRO VASQUEZ ORTIZ</t>
  </si>
  <si>
    <t>6403 SIERRA BLANCA D R 1910</t>
  </si>
  <si>
    <t>HEATHER LYNN HABERMAN</t>
  </si>
  <si>
    <t xml:space="preserve">8510 HOLLY SPRING LN </t>
  </si>
  <si>
    <t>JUAN DANIEL GONZALEZ SOLORIO</t>
  </si>
  <si>
    <t>7909 S SAM HOUSTON P KWY E 833</t>
  </si>
  <si>
    <t>RAYMOND ROBLES</t>
  </si>
  <si>
    <t xml:space="preserve">2316 HUTTON </t>
  </si>
  <si>
    <t>TALIN ANN OLSON</t>
  </si>
  <si>
    <t xml:space="preserve">323 N BONITA AVE </t>
  </si>
  <si>
    <t>JOE REYES</t>
  </si>
  <si>
    <t xml:space="preserve">16978 JENIKAY LN </t>
  </si>
  <si>
    <t>LESLIE IV BENFORD</t>
  </si>
  <si>
    <t xml:space="preserve">400 E HOMAN </t>
  </si>
  <si>
    <t>DERRICK LAMONT SIMMONS</t>
  </si>
  <si>
    <t xml:space="preserve">20722 LONE CREEK CT </t>
  </si>
  <si>
    <t>FERNANDO GARCIA ELIZARDI</t>
  </si>
  <si>
    <t xml:space="preserve">2096 AUGUSTA DR </t>
  </si>
  <si>
    <t>JOSEPH ODELL MAYFIELD</t>
  </si>
  <si>
    <t xml:space="preserve">14519 CAMPDEN HILL RD </t>
  </si>
  <si>
    <t>RAQUEL GODFREY</t>
  </si>
  <si>
    <t xml:space="preserve">3300 ROLLINGBROOK </t>
  </si>
  <si>
    <t>BRIANA VAZQUEZ</t>
  </si>
  <si>
    <t xml:space="preserve">7519 BRINKWORTH LN </t>
  </si>
  <si>
    <t>GERMAN ARMANDO MEJIA MIRANDA</t>
  </si>
  <si>
    <t>CALVIN ROBERT WILLIAMS</t>
  </si>
  <si>
    <t xml:space="preserve">8904 NYSSA ST </t>
  </si>
  <si>
    <t>JONATHAN MARTINEZ</t>
  </si>
  <si>
    <t xml:space="preserve">16320 PECAN ST APT 1 </t>
  </si>
  <si>
    <t>CRISTINA MARIE FROST</t>
  </si>
  <si>
    <t xml:space="preserve">4219 LAMAR ST </t>
  </si>
  <si>
    <t>JAQUETTA DENISE EDWARDS</t>
  </si>
  <si>
    <t xml:space="preserve">8711 TOWN PARK DR </t>
  </si>
  <si>
    <t>TABITHA LAUREN LUGO</t>
  </si>
  <si>
    <t xml:space="preserve">2608 AVENUE L </t>
  </si>
  <si>
    <t>AKEEYA MARAE NEAL</t>
  </si>
  <si>
    <t>9111 KATY FWY STE 30 9</t>
  </si>
  <si>
    <t>JUAN M LOPEZ</t>
  </si>
  <si>
    <t xml:space="preserve">1222 HAVNER LN </t>
  </si>
  <si>
    <t>STACIE MOORE</t>
  </si>
  <si>
    <t xml:space="preserve">10318 DYER GLENN </t>
  </si>
  <si>
    <t>ALYSIA KEYONNA HAGAN</t>
  </si>
  <si>
    <t xml:space="preserve">11800 GRANT RD </t>
  </si>
  <si>
    <t>THOMAS HERNANDEZ</t>
  </si>
  <si>
    <t xml:space="preserve">8527 OLD MEADOW LANE </t>
  </si>
  <si>
    <t>ROGELIO OROZCO CAHUEX</t>
  </si>
  <si>
    <t>6403 SIERRA BLANCA 4 501</t>
  </si>
  <si>
    <t>SHAYLA SOILEAU</t>
  </si>
  <si>
    <t xml:space="preserve">20406 LANDSHIRE </t>
  </si>
  <si>
    <t>WARREN COMPTON</t>
  </si>
  <si>
    <t xml:space="preserve">1010 PIRTLE ST </t>
  </si>
  <si>
    <t>GUILLERMO RECIO</t>
  </si>
  <si>
    <t xml:space="preserve">2827 DUNVALE RD 2110 </t>
  </si>
  <si>
    <t>MANUEL TZOC</t>
  </si>
  <si>
    <t>9000 TOWN PARK DR 50 4</t>
  </si>
  <si>
    <t>OLUWASEYI AYOOLA ADEWUYA</t>
  </si>
  <si>
    <t xml:space="preserve">11002 HERON NEST ST </t>
  </si>
  <si>
    <t>MERCEDES ALANIS</t>
  </si>
  <si>
    <t xml:space="preserve">313 N 72ND ST </t>
  </si>
  <si>
    <t>DAVID ALDAPE</t>
  </si>
  <si>
    <t xml:space="preserve">502 DALE ST </t>
  </si>
  <si>
    <t>ROBERTO CENICEROS</t>
  </si>
  <si>
    <t>5455 TIMBER CREEK PL ACE DR</t>
  </si>
  <si>
    <t>SILVERIO DOMINGUEZ HERNANDEZ</t>
  </si>
  <si>
    <t>7500 CLAREWOOD DR 11 1</t>
  </si>
  <si>
    <t>IZAI CLARK</t>
  </si>
  <si>
    <t xml:space="preserve">5207 NATILUS LANE </t>
  </si>
  <si>
    <t>KYRIN DEVONTE SEARS</t>
  </si>
  <si>
    <t>4918 VALLEY RIDGE DR APT 3054</t>
  </si>
  <si>
    <t>TANESSA MONIQUE GAGE</t>
  </si>
  <si>
    <t xml:space="preserve">23780 COUNTRY LN </t>
  </si>
  <si>
    <t>BRETT FARLEY</t>
  </si>
  <si>
    <t xml:space="preserve">7807 WATER PARK LANE </t>
  </si>
  <si>
    <t>PORSHA DENISE WATES</t>
  </si>
  <si>
    <t>8420 MCGIRTS VILLAGE LN</t>
  </si>
  <si>
    <t>RODRIGO HUMBERTO SUAREZ</t>
  </si>
  <si>
    <t xml:space="preserve">8425 AIRLINE DR </t>
  </si>
  <si>
    <t>ARTEMIO DIAZ PEREZ</t>
  </si>
  <si>
    <t xml:space="preserve">11118 HENNING DR </t>
  </si>
  <si>
    <t>CLAUDIA IZAGUERRA</t>
  </si>
  <si>
    <t>13115 BLOSSOM FIELD C T</t>
  </si>
  <si>
    <t>GLORIA FLORES</t>
  </si>
  <si>
    <t xml:space="preserve">16727 QUIET TRAIL DR </t>
  </si>
  <si>
    <t>CHRISTOPHER KARR</t>
  </si>
  <si>
    <t xml:space="preserve">1612 SWEET GRASS TRL </t>
  </si>
  <si>
    <t>DESMOND OILEBO JEREMIAH</t>
  </si>
  <si>
    <t>26 LE PARC FONTAIN E</t>
  </si>
  <si>
    <t>ERIC MEZA</t>
  </si>
  <si>
    <t xml:space="preserve">9722 MARYDEL </t>
  </si>
  <si>
    <t>JORDAN ALEXANDER</t>
  </si>
  <si>
    <t xml:space="preserve">3631 CHEANEY DR </t>
  </si>
  <si>
    <t>LILIANA ESCOBAR-MARTINEZ</t>
  </si>
  <si>
    <t>10301 SANDPIPER DR 27 5</t>
  </si>
  <si>
    <t>SRIDHAR VIGNESH</t>
  </si>
  <si>
    <t>945 W LITTLE YORK R D</t>
  </si>
  <si>
    <t>CARLOS ALBERTO UMANZOR</t>
  </si>
  <si>
    <t>11827 SOUTH MICHAEL C IR</t>
  </si>
  <si>
    <t>PHILLIP MATTHEW SMITH</t>
  </si>
  <si>
    <t>19924 WOODROW WILSON ST</t>
  </si>
  <si>
    <t>JOSEPH JERMAINE GARLINGTON</t>
  </si>
  <si>
    <t xml:space="preserve">10910 GULF FWY </t>
  </si>
  <si>
    <t>MARY HUNTER ENGLISH</t>
  </si>
  <si>
    <t xml:space="preserve">806 VALENTINE WAY </t>
  </si>
  <si>
    <t>DENNIS HERMERDING</t>
  </si>
  <si>
    <t xml:space="preserve">18631 PARKLAND SQ DR </t>
  </si>
  <si>
    <t>BROOKSY ELANE SMITH</t>
  </si>
  <si>
    <t>MAINOR CASTRO</t>
  </si>
  <si>
    <t>1000 CYPRESS STATION DRIVE 221</t>
  </si>
  <si>
    <t>GABRIEL ALEXANDER PADILLA</t>
  </si>
  <si>
    <t xml:space="preserve">6619 ARABELLA ST </t>
  </si>
  <si>
    <t>JERELYNN J MYLES</t>
  </si>
  <si>
    <t xml:space="preserve">23723 SPRING DANE DR </t>
  </si>
  <si>
    <t>TUNG NGUYEN</t>
  </si>
  <si>
    <t>12011 SABINE WOOD TRA ILS</t>
  </si>
  <si>
    <t>JEFFERY TERRELL WASHINGTON</t>
  </si>
  <si>
    <t xml:space="preserve">4807 CLIFFPOINT CT </t>
  </si>
  <si>
    <t>KALESHA LASHAYE GIBSON</t>
  </si>
  <si>
    <t>4122 HAMBLEDON VILLA GE DR</t>
  </si>
  <si>
    <t>MARIAH LANETTE BALDERAS</t>
  </si>
  <si>
    <t>13146 SANDHILL PARK L N</t>
  </si>
  <si>
    <t>KEVIN DIMETRUS LOVE</t>
  </si>
  <si>
    <t>8310 E. COPPER LAKES DR</t>
  </si>
  <si>
    <t>GRAY AUSTIN WALKER</t>
  </si>
  <si>
    <t xml:space="preserve">2605 W DUMBLE ST </t>
  </si>
  <si>
    <t>RAFAELA HERNANDEZ RODRIGUEZ</t>
  </si>
  <si>
    <t xml:space="preserve">11079 COPLEY LN </t>
  </si>
  <si>
    <t>JACOB ANTOINE SOTO</t>
  </si>
  <si>
    <t xml:space="preserve">708 S EAST ST </t>
  </si>
  <si>
    <t>DEYVI CONAN MUNOZ</t>
  </si>
  <si>
    <t xml:space="preserve">6103 GULF FWY IB 226 </t>
  </si>
  <si>
    <t>RUBEN JR SALAZAR</t>
  </si>
  <si>
    <t>10445 GREENS CROSSING BLVD 511</t>
  </si>
  <si>
    <t>ESPERANZA MORENO</t>
  </si>
  <si>
    <t xml:space="preserve">2314 BRINGHURST ST </t>
  </si>
  <si>
    <t>CLINT A COTTON</t>
  </si>
  <si>
    <t xml:space="preserve">14220 PARK ROW </t>
  </si>
  <si>
    <t>MARCUS JERMAINE HENRY</t>
  </si>
  <si>
    <t>9001 SOUTH BRAESWOOD BLVD 1803</t>
  </si>
  <si>
    <t>WENDY NADINE LOREDO</t>
  </si>
  <si>
    <t xml:space="preserve">176 STAPLES DR </t>
  </si>
  <si>
    <t>ANGEL ARAUJO VARGAS</t>
  </si>
  <si>
    <t xml:space="preserve">419 CYPRESS AVE </t>
  </si>
  <si>
    <t>HENRY LOVINGS</t>
  </si>
  <si>
    <t xml:space="preserve">20239 BARON BROOK DR </t>
  </si>
  <si>
    <t>JERMAINE ELAIRE</t>
  </si>
  <si>
    <t xml:space="preserve">10910 GUULG FWY 571 </t>
  </si>
  <si>
    <t>CORNELIUS HARRISON</t>
  </si>
  <si>
    <t xml:space="preserve">1302 ZACHARY CIRCLE </t>
  </si>
  <si>
    <t>GONZALO LAYNA</t>
  </si>
  <si>
    <t xml:space="preserve">5634 BERRY CREEK DR </t>
  </si>
  <si>
    <t>KEVIN WALKER</t>
  </si>
  <si>
    <t xml:space="preserve">3280 ALABAMA ST </t>
  </si>
  <si>
    <t>NAQUARRIN DAYTON WASHINGTON</t>
  </si>
  <si>
    <t xml:space="preserve">10718 CAXTON ST </t>
  </si>
  <si>
    <t>ARMANDA ANN RUSSELL</t>
  </si>
  <si>
    <t xml:space="preserve">1208 INWOOD LN </t>
  </si>
  <si>
    <t>KABRELL MOORE</t>
  </si>
  <si>
    <t xml:space="preserve">3630 NITA </t>
  </si>
  <si>
    <t>AMANDA SHIRRON HUGGINS</t>
  </si>
  <si>
    <t xml:space="preserve">709 N 12TH </t>
  </si>
  <si>
    <t>WILLIAM WESTON BAKER</t>
  </si>
  <si>
    <t xml:space="preserve">4114 WOODHAVEN </t>
  </si>
  <si>
    <t>KENNETH DONYELL BRADFORD</t>
  </si>
  <si>
    <t xml:space="preserve">20919 NIRNAMWOOD BLVD </t>
  </si>
  <si>
    <t>DAVID GIOVANNI BANDA</t>
  </si>
  <si>
    <t xml:space="preserve">7911 PEEKSKILL LN </t>
  </si>
  <si>
    <t>ARINDA JANIE DIAZ</t>
  </si>
  <si>
    <t xml:space="preserve">9226 E AVENUE Q </t>
  </si>
  <si>
    <t>MARCUS WILLIAMS</t>
  </si>
  <si>
    <t>1822 BARKER CYPRESS RD APT 508</t>
  </si>
  <si>
    <t>DANIEL AUSTIN TRAWICK</t>
  </si>
  <si>
    <t xml:space="preserve">3914 WILLMONT </t>
  </si>
  <si>
    <t>ALBERTO CHACON</t>
  </si>
  <si>
    <t xml:space="preserve">2502 WESTERLAND 491 </t>
  </si>
  <si>
    <t>KWENTEZ BROOMFIELD</t>
  </si>
  <si>
    <t>8721 TOWN PARK DR 12 84</t>
  </si>
  <si>
    <t>NERI CRISTIAN MARTINEZ</t>
  </si>
  <si>
    <t xml:space="preserve">11554 SANDS POINT DR </t>
  </si>
  <si>
    <t>STEVE MCVERDA BULLOCK</t>
  </si>
  <si>
    <t xml:space="preserve">12355 TIDWELL RD </t>
  </si>
  <si>
    <t>IRVIN REYNA GUTIERREZ</t>
  </si>
  <si>
    <t>10535 BEECHNUT ST 132 4</t>
  </si>
  <si>
    <t>TERRENCE HARRIS</t>
  </si>
  <si>
    <t xml:space="preserve">5227 PENSDALE </t>
  </si>
  <si>
    <t>BABY BOY PARKER</t>
  </si>
  <si>
    <t xml:space="preserve">827 OAK ST 3 </t>
  </si>
  <si>
    <t>CAITLYN BAKER</t>
  </si>
  <si>
    <t>17222 ATASCOCITA BEND DR</t>
  </si>
  <si>
    <t>JUAN TAX-TZOC</t>
  </si>
  <si>
    <t xml:space="preserve">5251 GASMER </t>
  </si>
  <si>
    <t>BRENNAN BROGDON</t>
  </si>
  <si>
    <t>15311 ZENITH GLEN LAN E</t>
  </si>
  <si>
    <t>LETIZIA IMELDA MORENO</t>
  </si>
  <si>
    <t xml:space="preserve">20910 BROAD HOLLOW CT </t>
  </si>
  <si>
    <t>MARKELL SANTELL HAWKINS</t>
  </si>
  <si>
    <t xml:space="preserve">5080 HELBIG RD 103 </t>
  </si>
  <si>
    <t>DENIS DANI CUELLAR</t>
  </si>
  <si>
    <t xml:space="preserve">11960 AIRLINE DR 901 </t>
  </si>
  <si>
    <t>KALEB VENTRESS</t>
  </si>
  <si>
    <t xml:space="preserve">2216 HARRIS AVE </t>
  </si>
  <si>
    <t>ELEANOR HUDSON TALIB</t>
  </si>
  <si>
    <t xml:space="preserve">3810 BOTANY LANE </t>
  </si>
  <si>
    <t>JOEL JOHN DEOCHOA</t>
  </si>
  <si>
    <t xml:space="preserve">7019 FINN </t>
  </si>
  <si>
    <t>SERGIO CISNEROS AGUILAR</t>
  </si>
  <si>
    <t xml:space="preserve">2310 E MULBERRY </t>
  </si>
  <si>
    <t>ALEJANDRO MORALES</t>
  </si>
  <si>
    <t xml:space="preserve">1901 VIRGINIA LN </t>
  </si>
  <si>
    <t>HALEYE ELON AGUILERA</t>
  </si>
  <si>
    <t xml:space="preserve">8631 WORRELL </t>
  </si>
  <si>
    <t>JASON SUMNER SPLANE</t>
  </si>
  <si>
    <t xml:space="preserve">714 93RD ST </t>
  </si>
  <si>
    <t>BILLY G JACKSON</t>
  </si>
  <si>
    <t>RONNIE LEE CLAY</t>
  </si>
  <si>
    <t xml:space="preserve">9319 CLEARWAY DR </t>
  </si>
  <si>
    <t>JASON SPOONEMORE</t>
  </si>
  <si>
    <t xml:space="preserve">2514 KOWIS </t>
  </si>
  <si>
    <t>SAMEH NAJI HAMMAD</t>
  </si>
  <si>
    <t xml:space="preserve">21131 PARK VALLEY DR </t>
  </si>
  <si>
    <t>GERALD JR JONES</t>
  </si>
  <si>
    <t xml:space="preserve">101 HOLLOW TREE LN </t>
  </si>
  <si>
    <t>JOSHUA WILLIAMS</t>
  </si>
  <si>
    <t xml:space="preserve">855 GREENS ROAD </t>
  </si>
  <si>
    <t>SPENCER JOHN WATERS</t>
  </si>
  <si>
    <t>5219 GREEN SPRINGS D R</t>
  </si>
  <si>
    <t>MICHAEL FLOYD ROBERTS</t>
  </si>
  <si>
    <t xml:space="preserve">14307 MCNAIR </t>
  </si>
  <si>
    <t>Automatical merge dulicate records?</t>
  </si>
  <si>
    <t>done</t>
  </si>
  <si>
    <t>0006</t>
  </si>
  <si>
    <t>Mailer function</t>
  </si>
  <si>
    <t>^^^ DON'T USE THIS ^^^</t>
  </si>
  <si>
    <t>KHAN, HADEE BABAR</t>
  </si>
  <si>
    <t>EMERY'S SEAFOOD MARKET LLC</t>
  </si>
  <si>
    <t>SEAFOOD CITY LIMITED PARTNERSHIP</t>
  </si>
  <si>
    <t>WATERFRONT SEAFOOD INCORPORATED</t>
  </si>
  <si>
    <t>YIN WALL CITY INC.</t>
  </si>
  <si>
    <t>HARVEST FUELS LLC.</t>
  </si>
  <si>
    <t>ASSAULT EMS PERSONNEL PROV SER</t>
  </si>
  <si>
    <t>EVADING ARREST/DETENTION W/VEH, DRIVING WHILE INTOXICATED</t>
  </si>
  <si>
    <t>BURG OF VEHICLE W/2 OR MORE CO, THEFT &lt;$100 W/PREV CONVICTION</t>
  </si>
  <si>
    <t>FSGI ACC ATTEND DAMAGE VEH&gt;=$2, DWI 2ND</t>
  </si>
  <si>
    <t>TERRORISTIC THREAT FEAR IMMINE, CRIMINAL MISCHIEF &gt;=$750&lt;$2,50</t>
  </si>
  <si>
    <t>TERRORISTIC THREAT FAMILY/HOUS, ASSAULT-FAMILY MEMBER</t>
  </si>
  <si>
    <t>POSS CS PG 1  1 - 4 GRAMS, FSGI ACC ATTEND DAMAGE VEH&gt;=$2</t>
  </si>
  <si>
    <t>POSS W/INT DEL/MAN/DEL PG1 &gt;=4, FELON POSS WPN, POSS W/INT DEL/MAN/DEL PG1 &gt;=4</t>
  </si>
  <si>
    <t>POSS CS PG 1  1 - 4 GRAMS, FELON POSS WPN</t>
  </si>
  <si>
    <t>ASSAULT-BODILY INJURY, CRIMINAL TRESPASS W/DEADLY WEA</t>
  </si>
  <si>
    <t>POSS MARIJ  4 OZ. - 5 LBS., DRIVING WHILE INTOXICATED, FELON POSS WPN</t>
  </si>
  <si>
    <t>, ELECTION FRAUD</t>
  </si>
  <si>
    <t>POSS CS PG 1  1 - 4 GRAMS, CARRYING HANDGUN IN MOTOR VEHI</t>
  </si>
  <si>
    <t>INJURY TO ELDERLY, ASSAULT-FAMILY MEMBER</t>
  </si>
  <si>
    <t>DWI 2ND, UNAUTH USE OF VEHICLE, POSS CS PG 1 &lt;1G</t>
  </si>
  <si>
    <t>FAIL TO ID TO P.O. FALSE INF/F, POSS CS PG 3 &lt;28 GRAMS</t>
  </si>
  <si>
    <t>POSS MARIJ  4 OZ. - 5 LBS., EVADING ARREST/DETENTION</t>
  </si>
  <si>
    <t>FELON POSS WPN, POSS W/INT DEL/MAN/DEL PG1 &gt;=4</t>
  </si>
  <si>
    <t>POSS CS PG 1 &lt;1G, PROSTITUTION-2ND</t>
  </si>
  <si>
    <t>POSS CS PG 1 4G - 200G, DRIVING WHILE INTOXICATED, DRIVING WHILE INTOXICATED</t>
  </si>
  <si>
    <t>FAIL TO ID TO P.O. FALSE INF, THEFT &lt;$100 W/PREV CONVICTION</t>
  </si>
  <si>
    <t>FRAUD/USE/POSS ID INFO-LESS 5, POSS CS PG 1  1 - 4 GRAMS</t>
  </si>
  <si>
    <t>UNAUTH USE OF VEHICLE, EVADING ARREST/DETENTION, POSS CS PG 1 &lt;1G</t>
  </si>
  <si>
    <t>POSS CS PG 1 &lt;1G, DRIVING WHILE INTOXICATED</t>
  </si>
  <si>
    <t>FELON POSS WPN, ASSAULT-FAMILY MEMBER</t>
  </si>
  <si>
    <t>RESIST ARR-SEARCH, CRIMINAL TRESPASS</t>
  </si>
  <si>
    <t>RESIST ARR-SEARCH, FELON POSS WPN, THEFT OF FIREARM, FRAUD/USE/POSS ID INFO-LESS 5, EVADING ARREST/DETENTION, BURGLARY OF VEHICLE</t>
  </si>
  <si>
    <t>EVADING ARREST/DETENTION W/VEH, FELON POSS WPN</t>
  </si>
  <si>
    <t>HARASSMENT OF PUBLIC SERVANT, DWI 2ND</t>
  </si>
  <si>
    <t>EVADING ARREST/DETENTION, ASSAULT-FAMILY MEMBER</t>
  </si>
  <si>
    <t>INHALANT PARAPHERNALIA, CRIMINAL TRESPASS</t>
  </si>
  <si>
    <t>ASSLT FAM/HOUSEHOLD MEM W/PREV, DRIVING WHILE INTOXICATED</t>
  </si>
  <si>
    <t>EVADING ARREST/DETENTION, POSS CS PG 3 &lt;28 GRAMS</t>
  </si>
  <si>
    <t>POSS MARIJ  4 OZ. - 5 LBS., INTERFERE DUTIES PUB SERVANT, POSS CS PG 1  1 - 4 GRAMS</t>
  </si>
  <si>
    <t>THEFT &gt;=2,500 &lt;30,000, THEFT &lt;$2,500 2/MORE PREV CONV</t>
  </si>
  <si>
    <t>POSS CS PG 2 4G - 400G, POSS CS PG 3 &lt;28 GRAMS</t>
  </si>
  <si>
    <t>BURGLARY OF HABITATION, ASSAULT-FAMILY MEMBER</t>
  </si>
  <si>
    <t>POSS MARIJ  4 OZ. - 5 LBS., UNAUTH USE OF VEHICLE</t>
  </si>
  <si>
    <t>FAIL TO ID TO P.O. FALSE INF, THEFT &gt;=$100&lt;$750</t>
  </si>
  <si>
    <t>POSS MARIJ  4 OZ. - 5 LBS., CARRYING HANDGUN IN MOTOR VEHI</t>
  </si>
  <si>
    <t>MAN/DEL CS PG III/IV  &lt;28 GRAM, FELON POSS WPN</t>
  </si>
  <si>
    <t>RETALIATION, BURGLARY OF VEHICLE</t>
  </si>
  <si>
    <t>CRIMINAL MISCHIEF &gt;=$750&lt;$2,50, ASSAULT-FAMILY MEMBER</t>
  </si>
  <si>
    <t>THEFT &gt;=$750 &lt;$2,500, CARRYING HANDGUN IN MOTOR VEHI</t>
  </si>
  <si>
    <t>CARRYING HANDGUN IN MOTOR VEHI, FSGI ACC ATTEND DAMAGE VEH&gt;=$2</t>
  </si>
  <si>
    <t>POSS W/INT DEL/MAN/DEL PG1 &gt;=4, MAN/DEL CS PG I 1-4 GRAMS</t>
  </si>
  <si>
    <t>BURGLARY MOTOR VEHICLE - ENHAN, FRAUD/USE/POSS ID INFO-LESS 5, BURGLARY OF VEHICLE</t>
  </si>
  <si>
    <t>FRAUD/USE/POSS ID INFO-LESS 5, CARRYING HANDGUN IN MOTOR VEHI</t>
  </si>
  <si>
    <t>THEFT &gt;=$100&lt;$750, POSS/MAN/DIST INSTR TO COMMIT</t>
  </si>
  <si>
    <t>ASSAULT-BODILY INJURY, CRIMINAL MISCHIEF &gt;=$750&lt;$2,50</t>
  </si>
  <si>
    <t>FAIL TO ID TO P.O. FALSE INF/F, DRIVING WHILE INTOXICATED</t>
  </si>
  <si>
    <t>ASSLT FAM/HOUSEHOLD MEM W/PREV, ASSAULT-FAMILY MEMBER</t>
  </si>
  <si>
    <t>FRAUD/USE/POSS ID INFO-LESS 5, BURG OF VEHICLE W/2 OR MORE CO</t>
  </si>
  <si>
    <t>DISCHARGE FIREARM METRO AREA, UNLAW CARRY WPN</t>
  </si>
  <si>
    <t>UNAUTH USE OF VEHICLE, CARRYING HANDGUN IN MOTOR VEHI</t>
  </si>
  <si>
    <t>ASSAULT-BODILY INJURY, ASSAULT-FAMILY MEMBER</t>
  </si>
  <si>
    <t>TAMPER GOVT RECORD-HARM, POSS CS PG 1  1 - 4 GRAMS</t>
  </si>
  <si>
    <t>EVADING ARREST/DETENTION, UNLAW CARRY WPN</t>
  </si>
  <si>
    <t>CARRYING HANDGUN IN MOTOR VEHI, RESIST ARR-SEARCH</t>
  </si>
  <si>
    <t>ASSAULT OF PREGNANT PERSON, CARRYING HANDGUN IN MOTOR VEHI</t>
  </si>
  <si>
    <t>THFT MATERIAL ALUM/BRNZ/COPPR/, THFT MATERIAL ALUM/BRNZ/COPPR/</t>
  </si>
  <si>
    <t>ASSAULT-FAMILY MEMBER, CARRYING HANDGUN IN MOTOR VEHI</t>
  </si>
  <si>
    <t>POSS CS PG 1 &lt;1G, EVADING ARREST/DETENTION W/VEH</t>
  </si>
  <si>
    <t>ATT BURGLARY HABITATION, UNLAW CARRY WPN</t>
  </si>
  <si>
    <t>CRIM MISCH &gt;=100 &lt;$750, DWI 1ST OFFENDER BAC&gt;=0.15</t>
  </si>
  <si>
    <t>POSS.FICT/CNTRFIT/INSP/CERT/IN, POSS CS PG 1  1 - 4 GRAMS, FRAUD/USE/POSS ID INFO- 5-9 IT, FRAUD/USE/POSS ID INFO OVER 50</t>
  </si>
  <si>
    <t>RESIST ARR-SEARCH, DRIVING WHILE INTOXICATED, FAIL TO ID TO P.O. FALSE INF/F</t>
  </si>
  <si>
    <t>TERRORISTIC THREAT FAMILY/HOUS, VIOL PROTECTIVE ORDER</t>
  </si>
  <si>
    <t>TAMPER/FABRICATE EVIDENCE, POSS MARIJ  4 OZ. - 5 LBS.</t>
  </si>
  <si>
    <t>CRIM MISCH &gt;=100 &lt;$750, TERRORISTIC THREAT FEAR IMMINE</t>
  </si>
  <si>
    <t>MAN/DEL CS PG III/IV 28-200 GR, CARRYING HANDGUN IN MOTOR VEHI</t>
  </si>
  <si>
    <t>DWI 1ST OFFENDER BAC&gt;=0.15, ASSAULT-FAMILY MEMBER</t>
  </si>
  <si>
    <t>INTERFERE DUTIES PUB SERVANT, ASSAULT-FAMILY MEMBER</t>
  </si>
  <si>
    <t>RETALIATION, AGG ASSAULT-FAMILY MEMBER</t>
  </si>
  <si>
    <t>POSS CS PG 2 1-4 GRAMS, DWI W/CHILD UNDER 15 YOA</t>
  </si>
  <si>
    <t>ASSAULT OF PREGNANT PERSON, BURGLARY OF HABITATION, TAMPER GOVT RECORD</t>
  </si>
  <si>
    <t>CRIMINAL MISCHIEF &gt;=$2,500&lt;30K, TERRORISTIC THREAT</t>
  </si>
  <si>
    <t>EVADING ARREST/DETENTION, THEFT FROM PERSON</t>
  </si>
  <si>
    <t>FSGI ACC ATTEND DAMAGE VEH&gt;=$2, DWI 1ST OFFENDER BAC&gt;=0.15</t>
  </si>
  <si>
    <t>FAIL TO ID TO P.O. FALSE INF, ASSAULT-FAMILY MEMBER</t>
  </si>
  <si>
    <t>THEFT &gt;=$750 &lt;$2,500, EVADING ARREST/DETENTION</t>
  </si>
  <si>
    <t>FLEEING/ATT ELUDE POLICE OFF, DRIVING WHILE INTOXICATED, CARRYING HANDGUN IN MOTOR VEHI</t>
  </si>
  <si>
    <t>CRIM TRES HAB/SHLTR/SUPRFUND/I, ASSAULT-BODILY INJURY</t>
  </si>
  <si>
    <t>UNLAW CARRY WPN, CRIM MISCH &gt;=100 &lt;$750</t>
  </si>
  <si>
    <t>CARRYING HANDGUN IN MOTOR VEHI, POSS CS PG 3 &lt;28 GRAMS, DRIVING WHILE INTOXICATED</t>
  </si>
  <si>
    <t>UNLAW. CARRY WPN/LIC/HOLDER IN, DRIVING WHILE INTOXICATED</t>
  </si>
  <si>
    <t>HOUSTON TX 77027</t>
  </si>
  <si>
    <t>HOUSTON TX 77089</t>
  </si>
  <si>
    <t>BAYTOWN TX 77521</t>
  </si>
  <si>
    <t>HOUSTON TX 77016</t>
  </si>
  <si>
    <t>HOUSTON TX 77039</t>
  </si>
  <si>
    <t>HOUSTON TX 77026</t>
  </si>
  <si>
    <t>HOUSTON TX 77078</t>
  </si>
  <si>
    <t>HOUSTON TX 77017</t>
  </si>
  <si>
    <t>PASADENA TX 77505</t>
  </si>
  <si>
    <t>RICHMOND TX 77469</t>
  </si>
  <si>
    <t>HOUSTON TX 77073</t>
  </si>
  <si>
    <t>BAYTOWN TX 77520</t>
  </si>
  <si>
    <t>HOUSTON TX 77051</t>
  </si>
  <si>
    <t>HOUSTON TX 77090</t>
  </si>
  <si>
    <t>TOMBALL TX 77377</t>
  </si>
  <si>
    <t>HOUSTON TX 77020</t>
  </si>
  <si>
    <t xml:space="preserve">HOUSTON TX      </t>
  </si>
  <si>
    <t>HOUSTON TX 77076</t>
  </si>
  <si>
    <t>HOUSTON TX 77023</t>
  </si>
  <si>
    <t>HARRIS CO TX 77093</t>
  </si>
  <si>
    <t>HOUSTON TX 77018</t>
  </si>
  <si>
    <t>PORT ARTHU TX 77642</t>
  </si>
  <si>
    <t>HOUSTON TX 77047</t>
  </si>
  <si>
    <t>HOUSTON TX 77028</t>
  </si>
  <si>
    <t>HOUSTON TX 77044</t>
  </si>
  <si>
    <t>HOUSTON TX 77033</t>
  </si>
  <si>
    <t>HOUSTON TX 77093</t>
  </si>
  <si>
    <t>HOUSTON TX 77015</t>
  </si>
  <si>
    <t>MISSOURI C TX 77459</t>
  </si>
  <si>
    <t>HOUSTON TX 77048</t>
  </si>
  <si>
    <t>HOUSTON TX 77091</t>
  </si>
  <si>
    <t>HOUSTON TX 77004</t>
  </si>
  <si>
    <t>CROSBY TX 77532</t>
  </si>
  <si>
    <t>SPRING TX 77389</t>
  </si>
  <si>
    <t>HARRIS CO TX 77015</t>
  </si>
  <si>
    <t>HOCKLEY TX 77447</t>
  </si>
  <si>
    <t>HARRIS CO TX 77088</t>
  </si>
  <si>
    <t>HOUSTON TX 77035</t>
  </si>
  <si>
    <t>ROSHARON TX 77583</t>
  </si>
  <si>
    <t>CONROE TX 77301</t>
  </si>
  <si>
    <t>HOUSTON TX 77067</t>
  </si>
  <si>
    <t>HOUSTON TX 77061</t>
  </si>
  <si>
    <t>HOUSTON TX 77088</t>
  </si>
  <si>
    <t>HARRIS CO TX 77450</t>
  </si>
  <si>
    <t>HOUSTON TX 77045</t>
  </si>
  <si>
    <t>HOUSTON TX 77009</t>
  </si>
  <si>
    <t>HOUSTON TX 77003</t>
  </si>
  <si>
    <t>HOUSTON TX 77036</t>
  </si>
  <si>
    <t>SOUTH HOUS TX 77587</t>
  </si>
  <si>
    <t>HOUSTON TX 77075</t>
  </si>
  <si>
    <t>HOUSTON TX 77086</t>
  </si>
  <si>
    <t>KATY TX 77449</t>
  </si>
  <si>
    <t>HOUSTON TX 77072</t>
  </si>
  <si>
    <t>GALVESTON TX 77565</t>
  </si>
  <si>
    <t>CYPRESS TX 77433</t>
  </si>
  <si>
    <t>HOUSTON TX 77029</t>
  </si>
  <si>
    <t>PASADENA TX 77503</t>
  </si>
  <si>
    <t>PASADENA TX 77504</t>
  </si>
  <si>
    <t>PASADENA TX 77502</t>
  </si>
  <si>
    <t>SPRING TX 77379</t>
  </si>
  <si>
    <t>HOUSTON TX 77053</t>
  </si>
  <si>
    <t>CHANNELVIE TX 77530</t>
  </si>
  <si>
    <t>MARTIN VELASQUEZ</t>
  </si>
  <si>
    <t xml:space="preserve">8015 HAZEN ST </t>
  </si>
  <si>
    <t>BROOKSHIRE TX 77423</t>
  </si>
  <si>
    <t>HOUSTON TX 77077</t>
  </si>
  <si>
    <t>HOUSTON TX 77021</t>
  </si>
  <si>
    <t>NASSAU BAY TX 77058</t>
  </si>
  <si>
    <t>HOUSTON TX 77031</t>
  </si>
  <si>
    <t>HOUSTON TX 77066</t>
  </si>
  <si>
    <t>HOUSTON TX 77081</t>
  </si>
  <si>
    <t>HOUSTON TX 77083</t>
  </si>
  <si>
    <t>HERMILO CASTELAN-LOPEZ</t>
  </si>
  <si>
    <t xml:space="preserve">314 ANGLE RD </t>
  </si>
  <si>
    <t>FORT PIERC FL 34947</t>
  </si>
  <si>
    <t>ALVIN TX 77511</t>
  </si>
  <si>
    <t>GATESVILLE TX 76597</t>
  </si>
  <si>
    <t>LORI M. MORGAN</t>
  </si>
  <si>
    <t>HUNTSVILLE AL 35805</t>
  </si>
  <si>
    <t>HIGHLANDS TX 77562</t>
  </si>
  <si>
    <t>HOUSTON TX 70036</t>
  </si>
  <si>
    <t>JACINTO CI TX 77029</t>
  </si>
  <si>
    <t>HOUSTON TX 77014</t>
  </si>
  <si>
    <t>HOUSTON TX 77092</t>
  </si>
  <si>
    <t>HOUSTON TX 77080</t>
  </si>
  <si>
    <t>HOUSTON TX 77011</t>
  </si>
  <si>
    <t>HUMBLE TX 77396</t>
  </si>
  <si>
    <t>HOUSTON TX 77071</t>
  </si>
  <si>
    <t>HOUSTON TX 77087</t>
  </si>
  <si>
    <t>HOUSTON TX 77037</t>
  </si>
  <si>
    <t>HOUSTON TX 77064</t>
  </si>
  <si>
    <t>SNYDER TX 79549</t>
  </si>
  <si>
    <t>CYPRESS TX 77429</t>
  </si>
  <si>
    <t>HOUSTON TX 77365</t>
  </si>
  <si>
    <t>HOUSTON TX 77084</t>
  </si>
  <si>
    <t>KINGWOOD TX 77339</t>
  </si>
  <si>
    <t>ROSENBERG TX 77471</t>
  </si>
  <si>
    <t>CARLOS SANTAMARIA</t>
  </si>
  <si>
    <t xml:space="preserve">14901 TILLEY DR </t>
  </si>
  <si>
    <t>HOUSTON TX 77007</t>
  </si>
  <si>
    <t>HOUSTON TX 77049</t>
  </si>
  <si>
    <t>HOUSTON TX 77022</t>
  </si>
  <si>
    <t>HOUSTON TX 77095</t>
  </si>
  <si>
    <t>PASADENA TX 77506</t>
  </si>
  <si>
    <t>HOUSTON TX 77012</t>
  </si>
  <si>
    <t>PEARLAND TX 77584</t>
  </si>
  <si>
    <t xml:space="preserve">PASADENA TX      </t>
  </si>
  <si>
    <t>HUMBLE TX 77346</t>
  </si>
  <si>
    <t>CONROE TX 77306</t>
  </si>
  <si>
    <t>HOUSTON TX 77025</t>
  </si>
  <si>
    <t>HARRIS CO TX 77086</t>
  </si>
  <si>
    <t>HOUSTON TX 77060</t>
  </si>
  <si>
    <t>HARWOOD TX 78632</t>
  </si>
  <si>
    <t>TEXAS CITY TX 77590</t>
  </si>
  <si>
    <t>DEBBIE RAE SHERMAN</t>
  </si>
  <si>
    <t>GALENA PAR TX 77547</t>
  </si>
  <si>
    <t>HOUSTON TX 77532</t>
  </si>
  <si>
    <t>DEER PARK TX 77536</t>
  </si>
  <si>
    <t>HOUSTON TX 77040</t>
  </si>
  <si>
    <t>PEARLAND TX 77581</t>
  </si>
  <si>
    <t>TOMBALL TX 77375</t>
  </si>
  <si>
    <t>HOUSTON TX 77096</t>
  </si>
  <si>
    <t>PFLUGERVIL TX 78660</t>
  </si>
  <si>
    <t>HONDO TX 78861</t>
  </si>
  <si>
    <t>HOUSTON TX 77074</t>
  </si>
  <si>
    <t>KINGWOOD TX 77345</t>
  </si>
  <si>
    <t>HOUSTON TX 77065</t>
  </si>
  <si>
    <t xml:space="preserve">PEARLAND TX      </t>
  </si>
  <si>
    <t>HOUSTON TX 77057</t>
  </si>
  <si>
    <t>HOUSTON TX 77041</t>
  </si>
  <si>
    <t>PETE AVALOS</t>
  </si>
  <si>
    <t xml:space="preserve">262 E EDGEBROOK DR </t>
  </si>
  <si>
    <t>HOUSTON TX 77034</t>
  </si>
  <si>
    <t>HOUSTON TX 77038</t>
  </si>
  <si>
    <t>STAFFORD TX 77477</t>
  </si>
  <si>
    <t>SPRING TX 77373</t>
  </si>
  <si>
    <t>CONROE TX 77385</t>
  </si>
  <si>
    <t>HUMBLE TX 77338</t>
  </si>
  <si>
    <t>HOUSTON TX 77055</t>
  </si>
  <si>
    <t>MISSOURI C TX 77489</t>
  </si>
  <si>
    <t>LEAGUE CIT TX 77573</t>
  </si>
  <si>
    <t>IESHA EVON GILBERT</t>
  </si>
  <si>
    <t>HOUSTON TX 77042</t>
  </si>
  <si>
    <t>SOUTH HOUS TX 77087</t>
  </si>
  <si>
    <t>BEAUMONT TX 77705</t>
  </si>
  <si>
    <t>SPRING TX 77388</t>
  </si>
  <si>
    <t>CROSBY TX 77535</t>
  </si>
  <si>
    <t>CROSBY TX 77352</t>
  </si>
  <si>
    <t>HOUSTON TX 77099</t>
  </si>
  <si>
    <t>MAGNOLIA TX 77354</t>
  </si>
  <si>
    <t>KATY TX 77450</t>
  </si>
  <si>
    <t>NEW CANEY TX 77357</t>
  </si>
  <si>
    <t>LEWISVILLE TX 75057</t>
  </si>
  <si>
    <t>HOUSTON TX 77082</t>
  </si>
  <si>
    <t>FORT BEND TX 77083</t>
  </si>
  <si>
    <t>FORT BEND TX 77450</t>
  </si>
  <si>
    <t>HOUSTON TX 77032</t>
  </si>
  <si>
    <t>CAMERON TX 76520</t>
  </si>
  <si>
    <t>LUFKIN TX 75901</t>
  </si>
  <si>
    <t>HUFFMAN TX 77336</t>
  </si>
  <si>
    <t>SEABROOK TX 77586</t>
  </si>
  <si>
    <t>FRANSISC0 CERDA</t>
  </si>
  <si>
    <t xml:space="preserve">10706 CORA </t>
  </si>
  <si>
    <t>JOSHUA JAMILLE HOWARD</t>
  </si>
  <si>
    <t xml:space="preserve">10619 WOLBROOK ST </t>
  </si>
  <si>
    <t>LA PORTE TX 77571</t>
  </si>
  <si>
    <t>DENTON TX 76201</t>
  </si>
  <si>
    <t>HOUSTON TX 77396</t>
  </si>
  <si>
    <t>HARRIS CO TX 77073</t>
  </si>
  <si>
    <t>HARRIS CO TX 77032</t>
  </si>
  <si>
    <t>HOUSTON TX 77530</t>
  </si>
  <si>
    <t>CYPRESS TX 77443</t>
  </si>
  <si>
    <t>DUSTAN NICHOLAS GAMBLIN</t>
  </si>
  <si>
    <t>CLEVELAND TX 77327</t>
  </si>
  <si>
    <t>HOUSTON TX 77063</t>
  </si>
  <si>
    <t>EDINBURG TX 78541</t>
  </si>
  <si>
    <t>KATY TX 77493</t>
  </si>
  <si>
    <t>WEBSTER TX 77598</t>
  </si>
  <si>
    <t>JAMES ORANGE</t>
  </si>
  <si>
    <t>EAGLE PASS TX 78852</t>
  </si>
  <si>
    <t>DERWIN JERMAINE WILLIS</t>
  </si>
  <si>
    <t>EDINBURG TX 78542</t>
  </si>
  <si>
    <t xml:space="preserve">SPRING TX      </t>
  </si>
  <si>
    <t>HOUSTON TX 77006</t>
  </si>
  <si>
    <t>KATY TX 77494</t>
  </si>
  <si>
    <t>SPRING TX 77386</t>
  </si>
  <si>
    <t>JONATHAN ATKINSON</t>
  </si>
  <si>
    <t xml:space="preserve">8111 SEALEY ST </t>
  </si>
  <si>
    <t>HOUSTON TX 77459</t>
  </si>
  <si>
    <t>BRAZORIA TX 77422</t>
  </si>
  <si>
    <t>LOLITA GEAN JACKSON</t>
  </si>
  <si>
    <t xml:space="preserve">1424 EAST 36TH ST </t>
  </si>
  <si>
    <t>HARRIS CO TX 77041</t>
  </si>
  <si>
    <t>DEER PARK TX 77571</t>
  </si>
  <si>
    <t>AMARILLO TX 79106</t>
  </si>
  <si>
    <t>JUAN SANTAMAND VASQUEZ</t>
  </si>
  <si>
    <t xml:space="preserve">7226 MCHENRY ST </t>
  </si>
  <si>
    <t>HARLETON TX 75651</t>
  </si>
  <si>
    <t>MARLIN TX 76661</t>
  </si>
  <si>
    <t>SPRING TX 77073</t>
  </si>
  <si>
    <t>NEW ORLEAN LA 70113</t>
  </si>
  <si>
    <t>HOUSTON TX 77069</t>
  </si>
  <si>
    <t>MISSOURI C TX 77450</t>
  </si>
  <si>
    <t>HOUSTON TX 77068</t>
  </si>
  <si>
    <t>ELGIN TX 78621</t>
  </si>
  <si>
    <t>BEAUMONT TX 77701</t>
  </si>
  <si>
    <t>HARRIS CO TX 77084</t>
  </si>
  <si>
    <t>HARRIS CO TX 77089</t>
  </si>
  <si>
    <t>HOUSTON TX 77052</t>
  </si>
  <si>
    <t>RASHARD A. YOUNG</t>
  </si>
  <si>
    <t>16 CHARLESTON PARK DR</t>
  </si>
  <si>
    <t>HOUSTON TX 77070</t>
  </si>
  <si>
    <t>DAYTON TX 77535</t>
  </si>
  <si>
    <t>DONALD CARL JR MURPHY</t>
  </si>
  <si>
    <t>HOUSTON TX 77489</t>
  </si>
  <si>
    <t>GALVESTON TX 77550</t>
  </si>
  <si>
    <t>DICKINSON TX 77539</t>
  </si>
  <si>
    <t>SUGAR LAND TX 77479</t>
  </si>
  <si>
    <t>SPRING TX 77375</t>
  </si>
  <si>
    <t>CORPUS CHR TX 78415</t>
  </si>
  <si>
    <t>FRIENDSWOO TX 77546</t>
  </si>
  <si>
    <t>LAPORTE TX 77571</t>
  </si>
  <si>
    <t>MARVIN R ARMSTRONG</t>
  </si>
  <si>
    <t>FORT BEND TX 77469</t>
  </si>
  <si>
    <t>HOUSTON TX 77008</t>
  </si>
  <si>
    <t>SO HOUSTON TX 77587</t>
  </si>
  <si>
    <t>RICHMOND TX 77407</t>
  </si>
  <si>
    <t>SAN ANTONI TX 78221</t>
  </si>
  <si>
    <t>HOUSTON TX 77013</t>
  </si>
  <si>
    <t>HARRIS CO TX 77449</t>
  </si>
  <si>
    <t>HOUSTON TX 77079</t>
  </si>
  <si>
    <t>HOUSTON TX 77043</t>
  </si>
  <si>
    <t>HOUSTON TX 77050</t>
  </si>
  <si>
    <t>BYRON CARTER</t>
  </si>
  <si>
    <t>6300 W BELLFORT APT 593</t>
  </si>
  <si>
    <t>HOUSTON TX 77449</t>
  </si>
  <si>
    <t>HEMPSTEAD TX 77445</t>
  </si>
  <si>
    <t>HARRIS CO TX 77530</t>
  </si>
  <si>
    <t xml:space="preserve">6219 BACA DR </t>
  </si>
  <si>
    <t xml:space="preserve">FAYETTEVIL TX      </t>
  </si>
  <si>
    <t>HOUSTON TX 77506</t>
  </si>
  <si>
    <t>LUMBERTON TX 77657</t>
  </si>
  <si>
    <t>HOUSTON TX 77503</t>
  </si>
  <si>
    <t xml:space="preserve">HUMBLE TX      </t>
  </si>
  <si>
    <t>MCALLEN TX 78501</t>
  </si>
  <si>
    <t>ISHAMEL MITCHELL</t>
  </si>
  <si>
    <t xml:space="preserve">711 LLYOD LN </t>
  </si>
  <si>
    <t xml:space="preserve">ALVIN TX      </t>
  </si>
  <si>
    <t>HOUSTON TX 77054</t>
  </si>
  <si>
    <t>JAVAR LASHANE BATISTE</t>
  </si>
  <si>
    <t xml:space="preserve">4250 HWY 202 </t>
  </si>
  <si>
    <t>BEEVILLE TX 78102</t>
  </si>
  <si>
    <t>HARRIS CO TX 77377</t>
  </si>
  <si>
    <t>ABRAHAM MARTINEZ</t>
  </si>
  <si>
    <t xml:space="preserve">1703 FAIRTIDE CT </t>
  </si>
  <si>
    <t>HOUSTON TX 77085</t>
  </si>
  <si>
    <t>EAST BERNA TX 77435</t>
  </si>
  <si>
    <t>FULSHER TX 77042</t>
  </si>
  <si>
    <t>HOUSOTN TX 77030</t>
  </si>
  <si>
    <t>BELLAIRE TX 77401</t>
  </si>
  <si>
    <t xml:space="preserve">SANTA FE TX      </t>
  </si>
  <si>
    <t xml:space="preserve">22010 RIVERMEAD DR </t>
  </si>
  <si>
    <t>SANTA FE TX 77510</t>
  </si>
  <si>
    <t>MAGNOLIA TX 77355</t>
  </si>
  <si>
    <t>HOUSTON TX 77320</t>
  </si>
  <si>
    <t>CEDAR HILL TX 75104</t>
  </si>
  <si>
    <t>MISSOIURI TX 77071</t>
  </si>
  <si>
    <t>HARRIS CO TX 77044</t>
  </si>
  <si>
    <t>PORTER TX 77365</t>
  </si>
  <si>
    <t xml:space="preserve">JERSEY VIL TX      </t>
  </si>
  <si>
    <t>MONT BELVI TX 77523</t>
  </si>
  <si>
    <t>HOUSTON TX 77062</t>
  </si>
  <si>
    <t>HARRIS CO TX 77060</t>
  </si>
  <si>
    <t>GUY TX 77444</t>
  </si>
  <si>
    <t>CHANNELVIE TX 77015</t>
  </si>
  <si>
    <t>HOUSTON TX 77019</t>
  </si>
  <si>
    <t>HARRIS CO TX 77066</t>
  </si>
  <si>
    <t>PALACIOUSE TX 77465</t>
  </si>
  <si>
    <t>KANSAS CIT MO 64111</t>
  </si>
  <si>
    <t>HARRIS CO TX 77396</t>
  </si>
  <si>
    <t>HELOTES TX 78023</t>
  </si>
  <si>
    <t>ALAN RODRIGUEZ</t>
  </si>
  <si>
    <t xml:space="preserve">4222 E LINDBERGH CT </t>
  </si>
  <si>
    <t>HOUSTON TX 77598</t>
  </si>
  <si>
    <t>TRINITY TX 75862</t>
  </si>
  <si>
    <t xml:space="preserve">ATASCOCITA TX      </t>
  </si>
  <si>
    <t>ADRIAN ANTHONY BAUGH</t>
  </si>
  <si>
    <t>EVIA MARIE LOTHRIDGE</t>
  </si>
  <si>
    <t>HOUSTON TX 77056</t>
  </si>
  <si>
    <t>WOODLANDS TX 77381</t>
  </si>
  <si>
    <t>ALTO TX 75925</t>
  </si>
  <si>
    <t>HARRIS CO TX 77064</t>
  </si>
  <si>
    <t>HOUSTON TX 77375</t>
  </si>
  <si>
    <t>CHINA TX 77613</t>
  </si>
  <si>
    <t>HOUSTON TX 77098</t>
  </si>
  <si>
    <t>PENITAS TX 78576</t>
  </si>
  <si>
    <t>ERIC MARTIN SALDIVAR</t>
  </si>
  <si>
    <t>HUNTSVILLE TX 77320</t>
  </si>
  <si>
    <t>MONTGOMERY TX 77316</t>
  </si>
  <si>
    <t>ALISON GREELY</t>
  </si>
  <si>
    <t xml:space="preserve">12206 FLUSHING MEADOW </t>
  </si>
  <si>
    <t>GALVESTON TX 77386</t>
  </si>
  <si>
    <t xml:space="preserve">SOUTH HOUS TX      </t>
  </si>
  <si>
    <t>BAYTOWN TX 77523</t>
  </si>
  <si>
    <t>TYLER TX 75703</t>
  </si>
  <si>
    <t>ALLEN TX 75002</t>
  </si>
  <si>
    <t>JERRETT RIGGS</t>
  </si>
  <si>
    <t>14100 WILL CLAYTON PK WY</t>
  </si>
  <si>
    <t>HOUSTON TX 77024</t>
  </si>
  <si>
    <t xml:space="preserve">506 S AUSTIN ST </t>
  </si>
  <si>
    <t>AYMEN A. ALZAMIR</t>
  </si>
  <si>
    <t>HOUSTON TX 77002</t>
  </si>
  <si>
    <t>HARRIS CO TX 77014</t>
  </si>
  <si>
    <t>KATY TX 77429</t>
  </si>
  <si>
    <t>SPRING TX 77070</t>
  </si>
  <si>
    <t>BEAUMONT TX 77707</t>
  </si>
  <si>
    <t>SUGARLAND TX 77479</t>
  </si>
  <si>
    <t>DERRICK CLAY GREEN</t>
  </si>
  <si>
    <t>CONROE TX 77304</t>
  </si>
  <si>
    <t>SUGARLAND TX 77498</t>
  </si>
  <si>
    <t>GONZALES LA 70737</t>
  </si>
  <si>
    <t>JERSEY VIL TX 77040</t>
  </si>
  <si>
    <t>HOUSTON TX 7066</t>
  </si>
  <si>
    <t>BROOKLYN NY 11212</t>
  </si>
  <si>
    <t>CORREY LAMONT COOPER</t>
  </si>
  <si>
    <t>RICHMOND TX 77406</t>
  </si>
  <si>
    <t>DALLAS TX 75228</t>
  </si>
  <si>
    <t>JERSEY VIL TX 77065</t>
  </si>
  <si>
    <t>SUGAR LAND TX 77056</t>
  </si>
  <si>
    <t>WALLER TX 77484</t>
  </si>
  <si>
    <t>LA JOYA TX 78560</t>
  </si>
  <si>
    <t>PINEHURST TX 77362</t>
  </si>
  <si>
    <t>HARRIS CO TX 77070</t>
  </si>
  <si>
    <t>TOLEDO OH 43615</t>
  </si>
  <si>
    <t>DARRIS JOHNSON</t>
  </si>
  <si>
    <t xml:space="preserve">11802 CHETMAN DR </t>
  </si>
  <si>
    <t>LUFKIN TX 75904</t>
  </si>
  <si>
    <t>VIDOR TX 77662</t>
  </si>
  <si>
    <t>FRESNO TX 77545</t>
  </si>
  <si>
    <t>HOUSTON TX TX 77028</t>
  </si>
  <si>
    <t>GALVESTON TX 77357</t>
  </si>
  <si>
    <t>STOCKTON CA 95206</t>
  </si>
  <si>
    <t>LAREDO TX 78043</t>
  </si>
  <si>
    <t>MISSOURI TX 77459</t>
  </si>
  <si>
    <t>VICTORIA TX 77905</t>
  </si>
  <si>
    <t>ARLINGTON TX 76013</t>
  </si>
  <si>
    <t>ANGLETON TX 77515</t>
  </si>
  <si>
    <t xml:space="preserve">AUSTIN TX      </t>
  </si>
  <si>
    <t>SAN ANTONI TX 78213</t>
  </si>
  <si>
    <t>SPRING TX 77090</t>
  </si>
  <si>
    <t>BERNICE LA 71222</t>
  </si>
  <si>
    <t>WEBSTER TX 77058</t>
  </si>
  <si>
    <t>LIBERTY HI TX 78642</t>
  </si>
  <si>
    <t>SHOREACRES TX 77571</t>
  </si>
  <si>
    <t>JEFFERSON LA 70121</t>
  </si>
  <si>
    <t>KATY TX 77084</t>
  </si>
  <si>
    <t>CLEVLAND TX 77327</t>
  </si>
  <si>
    <t>HARRIS CO TX 77082</t>
  </si>
  <si>
    <t>SUGARLAND TX 77478</t>
  </si>
  <si>
    <t>IMPERIAL MO 63052</t>
  </si>
  <si>
    <t>HARRIS CO TX 77338</t>
  </si>
  <si>
    <t>NEW ORLEAN LA 70114</t>
  </si>
  <si>
    <t>AUSTIN TX 78724</t>
  </si>
  <si>
    <t>PASADNA TX 77504</t>
  </si>
  <si>
    <t>HITCHCOCK TX 77563</t>
  </si>
  <si>
    <t>HOUSTNO TX 77039</t>
  </si>
  <si>
    <t>BALTIMORE MD 21218</t>
  </si>
  <si>
    <t>DEMOPOLIS AL 36732</t>
  </si>
  <si>
    <t>FORNEY TX 75126</t>
  </si>
  <si>
    <t>MCKINNEY TX 75070</t>
  </si>
  <si>
    <t>HOUSTON TX 11015</t>
  </si>
  <si>
    <t>ANDREW ELIAS RODRIGUEZ</t>
  </si>
  <si>
    <t>DUNCANVILL TX 75116</t>
  </si>
  <si>
    <t>HARRIS CO TX 77346</t>
  </si>
  <si>
    <t>MEDINA TX 78055</t>
  </si>
  <si>
    <t>SAN FELIPE TX 77473</t>
  </si>
  <si>
    <t>HOUSTON TX 77005</t>
  </si>
  <si>
    <t xml:space="preserve">LA PORTE TX      </t>
  </si>
  <si>
    <t>CROCKETT TX 75835</t>
  </si>
  <si>
    <t>HOUSTON TX 79106</t>
  </si>
  <si>
    <t>TOMABALL TX 77375</t>
  </si>
  <si>
    <t>NEW WAVERL TX 77358</t>
  </si>
  <si>
    <t>TEXAS CITY TX 77568</t>
  </si>
  <si>
    <t>SAN ANTONI TX 78254</t>
  </si>
  <si>
    <t>HOUSTON TX 77338</t>
  </si>
  <si>
    <t>KOREYAN DIXON</t>
  </si>
  <si>
    <t>9802 FORUM PARK DR 3 153</t>
  </si>
  <si>
    <t>JOSHUA W SMITH</t>
  </si>
  <si>
    <t xml:space="preserve">314 BRETTONWOOD </t>
  </si>
  <si>
    <t>SAN ANTONI TX 78218</t>
  </si>
  <si>
    <t xml:space="preserve">OPPALUSAS LA      </t>
  </si>
  <si>
    <t>BACLIFF TX 77518</t>
  </si>
  <si>
    <t>JOSE CARDENAS</t>
  </si>
  <si>
    <t xml:space="preserve">8730 FARM RIDGE LN </t>
  </si>
  <si>
    <t>MANVEL TX 77578</t>
  </si>
  <si>
    <t>SUGAR LAND TX 77478</t>
  </si>
  <si>
    <t>ORANGE TX 77630</t>
  </si>
  <si>
    <t>HOUSTON TN 77091</t>
  </si>
  <si>
    <t>KEMAH TX 77656</t>
  </si>
  <si>
    <t>PORTLAND OR 97218</t>
  </si>
  <si>
    <t>HOUSTON TX 77498</t>
  </si>
  <si>
    <t>LEAGUE CIT TX 77546</t>
  </si>
  <si>
    <t>MILTON LA 70558</t>
  </si>
  <si>
    <t>SACREMENTO CA 95834</t>
  </si>
  <si>
    <t>BRENHAM TX 77833</t>
  </si>
  <si>
    <t>HOUSTON TX 77583</t>
  </si>
  <si>
    <t>SAN BENITO TX 78586</t>
  </si>
  <si>
    <t>HOUSTON TX 77328</t>
  </si>
  <si>
    <t>BOYSTOWN NE 68010</t>
  </si>
  <si>
    <t>JONES AL 36459</t>
  </si>
  <si>
    <t>CYPREES TX 77433</t>
  </si>
  <si>
    <t>WALLER TX 77248</t>
  </si>
  <si>
    <t>EAGLE LAKE TX 77434</t>
  </si>
  <si>
    <t>HARRIS CO TX 77040</t>
  </si>
  <si>
    <t>HARRIS CO TX 77050</t>
  </si>
  <si>
    <t>LEAGUE CIT TX 7753</t>
  </si>
  <si>
    <t>SUGAR LAND TX 77498</t>
  </si>
  <si>
    <t>SOUR LAKE TX 77659</t>
  </si>
  <si>
    <t>WOODLANDS TX 77380</t>
  </si>
  <si>
    <t>CLEVELAND TX 77328</t>
  </si>
  <si>
    <t>HOUSTON TX 77536</t>
  </si>
  <si>
    <t>PASADENA TX 77017</t>
  </si>
  <si>
    <t>PHARR TX 78577</t>
  </si>
  <si>
    <t>FULSHEAR TX 77441</t>
  </si>
  <si>
    <t>HUMBLE TX 77373</t>
  </si>
  <si>
    <t>SAN LEON TX 77539</t>
  </si>
  <si>
    <t>LOS ANGELE CA 90004</t>
  </si>
  <si>
    <t>ONTARIO CA 91764</t>
  </si>
  <si>
    <t>PANANA CIT FL 32401</t>
  </si>
  <si>
    <t>LA MARQUE TX 77546</t>
  </si>
  <si>
    <t>IRVING TX 75062</t>
  </si>
  <si>
    <t>HARRIS CO TX 77037</t>
  </si>
  <si>
    <t>LITHONIA GA 30038</t>
  </si>
  <si>
    <t>MANOR TX 78653</t>
  </si>
  <si>
    <t>WEIMAR TX 78962</t>
  </si>
  <si>
    <t>HARRIS CO TX 77038</t>
  </si>
  <si>
    <t>STAPLES TX 78670</t>
  </si>
  <si>
    <t>MIDWEST CI OK 73110</t>
  </si>
  <si>
    <t>HOUSTON TX 77429</t>
  </si>
  <si>
    <t>BEAUMONT TX 77703</t>
  </si>
  <si>
    <t>NEW PORT R FL 34654</t>
  </si>
  <si>
    <t>GALVESTON TX 77554</t>
  </si>
  <si>
    <t>CRIMINAL NEG HOMICIDE</t>
  </si>
  <si>
    <t>ATT BURGLARY OF VEHICLE</t>
  </si>
  <si>
    <t>THEFT AGGREGATE =&gt;$2,500&lt;$30K</t>
  </si>
  <si>
    <t>THEFT-SECOND OFFENDER</t>
  </si>
  <si>
    <t>TAMPER/FABRICATE EVIDENCE</t>
  </si>
  <si>
    <t>ATT TAMPER WITH PHYSICAL EVIDE</t>
  </si>
  <si>
    <t>HINDER APPREHENSION</t>
  </si>
  <si>
    <t>RETALIATION</t>
  </si>
  <si>
    <t>BRIBERY</t>
  </si>
  <si>
    <t>OBSTRUCT HIGHWAY/PASSAGEWAY</t>
  </si>
  <si>
    <t>STALKING</t>
  </si>
  <si>
    <t>INJURY CHILD UNDER 15 B/INJURY, RETALIATION</t>
  </si>
  <si>
    <t>POSS W/INT DEL CS PG1 1G &lt;4 GR, FRAUD/USE/POSS ID INFO-LESS 5</t>
  </si>
  <si>
    <t>EVADING ARREST/DETENTION, TERRORISTIC THREAT FAMILY/HOUS, FRAUD/USE/POSS ID INFO- 5-9 IT</t>
  </si>
  <si>
    <t>THEFT &gt;=2,500 &lt;30,000, UNAUTH USE OF VEHICLE</t>
  </si>
  <si>
    <t>BURGLARY OF HABITATION, FRAUD/USE/POSS ID INFO-LESS 5</t>
  </si>
  <si>
    <t>INTERFERE DUTIES PUB SERVANT, DRIVING WHILE INTOXICATED</t>
  </si>
  <si>
    <t>RETALIATION, THEFT &gt;=$100&lt;$750</t>
  </si>
  <si>
    <t>CARRYING HANDGUN IN MOTOR VEHI, FALSIFY DRUG TEST RESULTS</t>
  </si>
  <si>
    <t>RETALIATION, BURG W-INTENT-COMMIT OTHER FEL</t>
  </si>
  <si>
    <t>ASLT FAM/HOUSE MEM IMPED BRTH/, ASSAULT-BODILY INJURY</t>
  </si>
  <si>
    <t>AGG ASSAULT-FAMILY MEMBER, AGG ASSAULT-FAMILY MEMBER</t>
  </si>
  <si>
    <t>THREAT TO DISCLSE INTIMATE VIS, STALKING, AGG ASSAULT-FAMILY MEMBER</t>
  </si>
  <si>
    <t>CARRYING HANDGUN IN MOTOR VEHI, TRADEMARK COUNTERFEITING&gt;=$750</t>
  </si>
  <si>
    <t>FRAUD/USE/POSS ID INFO OVER 50, TAMPER GOVT RECORD</t>
  </si>
  <si>
    <t>EVADING ARREST/DETENTION, UNAUTH USE OF VEHICLE</t>
  </si>
  <si>
    <t>ONLINE SOLICITATION OF MINOR, PROSTITUTION NONPUB PAY FEE &lt;1</t>
  </si>
  <si>
    <t>INTERFERE DUTIES PUB SERVANT, OBSTRUCT HIGHWAY/PASSAGEWAY</t>
  </si>
  <si>
    <t>THEFT &gt;=2,500 &lt;30,000, EVADING ARREST/DETENTION W/VEH</t>
  </si>
  <si>
    <t>ONLINE SOLICITATION OF MINOR, ONLINE SOLICITATION OF MINOR</t>
  </si>
  <si>
    <t>NATIVIDAD GARCIA SALINAS</t>
  </si>
  <si>
    <t xml:space="preserve">6905 AVENUE S </t>
  </si>
  <si>
    <t>ROOSEVELT LONZO KNOXSON</t>
  </si>
  <si>
    <t xml:space="preserve">504 MAGNOLIA AVENUE </t>
  </si>
  <si>
    <t>DARROL WAYNE THOMAS</t>
  </si>
  <si>
    <t xml:space="preserve">4423 TRAIL LAKE DR </t>
  </si>
  <si>
    <t>FREEMAN BANKS</t>
  </si>
  <si>
    <t>FREDRICK EARL REVIS</t>
  </si>
  <si>
    <t xml:space="preserve">3114 BRISBANE ST </t>
  </si>
  <si>
    <t>CHARLES ETHRIDGE</t>
  </si>
  <si>
    <t xml:space="preserve">4415 PERRY ST </t>
  </si>
  <si>
    <t>WILLIAM MATNEY ESTEPP</t>
  </si>
  <si>
    <t xml:space="preserve">2404 BLUE BONNET </t>
  </si>
  <si>
    <t>HOUSTON TX 77030</t>
  </si>
  <si>
    <t>WILLIAM ARTHUR SHEPHERD</t>
  </si>
  <si>
    <t xml:space="preserve">4109 KRESS ST </t>
  </si>
  <si>
    <t>EDWARD WILLIAMS</t>
  </si>
  <si>
    <t xml:space="preserve">6801 CONLEY ST </t>
  </si>
  <si>
    <t>DYOLD JOSEPH DAVIS</t>
  </si>
  <si>
    <t xml:space="preserve">10551 HOLLYGLEN </t>
  </si>
  <si>
    <t>CLIFTON EUGENE DIXON</t>
  </si>
  <si>
    <t xml:space="preserve">3315 HARRISBURG BLVD </t>
  </si>
  <si>
    <t>SAMUEL ALBERT</t>
  </si>
  <si>
    <t xml:space="preserve">2713 TRUXILLO </t>
  </si>
  <si>
    <t>ERIC BARNES</t>
  </si>
  <si>
    <t>2806 S. BLUE MEADOW CIRCLE</t>
  </si>
  <si>
    <t>WILLIAM JOSEPH SCOTT</t>
  </si>
  <si>
    <t xml:space="preserve">22710 PARADISE GATE </t>
  </si>
  <si>
    <t>JAMES CURTIS WEST</t>
  </si>
  <si>
    <t xml:space="preserve">4600 BUFFALLO </t>
  </si>
  <si>
    <t>CEASAR GUADALUPE RODRIGUEZ</t>
  </si>
  <si>
    <t xml:space="preserve">1604 FIRST STREET </t>
  </si>
  <si>
    <t>DIBOLL TX 75941</t>
  </si>
  <si>
    <t>CALVIN LEE BUTTON</t>
  </si>
  <si>
    <t xml:space="preserve">12345 SHARPVIEW </t>
  </si>
  <si>
    <t>JAMES EARL KELLY</t>
  </si>
  <si>
    <t xml:space="preserve">5980 ARDMORE STREET </t>
  </si>
  <si>
    <t>SANTOS NAVARRO</t>
  </si>
  <si>
    <t xml:space="preserve">225 BURBANK ST </t>
  </si>
  <si>
    <t>ANTHONY JR HAYNES</t>
  </si>
  <si>
    <t>2901 FULTON ST APT 3 27</t>
  </si>
  <si>
    <t>RUBEN GUEVARA</t>
  </si>
  <si>
    <t>3214 HUTCHINS ST APT 2</t>
  </si>
  <si>
    <t>CHRISTOPHER IAN SIEBERT</t>
  </si>
  <si>
    <t>4620 N BRAESWOOD BLV D</t>
  </si>
  <si>
    <t>TROY BUCKWALTER</t>
  </si>
  <si>
    <t>21110 PARISH TIMBERS CT</t>
  </si>
  <si>
    <t>CRAIG CHRISTOPHER WULF</t>
  </si>
  <si>
    <t>720 N SAM HOUSTON P KWY E</t>
  </si>
  <si>
    <t>PEDRO ENRIQUE RAMIREZ</t>
  </si>
  <si>
    <t xml:space="preserve">19920 CARROT ST </t>
  </si>
  <si>
    <t>MARK EDEN CHARLES</t>
  </si>
  <si>
    <t xml:space="preserve">1827 RIPPLE CREEK DR </t>
  </si>
  <si>
    <t>LANCE BRITT BELL</t>
  </si>
  <si>
    <t xml:space="preserve">19422 DEE OAKS DR </t>
  </si>
  <si>
    <t>RICHARD CAYCEDO</t>
  </si>
  <si>
    <t>11211 BRIGHTWOOD HEIG HTS CT</t>
  </si>
  <si>
    <t>TARCHA MCZEAL</t>
  </si>
  <si>
    <t>KRISTEPHER LONIDIER</t>
  </si>
  <si>
    <t xml:space="preserve">401 SOUTH BENDER </t>
  </si>
  <si>
    <t>ROY LOUIS JR. ROBINSON</t>
  </si>
  <si>
    <t xml:space="preserve">2434 DRUID ST </t>
  </si>
  <si>
    <t>HAROLD MABRY</t>
  </si>
  <si>
    <t xml:space="preserve">327 W HUFFSMITH </t>
  </si>
  <si>
    <t>JERRY GENE GLOVER</t>
  </si>
  <si>
    <t xml:space="preserve">3711 MORNINGWOOD </t>
  </si>
  <si>
    <t>TRACI LYNN TRIBBLE</t>
  </si>
  <si>
    <t>15235 RIDINGWOOD DRIV E</t>
  </si>
  <si>
    <t>JUAN JR GAONA</t>
  </si>
  <si>
    <t xml:space="preserve">2430 DEUTSER ST </t>
  </si>
  <si>
    <t>CESAR AUGUSTO SAPON</t>
  </si>
  <si>
    <t>4034 HIGHWAY 6 SOUTH 906</t>
  </si>
  <si>
    <t>WILLIAM SANDERS</t>
  </si>
  <si>
    <t xml:space="preserve">6603 CONLEY ST </t>
  </si>
  <si>
    <t>TYLER STEVEN KERR</t>
  </si>
  <si>
    <t xml:space="preserve">22134 MEAD DRIVE </t>
  </si>
  <si>
    <t>NEKEYA LANORA ALLEN</t>
  </si>
  <si>
    <t xml:space="preserve">5540 TREMPER ST </t>
  </si>
  <si>
    <t>OSCAR HAYWOOD</t>
  </si>
  <si>
    <t xml:space="preserve">220 NORTHPOINT DR </t>
  </si>
  <si>
    <t>REY ROMAN SANCHEZ</t>
  </si>
  <si>
    <t xml:space="preserve">7309 BOGGESS RD </t>
  </si>
  <si>
    <t>LINDA HERNANDEZ</t>
  </si>
  <si>
    <t xml:space="preserve">166 WINKLER DR 38 </t>
  </si>
  <si>
    <t>BRODERICK TREMAINE HEWITT</t>
  </si>
  <si>
    <t xml:space="preserve">4830 WINFREE DR </t>
  </si>
  <si>
    <t>LATOSHA NICOLE BROWN</t>
  </si>
  <si>
    <t xml:space="preserve">4113 DABNEY ST </t>
  </si>
  <si>
    <t>JOSHUA KEYAUNDRA FAIR</t>
  </si>
  <si>
    <t xml:space="preserve">502 COOL MIST DR </t>
  </si>
  <si>
    <t>ERIC ALPHONSO DILLARD</t>
  </si>
  <si>
    <t>13710 NUBENBROOK LAKE DR</t>
  </si>
  <si>
    <t>RAMIRO EDGAR MORILLON</t>
  </si>
  <si>
    <t xml:space="preserve">1715 ALDINE PARK LN </t>
  </si>
  <si>
    <t>DEBORAH MILLS</t>
  </si>
  <si>
    <t>4826 E MOUNT HOUSTON RD</t>
  </si>
  <si>
    <t>HERMINIO RUIZ</t>
  </si>
  <si>
    <t xml:space="preserve">5324 LEELAND ST </t>
  </si>
  <si>
    <t>LORENZO ANTONIO MONTANO</t>
  </si>
  <si>
    <t xml:space="preserve">2310 HARDWOOD LN </t>
  </si>
  <si>
    <t>KENNETH WAYNE JACKSON</t>
  </si>
  <si>
    <t xml:space="preserve">5439 INDIANOLA DR </t>
  </si>
  <si>
    <t>PHUC VAN VO</t>
  </si>
  <si>
    <t>8915 SPURFLOWER PATH LANE</t>
  </si>
  <si>
    <t>VANESSA ANN GUILLROY</t>
  </si>
  <si>
    <t xml:space="preserve">7210 WILEYVALE RD </t>
  </si>
  <si>
    <t>RHONDA MONIQUE PATTERSON</t>
  </si>
  <si>
    <t xml:space="preserve">2503 PANAGARD </t>
  </si>
  <si>
    <t>DAWAYNE SIMON</t>
  </si>
  <si>
    <t xml:space="preserve">8750 POINT PARK DR </t>
  </si>
  <si>
    <t>VANESSA MARIE SALAZAR</t>
  </si>
  <si>
    <t xml:space="preserve">16000 COTILLION DR </t>
  </si>
  <si>
    <t>MELINDA ANN HAMMACK</t>
  </si>
  <si>
    <t xml:space="preserve">5929 QUEENSLOCH DR </t>
  </si>
  <si>
    <t>DAVID ANTHONY GONZALEZ</t>
  </si>
  <si>
    <t xml:space="preserve">2420 HACKETT DR 97 </t>
  </si>
  <si>
    <t>JACOB GARCIA</t>
  </si>
  <si>
    <t>DEXTON OWENS</t>
  </si>
  <si>
    <t xml:space="preserve">10547 LANTRY WAY </t>
  </si>
  <si>
    <t>DANIEL JUAREZ</t>
  </si>
  <si>
    <t xml:space="preserve">7330 AVENUE K </t>
  </si>
  <si>
    <t>SHANNON DEVON SOWELL</t>
  </si>
  <si>
    <t>2722 OAKLAND BROOK S T</t>
  </si>
  <si>
    <t>ALEJANDRA EUNICE POWERS</t>
  </si>
  <si>
    <t xml:space="preserve">818 MANOR ST </t>
  </si>
  <si>
    <t>BENNIE SAMUEL SWAIN</t>
  </si>
  <si>
    <t xml:space="preserve">5411 RIDGEMONT PL </t>
  </si>
  <si>
    <t>JOHN MINNEX</t>
  </si>
  <si>
    <t xml:space="preserve">6819 STEARNS ST </t>
  </si>
  <si>
    <t>KIWAN ANTOINE WILEY</t>
  </si>
  <si>
    <t xml:space="preserve">11717 BEAMER RD </t>
  </si>
  <si>
    <t>MAURICE MORRIS</t>
  </si>
  <si>
    <t>6363 W AIRPORT BLVD 3304</t>
  </si>
  <si>
    <t>SIDNEY JOSEPH KENNERSON</t>
  </si>
  <si>
    <t xml:space="preserve">3208 NORMAND DR </t>
  </si>
  <si>
    <t>COLLEGE ST TX 77845</t>
  </si>
  <si>
    <t>DAVID EMMANUEL DELATORRE</t>
  </si>
  <si>
    <t xml:space="preserve">2022 BEACON CHAE CT </t>
  </si>
  <si>
    <t>ADRIANN LAMAR CUMMINGS</t>
  </si>
  <si>
    <t xml:space="preserve">16354 ELLA BLVD 4110 </t>
  </si>
  <si>
    <t>ANNA LIZA BARRIENTES</t>
  </si>
  <si>
    <t xml:space="preserve">2724 BROADWAY 79 </t>
  </si>
  <si>
    <t>TERRANCE MORELAND</t>
  </si>
  <si>
    <t>JEREMY POWELL</t>
  </si>
  <si>
    <t xml:space="preserve">1000 GREENS RD </t>
  </si>
  <si>
    <t>ISAIAH AMAUDE WYNNE</t>
  </si>
  <si>
    <t xml:space="preserve">1367 WROTHAM LN </t>
  </si>
  <si>
    <t>HENRY OLLERVIDES</t>
  </si>
  <si>
    <t xml:space="preserve">7805 NARCISSUS ST </t>
  </si>
  <si>
    <t>BOBBY BASSETT</t>
  </si>
  <si>
    <t xml:space="preserve">134 SANDY COVE </t>
  </si>
  <si>
    <t>JOSEPHINE LUNA CARDENAS</t>
  </si>
  <si>
    <t xml:space="preserve">3410 MELBOURNE </t>
  </si>
  <si>
    <t>JAMES LAMONS MERRITT</t>
  </si>
  <si>
    <t xml:space="preserve">7939 CABOT </t>
  </si>
  <si>
    <t>SAMUEL IBOK</t>
  </si>
  <si>
    <t xml:space="preserve">17302 TRACE GLEN LN </t>
  </si>
  <si>
    <t>ERIC DEESHAWN GLOVER</t>
  </si>
  <si>
    <t>15335 GLENWOOD PARK D R</t>
  </si>
  <si>
    <t>JOHN CALVIN JOHNSON</t>
  </si>
  <si>
    <t xml:space="preserve">3315 REEVES S </t>
  </si>
  <si>
    <t>TIMOTHY WAYNE JOHNSON</t>
  </si>
  <si>
    <t xml:space="preserve">784 MILLIVILLE DR </t>
  </si>
  <si>
    <t>BRANDON BENOIT</t>
  </si>
  <si>
    <t>15330 BAMMEL N HOUSTO N RD</t>
  </si>
  <si>
    <t>MATTHEW MONTOYA</t>
  </si>
  <si>
    <t xml:space="preserve">8145 ELROD </t>
  </si>
  <si>
    <t>CLARENCE KEVIN WILLIAMS</t>
  </si>
  <si>
    <t>12136 SANDPIPER APT 8 99</t>
  </si>
  <si>
    <t>KENDELL LESTER GRAY</t>
  </si>
  <si>
    <t xml:space="preserve">9209 BEECHNUT ST </t>
  </si>
  <si>
    <t>PATRICK IBARRA</t>
  </si>
  <si>
    <t>501 MASSEY TOMPKINS ROAD</t>
  </si>
  <si>
    <t>SEAN GRIFFIN</t>
  </si>
  <si>
    <t xml:space="preserve">8608 BRANDON ST </t>
  </si>
  <si>
    <t>TERMAN LEE BAINES</t>
  </si>
  <si>
    <t xml:space="preserve">18011 OAKLOCH CT </t>
  </si>
  <si>
    <t>CRUZ ALFREDO SARAVIA</t>
  </si>
  <si>
    <t xml:space="preserve">1315 MARLEEN ST </t>
  </si>
  <si>
    <t>RAWAN ODEHALLA</t>
  </si>
  <si>
    <t xml:space="preserve">7723 DEL GLEN LN </t>
  </si>
  <si>
    <t>LUIS E CARANGUI</t>
  </si>
  <si>
    <t xml:space="preserve">13502 DULUTH ST </t>
  </si>
  <si>
    <t>ANASTAISA LOPEZ</t>
  </si>
  <si>
    <t>AHMAD LEWIS</t>
  </si>
  <si>
    <t xml:space="preserve">14580 CROSBY FWY </t>
  </si>
  <si>
    <t>ADRIANNE NICOLE HART</t>
  </si>
  <si>
    <t>2700 BELLEFONTAINE B 25</t>
  </si>
  <si>
    <t>IDRIS REESE</t>
  </si>
  <si>
    <t xml:space="preserve">8047 GROW LN </t>
  </si>
  <si>
    <t>WILLIE ANDREW FIZER</t>
  </si>
  <si>
    <t>5550 DE SOTO ST APT 311</t>
  </si>
  <si>
    <t>CYNTHIA ISABEL MEDINA</t>
  </si>
  <si>
    <t xml:space="preserve">12714 WHITE PLAINS </t>
  </si>
  <si>
    <t>RYAN BURNHAM</t>
  </si>
  <si>
    <t xml:space="preserve">1098 COUNTY RD 6479 </t>
  </si>
  <si>
    <t>CHRISTIAN HOBBS</t>
  </si>
  <si>
    <t>19943 SYCAMORE VALLEY DR</t>
  </si>
  <si>
    <t>LOHORTENSE LA'B SANDERS</t>
  </si>
  <si>
    <t xml:space="preserve">7127 YELLOW PINE DR </t>
  </si>
  <si>
    <t>CRISIA LONDON</t>
  </si>
  <si>
    <t xml:space="preserve">7902 ROCK ROSE ST </t>
  </si>
  <si>
    <t>RONNIE LUCAS BLACKLEDGE</t>
  </si>
  <si>
    <t xml:space="preserve">2010 LASALLE LN </t>
  </si>
  <si>
    <t>WEBSTER TX 77546</t>
  </si>
  <si>
    <t>SAGE MARIE GRIDER</t>
  </si>
  <si>
    <t xml:space="preserve">18107 LONGMOOR DR </t>
  </si>
  <si>
    <t>QASSEM WAEL ALROUSAN</t>
  </si>
  <si>
    <t>13226 CHIMNEY SWEEP D R</t>
  </si>
  <si>
    <t>DILLON CRISSMON</t>
  </si>
  <si>
    <t xml:space="preserve">12903 SUGAR RIDGE LN </t>
  </si>
  <si>
    <t>RAUL ANTONIO UMANZOR</t>
  </si>
  <si>
    <t xml:space="preserve">7411 CAPITOL ST </t>
  </si>
  <si>
    <t>BRIANNA MARIE BAILEY</t>
  </si>
  <si>
    <t xml:space="preserve">14355 ELLA BLVD </t>
  </si>
  <si>
    <t>RUTH MORAN</t>
  </si>
  <si>
    <t xml:space="preserve">20306 PLAZA EAST BLVD </t>
  </si>
  <si>
    <t>MICHAEL ANTHONY HELM</t>
  </si>
  <si>
    <t xml:space="preserve">3600 S. SHAVER </t>
  </si>
  <si>
    <t>KEANU TATYANA PITRE</t>
  </si>
  <si>
    <t>17331 RED OAK DR APT 27</t>
  </si>
  <si>
    <t>MICHAEL ALAN RAMAGE</t>
  </si>
  <si>
    <t xml:space="preserve">2104 WALNUT </t>
  </si>
  <si>
    <t>BUTCH JACKSON</t>
  </si>
  <si>
    <t>ZAVANTE JAVEON HAROLD</t>
  </si>
  <si>
    <t>10522 BEECHNUT ST APT 3522</t>
  </si>
  <si>
    <t>ERIQUE JAMAL JACKSON</t>
  </si>
  <si>
    <t>3030 HIRSCHFIELD #19 A</t>
  </si>
  <si>
    <t>DEXTER JAMAEL WALDRUP</t>
  </si>
  <si>
    <t xml:space="preserve">19503 WANN PARK DR </t>
  </si>
  <si>
    <t>KEVIN ELI TOVAR</t>
  </si>
  <si>
    <t xml:space="preserve">3502 DARLINGHURST RD </t>
  </si>
  <si>
    <t>DARIUS WOODS</t>
  </si>
  <si>
    <t xml:space="preserve">2302 COBBDALE LN </t>
  </si>
  <si>
    <t>STEVEN HARRIS</t>
  </si>
  <si>
    <t xml:space="preserve">8901 JONES RD </t>
  </si>
  <si>
    <t>SANJUANA BENAVIDES</t>
  </si>
  <si>
    <t xml:space="preserve">13930 BONHAM STREET </t>
  </si>
  <si>
    <t>BIOLA R KASALI</t>
  </si>
  <si>
    <t xml:space="preserve">2626 STRAIT LN </t>
  </si>
  <si>
    <t>STAFFORD TX 77084</t>
  </si>
  <si>
    <t>ARSALAN TAQI</t>
  </si>
  <si>
    <t xml:space="preserve">8708 WILCREST DR </t>
  </si>
  <si>
    <t>WILLIAM SHINER</t>
  </si>
  <si>
    <t xml:space="preserve">2002 BRIDGECROSSLLN </t>
  </si>
  <si>
    <t>DAVION JOHNSON</t>
  </si>
  <si>
    <t xml:space="preserve">1203 TINY TREE DR </t>
  </si>
  <si>
    <t>CALVIN HENRY BASEY</t>
  </si>
  <si>
    <t xml:space="preserve">535 SEMINAR DR </t>
  </si>
  <si>
    <t>ERIC ORION HADDOCK</t>
  </si>
  <si>
    <t>15900 SPACE CENTER BL VD</t>
  </si>
  <si>
    <t>JAVIER PEREZ</t>
  </si>
  <si>
    <t xml:space="preserve">14511 NIMITZ ST </t>
  </si>
  <si>
    <t>JUAN CARLOS BENITEZ</t>
  </si>
  <si>
    <t>4902 EVERGREEN HAVEN CT</t>
  </si>
  <si>
    <t>MCSTIMEY LEE BOWIE</t>
  </si>
  <si>
    <t>NIGEL MAL PORTER</t>
  </si>
  <si>
    <t xml:space="preserve">7702 RIPTIDE DR </t>
  </si>
  <si>
    <t>LEMAY JAVIER PALOMO-PACHECO</t>
  </si>
  <si>
    <t xml:space="preserve">7906 GULFTON </t>
  </si>
  <si>
    <t>PATRICK TERRY</t>
  </si>
  <si>
    <t xml:space="preserve">1866 EAGLE FALLS DR </t>
  </si>
  <si>
    <t>JOHN BERCHMAN PIERRE</t>
  </si>
  <si>
    <t xml:space="preserve">1210 W DONOVAN </t>
  </si>
  <si>
    <t>JOSHUA NATHANIEL GUTIERREZ</t>
  </si>
  <si>
    <t xml:space="preserve">10406 PERMIAN DR </t>
  </si>
  <si>
    <t>JAVIER SALAZAR</t>
  </si>
  <si>
    <t xml:space="preserve">9530 FM2920 </t>
  </si>
  <si>
    <t>TYWON JAMES ACHANE</t>
  </si>
  <si>
    <t xml:space="preserve">8166 HOMEWOOD LN </t>
  </si>
  <si>
    <t>DEONTE MARSEAN TUCKER</t>
  </si>
  <si>
    <t>RAUL JARAMILLO</t>
  </si>
  <si>
    <t xml:space="preserve">9901 CLUB CREEK </t>
  </si>
  <si>
    <t>WALTER LEE FIELDS</t>
  </si>
  <si>
    <t xml:space="preserve">3618 LUCA ST </t>
  </si>
  <si>
    <t>DRAYTON ARNETT BANKS</t>
  </si>
  <si>
    <t xml:space="preserve">12857 HIGH STAR DR </t>
  </si>
  <si>
    <t>LUIS RUMALDO SOTO</t>
  </si>
  <si>
    <t xml:space="preserve">12323 BARBIZON DR </t>
  </si>
  <si>
    <t>ALEXIS M. RAMIREZ</t>
  </si>
  <si>
    <t xml:space="preserve">1506 SANDYDALE LN </t>
  </si>
  <si>
    <t>RAYMONTE DAQUIN HOLMES</t>
  </si>
  <si>
    <t xml:space="preserve">13480 S THORNTREE </t>
  </si>
  <si>
    <t>JEREMY HICKS</t>
  </si>
  <si>
    <t xml:space="preserve">21110 NORTH UNION CT </t>
  </si>
  <si>
    <t>JAMAINE CORNELIUS MUNROSE</t>
  </si>
  <si>
    <t xml:space="preserve">210 BEGONIA LN </t>
  </si>
  <si>
    <t>TONY GUTIERREZ</t>
  </si>
  <si>
    <t xml:space="preserve">6005 ALLENDALE RD </t>
  </si>
  <si>
    <t>MELVIN JEREMI LIVINGSTON</t>
  </si>
  <si>
    <t xml:space="preserve">1111 LOVETT BLVD </t>
  </si>
  <si>
    <t>ABRAHAM HECTOR GARZA</t>
  </si>
  <si>
    <t xml:space="preserve">1002 MASSEY TOMPKINS </t>
  </si>
  <si>
    <t>DOMINIC ANTHONY GARCIA</t>
  </si>
  <si>
    <t>4540 MCKINNEY ST APT 4</t>
  </si>
  <si>
    <t>LOUIS TERRY BRINSON</t>
  </si>
  <si>
    <t xml:space="preserve">5706 APGAR ST </t>
  </si>
  <si>
    <t>JORGE VEGA</t>
  </si>
  <si>
    <t xml:space="preserve">1917 MELBOURNE </t>
  </si>
  <si>
    <t>RAMI RYAN ALNOUBANI</t>
  </si>
  <si>
    <t>KYLE RENO</t>
  </si>
  <si>
    <t xml:space="preserve">9715 STONEMONT </t>
  </si>
  <si>
    <t>ESMERIGILDO SAMMY GARCIA-RAMIREZ</t>
  </si>
  <si>
    <t xml:space="preserve">610 JOHN ALBER RD </t>
  </si>
  <si>
    <t>JUSTIN LEE MCMILLIAN</t>
  </si>
  <si>
    <t xml:space="preserve">8115 PENROD ST </t>
  </si>
  <si>
    <t>ANDRAE DION YOUNG</t>
  </si>
  <si>
    <t>20110 COOPERS GULCH T RL</t>
  </si>
  <si>
    <t>CEDRIC KENDALLE ROBINSON</t>
  </si>
  <si>
    <t xml:space="preserve">16460 SH 3 </t>
  </si>
  <si>
    <t>RACHAEL HOWE</t>
  </si>
  <si>
    <t xml:space="preserve">7501 ELM ST </t>
  </si>
  <si>
    <t>FREDERICK ALEXANDER</t>
  </si>
  <si>
    <t xml:space="preserve">2914 HUCKLEBERRY LN </t>
  </si>
  <si>
    <t>ALEXANDER VILLATORO</t>
  </si>
  <si>
    <t xml:space="preserve">15250 GRAY RIDGE DR </t>
  </si>
  <si>
    <t>JOE ANTHONY RUIZ</t>
  </si>
  <si>
    <t xml:space="preserve">611 DORCHESTER ST </t>
  </si>
  <si>
    <t>JULISA JANAY CASTRO</t>
  </si>
  <si>
    <t xml:space="preserve">15511 EAGLE FIELDS DR </t>
  </si>
  <si>
    <t>SERGIO ANDRES CORTEZ</t>
  </si>
  <si>
    <t xml:space="preserve">607 DORCHESTER ST </t>
  </si>
  <si>
    <t>LATASHA PIER</t>
  </si>
  <si>
    <t xml:space="preserve">2134 HUTTON </t>
  </si>
  <si>
    <t>MAYA DAVION GRACE</t>
  </si>
  <si>
    <t xml:space="preserve">15119 BATHURST DR </t>
  </si>
  <si>
    <t>TYRAN WILLIAMS</t>
  </si>
  <si>
    <t xml:space="preserve">3736 MAIN PLAZA DR </t>
  </si>
  <si>
    <t>MARQUIS DAVON LOVE</t>
  </si>
  <si>
    <t xml:space="preserve">6727 TELEPHONE RD </t>
  </si>
  <si>
    <t>DERIN BROWN</t>
  </si>
  <si>
    <t>3618 BENBROOK SPRING S LN</t>
  </si>
  <si>
    <t>JONELLA BREANNE LOVEJOY</t>
  </si>
  <si>
    <t xml:space="preserve">10950 WESTBRAE PKWY </t>
  </si>
  <si>
    <t>TYTIANA DESHAUN MOORE</t>
  </si>
  <si>
    <t xml:space="preserve">1383 CALVERT DR </t>
  </si>
  <si>
    <t>DENNIS PATRICK DAVIS</t>
  </si>
  <si>
    <t xml:space="preserve">10422 ROCKCREST RD </t>
  </si>
  <si>
    <t>KELVIN FITZGERALD VENSON</t>
  </si>
  <si>
    <t xml:space="preserve">1817 PANNELL ST </t>
  </si>
  <si>
    <t>JUDY CAMPOS</t>
  </si>
  <si>
    <t xml:space="preserve">5615 HAMILL RANCH LN </t>
  </si>
  <si>
    <t>IONA RENEE JONES</t>
  </si>
  <si>
    <t xml:space="preserve">2835 VEGA ST </t>
  </si>
  <si>
    <t>GABRIEL BARRIOS</t>
  </si>
  <si>
    <t xml:space="preserve">14501 GARBER LN </t>
  </si>
  <si>
    <t>HOUSTON TX 7015</t>
  </si>
  <si>
    <t>JENNIFER CASTANETO</t>
  </si>
  <si>
    <t>12925 NORTHWEST FWY I B</t>
  </si>
  <si>
    <t>CARLOS GUERRERO</t>
  </si>
  <si>
    <t xml:space="preserve">2802 TOYAH </t>
  </si>
  <si>
    <t>MADISON TAYLOR WILSON</t>
  </si>
  <si>
    <t xml:space="preserve">10881 RICHMOND AVE </t>
  </si>
  <si>
    <t>DENNIS R. CHAPMAN</t>
  </si>
  <si>
    <t xml:space="preserve">230 TC JESTER BLVD </t>
  </si>
  <si>
    <t>JACOBY DEGREE</t>
  </si>
  <si>
    <t xml:space="preserve">26527 DURANGO CANYON </t>
  </si>
  <si>
    <t>JEROME DOMONIC CARLOCK</t>
  </si>
  <si>
    <t xml:space="preserve">6539 BELLA SERA DR </t>
  </si>
  <si>
    <t>SPRING TX 77378</t>
  </si>
  <si>
    <t>CHEYENNE JOHNSON</t>
  </si>
  <si>
    <t xml:space="preserve">6919 MARISOL DR. </t>
  </si>
  <si>
    <t>ESTEBAN ROBLES SOLIS</t>
  </si>
  <si>
    <t xml:space="preserve">4049 SHAVER ST </t>
  </si>
  <si>
    <t>INDONESIA PROVOST</t>
  </si>
  <si>
    <t xml:space="preserve">3455 FM 1960 RD </t>
  </si>
  <si>
    <t>PABLO OLVERA</t>
  </si>
  <si>
    <t xml:space="preserve">12107 CEDAR GAP LN </t>
  </si>
  <si>
    <t>DEANDRE GOODLOW</t>
  </si>
  <si>
    <t xml:space="preserve">5345 GROVETON </t>
  </si>
  <si>
    <t>CARLOS PEREZ</t>
  </si>
  <si>
    <t xml:space="preserve">14515 BRIAR FOREST DR </t>
  </si>
  <si>
    <t>DATORION FOSTER</t>
  </si>
  <si>
    <t>9942 LYNETTE FALLS D R</t>
  </si>
  <si>
    <t>JAMES BROOKS</t>
  </si>
  <si>
    <t xml:space="preserve">4001 WATONGA BLVD </t>
  </si>
  <si>
    <t>TREY O GOESEY</t>
  </si>
  <si>
    <t>2300 WILCREST DR APT 154</t>
  </si>
  <si>
    <t>KOBE DEANDRE COLBERT</t>
  </si>
  <si>
    <t xml:space="preserve">810 SUNNYBROOK </t>
  </si>
  <si>
    <t>DARYL EUGENE JOHNSON</t>
  </si>
  <si>
    <t xml:space="preserve">5754 SLATE VALLEY CT </t>
  </si>
  <si>
    <t>NICOLE MENDEZ</t>
  </si>
  <si>
    <t xml:space="preserve">108 ELM STREET </t>
  </si>
  <si>
    <t>ALEXANDER WILLIAMS</t>
  </si>
  <si>
    <t xml:space="preserve">20405 MISTY COVE DR </t>
  </si>
  <si>
    <t>USAMA SIDDUIQUI</t>
  </si>
  <si>
    <t xml:space="preserve">13290 FM 1960 ROAD W </t>
  </si>
  <si>
    <t>MICHAEL GOODWIN</t>
  </si>
  <si>
    <t xml:space="preserve">22094 SUN HAVEN LN </t>
  </si>
  <si>
    <t>JACOB GONZALEZS</t>
  </si>
  <si>
    <t xml:space="preserve">2216 HARRIS </t>
  </si>
  <si>
    <t>WILLIAM HENRY CROCKETT III</t>
  </si>
  <si>
    <t xml:space="preserve">2425 SWITZER AVE </t>
  </si>
  <si>
    <t>ST LOUIS MO 63136</t>
  </si>
  <si>
    <t>VICTOR HUGO-OLGUIN</t>
  </si>
  <si>
    <t xml:space="preserve">1258 BEMBERTON HILL </t>
  </si>
  <si>
    <t>DALLAS TX 75217</t>
  </si>
  <si>
    <t>CHRISTOPHER G GUEVARA</t>
  </si>
  <si>
    <t xml:space="preserve">9 CLIFTON </t>
  </si>
  <si>
    <t>SHAQUTHA SAREE THOMAS</t>
  </si>
  <si>
    <t xml:space="preserve">7002 SURCOURT </t>
  </si>
  <si>
    <t>DAVID MACIAS</t>
  </si>
  <si>
    <t>12751 WHISTLING SPRIN G DR</t>
  </si>
  <si>
    <t>DAMION PEEVEY BROM</t>
  </si>
  <si>
    <t xml:space="preserve">26 FARRELL ST 9 </t>
  </si>
  <si>
    <t>RUBEN JACK MATAMORAS</t>
  </si>
  <si>
    <t xml:space="preserve">1711 40TH ST </t>
  </si>
  <si>
    <t>GALVESTON TX 77551</t>
  </si>
  <si>
    <t>GREGORY DORSEY</t>
  </si>
  <si>
    <t xml:space="preserve">6725 BRITTMOORE RD </t>
  </si>
  <si>
    <t>RACHEL CRUZ</t>
  </si>
  <si>
    <t>10811 CLIFFTON FORGE DR</t>
  </si>
  <si>
    <t>JALYSHA WADE</t>
  </si>
  <si>
    <t xml:space="preserve">3018 CACTUS ST </t>
  </si>
  <si>
    <t>EDIBERTO SOLIS CARDENAS</t>
  </si>
  <si>
    <t xml:space="preserve">914 MOSHER LN </t>
  </si>
  <si>
    <t>RAFAEL QUIROS</t>
  </si>
  <si>
    <t xml:space="preserve">15455 POINT NORTHWEST </t>
  </si>
  <si>
    <t>LOGAN RODRIGUEZ-GUERRERO</t>
  </si>
  <si>
    <t xml:space="preserve">16314 MULBERY RUN CT </t>
  </si>
  <si>
    <t>KEVIN CORNELIUS PITTS</t>
  </si>
  <si>
    <t>YAIR ESCOBAR</t>
  </si>
  <si>
    <t xml:space="preserve">1818 AMIE MICHELE LN </t>
  </si>
  <si>
    <t>CAMERON CALEB DOWNEY</t>
  </si>
  <si>
    <t>408 WESTHEIMER RD A PT 1</t>
  </si>
  <si>
    <t>MIRANDA ROJAS</t>
  </si>
  <si>
    <t xml:space="preserve">13310 SOMERSWORTH DR </t>
  </si>
  <si>
    <t>MONIQUE ANGELINA MUNOZ</t>
  </si>
  <si>
    <t>17206 IMPERIAL VALLEY DR 105</t>
  </si>
  <si>
    <t>CHRISTOPHER POLK</t>
  </si>
  <si>
    <t xml:space="preserve">14150 WUNDERLICH RD </t>
  </si>
  <si>
    <t>HARRIS CO TX 77069</t>
  </si>
  <si>
    <t>SANTANNA HOLMAN</t>
  </si>
  <si>
    <t>18742 DRIFTWOOD SPRIN GS DR</t>
  </si>
  <si>
    <t>J'SEAN JOHNATHAN JAIME</t>
  </si>
  <si>
    <t>1003 CRESTBROOK DRIV E</t>
  </si>
  <si>
    <t>DANIELLE VITELA</t>
  </si>
  <si>
    <t xml:space="preserve">8606 FINDLAY ST </t>
  </si>
  <si>
    <t>JOSE DE LA VEGA</t>
  </si>
  <si>
    <t xml:space="preserve">8101 AMELIA RD 209B </t>
  </si>
  <si>
    <t>MIGUEL ANGEL CRUZ</t>
  </si>
  <si>
    <t xml:space="preserve">3030 DEEDS </t>
  </si>
  <si>
    <t>TEODORO RESENDIZ</t>
  </si>
  <si>
    <t xml:space="preserve">6606 LUTHER ST </t>
  </si>
  <si>
    <t>HECTOR ISIDRO DUARTE</t>
  </si>
  <si>
    <t xml:space="preserve">17420 JUSTINWOOD PL </t>
  </si>
  <si>
    <t>JENNIFER NICOLE SPOONEMORE</t>
  </si>
  <si>
    <t xml:space="preserve">3414 KOWIS STREET </t>
  </si>
  <si>
    <t>LARAJA DENYER JOHNSON</t>
  </si>
  <si>
    <t>3700 WATONGA BLVD AP T 2014</t>
  </si>
  <si>
    <t>ASHTON ELUNTE SION</t>
  </si>
  <si>
    <t xml:space="preserve">10138 CHEEVES DR </t>
  </si>
  <si>
    <t>CHRISTOPHER FRANCOIS</t>
  </si>
  <si>
    <t xml:space="preserve">1532 W 5TH STREET </t>
  </si>
  <si>
    <t>PORT ARTHU TX 77640</t>
  </si>
  <si>
    <t>ERROL HAMTON</t>
  </si>
  <si>
    <t xml:space="preserve">14326 STRUTTON DE </t>
  </si>
  <si>
    <t>SUGER LAND TX 77498</t>
  </si>
  <si>
    <t>DAVID LEVERNON QUINCY</t>
  </si>
  <si>
    <t xml:space="preserve">5230 ALLEN DR </t>
  </si>
  <si>
    <t>BEAUMONT TX 77708</t>
  </si>
  <si>
    <t>JESUS EFREN HUERTA</t>
  </si>
  <si>
    <t xml:space="preserve">2112 BAUER PARK DR </t>
  </si>
  <si>
    <t>MOHAMMED TAHAR AMROUNI</t>
  </si>
  <si>
    <t xml:space="preserve">7447 CAMBRIDGE ST </t>
  </si>
  <si>
    <t>DWAYNE BRITFORD</t>
  </si>
  <si>
    <t xml:space="preserve">4009 FLAKES MILL </t>
  </si>
  <si>
    <t>DECATUR GA 30034</t>
  </si>
  <si>
    <t>JAYSHUA DQUAN HEDGE</t>
  </si>
  <si>
    <t xml:space="preserve">8322 MADERA RD </t>
  </si>
  <si>
    <t>CODY JAMAL RANDELL</t>
  </si>
  <si>
    <t xml:space="preserve">13346 SOMERSWORTH </t>
  </si>
  <si>
    <t>CRISTIAN ARIEL ENCARNACION JIMENEZ</t>
  </si>
  <si>
    <t xml:space="preserve">15831 BARBAROSSA DR </t>
  </si>
  <si>
    <t>CAMERON LEE LYLES</t>
  </si>
  <si>
    <t xml:space="preserve">247 BEAR CREEK DR </t>
  </si>
  <si>
    <t>BRIAN EARL WALKER</t>
  </si>
  <si>
    <t xml:space="preserve">7200 AVE P 1/2 </t>
  </si>
  <si>
    <t>SHEON VINTESS MAGEE</t>
  </si>
  <si>
    <t xml:space="preserve">2887 MORNING POND LN </t>
  </si>
  <si>
    <t>RODNEY DESHUNN CURRY</t>
  </si>
  <si>
    <t>1415 W GULF BANK RD APT 312</t>
  </si>
  <si>
    <t>JUNTRELL HUBERT</t>
  </si>
  <si>
    <t xml:space="preserve">5627 YALE </t>
  </si>
  <si>
    <t>ERNESTO CERDENA</t>
  </si>
  <si>
    <t xml:space="preserve">15 REGAL PLACE </t>
  </si>
  <si>
    <t>HOPEWELL J NY 12533</t>
  </si>
  <si>
    <t>MARIO GARCIA DE LEON</t>
  </si>
  <si>
    <t xml:space="preserve">9221 PAGEWOOD LN </t>
  </si>
  <si>
    <t>CORNELIUS ANTHONY LEWIS</t>
  </si>
  <si>
    <t xml:space="preserve">2401 REPSDORPH RD </t>
  </si>
  <si>
    <t>CALEB BOTELLO</t>
  </si>
  <si>
    <t xml:space="preserve">15807 ECHO HILL DR </t>
  </si>
  <si>
    <t>HOUSTON TX 77059</t>
  </si>
  <si>
    <t>MAGDALENA ALMARAZ ALMENDARIZ</t>
  </si>
  <si>
    <t xml:space="preserve">838 VERA CRUZ DR </t>
  </si>
  <si>
    <t>ASHLEY FAGAN</t>
  </si>
  <si>
    <t xml:space="preserve">950 STEVENAGE LN </t>
  </si>
  <si>
    <t>ABIYE OLALEKAN KOLAWOLE</t>
  </si>
  <si>
    <t>8801 S BRAESWOOD 111 2</t>
  </si>
  <si>
    <t>ELLIOT BURGOS</t>
  </si>
  <si>
    <t xml:space="preserve">5023 QUAIL GATE DR </t>
  </si>
  <si>
    <t>GABRIEL ROJAS</t>
  </si>
  <si>
    <t xml:space="preserve">702 RUGERS LN </t>
  </si>
  <si>
    <t>DAMION LAMON WILTZ</t>
  </si>
  <si>
    <t xml:space="preserve">12115 KEMERTON DR </t>
  </si>
  <si>
    <t>BRYAN ROBERTO RAMON</t>
  </si>
  <si>
    <t xml:space="preserve">4719 HARE ST </t>
  </si>
  <si>
    <t>CHRISTOPHER JOYCE LADAY</t>
  </si>
  <si>
    <t xml:space="preserve">648 13TH ST </t>
  </si>
  <si>
    <t>JAQUARIUS LEWIS</t>
  </si>
  <si>
    <t xml:space="preserve">9465 CLERWOOD DR </t>
  </si>
  <si>
    <t>KEVIN MONJARAS</t>
  </si>
  <si>
    <t xml:space="preserve">1717 SIMPSON </t>
  </si>
  <si>
    <t>KELVIN ELIAS</t>
  </si>
  <si>
    <t>3950 HOLLISTER ST 25 7</t>
  </si>
  <si>
    <t>SEBASTIAN LOPEZ VARGAS</t>
  </si>
  <si>
    <t xml:space="preserve">9000 KEMPWOOD DR </t>
  </si>
  <si>
    <t>ALEXIS PINA</t>
  </si>
  <si>
    <t xml:space="preserve">6500 HORNWOOD DR </t>
  </si>
  <si>
    <t>ANTHONY KOFOWOROLA-KUTI</t>
  </si>
  <si>
    <t>3002 PAXTON HILLS LA NE</t>
  </si>
  <si>
    <t>JOSE VASQUEZ</t>
  </si>
  <si>
    <t>530 BRANDING IRON L N</t>
  </si>
  <si>
    <t>ROBERT DESHAUN LEE</t>
  </si>
  <si>
    <t>1235 NORTH LOOP WEST SUITE 101</t>
  </si>
  <si>
    <t>KENNETH P MOTT</t>
  </si>
  <si>
    <t xml:space="preserve">7242 FERGUSON </t>
  </si>
  <si>
    <t>ROANOKE LA 70581</t>
  </si>
  <si>
    <t>ISAC LOPEZ</t>
  </si>
  <si>
    <t xml:space="preserve">1302 REBE SUE ST </t>
  </si>
  <si>
    <t>EL CAMPO TX 77437</t>
  </si>
  <si>
    <t>ROSS ZAHRADNIK</t>
  </si>
  <si>
    <t xml:space="preserve">108 E COREELL </t>
  </si>
  <si>
    <t>EL CAMPOS TX 77437</t>
  </si>
  <si>
    <t>HANOK CHOWDARY MORAMPUDI</t>
  </si>
  <si>
    <t>5717 ARBOR HILLS WAY APT 314</t>
  </si>
  <si>
    <t>DENTON TX 75056</t>
  </si>
  <si>
    <t>AKBAR TAHMASEBI</t>
  </si>
  <si>
    <t>1000 COUNTRY PLACE D R APT 34</t>
  </si>
  <si>
    <t>QUEONTE LAQUAN GRAY</t>
  </si>
  <si>
    <t xml:space="preserve">9215 GARDNER ST </t>
  </si>
  <si>
    <t>TREVEN LADON LIPSCOMB</t>
  </si>
  <si>
    <t xml:space="preserve">22511 WENBURY DR </t>
  </si>
  <si>
    <t>TREVION DE'SHAN THOMPSON</t>
  </si>
  <si>
    <t>2606 CHISOLM CREEK C T</t>
  </si>
  <si>
    <t>SANDRA FLORES</t>
  </si>
  <si>
    <t>12035 HUFFMEISTER RD APT 925</t>
  </si>
  <si>
    <t>ANDRA JOHNSON</t>
  </si>
  <si>
    <t xml:space="preserve">19610 TRENT CREEK DR </t>
  </si>
  <si>
    <t>IRVIN GARCIA</t>
  </si>
  <si>
    <t xml:space="preserve">8402 MOBUD </t>
  </si>
  <si>
    <t>CORLEONE HOOPER</t>
  </si>
  <si>
    <t xml:space="preserve">6239 BILLINSGATE DR </t>
  </si>
  <si>
    <t>OSHA NIKAYA JONES</t>
  </si>
  <si>
    <t>1122 LEXINGTON GROVE DR</t>
  </si>
  <si>
    <t>BRUCE HAMMOCK</t>
  </si>
  <si>
    <t xml:space="preserve">12242 ELM ORCHARD TRL </t>
  </si>
  <si>
    <t>JENNIFER LOPEZ</t>
  </si>
  <si>
    <t xml:space="preserve">22307 ROCKGATE DR </t>
  </si>
  <si>
    <t>BRANDON GEOVANNI WELCH</t>
  </si>
  <si>
    <t xml:space="preserve">3607 TILSON LN </t>
  </si>
  <si>
    <t>CHRISTOPHER HERNAN EHIJOS</t>
  </si>
  <si>
    <t>10880 BARKER CYPRESS RD</t>
  </si>
  <si>
    <t>JAIDA CHANTEL RICE</t>
  </si>
  <si>
    <t>11575 PEARLAND PKWY 1 204</t>
  </si>
  <si>
    <t>HOWARD DWAYNE RAMSEY</t>
  </si>
  <si>
    <t>15742 SWEETWATER CREE K DR</t>
  </si>
  <si>
    <t>ANTONIO GOMEZ</t>
  </si>
  <si>
    <t xml:space="preserve">1527 BUTTERMILL LN </t>
  </si>
  <si>
    <t>HOUSTON TN 77067</t>
  </si>
  <si>
    <t>MARIO MUNOZ VARGAS</t>
  </si>
  <si>
    <t>6200 MARINETTE DR 23 2</t>
  </si>
  <si>
    <t>SALMAN HASSAN KHWAJA</t>
  </si>
  <si>
    <t xml:space="preserve">2718 ELDRIDGE PKWY </t>
  </si>
  <si>
    <t>GONZALO MORUA SALINAS</t>
  </si>
  <si>
    <t>8402 C.E. KING PARKW AY</t>
  </si>
  <si>
    <t>ROXANA MARINSALAS</t>
  </si>
  <si>
    <t xml:space="preserve">4047 EUROPA ST </t>
  </si>
  <si>
    <t>JENNIFER NOVOSAD</t>
  </si>
  <si>
    <t xml:space="preserve">505 WELLS FARGO DR. </t>
  </si>
  <si>
    <t>DONTAI GAFFNEY</t>
  </si>
  <si>
    <t xml:space="preserve">13303 ITASCA PINE DR </t>
  </si>
  <si>
    <t>ATASCOCITA TX 77396</t>
  </si>
  <si>
    <t>CHARLES IRWIN DAVIS</t>
  </si>
  <si>
    <t>8810 DISTANT WOODS C OURT</t>
  </si>
  <si>
    <t>ANTONIO REYES</t>
  </si>
  <si>
    <t xml:space="preserve">7301 OAK HILL DR </t>
  </si>
  <si>
    <t>TOMMY ALBERT</t>
  </si>
  <si>
    <t>12127 HUNTINGTON PARK DR</t>
  </si>
  <si>
    <t>ISAAC ROBERSON</t>
  </si>
  <si>
    <t xml:space="preserve">4102 MAINER ST </t>
  </si>
  <si>
    <t>MARCUS JEROME WILSON</t>
  </si>
  <si>
    <t>5901 SELINSKY RD APT 25</t>
  </si>
  <si>
    <t>ALYZZA CHAVARRIA</t>
  </si>
  <si>
    <t xml:space="preserve">8125 DYNA DR </t>
  </si>
  <si>
    <t>LANCE BAILEY</t>
  </si>
  <si>
    <t xml:space="preserve">203 AURORA ST APT A </t>
  </si>
  <si>
    <t>MATTHEW W REID</t>
  </si>
  <si>
    <t xml:space="preserve">11220 WEST RD </t>
  </si>
  <si>
    <t>LOANY GABRIELLA RODRIGUEZ AVILA</t>
  </si>
  <si>
    <t>9707 S GESSNER RD 23 16</t>
  </si>
  <si>
    <t>DANTE ENRICO GIANNETTI</t>
  </si>
  <si>
    <t xml:space="preserve">9998 MAIN ST </t>
  </si>
  <si>
    <t>JADE CLARK</t>
  </si>
  <si>
    <t xml:space="preserve">331 PARRAMATTA LN </t>
  </si>
  <si>
    <t>FAIL TO ID TO P.O. FALSE INF/F, PROSTITUTION - NON PUBLIC OFFE</t>
  </si>
  <si>
    <t>COREY FRANK REED</t>
  </si>
  <si>
    <t xml:space="preserve">6200 W TIDWELL RD </t>
  </si>
  <si>
    <t>CHARLES WOMACK</t>
  </si>
  <si>
    <t xml:space="preserve">5518 RAND ST 40 </t>
  </si>
  <si>
    <t>MAHMOOD F ABDULJABBAR</t>
  </si>
  <si>
    <t xml:space="preserve">2250 ELDRIDGE PKWY </t>
  </si>
  <si>
    <t>JOHN SCOTT</t>
  </si>
  <si>
    <t xml:space="preserve">1027 KERNEK RD </t>
  </si>
  <si>
    <t>AUSTIN ALEXIE PARKER</t>
  </si>
  <si>
    <t xml:space="preserve">2643 DRAGONWICK DR </t>
  </si>
  <si>
    <t>MATTHEW WRIGHT</t>
  </si>
  <si>
    <t xml:space="preserve">17406 BAMWOOD DR </t>
  </si>
  <si>
    <t>ERRIC LEROY SEYMORE</t>
  </si>
  <si>
    <t xml:space="preserve">1100 LANGWICK DR </t>
  </si>
  <si>
    <t>JUSTIN PHILLIPS</t>
  </si>
  <si>
    <t xml:space="preserve">21903 ROCKGATE DR </t>
  </si>
  <si>
    <t>RUBEN CISNEROS</t>
  </si>
  <si>
    <t xml:space="preserve">7619 BROOKLEAF DR </t>
  </si>
  <si>
    <t>JOSUE RODRIGUEZ</t>
  </si>
  <si>
    <t>9801 MEADOWGLEN LN 1 1</t>
  </si>
  <si>
    <t>DIANA GONZALEZ</t>
  </si>
  <si>
    <t>18206 WINDING TIMBERS LANE</t>
  </si>
  <si>
    <t>ANITA MICHELLE HUSBANDS</t>
  </si>
  <si>
    <t xml:space="preserve">3032 WEBSTER ST </t>
  </si>
  <si>
    <t>WAQAS NAEEM</t>
  </si>
  <si>
    <t xml:space="preserve">9757 PINELAND RD </t>
  </si>
  <si>
    <t>ERICA BUSH</t>
  </si>
  <si>
    <t>618 PARK TRAIL VIST A</t>
  </si>
  <si>
    <t>EDWIN GREEN</t>
  </si>
  <si>
    <t xml:space="preserve">7505 LAURA KOPPE RD </t>
  </si>
  <si>
    <t>ANTHONY LAVAN</t>
  </si>
  <si>
    <t xml:space="preserve">555 BUTTERFIELD RD </t>
  </si>
  <si>
    <t>BRODERICK JERMAINE WARREN</t>
  </si>
  <si>
    <t>9717 CYPRESSWOOD DR APT 433</t>
  </si>
  <si>
    <t>KENDRICK CHIBUZO IJOMAH</t>
  </si>
  <si>
    <t xml:space="preserve">13009 WIREVINE LN </t>
  </si>
  <si>
    <t>ROBERTO SALGADO</t>
  </si>
  <si>
    <t xml:space="preserve">6023 SHERINGHAM ST </t>
  </si>
  <si>
    <t>EDER DE JIMENEZ SERVIN</t>
  </si>
  <si>
    <t xml:space="preserve">16006 UPSHIRE ST </t>
  </si>
  <si>
    <t>RAVEN KIARA COMPTON</t>
  </si>
  <si>
    <t xml:space="preserve">9331 HODGES BEND DR </t>
  </si>
  <si>
    <t>BRANDON ESPERICUETA</t>
  </si>
  <si>
    <t xml:space="preserve">1938 GARDEN RD </t>
  </si>
  <si>
    <t>STACEY JANE SOVIE</t>
  </si>
  <si>
    <t xml:space="preserve">9050 MILLS RD </t>
  </si>
  <si>
    <t>NANCY JASSO</t>
  </si>
  <si>
    <t>15815 FLAGSTONE WALK WAY</t>
  </si>
  <si>
    <t>LAURIE ALBA</t>
  </si>
  <si>
    <t xml:space="preserve">2842 SAGE CREEK CT </t>
  </si>
  <si>
    <t>EDMOND HARRIS</t>
  </si>
  <si>
    <t>5300 S LAKE HOUSTON PKWY</t>
  </si>
  <si>
    <t>CESAR TORREZ</t>
  </si>
  <si>
    <t xml:space="preserve">841 ROUSE ST </t>
  </si>
  <si>
    <t>ADRIAN JOSEPH JONES</t>
  </si>
  <si>
    <t xml:space="preserve">2935 CROSSVIEW DR </t>
  </si>
  <si>
    <t>ISAAC ROBERTO SANCHEZ</t>
  </si>
  <si>
    <t xml:space="preserve">2603 EAGLE NEST LN </t>
  </si>
  <si>
    <t>SNEHAL R. PATEL</t>
  </si>
  <si>
    <t xml:space="preserve">12702 LAUREL VALE WAY </t>
  </si>
  <si>
    <t>DEEPESH VINOD KUMAR</t>
  </si>
  <si>
    <t xml:space="preserve">431 RANKIN RD </t>
  </si>
  <si>
    <t>LEANNA LYN MAXWELL</t>
  </si>
  <si>
    <t>613 SOUTH KAUFMAN D R</t>
  </si>
  <si>
    <t>SAUDI ANTONIO ZAVALA</t>
  </si>
  <si>
    <t xml:space="preserve">12800 WOODFOREST BLVD </t>
  </si>
  <si>
    <t>CHANNELVIE TX 77777</t>
  </si>
  <si>
    <t>BAYRON XITAMUL</t>
  </si>
  <si>
    <t>9000 TOWN PARK DR 12 09</t>
  </si>
  <si>
    <t>HANNAH CAMPBELL</t>
  </si>
  <si>
    <t xml:space="preserve">10706 CRANBROOK RD </t>
  </si>
  <si>
    <t>TRESTIN WAYNE MINEFEE</t>
  </si>
  <si>
    <t xml:space="preserve">1601 COUNTY ROAD </t>
  </si>
  <si>
    <t>CLEBURNE TX 76031</t>
  </si>
  <si>
    <t>JOSE RIVERA-GONZALEZ</t>
  </si>
  <si>
    <t>DEVONTE JEROME LOVETT</t>
  </si>
  <si>
    <t xml:space="preserve">5510 SOUTH RICE AVE </t>
  </si>
  <si>
    <t>CADE MICHAEL TUCKER</t>
  </si>
  <si>
    <t>17031 LIGHTHOUSE VIEW DR</t>
  </si>
  <si>
    <t>CORY TAJ SESSION</t>
  </si>
  <si>
    <t xml:space="preserve">11907 BINGHAMPTON DR </t>
  </si>
  <si>
    <t>ALEXIS CHEVON THOMPSON</t>
  </si>
  <si>
    <t xml:space="preserve">8803 SUMMER CREEK DR </t>
  </si>
  <si>
    <t>HOUSTON TX 77379</t>
  </si>
  <si>
    <t>ALONSO ALMONTES SANTANDER</t>
  </si>
  <si>
    <t xml:space="preserve">2107 POMONA DR </t>
  </si>
  <si>
    <t>KADE AUSTEN MITCHELL</t>
  </si>
  <si>
    <t xml:space="preserve">2938 N ISLAND DR </t>
  </si>
  <si>
    <t>BIANA SANCHEZ</t>
  </si>
  <si>
    <t>3500 RED BLUFF RD 14 3</t>
  </si>
  <si>
    <t>AUSTIN BLAKE GRIDLEY</t>
  </si>
  <si>
    <t xml:space="preserve">615 FINFROCK RD </t>
  </si>
  <si>
    <t>RENE MENDEZ</t>
  </si>
  <si>
    <t xml:space="preserve">1605 GATECREEK DR </t>
  </si>
  <si>
    <t>SILVIA JUGUAR ROSS</t>
  </si>
  <si>
    <t>5335 WEST GULF BANK RD</t>
  </si>
  <si>
    <t>EMMANUEL LOPEZ TRINIDAD</t>
  </si>
  <si>
    <t xml:space="preserve">25356 DEER TRAIL DR </t>
  </si>
  <si>
    <t>MEGHAN DANIELLE RICHARDSON</t>
  </si>
  <si>
    <t xml:space="preserve">23306 WINTERGATE DR </t>
  </si>
  <si>
    <t>EDER CARLOS SOLIS</t>
  </si>
  <si>
    <t xml:space="preserve">305 JOHNSON </t>
  </si>
  <si>
    <t>DANIEL YANEZ</t>
  </si>
  <si>
    <t xml:space="preserve">12062 WHITE CAP LN </t>
  </si>
  <si>
    <t>CARRYING HANDGUN IN MOTOR VEHI, DWI 2ND</t>
  </si>
  <si>
    <t>AMELIA LOPEZ</t>
  </si>
  <si>
    <t xml:space="preserve">3126 ROSEMARY </t>
  </si>
  <si>
    <t>PATRICK JORDAN</t>
  </si>
  <si>
    <t xml:space="preserve">2727 SYNOTT 2608 </t>
  </si>
  <si>
    <t>JAYLIN ELIZABETH BLANCO</t>
  </si>
  <si>
    <t xml:space="preserve">12518 MAGNOLIA CANYON </t>
  </si>
  <si>
    <t>KENTON CHRISTOPHER SALGE</t>
  </si>
  <si>
    <t xml:space="preserve">9519 GODSTONE LN </t>
  </si>
  <si>
    <t>SCOTT CHRISTOPHER ERZINGER</t>
  </si>
  <si>
    <t xml:space="preserve">1235 W 21ST ST </t>
  </si>
  <si>
    <t>NELSON VARGAS</t>
  </si>
  <si>
    <t xml:space="preserve">9722 ELLA BLVD </t>
  </si>
  <si>
    <t>EDUARDO A TURRUBIARTES</t>
  </si>
  <si>
    <t xml:space="preserve">11911 NEWBROOK DR </t>
  </si>
  <si>
    <t>MOISES ROJAS PERALES</t>
  </si>
  <si>
    <t>520 WEST GULF BANK RD</t>
  </si>
  <si>
    <t>DEBRA JEAN WILSON</t>
  </si>
  <si>
    <t>13210 OLD RICHMOND RD 90</t>
  </si>
  <si>
    <t>MARSHALL KERRYON MCGOWEN</t>
  </si>
  <si>
    <t>2201 WEST OREM DR AP T 322</t>
  </si>
  <si>
    <t>KENNETH WAYNE SANTELL</t>
  </si>
  <si>
    <t xml:space="preserve">6722 TREBECK </t>
  </si>
  <si>
    <t>BRITTNEY DESIRAY ALBERT</t>
  </si>
  <si>
    <t xml:space="preserve">13217 ADLER DR </t>
  </si>
  <si>
    <t>EVER ADANI ARIAS</t>
  </si>
  <si>
    <t xml:space="preserve">11626 SEA SHOE DRIVE </t>
  </si>
  <si>
    <t>PHILLIP HEWITT</t>
  </si>
  <si>
    <t xml:space="preserve">12430 OXFORD PARK DR </t>
  </si>
  <si>
    <t>MARIAH LYNN JOHNSON</t>
  </si>
  <si>
    <t>6603 REDDLESTON COUR T</t>
  </si>
  <si>
    <t>SPRING TX 0</t>
  </si>
  <si>
    <t>LESLIE JONES</t>
  </si>
  <si>
    <t xml:space="preserve">10210 MOROCCO RD </t>
  </si>
  <si>
    <t>RAUL CARRASQUILLO</t>
  </si>
  <si>
    <t>20230 AVERY POINT DRI VE</t>
  </si>
  <si>
    <t>PETER TRAN RENO</t>
  </si>
  <si>
    <t>13035 ROSE LANDING DR IVE</t>
  </si>
  <si>
    <t>ARISTOTLE DEGAULLE ELLIS</t>
  </si>
  <si>
    <t xml:space="preserve">11606 ASHWORTH ST </t>
  </si>
  <si>
    <t>ANTONIO B HUBBARD</t>
  </si>
  <si>
    <t>ISABEL MARTINEZ</t>
  </si>
  <si>
    <t xml:space="preserve">7711 KELLWOOD DR </t>
  </si>
  <si>
    <t>CHRISTIE LYNN SCHOBEL</t>
  </si>
  <si>
    <t xml:space="preserve">5514 GRIGGS RD </t>
  </si>
  <si>
    <t>IRVIN DIAZ</t>
  </si>
  <si>
    <t xml:space="preserve">802 OVERBLUFF ST </t>
  </si>
  <si>
    <t>JAVIER ANTONIO SOTO</t>
  </si>
  <si>
    <t>14545 BAMMEL N HOU RD APT 2119</t>
  </si>
  <si>
    <t>ALEJANDRA MARIE MIRELES VARGAS</t>
  </si>
  <si>
    <t xml:space="preserve">3619 ERBY ST </t>
  </si>
  <si>
    <t>UNAUTH USE OF VEHICLE, EVADING ARREST/DETENTION</t>
  </si>
  <si>
    <t>TREY ORAN GOSEY</t>
  </si>
  <si>
    <t>GOVANNIE GALLEGOS</t>
  </si>
  <si>
    <t xml:space="preserve">4310 SCONE </t>
  </si>
  <si>
    <t>JALEON RAMONE WHITE</t>
  </si>
  <si>
    <t>9700 FM 1097 RD W AP T 614</t>
  </si>
  <si>
    <t>WILLIS TX 77318</t>
  </si>
  <si>
    <t>JMAJESTY MCCOY</t>
  </si>
  <si>
    <t>5601 ROYAL PALMS ST 242</t>
  </si>
  <si>
    <t>MARNELL WHITE</t>
  </si>
  <si>
    <t xml:space="preserve">2710 HARDY </t>
  </si>
  <si>
    <t>DEANDRE MARQUITE GLOVER</t>
  </si>
  <si>
    <t xml:space="preserve">1305 SHEPHERD ST </t>
  </si>
  <si>
    <t>MARK ANTHONY DIAZ</t>
  </si>
  <si>
    <t xml:space="preserve">3215 CHESTERSHIRE DR </t>
  </si>
  <si>
    <t>EVADING ARREST/DETENTION W/VEH, DWI THIRD</t>
  </si>
  <si>
    <t>JARED LANDON JENSON</t>
  </si>
  <si>
    <t>4011 GALVESTON RD AP T 142</t>
  </si>
  <si>
    <t>ASLT FAM/HOUSE MEM IMPED BRTH/, CONTINUOUS VIOL AGAINST THE FA</t>
  </si>
  <si>
    <t>TOMAS IZQUIERDO</t>
  </si>
  <si>
    <t xml:space="preserve">2601 LAZY HOLLOW DR </t>
  </si>
  <si>
    <t>QUINCY RELFORD III</t>
  </si>
  <si>
    <t xml:space="preserve">11555 BISSONNET ST </t>
  </si>
  <si>
    <t>DAMIEN RACHAAD CHEVIS</t>
  </si>
  <si>
    <t xml:space="preserve">838 GREENS RD </t>
  </si>
  <si>
    <t>BRANDON BRANDON GUEVARA HERRERA</t>
  </si>
  <si>
    <t xml:space="preserve">3219 FLORIDA ST </t>
  </si>
  <si>
    <t>SHAQUILLE JEROME HOLMES</t>
  </si>
  <si>
    <t xml:space="preserve">6321 WESTWARD </t>
  </si>
  <si>
    <t>ANITRA DOZIER</t>
  </si>
  <si>
    <t xml:space="preserve">4102 MANGUM ROAD </t>
  </si>
  <si>
    <t>KENDRICK LACRAIG HARDY</t>
  </si>
  <si>
    <t>3000 WOODLAND PARK D R APT 920</t>
  </si>
  <si>
    <t>ALEJANDRO GOMEZ HENRIQUEZ</t>
  </si>
  <si>
    <t xml:space="preserve">11150 11150 BEAMER RD </t>
  </si>
  <si>
    <t>POSS MARIJ  5 - 50 LBS.</t>
  </si>
  <si>
    <t>DIAMOND GIBSON</t>
  </si>
  <si>
    <t>CARLOS ESPARZA</t>
  </si>
  <si>
    <t xml:space="preserve">5007 FITZWATER DR </t>
  </si>
  <si>
    <t>KEISHA FAYETTIA MCDONALD</t>
  </si>
  <si>
    <t xml:space="preserve">2305 HAYES ROAD 8602 </t>
  </si>
  <si>
    <t>ISRAEL ALBERTO CASTRO</t>
  </si>
  <si>
    <t xml:space="preserve">21230 DIMAMBRO LANE </t>
  </si>
  <si>
    <t>STEPHEN JAMES COOPER</t>
  </si>
  <si>
    <t>150 W SAM HOUSTON P KWY S</t>
  </si>
  <si>
    <t xml:space="preserve">6107 ANTHA </t>
  </si>
  <si>
    <t>ELKIN DOLORES MADRID PINEDA</t>
  </si>
  <si>
    <t xml:space="preserve">6300 RAMPART ST 9 </t>
  </si>
  <si>
    <t>TREVON MALIK CADE</t>
  </si>
  <si>
    <t>134 LUTHER ST APT 2 29</t>
  </si>
  <si>
    <t>COLLEGE ST TX 77340</t>
  </si>
  <si>
    <t>DANA JOHN CHRISTIAN</t>
  </si>
  <si>
    <t xml:space="preserve">9811 ROSE MIST LN. </t>
  </si>
  <si>
    <t>FLSE STMNT OBTAIN CREDIT $150K</t>
  </si>
  <si>
    <t>DAMON PAUL HENRY</t>
  </si>
  <si>
    <t xml:space="preserve">9605 C CATLETT LANE </t>
  </si>
  <si>
    <t>JULIO CESAR DIAZ DELEON</t>
  </si>
  <si>
    <t xml:space="preserve">3001 HILLCROFT AVE </t>
  </si>
  <si>
    <t>AARIF CHAUDHARY</t>
  </si>
  <si>
    <t xml:space="preserve">13801 NAPOLI DR </t>
  </si>
  <si>
    <t>ISAI JASSO VAZQUEZ</t>
  </si>
  <si>
    <t xml:space="preserve">5211 MOHAWK ST </t>
  </si>
  <si>
    <t>BENJAMIN DANIEL CLARK</t>
  </si>
  <si>
    <t xml:space="preserve">22414 DIANE DR </t>
  </si>
  <si>
    <t>CARLOS ALBERTO ORSINI</t>
  </si>
  <si>
    <t>12023 BISSONNET ST 69 3</t>
  </si>
  <si>
    <t>IZHUN BURNETT</t>
  </si>
  <si>
    <t xml:space="preserve">10451 HUFFMEISTER RD </t>
  </si>
  <si>
    <t>SIWEI PANG</t>
  </si>
  <si>
    <t xml:space="preserve">13119 LEADER TRAIL </t>
  </si>
  <si>
    <t>KAYE-LYNN JENAI WILSON</t>
  </si>
  <si>
    <t xml:space="preserve">904 FM 686 </t>
  </si>
  <si>
    <t>DORELLE DRUMOND BRITTON</t>
  </si>
  <si>
    <t xml:space="preserve">12046 SHARPVIEW DR </t>
  </si>
  <si>
    <t>EVADING ARREST/DETENTION W/VEH, CARRYING HANDGUN IN MOTOR VEHI</t>
  </si>
  <si>
    <t>STEPHEN GREGG BOUCHE</t>
  </si>
  <si>
    <t xml:space="preserve">14119 LOST MEADOW </t>
  </si>
  <si>
    <t>DWI THIRD, CARRYING HANDGUN IN MOTOR VEHI</t>
  </si>
  <si>
    <t>MARY NGUYEN</t>
  </si>
  <si>
    <t xml:space="preserve">9311 ROYAL WAY </t>
  </si>
  <si>
    <t>FORT BEND TX 77478</t>
  </si>
  <si>
    <t>QUANG ANH NGUYEN LE</t>
  </si>
  <si>
    <t>14263 POINTA VERA DRI VE</t>
  </si>
  <si>
    <t>CASEY BROWN</t>
  </si>
  <si>
    <t>CLIFFORD ALEXIS BOYCE</t>
  </si>
  <si>
    <t xml:space="preserve">2719 BROADWAY ST </t>
  </si>
  <si>
    <t>EDWIN RANDALL BRANDON</t>
  </si>
  <si>
    <t>2023 COUNTRY VILLAGE BLVD</t>
  </si>
  <si>
    <t>CRYSTAL YVONNE JORDAN</t>
  </si>
  <si>
    <t>KENNETH DARRELL JOHNSON</t>
  </si>
  <si>
    <t xml:space="preserve">7980 TATE ST </t>
  </si>
  <si>
    <t>ROY LEE CARHEE</t>
  </si>
  <si>
    <t xml:space="preserve">4110 LAVENDER </t>
  </si>
  <si>
    <t>JONATAN XAVIER CRUZ</t>
  </si>
  <si>
    <t>9988 WINDMILL LAKES BLVD</t>
  </si>
  <si>
    <t>MARKIETH SMITH</t>
  </si>
  <si>
    <t xml:space="preserve">2501 WESTRIDGE ST </t>
  </si>
  <si>
    <t>CARL LESTER ADAMS II</t>
  </si>
  <si>
    <t xml:space="preserve">16122 GOLEN SAGE LANE </t>
  </si>
  <si>
    <t>DALE ALLEN KELLY</t>
  </si>
  <si>
    <t xml:space="preserve">3000 SAGE RD </t>
  </si>
  <si>
    <t>ABEL GONZALEZ</t>
  </si>
  <si>
    <t xml:space="preserve">7207 RIDGE OAK DR </t>
  </si>
  <si>
    <t>STEPHEN INGRAM</t>
  </si>
  <si>
    <t xml:space="preserve">30314 MESA VALLEY DR </t>
  </si>
  <si>
    <t>SPRING TX 33786</t>
  </si>
  <si>
    <t>ADRIANA ROCHELLE BOWERS</t>
  </si>
  <si>
    <t xml:space="preserve">1802 HILTON HEAD </t>
  </si>
  <si>
    <t>J ISABEL GARCIA</t>
  </si>
  <si>
    <t xml:space="preserve">1323 WITTE RD </t>
  </si>
  <si>
    <t>KENNETH BLANK</t>
  </si>
  <si>
    <t>MICHAEL RAY TRAHAN</t>
  </si>
  <si>
    <t xml:space="preserve">1438 L LOCHSTONE DRIVE </t>
  </si>
  <si>
    <t>EDUARDO AGUILERA</t>
  </si>
  <si>
    <t xml:space="preserve">625 N 11TH ST </t>
  </si>
  <si>
    <t>PASCUAL CORNELIO GUARCHAJ CUC</t>
  </si>
  <si>
    <t xml:space="preserve">6370 WINDSWEPT LN 5 </t>
  </si>
  <si>
    <t>QASSEM WAEL AL ROUSAN</t>
  </si>
  <si>
    <t>ALEXANDER CHAVARRIA</t>
  </si>
  <si>
    <t>7298 KINGS GATE CIR APT 135</t>
  </si>
  <si>
    <t>JENNIFFER MONTERROSO</t>
  </si>
  <si>
    <t>2526 BUSINESS CENTER DR</t>
  </si>
  <si>
    <t>PAUL BRANTLEY</t>
  </si>
  <si>
    <t xml:space="preserve">5202 WILLOMINE WAY </t>
  </si>
  <si>
    <t>CLIFTON CONLEY</t>
  </si>
  <si>
    <t>MAEGANN MARIA HORNICK</t>
  </si>
  <si>
    <t xml:space="preserve">20326 ACAPULCO COVE </t>
  </si>
  <si>
    <t>CHRISTIAN DANIEL MARINO</t>
  </si>
  <si>
    <t xml:space="preserve">25739 HAVEN LAKE DR </t>
  </si>
  <si>
    <t>MEGAN MARIE FITZGERRELL</t>
  </si>
  <si>
    <t>16719 WEST GREATER BL UE CIR</t>
  </si>
  <si>
    <t>LESLY JOANA GARCIA MARTINEZ</t>
  </si>
  <si>
    <t xml:space="preserve">14539 ESSENDINE LN </t>
  </si>
  <si>
    <t>CESAR DANIEL VENEGAS-MACHEN</t>
  </si>
  <si>
    <t>10200 W BELLFORT AVE 602</t>
  </si>
  <si>
    <t>AMANDA CONRAD</t>
  </si>
  <si>
    <t>8877 FRANKWAY DR APT 5553</t>
  </si>
  <si>
    <t>EDWIN JIMENEZ</t>
  </si>
  <si>
    <t xml:space="preserve">2921 DEDMAN ST </t>
  </si>
  <si>
    <t>VICTOR JR. SMITH</t>
  </si>
  <si>
    <t>2310 CRESCENT PARK D R</t>
  </si>
  <si>
    <t>TRAYVON LINDSEY</t>
  </si>
  <si>
    <t xml:space="preserve">5335 W GULF BANK RD </t>
  </si>
  <si>
    <t>LAVONDON ZILIJIAN BRISKER</t>
  </si>
  <si>
    <t xml:space="preserve">834 ROYAL GEORGE LN </t>
  </si>
  <si>
    <t>JOSE BERNARDINO TZUL</t>
  </si>
  <si>
    <t xml:space="preserve">6125 WINSOME LN </t>
  </si>
  <si>
    <t>JOSE RAMON GARCIA</t>
  </si>
  <si>
    <t>19018 TAVERNS CORNER CT</t>
  </si>
  <si>
    <t>CARL EDWARD RUBIT</t>
  </si>
  <si>
    <t xml:space="preserve">5610 HAIGHT </t>
  </si>
  <si>
    <t>ASTON K. WILSON</t>
  </si>
  <si>
    <t>4601 SHERWOOD LN APT 136</t>
  </si>
  <si>
    <t>ANDRES ORTEGA</t>
  </si>
  <si>
    <t xml:space="preserve">93 YAUPON </t>
  </si>
  <si>
    <t>JASON WILLIAM HUFF</t>
  </si>
  <si>
    <t xml:space="preserve">5711 DUSTY HEATH CT </t>
  </si>
  <si>
    <t>SHANE KITZMILL</t>
  </si>
  <si>
    <t>326 WILLIAM MONTGOM ERY RD</t>
  </si>
  <si>
    <t>LIVINGSTON TX 77351</t>
  </si>
  <si>
    <t>GERARDO SILVA</t>
  </si>
  <si>
    <t xml:space="preserve">8402 MEADOWSHIRE ST </t>
  </si>
  <si>
    <t>SARA JEANNE CROWDER</t>
  </si>
  <si>
    <t xml:space="preserve">1213 TRIMM AVE </t>
  </si>
  <si>
    <t>DAVID VEGA</t>
  </si>
  <si>
    <t>ELROY KIERRE HARRELL</t>
  </si>
  <si>
    <t xml:space="preserve">13907 GREEN TEAL LANE </t>
  </si>
  <si>
    <t>ILESHIA SHAREA NORTH</t>
  </si>
  <si>
    <t xml:space="preserve">13511 LA CONCHA LN </t>
  </si>
  <si>
    <t>ALBERT GEORGE WETZEL</t>
  </si>
  <si>
    <t xml:space="preserve">8919 TWEEDBROOK </t>
  </si>
  <si>
    <t>DEBORAH GREEN DILLARD</t>
  </si>
  <si>
    <t xml:space="preserve">5300 W GULF BANK RD </t>
  </si>
  <si>
    <t>GIPSON GONZALEZ-PENALVA</t>
  </si>
  <si>
    <t xml:space="preserve">4102 DUVAL ST </t>
  </si>
  <si>
    <t>HUMBERTO RAMIREZ</t>
  </si>
  <si>
    <t>21711 W CHAMPAGNE CIR CLE</t>
  </si>
  <si>
    <t>JOSE GUADALUPE CAMPOS</t>
  </si>
  <si>
    <t xml:space="preserve">12410 SILVERFIELD LN </t>
  </si>
  <si>
    <t>ROBERT J WILLIAMS</t>
  </si>
  <si>
    <t xml:space="preserve">3800 COUNTY RD 94 </t>
  </si>
  <si>
    <t>COLLIN COLE KNUTSON</t>
  </si>
  <si>
    <t xml:space="preserve">4106 E NASA PKWY </t>
  </si>
  <si>
    <t>ADRIANNE LEIGH GARCIA</t>
  </si>
  <si>
    <t xml:space="preserve">10810 MALDEN DR </t>
  </si>
  <si>
    <t>ANNA ELISABETH HOPE ALZAMORA</t>
  </si>
  <si>
    <t xml:space="preserve">823 ULRICH RD </t>
  </si>
  <si>
    <t>TOMBALL TX 7775</t>
  </si>
  <si>
    <t>VICTOR MANUEL LARA</t>
  </si>
  <si>
    <t xml:space="preserve">21510 BINFORD CIR. </t>
  </si>
  <si>
    <t>ANGEL CANTARERO ESQUIVEL</t>
  </si>
  <si>
    <t>2706 LOWER VALLEY DR IVE</t>
  </si>
  <si>
    <t>JENNIFER CASTILLO</t>
  </si>
  <si>
    <t xml:space="preserve">634 GLOBE ST </t>
  </si>
  <si>
    <t>JAMES JOSEPH MULLER</t>
  </si>
  <si>
    <t xml:space="preserve">6817 SUNDERLAND TRL </t>
  </si>
  <si>
    <t>AUSTIN TX 78747</t>
  </si>
  <si>
    <t>ODALYS BRIONES</t>
  </si>
  <si>
    <t xml:space="preserve">5107 MICHAEL DR </t>
  </si>
  <si>
    <t>ASSAULT-FAMILY MEMBER, TERRORISTIC THREAT FEAR IMMINE</t>
  </si>
  <si>
    <t>ABEL CHAVARRIA</t>
  </si>
  <si>
    <t xml:space="preserve">812018 CHELSEA ELM CLT </t>
  </si>
  <si>
    <t>CHRISTOPHER HOYOS</t>
  </si>
  <si>
    <t xml:space="preserve">6802 NEFF ST </t>
  </si>
  <si>
    <t>ANTHONY RAMOS</t>
  </si>
  <si>
    <t>20003 SWEET MAGNOLIA PLACE</t>
  </si>
  <si>
    <t>DONYELL DWAYNE HAMILTON</t>
  </si>
  <si>
    <t xml:space="preserve">602 E 42ND </t>
  </si>
  <si>
    <t>CHRISTERPHER ALLEN GOLDMAN</t>
  </si>
  <si>
    <t xml:space="preserve">16113 JERSEY DR </t>
  </si>
  <si>
    <t>JULIO CESAR SANTOYO</t>
  </si>
  <si>
    <t xml:space="preserve">5615 DELFREN LANE </t>
  </si>
  <si>
    <t>GORDEN DEAN FISCHELS</t>
  </si>
  <si>
    <t xml:space="preserve">1511 PARK BURCH </t>
  </si>
  <si>
    <t>MARTIN BASA</t>
  </si>
  <si>
    <t xml:space="preserve">19118 YAUPON MIST DR </t>
  </si>
  <si>
    <t>HOUSTON TX 77433</t>
  </si>
  <si>
    <t>REBECCA DAWN PARSONS</t>
  </si>
  <si>
    <t>23726 PIEDMONT FOREST DR</t>
  </si>
  <si>
    <t>MANUEL BANDA</t>
  </si>
  <si>
    <t xml:space="preserve">1545 MUNGER ST </t>
  </si>
  <si>
    <t>JUAN MALDONADO AGUIRRE</t>
  </si>
  <si>
    <t xml:space="preserve">10822 LAZY MEADOW DR </t>
  </si>
  <si>
    <t>ASSAULT-FAMILY MEMBER, FAIL TO ID TO P.O. FALSE INF</t>
  </si>
  <si>
    <t>MIROSLAVA ALDAPE-TOVAR</t>
  </si>
  <si>
    <t xml:space="preserve">1015 LAKIN AVE </t>
  </si>
  <si>
    <t>JUSTIN MICHAEL VANCE</t>
  </si>
  <si>
    <t xml:space="preserve">105 N MAPLE STREET </t>
  </si>
  <si>
    <t>HAWORTH OK 74740</t>
  </si>
  <si>
    <t>MICHAEL SCOTT WIDMAN</t>
  </si>
  <si>
    <t xml:space="preserve">910 REDWOOD ST APT </t>
  </si>
  <si>
    <t>NJOROGE KURIA</t>
  </si>
  <si>
    <t xml:space="preserve">2102 IVIE LEE </t>
  </si>
  <si>
    <t>OLIVIA BURNETT</t>
  </si>
  <si>
    <t>JAMAL CHRISTOPHER RAMOS</t>
  </si>
  <si>
    <t xml:space="preserve">7827 MARTIN WOOD LN </t>
  </si>
  <si>
    <t>ALBERTO SOTO</t>
  </si>
  <si>
    <t xml:space="preserve">11615 RIDGE RUN </t>
  </si>
  <si>
    <t>JAMES D BELL</t>
  </si>
  <si>
    <t>801 COUNTRY PLACE D R 73</t>
  </si>
  <si>
    <t>JONAS IKE JACKSON</t>
  </si>
  <si>
    <t xml:space="preserve">11910 DURAN CANYON LN </t>
  </si>
  <si>
    <t>JOSE VALLE</t>
  </si>
  <si>
    <t>2110 ALEGRE VALLEY C T</t>
  </si>
  <si>
    <t>BRANDON WAYNE RICHARDSON</t>
  </si>
  <si>
    <t xml:space="preserve">2301 LAZY HOLLOW DR </t>
  </si>
  <si>
    <t xml:space="preserve">2600 WESTHOLLOW DR </t>
  </si>
  <si>
    <t>CARLOS E CISNEROS</t>
  </si>
  <si>
    <t xml:space="preserve">14723 CONOVER CT </t>
  </si>
  <si>
    <t>WILBERT MCINTOSH</t>
  </si>
  <si>
    <t xml:space="preserve">1505 WARD RD </t>
  </si>
  <si>
    <t>KEVIN HERNANDEZ</t>
  </si>
  <si>
    <t xml:space="preserve">417 THORNTON RD 15 </t>
  </si>
  <si>
    <t>ADRIAN JESSIE ALMENDAREZ</t>
  </si>
  <si>
    <t>171 COUNTY ROAD 870 B</t>
  </si>
  <si>
    <t>FREDDY PIERCE</t>
  </si>
  <si>
    <t xml:space="preserve">12150 TROULON DR </t>
  </si>
  <si>
    <t>KRISHMA KAMAL KHAN</t>
  </si>
  <si>
    <t xml:space="preserve">315 REYES RD </t>
  </si>
  <si>
    <t>ANA KAREN DEAQUINO</t>
  </si>
  <si>
    <t>15114 CORONA DEL MAR DR</t>
  </si>
  <si>
    <t>HARRIS CO TX 77083</t>
  </si>
  <si>
    <t>JUCORIK CLARK</t>
  </si>
  <si>
    <t xml:space="preserve">8118 WAY ST </t>
  </si>
  <si>
    <t>VALERIA MENDOZA</t>
  </si>
  <si>
    <t xml:space="preserve">8306 TARBELL RD </t>
  </si>
  <si>
    <t>MICHAEL SHORTS</t>
  </si>
  <si>
    <t>HUMBERTO DIAZ</t>
  </si>
  <si>
    <t xml:space="preserve">1111 BLALOCK RD </t>
  </si>
  <si>
    <t>DOMINIQUE DAVIS</t>
  </si>
  <si>
    <t xml:space="preserve">3521 SUNBEAM ST </t>
  </si>
  <si>
    <t>COURTNEY ANTOINETTE BOUTTE</t>
  </si>
  <si>
    <t xml:space="preserve">2218 GREENHOUSE RD </t>
  </si>
  <si>
    <t>BRYSON HOLMAN</t>
  </si>
  <si>
    <t>KRISTA DENISE PIFER</t>
  </si>
  <si>
    <t>OMAR PERALES</t>
  </si>
  <si>
    <t xml:space="preserve">2007 CRESLINE ST </t>
  </si>
  <si>
    <t>JOHN VINAY VONGSACKDA</t>
  </si>
  <si>
    <t xml:space="preserve">1615 HOMEBROOK DR </t>
  </si>
  <si>
    <t>LEONARD KEITH CAMPBELL</t>
  </si>
  <si>
    <t xml:space="preserve">1419 TARBERRY RD </t>
  </si>
  <si>
    <t>CARLOS ALBERTO CANALES</t>
  </si>
  <si>
    <t xml:space="preserve">10000 HAMMERLY BLVD </t>
  </si>
  <si>
    <t>JIMMY OROZCO</t>
  </si>
  <si>
    <t xml:space="preserve">202 W PITTS AVE </t>
  </si>
  <si>
    <t>SHAMEKA CORMIER</t>
  </si>
  <si>
    <t xml:space="preserve">15915 ANGLER BEND DR </t>
  </si>
  <si>
    <t>COLYNZEE RODRIGUEZ</t>
  </si>
  <si>
    <t xml:space="preserve">16202 BELLESHIRE LANE </t>
  </si>
  <si>
    <t>TODD NORRIS</t>
  </si>
  <si>
    <t xml:space="preserve">11935 EASTEX FREEWAY </t>
  </si>
  <si>
    <t>HOUSTON TX 77000</t>
  </si>
  <si>
    <t>ARTURO ARROYO</t>
  </si>
  <si>
    <t xml:space="preserve">3244 HILLSDALE </t>
  </si>
  <si>
    <t>WILLIE WILLIAMS</t>
  </si>
  <si>
    <t>1543 NICHOLE WOODS D R</t>
  </si>
  <si>
    <t>TIFFANY STANLEY</t>
  </si>
  <si>
    <t xml:space="preserve">415 WELFORD LN </t>
  </si>
  <si>
    <t>HOUSTON TX 77562</t>
  </si>
  <si>
    <t>FERNANDO COVARRUBIAS</t>
  </si>
  <si>
    <t xml:space="preserve">11000 GATESDEN DR </t>
  </si>
  <si>
    <t xml:space="preserve">TOMBALL TX      </t>
  </si>
  <si>
    <t>MARTIN CAMACHO</t>
  </si>
  <si>
    <t>12215 NORTHWOOD FORES T</t>
  </si>
  <si>
    <t>HARRIS CO TX 77039</t>
  </si>
  <si>
    <t>PATRICIO MENDEZ</t>
  </si>
  <si>
    <t xml:space="preserve">5902 LARCHBROOK DR </t>
  </si>
  <si>
    <t>ADRIAN MARTINEZ PARRA</t>
  </si>
  <si>
    <t xml:space="preserve">15814 PINE BARK LN </t>
  </si>
  <si>
    <t>CHRISTIAN D. JOHNSON</t>
  </si>
  <si>
    <t xml:space="preserve">2800 S DAIRY ASHFORD </t>
  </si>
  <si>
    <t>KARNELL JAMES LE BLANC</t>
  </si>
  <si>
    <t>CATRINA LYNETTE TORRES</t>
  </si>
  <si>
    <t xml:space="preserve">9850 MEADOWGLEN LN </t>
  </si>
  <si>
    <t>SEAN GARCIA</t>
  </si>
  <si>
    <t xml:space="preserve">1099 LASSO CT </t>
  </si>
  <si>
    <t>CELESTE ARIBALES</t>
  </si>
  <si>
    <t xml:space="preserve">12819 EASTBROOK DR </t>
  </si>
  <si>
    <t>KHYRI LEVELLE CARR</t>
  </si>
  <si>
    <t xml:space="preserve">620 5TH ST </t>
  </si>
  <si>
    <t>BLUE SPRIN MO 64014</t>
  </si>
  <si>
    <t>JALON JAVON BATISTE</t>
  </si>
  <si>
    <t xml:space="preserve">12254 WILD PINE </t>
  </si>
  <si>
    <t>REBECCA MAE KELLEY</t>
  </si>
  <si>
    <t xml:space="preserve">219 W MAGNOLIA ST </t>
  </si>
  <si>
    <t>JESSE NICHOLAS CARBAJAL</t>
  </si>
  <si>
    <t>530 SOFT SHADOWS LA NE</t>
  </si>
  <si>
    <t>LARRY CHARLES HORTON</t>
  </si>
  <si>
    <t xml:space="preserve">3903 SUTTONFORD DR </t>
  </si>
  <si>
    <t>REGULO HUERTA CASTILLO</t>
  </si>
  <si>
    <t xml:space="preserve">7502 CORPORATE DR </t>
  </si>
  <si>
    <t>AYZA CHAMARA BOCARD</t>
  </si>
  <si>
    <t xml:space="preserve">3230 ARBOR ST </t>
  </si>
  <si>
    <t>FRANCISCO MARTIN BANDA</t>
  </si>
  <si>
    <t xml:space="preserve">12406 DUMAS ST </t>
  </si>
  <si>
    <t>CIN DAL</t>
  </si>
  <si>
    <t xml:space="preserve">7404 S GESSNER RD </t>
  </si>
  <si>
    <t>RAYMOND FRANCISCO MARTINEZ</t>
  </si>
  <si>
    <t xml:space="preserve">419 MARIE ST </t>
  </si>
  <si>
    <t>DEBRAE DREWSUEN PARKER</t>
  </si>
  <si>
    <t xml:space="preserve">9187 S LOOP 497 W </t>
  </si>
  <si>
    <t>OTHER TX 77452</t>
  </si>
  <si>
    <t>DYLAN PATRICK GUZMAN BALAN</t>
  </si>
  <si>
    <t xml:space="preserve">1311 APACHE ST </t>
  </si>
  <si>
    <t>JESSE RENE GALVAN</t>
  </si>
  <si>
    <t xml:space="preserve">23010 FRANZ RD </t>
  </si>
  <si>
    <t>SAMUEL GARCIA</t>
  </si>
  <si>
    <t xml:space="preserve">7932 PILLOT </t>
  </si>
  <si>
    <t>WILLIAM TRAVIS BROOKS</t>
  </si>
  <si>
    <t>1411 INDIANA ST APT 3</t>
  </si>
  <si>
    <t>LONG NGUYEN</t>
  </si>
  <si>
    <t xml:space="preserve">11711 MAIN OAK ST </t>
  </si>
  <si>
    <t>SERGIO VALENTE VASQUEZ</t>
  </si>
  <si>
    <t xml:space="preserve">2910 GREGG ST </t>
  </si>
  <si>
    <t>JORGE STEVEN HERNANDEZ</t>
  </si>
  <si>
    <t xml:space="preserve">8907 RAILTON </t>
  </si>
  <si>
    <t>FSGI ACC ATTEND DAMAGE VEH&gt;=$2, CARRYING HANDGUN IN MOTOR VEHI</t>
  </si>
  <si>
    <t>SAGAR SHASHIKANT PATEL</t>
  </si>
  <si>
    <t xml:space="preserve">13006 VINTAGE MILL CT </t>
  </si>
  <si>
    <t>KATE CLARISSE MARZAN MACARAIG</t>
  </si>
  <si>
    <t xml:space="preserve">2977 VINTAGE PARK LN </t>
  </si>
  <si>
    <t>LATAYIA NELSON-PIKLE</t>
  </si>
  <si>
    <t xml:space="preserve">3307 ENNIS ST AZ </t>
  </si>
  <si>
    <t>LANISHA MUNYA SMITH</t>
  </si>
  <si>
    <t xml:space="preserve">6150 W TIDWELL </t>
  </si>
  <si>
    <t>KEITH HILTON</t>
  </si>
  <si>
    <t xml:space="preserve">25759 PINE DR </t>
  </si>
  <si>
    <t>MARCELLA OVIEDO</t>
  </si>
  <si>
    <t xml:space="preserve">2505 S VOSS RD 1323 </t>
  </si>
  <si>
    <t>CHASSIDY KAY DEARMON</t>
  </si>
  <si>
    <t>5218 TIMBERS QUAIL D R</t>
  </si>
  <si>
    <t>BRITTANY MARIE BALMER</t>
  </si>
  <si>
    <t xml:space="preserve">5310 FIVE OAKS DR </t>
  </si>
  <si>
    <t>HARRIS CO TX 77389</t>
  </si>
  <si>
    <t>JERALD WAYNE FUTCH</t>
  </si>
  <si>
    <t xml:space="preserve">9119 N ALLEGRO ST </t>
  </si>
  <si>
    <t>DRE NELSON</t>
  </si>
  <si>
    <t xml:space="preserve">3402 BLALOCK RD </t>
  </si>
  <si>
    <t>LARRY DON BUFORD</t>
  </si>
  <si>
    <t xml:space="preserve">10885 FM 777 </t>
  </si>
  <si>
    <t>JASPER TX 75951</t>
  </si>
  <si>
    <t>TERRORISTIC THREAT, DRIVING WHILE INTOXICATED</t>
  </si>
  <si>
    <t>CLAUDIA ROBLES</t>
  </si>
  <si>
    <t>10445 GREENS CROSSING BLVD</t>
  </si>
  <si>
    <t>CRIMINAL MISCHIEF &gt;=$150K &lt;$30</t>
  </si>
  <si>
    <t>QUEST M BROWN</t>
  </si>
  <si>
    <t xml:space="preserve">135 COTTONTAIL </t>
  </si>
  <si>
    <t xml:space="preserve">BARRETT TX      </t>
  </si>
  <si>
    <t>DEE SOUTHARD REISTINO</t>
  </si>
  <si>
    <t xml:space="preserve">920 LAWRENCE ST </t>
  </si>
  <si>
    <t>ADRIAN ABREU</t>
  </si>
  <si>
    <t>3800 SHERWOOD LN APT 170</t>
  </si>
  <si>
    <t>ISAIAS DIAZ</t>
  </si>
  <si>
    <t xml:space="preserve">8527 GLENAIRE ST </t>
  </si>
  <si>
    <t>CINDY IBARRA-HERNANDEZ</t>
  </si>
  <si>
    <t xml:space="preserve">402 GARNER RD </t>
  </si>
  <si>
    <t>TREVEON DIQUAN CONLEY</t>
  </si>
  <si>
    <t xml:space="preserve">9122 SPAULDING ST </t>
  </si>
  <si>
    <t>JOE WAYNE CAROUTHERS</t>
  </si>
  <si>
    <t xml:space="preserve">1350 OLD BEAUMONT RD </t>
  </si>
  <si>
    <t>CHESTER LEDET</t>
  </si>
  <si>
    <t xml:space="preserve">18711 RUSTY ANCHOR </t>
  </si>
  <si>
    <t>JAIME GONZALEZ RIVERA</t>
  </si>
  <si>
    <t>6375 ROLLING HILLS R D</t>
  </si>
  <si>
    <t>CONROE TX 77303</t>
  </si>
  <si>
    <t>BROOK GABRIEL GIZAW</t>
  </si>
  <si>
    <t>1602 ENCLAVE PKWY 16 21</t>
  </si>
  <si>
    <t>CARRINGTON MCKNIGHT</t>
  </si>
  <si>
    <t>3426 CLIPPER WINDS W AY</t>
  </si>
  <si>
    <t>JOHNNY WILLIE HICKMON</t>
  </si>
  <si>
    <t xml:space="preserve">5830 SOUTHINGTON </t>
  </si>
  <si>
    <t>BAKOROBA DJIRE</t>
  </si>
  <si>
    <t xml:space="preserve">7900 WESTHEIMER RD </t>
  </si>
  <si>
    <t>JAVIER ALEJANDRO OLLERVIDES</t>
  </si>
  <si>
    <t xml:space="preserve">1915 SIEBER DR </t>
  </si>
  <si>
    <t>RASHAWN SANDERS</t>
  </si>
  <si>
    <t xml:space="preserve">8306 DOUBLE AVE </t>
  </si>
  <si>
    <t>SCOTT SCHULYER WILLIAMS</t>
  </si>
  <si>
    <t xml:space="preserve">8138 A </t>
  </si>
  <si>
    <t>STEPHANIE ROBBINS</t>
  </si>
  <si>
    <t xml:space="preserve">697 RD 2917 </t>
  </si>
  <si>
    <t>TYRONE BERNARD WEST</t>
  </si>
  <si>
    <t xml:space="preserve">8000 COOK RD 1108 </t>
  </si>
  <si>
    <t>SYLVESTER JR VEGA</t>
  </si>
  <si>
    <t xml:space="preserve">1227 PINE ST. </t>
  </si>
  <si>
    <t>RETALIATION, RETALIATION</t>
  </si>
  <si>
    <t>TIMOTHY CHARLES GOODEN</t>
  </si>
  <si>
    <t xml:space="preserve">9114 CHATWOOD DR </t>
  </si>
  <si>
    <t>CRIMINAL MISCHIEF &gt;=$2,500&lt;30K, BURGLARY OF A BUILDING</t>
  </si>
  <si>
    <t>ANGEL GALVAN</t>
  </si>
  <si>
    <t xml:space="preserve">602 BRAZOS ST </t>
  </si>
  <si>
    <t>FARUKUR RAHMAN SIDDIQUE</t>
  </si>
  <si>
    <t xml:space="preserve">12022 DIANE LN </t>
  </si>
  <si>
    <t>BOBBI JO GOTTSCHALL</t>
  </si>
  <si>
    <t xml:space="preserve">10803 GREEN CREEK DR </t>
  </si>
  <si>
    <t>AGG ASSAULT-FAMILY MEMBER, DWI 2ND</t>
  </si>
  <si>
    <t>JANVAS MICHEAL JILES</t>
  </si>
  <si>
    <t xml:space="preserve">11240 PERRY RD </t>
  </si>
  <si>
    <t>MARCUS DARRELLE LAFAYETTE</t>
  </si>
  <si>
    <t>8934 VALLEY HOLLOW D R</t>
  </si>
  <si>
    <t>SHENANDOAH PATTERSON</t>
  </si>
  <si>
    <t xml:space="preserve">2602 CAMPBELL RD </t>
  </si>
  <si>
    <t>CARLOS ERNESTO CANALES</t>
  </si>
  <si>
    <t xml:space="preserve">9465 CLEARWOOD ST </t>
  </si>
  <si>
    <t>MAYA BROOKS</t>
  </si>
  <si>
    <t>9806 ALCANTERRA DRIV E</t>
  </si>
  <si>
    <t>ANTHONY PHILLIPS</t>
  </si>
  <si>
    <t>MARK TILDEN</t>
  </si>
  <si>
    <t xml:space="preserve">11002 HAMMERLY BLVD </t>
  </si>
  <si>
    <t>JELBIN ALVARADO</t>
  </si>
  <si>
    <t xml:space="preserve">3802 DAPHNE ST </t>
  </si>
  <si>
    <t>DEBORAH OLUWATOYIN OJO</t>
  </si>
  <si>
    <t xml:space="preserve">8000 COOK RD 906 </t>
  </si>
  <si>
    <t>MANUEL VILLEGAS</t>
  </si>
  <si>
    <t xml:space="preserve">11631 KIRKHOLLOW DR </t>
  </si>
  <si>
    <t>BARRY DEMOND BAREFIELD</t>
  </si>
  <si>
    <t xml:space="preserve">5742 DRAKESTONE BLVD </t>
  </si>
  <si>
    <t>WALTER ALFREDO VELASQUEZ-CARDONA</t>
  </si>
  <si>
    <t>201 PLAZA VERDE DR 1907</t>
  </si>
  <si>
    <t>JUAN ANTONIO ROMERO</t>
  </si>
  <si>
    <t xml:space="preserve">7935 FAWN TERRACE DR </t>
  </si>
  <si>
    <t>TERRY GONZALES</t>
  </si>
  <si>
    <t xml:space="preserve">1911 SOUTHMORE AVE </t>
  </si>
  <si>
    <t>JASON CHUN</t>
  </si>
  <si>
    <t xml:space="preserve">3630 WINSTROME CT </t>
  </si>
  <si>
    <t>WILLIAN BARAHONA-PANAMENO</t>
  </si>
  <si>
    <t xml:space="preserve">8210 BEECHNUT ST </t>
  </si>
  <si>
    <t>RETALIATION, ASSAULT-FAMILY MEMBER</t>
  </si>
  <si>
    <t>DARRYLE LAMARCUS GOLDEN</t>
  </si>
  <si>
    <t xml:space="preserve">2231 WOODGLEN DR. </t>
  </si>
  <si>
    <t>WILLIAM ARMANDO GARCIA-GUERRERO</t>
  </si>
  <si>
    <t xml:space="preserve">6103 CLAREWOOD DR </t>
  </si>
  <si>
    <t>FSRA ACC INVOLVING INJURY</t>
  </si>
  <si>
    <t>KEDELLE DEANTHONY LABBA</t>
  </si>
  <si>
    <t>9601 W MONTGOMERY RD 229</t>
  </si>
  <si>
    <t>KAREL CABALLERO</t>
  </si>
  <si>
    <t xml:space="preserve">201 PLAZA VERDE DR </t>
  </si>
  <si>
    <t>GEORGE KENNETH BARNES</t>
  </si>
  <si>
    <t xml:space="preserve">8720 LAVENDER ST </t>
  </si>
  <si>
    <t>MACARIO-BEISA GARCIA</t>
  </si>
  <si>
    <t>OSCAR III COMBS</t>
  </si>
  <si>
    <t xml:space="preserve">9105 LOCKWOOD DR </t>
  </si>
  <si>
    <t>MYKIA FAIR</t>
  </si>
  <si>
    <t xml:space="preserve">7357 ANTOINE DR </t>
  </si>
  <si>
    <t>KENT HERRING</t>
  </si>
  <si>
    <t>16035 CLARKE SPRINGS DR</t>
  </si>
  <si>
    <t xml:space="preserve">12603 PLUM MEADOW LN </t>
  </si>
  <si>
    <t>PLACIDO JR. CAMPOS</t>
  </si>
  <si>
    <t xml:space="preserve">2011 N FISHER CT </t>
  </si>
  <si>
    <t>ANDRE TERRELL COLLINS</t>
  </si>
  <si>
    <t xml:space="preserve">3016 SADDLEBROOK </t>
  </si>
  <si>
    <t>WACO TX 76712</t>
  </si>
  <si>
    <t>UNLAW CARRY WPN, DEADLY COND-DISCH F-ARM HAB/BL</t>
  </si>
  <si>
    <t>ASHTON JORDAN ROBINSON</t>
  </si>
  <si>
    <t>5801 N HOUSTON ROSSL YN RD</t>
  </si>
  <si>
    <t>IVAN ARTAL</t>
  </si>
  <si>
    <t>7940 RAVENWOOD CIRCL E</t>
  </si>
  <si>
    <t>MOHAMMED MARWAN ALBATAINEH</t>
  </si>
  <si>
    <t xml:space="preserve">1660 W TC JESTER 426 </t>
  </si>
  <si>
    <t>BRANDON SOLIS</t>
  </si>
  <si>
    <t xml:space="preserve">4803 YALE ST </t>
  </si>
  <si>
    <t>JOSE GUADALUPE MENDEZ ORTEGA</t>
  </si>
  <si>
    <t xml:space="preserve">7409 TEXAS ST </t>
  </si>
  <si>
    <t>LINDA CRISTAL GARCIA</t>
  </si>
  <si>
    <t xml:space="preserve">512 S ROOSEVELT AVE </t>
  </si>
  <si>
    <t>TYRONE BALLS</t>
  </si>
  <si>
    <t xml:space="preserve">3630 CHEANEY DR </t>
  </si>
  <si>
    <t>EDUARDO MENDOZA</t>
  </si>
  <si>
    <t xml:space="preserve">11906 CRYSTALWOOD DR </t>
  </si>
  <si>
    <t>REYNA RAMIREZ</t>
  </si>
  <si>
    <t>6000 W SUNFOREST DR 304</t>
  </si>
  <si>
    <t>BRITNI JEAN HICKS</t>
  </si>
  <si>
    <t xml:space="preserve">1613 HOLLOMAN RD </t>
  </si>
  <si>
    <t>PORT LAVAC TX 77979</t>
  </si>
  <si>
    <t>NOBEL FRANCISCO</t>
  </si>
  <si>
    <t>6211 ROSEHILL HARVES T LOOP</t>
  </si>
  <si>
    <t>BARBARA ALLEN</t>
  </si>
  <si>
    <t>MARIO JACOME</t>
  </si>
  <si>
    <t xml:space="preserve">14606 BROWNSVILLE </t>
  </si>
  <si>
    <t>PETE ANTHONY TORRES</t>
  </si>
  <si>
    <t xml:space="preserve">302 CENTER </t>
  </si>
  <si>
    <t>LISCOE HIGGINS</t>
  </si>
  <si>
    <t xml:space="preserve">2218 GREENHOUSE ROAD </t>
  </si>
  <si>
    <t>DIEGO ARMANDO GAONA</t>
  </si>
  <si>
    <t xml:space="preserve">1501 OJEMAN RD </t>
  </si>
  <si>
    <t>KATY YESSENIA PAVON-LOBO</t>
  </si>
  <si>
    <t>22820 IMPERIAL VALLEY DRIVE</t>
  </si>
  <si>
    <t>TERRANCE T COLLINS</t>
  </si>
  <si>
    <t xml:space="preserve">12603 FORT ISABELLA </t>
  </si>
  <si>
    <t>FRANK LIMON</t>
  </si>
  <si>
    <t>16223 LUTHERAN CHURCH ROAD</t>
  </si>
  <si>
    <t>JOE ANTHONY PADILLA</t>
  </si>
  <si>
    <t xml:space="preserve">9223 MCDADE </t>
  </si>
  <si>
    <t>MELISSA MANCHA ARMAS</t>
  </si>
  <si>
    <t xml:space="preserve">3521 DABNEY ST </t>
  </si>
  <si>
    <t>RAHHIM BRADLEY</t>
  </si>
  <si>
    <t>FERNANDO FAUSTINO VASQUEZ BAILON</t>
  </si>
  <si>
    <t xml:space="preserve">724 JOHN ALBER RD </t>
  </si>
  <si>
    <t>JESUS LIZCANO</t>
  </si>
  <si>
    <t xml:space="preserve">7326 EUGENE </t>
  </si>
  <si>
    <t>MYRON DAVID ONEAL</t>
  </si>
  <si>
    <t xml:space="preserve">5411 HEMLOCK DR </t>
  </si>
  <si>
    <t>CHARLES COOLIDGE</t>
  </si>
  <si>
    <t xml:space="preserve">5612 DARLING </t>
  </si>
  <si>
    <t>LESLIE GERALD PIGGUE</t>
  </si>
  <si>
    <t>12000 MARTIN LUTHER K ING BLVD</t>
  </si>
  <si>
    <t>LUIS ANGEL MORALES-CARABALLO</t>
  </si>
  <si>
    <t xml:space="preserve">5338 DERBYSHIRE DR </t>
  </si>
  <si>
    <t>ANGELICA REYMUNDO ALVAREZ</t>
  </si>
  <si>
    <t xml:space="preserve">8650 PITNER RD 167 </t>
  </si>
  <si>
    <t>CHRISTIAN SAMUEL HERNANDEZ</t>
  </si>
  <si>
    <t>1702 LOMAX SCHOOL RO AD</t>
  </si>
  <si>
    <t>LORIELL COOPER</t>
  </si>
  <si>
    <t xml:space="preserve">8533 REGIMENT DRIVE </t>
  </si>
  <si>
    <t>CHALMETTE LA 70043</t>
  </si>
  <si>
    <t>MARVELL LENOX TELL</t>
  </si>
  <si>
    <t xml:space="preserve">7102 SILVERTHORN DR </t>
  </si>
  <si>
    <t>DEVON COLEMAN</t>
  </si>
  <si>
    <t xml:space="preserve">8427 KELLETT ST </t>
  </si>
  <si>
    <t>EDUARDO HERNANDEZ</t>
  </si>
  <si>
    <t>7925 CROCKETT MARTIN RD</t>
  </si>
  <si>
    <t>GILBERTO SAUCEDO GONZALEZ</t>
  </si>
  <si>
    <t xml:space="preserve">4109 NAVIGATION BLVD </t>
  </si>
  <si>
    <t>RODNEY LYNN THOMPSON</t>
  </si>
  <si>
    <t xml:space="preserve">4930 VAN FLEET ST </t>
  </si>
  <si>
    <t>JUAN PABLO ACUNA CASTRO</t>
  </si>
  <si>
    <t xml:space="preserve">4414 CICDA LANE </t>
  </si>
  <si>
    <t>INTERFERE DUTIES PUB SERVANT, FSGI ACC ATTEND DAMAGE VEH&gt;=$2</t>
  </si>
  <si>
    <t>THERON TRAMAYNE HENRY</t>
  </si>
  <si>
    <t xml:space="preserve">90 UVALDE RD </t>
  </si>
  <si>
    <t>OSWUALDO ALESANDER RODRIGUEZ</t>
  </si>
  <si>
    <t xml:space="preserve">1071 WILLOW OAK CIR </t>
  </si>
  <si>
    <t>TAM HUU HOANG</t>
  </si>
  <si>
    <t>3215 BAINBRIDGE HILL LN</t>
  </si>
  <si>
    <t>MARIO CANALES</t>
  </si>
  <si>
    <t xml:space="preserve">7115 AVENUE K </t>
  </si>
  <si>
    <t>ANTHONY ROBINSON</t>
  </si>
  <si>
    <t>RICARDO ROBERTO SALAZAR</t>
  </si>
  <si>
    <t>12626 WILD STRAWBERRY RD</t>
  </si>
  <si>
    <t>LIONEL UGONNA EGBE</t>
  </si>
  <si>
    <t>25638 CRESTON MEADOW DR</t>
  </si>
  <si>
    <t>CURTIS DURELL BROWN</t>
  </si>
  <si>
    <t xml:space="preserve">8906 ILONA LN APT 4 </t>
  </si>
  <si>
    <t>JOSEPH HERMAN</t>
  </si>
  <si>
    <t xml:space="preserve">518 BROMPTON LN </t>
  </si>
  <si>
    <t>BRANDON ERIC EVENSON</t>
  </si>
  <si>
    <t xml:space="preserve">8514 PINE FALLS DR </t>
  </si>
  <si>
    <t>LEKIE-KEN KPONI</t>
  </si>
  <si>
    <t xml:space="preserve">9210 BELLE GLEN DR </t>
  </si>
  <si>
    <t>KEVIN FRANCISCO MARTINEZ</t>
  </si>
  <si>
    <t xml:space="preserve">814 E. PARKER RD. </t>
  </si>
  <si>
    <t>AKEIRA SAIAH FORBES</t>
  </si>
  <si>
    <t>3932 ARLINGTON SQUAR E DR APT 1</t>
  </si>
  <si>
    <t>JEFFREY MINIX</t>
  </si>
  <si>
    <t xml:space="preserve">13933 VICTORIA ST </t>
  </si>
  <si>
    <t>THEFT &lt;$2,500 2/MORE PREV CONV, ASSAULT-FAMILY MEMBER</t>
  </si>
  <si>
    <t>MICHAEL UWAGBOI</t>
  </si>
  <si>
    <t>8630 EASTON COMMONS DRIVE</t>
  </si>
  <si>
    <t>UNAUTH USE OF VEHICLE, EVADING ARREST/DETENTION W/VEH</t>
  </si>
  <si>
    <t>DERRICK STEWART</t>
  </si>
  <si>
    <t xml:space="preserve">13031 TERRACE RUN LN </t>
  </si>
  <si>
    <t>NICOLE DIANE TRISTAN</t>
  </si>
  <si>
    <t>10431 WINDING TRAIL R D</t>
  </si>
  <si>
    <t>RAYMOND GILDER</t>
  </si>
  <si>
    <t xml:space="preserve">10241 LOG HOLLOW </t>
  </si>
  <si>
    <t>NICHOLAS NED</t>
  </si>
  <si>
    <t xml:space="preserve">2828 HAYS RD </t>
  </si>
  <si>
    <t>ASSLT FAM/HOUSEHOLD MEM W/PREV, INJURY CHILD UNDER 15 B/INJURY</t>
  </si>
  <si>
    <t>MIGUEL AVINA</t>
  </si>
  <si>
    <t>14365 CORNERSTONE VIL LAGE DR AP</t>
  </si>
  <si>
    <t>KEITH PAUL MCGEE</t>
  </si>
  <si>
    <t xml:space="preserve">4730 TAIN DR </t>
  </si>
  <si>
    <t>KEVIN ERVIN</t>
  </si>
  <si>
    <t>TRAVIS LAVELL BROUSSARD</t>
  </si>
  <si>
    <t xml:space="preserve">414 CALLOWAY </t>
  </si>
  <si>
    <t>ADRIAN FERNANDEZ</t>
  </si>
  <si>
    <t>19831 WHISTLE CREEK L N</t>
  </si>
  <si>
    <t>HUEY PEEVES WALTERS</t>
  </si>
  <si>
    <t xml:space="preserve">9485 MCLEAN ST </t>
  </si>
  <si>
    <t>JOHN OTIS GRAYSON</t>
  </si>
  <si>
    <t>58 SPRING CIRCLE D R</t>
  </si>
  <si>
    <t>TIFFANY LADAWN HINES</t>
  </si>
  <si>
    <t xml:space="preserve">8738 FANNETTE </t>
  </si>
  <si>
    <t>DANIEL WAYNE POTTER</t>
  </si>
  <si>
    <t xml:space="preserve">4314 DURANT TRLR </t>
  </si>
  <si>
    <t>CHRISTOPHER DAVIS</t>
  </si>
  <si>
    <t>9610 WINTER BLOOM LA NE</t>
  </si>
  <si>
    <t>LEE ANTHONY WOOLEY</t>
  </si>
  <si>
    <t xml:space="preserve">3201 MICHIGAN ST </t>
  </si>
  <si>
    <t>MARTINA LYNN CLARK</t>
  </si>
  <si>
    <t>17714 POPPY TRAILS LA NE</t>
  </si>
  <si>
    <t>JASMINE MARIE HUDSON</t>
  </si>
  <si>
    <t xml:space="preserve">2110 DOWLING DR </t>
  </si>
  <si>
    <t>ADRIAN RANDALL CASTRO</t>
  </si>
  <si>
    <t xml:space="preserve">4307 SPELLMAN RD </t>
  </si>
  <si>
    <t>SERGIO AGUSTIN NIETO</t>
  </si>
  <si>
    <t xml:space="preserve">2932 N ALEXANDER </t>
  </si>
  <si>
    <t>DENZELL A. CRAWFORD</t>
  </si>
  <si>
    <t xml:space="preserve">15822 CONNERS ACE DR </t>
  </si>
  <si>
    <t>JOAQUIN ALFREDO CAVAZOS</t>
  </si>
  <si>
    <t xml:space="preserve">9316 MAHAN DR </t>
  </si>
  <si>
    <t>JAMES TRIMBLE</t>
  </si>
  <si>
    <t xml:space="preserve">4306 ONEIDA ST </t>
  </si>
  <si>
    <t>20326 PIONEER RIDGE D RIVE</t>
  </si>
  <si>
    <t>CESAR GARZA</t>
  </si>
  <si>
    <t xml:space="preserve">4227 CHESTER GATE DR </t>
  </si>
  <si>
    <t>EVADING ARREST/DETENTION W/VEH, DWI 2ND</t>
  </si>
  <si>
    <t>ADRIAN HERNAN LARA</t>
  </si>
  <si>
    <t xml:space="preserve">8810 BARRON WOOD CIR </t>
  </si>
  <si>
    <t>MANSLAUGHTER</t>
  </si>
  <si>
    <t>SEXUAL ASSAULT</t>
  </si>
  <si>
    <t>AGG ASSLT AGAINST PB SERVANT</t>
  </si>
  <si>
    <t>THEFT OF FIREARM</t>
  </si>
  <si>
    <t>FLSE STMNT OBTAIN CREDIT $30K-</t>
  </si>
  <si>
    <t>POSS MARIJ 50-2000 LBS.</t>
  </si>
  <si>
    <t>1931 RUNNING BE AR TRL</t>
  </si>
  <si>
    <t>AGG ASSAULT W/DEADLY WEAPON, AGG ASSAULT-FAMILY MEMBER</t>
  </si>
  <si>
    <t>DRIVING WHILE INTOXICATED, DISPLAY FICTITIOUS LICENSE PLA</t>
  </si>
  <si>
    <t>AGG ASSAULT W/DEADLY WEAPON, EVADING ARREST/DETENTION W/VEH</t>
  </si>
  <si>
    <t>FALSIFY DRUG TEST RESULTS, DRIVING WHILE INTOXICATED</t>
  </si>
  <si>
    <t>UNAUTH USE OF VEHICLE, DRIVING WHILE INTOXICATED, BURGLARY OF HABITATION</t>
  </si>
  <si>
    <t>UNAUTH USE OF VEHICLE, DRIVING WHILE INTOXICATED</t>
  </si>
  <si>
    <t>FSRA ACC INVOLVING DEATH_(C)(1, INTOX MANSLAUGHTER W/VEH</t>
  </si>
  <si>
    <t>ASSAULT - SECURITY OFFICER, RETALIATION</t>
  </si>
  <si>
    <t>FRED FORGEORGE GOREE</t>
  </si>
  <si>
    <t>CLARENCE HENRY DIXON</t>
  </si>
  <si>
    <t xml:space="preserve">10017 SIERRA DR </t>
  </si>
  <si>
    <t>SANFORD CAIN YARBROUGH</t>
  </si>
  <si>
    <t xml:space="preserve">4150 CRANE STREET </t>
  </si>
  <si>
    <t>BILL WILLIAMS</t>
  </si>
  <si>
    <t xml:space="preserve">6000 TELEPHONE RD </t>
  </si>
  <si>
    <t>GREGORY COLEMAN</t>
  </si>
  <si>
    <t xml:space="preserve">3319 TIDEWATER DR </t>
  </si>
  <si>
    <t>GEWHANI LEWIS</t>
  </si>
  <si>
    <t xml:space="preserve">5759 HERON DR </t>
  </si>
  <si>
    <t>EDWIN BRANDON</t>
  </si>
  <si>
    <t>DARREN KEITH BELL</t>
  </si>
  <si>
    <t xml:space="preserve">13707 WOODRIVER DR </t>
  </si>
  <si>
    <t>PERRY LAVERGNE</t>
  </si>
  <si>
    <t xml:space="preserve">8229 CURRY RD </t>
  </si>
  <si>
    <t>HIEU NGOC TRUONG</t>
  </si>
  <si>
    <t>4722 MERCHANT SPRING S LN</t>
  </si>
  <si>
    <t>JOSE PORTILLO</t>
  </si>
  <si>
    <t xml:space="preserve">16706 LOST QUAIL </t>
  </si>
  <si>
    <t>JAVIER RAMOS</t>
  </si>
  <si>
    <t xml:space="preserve">310 DR MLK JR DR </t>
  </si>
  <si>
    <t>ROSE MARIE MCMILLIAN</t>
  </si>
  <si>
    <t xml:space="preserve">4126 WOOLWORTH </t>
  </si>
  <si>
    <t>FREDRIC ARNOLD BELL</t>
  </si>
  <si>
    <t>ERIKA BARRERA SOTO</t>
  </si>
  <si>
    <t xml:space="preserve">2321 NORMAN ST </t>
  </si>
  <si>
    <t>OTIS COLLIER SOMERVILLE</t>
  </si>
  <si>
    <t xml:space="preserve">7107 CHASEWOOD DR </t>
  </si>
  <si>
    <t>REYNALDO RODRIGUEZ</t>
  </si>
  <si>
    <t>21319 SURGARBLOOM LAN E</t>
  </si>
  <si>
    <t>SAN TUAN DONELL LANE</t>
  </si>
  <si>
    <t>LADELL WHITFIELD</t>
  </si>
  <si>
    <t xml:space="preserve">3217 HIRSCHFIELD RD </t>
  </si>
  <si>
    <t>CURTIS JAMES WINZER</t>
  </si>
  <si>
    <t>JAVARIO WILLIAMS</t>
  </si>
  <si>
    <t>25422 OLD CARRAIGE LA NE</t>
  </si>
  <si>
    <t>LUIS ALBERTO FLORES CHAVEZ</t>
  </si>
  <si>
    <t xml:space="preserve">5841 HOPPER RD </t>
  </si>
  <si>
    <t>HOUSTONT TX 77093</t>
  </si>
  <si>
    <t>CHRIS DONTRELL RODDY</t>
  </si>
  <si>
    <t xml:space="preserve">13111 N. BROUGH </t>
  </si>
  <si>
    <t>WAQAR HUSSAIN</t>
  </si>
  <si>
    <t xml:space="preserve">6303 GULFTON ST </t>
  </si>
  <si>
    <t>CASEY MCCOY</t>
  </si>
  <si>
    <t>CHRISTOPHER COLE HOWETH</t>
  </si>
  <si>
    <t xml:space="preserve">1810 WESTBOUND DR </t>
  </si>
  <si>
    <t>CRISTOBAL SIERRA</t>
  </si>
  <si>
    <t xml:space="preserve">19315 DIANESHIRE </t>
  </si>
  <si>
    <t>TIMOTHY JAMES JOHNSON</t>
  </si>
  <si>
    <t>1239 LAVENDER SHADE CT</t>
  </si>
  <si>
    <t>BRINIMIHA ADRIAN ITIMA</t>
  </si>
  <si>
    <t xml:space="preserve">6210 VICKIJOHN DR </t>
  </si>
  <si>
    <t>KYLE EDWARD SCHISSER</t>
  </si>
  <si>
    <t xml:space="preserve">15800 STATE HIGHWAY 3 </t>
  </si>
  <si>
    <t>QUISTON DEANDRE JENKINS</t>
  </si>
  <si>
    <t xml:space="preserve">1438 HITCHIN LN </t>
  </si>
  <si>
    <t>MOHAMAD NOUR KHODR</t>
  </si>
  <si>
    <t>8018 RIPPLING STREAM LANE</t>
  </si>
  <si>
    <t>AUSTIN YOUNG</t>
  </si>
  <si>
    <t xml:space="preserve">12401 PALMSPRINGS DR </t>
  </si>
  <si>
    <t>JUAN ALBERTO BARILLAS</t>
  </si>
  <si>
    <t xml:space="preserve">8787 HAMMERLY BLVD </t>
  </si>
  <si>
    <t>THOMAS E WILLIAMS</t>
  </si>
  <si>
    <t xml:space="preserve">1303 AVENUE A </t>
  </si>
  <si>
    <t>KAYLA RENFROE</t>
  </si>
  <si>
    <t xml:space="preserve">6027 MINARD DR </t>
  </si>
  <si>
    <t>REY S. ORR</t>
  </si>
  <si>
    <t xml:space="preserve">2171 FORT LARAMIE </t>
  </si>
  <si>
    <t>ALEJANDRO ENRIQUE GOMEZ</t>
  </si>
  <si>
    <t xml:space="preserve">12914 PALE IVY LN </t>
  </si>
  <si>
    <t>JENNIFER ARAUJO</t>
  </si>
  <si>
    <t xml:space="preserve">2318 RAYMOND ST </t>
  </si>
  <si>
    <t>FRANK MOLINA</t>
  </si>
  <si>
    <t>22914 FAIRFAX VILLAGE DR W</t>
  </si>
  <si>
    <t>JUAN BALDEMAR SALINAS</t>
  </si>
  <si>
    <t xml:space="preserve">13202 CHRISMAN RD </t>
  </si>
  <si>
    <t>RICKY ESEQUIEL ORTEGA</t>
  </si>
  <si>
    <t xml:space="preserve">4000 NORTH 10TH </t>
  </si>
  <si>
    <t>BRIDGEPORT TX 76426</t>
  </si>
  <si>
    <t>MICHAEL ANTHONY JONES</t>
  </si>
  <si>
    <t xml:space="preserve">4610 LOCHSHIN DR </t>
  </si>
  <si>
    <t>DECHAUN MCBRIDE</t>
  </si>
  <si>
    <t xml:space="preserve">2630 TANGLEWILDE ST </t>
  </si>
  <si>
    <t>GARY DWYANE DOTSON</t>
  </si>
  <si>
    <t>5353 DEEP FOREST DR APT 922</t>
  </si>
  <si>
    <t>DEVIN THORNTON</t>
  </si>
  <si>
    <t xml:space="preserve">17710 RED OAK DRIVE </t>
  </si>
  <si>
    <t>SIERRA DAPHNE GRAPPIE</t>
  </si>
  <si>
    <t xml:space="preserve">2400 BRIARWEST BLVD </t>
  </si>
  <si>
    <t>ERIK WILLIAMS</t>
  </si>
  <si>
    <t xml:space="preserve">4949 DACOMA ST </t>
  </si>
  <si>
    <t>GERARDO MARTINEZ-PORTILLO</t>
  </si>
  <si>
    <t xml:space="preserve">1900 RIVER OAKS DR </t>
  </si>
  <si>
    <t>NEW ORLEAN LA 70131</t>
  </si>
  <si>
    <t>LAQUITA MONIQUE RUSSEL</t>
  </si>
  <si>
    <t xml:space="preserve">9323 MCAFEE DR </t>
  </si>
  <si>
    <t>MORRIS ADALBERTO ZELAYA</t>
  </si>
  <si>
    <t>20826 BALMORAL GLEN L ANE</t>
  </si>
  <si>
    <t>NIA NASHAY ISADORE</t>
  </si>
  <si>
    <t xml:space="preserve">5605 MELANITE AVE </t>
  </si>
  <si>
    <t xml:space="preserve">8103 BRINKWORTH LN </t>
  </si>
  <si>
    <t>MARIO ANTONIO ALFARO</t>
  </si>
  <si>
    <t xml:space="preserve">4263 GYPSY POPS DR </t>
  </si>
  <si>
    <t>ISMAEL PEREZ ARGUELLO</t>
  </si>
  <si>
    <t xml:space="preserve">1111 AVE H </t>
  </si>
  <si>
    <t>S HOUSTON TX 77587</t>
  </si>
  <si>
    <t>HAROLD LEE MILES</t>
  </si>
  <si>
    <t xml:space="preserve">4545 EDFIELD ST </t>
  </si>
  <si>
    <t>DAVID LUKUSA</t>
  </si>
  <si>
    <t xml:space="preserve">15511 TUCKERTON RD </t>
  </si>
  <si>
    <t>DMARQUIS RASHAD LEWIS</t>
  </si>
  <si>
    <t>311 HIGHLAND CROSS DR</t>
  </si>
  <si>
    <t>HALEY ELIZABETH HERRERA</t>
  </si>
  <si>
    <t xml:space="preserve">5045 CRENSHAW </t>
  </si>
  <si>
    <t>ERIC DEION NUNN</t>
  </si>
  <si>
    <t xml:space="preserve">3510 LYONS AVE </t>
  </si>
  <si>
    <t>TYRINE SPECKS</t>
  </si>
  <si>
    <t>TRACY HOAKS BROUSSARD</t>
  </si>
  <si>
    <t xml:space="preserve">1211 PINECROFT DR </t>
  </si>
  <si>
    <t>ALDEN LAVON COLEMAN</t>
  </si>
  <si>
    <t>12850 WHITTINGTON DR APT 317</t>
  </si>
  <si>
    <t>SIMON JOSEPH PARK</t>
  </si>
  <si>
    <t xml:space="preserve">1439 WELLESLEY DR </t>
  </si>
  <si>
    <t>LEWISVILLE TX 75067</t>
  </si>
  <si>
    <t>IVAN HILL</t>
  </si>
  <si>
    <t xml:space="preserve">4833 KINGFISHER DR </t>
  </si>
  <si>
    <t>TREVON ISAIAH COLLINS</t>
  </si>
  <si>
    <t xml:space="preserve">4211 MADDEN LN </t>
  </si>
  <si>
    <t>JULIO CESAR TAPIA</t>
  </si>
  <si>
    <t xml:space="preserve">3354 BURKE </t>
  </si>
  <si>
    <t>LAUREN MARIE MORTENSEN</t>
  </si>
  <si>
    <t xml:space="preserve">2905 AUTUMN COVE CT </t>
  </si>
  <si>
    <t>JOHN SOSA</t>
  </si>
  <si>
    <t xml:space="preserve">7835 GROW LN </t>
  </si>
  <si>
    <t xml:space="preserve">12730 LABELLE LN </t>
  </si>
  <si>
    <t>ALEXA DIAZ</t>
  </si>
  <si>
    <t xml:space="preserve">10411 COOK RD </t>
  </si>
  <si>
    <t>CINDY SALDIVAR</t>
  </si>
  <si>
    <t xml:space="preserve">10306 LAKEBROOK CT </t>
  </si>
  <si>
    <t>MONIQUE ANTOINETTE THOMAS</t>
  </si>
  <si>
    <t xml:space="preserve">217 RODEO DR </t>
  </si>
  <si>
    <t>SILVESTRE RAFAEL RAFAEL</t>
  </si>
  <si>
    <t>9001 S GESSNER RD AP T 2104</t>
  </si>
  <si>
    <t>ALEJANDRO SIERRA</t>
  </si>
  <si>
    <t>FRANCISCO JAVIER VELASQUEZ</t>
  </si>
  <si>
    <t xml:space="preserve">1718 HEATHER LN </t>
  </si>
  <si>
    <t>GERALDINE BARRERA</t>
  </si>
  <si>
    <t xml:space="preserve">7707 GREENDOWNS </t>
  </si>
  <si>
    <t>ALEJANDRO VACA</t>
  </si>
  <si>
    <t xml:space="preserve">426 EUCLID ST </t>
  </si>
  <si>
    <t>EDUARDO GARCIA MORALES</t>
  </si>
  <si>
    <t xml:space="preserve">5555 GASMER DR 144 </t>
  </si>
  <si>
    <t>JAIME SOTO</t>
  </si>
  <si>
    <t xml:space="preserve">905 S IOWA ST </t>
  </si>
  <si>
    <t>JOSHUA LANE THOMAS</t>
  </si>
  <si>
    <t xml:space="preserve">109192 N 3740 RD </t>
  </si>
  <si>
    <t>OKEMAH OK 74859</t>
  </si>
  <si>
    <t>JULISA HERNANDEZ</t>
  </si>
  <si>
    <t xml:space="preserve">12803 NORTHBOROUGH </t>
  </si>
  <si>
    <t>ALTINI YARIMA</t>
  </si>
  <si>
    <t xml:space="preserve">301 N WESLEY DR 61 </t>
  </si>
  <si>
    <t>EDILSER PAREDES</t>
  </si>
  <si>
    <t xml:space="preserve">6419 SKYLINE DR 309 </t>
  </si>
  <si>
    <t>ESMERALDA PEREZ REYES</t>
  </si>
  <si>
    <t xml:space="preserve">1601 ROXELLA ST </t>
  </si>
  <si>
    <t>JUAN ALEJANDRO AVINA-HERNANDEZ</t>
  </si>
  <si>
    <t xml:space="preserve">5600 CHIMNEY ROCK RD </t>
  </si>
  <si>
    <t>KENRICK ELSWORTH BROWNE</t>
  </si>
  <si>
    <t xml:space="preserve">20714 BURNT AMBER LN </t>
  </si>
  <si>
    <t>ZACHARY HOPSON</t>
  </si>
  <si>
    <t xml:space="preserve">9756 CEDARDALE DR </t>
  </si>
  <si>
    <t>EZEQUIEL FRANCISCO OJEDA</t>
  </si>
  <si>
    <t>2403 SONGLARK SPRING S PLACE</t>
  </si>
  <si>
    <t>PEARLAND TX 77089</t>
  </si>
  <si>
    <t>SANTIAGO RAZO PEREZ</t>
  </si>
  <si>
    <t xml:space="preserve">7816 SWIFTWATER LN </t>
  </si>
  <si>
    <t>OSCAR EDWARDO CANTU</t>
  </si>
  <si>
    <t xml:space="preserve">803 GOLDFINCH AVE </t>
  </si>
  <si>
    <t>OLIVIA LOUPE</t>
  </si>
  <si>
    <t xml:space="preserve">336 W 17TH ST </t>
  </si>
  <si>
    <t>HENRY A ORTIZ</t>
  </si>
  <si>
    <t xml:space="preserve">10678 MAY FIELD RD </t>
  </si>
  <si>
    <t>FELTON MCCAIN MCCRUSE</t>
  </si>
  <si>
    <t xml:space="preserve">17214 WINDY PINES CIR </t>
  </si>
  <si>
    <t>KELVIN LYNN CURRIE</t>
  </si>
  <si>
    <t xml:space="preserve">1901 S CANAL ST </t>
  </si>
  <si>
    <t>ANJELICA NOELLE GARCIA</t>
  </si>
  <si>
    <t xml:space="preserve">3802 BEAR LAKE DR </t>
  </si>
  <si>
    <t>HOUSTON TX 77345</t>
  </si>
  <si>
    <t>JUAN JOSE RAMIREZ</t>
  </si>
  <si>
    <t xml:space="preserve">3415 CREEK GROVE DR </t>
  </si>
  <si>
    <t>GARY ADAM FAREK</t>
  </si>
  <si>
    <t xml:space="preserve">1207 EAST HOUSTON </t>
  </si>
  <si>
    <t>JAYLON DWAYNE BOWNES-CARTER</t>
  </si>
  <si>
    <t>19319 MONTCLAIR MEADO W LN</t>
  </si>
  <si>
    <t>STEVEN LEMONT MAY</t>
  </si>
  <si>
    <t xml:space="preserve">217 BELMOST </t>
  </si>
  <si>
    <t>JUAN JASSO</t>
  </si>
  <si>
    <t xml:space="preserve">3712 DARLING </t>
  </si>
  <si>
    <t>SPENCER EDWARD GRANGER</t>
  </si>
  <si>
    <t xml:space="preserve">4934 ROYAL ARBOR LN </t>
  </si>
  <si>
    <t>MARY ANNE OLIVER-SNOW</t>
  </si>
  <si>
    <t xml:space="preserve">12007 SOFT PINES DR </t>
  </si>
  <si>
    <t>TOM III ANDERSON</t>
  </si>
  <si>
    <t xml:space="preserve">4203 DACCA DR </t>
  </si>
  <si>
    <t>JAUDRECK CHARLES WEST</t>
  </si>
  <si>
    <t xml:space="preserve">911 LANE DR </t>
  </si>
  <si>
    <t>DAVODDRICK D BOSMAN</t>
  </si>
  <si>
    <t>1330 SPRING LAKE DRI VE</t>
  </si>
  <si>
    <t>DE JON LENSTON</t>
  </si>
  <si>
    <t xml:space="preserve">650 DONOHO ST 130 </t>
  </si>
  <si>
    <t>EDWIN BARRIOS</t>
  </si>
  <si>
    <t>7979 WESTHEIMER RD 2 002</t>
  </si>
  <si>
    <t>XIOMAR URBINA</t>
  </si>
  <si>
    <t xml:space="preserve">2306 HARPER DR </t>
  </si>
  <si>
    <t>ANTHONY RALPH MARISCAL</t>
  </si>
  <si>
    <t>4139 BELLAIRE BLVD 1 63</t>
  </si>
  <si>
    <t>ASHLEY ROBYN BASS</t>
  </si>
  <si>
    <t xml:space="preserve">19255 MADDIE LANE </t>
  </si>
  <si>
    <t>KAYLA QUINAE SQUARE</t>
  </si>
  <si>
    <t xml:space="preserve">7432 ABBEY POINT </t>
  </si>
  <si>
    <t>AMANDA GARCIA</t>
  </si>
  <si>
    <t xml:space="preserve">9001 GAYLORD 7 </t>
  </si>
  <si>
    <t>ALEEMA SELENA BAIGH</t>
  </si>
  <si>
    <t xml:space="preserve">1203 MONROE ST </t>
  </si>
  <si>
    <t>VICTOR HUGO OLIVARES</t>
  </si>
  <si>
    <t xml:space="preserve">14007 W HARDY RD </t>
  </si>
  <si>
    <t>IAN MACKENZIE COOPER</t>
  </si>
  <si>
    <t xml:space="preserve">10841 E IDLEWOOD DR </t>
  </si>
  <si>
    <t>KEONJ NAY BALFOUR</t>
  </si>
  <si>
    <t>501 WEST WILLOW APT 65</t>
  </si>
  <si>
    <t>WHARTON TX 77488</t>
  </si>
  <si>
    <t>JOHN MARKS</t>
  </si>
  <si>
    <t>225 S HEIGHTS BLVD APT</t>
  </si>
  <si>
    <t>CEYU WANG</t>
  </si>
  <si>
    <t>1502 PARTNERSHIP WAY 8203</t>
  </si>
  <si>
    <t>JY-JUNG CHIANG</t>
  </si>
  <si>
    <t xml:space="preserve">10910 SHARPVIEW DR </t>
  </si>
  <si>
    <t>RAUL MARTINEZ</t>
  </si>
  <si>
    <t xml:space="preserve">PARIL  CREEK ST </t>
  </si>
  <si>
    <t>CHANEL FORD</t>
  </si>
  <si>
    <t xml:space="preserve">7510 BROMPTON ST 136 </t>
  </si>
  <si>
    <t>HOUSTON TX 70072</t>
  </si>
  <si>
    <t>2112 MARRERO LA</t>
  </si>
  <si>
    <t>2600 WESTRIDGE</t>
  </si>
  <si>
    <t>FAIL COMPLY SEX OFFENDER REGIS</t>
  </si>
  <si>
    <t>FELON POSS WPN, EVADING ARREST/DETENTION W/VEH</t>
  </si>
  <si>
    <t>THFT MAT ALUM/BRNZ/COPPR/BRASS, THFT MATERIAL ALUM/BRNZ/COPPR/</t>
  </si>
  <si>
    <t>EVADING ARREST/DETENTION W/VEH, ENDANGERING A CHILD</t>
  </si>
  <si>
    <t>JOSE GAMA</t>
  </si>
  <si>
    <t xml:space="preserve">13230 LAGUNA </t>
  </si>
  <si>
    <t>JILL PARKER</t>
  </si>
  <si>
    <t xml:space="preserve">12517 CORONA LANE </t>
  </si>
  <si>
    <t>SUSIE JOHNSTON</t>
  </si>
  <si>
    <t xml:space="preserve">2702 SINCLAIR </t>
  </si>
  <si>
    <t>RICARDO RAYMUNDO RODRIGUEZ</t>
  </si>
  <si>
    <t xml:space="preserve">13555 BRETON RIDGE ST </t>
  </si>
  <si>
    <t>JASON MATTHEW BARROW</t>
  </si>
  <si>
    <t xml:space="preserve">2402 WOODTOWN DR </t>
  </si>
  <si>
    <t>EFFERSON Z BUSHNELL</t>
  </si>
  <si>
    <t xml:space="preserve">7718 CADDO RD </t>
  </si>
  <si>
    <t>MICHAEL CHAPA</t>
  </si>
  <si>
    <t xml:space="preserve">3130 1/2 BAY STREET </t>
  </si>
  <si>
    <t>ERIC JERMAINE SCOTT</t>
  </si>
  <si>
    <t xml:space="preserve">3100 GILLESPIE ST </t>
  </si>
  <si>
    <t>JESSICA MONIQUE BARNES</t>
  </si>
  <si>
    <t xml:space="preserve">10802 GREENCREEK DR </t>
  </si>
  <si>
    <t>ANGEL MCCANN</t>
  </si>
  <si>
    <t xml:space="preserve">1202 PASADENA BLVD </t>
  </si>
  <si>
    <t>MONIKE LAVONNA JOHNSON</t>
  </si>
  <si>
    <t xml:space="preserve">12011 COBBS CREEK CT </t>
  </si>
  <si>
    <t>JULUIS MILES HOGAN</t>
  </si>
  <si>
    <t xml:space="preserve">1002 MISTY MEADOW </t>
  </si>
  <si>
    <t>MICHAEL LECROY</t>
  </si>
  <si>
    <t xml:space="preserve">1035 WILLOW OAKS CIR </t>
  </si>
  <si>
    <t>CHRISTOPHER DARRAL MOORE</t>
  </si>
  <si>
    <t xml:space="preserve">514 CORYDON DR </t>
  </si>
  <si>
    <t>QUINCY BERNARD</t>
  </si>
  <si>
    <t xml:space="preserve">4646 CULLEN BROOK RD </t>
  </si>
  <si>
    <t>CHRISTIAN GARCIA</t>
  </si>
  <si>
    <t xml:space="preserve">7703 AIRLINE DR </t>
  </si>
  <si>
    <t>PHILLIP OGIEMWONYI-ATKINS</t>
  </si>
  <si>
    <t xml:space="preserve">16542 MORGAN RUN </t>
  </si>
  <si>
    <t>THOMAS EMMANUEL CRUMP</t>
  </si>
  <si>
    <t>2400 BRIARWEST BLVD APT 2008</t>
  </si>
  <si>
    <t>ERIC BROWN</t>
  </si>
  <si>
    <t xml:space="preserve">14155 FAYRIDGE DR </t>
  </si>
  <si>
    <t>ROBERT ANTHONY SPENCER</t>
  </si>
  <si>
    <t xml:space="preserve">1695 BUFFALO DR </t>
  </si>
  <si>
    <t>RAYMONDVIL TX 78580</t>
  </si>
  <si>
    <t>DESHAUN ANDREW SCHMIDT</t>
  </si>
  <si>
    <t>18622 QUEENSBOROUGH C REEK RD</t>
  </si>
  <si>
    <t>CEDRIC PETERS</t>
  </si>
  <si>
    <t xml:space="preserve">13047 LEADER ST </t>
  </si>
  <si>
    <t>GLEN JAMES REYNOLDS</t>
  </si>
  <si>
    <t>17033 BUTTE CREEK RD APT 1202</t>
  </si>
  <si>
    <t>WILLIE SEALS</t>
  </si>
  <si>
    <t xml:space="preserve">6424 BURDINE CT </t>
  </si>
  <si>
    <t>ARTHUR GANN</t>
  </si>
  <si>
    <t>19619 NARCISSUS BROOK LN</t>
  </si>
  <si>
    <t>DEVONDRE CORTREL MORANT</t>
  </si>
  <si>
    <t xml:space="preserve">5557 LIVE OAK APT </t>
  </si>
  <si>
    <t>LUIS ALBERTO SOTO</t>
  </si>
  <si>
    <t xml:space="preserve">2421 MAYVIEW DR </t>
  </si>
  <si>
    <t>DAMIR BAJRAKTAREVIC</t>
  </si>
  <si>
    <t xml:space="preserve">3507 MICA DR </t>
  </si>
  <si>
    <t>DUBO ISHAG</t>
  </si>
  <si>
    <t>ASHLEY NICOLE LOPEZ</t>
  </si>
  <si>
    <t>NICHOLAS RYAN WHEAT</t>
  </si>
  <si>
    <t xml:space="preserve">15010 PARKVILLE DR </t>
  </si>
  <si>
    <t>ALICIA GALLARDO</t>
  </si>
  <si>
    <t xml:space="preserve">3120 PASADENA BLVD </t>
  </si>
  <si>
    <t>DONOVAN WHITE</t>
  </si>
  <si>
    <t>KENSTON ROBINSON</t>
  </si>
  <si>
    <t xml:space="preserve">2323 OAKDALE ST </t>
  </si>
  <si>
    <t>MARIEZA DELIA GRANADOS</t>
  </si>
  <si>
    <t xml:space="preserve">707 ROBIN ST </t>
  </si>
  <si>
    <t>LUIS BARRAGAN</t>
  </si>
  <si>
    <t>DATRICK DEREAL WASHINGTON</t>
  </si>
  <si>
    <t xml:space="preserve">9401 COVENTRY SQ DR </t>
  </si>
  <si>
    <t>WILLIAM JENKINS</t>
  </si>
  <si>
    <t>LORENZO BARBOSA-SALINAS</t>
  </si>
  <si>
    <t xml:space="preserve">4550 ALDINE MAIL RD </t>
  </si>
  <si>
    <t>CARLOS DRAYTON</t>
  </si>
  <si>
    <t xml:space="preserve">15903 NORTHTRACE DR </t>
  </si>
  <si>
    <t>QUINTAN EDMONSON</t>
  </si>
  <si>
    <t xml:space="preserve">12500 SANDPIPER DR </t>
  </si>
  <si>
    <t>JOSE CRUZ PEREZ</t>
  </si>
  <si>
    <t xml:space="preserve">2827 SADLER </t>
  </si>
  <si>
    <t>COURTNEY PAIGE WILLIAMSON</t>
  </si>
  <si>
    <t xml:space="preserve">1701 ROYAL LN </t>
  </si>
  <si>
    <t>FARMERS BR TX 75229</t>
  </si>
  <si>
    <t>KAYLA TAYLOR</t>
  </si>
  <si>
    <t>10510 GOLDEN MEADOW D R</t>
  </si>
  <si>
    <t>KENNETH RAY DAVIS</t>
  </si>
  <si>
    <t>21214 FOX BRANCH TRAI L</t>
  </si>
  <si>
    <t>YUDONTAE JAHNOL SIMPSON</t>
  </si>
  <si>
    <t xml:space="preserve">2010 WOODED OAKS DR </t>
  </si>
  <si>
    <t>NELSON DAVID VERGAS-SANCHEZ</t>
  </si>
  <si>
    <t xml:space="preserve">3903 ERBY ST </t>
  </si>
  <si>
    <t>JENNIFER MONIQUE VILLANUEVA</t>
  </si>
  <si>
    <t>1612 HOUSTON BLVD AP T 7</t>
  </si>
  <si>
    <t>DAMIEN MICHAEL LEWIS</t>
  </si>
  <si>
    <t xml:space="preserve">7933 BRAYS ST </t>
  </si>
  <si>
    <t>ALBINO JR GARCIA</t>
  </si>
  <si>
    <t xml:space="preserve">7511 MESA </t>
  </si>
  <si>
    <t>AUNDRE SHANE TYQUIENGCO</t>
  </si>
  <si>
    <t xml:space="preserve">23903 CREEK RIDGE RD </t>
  </si>
  <si>
    <t>JOSEPH DABILA</t>
  </si>
  <si>
    <t xml:space="preserve">1201 WELLINGTON ST </t>
  </si>
  <si>
    <t>REAGAN EMILEE MORRIS</t>
  </si>
  <si>
    <t>6411 HARDWOOD DALE W AY</t>
  </si>
  <si>
    <t>JOSE MENDOZA-TEJEDA</t>
  </si>
  <si>
    <t>6323 ENCENADA GREEN TRL</t>
  </si>
  <si>
    <t>DAWN FAITH GUTIERREZ</t>
  </si>
  <si>
    <t>10011 SPRINGWOOD FORR EST DR</t>
  </si>
  <si>
    <t>ZACHARY SOUZA</t>
  </si>
  <si>
    <t xml:space="preserve">1008 N SHEPARD </t>
  </si>
  <si>
    <t>RODNEY ANDREW ABRAMCIK</t>
  </si>
  <si>
    <t xml:space="preserve">2010 LAURA LN </t>
  </si>
  <si>
    <t>ROBERT WAYNE STEVENSON</t>
  </si>
  <si>
    <t>2235 N SAN ANTONIO S T</t>
  </si>
  <si>
    <t>KENNETH PAGAN</t>
  </si>
  <si>
    <t>19438 TAHOKA SPRINGS DR</t>
  </si>
  <si>
    <t>GINA ROSEMARIE MULLINS</t>
  </si>
  <si>
    <t xml:space="preserve">19103 ATASCA OAKS </t>
  </si>
  <si>
    <t>JULIO CESAR BARRERA</t>
  </si>
  <si>
    <t>CLARENCE JONES</t>
  </si>
  <si>
    <t xml:space="preserve">15826 LAND VIEW DR </t>
  </si>
  <si>
    <t>ITZEL LOPEZ</t>
  </si>
  <si>
    <t xml:space="preserve">3826 MARZIA AVE </t>
  </si>
  <si>
    <t>FRESNO TX 44545</t>
  </si>
  <si>
    <t>GABRIEL DEAMON HEDGEMON</t>
  </si>
  <si>
    <t xml:space="preserve">511 WELLINGTON ST </t>
  </si>
  <si>
    <t>CARLOS ALBERTO ALANIS</t>
  </si>
  <si>
    <t xml:space="preserve">1024 MATAMOROS ST </t>
  </si>
  <si>
    <t>MISSION TX 78572</t>
  </si>
  <si>
    <t>ELMER OVIDIO RECINOS MAZARIEGOS</t>
  </si>
  <si>
    <t xml:space="preserve">2818 CROMWELL ST </t>
  </si>
  <si>
    <t>DERYCK PETER</t>
  </si>
  <si>
    <t xml:space="preserve">1404 WILSON RD </t>
  </si>
  <si>
    <t>RHENYA PARKER</t>
  </si>
  <si>
    <t xml:space="preserve">150 N SOTO ST </t>
  </si>
  <si>
    <t>LOS ANGELE CA 90033</t>
  </si>
  <si>
    <t>ALESHA RENA BOHOT</t>
  </si>
  <si>
    <t xml:space="preserve">9206 MIRAWOOD </t>
  </si>
  <si>
    <t>MERCEDES SPENCER</t>
  </si>
  <si>
    <t xml:space="preserve">17710 RED OAK DR </t>
  </si>
  <si>
    <t>JESSICA ANAHI GONZAGA</t>
  </si>
  <si>
    <t xml:space="preserve">258 ROBMORE </t>
  </si>
  <si>
    <t>GENEVA AFRICA JOHNSON</t>
  </si>
  <si>
    <t xml:space="preserve">3230 S GESSNER RD </t>
  </si>
  <si>
    <t>GEORGE GIRGIS AGAYBI</t>
  </si>
  <si>
    <t>16114 PELICAN BEACH L N</t>
  </si>
  <si>
    <t>COM</t>
  </si>
  <si>
    <t xml:space="preserve">    </t>
  </si>
  <si>
    <t>B</t>
  </si>
  <si>
    <t>HOUSTON</t>
  </si>
  <si>
    <t>TX</t>
  </si>
  <si>
    <t>AAT</t>
  </si>
  <si>
    <t>APPOINTED DEFENSE ATTORNEY</t>
  </si>
  <si>
    <t xml:space="preserve">  </t>
  </si>
  <si>
    <t>N</t>
  </si>
  <si>
    <t>SOUTH HOUS</t>
  </si>
  <si>
    <t>IL</t>
  </si>
  <si>
    <t>US</t>
  </si>
  <si>
    <t>MISSOURI C</t>
  </si>
  <si>
    <t xml:space="preserve">     </t>
  </si>
  <si>
    <t>LA</t>
  </si>
  <si>
    <t>KATY</t>
  </si>
  <si>
    <t>RICHMOND</t>
  </si>
  <si>
    <t>BAYTOWN</t>
  </si>
  <si>
    <t>DAT</t>
  </si>
  <si>
    <t>APPOINTED PUBLIC DEFENDER</t>
  </si>
  <si>
    <t>MIN</t>
  </si>
  <si>
    <t xml:space="preserve">GREENS RD </t>
  </si>
  <si>
    <t>LA PORTE</t>
  </si>
  <si>
    <t>PASADENA</t>
  </si>
  <si>
    <t>HUMBLE</t>
  </si>
  <si>
    <t>MM</t>
  </si>
  <si>
    <t>MI</t>
  </si>
  <si>
    <t>SPRING</t>
  </si>
  <si>
    <t>NG</t>
  </si>
  <si>
    <t>TOMBALL</t>
  </si>
  <si>
    <t>GT</t>
  </si>
  <si>
    <t>CYPRESS</t>
  </si>
  <si>
    <t>MX</t>
  </si>
  <si>
    <t>O</t>
  </si>
  <si>
    <t>CA</t>
  </si>
  <si>
    <t>EL</t>
  </si>
  <si>
    <t>ARSON</t>
  </si>
  <si>
    <t>FRIENDSWOO</t>
  </si>
  <si>
    <t>CAR</t>
  </si>
  <si>
    <t xml:space="preserve">ELLA BLVD </t>
  </si>
  <si>
    <t>GOOCH, LORI JANELLE</t>
  </si>
  <si>
    <t>POSS DANGEROUS DRUG</t>
  </si>
  <si>
    <t>SUGAR LAND</t>
  </si>
  <si>
    <t>KINGWOOD</t>
  </si>
  <si>
    <t>COM, COM</t>
  </si>
  <si>
    <t>AGG ASSAULT-FAMILY MEMBER, FELON POSS WPN</t>
  </si>
  <si>
    <t>F, F</t>
  </si>
  <si>
    <t xml:space="preserve">, </t>
  </si>
  <si>
    <t>UNAUTH USE OF VEHICLE, BURGLARY OF A BUILDING</t>
  </si>
  <si>
    <t>FRAUD USE/POSS CRDIT/DEBIT CAR, FRAUD USE/POSS CRDIT/DEBIT CAR, FRAUD USE/POSS CRDIT/DEBIT CAR</t>
  </si>
  <si>
    <t>MIN, MIN</t>
  </si>
  <si>
    <t>3, 3</t>
  </si>
  <si>
    <t>M, M</t>
  </si>
  <si>
    <t>ASSAULT PEACE OFFICER, RETALIATION</t>
  </si>
  <si>
    <t>ASLT FAM/HOUSE MEM IMPED BRTH/, FELON POSS WPN</t>
  </si>
  <si>
    <t>TERRORISTIC THREAT, TERRORISTIC THREAT</t>
  </si>
  <si>
    <t>COM, MIN</t>
  </si>
  <si>
    <t>THEFT &gt;=2,500 &lt;30,000, UNLAW CARRY WPN</t>
  </si>
  <si>
    <t>F, M</t>
  </si>
  <si>
    <t>TERRORISTIC THREAT FAMILY/HOUS, UNLAW CARRY WPN</t>
  </si>
  <si>
    <t>CONTINUOUS VIOL AGAINST THE FA, UNLAW CARRY WPN</t>
  </si>
  <si>
    <t>ASSAULT-BODILY INJURY, CRIM MISCH &gt;=100 &lt;$750</t>
  </si>
  <si>
    <t>THOMAS A. SWEET</t>
  </si>
  <si>
    <t xml:space="preserve">218 E 44TH ST </t>
  </si>
  <si>
    <t>CLEVELAND WILLIAMS</t>
  </si>
  <si>
    <t xml:space="preserve">4231 ANNAWOOD CIRCLE </t>
  </si>
  <si>
    <t>MORRIS BELL</t>
  </si>
  <si>
    <t>7526 MARTIN LUTHER K ING</t>
  </si>
  <si>
    <t>TIMOTHY DEWAYNE VALYAN</t>
  </si>
  <si>
    <t xml:space="preserve">6031 BELCREST </t>
  </si>
  <si>
    <t>ROBERT NICKELS</t>
  </si>
  <si>
    <t xml:space="preserve">10100 S GESSNER RD </t>
  </si>
  <si>
    <t>CEOTIS EGLAND</t>
  </si>
  <si>
    <t xml:space="preserve">2116 CONKLIN ST </t>
  </si>
  <si>
    <t>DANIEL DELMIRO CHAPA</t>
  </si>
  <si>
    <t xml:space="preserve">2804 CAMILLE ST </t>
  </si>
  <si>
    <t>JESSIE LEE BORN</t>
  </si>
  <si>
    <t xml:space="preserve">3601 JOSEPHINE ST </t>
  </si>
  <si>
    <t>WILLIAMS BRADLEY SANDERS</t>
  </si>
  <si>
    <t xml:space="preserve">14802 FOREST LODGE DR </t>
  </si>
  <si>
    <t>JEREMY WOOD</t>
  </si>
  <si>
    <t xml:space="preserve">7819 OAK EDGE COURT </t>
  </si>
  <si>
    <t>SPRING TX 77398</t>
  </si>
  <si>
    <t>RICARDO JOSE RODRIGUEZ</t>
  </si>
  <si>
    <t xml:space="preserve">580 S PARKTOWN DR </t>
  </si>
  <si>
    <t>SAMUEL CASTILLO</t>
  </si>
  <si>
    <t xml:space="preserve">1904 OAKS DR </t>
  </si>
  <si>
    <t>BARLOS REYNARD ANDERSON</t>
  </si>
  <si>
    <t xml:space="preserve">17310 LEGEND BROOK CT </t>
  </si>
  <si>
    <t>RUSSELL BRADFORD</t>
  </si>
  <si>
    <t>14102 TWISTED RATTAN LN</t>
  </si>
  <si>
    <t>MICHAEL BRANDON QUICK</t>
  </si>
  <si>
    <t xml:space="preserve">5252 SHAW RD </t>
  </si>
  <si>
    <t>ULISHA JOHNSON</t>
  </si>
  <si>
    <t xml:space="preserve">855 GREENS RD </t>
  </si>
  <si>
    <t>LANCE LEON MEARS</t>
  </si>
  <si>
    <t>JESSICA MARIE WITT</t>
  </si>
  <si>
    <t xml:space="preserve">1838 STRONGS CT </t>
  </si>
  <si>
    <t>JIMMY GOMEZ</t>
  </si>
  <si>
    <t xml:space="preserve">812 SHAVER ST </t>
  </si>
  <si>
    <t>AARON MICHAEL SOLIZ</t>
  </si>
  <si>
    <t xml:space="preserve">14606 WIND LAWN DR </t>
  </si>
  <si>
    <t>DEANGELO MATTHEW CARDIN</t>
  </si>
  <si>
    <t xml:space="preserve">6934 PARIS ST.UNIT A </t>
  </si>
  <si>
    <t>LOUIS RIOJAS</t>
  </si>
  <si>
    <t xml:space="preserve">310 SUNNYSIDE ST </t>
  </si>
  <si>
    <t>JERMAINE LAVELL PHILLIPS</t>
  </si>
  <si>
    <t xml:space="preserve">6226 FAIRCHILD ST </t>
  </si>
  <si>
    <t>CRAIG ANTHONY STEVENSON</t>
  </si>
  <si>
    <t xml:space="preserve">2312 ROBERTS </t>
  </si>
  <si>
    <t>CHARLES MICHAEL LEWIS</t>
  </si>
  <si>
    <t xml:space="preserve">87 LYERLY ST </t>
  </si>
  <si>
    <t>FREDRICK LEE GREEN</t>
  </si>
  <si>
    <t>2215 AVENIDA LA QUIN TA ST</t>
  </si>
  <si>
    <t>MARQUIS TUCKER</t>
  </si>
  <si>
    <t xml:space="preserve">1200 BAKER STREET </t>
  </si>
  <si>
    <t>SANTOS BALLEZA</t>
  </si>
  <si>
    <t xml:space="preserve">618 CORTLAND ST </t>
  </si>
  <si>
    <t>EDUARDO RODRIGUEZ</t>
  </si>
  <si>
    <t xml:space="preserve">8701 HAMMERLY BLVD </t>
  </si>
  <si>
    <t>TORREZZ MONTRELL MIDDLETON</t>
  </si>
  <si>
    <t>505 CYPRESS STATION DR APT 80</t>
  </si>
  <si>
    <t>FRANCISCO JAVIER BALLEZA</t>
  </si>
  <si>
    <t xml:space="preserve">618 CORTLANDT </t>
  </si>
  <si>
    <t>MICHAEL D WILLIAMS</t>
  </si>
  <si>
    <t>MICHAEL LLOYD ALFRED</t>
  </si>
  <si>
    <t>6061 E SAM HOUSTON P KWY  APT 4</t>
  </si>
  <si>
    <t>JAKEI TYKEEM LUNDY</t>
  </si>
  <si>
    <t xml:space="preserve">311 PARAMATTA LANE </t>
  </si>
  <si>
    <t>DARIUS WILLIAMS</t>
  </si>
  <si>
    <t>JESUS RODRIGUEZ</t>
  </si>
  <si>
    <t>ZACKERY RYAN BRINSON</t>
  </si>
  <si>
    <t xml:space="preserve">12119 LONG OAK CT </t>
  </si>
  <si>
    <t>HOUSTON TX 7770</t>
  </si>
  <si>
    <t>MARTIN KING</t>
  </si>
  <si>
    <t xml:space="preserve">13134 EDGEHILL DRIVE </t>
  </si>
  <si>
    <t>MELONEE MONE HENDERSON</t>
  </si>
  <si>
    <t xml:space="preserve">15414 KUYKENDAHL </t>
  </si>
  <si>
    <t>JULIUS DEVON WILLIS</t>
  </si>
  <si>
    <t xml:space="preserve">24151 STARGAZER POINT </t>
  </si>
  <si>
    <t>LANTRANETTE SHANTE JOHNSON</t>
  </si>
  <si>
    <t xml:space="preserve">7706 SHARONDALE DR </t>
  </si>
  <si>
    <t>NICHOLAS MCMILLIA</t>
  </si>
  <si>
    <t>JOSHUA IRVING CALDWELL</t>
  </si>
  <si>
    <t xml:space="preserve">22820 IMPERIAL VALLEY </t>
  </si>
  <si>
    <t>ELEAZAR ESPINOBARROS</t>
  </si>
  <si>
    <t xml:space="preserve">402 GARNER </t>
  </si>
  <si>
    <t>LACEY DALTON</t>
  </si>
  <si>
    <t>5815 EVENING SHADOW LN</t>
  </si>
  <si>
    <t>LIOSVANY JORGE RODRIQUEZ</t>
  </si>
  <si>
    <t>9401 BEECHUNUT ST AP T 207</t>
  </si>
  <si>
    <t>THOMAS TAYLOR WALSH</t>
  </si>
  <si>
    <t>306 SHORE SHADOWS D R.</t>
  </si>
  <si>
    <t>JESSICA GLYNN JACKSON</t>
  </si>
  <si>
    <t xml:space="preserve">5715 BELCREST ST </t>
  </si>
  <si>
    <t>THOMAS FRANKLIN</t>
  </si>
  <si>
    <t>VINCENT MATTHEW SMITH</t>
  </si>
  <si>
    <t>812526 TEXAS ARMY TRAI L</t>
  </si>
  <si>
    <t>KAYLA SHANELL TAYLOR</t>
  </si>
  <si>
    <t>RAUL MONTES</t>
  </si>
  <si>
    <t xml:space="preserve">7093 BAUMAN RD </t>
  </si>
  <si>
    <t>JAMEN WESLEY MATHIS</t>
  </si>
  <si>
    <t>4406 RICHLAND  CHAMB ERS LN</t>
  </si>
  <si>
    <t>MOISES ANTHONY GARCIA</t>
  </si>
  <si>
    <t xml:space="preserve">26018 ORLEANS AVE </t>
  </si>
  <si>
    <t>ANDREW RODRIGUEZ</t>
  </si>
  <si>
    <t>ERIC EDUARDO MEZA</t>
  </si>
  <si>
    <t xml:space="preserve">9722 MARYDEL ST </t>
  </si>
  <si>
    <t>B. WILEY LAWSON</t>
  </si>
  <si>
    <t>CHRISTOPHER PAZ</t>
  </si>
  <si>
    <t xml:space="preserve">420 E WALLISVILLE </t>
  </si>
  <si>
    <t>ADRIAN SPROTT</t>
  </si>
  <si>
    <t>58 LAKE STERLING G ATE DR</t>
  </si>
  <si>
    <t>PAUL JOHNNY COOPER</t>
  </si>
  <si>
    <t xml:space="preserve">3367 BIG DALTON AVE </t>
  </si>
  <si>
    <t>BALDWIN PA CA 71706</t>
  </si>
  <si>
    <t xml:space="preserve">4210 YOUNG ST 222 </t>
  </si>
  <si>
    <t>EBENEZER OKE OWOLABI</t>
  </si>
  <si>
    <t xml:space="preserve">23222 SNOWY RIDGE DR </t>
  </si>
  <si>
    <t>JEWEL A HANCOCK</t>
  </si>
  <si>
    <t xml:space="preserve">13911 ROUND OAK CT </t>
  </si>
  <si>
    <t>YEWANDA ANNETTE ONIYA</t>
  </si>
  <si>
    <t xml:space="preserve">14501 EMPANADA DR </t>
  </si>
  <si>
    <t>FRANCISCO SAUL FLORES</t>
  </si>
  <si>
    <t xml:space="preserve">1200 NORTHWOOD </t>
  </si>
  <si>
    <t>EMERIE REBECCA LEAL</t>
  </si>
  <si>
    <t xml:space="preserve">8215 ARROWHEAD LN </t>
  </si>
  <si>
    <t>CARLY RHEA ZARATE</t>
  </si>
  <si>
    <t xml:space="preserve">830 FERN SPRINGS CT </t>
  </si>
  <si>
    <t>JOVANY CABRERA</t>
  </si>
  <si>
    <t xml:space="preserve">7102 TUCK ST </t>
  </si>
  <si>
    <t>LAQWENTIS LAKEITH BUSH ADAMS</t>
  </si>
  <si>
    <t>3411 WALNUT BEND LAN E</t>
  </si>
  <si>
    <t>OLIVIA HOGAN</t>
  </si>
  <si>
    <t>8701 TOWN PARK DR 11 17</t>
  </si>
  <si>
    <t>OLGA NANCY ESPARZA</t>
  </si>
  <si>
    <t>QADRY RONDE WILLIAMS</t>
  </si>
  <si>
    <t>301 W LITTLE YORK R D</t>
  </si>
  <si>
    <t>ALFREDO DANIEL GARZA</t>
  </si>
  <si>
    <t>TREVOR JAMES SOLON</t>
  </si>
  <si>
    <t xml:space="preserve">200 KELLINGTON DR </t>
  </si>
  <si>
    <t>SEAN BOB</t>
  </si>
  <si>
    <t xml:space="preserve">323 FALK AVE </t>
  </si>
  <si>
    <t>SAMUEL ISAI ARRIETA</t>
  </si>
  <si>
    <t>7201 SPENCER HWY APT 39</t>
  </si>
  <si>
    <t>TYESHIA NICOLE CAMPBELL</t>
  </si>
  <si>
    <t>529 BARKER CLODINE RD</t>
  </si>
  <si>
    <t>CAMRON DEON GASSAWAY</t>
  </si>
  <si>
    <t xml:space="preserve">12209 LANGLEY HILL </t>
  </si>
  <si>
    <t>FORT WORTH TX 76244</t>
  </si>
  <si>
    <t>818 MANOR ST.</t>
  </si>
  <si>
    <t>HOUSTON TX 77587</t>
  </si>
  <si>
    <t>414 AVE A SOUTH</t>
  </si>
  <si>
    <t>AGG SEX ASSLT CHILD-UNDER 14</t>
  </si>
  <si>
    <t>JACINTO CI</t>
  </si>
  <si>
    <t>LEAGUE CIT</t>
  </si>
  <si>
    <t>DRIVING WHILE INTOXICATED, DRIVING WHILE INTOXICATED</t>
  </si>
  <si>
    <t>CRIMINAL TRESPASS, ASSAULT-FAMILY MEMBER</t>
  </si>
  <si>
    <t>44225, 44225</t>
  </si>
  <si>
    <t>CARRYING HANDGUN IN MOTOR VEHI, DWI 1ST OFFENDER BAC&gt;=0.15</t>
  </si>
  <si>
    <t>DRIVING WHILE INTOXICATED, DRIVING WHILE LIC SUSPENDED -</t>
  </si>
  <si>
    <t>ASSLT FAM/HOUSEHOLD MEM W/PREV, CONTINUOUS VIOL AGAINST THE FA</t>
  </si>
  <si>
    <t>EVADING ARREST/DETENTION W/VEH, DWI 1ST OFFENDER BAC&gt;=0.15</t>
  </si>
  <si>
    <t>CRIMINAL MISCHIEF &gt;=$750&lt;$2,50, ASSAULT-BODILY INJURY</t>
  </si>
  <si>
    <t>KENNETH WAYNE MURPHY</t>
  </si>
  <si>
    <t xml:space="preserve">8106 ERIN CT </t>
  </si>
  <si>
    <t>DENISE SMITH</t>
  </si>
  <si>
    <t xml:space="preserve">804 MARTIN ST </t>
  </si>
  <si>
    <t>PAT H. HARPER</t>
  </si>
  <si>
    <t>10326 CUTTING HORSE L N</t>
  </si>
  <si>
    <t>CARL LEE</t>
  </si>
  <si>
    <t xml:space="preserve">2104 CANAL ST </t>
  </si>
  <si>
    <t>LONNIE LEE SOWELL</t>
  </si>
  <si>
    <t xml:space="preserve">7600 E HOUSTON RD </t>
  </si>
  <si>
    <t>RAMIRO RAMIREZ NINO</t>
  </si>
  <si>
    <t xml:space="preserve">10618 WAYWARD WIND LN </t>
  </si>
  <si>
    <t>JERSEY VIL TX 77064</t>
  </si>
  <si>
    <t>CHRISTOPHER D. LEWIS</t>
  </si>
  <si>
    <t xml:space="preserve">4814 CAVALCADE ST </t>
  </si>
  <si>
    <t>CHRISTOPHER ALLEN PINKNEY</t>
  </si>
  <si>
    <t xml:space="preserve">1202 AVE E </t>
  </si>
  <si>
    <t>BRIAN M OSBORNE</t>
  </si>
  <si>
    <t xml:space="preserve">6212 NORTHLINE DR </t>
  </si>
  <si>
    <t>EDMUNDO AGUIRRE</t>
  </si>
  <si>
    <t xml:space="preserve">722 ROUSE ST </t>
  </si>
  <si>
    <t>BRODRICK T NELSON</t>
  </si>
  <si>
    <t xml:space="preserve">2418 KENBRIGE </t>
  </si>
  <si>
    <t>KHALFANI FLUCKER</t>
  </si>
  <si>
    <t xml:space="preserve">6526 BANTA DR </t>
  </si>
  <si>
    <t>JACOB JASPER MANUELL</t>
  </si>
  <si>
    <t xml:space="preserve">913 CURRY ST </t>
  </si>
  <si>
    <t>DAMIEN DEON LEWIS</t>
  </si>
  <si>
    <t xml:space="preserve">6631 HOPPER </t>
  </si>
  <si>
    <t>KARLA ELVIRA COHEN</t>
  </si>
  <si>
    <t xml:space="preserve">8230 WADE RD </t>
  </si>
  <si>
    <t>JUAN CARLOS AMEZCUA</t>
  </si>
  <si>
    <t xml:space="preserve">610 KEITH AVE </t>
  </si>
  <si>
    <t>JAIME GUTIERREZ</t>
  </si>
  <si>
    <t xml:space="preserve">307 STRATFORD </t>
  </si>
  <si>
    <t>JOHN ANTHONY BOONE</t>
  </si>
  <si>
    <t xml:space="preserve">8340 LEAMONT DR </t>
  </si>
  <si>
    <t>LUZ MAGALY LUCIO</t>
  </si>
  <si>
    <t xml:space="preserve">10202 QUIET VALLEY LN </t>
  </si>
  <si>
    <t>MAX FRANCISCO RAMIREZ</t>
  </si>
  <si>
    <t xml:space="preserve">13322 TOWNWOOD DR </t>
  </si>
  <si>
    <t>JOSE V PEREZ-RIVAS</t>
  </si>
  <si>
    <t xml:space="preserve">7911 S GESSNER RD </t>
  </si>
  <si>
    <t>RAY WASHINGTON</t>
  </si>
  <si>
    <t xml:space="preserve">16819 PARRINGTON LN </t>
  </si>
  <si>
    <t>KERRY GLENN MORGAN</t>
  </si>
  <si>
    <t xml:space="preserve">4006 BYTRAIL CT </t>
  </si>
  <si>
    <t>DEZMOND DESEAN SMITH</t>
  </si>
  <si>
    <t>19315 MONTCLAIR MEADO W LN</t>
  </si>
  <si>
    <t>SAMUEL REYES</t>
  </si>
  <si>
    <t xml:space="preserve">6311 HEATHERBROOK DR </t>
  </si>
  <si>
    <t>EDAR ABDI NAVARRO</t>
  </si>
  <si>
    <t xml:space="preserve">8010 WETHERBY LN </t>
  </si>
  <si>
    <t>MIGUEL LOPEZ</t>
  </si>
  <si>
    <t xml:space="preserve">5517 MAKEIG ST </t>
  </si>
  <si>
    <t xml:space="preserve">16222 RIDLON ST </t>
  </si>
  <si>
    <t>TRAVIS RAY PRATT</t>
  </si>
  <si>
    <t xml:space="preserve">812 TABOR ST </t>
  </si>
  <si>
    <t>SAMUEL ROBERT STRAIN</t>
  </si>
  <si>
    <t xml:space="preserve">903 WEST ST </t>
  </si>
  <si>
    <t>JUAN MIGUEL GARCIA</t>
  </si>
  <si>
    <t xml:space="preserve">1522 SQUIRE DR </t>
  </si>
  <si>
    <t>SARAH MARIE BREWER</t>
  </si>
  <si>
    <t xml:space="preserve">95 MEYER RD </t>
  </si>
  <si>
    <t>CHRISTOPHER DONNELL JOHNSON</t>
  </si>
  <si>
    <t xml:space="preserve">545 NORTHAIRE DR </t>
  </si>
  <si>
    <t>QUINTIN EARL JUSTICE</t>
  </si>
  <si>
    <t xml:space="preserve">1046 DOLLY WRIGHT </t>
  </si>
  <si>
    <t>ERIC TYRONE</t>
  </si>
  <si>
    <t xml:space="preserve">3502 ROOSEVELT DR </t>
  </si>
  <si>
    <t>MIDLAND TX 79703</t>
  </si>
  <si>
    <t>TADRICK BOBBY TEZENO</t>
  </si>
  <si>
    <t xml:space="preserve">18826 BERSCIA LN </t>
  </si>
  <si>
    <t>JOSE BERUMEN</t>
  </si>
  <si>
    <t xml:space="preserve">621 SHAVER ST </t>
  </si>
  <si>
    <t>EDGAR E ARMENDARIZ</t>
  </si>
  <si>
    <t xml:space="preserve">13306 WALTON ROAD </t>
  </si>
  <si>
    <t>WILLIAM NEDDY GARZA</t>
  </si>
  <si>
    <t xml:space="preserve">5637 MELANITE ST. </t>
  </si>
  <si>
    <t>JOSE GARCIA</t>
  </si>
  <si>
    <t xml:space="preserve">9002 SUNNYWOOD DR </t>
  </si>
  <si>
    <t>DARIUS JUBERT</t>
  </si>
  <si>
    <t xml:space="preserve">3208 LONDON CT </t>
  </si>
  <si>
    <t>MASON DEARBORN</t>
  </si>
  <si>
    <t xml:space="preserve">2222 SMITH ST </t>
  </si>
  <si>
    <t>ELIAS OJEDA</t>
  </si>
  <si>
    <t xml:space="preserve">2214 BRIMMAGE DRIVE </t>
  </si>
  <si>
    <t>DEMARCUS ANGELO STEPHENSON</t>
  </si>
  <si>
    <t xml:space="preserve">1086 MARJORIE ST </t>
  </si>
  <si>
    <t>ANTHONY MELIC BRYANT</t>
  </si>
  <si>
    <t xml:space="preserve">12221 S KIRKWOOD RD </t>
  </si>
  <si>
    <t>MEADOWS PL TX 77477</t>
  </si>
  <si>
    <t>NICHOLAS CHRISTIAN RAMOS</t>
  </si>
  <si>
    <t xml:space="preserve">401 S BENDER AVE </t>
  </si>
  <si>
    <t>EDGAR ISAAC MACIAS</t>
  </si>
  <si>
    <t xml:space="preserve">511 MISTYWOOD DR </t>
  </si>
  <si>
    <t>HARRIS CO TX 77090</t>
  </si>
  <si>
    <t>EUJEAN SCOTT STEVENS</t>
  </si>
  <si>
    <t xml:space="preserve">10922 RITOW </t>
  </si>
  <si>
    <t>ANTOINE RIDGE</t>
  </si>
  <si>
    <t xml:space="preserve">16202 COYOTE RUN LN </t>
  </si>
  <si>
    <t>ELIZABETH ANN LOPEZ</t>
  </si>
  <si>
    <t xml:space="preserve">10110 LOST TRAIL ST </t>
  </si>
  <si>
    <t>CAMERON DEVANTE GUY</t>
  </si>
  <si>
    <t>8323 RIVERBEND CANYO N LN</t>
  </si>
  <si>
    <t>IRVING GUZMAN ZALDIVAR</t>
  </si>
  <si>
    <t xml:space="preserve">12823 HIGH STAR DR </t>
  </si>
  <si>
    <t>BRITNEY RIE LAVINE</t>
  </si>
  <si>
    <t>WILLIAM Z DE ARMAS</t>
  </si>
  <si>
    <t xml:space="preserve">5715 BUCKOW DR </t>
  </si>
  <si>
    <t>TIMOTHY LEE HUNTER</t>
  </si>
  <si>
    <t xml:space="preserve">1415 S VOSS STE 437 </t>
  </si>
  <si>
    <t>ALFREDO JOSE PENA</t>
  </si>
  <si>
    <t xml:space="preserve">10410 MUSCATINE </t>
  </si>
  <si>
    <t>ALLICYN LYNN ADAMS</t>
  </si>
  <si>
    <t xml:space="preserve">3610 SAGE POINTE CT </t>
  </si>
  <si>
    <t>ARMANDO CHAVANA</t>
  </si>
  <si>
    <t xml:space="preserve">2512 HUNTINGTON DR </t>
  </si>
  <si>
    <t>EVERARDO ALLEN PENA</t>
  </si>
  <si>
    <t xml:space="preserve">1303 MATAMOROS ST </t>
  </si>
  <si>
    <t>ARNOLD KURT ARAOZ</t>
  </si>
  <si>
    <t>8727 POINT PARK DR A PT 1711</t>
  </si>
  <si>
    <t>JASLYNNE DIANE BURRELL</t>
  </si>
  <si>
    <t xml:space="preserve">6200 W TIDWELL 1704 </t>
  </si>
  <si>
    <t>STEVEN MICHAEL GONZALEZ</t>
  </si>
  <si>
    <t xml:space="preserve">2018 SEIBER DR </t>
  </si>
  <si>
    <t>GERSON RAMIREZ</t>
  </si>
  <si>
    <t xml:space="preserve">19610 FM 362 </t>
  </si>
  <si>
    <t>BRAXTON DOUGLAS FRANKS</t>
  </si>
  <si>
    <t xml:space="preserve">13218 GRANTMOOR LANE </t>
  </si>
  <si>
    <t>MARIO ARTEGA RUIZ</t>
  </si>
  <si>
    <t>4011 BRIGHTON SPRING S</t>
  </si>
  <si>
    <t>JARIUS JALEEL-RISHARD SIRLS</t>
  </si>
  <si>
    <t>14334 BUFFALO SPEEDWA Y</t>
  </si>
  <si>
    <t>JOSE LOPEZ DE LEON</t>
  </si>
  <si>
    <t>8600 S COURSE DR APT 2610</t>
  </si>
  <si>
    <t>DEONTE HENDERSON</t>
  </si>
  <si>
    <t>2600 WESTRIDGE ST 36 1</t>
  </si>
  <si>
    <t>GAIBREAL TARIQ BELL</t>
  </si>
  <si>
    <t>JOHNATHON REECE RANEY</t>
  </si>
  <si>
    <t>5751 GREENHOUSE RD A PT 924</t>
  </si>
  <si>
    <t>JORGE ALBERTO PACAJOJ CALEL</t>
  </si>
  <si>
    <t xml:space="preserve">6419 SKYLINE DR </t>
  </si>
  <si>
    <t>RAO AHAD KHAN</t>
  </si>
  <si>
    <t xml:space="preserve">13129 HAVEN FALLS LN </t>
  </si>
  <si>
    <t>LENNIN VARGAS</t>
  </si>
  <si>
    <t xml:space="preserve">2527 WOODTOWN DR </t>
  </si>
  <si>
    <t>HECTOR DANILO LAGOS FLORES</t>
  </si>
  <si>
    <t xml:space="preserve">7200 STONE </t>
  </si>
  <si>
    <t>MIGUEL AGUSTIN MARTINEZ MATA</t>
  </si>
  <si>
    <t>701 PRESTON AVE APT 173</t>
  </si>
  <si>
    <t>MANUEL TAMBRIZ</t>
  </si>
  <si>
    <t>10210 FORUM PARK DR A PT 409</t>
  </si>
  <si>
    <t>SIERRA JACKSON</t>
  </si>
  <si>
    <t xml:space="preserve">12118 POMPTON DR </t>
  </si>
  <si>
    <t>HUAWEI TANG</t>
  </si>
  <si>
    <t xml:space="preserve">6721 WESTCHESTER </t>
  </si>
  <si>
    <t>ABNER OBED BALA ORDONEZ</t>
  </si>
  <si>
    <t xml:space="preserve">10555 SPICE LN 1701 </t>
  </si>
  <si>
    <t>NICHOLAS SCOT CHIPMAN</t>
  </si>
  <si>
    <t xml:space="preserve">416 SUMMER PLACE CT </t>
  </si>
  <si>
    <t>ESDRAS VELASQUEZ AGUSTIN</t>
  </si>
  <si>
    <t xml:space="preserve">1113 WELLINGTON ST </t>
  </si>
  <si>
    <t>MIGUEL ANGEL TREJO RAMIREZ</t>
  </si>
  <si>
    <t>6200 W BELLFORT AVE 105</t>
  </si>
  <si>
    <t>CARISHA LUPREE WILSON</t>
  </si>
  <si>
    <t>9100 WESTHEIMER RD S TE 233</t>
  </si>
  <si>
    <t>SATMITAR KHALSA</t>
  </si>
  <si>
    <t xml:space="preserve">777 BERING DR 714B </t>
  </si>
  <si>
    <t>4000 WATONGA BLVD 24 01</t>
  </si>
  <si>
    <t>SANTOS NUNEZ</t>
  </si>
  <si>
    <t xml:space="preserve">4415 S SHAVER ST 107 </t>
  </si>
  <si>
    <t>HOUSTON TX 77504</t>
  </si>
  <si>
    <t>JOHN THOMAS FELPS</t>
  </si>
  <si>
    <t xml:space="preserve">1018 FUCHSIA DR </t>
  </si>
  <si>
    <t>WILLIAM DAVIS</t>
  </si>
  <si>
    <t xml:space="preserve">3788 RICHMOND AVE </t>
  </si>
  <si>
    <t>HOUSTON TX 77046</t>
  </si>
  <si>
    <t>MARIA MAGDALENA CORTEZ MARTINEZ</t>
  </si>
  <si>
    <t xml:space="preserve">9393 TIDWELL RD 2512 </t>
  </si>
  <si>
    <t>MERCEDES ASHLEY MENDEZ</t>
  </si>
  <si>
    <t xml:space="preserve">101 MENDEZ RD </t>
  </si>
  <si>
    <t>WILLIS TX 77375</t>
  </si>
  <si>
    <t>CHRISTIAN DAVID CORLEY</t>
  </si>
  <si>
    <t xml:space="preserve">5401 CHIMNEY ROCK RD </t>
  </si>
  <si>
    <t>JORGE SEGOVIA CEPEDA</t>
  </si>
  <si>
    <t>9031 AUTUMNSONG DRIV E</t>
  </si>
  <si>
    <t>LOGAN GRIFFEN</t>
  </si>
  <si>
    <t xml:space="preserve">6703 SEALEY ST </t>
  </si>
  <si>
    <t>ALONZO RAMIREZ</t>
  </si>
  <si>
    <t>HOUSTON TX 78572</t>
  </si>
  <si>
    <t>JESUS HERNANDEZ-BONILLA</t>
  </si>
  <si>
    <t>6808 HEARTHER HOLLOW DR</t>
  </si>
  <si>
    <t>CHRISTINA DYNES</t>
  </si>
  <si>
    <t xml:space="preserve">7402 BLUE JAY DR </t>
  </si>
  <si>
    <t>TEXAS CITY TX 77591</t>
  </si>
  <si>
    <t>YOHINER ALEXANDER PENA</t>
  </si>
  <si>
    <t>19920 FOXWOOD FOREST BLVD</t>
  </si>
  <si>
    <t>CORY ANTHONY SHELBY</t>
  </si>
  <si>
    <t xml:space="preserve">4042 LAURA LEIGH LN </t>
  </si>
  <si>
    <t>KAREN ELIZABETH HUME</t>
  </si>
  <si>
    <t xml:space="preserve">418 HICKORY POST LN </t>
  </si>
  <si>
    <t>JEFFREY MICHAEL BOSO</t>
  </si>
  <si>
    <t xml:space="preserve">29307 BRUSHY TRL </t>
  </si>
  <si>
    <t>HOUSTON TX 77447</t>
  </si>
  <si>
    <t>ISMEL GONZALEZ CONSUEGRA</t>
  </si>
  <si>
    <t>5300 DE SOTO ST APT 1408</t>
  </si>
  <si>
    <t>SHAWN TELL</t>
  </si>
  <si>
    <t xml:space="preserve">1523B  HADDON STREET </t>
  </si>
  <si>
    <t>VICTOR CARLOS CRUZ</t>
  </si>
  <si>
    <t xml:space="preserve">6611 SPRING LEAF DR </t>
  </si>
  <si>
    <t>PEDRO ANTONIO GUTIERREZ</t>
  </si>
  <si>
    <t xml:space="preserve">8021 LEIGH RD </t>
  </si>
  <si>
    <t>ABIGAIL VALENTIN LOPEZ</t>
  </si>
  <si>
    <t xml:space="preserve">5840 GLENMONT DR 92 </t>
  </si>
  <si>
    <t>JESSE PACHECO</t>
  </si>
  <si>
    <t>2838 LOCKERIDGE PINE S DR</t>
  </si>
  <si>
    <t>STEFAN S KAHN</t>
  </si>
  <si>
    <t xml:space="preserve">3707 BUTLER CT </t>
  </si>
  <si>
    <t>JOSE M NUNEZ</t>
  </si>
  <si>
    <t xml:space="preserve">17815 WOODSBURGH LN </t>
  </si>
  <si>
    <t>HARRIS CO TX 77433</t>
  </si>
  <si>
    <t>ANDRES MORENO</t>
  </si>
  <si>
    <t>2611 DYLANS CROSSING DR</t>
  </si>
  <si>
    <t>TIMOTHY GLENN SORIA</t>
  </si>
  <si>
    <t>7105 OLD KATY RD APT 4405</t>
  </si>
  <si>
    <t>DYLAN OVERTURFF</t>
  </si>
  <si>
    <t>FRANCISCO ALBERTO TORRES</t>
  </si>
  <si>
    <t xml:space="preserve">8618 WERNER </t>
  </si>
  <si>
    <t>SIEANA WRIGHT</t>
  </si>
  <si>
    <t>24910 ROSSO STIPPLE T RAIL</t>
  </si>
  <si>
    <t>TIMOTHY JIM RUFFIN</t>
  </si>
  <si>
    <t>JAMES ALLEN BACH</t>
  </si>
  <si>
    <t xml:space="preserve">10907 LARK BROOK LANE </t>
  </si>
  <si>
    <t>LISA MARIE HOLOMON</t>
  </si>
  <si>
    <t xml:space="preserve">11319 SUMMER LAKE DR </t>
  </si>
  <si>
    <t>11455 BISSONNET</t>
  </si>
  <si>
    <t>303 BUSCH</t>
  </si>
  <si>
    <t>5626 E TOWNERGL</t>
  </si>
  <si>
    <t>3710 FAULKNER</t>
  </si>
  <si>
    <t>HOUSTON TX</t>
  </si>
  <si>
    <t>7307 DEARBORN ST UNIT A</t>
  </si>
  <si>
    <t>2530 W 18TH ST</t>
  </si>
  <si>
    <t>800 W NASA PKW</t>
  </si>
  <si>
    <t>3111 WUTHERING</t>
  </si>
  <si>
    <t>5455 RICHMOND</t>
  </si>
  <si>
    <t>22406 REDSPARROW</t>
  </si>
  <si>
    <t>2807 MORINGSIDE</t>
  </si>
  <si>
    <t>HOMLESS</t>
  </si>
  <si>
    <t>VARIOUS MOTELS</t>
  </si>
  <si>
    <t>HOUSTON TX 77373</t>
  </si>
  <si>
    <t>2334 LOYANNE DR</t>
  </si>
  <si>
    <t>FID</t>
  </si>
  <si>
    <t>CHANNELVIE</t>
  </si>
  <si>
    <t>W LITTLE YORK R D</t>
  </si>
  <si>
    <t>FL</t>
  </si>
  <si>
    <t>THEFT OF SERVICE &gt;=$100&lt;$750</t>
  </si>
  <si>
    <t>FRAUD/USE/POSS ID INFO -10-49</t>
  </si>
  <si>
    <t>FRAUD USE/POSS CRDIT/DEBIT CAR</t>
  </si>
  <si>
    <t>GRAFFITI &gt;=$750 BUT &lt;$2500</t>
  </si>
  <si>
    <t>AUSTIN</t>
  </si>
  <si>
    <t>POSS W/INT MAN/DEL CS PG1 1&lt;1</t>
  </si>
  <si>
    <t>SEABROOK</t>
  </si>
  <si>
    <t xml:space="preserve">KUYKENDAHL RD </t>
  </si>
  <si>
    <t>MCTORRY, KIMBERLY</t>
  </si>
  <si>
    <t>UNLAW DISCLSE INTIMATE VISUAL</t>
  </si>
  <si>
    <t>WI</t>
  </si>
  <si>
    <t>20525 CYPRESSWO OD DR.</t>
  </si>
  <si>
    <t>UNAUTH USE OF VEHICLE, CREDIT/DEBIT CARD ABUSE</t>
  </si>
  <si>
    <t>UNAUTH USE OF VEHICLE, POSS W/INT DEL CS PG1 1G &lt;4 GR</t>
  </si>
  <si>
    <t>BURGLARY OF A BUILDING, UNAUTH USE OF VEHICLE</t>
  </si>
  <si>
    <t>POSS DANGEROUS DRUG, POSS DANGEROUS DRUG</t>
  </si>
  <si>
    <t>TAMPER/FABRICATE PHYS EVD W/IN, CARRYING HANDGUN IN MOTOR VEHI</t>
  </si>
  <si>
    <t>DWI 2ND, TAMPER/FABRICATE PHYS EVD W/IN</t>
  </si>
  <si>
    <t>POSS W/INT DEL CS PG1 1G &lt;4 GR, UNLAW CARRY WPN</t>
  </si>
  <si>
    <t>CONTINUOUS VIOL AGAINST THE FA, RETALIATION</t>
  </si>
  <si>
    <t>174, 174</t>
  </si>
  <si>
    <t>CONTINUOUS VIOL AGAINST THE FA, VIOL. OF PROTECTIVE ORDER ENH.</t>
  </si>
  <si>
    <t>TERRORISTIC THREAT FEAR IMMINE, THEFT &lt;$100 W/PREV CONVICTION</t>
  </si>
  <si>
    <t>CRIMINAL MISCHIEF &gt;=$750&lt;$2,50, EVADING ARREST/DETENTION</t>
  </si>
  <si>
    <t>RONALD KEITH JACKSON</t>
  </si>
  <si>
    <t xml:space="preserve">13930 FORUM PARK DR </t>
  </si>
  <si>
    <t>MILTON CARDELL PARKER</t>
  </si>
  <si>
    <t xml:space="preserve">1655 BLUE BELL RD </t>
  </si>
  <si>
    <t>RAY ANTHONY TEZENO</t>
  </si>
  <si>
    <t xml:space="preserve">7006 LANDOR </t>
  </si>
  <si>
    <t>GREGORY JOE BESERRA</t>
  </si>
  <si>
    <t xml:space="preserve">327 HOFFMAN </t>
  </si>
  <si>
    <t>GREGORY BENNETT</t>
  </si>
  <si>
    <t xml:space="preserve">3401 FANNIN ST </t>
  </si>
  <si>
    <t>CLYDE EUGENE WILLIAMS</t>
  </si>
  <si>
    <t>7927 SUNNYVALE FORES T DR</t>
  </si>
  <si>
    <t>MICHAEL GANS</t>
  </si>
  <si>
    <t xml:space="preserve">9523 ABBOTSHALL LN </t>
  </si>
  <si>
    <t>HARRIS III WILLIAMS</t>
  </si>
  <si>
    <t xml:space="preserve">9310 LAKEWAY VIEW LN </t>
  </si>
  <si>
    <t>CALVIN PAUL BROUSSARD</t>
  </si>
  <si>
    <t xml:space="preserve">5501 WAYNE </t>
  </si>
  <si>
    <t>BOB WALSH CRISWELL</t>
  </si>
  <si>
    <t xml:space="preserve">1918 MACONDRAY DR </t>
  </si>
  <si>
    <t>ISHMAEL JACOBS</t>
  </si>
  <si>
    <t xml:space="preserve">7900 BISSONNET ST </t>
  </si>
  <si>
    <t>JEREMY ALAN WOOD</t>
  </si>
  <si>
    <t>ANGEL WILLIAM MARQUEZ</t>
  </si>
  <si>
    <t>JOE RAYMOND LEWIS</t>
  </si>
  <si>
    <t>BRIAN BAKER</t>
  </si>
  <si>
    <t xml:space="preserve">2731 JEANENE CT </t>
  </si>
  <si>
    <t>REGINALD PAUL BEAN</t>
  </si>
  <si>
    <t xml:space="preserve">8605 LAVENDER ST </t>
  </si>
  <si>
    <t>JOHNATHAN BROUSSARD</t>
  </si>
  <si>
    <t xml:space="preserve">3806 WIPPRECHT ST </t>
  </si>
  <si>
    <t>ROSE MARIE MCMILLAN</t>
  </si>
  <si>
    <t>DEMARCUS DRAY ISOM</t>
  </si>
  <si>
    <t xml:space="preserve">2612 WHEELER AVE </t>
  </si>
  <si>
    <t>MICHAEL ALMODOVAR</t>
  </si>
  <si>
    <t xml:space="preserve">11707 MAYMOUNT LN </t>
  </si>
  <si>
    <t>MARCUS ADAM SENESAC</t>
  </si>
  <si>
    <t>5702 DEERTIMBERS TRA IL</t>
  </si>
  <si>
    <t>ELBERT LEE. LAWSON</t>
  </si>
  <si>
    <t xml:space="preserve">4825 PARADISE LN </t>
  </si>
  <si>
    <t>JOSSEFF WILLIAM RAMIREZ</t>
  </si>
  <si>
    <t xml:space="preserve">10075 WESTPARK DR 98 </t>
  </si>
  <si>
    <t>MANUEL ALEXANDER HERNANDEZ</t>
  </si>
  <si>
    <t xml:space="preserve">15807 MAPLE MANOR DR </t>
  </si>
  <si>
    <t>OMID SHIRAZ</t>
  </si>
  <si>
    <t xml:space="preserve">718 RIEDEL </t>
  </si>
  <si>
    <t>MARVIN FONTENOT</t>
  </si>
  <si>
    <t xml:space="preserve">1107 PROGESSO </t>
  </si>
  <si>
    <t>JOSE LOUIS BIBIAN</t>
  </si>
  <si>
    <t xml:space="preserve">11311 EXETER ST </t>
  </si>
  <si>
    <t>NELSON JIMENEZ</t>
  </si>
  <si>
    <t xml:space="preserve">2919 ASHLEY ST </t>
  </si>
  <si>
    <t>SAMANTHA FARQUHAR</t>
  </si>
  <si>
    <t>5815 EVENING SHADOWS LN</t>
  </si>
  <si>
    <t>CAMEO NICHOLE LAMOTHE</t>
  </si>
  <si>
    <t>2605 REED RD APT 330 8</t>
  </si>
  <si>
    <t>JOSEPH VAUGHN ARCENEAUX</t>
  </si>
  <si>
    <t xml:space="preserve">4506 REDBUD ST </t>
  </si>
  <si>
    <t>TYRONE BERRY</t>
  </si>
  <si>
    <t>HERIBERTO GUEL</t>
  </si>
  <si>
    <t xml:space="preserve">7930 WOODLYN </t>
  </si>
  <si>
    <t>KEYSIA LATONIA YOUNG</t>
  </si>
  <si>
    <t xml:space="preserve">6200 WEST TIDWELL </t>
  </si>
  <si>
    <t>CESAR MARTINEZ</t>
  </si>
  <si>
    <t xml:space="preserve">438 TEXAS ST </t>
  </si>
  <si>
    <t>HEIDI GALE DOZIER</t>
  </si>
  <si>
    <t xml:space="preserve">613 N FLAMINGO </t>
  </si>
  <si>
    <t>WILLIE COLLINS</t>
  </si>
  <si>
    <t xml:space="preserve">4502 CRANE DT </t>
  </si>
  <si>
    <t>NEAL YOUNG</t>
  </si>
  <si>
    <t xml:space="preserve">2809 CR 471 </t>
  </si>
  <si>
    <t>DAMEON DEMOND NELSON</t>
  </si>
  <si>
    <t xml:space="preserve">14518 ALROVER </t>
  </si>
  <si>
    <t>ROGELIO A MARTINEZ</t>
  </si>
  <si>
    <t xml:space="preserve">11610 STONE BRIDGE LN </t>
  </si>
  <si>
    <t>ABNER SAMUEL FUENTES</t>
  </si>
  <si>
    <t>11002 HAMMERLY BLVD A PT</t>
  </si>
  <si>
    <t>MARQUIEZ RHEM</t>
  </si>
  <si>
    <t xml:space="preserve">513 N LINDEN DR </t>
  </si>
  <si>
    <t>DAVID ANTHONY TORRENCE</t>
  </si>
  <si>
    <t>14420 WALTERS RD UNIT 1</t>
  </si>
  <si>
    <t>MARIO LEON ALARCON</t>
  </si>
  <si>
    <t xml:space="preserve">2725 BEATTY ST </t>
  </si>
  <si>
    <t>DEVEN DEVON NNAWUCHI</t>
  </si>
  <si>
    <t>7206 SHINING MIST LA NE</t>
  </si>
  <si>
    <t>SAMARI LASHELL THOMAS</t>
  </si>
  <si>
    <t xml:space="preserve">3927 HIGHPOINT LANE </t>
  </si>
  <si>
    <t>JONATHAN VEGA</t>
  </si>
  <si>
    <t xml:space="preserve">5907 DIXIE LANE </t>
  </si>
  <si>
    <t>KEVIN DARCY MCGOWAN</t>
  </si>
  <si>
    <t xml:space="preserve">4914 KASHMERE ST </t>
  </si>
  <si>
    <t>SUNDAY UGWUOZOR</t>
  </si>
  <si>
    <t xml:space="preserve">9888 BISSONNET ST </t>
  </si>
  <si>
    <t>JON KERRY PARFAIT</t>
  </si>
  <si>
    <t xml:space="preserve">12550 KUYKENDAHL RD </t>
  </si>
  <si>
    <t>ADRIAN SAMUEL JONES</t>
  </si>
  <si>
    <t xml:space="preserve">9518 SAGEASPEN LN </t>
  </si>
  <si>
    <t xml:space="preserve">515 S BENDER </t>
  </si>
  <si>
    <t>XAVIER DEVON CALHOUN</t>
  </si>
  <si>
    <t>3300 LYONS AVE APT 4 04</t>
  </si>
  <si>
    <t>HASSAM ZAMAN SHENWARI</t>
  </si>
  <si>
    <t>1711 LOTTIE MOORE LO OP</t>
  </si>
  <si>
    <t>LONNIE MARKISE ANDRUS-COLLINS</t>
  </si>
  <si>
    <t xml:space="preserve">5974 SOUTHMONT ST </t>
  </si>
  <si>
    <t>DEJON KINTRELL MONTGOMERY</t>
  </si>
  <si>
    <t>8282 CAMBRIDGE ST AP T 1305</t>
  </si>
  <si>
    <t>DANIEL PUNZO</t>
  </si>
  <si>
    <t xml:space="preserve">11002 SAGEVALE LN </t>
  </si>
  <si>
    <t>ADAM SIMON TORRES</t>
  </si>
  <si>
    <t>6338 BARTON HOLLOW L ANE</t>
  </si>
  <si>
    <t>SHAKURREAN JOHNSON</t>
  </si>
  <si>
    <t>CYLE SNIDER</t>
  </si>
  <si>
    <t xml:space="preserve">9 DEWTHREAD CT </t>
  </si>
  <si>
    <t>SPRING TX 77380</t>
  </si>
  <si>
    <t>DELMARCUS WILLIAMS</t>
  </si>
  <si>
    <t xml:space="preserve">6102 CARSON RD </t>
  </si>
  <si>
    <t>ISMAIL ALI</t>
  </si>
  <si>
    <t xml:space="preserve">3603 LUCA </t>
  </si>
  <si>
    <t>STEPHAUN MARTIN</t>
  </si>
  <si>
    <t>12527 HUNTINGTON VENT URE DR</t>
  </si>
  <si>
    <t>TIFFANY SCHULTZ</t>
  </si>
  <si>
    <t xml:space="preserve">738 VOYAGER </t>
  </si>
  <si>
    <t>KAYLINN CIMON GREEN</t>
  </si>
  <si>
    <t xml:space="preserve">969 DEWALT ST </t>
  </si>
  <si>
    <t>ASHTON TAYLOR NICKENS</t>
  </si>
  <si>
    <t>320 MASSEY TOMPKINS RD</t>
  </si>
  <si>
    <t>15430 FALKIRK GREEN D R</t>
  </si>
  <si>
    <t>NESTOR SOTO</t>
  </si>
  <si>
    <t xml:space="preserve">5522 ELM TREE DR </t>
  </si>
  <si>
    <t>NICHOLAS JACOBE TREVINO</t>
  </si>
  <si>
    <t>1800 ST. JOSEPH'S PK WY</t>
  </si>
  <si>
    <t>ASHLEY DIXSON</t>
  </si>
  <si>
    <t xml:space="preserve">1002 WILLERSLEY </t>
  </si>
  <si>
    <t>VERONICA ANDREA PINEDA</t>
  </si>
  <si>
    <t xml:space="preserve">4208 MASTERS </t>
  </si>
  <si>
    <t>JAVON LEQUAINTO MILLER</t>
  </si>
  <si>
    <t xml:space="preserve">12514 ROCKY COVE DR </t>
  </si>
  <si>
    <t>JERMAINE BASILLE AUTHORLEE</t>
  </si>
  <si>
    <t xml:space="preserve">8723 TILGHAM ST </t>
  </si>
  <si>
    <t>HECTOR GIOVANNY LOPEZ</t>
  </si>
  <si>
    <t xml:space="preserve">15167 DOGWOOD TREE </t>
  </si>
  <si>
    <t>ZACHARI WILLIAMS</t>
  </si>
  <si>
    <t>POURIA JAHANGIRI</t>
  </si>
  <si>
    <t xml:space="preserve">7623 BRAES MEADOW DR </t>
  </si>
  <si>
    <t>MARIA MAGDALENA GARCIA</t>
  </si>
  <si>
    <t xml:space="preserve">6961 CHASEWWOD DR </t>
  </si>
  <si>
    <t>MIRACLE MOSHAY WILLIAMS</t>
  </si>
  <si>
    <t>828 PARK TRAIL VIST A</t>
  </si>
  <si>
    <t>JASON ELIAS DELEON</t>
  </si>
  <si>
    <t xml:space="preserve">1927 ROXELLA </t>
  </si>
  <si>
    <t>SAMUEL OJI</t>
  </si>
  <si>
    <t>ROGER SIERRA</t>
  </si>
  <si>
    <t xml:space="preserve">9285 SW 42 TER </t>
  </si>
  <si>
    <t>MIAMI FL 33165</t>
  </si>
  <si>
    <t>TYKEISHIA DAY</t>
  </si>
  <si>
    <t>TROY ANTHONY GUIDRY</t>
  </si>
  <si>
    <t xml:space="preserve">5531 TIGER LILLY WAY </t>
  </si>
  <si>
    <t>TYTIANNA DESHAWN FOXX</t>
  </si>
  <si>
    <t xml:space="preserve">2505 SOUTHMORE BLVD </t>
  </si>
  <si>
    <t>WALTER ULISES CHOXOM-ROSALES</t>
  </si>
  <si>
    <t>6130 SOUTHWEST FWY O B</t>
  </si>
  <si>
    <t>JAWAN DORSEY</t>
  </si>
  <si>
    <t>14027 FAIRGROVE RIDGE DR</t>
  </si>
  <si>
    <t>JOEL KAIPAT</t>
  </si>
  <si>
    <t>JUAN ESTEBAN RAMIREZ</t>
  </si>
  <si>
    <t>19915 PHILIPPA HILLS TRL</t>
  </si>
  <si>
    <t>TOAN DANG</t>
  </si>
  <si>
    <t>11710 CHAMPIONS GROVE LN</t>
  </si>
  <si>
    <t>DIMITRI MCINTOSH</t>
  </si>
  <si>
    <t>5050 SUNFLOWER ST AP T</t>
  </si>
  <si>
    <t>ALLEN CHRISTOPHER BLAIR</t>
  </si>
  <si>
    <t xml:space="preserve">3509 ELGIN ST </t>
  </si>
  <si>
    <t>ARMANDO LOPEZ</t>
  </si>
  <si>
    <t xml:space="preserve">6909 BOYCE ST </t>
  </si>
  <si>
    <t>GEORGE WASHINGTON MOSLEY</t>
  </si>
  <si>
    <t xml:space="preserve">28922 GRAND TETON CT </t>
  </si>
  <si>
    <t>BENJAMIN BOOKER</t>
  </si>
  <si>
    <t xml:space="preserve">1511 E ROOSEVELT RD </t>
  </si>
  <si>
    <t>WHEATON IL 60187</t>
  </si>
  <si>
    <t>CHANCE CARLIN MORRIS</t>
  </si>
  <si>
    <t xml:space="preserve">1515 RUDEL DR </t>
  </si>
  <si>
    <t>KEVIN NICKLEBERRY</t>
  </si>
  <si>
    <t xml:space="preserve">138 PERSIMMON DR </t>
  </si>
  <si>
    <t>CHRISTIAN JAMAL SANCHEZ</t>
  </si>
  <si>
    <t xml:space="preserve">3905 LOVE ST </t>
  </si>
  <si>
    <t>JORDAN ANTHONY MIGUES</t>
  </si>
  <si>
    <t xml:space="preserve">2615 HUBERTVILLE RD </t>
  </si>
  <si>
    <t>JEANERETTE LA 70544</t>
  </si>
  <si>
    <t>DOMINIQUE SADEJEAN JONES</t>
  </si>
  <si>
    <t>10603 SOUTHDOWN TRACE TRL 304</t>
  </si>
  <si>
    <t>KIARA LECHELL MAYS</t>
  </si>
  <si>
    <t xml:space="preserve">605 BERRY RD 1801 </t>
  </si>
  <si>
    <t>SAVEON NELSON</t>
  </si>
  <si>
    <t>5857 VILLAGE FOREST CT</t>
  </si>
  <si>
    <t>HOUSTON AL 77092</t>
  </si>
  <si>
    <t>GIL HUGO</t>
  </si>
  <si>
    <t xml:space="preserve">221 ESTELLE ST </t>
  </si>
  <si>
    <t>PHILLIP GEORGE NELSON</t>
  </si>
  <si>
    <t xml:space="preserve">2911 AVANTI DR </t>
  </si>
  <si>
    <t>SHRMARYING CHADWICK</t>
  </si>
  <si>
    <t>LEJONTAE HUMPHREY</t>
  </si>
  <si>
    <t>ANTONIO DESHON JOHNSON</t>
  </si>
  <si>
    <t>ROSENDO DOMINGUEZ MARTINEZ</t>
  </si>
  <si>
    <t xml:space="preserve">7102 MOLINE ST </t>
  </si>
  <si>
    <t>JAMES ANTHONY RUIZ</t>
  </si>
  <si>
    <t>12531 W HIGHWAY 71 23 15</t>
  </si>
  <si>
    <t>AUSTIN TX 78738</t>
  </si>
  <si>
    <t>ORLYN G CALIX MURRILO</t>
  </si>
  <si>
    <t xml:space="preserve">6407 ANTOINE DR 3203 </t>
  </si>
  <si>
    <t>JEREMY TIPTON</t>
  </si>
  <si>
    <t xml:space="preserve">8238 BAY RUN AVE </t>
  </si>
  <si>
    <t>DONDRE CEDELL RANDOLPH</t>
  </si>
  <si>
    <t xml:space="preserve">8007 GAMBREL WAY </t>
  </si>
  <si>
    <t>JACKELINE IDALMY FLORES</t>
  </si>
  <si>
    <t xml:space="preserve">436 PICKERING ST </t>
  </si>
  <si>
    <t>ALEXANDER BURGOS</t>
  </si>
  <si>
    <t xml:space="preserve">3507 PEAR MEADOW LN </t>
  </si>
  <si>
    <t>BRANDI J COX</t>
  </si>
  <si>
    <t>9901 RICHMOND AVE 42 1</t>
  </si>
  <si>
    <t>JOHN MINH LE</t>
  </si>
  <si>
    <t>JOSE EDUARDO HENRIQUEZ</t>
  </si>
  <si>
    <t xml:space="preserve">700 E UNION BOWER </t>
  </si>
  <si>
    <t>IRVING TX 75061</t>
  </si>
  <si>
    <t>ADAM NELSON</t>
  </si>
  <si>
    <t>15530 HAZEL THICKET T RAIL</t>
  </si>
  <si>
    <t>JOSAEL RODRIGUEZ</t>
  </si>
  <si>
    <t>3125 CRESTADALE DR 2 414</t>
  </si>
  <si>
    <t>ANGIE PENA</t>
  </si>
  <si>
    <t>16121 BEAR BAYOU DR 7 2</t>
  </si>
  <si>
    <t>PAUL ENRIQUE ROA</t>
  </si>
  <si>
    <t>ABDALLAH YOUSEF</t>
  </si>
  <si>
    <t xml:space="preserve">6403 SPRING CREEK </t>
  </si>
  <si>
    <t>17223 LILAC VALE</t>
  </si>
  <si>
    <t>11805 TRICKEY RD</t>
  </si>
  <si>
    <t>HOUSTON TX 77521</t>
  </si>
  <si>
    <t>305 W BAKER RD</t>
  </si>
  <si>
    <t>9607 GUSTY WIND</t>
  </si>
  <si>
    <t>SPRING TX 77449</t>
  </si>
  <si>
    <t>20514 CAT</t>
  </si>
  <si>
    <t>14900 NORTH FREEWAY</t>
  </si>
  <si>
    <t>5334 LYNDHURST</t>
  </si>
  <si>
    <t>DRIVING WHILE INTOXICATED, UNLAW CARRY WPN</t>
  </si>
  <si>
    <t>EVADING ARREST/DETENTION, FAIL TO ID TO P.O. FALSE INF/F</t>
  </si>
  <si>
    <t>CRIMINAL TRESPASS, UNLAW CARRY WPN-LIC PREMISE</t>
  </si>
  <si>
    <t>THEFT &gt;=2,500 &lt;30,000, UNAUTH USE OF VEHICLE, FAIL TO ID TO P.O. FALSE INF</t>
  </si>
  <si>
    <t>FERRELL, JOHNIE LEWIS</t>
  </si>
  <si>
    <t xml:space="preserve">BURMA </t>
  </si>
  <si>
    <t>VENTURA-RAMOS, JOSE WILLIAM</t>
  </si>
  <si>
    <t xml:space="preserve">KENSICO RD </t>
  </si>
  <si>
    <t>LEE, CHRISTOPHER</t>
  </si>
  <si>
    <t>ASHLAND BLVD AP T 4</t>
  </si>
  <si>
    <t>HIGHLANDS</t>
  </si>
  <si>
    <t xml:space="preserve">WESTHEIMER RD </t>
  </si>
  <si>
    <t>RODRIGUEZ, JUAN OSCAR</t>
  </si>
  <si>
    <t xml:space="preserve">GLENBROOK CT </t>
  </si>
  <si>
    <t>SILVA, JORGE</t>
  </si>
  <si>
    <t>CHESTNUT CLEARI NG TRL</t>
  </si>
  <si>
    <t>LOPEZ, MARIA ISMENIA</t>
  </si>
  <si>
    <t>TANNER PARK CT 1401</t>
  </si>
  <si>
    <t>CAREY, MATTHEW SEIPEL</t>
  </si>
  <si>
    <t>ST LAWRENCE COV E</t>
  </si>
  <si>
    <t>BENNETT, LACEY</t>
  </si>
  <si>
    <t xml:space="preserve">BELLAIRE </t>
  </si>
  <si>
    <t>MCCOMB, NICHOLAS ALLEN</t>
  </si>
  <si>
    <t xml:space="preserve">HUNTERFIELD </t>
  </si>
  <si>
    <t>DELGADO, ALFREDO</t>
  </si>
  <si>
    <t xml:space="preserve">BANTING ST </t>
  </si>
  <si>
    <t>DIAMOND, TRENON</t>
  </si>
  <si>
    <t xml:space="preserve">GALAXY ST </t>
  </si>
  <si>
    <t>RANDALL, ASHTON COLE</t>
  </si>
  <si>
    <t>CLOVER CANYON C IRCLE</t>
  </si>
  <si>
    <t>HANSFORD, CRYSTAL LAGALE</t>
  </si>
  <si>
    <t>PERRY ST APT 11 3</t>
  </si>
  <si>
    <t>GALVEZ, RUBEN ARMANDO</t>
  </si>
  <si>
    <t xml:space="preserve">LOCKLAINE DR </t>
  </si>
  <si>
    <t>WOLFENBERGER, CAROLYN</t>
  </si>
  <si>
    <t>TURNER, TROY JOSEPH</t>
  </si>
  <si>
    <t xml:space="preserve">BATTLEBELL </t>
  </si>
  <si>
    <t>COCHRUM, CASSANDRA LYNN</t>
  </si>
  <si>
    <t>S GESSNER RD AP T 196</t>
  </si>
  <si>
    <t>BERGARA, SIDNEY MICHELLE</t>
  </si>
  <si>
    <t xml:space="preserve">DARBY HOUSE ST </t>
  </si>
  <si>
    <t>DRIVER LICENSE/ID FALSE</t>
  </si>
  <si>
    <t>AGUILAR, MARIO ALBERTO</t>
  </si>
  <si>
    <t xml:space="preserve">WALTERS RD </t>
  </si>
  <si>
    <t>DENNIS, TERRENCE ROY</t>
  </si>
  <si>
    <t xml:space="preserve">PARKER </t>
  </si>
  <si>
    <t>MISCHUC, GIOVANNI</t>
  </si>
  <si>
    <t xml:space="preserve">HILLCROFT AVE </t>
  </si>
  <si>
    <t>SOTO, ADAM</t>
  </si>
  <si>
    <t>INDECENCY W/A CHILD EXPOSES</t>
  </si>
  <si>
    <t>FREEMAN, MATTHEW</t>
  </si>
  <si>
    <t xml:space="preserve">FM 646 RD </t>
  </si>
  <si>
    <t>SANTA FE</t>
  </si>
  <si>
    <t>WILLIAMS, CHASE CHAD</t>
  </si>
  <si>
    <t>WOODLAND PARK D RIVE APT 3</t>
  </si>
  <si>
    <t>ST CYR, DAVEON JERRELL</t>
  </si>
  <si>
    <t xml:space="preserve">LONG CREEK DR </t>
  </si>
  <si>
    <t>FRESNO</t>
  </si>
  <si>
    <t>LANDRY, EARL JUNIOR</t>
  </si>
  <si>
    <t>JONES, TREVION MARQUIS</t>
  </si>
  <si>
    <t xml:space="preserve">HOPPER RD </t>
  </si>
  <si>
    <t>PATTERSON, JALEN A.</t>
  </si>
  <si>
    <t xml:space="preserve">BLUE ASH </t>
  </si>
  <si>
    <t>RODRIGUEZ, ALFREDO</t>
  </si>
  <si>
    <t xml:space="preserve">RAINCOVE </t>
  </si>
  <si>
    <t>XX</t>
  </si>
  <si>
    <t>12421, 12421</t>
  </si>
  <si>
    <t>FSGI ACC ATTEND DAMAGE VEH&gt;=$2, AGG ASSAULT W/DEADLY WEAPON</t>
  </si>
  <si>
    <t>AGG ASSLT AGAINST PB SERVANT, EVADING ARREST/DETENTION W/VEH</t>
  </si>
  <si>
    <t>POSS MARIJ  4 OZ. - 5 LBS., EVADING ARREST/DETENTION W/VEH</t>
  </si>
  <si>
    <t>NICHOLAS ALLEN MCCOMB</t>
  </si>
  <si>
    <t xml:space="preserve">12923 HUNTERFIELD </t>
  </si>
  <si>
    <t>CAROLYN WOLFENBERGER</t>
  </si>
  <si>
    <t xml:space="preserve">6505 WESTHEIMER RD </t>
  </si>
  <si>
    <t>JOHNIE LEWIS FERRELL</t>
  </si>
  <si>
    <t xml:space="preserve">4821 BURMA </t>
  </si>
  <si>
    <t xml:space="preserve">7426 BRIARGATE CT </t>
  </si>
  <si>
    <t>CARMON ANTHONY BORROSCO</t>
  </si>
  <si>
    <t>39 JUSTICE PARK DR APT 701</t>
  </si>
  <si>
    <t>TERRENCE ROY DENNIS</t>
  </si>
  <si>
    <t xml:space="preserve">7446 PARKER </t>
  </si>
  <si>
    <t>KENYON TAVARAS PETERS</t>
  </si>
  <si>
    <t xml:space="preserve">7602 PARK SAGE LANE </t>
  </si>
  <si>
    <t>EARL RAY SUMMONS</t>
  </si>
  <si>
    <t xml:space="preserve">11038 WOODSHADOWS </t>
  </si>
  <si>
    <t>JERMAINE LAQUAWN DYISE</t>
  </si>
  <si>
    <t xml:space="preserve">707 TOP STREET </t>
  </si>
  <si>
    <t>GREGORY LAMUND SMITH</t>
  </si>
  <si>
    <t>3111 W LITTLE YORK R D</t>
  </si>
  <si>
    <t>JOSE FELICIANO RAMIREZ</t>
  </si>
  <si>
    <t>JESSICA FERNANDEZ</t>
  </si>
  <si>
    <t xml:space="preserve">1901 POST OAK BLVD </t>
  </si>
  <si>
    <t>JARED LONG</t>
  </si>
  <si>
    <t xml:space="preserve">746 MEMORIAL MEWS </t>
  </si>
  <si>
    <t>CRYSTAL LAGALE HANSFORD</t>
  </si>
  <si>
    <t>4415 PERRY ST APT 11 3</t>
  </si>
  <si>
    <t>CURLEY PETER III GUIDRY</t>
  </si>
  <si>
    <t xml:space="preserve">15023 SUNSET FIELD DR </t>
  </si>
  <si>
    <t>TROY JOSEPH TURNER</t>
  </si>
  <si>
    <t xml:space="preserve">510 BATTLEBELL </t>
  </si>
  <si>
    <t>HIGHLANDS TX 77532</t>
  </si>
  <si>
    <t>SARAH BAKER</t>
  </si>
  <si>
    <t xml:space="preserve">602 REID </t>
  </si>
  <si>
    <t>JOSE WILLIAM VENTURA-RAMOS</t>
  </si>
  <si>
    <t xml:space="preserve">7507 KENSICO RD </t>
  </si>
  <si>
    <t>JUAN CARLOS ZOMETA</t>
  </si>
  <si>
    <t xml:space="preserve">13046 LEADER ST </t>
  </si>
  <si>
    <t>VIET HOA DAO</t>
  </si>
  <si>
    <t xml:space="preserve">19511 S OBLONG CIRCLE </t>
  </si>
  <si>
    <t>ANTHONY GEORGE RICHARDSON</t>
  </si>
  <si>
    <t>12100 OVERBROOK LANE 15A</t>
  </si>
  <si>
    <t>ALFREDO MEDINA</t>
  </si>
  <si>
    <t xml:space="preserve">1807 NOTTINGHAM </t>
  </si>
  <si>
    <t>MANUEL RODRIGUEZ</t>
  </si>
  <si>
    <t xml:space="preserve">106 COURTLAND CT </t>
  </si>
  <si>
    <t>GUSTAVO VILLA</t>
  </si>
  <si>
    <t xml:space="preserve">16014 RIDLON ST </t>
  </si>
  <si>
    <t>JUAN OSCAR RODRIGUEZ</t>
  </si>
  <si>
    <t xml:space="preserve">4114 GLENBROOK CT </t>
  </si>
  <si>
    <t>GUILLERMO BERMA</t>
  </si>
  <si>
    <t xml:space="preserve">2911 PARKLAND ST </t>
  </si>
  <si>
    <t>JOEL ALFREDO RODRIGUEZ</t>
  </si>
  <si>
    <t xml:space="preserve">4304 HIGHWAY 202 </t>
  </si>
  <si>
    <t>DAGOBERTO LOPEZ MEDRANO</t>
  </si>
  <si>
    <t xml:space="preserve">16318 LYNN CREST CT </t>
  </si>
  <si>
    <t>JOSE ANDAN GUARDADO</t>
  </si>
  <si>
    <t xml:space="preserve">3403 LAURA KOPPE RD </t>
  </si>
  <si>
    <t>PHILLIP EHIARTH OGIEMWONYI</t>
  </si>
  <si>
    <t>JOEL TAYLOR DECHENNE</t>
  </si>
  <si>
    <t>ADRIAN ESCOBEDO</t>
  </si>
  <si>
    <t>10623 AUTUMN MEADOW D R</t>
  </si>
  <si>
    <t>CHASE CHAD WILLIAMS</t>
  </si>
  <si>
    <t>3000 WOODLAND PARK D RIVE APT 3</t>
  </si>
  <si>
    <t>RAUDEL URREA</t>
  </si>
  <si>
    <t xml:space="preserve">333 AIRTEX </t>
  </si>
  <si>
    <t>JASON BAXTER</t>
  </si>
  <si>
    <t xml:space="preserve">1718 PINE VILLAGE </t>
  </si>
  <si>
    <t>ANDREA FLANAGAN-BEN</t>
  </si>
  <si>
    <t>LACEY BENNETT</t>
  </si>
  <si>
    <t xml:space="preserve">12707 BELLAIRE </t>
  </si>
  <si>
    <t>SERGIO GOMEZ</t>
  </si>
  <si>
    <t xml:space="preserve">16317 PECAN ST </t>
  </si>
  <si>
    <t>TREVION MARQUIS JONES</t>
  </si>
  <si>
    <t xml:space="preserve">6811 HOPPER RD </t>
  </si>
  <si>
    <t>MARIA ISMENIA LOPEZ</t>
  </si>
  <si>
    <t>10950 TANNER PARK CT 1401</t>
  </si>
  <si>
    <t>WANJUKI IRENE PARKER</t>
  </si>
  <si>
    <t xml:space="preserve">315 BENMAR DR </t>
  </si>
  <si>
    <t>3354 LAKE STREAM DRI VE</t>
  </si>
  <si>
    <t>KEVIN JOSUE RUBIO</t>
  </si>
  <si>
    <t xml:space="preserve">13127 BASSFORD DR </t>
  </si>
  <si>
    <t>ALFREDO DELGADO</t>
  </si>
  <si>
    <t xml:space="preserve">9006 BANTING ST </t>
  </si>
  <si>
    <t>ADAM SOTO</t>
  </si>
  <si>
    <t xml:space="preserve">20506 NORTHBRIAR DR </t>
  </si>
  <si>
    <t>MARIO ALBERTO AGUILAR</t>
  </si>
  <si>
    <t xml:space="preserve">14022 WALTERS RD </t>
  </si>
  <si>
    <t>SIDNEY MICHELLE BERGARA</t>
  </si>
  <si>
    <t xml:space="preserve">16415 DARBY HOUSE ST </t>
  </si>
  <si>
    <t>NICOLAS SALAZAR</t>
  </si>
  <si>
    <t xml:space="preserve">6939 NORTHLEAF DRIVE </t>
  </si>
  <si>
    <t>RUBEN ARMANDO GALVEZ</t>
  </si>
  <si>
    <t xml:space="preserve">1502 LOCKLAINE DR </t>
  </si>
  <si>
    <t>MIGUEL ANGEL GARCIA</t>
  </si>
  <si>
    <t xml:space="preserve">4402 WEAVER ROAD </t>
  </si>
  <si>
    <t>LAZARO MOISES REYES</t>
  </si>
  <si>
    <t xml:space="preserve">4919 RAVEN RIDGE DR </t>
  </si>
  <si>
    <t>JALEN A. PATTERSON</t>
  </si>
  <si>
    <t xml:space="preserve">5101 BLUE ASH </t>
  </si>
  <si>
    <t>DAVID LEE BAPTISTE</t>
  </si>
  <si>
    <t xml:space="preserve">10001 FONDREN RD. </t>
  </si>
  <si>
    <t>LUKE LOZADA</t>
  </si>
  <si>
    <t xml:space="preserve">10070 WESTPARK DRIVE </t>
  </si>
  <si>
    <t>EARL JUNIOR LANDRY</t>
  </si>
  <si>
    <t>CATTALEYA MARIE MENDEZ LANDERO</t>
  </si>
  <si>
    <t>5706 WEST VISTAGLEN LOOP</t>
  </si>
  <si>
    <t>KEITHLEY DESMOND BRIDGEWATER</t>
  </si>
  <si>
    <t xml:space="preserve">4305 GLENWOOD AVE </t>
  </si>
  <si>
    <t>ALFREDO RODRIGUEZ</t>
  </si>
  <si>
    <t xml:space="preserve">11335 RAINCOVE </t>
  </si>
  <si>
    <t>BRANDYE ALYCE THRASH</t>
  </si>
  <si>
    <t>8721 TOWNPARK NO 117 8</t>
  </si>
  <si>
    <t>TRENON DIAMOND</t>
  </si>
  <si>
    <t xml:space="preserve">9651 GALAXY ST </t>
  </si>
  <si>
    <t>KORI DQUAN BURTON</t>
  </si>
  <si>
    <t xml:space="preserve">427 HOLLYVALE DR </t>
  </si>
  <si>
    <t>GIOVANNI MISCHUC</t>
  </si>
  <si>
    <t xml:space="preserve">3737 HILLCROFT AVE </t>
  </si>
  <si>
    <t xml:space="preserve">414 AVE A </t>
  </si>
  <si>
    <t>GREGORY LAMONT SUMMERS</t>
  </si>
  <si>
    <t xml:space="preserve">6030 OXFORD LAKE DR </t>
  </si>
  <si>
    <t>HYACINTH TANIA BERRY</t>
  </si>
  <si>
    <t xml:space="preserve">2402 BAMMELWOOD DR </t>
  </si>
  <si>
    <t>SAMUEL PRADO RENTERIA</t>
  </si>
  <si>
    <t xml:space="preserve">130 TINA LN </t>
  </si>
  <si>
    <t>JOSE DAVID PEREZ-ARREOLA</t>
  </si>
  <si>
    <t xml:space="preserve">4712 23RD ST </t>
  </si>
  <si>
    <t>JACOB AARON RODRIGUEZ</t>
  </si>
  <si>
    <t xml:space="preserve">715 FM 1959 502 1 </t>
  </si>
  <si>
    <t>SONIA CHAIRES</t>
  </si>
  <si>
    <t xml:space="preserve">8345 ARROWHEAD LN </t>
  </si>
  <si>
    <t>AVANI SHAILESH PATEL</t>
  </si>
  <si>
    <t>3411 AUBURN HOLLOW L ANE</t>
  </si>
  <si>
    <t>JOLENE ROMERO GUZEK</t>
  </si>
  <si>
    <t xml:space="preserve">7243 MERRYLANDS DR </t>
  </si>
  <si>
    <t>ATASCOCITA TX 77346</t>
  </si>
  <si>
    <t>ASHLEY BEGLEY</t>
  </si>
  <si>
    <t xml:space="preserve">708 ALABAMA ST </t>
  </si>
  <si>
    <t>KEVIN JESUS JUAREZ</t>
  </si>
  <si>
    <t xml:space="preserve">16434 NOBLE MEADOW LN </t>
  </si>
  <si>
    <t>JONATHAN ALEN CAMPIRANO</t>
  </si>
  <si>
    <t xml:space="preserve">1526 STONE BLUFF DR </t>
  </si>
  <si>
    <t>MAVERICK ANZUREZ</t>
  </si>
  <si>
    <t>101 HOLLOW TREE LN 11204</t>
  </si>
  <si>
    <t>QUINCY ETHELSTON WILTSHIRE</t>
  </si>
  <si>
    <t xml:space="preserve">3862 MORELOS RD </t>
  </si>
  <si>
    <t>GABRIELLA SALINAS-RAMOS</t>
  </si>
  <si>
    <t xml:space="preserve">16902 GREEN STAR LN </t>
  </si>
  <si>
    <t>OSCAR TOVAR CANO</t>
  </si>
  <si>
    <t xml:space="preserve">5134 HOWCHER ST </t>
  </si>
  <si>
    <t>AURA CRISTINA SANCHEZ RAMOS</t>
  </si>
  <si>
    <t xml:space="preserve">12345 BOB WHITE DR </t>
  </si>
  <si>
    <t>HECTOR JESUS QUIROGA</t>
  </si>
  <si>
    <t>11810 ALGONQUIN DR 23 2</t>
  </si>
  <si>
    <t>DAMIAN BRENT WILSON</t>
  </si>
  <si>
    <t xml:space="preserve">12202 GRAND ARCHES LN </t>
  </si>
  <si>
    <t>GREGORY DWAYNE DOWDY</t>
  </si>
  <si>
    <t>21030 AZELEA FIELD ST REET</t>
  </si>
  <si>
    <t>PAUL WILEN</t>
  </si>
  <si>
    <t xml:space="preserve">1910 BANKS ST </t>
  </si>
  <si>
    <t>ASHTON COLE RANDALL</t>
  </si>
  <si>
    <t>7630 CLOVER CANYON C IRCLE</t>
  </si>
  <si>
    <t>CLAY NELSON WAGGONER</t>
  </si>
  <si>
    <t xml:space="preserve">2904 SEA BRIGHT CT </t>
  </si>
  <si>
    <t>CASSANDRA LYNN COCHRUM</t>
  </si>
  <si>
    <t>8963 S GESSNER RD AP T 196</t>
  </si>
  <si>
    <t>MATTHEW FREEMAN</t>
  </si>
  <si>
    <t xml:space="preserve">6421 FM 646 RD </t>
  </si>
  <si>
    <t>CHRISTOPHER LEE</t>
  </si>
  <si>
    <t>907 ASHLAND BLVD AP T 4</t>
  </si>
  <si>
    <t>TIANA CHRISTIAN HAYNES</t>
  </si>
  <si>
    <t xml:space="preserve">1901 DEER VALLEY </t>
  </si>
  <si>
    <t>ALEX ROLANDO GARCIA COJ</t>
  </si>
  <si>
    <t xml:space="preserve">10201 HARWIN DR </t>
  </si>
  <si>
    <t>MATTHEW SEIPEL CAREY</t>
  </si>
  <si>
    <t>15807 ST LAWRENCE COV E</t>
  </si>
  <si>
    <t>KRISTOPHER KOEHLER PEREZ</t>
  </si>
  <si>
    <t xml:space="preserve">1403 EDGEBROOK DR </t>
  </si>
  <si>
    <t>DAVEON JERRELL ST CYR</t>
  </si>
  <si>
    <t xml:space="preserve">4530 LONG CREEK DR </t>
  </si>
  <si>
    <t>JUANA DEL CARMEN GARCIA</t>
  </si>
  <si>
    <t xml:space="preserve">2135 SHADOWDALE </t>
  </si>
  <si>
    <t>DESIREE EZIADA OKEADU</t>
  </si>
  <si>
    <t xml:space="preserve">880 HWY 6 S </t>
  </si>
  <si>
    <t>AMILCAR ROBERTO TOBAR</t>
  </si>
  <si>
    <t xml:space="preserve">2665 IOMBARDI LN </t>
  </si>
  <si>
    <t>DALLAS TX 75220</t>
  </si>
  <si>
    <t>JORGE SILVA</t>
  </si>
  <si>
    <t>12206 CHESTNUT CLEARI NG TRL</t>
  </si>
  <si>
    <t xml:space="preserve"> </t>
  </si>
  <si>
    <t>CORTEZ, LOUIS III</t>
  </si>
  <si>
    <t xml:space="preserve">SOMERCOTES LN </t>
  </si>
  <si>
    <t>BROWN, CHARLES A. JR.</t>
  </si>
  <si>
    <t>DIXON, JAMES EDWARD</t>
  </si>
  <si>
    <t xml:space="preserve">HUNTER GREEN LN </t>
  </si>
  <si>
    <t>RIVERA DOMINGUEZ, DIANA</t>
  </si>
  <si>
    <t>GRAY RIDGE DRIV E</t>
  </si>
  <si>
    <t>CHAMBLISS, MIESHA RENEE</t>
  </si>
  <si>
    <t xml:space="preserve">PHLOX ST </t>
  </si>
  <si>
    <t>REYES, ANGEL</t>
  </si>
  <si>
    <t xml:space="preserve">MARBURY CT </t>
  </si>
  <si>
    <t>GUM, BRANDY KRISTEN GARCIA</t>
  </si>
  <si>
    <t>POSADA-AVILA, DAVID</t>
  </si>
  <si>
    <t>OLD HEARNE RD 3 7</t>
  </si>
  <si>
    <t>BRYAN</t>
  </si>
  <si>
    <t>BUTTERS, DEREK LAWRENCE</t>
  </si>
  <si>
    <t xml:space="preserve">HAYWOOD DR </t>
  </si>
  <si>
    <t>FLORES, GUSTAVO</t>
  </si>
  <si>
    <t xml:space="preserve">POMPANO LN </t>
  </si>
  <si>
    <t>GERINOT, EILEEN MARIE</t>
  </si>
  <si>
    <t>VIJ, VIKRAM</t>
  </si>
  <si>
    <t>COVARRUBIAS, ANGEL AARON</t>
  </si>
  <si>
    <t>WESTHEIMER APT 202</t>
  </si>
  <si>
    <t>SMALL, JACOBI</t>
  </si>
  <si>
    <t xml:space="preserve">EASTEX FWY </t>
  </si>
  <si>
    <t>MARTINEZ, JOE III</t>
  </si>
  <si>
    <t xml:space="preserve">MAKEIG </t>
  </si>
  <si>
    <t>CRANE, MICHAEL</t>
  </si>
  <si>
    <t xml:space="preserve">LORD NELSON DR </t>
  </si>
  <si>
    <t>BRODSKY, CHARLES ALEXANDER</t>
  </si>
  <si>
    <t>NICKLOS, KYUNNA LATRISHA</t>
  </si>
  <si>
    <t xml:space="preserve">BRIARGROVE DR </t>
  </si>
  <si>
    <t>SANCHEZ, JOSE ANTONIO</t>
  </si>
  <si>
    <t xml:space="preserve">CINNAMON LN 113 </t>
  </si>
  <si>
    <t>REYES, RUBEN</t>
  </si>
  <si>
    <t xml:space="preserve">WINBURN TIDE LN </t>
  </si>
  <si>
    <t>BATISTE, PETER</t>
  </si>
  <si>
    <t xml:space="preserve">LIEREN LANE </t>
  </si>
  <si>
    <t>WALLACE, MYOSHA</t>
  </si>
  <si>
    <t xml:space="preserve">SAGE RD 216 </t>
  </si>
  <si>
    <t>LOPEZ, JIMMY</t>
  </si>
  <si>
    <t xml:space="preserve">LOVE PLAZA </t>
  </si>
  <si>
    <t>GA</t>
  </si>
  <si>
    <t>ALLISON, LAKEELA</t>
  </si>
  <si>
    <t>SWEETSTONE BLUF F LANE</t>
  </si>
  <si>
    <t>SHARP, JORDAN MATHEW</t>
  </si>
  <si>
    <t>LAKESIDE MEADOW DR</t>
  </si>
  <si>
    <t>SCOTT, BURTON</t>
  </si>
  <si>
    <t>SPRING DANE DRI VE</t>
  </si>
  <si>
    <t>DAVIS, CYDNEY ANN</t>
  </si>
  <si>
    <t>ALABAMA ST APT 120C</t>
  </si>
  <si>
    <t>WALLACE, ROY DAVIS</t>
  </si>
  <si>
    <t xml:space="preserve">LOS ANGELES ST </t>
  </si>
  <si>
    <t>MIRANDA, JACOB</t>
  </si>
  <si>
    <t xml:space="preserve">GASMER 673 </t>
  </si>
  <si>
    <t>BH</t>
  </si>
  <si>
    <t>ALMAGUER, BARBARA ALICIA</t>
  </si>
  <si>
    <t>MAIN ST APT 730 8</t>
  </si>
  <si>
    <t>SUAREZ, MARIO TOVAR</t>
  </si>
  <si>
    <t xml:space="preserve">OLD GREENS RD </t>
  </si>
  <si>
    <t>MORTON, CHRISTOPHER DESHUN</t>
  </si>
  <si>
    <t xml:space="preserve">MOSS OAKS DR </t>
  </si>
  <si>
    <t>RAX-CAC, FRANCISCO ANTONIO</t>
  </si>
  <si>
    <t xml:space="preserve">HOLLISTER ST </t>
  </si>
  <si>
    <t>BRAZZELL, BRANDON LEE</t>
  </si>
  <si>
    <t xml:space="preserve">SPRING CYPRESS </t>
  </si>
  <si>
    <t>TN</t>
  </si>
  <si>
    <t>GALLEGOS-RODRIGUEZ, ISIDRO</t>
  </si>
  <si>
    <t xml:space="preserve">LARCHWOOD DR </t>
  </si>
  <si>
    <t>MARKS, CONSUELA</t>
  </si>
  <si>
    <t>MUSTANG CORRAL DR</t>
  </si>
  <si>
    <t>MASSINGILL, LAPORSHA</t>
  </si>
  <si>
    <t>MOORE, CLAUD T.</t>
  </si>
  <si>
    <t xml:space="preserve">BOTANY LN </t>
  </si>
  <si>
    <t>SEDERIS, STACY ALLEN</t>
  </si>
  <si>
    <t>CORREA, ELIAS ELIFONSO</t>
  </si>
  <si>
    <t xml:space="preserve">LONG POINT RD </t>
  </si>
  <si>
    <t>SCOTT, QUIONTUS WINSTON</t>
  </si>
  <si>
    <t xml:space="preserve">BROADCOURT DR </t>
  </si>
  <si>
    <t>VENCES, SALVADOR</t>
  </si>
  <si>
    <t xml:space="preserve">HADLEY FALLS CT </t>
  </si>
  <si>
    <t>BENAVIDES, KELLY DENISE</t>
  </si>
  <si>
    <t>COOKSEY, DAMEN LEON</t>
  </si>
  <si>
    <t xml:space="preserve">WASHINGTON </t>
  </si>
  <si>
    <t>RAMAR, TRAVIS BERNARD</t>
  </si>
  <si>
    <t xml:space="preserve">ANNE AVE </t>
  </si>
  <si>
    <t>ROLLAND, TONYA ANN</t>
  </si>
  <si>
    <t>AYERS, TRAVIS BRANDON</t>
  </si>
  <si>
    <t xml:space="preserve">DUNNETHEAD DR </t>
  </si>
  <si>
    <t>KEYS, LAWRENCE RAY</t>
  </si>
  <si>
    <t>DAVIS, ALBERT</t>
  </si>
  <si>
    <t xml:space="preserve">CIDER WOOD DR </t>
  </si>
  <si>
    <t>BELL, CAMERON ROSHAWN</t>
  </si>
  <si>
    <t xml:space="preserve">VILLAGE CIRCLE </t>
  </si>
  <si>
    <t>JOLAOSO, BRITTANY MODUPEOLA</t>
  </si>
  <si>
    <t>EL CAMINO DEL R EY ST</t>
  </si>
  <si>
    <t>SANTANA, RAMIRO</t>
  </si>
  <si>
    <t>REED, DONZELL</t>
  </si>
  <si>
    <t xml:space="preserve">MACHEALA WAY </t>
  </si>
  <si>
    <t>WASHINGTON, KENNETH</t>
  </si>
  <si>
    <t xml:space="preserve">LOVERS LN </t>
  </si>
  <si>
    <t>JONES, JOHN HENRY</t>
  </si>
  <si>
    <t>W BELLFORT APT 985</t>
  </si>
  <si>
    <t>DEAN, BRUCE ALLEN</t>
  </si>
  <si>
    <t xml:space="preserve">KINDER LN </t>
  </si>
  <si>
    <t>ALLEN, STACY ELAINE</t>
  </si>
  <si>
    <t>HILL, TIFFANY M.</t>
  </si>
  <si>
    <t>BREWER, DAELIN</t>
  </si>
  <si>
    <t xml:space="preserve">TOMBALL PARKWAY </t>
  </si>
  <si>
    <t>ALLEN, LYDRICK</t>
  </si>
  <si>
    <t>RANSOM, WILLIE</t>
  </si>
  <si>
    <t>16526 QUAIL PAR K DR</t>
  </si>
  <si>
    <t>HENDERSON, ANTONIO DESHAWN</t>
  </si>
  <si>
    <t xml:space="preserve">LOVETT </t>
  </si>
  <si>
    <t>BALLENGEE, TIMOTHY WELSH</t>
  </si>
  <si>
    <t>BROWN, RAYLIYAH</t>
  </si>
  <si>
    <t xml:space="preserve">MALLOW ST B </t>
  </si>
  <si>
    <t>WALKER, TAURUS TIRRELL</t>
  </si>
  <si>
    <t xml:space="preserve">W MONTGOMERY </t>
  </si>
  <si>
    <t>VAZQUEZ, RAYMUNDO J</t>
  </si>
  <si>
    <t>CASTRO, ELIZABETH ANN-LUPE</t>
  </si>
  <si>
    <t>W CAVALCADE ST RM 339</t>
  </si>
  <si>
    <t>IA</t>
  </si>
  <si>
    <t>TURNBALL, EDWARD RANDOLPH</t>
  </si>
  <si>
    <t>MARTINEZ, ADAM MICHAEL</t>
  </si>
  <si>
    <t xml:space="preserve">CASTLECREEK LN </t>
  </si>
  <si>
    <t>BEKELE, SOLOMON A.</t>
  </si>
  <si>
    <t>BRANCH WATER LA NE</t>
  </si>
  <si>
    <t>ZA</t>
  </si>
  <si>
    <t>RIGGS, BRIAN CODY</t>
  </si>
  <si>
    <t xml:space="preserve">JAMES ST </t>
  </si>
  <si>
    <t>VROMAN, LAUREN</t>
  </si>
  <si>
    <t xml:space="preserve">E 9TH ST </t>
  </si>
  <si>
    <t>CARTER, DEONTAY JAMON</t>
  </si>
  <si>
    <t xml:space="preserve">SYLVANFIELD DR </t>
  </si>
  <si>
    <t>GARZA, JOHNNY</t>
  </si>
  <si>
    <t xml:space="preserve">OAK VILLAGE DR </t>
  </si>
  <si>
    <t>TRETO, MICHAEL</t>
  </si>
  <si>
    <t xml:space="preserve">HOMER </t>
  </si>
  <si>
    <t>GARNER, LEE ANDREA</t>
  </si>
  <si>
    <t xml:space="preserve">SOLAR POINT LN </t>
  </si>
  <si>
    <t>GE</t>
  </si>
  <si>
    <t>RODRIGUEZ, OCTAVIA</t>
  </si>
  <si>
    <t xml:space="preserve">LEMM RD </t>
  </si>
  <si>
    <t>AGG PROMOTION PROST PERSON/S &lt;</t>
  </si>
  <si>
    <t>FINKS, DEANDROS</t>
  </si>
  <si>
    <t xml:space="preserve">RED OAK DR #18 </t>
  </si>
  <si>
    <t>IRVING, ADRIC MARQUIS</t>
  </si>
  <si>
    <t>BASTROP</t>
  </si>
  <si>
    <t>JAMES, CARLOS DEJUAN</t>
  </si>
  <si>
    <t xml:space="preserve">BASTROP </t>
  </si>
  <si>
    <t>RODRIGUEZ, EDGAR SAUL</t>
  </si>
  <si>
    <t>AVENUE N APT 24 6</t>
  </si>
  <si>
    <t>HAMPTON, CAVASIIA CASZ</t>
  </si>
  <si>
    <t>BELLAIRE BLVD A PT 1406</t>
  </si>
  <si>
    <t>LEWIS, FAYTON DAFAITH</t>
  </si>
  <si>
    <t>CHIMNEY ROCK RD 879</t>
  </si>
  <si>
    <t>ESPARZA, SERGIO</t>
  </si>
  <si>
    <t xml:space="preserve">AVENUE B </t>
  </si>
  <si>
    <t xml:space="preserve"> BLUEJAY TWIN C IRHUMBLE,</t>
  </si>
  <si>
    <t>CLEVELAND, AMBER REENE</t>
  </si>
  <si>
    <t xml:space="preserve">SMITHLAND DR </t>
  </si>
  <si>
    <t>HOSUTON</t>
  </si>
  <si>
    <t>CUPP, MELVIN</t>
  </si>
  <si>
    <t xml:space="preserve">KINGWOOD DR </t>
  </si>
  <si>
    <t>MODELIST, TERRELL</t>
  </si>
  <si>
    <t>VASQUEZ, EMILY</t>
  </si>
  <si>
    <t xml:space="preserve">PINE LN </t>
  </si>
  <si>
    <t>ESCAPE-WHILE ARR/CONF-FELONY</t>
  </si>
  <si>
    <t>SHARP, SHAKORA</t>
  </si>
  <si>
    <t xml:space="preserve">GROVE ST </t>
  </si>
  <si>
    <t>JUSTISS, JIMMY CORDALE</t>
  </si>
  <si>
    <t xml:space="preserve">MARKET ST </t>
  </si>
  <si>
    <t>LUMAR, DANNY LAWRENCE</t>
  </si>
  <si>
    <t xml:space="preserve">BELLA MEADOW CT </t>
  </si>
  <si>
    <t>PEREZ, CESAR IGNACIO</t>
  </si>
  <si>
    <t xml:space="preserve">GOODSON DR </t>
  </si>
  <si>
    <t>WALKER, JORDAN CARNELL</t>
  </si>
  <si>
    <t>S THORNTREE DRI VE</t>
  </si>
  <si>
    <t>DRAPER, TAILER</t>
  </si>
  <si>
    <t>WINDING MANOR D RIVE</t>
  </si>
  <si>
    <t>MADDOX, BRANDON XAVIER</t>
  </si>
  <si>
    <t xml:space="preserve">THRUSH DR </t>
  </si>
  <si>
    <t>439 BOOKER T WA SHINGTON S</t>
  </si>
  <si>
    <t>232, 232</t>
  </si>
  <si>
    <t>UNLAW POSS B/FELON METAL/BODY, EVADING ARREST/DETENTION W/VEH</t>
  </si>
  <si>
    <t>FELON POSS WPN, EVADING ARREST/DETENTION, ASSAULT PEACE OFFICER</t>
  </si>
  <si>
    <t>234274201010, 234274301010</t>
  </si>
  <si>
    <t>5000, 1000</t>
  </si>
  <si>
    <t>131302, 290151</t>
  </si>
  <si>
    <t>12521, 12521</t>
  </si>
  <si>
    <t>8, 8</t>
  </si>
  <si>
    <t>TERRORISTIC THREAT FEAR IMMINE, RESIST ARR-SEARCH</t>
  </si>
  <si>
    <t>44228, 44228</t>
  </si>
  <si>
    <t>DWI 2ND, EVADING ARREST/DETENTION</t>
  </si>
  <si>
    <t>170799801010, 170799701010</t>
  </si>
  <si>
    <t>176, 176</t>
  </si>
  <si>
    <t>40000, 20000</t>
  </si>
  <si>
    <t>131421, 131408</t>
  </si>
  <si>
    <t>AGG ASSAULT-FAMILY MEMBER, ASLT FAM/HOUSE MEM IMPED BRTH/</t>
  </si>
  <si>
    <t>44281, 44281</t>
  </si>
  <si>
    <t>EVADING ARREST/DETENTION W/VEH, POSS MARIJ  4 OZ. - 5 LBS.</t>
  </si>
  <si>
    <t>44280, 44280</t>
  </si>
  <si>
    <t>UNLAW CARRY WPN, DRIVING WHILE INTOXICATED</t>
  </si>
  <si>
    <t>FAIL TO ID TO P.O. FALSE INF/F, ASSAULT OF PREGNANT PERSON</t>
  </si>
  <si>
    <t>ASSLT FAM/HOUSEHOLD MEM W/PREV, VIOL. OF PROTECTIVE ORDER ENH.</t>
  </si>
  <si>
    <t>177, 177</t>
  </si>
  <si>
    <t>25000, 25000</t>
  </si>
  <si>
    <t>CONTINUOUS VIOL AGAINST THE FA, ASLT FAM/HOUSE MEM IMPED BRTH/</t>
  </si>
  <si>
    <t xml:space="preserve">NOT </t>
  </si>
  <si>
    <t>ELIZABETH ANN-LUPE CASTRO</t>
  </si>
  <si>
    <t>100 W CAVALCADE ST RM 339</t>
  </si>
  <si>
    <t>JAVIER BELTRAN</t>
  </si>
  <si>
    <t xml:space="preserve">174 BLACK ROCK RD </t>
  </si>
  <si>
    <t>CESAR IGNACIO PEREZ</t>
  </si>
  <si>
    <t>LUIS MEJIA</t>
  </si>
  <si>
    <t xml:space="preserve">314 HILL RD </t>
  </si>
  <si>
    <t>LAPORSHA MASSINGILL</t>
  </si>
  <si>
    <t xml:space="preserve">407 GREENS RD </t>
  </si>
  <si>
    <t>LAUREN VROMAN</t>
  </si>
  <si>
    <t>RUBEN REYES</t>
  </si>
  <si>
    <t xml:space="preserve">547 WINBURN TIDE LN </t>
  </si>
  <si>
    <t>MICHAEL MERAZ</t>
  </si>
  <si>
    <t xml:space="preserve">601 CLEARLAKE RD </t>
  </si>
  <si>
    <t>HIGHLAND TX 77562</t>
  </si>
  <si>
    <t>SIDNEY JAE BODINE</t>
  </si>
  <si>
    <t xml:space="preserve">643 N MONROE </t>
  </si>
  <si>
    <t>LA GRANGE TX 78945</t>
  </si>
  <si>
    <t>KENNETH WASHINGTON</t>
  </si>
  <si>
    <t xml:space="preserve">702 LOVERS LN </t>
  </si>
  <si>
    <t>LYDRICK ALLEN</t>
  </si>
  <si>
    <t>ERIK ALAN RODRIGUEZ-CRUZ</t>
  </si>
  <si>
    <t xml:space="preserve">709 MISSIOURI ST </t>
  </si>
  <si>
    <t>BRIAN CODY RIGGS</t>
  </si>
  <si>
    <t xml:space="preserve">741 JAMES ST </t>
  </si>
  <si>
    <t>JAIRON PINEDA</t>
  </si>
  <si>
    <t xml:space="preserve">797 GOODSON DR 88 </t>
  </si>
  <si>
    <t>JUAN HERNANDEZ</t>
  </si>
  <si>
    <t>RIGOBERTO GARCIA-MORALES</t>
  </si>
  <si>
    <t>875 N SHEPHERD DR 1 53</t>
  </si>
  <si>
    <t>JAMES ARTHUR CLARK</t>
  </si>
  <si>
    <t xml:space="preserve">904 ALVIN ST. </t>
  </si>
  <si>
    <t>MOISES DAVID HERNANDEZ</t>
  </si>
  <si>
    <t xml:space="preserve">912 PAULINE AVE </t>
  </si>
  <si>
    <t>CHAD M TRIPICCHIO</t>
  </si>
  <si>
    <t xml:space="preserve">1011 CROSS FIELD DR </t>
  </si>
  <si>
    <t xml:space="preserve">KATY TX      </t>
  </si>
  <si>
    <t>MELONY DIANE HOLLINS</t>
  </si>
  <si>
    <t xml:space="preserve">1018 SHADY TRAIL </t>
  </si>
  <si>
    <t>PETER BATISTE</t>
  </si>
  <si>
    <t xml:space="preserve">1091 LIEREN LANE </t>
  </si>
  <si>
    <t>ANTONIO DESHAWN HENDERSON</t>
  </si>
  <si>
    <t xml:space="preserve">1111 LOVETT </t>
  </si>
  <si>
    <t>SHAKORA SHARP</t>
  </si>
  <si>
    <t xml:space="preserve">1113 GROVE ST </t>
  </si>
  <si>
    <t>LOUIS III CORTEZ</t>
  </si>
  <si>
    <t xml:space="preserve">1122 SOMERCOTES LN </t>
  </si>
  <si>
    <t>CLEMENTE REYNA</t>
  </si>
  <si>
    <t xml:space="preserve">1200 TRAVIS </t>
  </si>
  <si>
    <t>THOMAS WOOD</t>
  </si>
  <si>
    <t>HODGIE ARMSTRONG</t>
  </si>
  <si>
    <t>CARLOS DEJUAN JAMES</t>
  </si>
  <si>
    <t xml:space="preserve">1200 BASTROP </t>
  </si>
  <si>
    <t>JAMESIA JAMELLE JACKSON</t>
  </si>
  <si>
    <t xml:space="preserve">1207 GREEN KNOLL DR </t>
  </si>
  <si>
    <t>EDGAR SAUL RODRIGUEZ</t>
  </si>
  <si>
    <t>1208 AVENUE N APT 24 6</t>
  </si>
  <si>
    <t>ERIK MOURILLO MORENO</t>
  </si>
  <si>
    <t xml:space="preserve">1306 AIRLINE PLACE </t>
  </si>
  <si>
    <t>OCTAVIA RODRIGUEZ</t>
  </si>
  <si>
    <t xml:space="preserve">1306 LEMM RD </t>
  </si>
  <si>
    <t>MICHAEL TRETO</t>
  </si>
  <si>
    <t xml:space="preserve">1309 HOMER </t>
  </si>
  <si>
    <t>TRAVIS BERNARD RAMAR</t>
  </si>
  <si>
    <t xml:space="preserve">1405 ANNE AVE </t>
  </si>
  <si>
    <t>JUAN LOPEZ</t>
  </si>
  <si>
    <t>1410 RISING SPRINGS LN</t>
  </si>
  <si>
    <t>MARIO TOVAR SUAREZ</t>
  </si>
  <si>
    <t xml:space="preserve">1519 OLD GREENS RD </t>
  </si>
  <si>
    <t>JAMES EDWARD DIXON</t>
  </si>
  <si>
    <t xml:space="preserve">1526 HUNTER GREEN LN </t>
  </si>
  <si>
    <t>NATALIE JEAN HIDALGO</t>
  </si>
  <si>
    <t xml:space="preserve">1627 ASPEN GROVE </t>
  </si>
  <si>
    <t>BRIAN JEFFREY BARRON</t>
  </si>
  <si>
    <t xml:space="preserve">1710 EARL PORTER DR </t>
  </si>
  <si>
    <t>CADE JUSTIN MARTIN</t>
  </si>
  <si>
    <t xml:space="preserve">1715 MCKEE ST </t>
  </si>
  <si>
    <t>QUIONTUS WINSTON SCOTT</t>
  </si>
  <si>
    <t xml:space="preserve">1906 BROADCOURT DR </t>
  </si>
  <si>
    <t>MISSOURI C TX 77021</t>
  </si>
  <si>
    <t>MICHAEL CRANE</t>
  </si>
  <si>
    <t xml:space="preserve">2109 LORD NELSON DR </t>
  </si>
  <si>
    <t>DERRICK MARTIN</t>
  </si>
  <si>
    <t>2211 S BRAESWOOD BLV D</t>
  </si>
  <si>
    <t>JOHN CHRISTOPHER HOUSE</t>
  </si>
  <si>
    <t>2223 W BAY AREA BLVD APT 2004</t>
  </si>
  <si>
    <t>MYOSHA WALLACE</t>
  </si>
  <si>
    <t xml:space="preserve">2425 SAGE RD 216 </t>
  </si>
  <si>
    <t>CARLOS SINGLETON</t>
  </si>
  <si>
    <t xml:space="preserve">2431 FM 1960 RD W </t>
  </si>
  <si>
    <t>HOUSTON TX 7068</t>
  </si>
  <si>
    <t>CATHLEEN DIXON</t>
  </si>
  <si>
    <t xml:space="preserve">2710 KINGSDALE DR </t>
  </si>
  <si>
    <t>CAMERON ROSHAWN BELL</t>
  </si>
  <si>
    <t xml:space="preserve">2722 VILLAGE CIRCLE </t>
  </si>
  <si>
    <t>KYUNNA LATRISHA NICKLOS</t>
  </si>
  <si>
    <t xml:space="preserve">2777 BRIARGROVE DR </t>
  </si>
  <si>
    <t>DAVID POSADA-AVILA</t>
  </si>
  <si>
    <t>2800 OLD HEARNE RD 3 7</t>
  </si>
  <si>
    <t>BRYAN TX 77803</t>
  </si>
  <si>
    <t>ALBERT DAVIS</t>
  </si>
  <si>
    <t xml:space="preserve">2915 CIDER WOOD DR </t>
  </si>
  <si>
    <t>DAMEN LEON COOKSEY</t>
  </si>
  <si>
    <t xml:space="preserve">3015 WASHINGTON </t>
  </si>
  <si>
    <t>JIMMY CORDALE JUSTISS</t>
  </si>
  <si>
    <t xml:space="preserve">3114 MARKET ST </t>
  </si>
  <si>
    <t>YUSNIEL CORRALES DOMINGUEZ</t>
  </si>
  <si>
    <t xml:space="preserve">3131 HAYES RD </t>
  </si>
  <si>
    <t>TERRY ROBINSON SHERMAN</t>
  </si>
  <si>
    <t xml:space="preserve">3135 BERAN DR </t>
  </si>
  <si>
    <t>JIMMY LOPEZ</t>
  </si>
  <si>
    <t xml:space="preserve">3306 LOVE PLAZA </t>
  </si>
  <si>
    <t>CYDNEY ANN DAVIS</t>
  </si>
  <si>
    <t>3333 ALABAMA ST APT 120C</t>
  </si>
  <si>
    <t>DUSTIN MITCHELL</t>
  </si>
  <si>
    <t xml:space="preserve">3499 LOUETTA </t>
  </si>
  <si>
    <t>BARBARA ALICIA ALMAGUER</t>
  </si>
  <si>
    <t>3550 MAIN ST APT 730 8</t>
  </si>
  <si>
    <t>MELVIN CUPP</t>
  </si>
  <si>
    <t xml:space="preserve">3700 KINGWOOD DR </t>
  </si>
  <si>
    <t>KEVIN HENRIQUEZ DUENAS</t>
  </si>
  <si>
    <t xml:space="preserve">3738 EMBARCADERO DR </t>
  </si>
  <si>
    <t>CLAUD T. MOORE</t>
  </si>
  <si>
    <t xml:space="preserve">3803 BOTANY LN </t>
  </si>
  <si>
    <t>ROY DAVIS WALLACE</t>
  </si>
  <si>
    <t xml:space="preserve">3808 LOS ANGELES ST </t>
  </si>
  <si>
    <t>RYAN W HARBUCK</t>
  </si>
  <si>
    <t xml:space="preserve">3940 LAURA LEIGH DR </t>
  </si>
  <si>
    <t>FRANCISCO ANTONIO RAX-CAC</t>
  </si>
  <si>
    <t xml:space="preserve">3950 HOLLISTER ST </t>
  </si>
  <si>
    <t>MIESHA RENEE CHAMBLISS</t>
  </si>
  <si>
    <t xml:space="preserve">4107 PHLOX ST </t>
  </si>
  <si>
    <t>BIANCA LYNETTE PRIETO</t>
  </si>
  <si>
    <t>4125 BRANDON BRANCH CT</t>
  </si>
  <si>
    <t>YOLANDA YADIRA SALINAS-SALDIVAR</t>
  </si>
  <si>
    <t xml:space="preserve">4244 LITTLECREST RD </t>
  </si>
  <si>
    <t>JULIE ANN WYATT</t>
  </si>
  <si>
    <t xml:space="preserve">4411 N SHEPHERD DR </t>
  </si>
  <si>
    <t>DEONTAY JAMON CARTER</t>
  </si>
  <si>
    <t xml:space="preserve">4522 SYLVANFIELD DR </t>
  </si>
  <si>
    <t>RAYLIYAH BROWN</t>
  </si>
  <si>
    <t xml:space="preserve">4605 MALLOW ST B </t>
  </si>
  <si>
    <t>EMILY VASQUEZ</t>
  </si>
  <si>
    <t xml:space="preserve">4614 PINE LN </t>
  </si>
  <si>
    <t>JORDAN MATHEW SHARP</t>
  </si>
  <si>
    <t>4715 LAKESIDE MEADOW DR</t>
  </si>
  <si>
    <t>BRANDON LEE BRAZZELL</t>
  </si>
  <si>
    <t xml:space="preserve">4810 SPRING CYPRESS </t>
  </si>
  <si>
    <t>ADAM MICHAEL MARTINEZ</t>
  </si>
  <si>
    <t xml:space="preserve">5006 CASTLECREEK LN </t>
  </si>
  <si>
    <t>MICHAEL RAY WIGGINS</t>
  </si>
  <si>
    <t xml:space="preserve">5012 ASHWOOD DR </t>
  </si>
  <si>
    <t>MANUEL ISAIAS VELAZQUEZ</t>
  </si>
  <si>
    <t xml:space="preserve">5100 ALLEN GENOA RD </t>
  </si>
  <si>
    <t>TRAVIS BRANDON AYERS</t>
  </si>
  <si>
    <t xml:space="preserve">5310 DUNNETHEAD DR </t>
  </si>
  <si>
    <t>FAYTON DAFAITH LEWIS</t>
  </si>
  <si>
    <t>5401 CHIMNEY ROCK RD 879</t>
  </si>
  <si>
    <t>BRITTANY MODUPEOLA JOLAOSO</t>
  </si>
  <si>
    <t>MARCELLUS AUGUSTE WHITING</t>
  </si>
  <si>
    <t xml:space="preserve">5532 BUNTE </t>
  </si>
  <si>
    <t>LAZAVION M WOODS</t>
  </si>
  <si>
    <t xml:space="preserve">5534 SUMMIT LODGE DR </t>
  </si>
  <si>
    <t>JACOB MIRANDA</t>
  </si>
  <si>
    <t xml:space="preserve">5557 GASMER 673 </t>
  </si>
  <si>
    <t>JOSE ANTONIO LINARES</t>
  </si>
  <si>
    <t xml:space="preserve">5601 CHIMNEY ROCK RD </t>
  </si>
  <si>
    <t>JOHNNY GARCIA</t>
  </si>
  <si>
    <t>BRANDON XAVIER MADDOX</t>
  </si>
  <si>
    <t xml:space="preserve">5874 THRUSH DR </t>
  </si>
  <si>
    <t>LEE ANDREA GARNER</t>
  </si>
  <si>
    <t xml:space="preserve">5903 SOLAR POINT LN </t>
  </si>
  <si>
    <t>JON MICAH CLINKSCALES</t>
  </si>
  <si>
    <t>6005 WHISPERING LAKE S AVE</t>
  </si>
  <si>
    <t>JOE III MARTINEZ</t>
  </si>
  <si>
    <t xml:space="preserve">6203 MAKEIG </t>
  </si>
  <si>
    <t>TAURUS TIRRELL WALKER</t>
  </si>
  <si>
    <t xml:space="preserve">6301 W MONTGOMERY </t>
  </si>
  <si>
    <t>GUILLERMO ABREGO</t>
  </si>
  <si>
    <t xml:space="preserve">6305 WESTWARD ST 157 </t>
  </si>
  <si>
    <t>JOHN HENRY JONES</t>
  </si>
  <si>
    <t>6400 W BELLFORT APT 985</t>
  </si>
  <si>
    <t>EVA PICAZO</t>
  </si>
  <si>
    <t xml:space="preserve">6527 NEW WORLD DR </t>
  </si>
  <si>
    <t>BRANDON LOZANO</t>
  </si>
  <si>
    <t xml:space="preserve">6610 LIMESTONE </t>
  </si>
  <si>
    <t>CHRISTOPHER DESHUN MORTON</t>
  </si>
  <si>
    <t xml:space="preserve">6811 MOSS OAKS DR </t>
  </si>
  <si>
    <t>GERALD WAYNE GILES</t>
  </si>
  <si>
    <t>6833 LAKEVIEW HAVEN DR</t>
  </si>
  <si>
    <t>JOHNNY GARZA</t>
  </si>
  <si>
    <t xml:space="preserve">7211 OAK VILLAGE DR </t>
  </si>
  <si>
    <t>ERIC ROMARIC ARGUETA</t>
  </si>
  <si>
    <t xml:space="preserve">7305 LAREDO </t>
  </si>
  <si>
    <t>CHRISTIAN REYES</t>
  </si>
  <si>
    <t xml:space="preserve">7414 PARKCRAFT DR </t>
  </si>
  <si>
    <t>DERRELL RIDLEY</t>
  </si>
  <si>
    <t xml:space="preserve">7422 GLEN MANOR DR </t>
  </si>
  <si>
    <t>DEREK LAWRENCE BUTTERS</t>
  </si>
  <si>
    <t xml:space="preserve">7485 HAYWOOD DR </t>
  </si>
  <si>
    <t>CONSUELA MARKS</t>
  </si>
  <si>
    <t>7503 MUSTANG CORRAL DR</t>
  </si>
  <si>
    <t>SERGIO ESPARZA</t>
  </si>
  <si>
    <t xml:space="preserve">7710 AVENUE B </t>
  </si>
  <si>
    <t>SANDRINE TUYISHIME NTANYOSHA</t>
  </si>
  <si>
    <t xml:space="preserve">7711 OCONNOR 2316 </t>
  </si>
  <si>
    <t>ROUND ROCK TX 78681</t>
  </si>
  <si>
    <t>TERRELL MODELIST</t>
  </si>
  <si>
    <t>LAKEELA ALLISON</t>
  </si>
  <si>
    <t>7914 SWEETSTONE BLUF F LANE</t>
  </si>
  <si>
    <t>ANGEL AARON COVARRUBIAS</t>
  </si>
  <si>
    <t>7979 WESTHEIMER APT 202</t>
  </si>
  <si>
    <t>VICTOR ALTAMIRANO CASTRO</t>
  </si>
  <si>
    <t xml:space="preserve">8060 8TH ST </t>
  </si>
  <si>
    <t>ALLAN JOSEPH JONES</t>
  </si>
  <si>
    <t xml:space="preserve">8100 SANDSPOINT DR </t>
  </si>
  <si>
    <t>LUCIO ANGUIANO</t>
  </si>
  <si>
    <t xml:space="preserve">8311 ST LO </t>
  </si>
  <si>
    <t>JOSE ANTONIO SANCHEZ</t>
  </si>
  <si>
    <t xml:space="preserve">8323 CINNAMON LN 113 </t>
  </si>
  <si>
    <t>IRIS SALDANA</t>
  </si>
  <si>
    <t xml:space="preserve">8923 ANTOINE DR </t>
  </si>
  <si>
    <t>YUMONTRE WILLIAMS</t>
  </si>
  <si>
    <t>9001 S BRAESWOOD BLV D 1910</t>
  </si>
  <si>
    <t>ELIAS ELIFONSO CORREA</t>
  </si>
  <si>
    <t xml:space="preserve">9005 LONG POINT RD </t>
  </si>
  <si>
    <t>MARK ANTHONY CRUZ</t>
  </si>
  <si>
    <t xml:space="preserve">9026 KEMPWOOD DR </t>
  </si>
  <si>
    <t>MARIA ELENA CASTELLANOS</t>
  </si>
  <si>
    <t xml:space="preserve">9234 ROWAN LN </t>
  </si>
  <si>
    <t>BRUCE ALLEN DEAN</t>
  </si>
  <si>
    <t xml:space="preserve">9618 KINDER LN </t>
  </si>
  <si>
    <t>JOSE DAVID BONILLA-SANCHEZ</t>
  </si>
  <si>
    <t xml:space="preserve">9806 RIBBONWOOD ST </t>
  </si>
  <si>
    <t>DASAN NILE WATERS</t>
  </si>
  <si>
    <t xml:space="preserve">9903 SAND DOLLAR DR </t>
  </si>
  <si>
    <t>JAMES ANTHONY YOUNG</t>
  </si>
  <si>
    <t>9955 BAMMEL NORTH HO USTON DR</t>
  </si>
  <si>
    <t>VICTORIA THEOBALDS</t>
  </si>
  <si>
    <t xml:space="preserve">10000 FANNIN ST </t>
  </si>
  <si>
    <t>LLOYD JUNIOR HENDERSON</t>
  </si>
  <si>
    <t xml:space="preserve">11629 BOB WHITE DR </t>
  </si>
  <si>
    <t>HECTOR ANTONIO VALLECILLO</t>
  </si>
  <si>
    <t>11810 ALGONQUIN DR 43 7</t>
  </si>
  <si>
    <t>JOSE MARTHO VASQUEZ</t>
  </si>
  <si>
    <t xml:space="preserve">11810 CHIMNEY ROCK RD </t>
  </si>
  <si>
    <t>GUSTAVO FLORES</t>
  </si>
  <si>
    <t xml:space="preserve">12003 POMPANO LN </t>
  </si>
  <si>
    <t>RAMIRO SANTANA</t>
  </si>
  <si>
    <t>12029 ALDINE WESTIFEL D</t>
  </si>
  <si>
    <t>SALVADOR VENCES</t>
  </si>
  <si>
    <t xml:space="preserve">12042 HADLEY FALLS CT </t>
  </si>
  <si>
    <t>ALIYAH ROSE LAYTON</t>
  </si>
  <si>
    <t xml:space="preserve">12127 POMPTON </t>
  </si>
  <si>
    <t>MICHAEL WAYNE OVEAL</t>
  </si>
  <si>
    <t xml:space="preserve">12226 CALM FEATHER DR </t>
  </si>
  <si>
    <t>AUSTIN HO</t>
  </si>
  <si>
    <t>12711 WINDING MANOR D R.</t>
  </si>
  <si>
    <t>TAILER DRAPER</t>
  </si>
  <si>
    <t>12711 WINDING MANOR D RIVE</t>
  </si>
  <si>
    <t>ANGEL REYES</t>
  </si>
  <si>
    <t xml:space="preserve">13119 MARBURY CT </t>
  </si>
  <si>
    <t>JORDAN CARNELL WALKER</t>
  </si>
  <si>
    <t>13210 S THORNTREE DRI VE</t>
  </si>
  <si>
    <t>VICTOR ANTHONY TAMEZ</t>
  </si>
  <si>
    <t>13615 BROKEN BRIDGE D R</t>
  </si>
  <si>
    <t>SOLOMON A. BEKELE</t>
  </si>
  <si>
    <t>14307 BRANCH WATER LA NE</t>
  </si>
  <si>
    <t>JACOBI SMALL</t>
  </si>
  <si>
    <t xml:space="preserve">14400 EASTEX FWY </t>
  </si>
  <si>
    <t>DANNY LAWRENCE LUMAR</t>
  </si>
  <si>
    <t xml:space="preserve">14602 BELLA MEADOW CT </t>
  </si>
  <si>
    <t>DIANA RIVERA DOMINGUEZ</t>
  </si>
  <si>
    <t>15250 GRAY RIDGE DRIV E</t>
  </si>
  <si>
    <t>AMANDA MORENO</t>
  </si>
  <si>
    <t>15326 ROSEHILL SUMMIT LANE</t>
  </si>
  <si>
    <t>OMAR SOLORZANO</t>
  </si>
  <si>
    <t xml:space="preserve">15614 DAWNBROOK DR </t>
  </si>
  <si>
    <t>CAVASIIA CASZ HAMPTON</t>
  </si>
  <si>
    <t>15770 BELLAIRE BLVD A PT 1406</t>
  </si>
  <si>
    <t>AMBER REENE CLEVELAND</t>
  </si>
  <si>
    <t xml:space="preserve">15803 SMITHLAND DR </t>
  </si>
  <si>
    <t>HOSUTON TX 77084</t>
  </si>
  <si>
    <t>DANIEL DIOSDADO</t>
  </si>
  <si>
    <t xml:space="preserve">16211 SAMOA WAY </t>
  </si>
  <si>
    <t>JOSE IGNACIO SANCHEZ</t>
  </si>
  <si>
    <t xml:space="preserve">16512 MONTE CARLO LN </t>
  </si>
  <si>
    <t>ISIDRO GALLEGOS-RODRIGUEZ</t>
  </si>
  <si>
    <t xml:space="preserve">16607 LARCHWOOD DR </t>
  </si>
  <si>
    <t>DEANDROS FINKS</t>
  </si>
  <si>
    <t xml:space="preserve">17331 RED OAK DR #18 </t>
  </si>
  <si>
    <t>JOSE SALAZAR MARTINEZ</t>
  </si>
  <si>
    <t>17919 OAKLAND MILLS D R</t>
  </si>
  <si>
    <t>JOEL MICHAEL CORRIGAN</t>
  </si>
  <si>
    <t xml:space="preserve">21130 STONEY HAVEN DR </t>
  </si>
  <si>
    <t>DONZELL REED</t>
  </si>
  <si>
    <t xml:space="preserve">21630 MACHEALA WAY </t>
  </si>
  <si>
    <t>BURTON SCOTT</t>
  </si>
  <si>
    <t>23807 SPRING DANE DRI VE</t>
  </si>
  <si>
    <t>LAWRENCE RAY KEYS</t>
  </si>
  <si>
    <t xml:space="preserve">23902 KUYKENDAHL RD </t>
  </si>
  <si>
    <t>25000 ALDINE WESTFIEL D RD</t>
  </si>
  <si>
    <t>DAELIN BREWER</t>
  </si>
  <si>
    <t xml:space="preserve">27650 TOMBALL PARKWAY </t>
  </si>
  <si>
    <t>ADRIC MARQUIS IRVING</t>
  </si>
  <si>
    <t>2100 BASTROP</t>
  </si>
  <si>
    <t>WALTER MARIO GUTIERREZ REYES</t>
  </si>
  <si>
    <t>2730 LAFFERTY</t>
  </si>
  <si>
    <t>HOUSTON TN 77502</t>
  </si>
  <si>
    <t>20514 CAT SPRING</t>
  </si>
  <si>
    <t>WILLIE RANSOM</t>
  </si>
  <si>
    <t>STEVE POLK</t>
  </si>
  <si>
    <t>TENAHA TX 75974</t>
  </si>
  <si>
    <t>8011 BLUEJAY TWIN CL</t>
  </si>
  <si>
    <t>GARCIA, ISRAEL</t>
  </si>
  <si>
    <t xml:space="preserve">FARLEY DR </t>
  </si>
  <si>
    <t>LEWIS, MATTHEW</t>
  </si>
  <si>
    <t xml:space="preserve">LANGWICH DR </t>
  </si>
  <si>
    <t xml:space="preserve">BROOKLYN ST </t>
  </si>
  <si>
    <t>GALVESTON</t>
  </si>
  <si>
    <t>TOLBERT, GARLON DEON</t>
  </si>
  <si>
    <t xml:space="preserve">BREDA DR </t>
  </si>
  <si>
    <t>BROWN, ADAM BANKS</t>
  </si>
  <si>
    <t>BARERRA, ISIDORO</t>
  </si>
  <si>
    <t xml:space="preserve">MARSHALL ST </t>
  </si>
  <si>
    <t>MCCAGHREN, LAKIN</t>
  </si>
  <si>
    <t xml:space="preserve">CHRISTINE </t>
  </si>
  <si>
    <t>MONTES, LUCIO ANTONIO</t>
  </si>
  <si>
    <t>CALDWELL, ERIN</t>
  </si>
  <si>
    <t xml:space="preserve">KRISWOOD </t>
  </si>
  <si>
    <t>THOMAS, DEVON</t>
  </si>
  <si>
    <t>NORTHCHASE DR 8 01</t>
  </si>
  <si>
    <t>TAYLOR, CALEB CHARLES</t>
  </si>
  <si>
    <t>BENTWORTH DR 45 4</t>
  </si>
  <si>
    <t>MONTES, MARCO ANTONIO</t>
  </si>
  <si>
    <t xml:space="preserve">HAMMERLY BLVD </t>
  </si>
  <si>
    <t>LOPEZ, CESAR FRANK</t>
  </si>
  <si>
    <t>BARKERS CROSSIN G AVE</t>
  </si>
  <si>
    <t>BARRERA, LUIS</t>
  </si>
  <si>
    <t>HASELBAWER, SCOTT RODRICK</t>
  </si>
  <si>
    <t xml:space="preserve">BRETON RIDGE ST </t>
  </si>
  <si>
    <t>ARIAS, EDGAR JR</t>
  </si>
  <si>
    <t xml:space="preserve">BLUEBURRY LANE </t>
  </si>
  <si>
    <t>IBARRA, BELEN</t>
  </si>
  <si>
    <t xml:space="preserve">GAINESVILLE </t>
  </si>
  <si>
    <t>LAGARD, STEVEN MAJOR</t>
  </si>
  <si>
    <t xml:space="preserve">LIVE OAK ST </t>
  </si>
  <si>
    <t>MOORE, DANNY EDWARD</t>
  </si>
  <si>
    <t>RICHARD, COLLEEN KARISSA</t>
  </si>
  <si>
    <t>W SAM HOUSTON P KWY S</t>
  </si>
  <si>
    <t>CRUZ, BRENTON LEE</t>
  </si>
  <si>
    <t xml:space="preserve">LUZERNE DR </t>
  </si>
  <si>
    <t>RODRIGUEZ, MIGUEL ANGEL</t>
  </si>
  <si>
    <t xml:space="preserve">DAWNRIDGE </t>
  </si>
  <si>
    <t>HIGGINBOTHAM, JASON SCOTT</t>
  </si>
  <si>
    <t xml:space="preserve">MAYFIELD </t>
  </si>
  <si>
    <t>PHILLIPS, KYLE LYNN</t>
  </si>
  <si>
    <t xml:space="preserve">WREN AVE </t>
  </si>
  <si>
    <t>SHOOKS, CHERYL M.</t>
  </si>
  <si>
    <t>SPURLOCK, WALTER J</t>
  </si>
  <si>
    <t xml:space="preserve">29TH ST </t>
  </si>
  <si>
    <t>WALDEN, STEVEN LOGAN</t>
  </si>
  <si>
    <t>E NASA PKWY 442 1</t>
  </si>
  <si>
    <t>SIMS, MICHEAL E.</t>
  </si>
  <si>
    <t>PENINSULA GARDE N WAY</t>
  </si>
  <si>
    <t>STEPTOE, ROBERT SAMUEL</t>
  </si>
  <si>
    <t xml:space="preserve">SCHEVERS ST </t>
  </si>
  <si>
    <t>MANZANALES, RUBIE</t>
  </si>
  <si>
    <t xml:space="preserve">RED BLUFF 912 </t>
  </si>
  <si>
    <t>BLACKWELL, KEVIN ALAN</t>
  </si>
  <si>
    <t xml:space="preserve">LOMA VISTA CIR </t>
  </si>
  <si>
    <t>DEL VALLE</t>
  </si>
  <si>
    <t>CO</t>
  </si>
  <si>
    <t>JACK, JULIAYNNA CHAWNDRA</t>
  </si>
  <si>
    <t>LOUETTA RD APT 6202</t>
  </si>
  <si>
    <t>WILLIAMS, GABRIEANNA DA</t>
  </si>
  <si>
    <t xml:space="preserve">BIMMS DR </t>
  </si>
  <si>
    <t>CONROE</t>
  </si>
  <si>
    <t>CONTRERAS, JAMES</t>
  </si>
  <si>
    <t xml:space="preserve">PILLOT </t>
  </si>
  <si>
    <t xml:space="preserve">WALNUT GATE </t>
  </si>
  <si>
    <t>CASTILLO, ANGEL ADRIAN</t>
  </si>
  <si>
    <t xml:space="preserve">ELYSIAN ST </t>
  </si>
  <si>
    <t>JONES, JAMARCUS RAY</t>
  </si>
  <si>
    <t xml:space="preserve">CLIFFDALE ST </t>
  </si>
  <si>
    <t>FLORES, MICHAEL ANGELO</t>
  </si>
  <si>
    <t xml:space="preserve">FULTON </t>
  </si>
  <si>
    <t>TARNIELLA, JORDAN ANTONIO</t>
  </si>
  <si>
    <t xml:space="preserve">RICHFIELD LN </t>
  </si>
  <si>
    <t>MCDONALD, CHRISTOPHER LAVANCE</t>
  </si>
  <si>
    <t xml:space="preserve">WHITEWOOD </t>
  </si>
  <si>
    <t>SMALL, ALBERT BRIAN</t>
  </si>
  <si>
    <t xml:space="preserve">SAKOWITZ </t>
  </si>
  <si>
    <t>GULLEY-CHAVERS, JAVAY</t>
  </si>
  <si>
    <t xml:space="preserve">ALAMAN DR </t>
  </si>
  <si>
    <t>CORENA, KEVIN</t>
  </si>
  <si>
    <t xml:space="preserve">FAWN TERRACE DR </t>
  </si>
  <si>
    <t>HAMMOND, SANDRA</t>
  </si>
  <si>
    <t xml:space="preserve">ABALONE WAY </t>
  </si>
  <si>
    <t>12721, 12721</t>
  </si>
  <si>
    <t>FELON POSS WPN, THEFT &gt;=2,500 &lt;30,000</t>
  </si>
  <si>
    <t>170835301010, 170835401010</t>
  </si>
  <si>
    <t>228, 228</t>
  </si>
  <si>
    <t>10000, 10000</t>
  </si>
  <si>
    <t>480222, 480127</t>
  </si>
  <si>
    <t>ATT TAMPER WITH PHYSICAL EVIDE, EVADING ARREST/DETENTION W/VEH</t>
  </si>
  <si>
    <t>EVADING ARREST/DETENTION W/VEH, AGG ASSLT AGAINST PB SERVANT</t>
  </si>
  <si>
    <t>44264, 44264</t>
  </si>
  <si>
    <t>ROBERT SAMUEL STEPTOE</t>
  </si>
  <si>
    <t xml:space="preserve">5859 SCHEVERS ST </t>
  </si>
  <si>
    <t>MICHEAL E. SIMS</t>
  </si>
  <si>
    <t>4735 PENINSULA GARDE N WAY</t>
  </si>
  <si>
    <t>DESMOND ONEAL BROWN</t>
  </si>
  <si>
    <t xml:space="preserve">727 KIRKWOOD </t>
  </si>
  <si>
    <t>FRANKIE LARUE GERMAN</t>
  </si>
  <si>
    <t xml:space="preserve">555 DEMINAR </t>
  </si>
  <si>
    <t>SANDRA HAMMOND</t>
  </si>
  <si>
    <t xml:space="preserve">12918 ABALONE WAY </t>
  </si>
  <si>
    <t>JASON SCOTT HIGGINBOTHAM</t>
  </si>
  <si>
    <t xml:space="preserve">10934 MAYFIELD </t>
  </si>
  <si>
    <t>GREGORY HOLMES</t>
  </si>
  <si>
    <t xml:space="preserve">2967 SHADOW TRAIL DR </t>
  </si>
  <si>
    <t>MONICA MARTINEZ</t>
  </si>
  <si>
    <t xml:space="preserve">215 PRINCESS DR </t>
  </si>
  <si>
    <t>JAMES CONTRERAS</t>
  </si>
  <si>
    <t xml:space="preserve">10426 PILLOT </t>
  </si>
  <si>
    <t>JAMARCUS RAY JONES</t>
  </si>
  <si>
    <t xml:space="preserve">3008 CLIFFDALE ST </t>
  </si>
  <si>
    <t>MICHAEL ANGELO FLORES</t>
  </si>
  <si>
    <t xml:space="preserve">2901 FULTON </t>
  </si>
  <si>
    <t>ZXAVIER JERMEY ALEX</t>
  </si>
  <si>
    <t>6060 GREENS RD APT 1 07</t>
  </si>
  <si>
    <t>WALTER J SPURLOCK</t>
  </si>
  <si>
    <t xml:space="preserve">1121 29TH ST </t>
  </si>
  <si>
    <t>MIGUEL ANGEL RODRIGUEZ</t>
  </si>
  <si>
    <t xml:space="preserve">8622 DAWNRIDGE </t>
  </si>
  <si>
    <t>ALBERT BRIAN SMALL</t>
  </si>
  <si>
    <t xml:space="preserve">1703 SAKOWITZ </t>
  </si>
  <si>
    <t>TREY DALE WHITE</t>
  </si>
  <si>
    <t xml:space="preserve">5035 BRISCOE ST </t>
  </si>
  <si>
    <t>MARCO ANTONIO MONTES</t>
  </si>
  <si>
    <t xml:space="preserve">8800 HAMMERLY BLVD </t>
  </si>
  <si>
    <t>KEVIN ALAN BLACKWELL</t>
  </si>
  <si>
    <t xml:space="preserve">12150 LOMA VISTA CIR </t>
  </si>
  <si>
    <t>DEL VALLE TX 78617</t>
  </si>
  <si>
    <t>DNETRIA ZHANE SMALL</t>
  </si>
  <si>
    <t xml:space="preserve">5110 AZALEA TRACE DR </t>
  </si>
  <si>
    <t>JOEL III GUERRA</t>
  </si>
  <si>
    <t xml:space="preserve">4203 BETHEL BLVD </t>
  </si>
  <si>
    <t>CESAR FRANK LOPEZ</t>
  </si>
  <si>
    <t>3303 BARKERS CROSSIN G AVE</t>
  </si>
  <si>
    <t xml:space="preserve">5107 WALNUT GATE </t>
  </si>
  <si>
    <t>KADEEM JAMES WILKINS</t>
  </si>
  <si>
    <t xml:space="preserve">1000 THREADNEEDLE </t>
  </si>
  <si>
    <t>COLLEEN KARISSA RICHARD</t>
  </si>
  <si>
    <t>680 W SAM HOUSTON P KWY S</t>
  </si>
  <si>
    <t>8011  BLUEJAY TWIN C IRHUMBLE,</t>
  </si>
  <si>
    <t>DANIEL THOMAS COLE</t>
  </si>
  <si>
    <t xml:space="preserve">9999 SPENCER HWY </t>
  </si>
  <si>
    <t xml:space="preserve">11406 BROOKLYN ST </t>
  </si>
  <si>
    <t>ISRAEL GARCIA</t>
  </si>
  <si>
    <t xml:space="preserve">5531 FARLEY DR </t>
  </si>
  <si>
    <t>STEVEN MAJOR LAGARD</t>
  </si>
  <si>
    <t xml:space="preserve">3101 LIVE OAK ST </t>
  </si>
  <si>
    <t>JAVAY GULLEY-CHAVERS</t>
  </si>
  <si>
    <t xml:space="preserve">14306 ALAMAN DR </t>
  </si>
  <si>
    <t>JOHN CHRISTION GONZALES HUBBARD</t>
  </si>
  <si>
    <t xml:space="preserve">4310 WOODMONT DRIVE </t>
  </si>
  <si>
    <t>CAROME ROOSEVELT HAWKINS</t>
  </si>
  <si>
    <t>LUIS BARRERA</t>
  </si>
  <si>
    <t xml:space="preserve">2317 MARSHALL ST </t>
  </si>
  <si>
    <t>JORDAN ANTONIO TARNIELLA</t>
  </si>
  <si>
    <t xml:space="preserve">5002 RICHFIELD LN </t>
  </si>
  <si>
    <t>LAKIN MCCAGHREN</t>
  </si>
  <si>
    <t xml:space="preserve">926 CHRISTINE </t>
  </si>
  <si>
    <t>ERIN CALDWELL</t>
  </si>
  <si>
    <t xml:space="preserve">1618 KRISWOOD </t>
  </si>
  <si>
    <t>RAYMONTEAL DAY</t>
  </si>
  <si>
    <t xml:space="preserve">7302 ALABONSON </t>
  </si>
  <si>
    <t>GABRIEANNA DA WILLIAMS</t>
  </si>
  <si>
    <t xml:space="preserve">9900 BIMMS DR </t>
  </si>
  <si>
    <t>SCOTT RODRICK HASELBAWER</t>
  </si>
  <si>
    <t>DAMIEN AMMONS</t>
  </si>
  <si>
    <t xml:space="preserve">5319 PARKSHORE DR </t>
  </si>
  <si>
    <t>BRENTON LEE CRUZ</t>
  </si>
  <si>
    <t xml:space="preserve">16315 LUZERNE DR </t>
  </si>
  <si>
    <t>DEVON THOMAS</t>
  </si>
  <si>
    <t>16966 NORTHCHASE DR 8 01</t>
  </si>
  <si>
    <t>RUBIE MANZANALES</t>
  </si>
  <si>
    <t xml:space="preserve">5930 RED BLUFF 912 </t>
  </si>
  <si>
    <t>GARLON DEON TOLBERT</t>
  </si>
  <si>
    <t xml:space="preserve">7802 BREDA DR </t>
  </si>
  <si>
    <t>EDGAR JR ARIAS</t>
  </si>
  <si>
    <t xml:space="preserve">8939 BLUEBURRY LANE </t>
  </si>
  <si>
    <t>ISIDORO BARERRA</t>
  </si>
  <si>
    <t>BELEN IBARRA</t>
  </si>
  <si>
    <t xml:space="preserve">14682 GAINESVILLE </t>
  </si>
  <si>
    <t>CHADWICK OBRIEN GARRETT</t>
  </si>
  <si>
    <t xml:space="preserve">105 HUMMINGBIRD LN </t>
  </si>
  <si>
    <t>GALA VANESSA GEEGAN</t>
  </si>
  <si>
    <t xml:space="preserve">6705 QUEENSLAND </t>
  </si>
  <si>
    <t>STEVEN LOGAN WALDEN</t>
  </si>
  <si>
    <t>3520 E NASA PKWY 442 1</t>
  </si>
  <si>
    <t>JONHATAN MOISES SOTELO</t>
  </si>
  <si>
    <t xml:space="preserve">14931 ELMONT DR </t>
  </si>
  <si>
    <t>CALEB CHARLES TAYLOR</t>
  </si>
  <si>
    <t>2150 BENTWORTH DR 45 4</t>
  </si>
  <si>
    <t>DANIEL ESTEBAN ALVAREZ</t>
  </si>
  <si>
    <t>12123 STONE EAST DR U NIT A</t>
  </si>
  <si>
    <t>HENNESSY JARELLE GUY</t>
  </si>
  <si>
    <t xml:space="preserve">2018 VILLAGE PARK DR </t>
  </si>
  <si>
    <t>KEVIN CORENA</t>
  </si>
  <si>
    <t xml:space="preserve">7939 FAWN TERRACE DR </t>
  </si>
  <si>
    <t>DEADRIAN EDWARD LEE THEDFORD</t>
  </si>
  <si>
    <t xml:space="preserve">6010 LEACREST CT </t>
  </si>
  <si>
    <t>HOUSSTON TX 77049</t>
  </si>
  <si>
    <t>MATTHEW LEWIS</t>
  </si>
  <si>
    <t xml:space="preserve">1100 LANGWICH DR </t>
  </si>
  <si>
    <t>CHRISTOPHER LAVANCE MCDONALD</t>
  </si>
  <si>
    <t xml:space="preserve">20433 WHITEWOOD </t>
  </si>
  <si>
    <t>JULIAYNNA CHAWNDRA JACK</t>
  </si>
  <si>
    <t>4115 LOUETTA RD APT 6202</t>
  </si>
  <si>
    <t>KYLE LYNN PHILLIPS</t>
  </si>
  <si>
    <t xml:space="preserve">706 WREN AVE </t>
  </si>
  <si>
    <t>AUSTIN TX 78753</t>
  </si>
  <si>
    <t>HARGROVE, NOREZ RAMON</t>
  </si>
  <si>
    <t xml:space="preserve">PONNEL LN </t>
  </si>
  <si>
    <t>MUHAMMAD, MAYA</t>
  </si>
  <si>
    <t>RICHMOND AVE 72 5</t>
  </si>
  <si>
    <t>STROUD, MARKAY ANGELINA</t>
  </si>
  <si>
    <t>IMPROPER RELAT W/STUDENT</t>
  </si>
  <si>
    <t>MEJIA, GREGORY JESUS</t>
  </si>
  <si>
    <t xml:space="preserve">BROCK </t>
  </si>
  <si>
    <t>WEBBERT, LAQUITHA YVETTE</t>
  </si>
  <si>
    <t xml:space="preserve">RUNNELS APT 145 </t>
  </si>
  <si>
    <t>CAMPBELL, DEADRICK TERRELL</t>
  </si>
  <si>
    <t xml:space="preserve">SETTLES DR </t>
  </si>
  <si>
    <t>MOSCOW</t>
  </si>
  <si>
    <t>BRUEGGER, ALEXIS GILBERT</t>
  </si>
  <si>
    <t>MILLER, MICHAEL JOSEPH</t>
  </si>
  <si>
    <t xml:space="preserve">WILLIAMS DRIVE </t>
  </si>
  <si>
    <t>BELL, BARRY</t>
  </si>
  <si>
    <t xml:space="preserve">KEMPSFORD CT </t>
  </si>
  <si>
    <t>COTLAR, DORIAN CLAUDE</t>
  </si>
  <si>
    <t>RUZZO, PATRICK J</t>
  </si>
  <si>
    <t>JENKINS, CLAYTON LAMONT</t>
  </si>
  <si>
    <t xml:space="preserve">DARTON DR </t>
  </si>
  <si>
    <t>HARPER, ALBERT WAYNE</t>
  </si>
  <si>
    <t xml:space="preserve">4203 DAWSON </t>
  </si>
  <si>
    <t>CASTILLO, EFREN</t>
  </si>
  <si>
    <t xml:space="preserve">BUSALLA TRL </t>
  </si>
  <si>
    <t>JAMES, ROSALYN RENA</t>
  </si>
  <si>
    <t xml:space="preserve">DIPLOMAT WAY </t>
  </si>
  <si>
    <t>RAYON, JOHN</t>
  </si>
  <si>
    <t xml:space="preserve">GARTH RD. </t>
  </si>
  <si>
    <t>LEMONS, MICHAEL</t>
  </si>
  <si>
    <t xml:space="preserve">S LOOP W </t>
  </si>
  <si>
    <t>AGBAKA, OLIVER OBINNA</t>
  </si>
  <si>
    <t>S DAIRY ASHFORD RD</t>
  </si>
  <si>
    <t>WARDLEY, TONY TERRELL</t>
  </si>
  <si>
    <t xml:space="preserve">CLEVELAND </t>
  </si>
  <si>
    <t>GARCIA, ESTEFANIA</t>
  </si>
  <si>
    <t xml:space="preserve">FARADAY DR </t>
  </si>
  <si>
    <t>RAMIREZ, JONATHAN ERIK</t>
  </si>
  <si>
    <t>BECKNER, AMALIA MARISE</t>
  </si>
  <si>
    <t>NGUYEN, CUONG</t>
  </si>
  <si>
    <t>CYPRESSWOOD DRI VE</t>
  </si>
  <si>
    <t xml:space="preserve">BROADWAY ST </t>
  </si>
  <si>
    <t>VALLADARES, JONATHAN ELISEO</t>
  </si>
  <si>
    <t xml:space="preserve">KINSMAN RD </t>
  </si>
  <si>
    <t>MARZAHL, KIMBERLY JEAN</t>
  </si>
  <si>
    <t xml:space="preserve">FINESSE AVE </t>
  </si>
  <si>
    <t>RODRIGUEZ, JOHN CARLOS</t>
  </si>
  <si>
    <t>BRENWOOD GLEN T RL</t>
  </si>
  <si>
    <t>RAUDA, KATY MAGDALENA</t>
  </si>
  <si>
    <t>MOUNTAIN DALE D R.</t>
  </si>
  <si>
    <t>BENNET, PATRICK</t>
  </si>
  <si>
    <t xml:space="preserve">CYPRESS POST DR </t>
  </si>
  <si>
    <t>PRINCE, ALLEN III</t>
  </si>
  <si>
    <t xml:space="preserve">MESA DR </t>
  </si>
  <si>
    <t xml:space="preserve">SAGELEAF LN </t>
  </si>
  <si>
    <t>HOKE, MALLORIE</t>
  </si>
  <si>
    <t>TROTTER, DEMARCUS</t>
  </si>
  <si>
    <t xml:space="preserve">HORNWOOD DR </t>
  </si>
  <si>
    <t>MARTIN, STEPHANIE LYNN</t>
  </si>
  <si>
    <t>PAZ, CHRISTOPHER</t>
  </si>
  <si>
    <t>E WALLISVILLE R OAD</t>
  </si>
  <si>
    <t>WOOD, HARRIS S. JR.</t>
  </si>
  <si>
    <t>MENDEZ, ABE</t>
  </si>
  <si>
    <t xml:space="preserve">BARKER CYPRESS </t>
  </si>
  <si>
    <t>SIEK, ALEXANDER</t>
  </si>
  <si>
    <t xml:space="preserve">SAND REEF CT </t>
  </si>
  <si>
    <t>LEONARD, KEVIN</t>
  </si>
  <si>
    <t xml:space="preserve">SOARING ELM </t>
  </si>
  <si>
    <t>DESAI, RIDDHI</t>
  </si>
  <si>
    <t>MOJICA, ANTHONY</t>
  </si>
  <si>
    <t xml:space="preserve">ALDSWORTH </t>
  </si>
  <si>
    <t>LONG, ASHLEY</t>
  </si>
  <si>
    <t xml:space="preserve">DUANE </t>
  </si>
  <si>
    <t>PEEBLES, DIONTE LARON</t>
  </si>
  <si>
    <t xml:space="preserve">LATONKA TRAIL </t>
  </si>
  <si>
    <t>ST LOUIS</t>
  </si>
  <si>
    <t>MO</t>
  </si>
  <si>
    <t>JACKSON, RANDY</t>
  </si>
  <si>
    <t>EXLEY, WILLIAM THOMAS JR</t>
  </si>
  <si>
    <t>ROGERS, MORRIS DEWAYNE</t>
  </si>
  <si>
    <t xml:space="preserve">KATHI ANN LN </t>
  </si>
  <si>
    <t>MCGEE, JULIAN ADAM</t>
  </si>
  <si>
    <t xml:space="preserve">NILES </t>
  </si>
  <si>
    <t>BOOKMAN, CLAUDIA</t>
  </si>
  <si>
    <t xml:space="preserve">WENTWORTH ST </t>
  </si>
  <si>
    <t>RODDY, CHRIS D.</t>
  </si>
  <si>
    <t xml:space="preserve">NORTHBOROUGH DR </t>
  </si>
  <si>
    <t>CLARK, JOHN A</t>
  </si>
  <si>
    <t>JORDAN, MICHAEL DWAYNE</t>
  </si>
  <si>
    <t xml:space="preserve">N 11TH STREET </t>
  </si>
  <si>
    <t>ORANGE</t>
  </si>
  <si>
    <t>HOWARD, LAMONDE RACHE</t>
  </si>
  <si>
    <t>BRAYFORD PLACE CT</t>
  </si>
  <si>
    <t>PETERS, KESTER KERN</t>
  </si>
  <si>
    <t>SCARLET TANAGER DR</t>
  </si>
  <si>
    <t>TT</t>
  </si>
  <si>
    <t>CARRILLO, YASMIN AURORA</t>
  </si>
  <si>
    <t xml:space="preserve">ENGLEFIELD CT </t>
  </si>
  <si>
    <t>SNELL, DOMNICK</t>
  </si>
  <si>
    <t xml:space="preserve">GEORGIA ST </t>
  </si>
  <si>
    <t>SMITH-DELANE, JAVON</t>
  </si>
  <si>
    <t xml:space="preserve">JUTLAND RD </t>
  </si>
  <si>
    <t>BATTLES, RODNEY ALLEN</t>
  </si>
  <si>
    <t xml:space="preserve">WEAVER RD </t>
  </si>
  <si>
    <t>DISCUA, MARVIN GERARDO</t>
  </si>
  <si>
    <t xml:space="preserve">TRUSCON DR </t>
  </si>
  <si>
    <t>FLOWERS, DAVID WILBOURN</t>
  </si>
  <si>
    <t xml:space="preserve">E 40TH ST </t>
  </si>
  <si>
    <t>CYPRESS CREEK P KWY</t>
  </si>
  <si>
    <t>NICHOLS, MALCOLM</t>
  </si>
  <si>
    <t>AL</t>
  </si>
  <si>
    <t>MOSS, DARRYL PATRICK</t>
  </si>
  <si>
    <t xml:space="preserve">CASETA DR </t>
  </si>
  <si>
    <t>BACY, AKILAH ASHANTI</t>
  </si>
  <si>
    <t>AJAYI, VICTOR</t>
  </si>
  <si>
    <t xml:space="preserve">PENTLAND COURT </t>
  </si>
  <si>
    <t>CARRANZA, GREGORIO ISAAC</t>
  </si>
  <si>
    <t>SYCAMORE C</t>
  </si>
  <si>
    <t>STAMPER, STANLEY</t>
  </si>
  <si>
    <t xml:space="preserve">FM 2432 </t>
  </si>
  <si>
    <t>WIILLIS</t>
  </si>
  <si>
    <t>MITCHELL, LANITA KAY</t>
  </si>
  <si>
    <t>BENOIT, NAILON</t>
  </si>
  <si>
    <t xml:space="preserve">E BIRCHDALE DR </t>
  </si>
  <si>
    <t>ARD, FRANKLIN</t>
  </si>
  <si>
    <t>VA</t>
  </si>
  <si>
    <t>THOMPSON, CRAIG ARTHUR</t>
  </si>
  <si>
    <t>S LOOP W APT 90 6</t>
  </si>
  <si>
    <t>170805301010, 170805201010</t>
  </si>
  <si>
    <t>209, 209</t>
  </si>
  <si>
    <t>20000, 20000</t>
  </si>
  <si>
    <t>520303, 480127</t>
  </si>
  <si>
    <t>170819101010, 234302701010</t>
  </si>
  <si>
    <t>12621, 12621</t>
  </si>
  <si>
    <t>174, 5</t>
  </si>
  <si>
    <t>30000, 100</t>
  </si>
  <si>
    <t>139923, 480101</t>
  </si>
  <si>
    <t>ASSAULT PEACE OFFICER, EVADING ARREST/DETENTION</t>
  </si>
  <si>
    <t>44259, 44229</t>
  </si>
  <si>
    <t>234286101010, 234286001010</t>
  </si>
  <si>
    <t>250, 500</t>
  </si>
  <si>
    <t>480105, 210092</t>
  </si>
  <si>
    <t>RESIST ARR-SEARCH, TERRORISTIC THREAT FEAR IMMINE</t>
  </si>
  <si>
    <t>170793301010, 170793201010</t>
  </si>
  <si>
    <t>10000, 50000</t>
  </si>
  <si>
    <t>356218, 480127</t>
  </si>
  <si>
    <t>234294701010, 170838901010</t>
  </si>
  <si>
    <t>12521, 12721</t>
  </si>
  <si>
    <t>MIN, COM</t>
  </si>
  <si>
    <t>15, 177</t>
  </si>
  <si>
    <t>100, 30000</t>
  </si>
  <si>
    <t>210097, 130119</t>
  </si>
  <si>
    <t>TERRORISTIC THREAT, AGG ASSAULT W/DEADLY WEAPON</t>
  </si>
  <si>
    <t>M, F</t>
  </si>
  <si>
    <t>44228, 44267</t>
  </si>
  <si>
    <t>170849801010, 170849601010</t>
  </si>
  <si>
    <t>12821, 12821</t>
  </si>
  <si>
    <t>2500, 1000</t>
  </si>
  <si>
    <t>241111, 480127</t>
  </si>
  <si>
    <t>170802601010, 170802701010</t>
  </si>
  <si>
    <t>131408, 131406</t>
  </si>
  <si>
    <t>170834901010, 170835001010</t>
  </si>
  <si>
    <t>7500, 5000</t>
  </si>
  <si>
    <t>480127, 241111</t>
  </si>
  <si>
    <t>44302, 44302</t>
  </si>
  <si>
    <t>QUAIL PAR K DR</t>
  </si>
  <si>
    <t>MISSOURI CITY</t>
  </si>
  <si>
    <t>RANDY JACKSON</t>
  </si>
  <si>
    <t xml:space="preserve">8501 BROADWAY ST </t>
  </si>
  <si>
    <t>DIONTE LARON PEEBLES</t>
  </si>
  <si>
    <t xml:space="preserve">11496 LATONKA TRAIL </t>
  </si>
  <si>
    <t>ST LOUIS MO 63033</t>
  </si>
  <si>
    <t>DARRYL PATRICK MOSS</t>
  </si>
  <si>
    <t xml:space="preserve">15025 CASETA DR </t>
  </si>
  <si>
    <t>DOMNICK SNELL</t>
  </si>
  <si>
    <t xml:space="preserve">134 GEORGIA ST </t>
  </si>
  <si>
    <t>420 E WALLISVILLE R OAD</t>
  </si>
  <si>
    <t>HIGHLANDS TX 77521</t>
  </si>
  <si>
    <t>DAVID WILBOURN FLOWERS</t>
  </si>
  <si>
    <t xml:space="preserve">604 E 40TH ST </t>
  </si>
  <si>
    <t>DEADRICK TERRELL CAMPBELL</t>
  </si>
  <si>
    <t xml:space="preserve">625 SETTLES DR </t>
  </si>
  <si>
    <t>MOSCOW TN 38057</t>
  </si>
  <si>
    <t>KIMBERLY JEAN MARZAHL</t>
  </si>
  <si>
    <t xml:space="preserve">1029 FINESSE AVE </t>
  </si>
  <si>
    <t>ROSALYN RENA JAMES</t>
  </si>
  <si>
    <t xml:space="preserve">1562 DIPLOMAT WAY </t>
  </si>
  <si>
    <t>JOHN RAYON</t>
  </si>
  <si>
    <t xml:space="preserve">1601 GARTH RD. </t>
  </si>
  <si>
    <t>ANTHONY MOJICA</t>
  </si>
  <si>
    <t xml:space="preserve">1906 ALDSWORTH </t>
  </si>
  <si>
    <t>LAQUITHA YVETTE WEBBERT</t>
  </si>
  <si>
    <t xml:space="preserve">1919 RUNNELS APT 145 </t>
  </si>
  <si>
    <t>TONY TERRELL WARDLEY</t>
  </si>
  <si>
    <t xml:space="preserve">2108 CLEVELAND </t>
  </si>
  <si>
    <t>MICHAEL LEMONS</t>
  </si>
  <si>
    <t xml:space="preserve">2400 S LOOP W </t>
  </si>
  <si>
    <t>CRAIG ARTHUR THOMPSON</t>
  </si>
  <si>
    <t>2400 S LOOP W APT 90 6</t>
  </si>
  <si>
    <t>NAILON BENOIT</t>
  </si>
  <si>
    <t xml:space="preserve">2711 E BIRCHDALE DR </t>
  </si>
  <si>
    <t>MICHAEL DWAYNE JORDAN</t>
  </si>
  <si>
    <t xml:space="preserve">2800 N 11TH STREET </t>
  </si>
  <si>
    <t>ALEXANDER SIEK</t>
  </si>
  <si>
    <t xml:space="preserve">2902 SAND REEF CT </t>
  </si>
  <si>
    <t>CLAUDIA BOOKMAN</t>
  </si>
  <si>
    <t xml:space="preserve">3610 WENTWORTH ST </t>
  </si>
  <si>
    <t>GREGORY JESUS MEJIA</t>
  </si>
  <si>
    <t xml:space="preserve">3615 BROCK </t>
  </si>
  <si>
    <t>YASMIN AURORA CARRILLO</t>
  </si>
  <si>
    <t xml:space="preserve">3902 ENGLEFIELD CT </t>
  </si>
  <si>
    <t>KEVIN LEONARD</t>
  </si>
  <si>
    <t xml:space="preserve">4007 SOARING ELM </t>
  </si>
  <si>
    <t>MALCOLM NICHOLS</t>
  </si>
  <si>
    <t>4100 CYPRESS CREEK P KWY</t>
  </si>
  <si>
    <t>ALBERT WAYNE HARPER</t>
  </si>
  <si>
    <t xml:space="preserve">4203 4203 DAWSON </t>
  </si>
  <si>
    <t>RODNEY ALLEN BATTLES</t>
  </si>
  <si>
    <t xml:space="preserve">4679 WEAVER RD </t>
  </si>
  <si>
    <t>JOHN CARLOS RODRIGUEZ</t>
  </si>
  <si>
    <t>5743 BRENWOOD GLEN T RL</t>
  </si>
  <si>
    <t>OLIVER OBINNA AGBAKA</t>
  </si>
  <si>
    <t>6700 S DAIRY ASHFORD RD</t>
  </si>
  <si>
    <t>DEMARCUS TROTTER</t>
  </si>
  <si>
    <t xml:space="preserve">6868 HORNWOOD DR </t>
  </si>
  <si>
    <t>MICHAEL JOSEPH MILLER</t>
  </si>
  <si>
    <t xml:space="preserve">6912 WILLIAMS DRIVE </t>
  </si>
  <si>
    <t>ABE MENDEZ</t>
  </si>
  <si>
    <t xml:space="preserve">7202 BARKER CYPRESS </t>
  </si>
  <si>
    <t>KESTER KERN PETERS</t>
  </si>
  <si>
    <t>8006 SCARLET TANAGER DR</t>
  </si>
  <si>
    <t>JULIAN ADAM MCGEE</t>
  </si>
  <si>
    <t xml:space="preserve">8126 NILES </t>
  </si>
  <si>
    <t>NOREZ RAMON HARGROVE</t>
  </si>
  <si>
    <t xml:space="preserve">8327 PONNEL LN </t>
  </si>
  <si>
    <t>MARVIN GERARDO DISCUA</t>
  </si>
  <si>
    <t xml:space="preserve">9630 TRUSCON DR </t>
  </si>
  <si>
    <t>ALLEN III PRINCE</t>
  </si>
  <si>
    <t xml:space="preserve">9700 MESA DR </t>
  </si>
  <si>
    <t>MORRIS DEWAYNE ROGERS</t>
  </si>
  <si>
    <t xml:space="preserve">9818 KATHI ANN LN </t>
  </si>
  <si>
    <t>CUONG NGUYEN</t>
  </si>
  <si>
    <t>10325 CYPRESSWOOD DRI VE</t>
  </si>
  <si>
    <t>MALLORIE HOKE</t>
  </si>
  <si>
    <t xml:space="preserve">11118 SAGELEAF LN </t>
  </si>
  <si>
    <t>ASHLEY LONG</t>
  </si>
  <si>
    <t xml:space="preserve">12031 DUANE </t>
  </si>
  <si>
    <t>JAVON SMITH-DELANE</t>
  </si>
  <si>
    <t xml:space="preserve">12115 JUTLAND RD </t>
  </si>
  <si>
    <t>MAYA MUHAMMAD</t>
  </si>
  <si>
    <t>12360 RICHMOND AVE 72 5</t>
  </si>
  <si>
    <t>CHRIS D. RODDY</t>
  </si>
  <si>
    <t xml:space="preserve">13111 NORTHBOROUGH DR </t>
  </si>
  <si>
    <t>ESTEFANIA GARCIA</t>
  </si>
  <si>
    <t xml:space="preserve">13205 FARADAY DR </t>
  </si>
  <si>
    <t>JONATHAN ELISEO VALLADARES</t>
  </si>
  <si>
    <t xml:space="preserve">13213 KINSMAN RD </t>
  </si>
  <si>
    <t>STANLEY STAMPER</t>
  </si>
  <si>
    <t xml:space="preserve">13638 FM 2432 </t>
  </si>
  <si>
    <t>WIILLIS TX 77378</t>
  </si>
  <si>
    <t>LAMONDE RACHE HOWARD</t>
  </si>
  <si>
    <t>13918 BRAYFORD PLACE CT</t>
  </si>
  <si>
    <t>LANITA KAY MITCHELL</t>
  </si>
  <si>
    <t xml:space="preserve">14300 ELLA BLVD </t>
  </si>
  <si>
    <t>FRANKLIN ARD</t>
  </si>
  <si>
    <t>CLAYTON LAMONT JENKINS</t>
  </si>
  <si>
    <t xml:space="preserve">15914 DARTON DR </t>
  </si>
  <si>
    <t>JONATHAN ERIK RAMIREZ</t>
  </si>
  <si>
    <t xml:space="preserve">16221 MARKET ST </t>
  </si>
  <si>
    <t>VICTOR AJAYI</t>
  </si>
  <si>
    <t xml:space="preserve">17226 PENTLAND COURT </t>
  </si>
  <si>
    <t>BARRY BELL</t>
  </si>
  <si>
    <t xml:space="preserve">20202 KEMPSFORD CT </t>
  </si>
  <si>
    <t>KATY MAGDALENA RAUDA</t>
  </si>
  <si>
    <t>20230 MOUNTAIN DALE D R.</t>
  </si>
  <si>
    <t>PATRICK BENNET</t>
  </si>
  <si>
    <t xml:space="preserve">20726 CYPRESS POST DR </t>
  </si>
  <si>
    <t>EFREN CASTILLO</t>
  </si>
  <si>
    <t xml:space="preserve">22715 BUSALLA TRL </t>
  </si>
  <si>
    <t>MISSOURI CITY TX 77489</t>
  </si>
  <si>
    <t>GREGORIO ISAAC CARRANZA</t>
  </si>
  <si>
    <t>20503 SYCAMORE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</si>
</sst>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_);_([$$-409]* \(#,##0\);_([$$-409]* &quot;-&quot;??_);_(@_)"/>
  </numFmts>
  <fonts count="1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rgb="FF000000"/>
      <name val="Times"/>
      <family val="1"/>
    </font>
    <font>
      <b/>
      <sz val="18"/>
      <color rgb="FF000000"/>
      <name val="Times"/>
      <family val="1"/>
    </font>
    <font>
      <sz val="12"/>
      <color rgb="FF000000"/>
      <name val="Times"/>
      <family val="1"/>
    </font>
    <font>
      <u/>
      <sz val="12"/>
      <color theme="1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0" fillId="0" borderId="0" xfId="0" applyNumberFormat="1"/>
    <xf numFmtId="0" fontId="5" fillId="0" borderId="0" xfId="1"/>
    <xf numFmtId="14" fontId="4" fillId="0" borderId="0" xfId="0" applyNumberFormat="1" applyFont="1"/>
    <xf numFmtId="0" fontId="0" fillId="4" borderId="1" xfId="0" applyFill="1" applyBorder="1" applyAlignment="1">
      <alignment horizontal="center"/>
    </xf>
    <xf numFmtId="47" fontId="0" fillId="0" borderId="0" xfId="0" applyNumberFormat="1"/>
    <xf numFmtId="1" fontId="0" fillId="0" borderId="0" xfId="0" applyNumberFormat="1"/>
    <xf numFmtId="0" fontId="0" fillId="7" borderId="1" xfId="0" applyFont="1" applyFill="1" applyBorder="1"/>
    <xf numFmtId="0" fontId="1" fillId="8" borderId="1" xfId="0" applyFont="1" applyFill="1" applyBorder="1"/>
    <xf numFmtId="0" fontId="7" fillId="9" borderId="1" xfId="0" applyFont="1" applyFill="1" applyBorder="1"/>
    <xf numFmtId="164" fontId="0" fillId="0" borderId="1" xfId="0" applyNumberFormat="1" applyBorder="1"/>
    <xf numFmtId="0" fontId="7" fillId="8" borderId="1" xfId="0" applyFont="1" applyFill="1" applyBorder="1"/>
    <xf numFmtId="0" fontId="0" fillId="0" borderId="0" xfId="0" quotePrefix="1"/>
    <xf numFmtId="0" fontId="1" fillId="4" borderId="0" xfId="0" applyFont="1" applyFill="1"/>
    <xf numFmtId="0" fontId="6" fillId="5" borderId="1" xfId="0" applyFont="1" applyFill="1" applyBorder="1"/>
    <xf numFmtId="0" fontId="0" fillId="4" borderId="1" xfId="0" applyFill="1" applyBorder="1"/>
    <xf numFmtId="0" fontId="6" fillId="5" borderId="3" xfId="0" applyFont="1" applyFill="1" applyBorder="1"/>
    <xf numFmtId="0" fontId="8" fillId="5" borderId="3" xfId="0" applyFont="1" applyFill="1" applyBorder="1"/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/>
    <xf numFmtId="22" fontId="0" fillId="0" borderId="0" xfId="0" applyNumberFormat="1"/>
    <xf numFmtId="22" fontId="7" fillId="0" borderId="0" xfId="0" applyNumberFormat="1" applyFont="1"/>
    <xf numFmtId="0" fontId="7" fillId="0" borderId="0" xfId="0" applyFont="1"/>
    <xf numFmtId="0" fontId="10" fillId="0" borderId="0" xfId="0" applyFont="1"/>
    <xf numFmtId="12" fontId="0" fillId="0" borderId="0" xfId="0" applyNumberFormat="1"/>
    <xf numFmtId="1" fontId="10" fillId="0" borderId="0" xfId="0" applyNumberFormat="1" applyFont="1"/>
    <xf numFmtId="0" fontId="10" fillId="0" borderId="0" xfId="0" applyFont="1" applyAlignment="1">
      <alignment horizontal="left"/>
    </xf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6" fillId="0" borderId="2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F9EFF"/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0</xdr:rowOff>
        </xdr:from>
        <xdr:to>
          <xdr:col>1</xdr:col>
          <xdr:colOff>977900</xdr:colOff>
          <xdr:row>0</xdr:row>
          <xdr:rowOff>342900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0</xdr:row>
          <xdr:rowOff>0</xdr:rowOff>
        </xdr:from>
        <xdr:to>
          <xdr:col>2</xdr:col>
          <xdr:colOff>292100</xdr:colOff>
          <xdr:row>0</xdr:row>
          <xdr:rowOff>342900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0</xdr:row>
          <xdr:rowOff>0</xdr:rowOff>
        </xdr:from>
        <xdr:to>
          <xdr:col>3</xdr:col>
          <xdr:colOff>876300</xdr:colOff>
          <xdr:row>0</xdr:row>
          <xdr:rowOff>342900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mailer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5</xdr:row>
          <xdr:rowOff>25400</xdr:rowOff>
        </xdr:from>
        <xdr:to>
          <xdr:col>8</xdr:col>
          <xdr:colOff>698500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1</xdr:row>
          <xdr:rowOff>12700</xdr:rowOff>
        </xdr:from>
        <xdr:to>
          <xdr:col>8</xdr:col>
          <xdr:colOff>698500</xdr:colOff>
          <xdr:row>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3</xdr:row>
          <xdr:rowOff>12700</xdr:rowOff>
        </xdr:from>
        <xdr:to>
          <xdr:col>8</xdr:col>
          <xdr:colOff>698500</xdr:colOff>
          <xdr:row>4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787400</xdr:colOff>
          <xdr:row>1</xdr:row>
          <xdr:rowOff>12700</xdr:rowOff>
        </xdr:from>
        <xdr:to>
          <xdr:col>10</xdr:col>
          <xdr:colOff>596900</xdr:colOff>
          <xdr:row>2</xdr:row>
          <xdr:rowOff>190500</xdr:rowOff>
        </xdr:to>
        <xdr:sp macro="" textlink="">
          <xdr:nvSpPr>
            <xdr:cNvPr id="2053" name="Button 5" descr="Upload data to serv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Upload data to server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49B9-EB42-784D-AE8E-EAF296E7FC45}">
  <sheetPr codeName="Sheet6">
    <tabColor rgb="FF7030A0"/>
  </sheetPr>
  <dimension ref="A1:CH7163"/>
  <sheetViews>
    <sheetView tabSelected="1" workbookViewId="0">
      <pane xSplit="4" ySplit="2" topLeftCell="M3" activePane="bottomRight" state="frozen"/>
      <selection pane="topRight" activeCell="E1" sqref="E1"/>
      <selection pane="bottomLeft" activeCell="A3" sqref="A3"/>
      <selection pane="bottomRight" activeCell="X211" sqref="X211"/>
    </sheetView>
  </sheetViews>
  <sheetFormatPr baseColWidth="10" defaultRowHeight="16" x14ac:dyDescent="0.2"/>
  <cols>
    <col min="1" max="1" width="3" customWidth="1"/>
    <col min="2" max="2" width="15.83203125" bestFit="1" customWidth="1"/>
    <col min="3" max="3" width="6" bestFit="1" customWidth="1"/>
    <col min="4" max="4" width="17.83203125" bestFit="1" customWidth="1"/>
    <col min="5" max="5" width="10.83203125" bestFit="1" customWidth="1"/>
    <col min="6" max="6" width="6" bestFit="1" customWidth="1"/>
    <col min="7" max="7" width="6.5" bestFit="1" customWidth="1"/>
    <col min="8" max="8" width="5.83203125" bestFit="1" customWidth="1"/>
    <col min="9" max="9" width="6" bestFit="1" customWidth="1"/>
    <col min="10" max="10" width="6.1640625" bestFit="1" customWidth="1"/>
    <col min="11" max="11" width="19.6640625" bestFit="1" customWidth="1"/>
    <col min="12" max="12" width="10.1640625" bestFit="1" customWidth="1"/>
    <col min="13" max="13" width="34.6640625" bestFit="1" customWidth="1"/>
    <col min="14" max="14" width="10.33203125" bestFit="1" customWidth="1"/>
    <col min="15" max="15" width="10.83203125" bestFit="1" customWidth="1"/>
    <col min="16" max="17" width="6.33203125" bestFit="1" customWidth="1"/>
    <col min="18" max="18" width="39" bestFit="1" customWidth="1"/>
    <col min="19" max="19" width="10.1640625" bestFit="1" customWidth="1"/>
    <col min="20" max="20" width="9.83203125" bestFit="1" customWidth="1"/>
    <col min="21" max="21" width="10.1640625" bestFit="1" customWidth="1"/>
    <col min="22" max="22" width="10.83203125" bestFit="1" customWidth="1"/>
    <col min="23" max="23" width="12.5" bestFit="1" customWidth="1"/>
    <col min="24" max="24" width="27.5" bestFit="1" customWidth="1"/>
    <col min="25" max="25" width="14" bestFit="1" customWidth="1"/>
    <col min="26" max="26" width="8.83203125" bestFit="1" customWidth="1"/>
    <col min="27" max="27" width="9.6640625" bestFit="1" customWidth="1"/>
    <col min="28" max="28" width="29.83203125" bestFit="1" customWidth="1"/>
    <col min="29" max="29" width="10.1640625" bestFit="1" customWidth="1"/>
    <col min="30" max="30" width="10" bestFit="1" customWidth="1"/>
    <col min="31" max="31" width="28.6640625" bestFit="1" customWidth="1"/>
    <col min="32" max="32" width="15.5" bestFit="1" customWidth="1"/>
    <col min="33" max="33" width="14.5" bestFit="1" customWidth="1"/>
    <col min="34" max="34" width="3.33203125" customWidth="1"/>
  </cols>
  <sheetData>
    <row r="1" spans="1:86" ht="30" customHeight="1" x14ac:dyDescent="0.2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</row>
    <row r="2" spans="1:86" x14ac:dyDescent="0.2">
      <c r="A2" s="27"/>
      <c r="B2" s="2" t="s">
        <v>12</v>
      </c>
      <c r="C2" s="2" t="s">
        <v>13</v>
      </c>
      <c r="D2" s="2" t="s">
        <v>14</v>
      </c>
      <c r="E2" s="2" t="s">
        <v>15</v>
      </c>
      <c r="F2" s="2" t="s">
        <v>16</v>
      </c>
      <c r="G2" s="2" t="s">
        <v>17</v>
      </c>
      <c r="H2" s="2" t="s">
        <v>18</v>
      </c>
      <c r="I2" s="2" t="s">
        <v>19</v>
      </c>
      <c r="J2" s="2" t="s">
        <v>20</v>
      </c>
      <c r="K2" s="2" t="s">
        <v>21</v>
      </c>
      <c r="L2" s="2" t="s">
        <v>22</v>
      </c>
      <c r="M2" s="2" t="s">
        <v>23</v>
      </c>
      <c r="N2" s="2" t="s">
        <v>24</v>
      </c>
      <c r="O2" s="2" t="s">
        <v>25</v>
      </c>
      <c r="P2" s="2" t="s">
        <v>26</v>
      </c>
      <c r="Q2" s="2" t="s">
        <v>27</v>
      </c>
      <c r="R2" s="2" t="s">
        <v>28</v>
      </c>
      <c r="S2" s="2" t="s">
        <v>29</v>
      </c>
      <c r="T2" s="2" t="s">
        <v>30</v>
      </c>
      <c r="U2" s="2" t="s">
        <v>31</v>
      </c>
      <c r="V2" s="2" t="s">
        <v>32</v>
      </c>
      <c r="W2" s="2" t="s">
        <v>33</v>
      </c>
      <c r="X2" s="2" t="s">
        <v>34</v>
      </c>
      <c r="Y2" s="2" t="s">
        <v>35</v>
      </c>
      <c r="Z2" s="2" t="s">
        <v>36</v>
      </c>
      <c r="AA2" s="2" t="s">
        <v>37</v>
      </c>
      <c r="AB2" s="2" t="s">
        <v>38</v>
      </c>
      <c r="AC2" s="2" t="s">
        <v>39</v>
      </c>
      <c r="AD2" s="2" t="s">
        <v>40</v>
      </c>
      <c r="AE2" s="2" t="s">
        <v>41</v>
      </c>
      <c r="AF2" s="2" t="s">
        <v>42</v>
      </c>
      <c r="AG2" s="2" t="s">
        <v>43</v>
      </c>
      <c r="AH2" s="27"/>
    </row>
    <row r="3" spans="1:86" x14ac:dyDescent="0.2">
      <c r="A3" s="27"/>
      <c r="B3" s="25">
        <v>44225</v>
      </c>
      <c r="C3">
        <v>2</v>
      </c>
      <c r="D3" s="11" t="s">
        <v>9016</v>
      </c>
      <c r="E3" s="10" t="s">
        <v>9017</v>
      </c>
      <c r="F3" t="s">
        <v>7199</v>
      </c>
      <c r="G3" t="s">
        <v>7144</v>
      </c>
      <c r="H3" t="s">
        <v>9018</v>
      </c>
      <c r="I3" t="s">
        <v>44</v>
      </c>
      <c r="J3" t="s">
        <v>7145</v>
      </c>
      <c r="K3" t="s">
        <v>9019</v>
      </c>
      <c r="L3" t="s">
        <v>9020</v>
      </c>
      <c r="M3" t="s">
        <v>9021</v>
      </c>
      <c r="N3" t="s">
        <v>7201</v>
      </c>
      <c r="O3" s="10" t="s">
        <v>9022</v>
      </c>
      <c r="P3" t="s">
        <v>7190</v>
      </c>
      <c r="Q3" t="s">
        <v>7190</v>
      </c>
      <c r="R3" t="s">
        <v>8232</v>
      </c>
      <c r="S3">
        <v>1874218</v>
      </c>
      <c r="T3" t="s">
        <v>7145</v>
      </c>
      <c r="U3" t="s">
        <v>46</v>
      </c>
      <c r="V3" s="10">
        <v>30449</v>
      </c>
      <c r="W3" s="6">
        <v>1405</v>
      </c>
      <c r="X3" t="s">
        <v>8233</v>
      </c>
      <c r="Y3" t="s">
        <v>7146</v>
      </c>
      <c r="Z3" t="s">
        <v>7147</v>
      </c>
      <c r="AA3">
        <v>77338</v>
      </c>
      <c r="AF3" t="s">
        <v>7147</v>
      </c>
      <c r="AG3" t="s">
        <v>49</v>
      </c>
    </row>
    <row r="4" spans="1:86" x14ac:dyDescent="0.2">
      <c r="A4" s="27"/>
      <c r="B4" s="25">
        <v>44225</v>
      </c>
      <c r="C4">
        <v>3</v>
      </c>
      <c r="D4" s="11" t="s">
        <v>8759</v>
      </c>
      <c r="E4" s="10" t="s">
        <v>8757</v>
      </c>
      <c r="F4" t="s">
        <v>7187</v>
      </c>
      <c r="G4" t="s">
        <v>7144</v>
      </c>
      <c r="H4" t="s">
        <v>8760</v>
      </c>
      <c r="I4" t="s">
        <v>44</v>
      </c>
      <c r="J4" t="s">
        <v>7145</v>
      </c>
      <c r="K4" t="s">
        <v>8761</v>
      </c>
      <c r="L4" t="s">
        <v>8762</v>
      </c>
      <c r="M4" t="s">
        <v>8763</v>
      </c>
      <c r="N4" t="s">
        <v>7189</v>
      </c>
      <c r="O4" s="10" t="s">
        <v>7361</v>
      </c>
      <c r="P4" t="s">
        <v>7190</v>
      </c>
      <c r="Q4" t="s">
        <v>7190</v>
      </c>
      <c r="R4" t="s">
        <v>8749</v>
      </c>
      <c r="S4">
        <v>2486295</v>
      </c>
      <c r="T4" t="s">
        <v>7145</v>
      </c>
      <c r="U4" t="s">
        <v>46</v>
      </c>
      <c r="V4" s="10">
        <v>33506</v>
      </c>
      <c r="W4" s="6">
        <v>1703</v>
      </c>
      <c r="X4" t="s">
        <v>8750</v>
      </c>
      <c r="Y4" t="s">
        <v>7146</v>
      </c>
      <c r="Z4" t="s">
        <v>7147</v>
      </c>
      <c r="AA4">
        <v>77020</v>
      </c>
      <c r="AF4" t="s">
        <v>7147</v>
      </c>
      <c r="AG4" t="s">
        <v>49</v>
      </c>
    </row>
    <row r="5" spans="1:86" x14ac:dyDescent="0.2">
      <c r="A5" s="27"/>
      <c r="B5" s="25">
        <v>44225</v>
      </c>
      <c r="C5">
        <v>3</v>
      </c>
      <c r="D5" s="11" t="s">
        <v>9027</v>
      </c>
      <c r="E5" s="10" t="s">
        <v>7954</v>
      </c>
      <c r="F5" t="s">
        <v>7187</v>
      </c>
      <c r="G5" t="s">
        <v>7144</v>
      </c>
      <c r="H5" t="s">
        <v>7643</v>
      </c>
      <c r="I5" t="s">
        <v>44</v>
      </c>
      <c r="J5" t="s">
        <v>7145</v>
      </c>
      <c r="K5" t="s">
        <v>9028</v>
      </c>
      <c r="L5" t="s">
        <v>9029</v>
      </c>
      <c r="M5" t="s">
        <v>7957</v>
      </c>
      <c r="N5" t="s">
        <v>7189</v>
      </c>
      <c r="O5" s="10" t="s">
        <v>8350</v>
      </c>
      <c r="P5" t="s">
        <v>7190</v>
      </c>
      <c r="Q5" t="s">
        <v>7190</v>
      </c>
      <c r="R5" t="s">
        <v>7936</v>
      </c>
      <c r="S5">
        <v>2781881</v>
      </c>
      <c r="T5" t="s">
        <v>50</v>
      </c>
      <c r="U5" t="s">
        <v>46</v>
      </c>
      <c r="V5" s="10">
        <v>35405</v>
      </c>
      <c r="W5" s="6">
        <v>5107</v>
      </c>
      <c r="X5" t="s">
        <v>8738</v>
      </c>
      <c r="Y5" t="s">
        <v>7170</v>
      </c>
      <c r="Z5" t="s">
        <v>7147</v>
      </c>
      <c r="AA5">
        <v>77373</v>
      </c>
      <c r="AF5" t="s">
        <v>7150</v>
      </c>
      <c r="AG5" t="s">
        <v>47</v>
      </c>
    </row>
    <row r="6" spans="1:86" x14ac:dyDescent="0.2">
      <c r="A6" s="27"/>
      <c r="B6" s="1">
        <v>44225</v>
      </c>
      <c r="C6">
        <v>2</v>
      </c>
      <c r="D6" s="11" t="s">
        <v>9023</v>
      </c>
      <c r="E6" s="10" t="s">
        <v>8338</v>
      </c>
      <c r="F6" t="s">
        <v>7193</v>
      </c>
      <c r="G6" t="s">
        <v>7144</v>
      </c>
      <c r="H6" t="s">
        <v>8339</v>
      </c>
      <c r="I6" t="s">
        <v>44</v>
      </c>
      <c r="J6" t="s">
        <v>7145</v>
      </c>
      <c r="K6" t="s">
        <v>9024</v>
      </c>
      <c r="L6" t="s">
        <v>9025</v>
      </c>
      <c r="M6" t="s">
        <v>9026</v>
      </c>
      <c r="N6" t="s">
        <v>7195</v>
      </c>
      <c r="O6" s="10" t="s">
        <v>8341</v>
      </c>
      <c r="P6" t="s">
        <v>7190</v>
      </c>
      <c r="Q6" t="s">
        <v>7190</v>
      </c>
      <c r="R6" t="s">
        <v>8242</v>
      </c>
      <c r="S6">
        <v>2418012</v>
      </c>
      <c r="T6" t="s">
        <v>7145</v>
      </c>
      <c r="U6" t="s">
        <v>45</v>
      </c>
      <c r="V6" s="10">
        <v>33363</v>
      </c>
      <c r="W6" s="6">
        <v>5500</v>
      </c>
      <c r="X6" t="s">
        <v>8243</v>
      </c>
      <c r="Y6" t="s">
        <v>7146</v>
      </c>
      <c r="Z6" t="s">
        <v>7147</v>
      </c>
      <c r="AA6">
        <v>77081</v>
      </c>
      <c r="AF6" t="s">
        <v>7177</v>
      </c>
      <c r="AG6" t="s">
        <v>49</v>
      </c>
    </row>
    <row r="7" spans="1:86" x14ac:dyDescent="0.2">
      <c r="A7" s="27"/>
      <c r="B7" s="1">
        <v>44225</v>
      </c>
      <c r="C7">
        <v>2</v>
      </c>
      <c r="D7" s="11" t="s">
        <v>8335</v>
      </c>
      <c r="E7" s="10" t="s">
        <v>7954</v>
      </c>
      <c r="F7" t="s">
        <v>7193</v>
      </c>
      <c r="G7" t="s">
        <v>7144</v>
      </c>
      <c r="H7" t="s">
        <v>7194</v>
      </c>
      <c r="I7" t="s">
        <v>44</v>
      </c>
      <c r="J7" t="s">
        <v>7145</v>
      </c>
      <c r="K7" t="s">
        <v>8336</v>
      </c>
      <c r="L7" t="s">
        <v>8337</v>
      </c>
      <c r="M7" t="s">
        <v>4812</v>
      </c>
      <c r="N7" t="s">
        <v>7195</v>
      </c>
      <c r="O7" s="10" t="s">
        <v>7361</v>
      </c>
      <c r="P7" t="s">
        <v>7190</v>
      </c>
      <c r="Q7" t="s">
        <v>7190</v>
      </c>
      <c r="R7" t="s">
        <v>7894</v>
      </c>
      <c r="S7">
        <v>2086999</v>
      </c>
      <c r="T7" t="s">
        <v>50</v>
      </c>
      <c r="U7" t="s">
        <v>46</v>
      </c>
      <c r="V7" s="10">
        <v>31879</v>
      </c>
      <c r="W7" s="6">
        <v>7507</v>
      </c>
      <c r="X7" t="s">
        <v>7895</v>
      </c>
      <c r="Y7" t="s">
        <v>7146</v>
      </c>
      <c r="Z7" t="s">
        <v>7147</v>
      </c>
      <c r="AA7">
        <v>77036</v>
      </c>
      <c r="AF7" t="s">
        <v>7154</v>
      </c>
      <c r="AG7" t="s">
        <v>49</v>
      </c>
    </row>
    <row r="8" spans="1:86" x14ac:dyDescent="0.2">
      <c r="A8" s="27"/>
      <c r="B8" s="25">
        <v>44225</v>
      </c>
      <c r="C8">
        <v>3</v>
      </c>
      <c r="D8" s="11" t="s">
        <v>9039</v>
      </c>
      <c r="E8" s="10" t="s">
        <v>9040</v>
      </c>
      <c r="F8" t="s">
        <v>7187</v>
      </c>
      <c r="G8" t="s">
        <v>7144</v>
      </c>
      <c r="H8" t="s">
        <v>7643</v>
      </c>
      <c r="I8" t="s">
        <v>44</v>
      </c>
      <c r="J8" t="s">
        <v>7145</v>
      </c>
      <c r="K8" t="s">
        <v>9041</v>
      </c>
      <c r="L8" t="s">
        <v>9042</v>
      </c>
      <c r="M8" t="s">
        <v>6682</v>
      </c>
      <c r="N8" t="s">
        <v>7189</v>
      </c>
      <c r="O8" s="10" t="s">
        <v>7361</v>
      </c>
      <c r="P8" t="s">
        <v>7190</v>
      </c>
      <c r="Q8" t="s">
        <v>7190</v>
      </c>
      <c r="R8" t="s">
        <v>8961</v>
      </c>
      <c r="S8">
        <v>3054517</v>
      </c>
      <c r="T8" t="s">
        <v>7145</v>
      </c>
      <c r="U8" t="s">
        <v>46</v>
      </c>
      <c r="V8" s="10">
        <v>36958</v>
      </c>
      <c r="W8" s="6">
        <v>8501</v>
      </c>
      <c r="X8" t="s">
        <v>8925</v>
      </c>
      <c r="Y8" t="s">
        <v>7146</v>
      </c>
      <c r="Z8" t="s">
        <v>7147</v>
      </c>
      <c r="AA8">
        <v>77061</v>
      </c>
      <c r="AF8" t="s">
        <v>7147</v>
      </c>
      <c r="AG8" t="s">
        <v>49</v>
      </c>
    </row>
    <row r="9" spans="1:86" x14ac:dyDescent="0.2">
      <c r="A9" s="27"/>
      <c r="B9" s="25">
        <v>44225</v>
      </c>
      <c r="C9">
        <v>3</v>
      </c>
      <c r="D9" s="11" t="s">
        <v>9030</v>
      </c>
      <c r="E9" s="10" t="s">
        <v>9031</v>
      </c>
      <c r="F9" t="s">
        <v>9032</v>
      </c>
      <c r="G9" t="s">
        <v>7144</v>
      </c>
      <c r="H9" t="s">
        <v>9033</v>
      </c>
      <c r="I9" t="s">
        <v>44</v>
      </c>
      <c r="J9" t="s">
        <v>7145</v>
      </c>
      <c r="K9" t="s">
        <v>9034</v>
      </c>
      <c r="L9" t="s">
        <v>9035</v>
      </c>
      <c r="M9" t="s">
        <v>9036</v>
      </c>
      <c r="N9" t="s">
        <v>9037</v>
      </c>
      <c r="O9" s="10" t="s">
        <v>9038</v>
      </c>
      <c r="P9" t="s">
        <v>7190</v>
      </c>
      <c r="Q9" t="s">
        <v>7190</v>
      </c>
      <c r="R9" t="s">
        <v>8244</v>
      </c>
      <c r="S9">
        <v>2921575</v>
      </c>
      <c r="T9" t="s">
        <v>50</v>
      </c>
      <c r="U9" t="s">
        <v>46</v>
      </c>
      <c r="V9" s="10">
        <v>36113</v>
      </c>
      <c r="W9" s="6">
        <v>11406</v>
      </c>
      <c r="X9" t="s">
        <v>8676</v>
      </c>
      <c r="Y9" t="s">
        <v>7146</v>
      </c>
      <c r="Z9" t="s">
        <v>7147</v>
      </c>
      <c r="AA9">
        <v>77093</v>
      </c>
      <c r="AB9" t="s">
        <v>8167</v>
      </c>
      <c r="AC9">
        <v>1908055</v>
      </c>
      <c r="AD9" t="s">
        <v>7148</v>
      </c>
      <c r="AE9" t="s">
        <v>7149</v>
      </c>
      <c r="AF9" t="s">
        <v>7150</v>
      </c>
      <c r="AG9" t="s">
        <v>49</v>
      </c>
    </row>
    <row r="10" spans="1:86" x14ac:dyDescent="0.2">
      <c r="A10" s="27"/>
      <c r="B10" s="25">
        <v>44225</v>
      </c>
      <c r="C10">
        <v>3</v>
      </c>
      <c r="D10" s="11" t="s">
        <v>9045</v>
      </c>
      <c r="E10" s="10" t="s">
        <v>8757</v>
      </c>
      <c r="F10" t="s">
        <v>7187</v>
      </c>
      <c r="G10" t="s">
        <v>7144</v>
      </c>
      <c r="H10" t="s">
        <v>8332</v>
      </c>
      <c r="I10" t="s">
        <v>44</v>
      </c>
      <c r="J10" t="s">
        <v>7145</v>
      </c>
      <c r="K10" t="s">
        <v>9046</v>
      </c>
      <c r="L10" t="s">
        <v>9047</v>
      </c>
      <c r="M10" t="s">
        <v>295</v>
      </c>
      <c r="N10" t="s">
        <v>7189</v>
      </c>
      <c r="O10" s="10" t="s">
        <v>9048</v>
      </c>
      <c r="P10" t="s">
        <v>7190</v>
      </c>
      <c r="Q10" t="s">
        <v>7190</v>
      </c>
      <c r="R10" t="s">
        <v>8957</v>
      </c>
      <c r="S10">
        <v>3082947</v>
      </c>
      <c r="T10" t="s">
        <v>7145</v>
      </c>
      <c r="U10" t="s">
        <v>46</v>
      </c>
      <c r="V10" s="10">
        <v>33793</v>
      </c>
      <c r="W10" s="6">
        <v>11496</v>
      </c>
      <c r="X10" t="s">
        <v>8958</v>
      </c>
      <c r="Y10" t="s">
        <v>8959</v>
      </c>
      <c r="Z10" t="s">
        <v>8960</v>
      </c>
      <c r="AA10">
        <v>63033</v>
      </c>
      <c r="AB10" t="s">
        <v>8177</v>
      </c>
      <c r="AC10">
        <v>2294141</v>
      </c>
      <c r="AD10" t="s">
        <v>7148</v>
      </c>
      <c r="AE10" t="s">
        <v>7149</v>
      </c>
      <c r="AF10" t="s">
        <v>7154</v>
      </c>
      <c r="AG10" t="s">
        <v>49</v>
      </c>
    </row>
    <row r="11" spans="1:86" x14ac:dyDescent="0.2">
      <c r="A11" s="27"/>
      <c r="B11" s="25">
        <v>44225</v>
      </c>
      <c r="C11">
        <v>3</v>
      </c>
      <c r="D11" s="11" t="s">
        <v>9043</v>
      </c>
      <c r="E11" s="10" t="s">
        <v>8338</v>
      </c>
      <c r="F11" t="s">
        <v>7187</v>
      </c>
      <c r="G11" t="s">
        <v>7144</v>
      </c>
      <c r="H11" t="s">
        <v>8354</v>
      </c>
      <c r="I11" t="s">
        <v>44</v>
      </c>
      <c r="J11" t="s">
        <v>7145</v>
      </c>
      <c r="K11" t="s">
        <v>8355</v>
      </c>
      <c r="L11" t="s">
        <v>9044</v>
      </c>
      <c r="M11" t="s">
        <v>6102</v>
      </c>
      <c r="N11" t="s">
        <v>7189</v>
      </c>
      <c r="O11" s="10" t="s">
        <v>8765</v>
      </c>
      <c r="P11" t="s">
        <v>7190</v>
      </c>
      <c r="Q11" t="s">
        <v>7190</v>
      </c>
      <c r="R11" t="s">
        <v>8165</v>
      </c>
      <c r="S11">
        <v>3082705</v>
      </c>
      <c r="T11" t="s">
        <v>50</v>
      </c>
      <c r="U11" t="s">
        <v>46</v>
      </c>
      <c r="V11" s="10">
        <v>37016</v>
      </c>
      <c r="W11" s="6">
        <v>12003</v>
      </c>
      <c r="X11" t="s">
        <v>8166</v>
      </c>
      <c r="Y11" t="s">
        <v>7146</v>
      </c>
      <c r="Z11" t="s">
        <v>7147</v>
      </c>
      <c r="AA11">
        <v>77072</v>
      </c>
      <c r="AB11" t="s">
        <v>8167</v>
      </c>
      <c r="AC11">
        <v>1908055</v>
      </c>
      <c r="AD11" t="s">
        <v>7148</v>
      </c>
      <c r="AE11" t="s">
        <v>7149</v>
      </c>
      <c r="AF11" t="s">
        <v>7154</v>
      </c>
      <c r="AG11" t="s">
        <v>49</v>
      </c>
    </row>
    <row r="12" spans="1:86" x14ac:dyDescent="0.2">
      <c r="A12" s="27"/>
      <c r="B12" s="25">
        <v>44225</v>
      </c>
      <c r="C12">
        <v>3</v>
      </c>
      <c r="D12" s="11" t="s">
        <v>8343</v>
      </c>
      <c r="E12" s="10" t="s">
        <v>7954</v>
      </c>
      <c r="F12" t="s">
        <v>7187</v>
      </c>
      <c r="G12" t="s">
        <v>7144</v>
      </c>
      <c r="H12" t="s">
        <v>8344</v>
      </c>
      <c r="I12" t="s">
        <v>44</v>
      </c>
      <c r="J12" t="s">
        <v>7145</v>
      </c>
      <c r="K12" t="s">
        <v>8345</v>
      </c>
      <c r="L12" t="s">
        <v>8346</v>
      </c>
      <c r="M12" t="s">
        <v>8347</v>
      </c>
      <c r="N12" t="s">
        <v>7189</v>
      </c>
      <c r="O12" s="10" t="s">
        <v>8348</v>
      </c>
      <c r="P12" t="s">
        <v>7190</v>
      </c>
      <c r="Q12" t="s">
        <v>7190</v>
      </c>
      <c r="R12" t="s">
        <v>8171</v>
      </c>
      <c r="S12">
        <v>2747711</v>
      </c>
      <c r="T12" t="s">
        <v>7145</v>
      </c>
      <c r="U12" t="s">
        <v>46</v>
      </c>
      <c r="V12" s="10">
        <v>30361</v>
      </c>
      <c r="W12" s="6">
        <v>14400</v>
      </c>
      <c r="X12" t="s">
        <v>8172</v>
      </c>
      <c r="Y12" t="s">
        <v>7167</v>
      </c>
      <c r="Z12" t="s">
        <v>7147</v>
      </c>
      <c r="AA12" t="s">
        <v>7156</v>
      </c>
      <c r="AF12" t="s">
        <v>7150</v>
      </c>
      <c r="AG12" t="s">
        <v>49</v>
      </c>
    </row>
    <row r="13" spans="1:86" x14ac:dyDescent="0.2">
      <c r="A13" s="27"/>
      <c r="B13" s="25">
        <v>44225</v>
      </c>
      <c r="C13">
        <v>3</v>
      </c>
      <c r="D13" s="11" t="s">
        <v>9012</v>
      </c>
      <c r="E13" s="10" t="s">
        <v>8338</v>
      </c>
      <c r="F13" t="s">
        <v>7187</v>
      </c>
      <c r="G13" t="s">
        <v>7144</v>
      </c>
      <c r="H13" t="s">
        <v>9013</v>
      </c>
      <c r="I13" t="s">
        <v>44</v>
      </c>
      <c r="J13" t="s">
        <v>7145</v>
      </c>
      <c r="K13" t="s">
        <v>9014</v>
      </c>
      <c r="L13" t="s">
        <v>9015</v>
      </c>
      <c r="M13" t="s">
        <v>6995</v>
      </c>
      <c r="N13" t="s">
        <v>7189</v>
      </c>
      <c r="O13" s="10" t="s">
        <v>7361</v>
      </c>
      <c r="P13" t="s">
        <v>7190</v>
      </c>
      <c r="Q13" t="s">
        <v>7190</v>
      </c>
      <c r="R13" t="s">
        <v>8995</v>
      </c>
      <c r="S13">
        <v>990124</v>
      </c>
      <c r="T13" t="s">
        <v>7145</v>
      </c>
      <c r="U13" t="s">
        <v>46</v>
      </c>
      <c r="V13" s="10">
        <v>24739</v>
      </c>
      <c r="W13" s="6">
        <v>15025</v>
      </c>
      <c r="X13" t="s">
        <v>8996</v>
      </c>
      <c r="Y13" t="s">
        <v>7146</v>
      </c>
      <c r="Z13" t="s">
        <v>7147</v>
      </c>
      <c r="AA13">
        <v>77082</v>
      </c>
      <c r="AB13" t="s">
        <v>8997</v>
      </c>
      <c r="AC13">
        <v>2600291</v>
      </c>
      <c r="AD13" t="s">
        <v>7148</v>
      </c>
      <c r="AE13" t="s">
        <v>7149</v>
      </c>
      <c r="AF13" t="s">
        <v>7147</v>
      </c>
      <c r="AG13" t="s">
        <v>49</v>
      </c>
    </row>
    <row r="14" spans="1:86" x14ac:dyDescent="0.2">
      <c r="A14" s="27"/>
      <c r="B14" s="1">
        <v>44225</v>
      </c>
      <c r="C14">
        <v>3</v>
      </c>
      <c r="D14" s="11">
        <v>170806301010</v>
      </c>
      <c r="E14" s="10">
        <v>12521</v>
      </c>
      <c r="F14" t="s">
        <v>7143</v>
      </c>
      <c r="G14" t="s">
        <v>7144</v>
      </c>
      <c r="H14">
        <v>174</v>
      </c>
      <c r="I14" t="s">
        <v>44</v>
      </c>
      <c r="J14" t="s">
        <v>7145</v>
      </c>
      <c r="K14">
        <v>5000</v>
      </c>
      <c r="L14">
        <v>250112</v>
      </c>
      <c r="M14" t="s">
        <v>231</v>
      </c>
      <c r="N14" t="s">
        <v>45</v>
      </c>
      <c r="O14" s="10">
        <v>44274</v>
      </c>
      <c r="R14" t="s">
        <v>8268</v>
      </c>
      <c r="S14">
        <v>1180680</v>
      </c>
      <c r="T14" t="s">
        <v>50</v>
      </c>
      <c r="U14" t="s">
        <v>45</v>
      </c>
      <c r="V14" s="10">
        <v>25345</v>
      </c>
      <c r="W14" s="6">
        <v>100</v>
      </c>
      <c r="X14" t="s">
        <v>8269</v>
      </c>
      <c r="Y14" t="s">
        <v>7146</v>
      </c>
      <c r="Z14" t="s">
        <v>7147</v>
      </c>
      <c r="AA14">
        <v>77009</v>
      </c>
      <c r="AF14" t="s">
        <v>8270</v>
      </c>
      <c r="AG14" t="s">
        <v>49</v>
      </c>
    </row>
    <row r="15" spans="1:86" x14ac:dyDescent="0.2">
      <c r="A15" s="27"/>
      <c r="B15" s="25">
        <v>44225</v>
      </c>
      <c r="C15">
        <v>2</v>
      </c>
      <c r="D15" s="11">
        <v>234325101010</v>
      </c>
      <c r="E15" s="10">
        <v>12821</v>
      </c>
      <c r="F15" t="s">
        <v>7163</v>
      </c>
      <c r="G15" t="s">
        <v>7144</v>
      </c>
      <c r="H15">
        <v>13</v>
      </c>
      <c r="I15" t="s">
        <v>44</v>
      </c>
      <c r="J15" t="s">
        <v>7145</v>
      </c>
      <c r="K15">
        <v>100</v>
      </c>
      <c r="L15">
        <v>480101</v>
      </c>
      <c r="M15" t="s">
        <v>71</v>
      </c>
      <c r="N15" t="s">
        <v>46</v>
      </c>
      <c r="O15" s="10">
        <v>44231</v>
      </c>
      <c r="R15" t="s">
        <v>8982</v>
      </c>
      <c r="S15">
        <v>3083072</v>
      </c>
      <c r="T15" t="s">
        <v>7145</v>
      </c>
      <c r="U15" t="s">
        <v>46</v>
      </c>
      <c r="V15" s="10">
        <v>37855</v>
      </c>
      <c r="W15" s="6">
        <v>134</v>
      </c>
      <c r="X15" t="s">
        <v>8983</v>
      </c>
      <c r="Y15" t="s">
        <v>7146</v>
      </c>
      <c r="Z15" t="s">
        <v>7147</v>
      </c>
      <c r="AA15">
        <v>77029</v>
      </c>
      <c r="AF15" t="s">
        <v>7147</v>
      </c>
      <c r="AG15" t="s">
        <v>49</v>
      </c>
    </row>
    <row r="16" spans="1:86" x14ac:dyDescent="0.2">
      <c r="A16" s="27"/>
      <c r="B16" s="25">
        <v>44225</v>
      </c>
      <c r="C16">
        <v>2</v>
      </c>
      <c r="D16" s="11">
        <v>234297101010</v>
      </c>
      <c r="E16" s="10">
        <v>12521</v>
      </c>
      <c r="F16" t="s">
        <v>7163</v>
      </c>
      <c r="G16" t="s">
        <v>7144</v>
      </c>
      <c r="H16">
        <v>15</v>
      </c>
      <c r="I16" t="s">
        <v>44</v>
      </c>
      <c r="J16" t="s">
        <v>7145</v>
      </c>
      <c r="K16">
        <v>100</v>
      </c>
      <c r="L16">
        <v>520301</v>
      </c>
      <c r="M16" t="s">
        <v>78</v>
      </c>
      <c r="N16" t="s">
        <v>46</v>
      </c>
      <c r="O16" s="10">
        <v>44228</v>
      </c>
      <c r="R16" t="s">
        <v>8323</v>
      </c>
      <c r="S16">
        <v>3082794</v>
      </c>
      <c r="T16" t="s">
        <v>50</v>
      </c>
      <c r="U16" t="s">
        <v>46</v>
      </c>
      <c r="V16" s="10">
        <v>37903</v>
      </c>
      <c r="W16" s="6">
        <v>197</v>
      </c>
      <c r="X16" t="s">
        <v>8324</v>
      </c>
      <c r="Y16" t="s">
        <v>7146</v>
      </c>
      <c r="Z16" t="s">
        <v>7147</v>
      </c>
      <c r="AA16">
        <v>77060</v>
      </c>
      <c r="AF16" t="s">
        <v>7147</v>
      </c>
      <c r="AG16" t="s">
        <v>49</v>
      </c>
    </row>
    <row r="17" spans="1:33" x14ac:dyDescent="0.2">
      <c r="A17" s="27"/>
      <c r="B17" s="25">
        <v>44225</v>
      </c>
      <c r="C17">
        <v>3</v>
      </c>
      <c r="D17" s="11">
        <v>170809601010</v>
      </c>
      <c r="E17" s="10">
        <v>12521</v>
      </c>
      <c r="F17" t="s">
        <v>7143</v>
      </c>
      <c r="G17" t="s">
        <v>7144</v>
      </c>
      <c r="H17">
        <v>174</v>
      </c>
      <c r="I17" t="s">
        <v>44</v>
      </c>
      <c r="J17" t="s">
        <v>7145</v>
      </c>
      <c r="K17">
        <v>15000</v>
      </c>
      <c r="L17">
        <v>131421</v>
      </c>
      <c r="M17" t="s">
        <v>187</v>
      </c>
      <c r="N17" t="s">
        <v>45</v>
      </c>
      <c r="O17" s="10">
        <v>44357</v>
      </c>
      <c r="R17" t="s">
        <v>8219</v>
      </c>
      <c r="S17">
        <v>2813896</v>
      </c>
      <c r="T17" t="s">
        <v>7145</v>
      </c>
      <c r="U17" t="s">
        <v>45</v>
      </c>
      <c r="V17" s="10">
        <v>34920</v>
      </c>
      <c r="W17" s="6">
        <v>407</v>
      </c>
      <c r="X17" t="s">
        <v>7164</v>
      </c>
      <c r="Y17" t="s">
        <v>7146</v>
      </c>
      <c r="Z17" t="s">
        <v>7147</v>
      </c>
      <c r="AA17">
        <v>77060</v>
      </c>
      <c r="AB17" t="s">
        <v>8716</v>
      </c>
      <c r="AC17">
        <v>50795648</v>
      </c>
      <c r="AD17" t="s">
        <v>7148</v>
      </c>
      <c r="AE17" t="s">
        <v>7149</v>
      </c>
      <c r="AF17" t="s">
        <v>7150</v>
      </c>
      <c r="AG17" t="s">
        <v>49</v>
      </c>
    </row>
    <row r="18" spans="1:33" x14ac:dyDescent="0.2">
      <c r="A18" s="27"/>
      <c r="B18" s="25">
        <v>44225</v>
      </c>
      <c r="C18">
        <v>2</v>
      </c>
      <c r="D18" s="11">
        <v>234287401010</v>
      </c>
      <c r="E18" s="10">
        <v>12521</v>
      </c>
      <c r="F18" t="s">
        <v>7163</v>
      </c>
      <c r="G18" t="s">
        <v>7144</v>
      </c>
      <c r="H18">
        <v>5</v>
      </c>
      <c r="I18" t="s">
        <v>44</v>
      </c>
      <c r="J18" t="s">
        <v>7145</v>
      </c>
      <c r="K18">
        <v>5000</v>
      </c>
      <c r="L18">
        <v>290156</v>
      </c>
      <c r="M18" t="s">
        <v>67</v>
      </c>
      <c r="N18" t="s">
        <v>46</v>
      </c>
      <c r="O18" s="10">
        <v>44228</v>
      </c>
      <c r="R18" t="s">
        <v>8279</v>
      </c>
      <c r="S18">
        <v>3075964</v>
      </c>
      <c r="T18" t="s">
        <v>50</v>
      </c>
      <c r="U18" t="s">
        <v>45</v>
      </c>
      <c r="V18" s="10">
        <v>29192</v>
      </c>
      <c r="W18" s="6">
        <v>416</v>
      </c>
      <c r="X18" t="s">
        <v>8280</v>
      </c>
      <c r="Y18" t="s">
        <v>7146</v>
      </c>
      <c r="Z18" t="s">
        <v>7147</v>
      </c>
      <c r="AA18">
        <v>77007</v>
      </c>
      <c r="AF18" t="s">
        <v>7147</v>
      </c>
      <c r="AG18" t="s">
        <v>49</v>
      </c>
    </row>
    <row r="19" spans="1:33" x14ac:dyDescent="0.2">
      <c r="A19" s="27"/>
      <c r="B19" s="25">
        <v>44225</v>
      </c>
      <c r="C19">
        <v>3</v>
      </c>
      <c r="D19" s="11">
        <v>170802801010</v>
      </c>
      <c r="E19" s="10">
        <v>12521</v>
      </c>
      <c r="F19" t="s">
        <v>7143</v>
      </c>
      <c r="G19" t="s">
        <v>7144</v>
      </c>
      <c r="H19">
        <v>339</v>
      </c>
      <c r="I19" t="s">
        <v>44</v>
      </c>
      <c r="J19" t="s">
        <v>7145</v>
      </c>
      <c r="K19">
        <v>40000</v>
      </c>
      <c r="L19">
        <v>230086</v>
      </c>
      <c r="M19" t="s">
        <v>6736</v>
      </c>
      <c r="N19" t="s">
        <v>45</v>
      </c>
      <c r="O19" s="10">
        <v>44284</v>
      </c>
      <c r="R19" t="s">
        <v>8943</v>
      </c>
      <c r="S19">
        <v>3082051</v>
      </c>
      <c r="T19" t="s">
        <v>50</v>
      </c>
      <c r="U19" t="s">
        <v>46</v>
      </c>
      <c r="V19" s="10">
        <v>37934</v>
      </c>
      <c r="W19" s="6">
        <v>420</v>
      </c>
      <c r="X19" t="s">
        <v>8944</v>
      </c>
      <c r="Y19" t="s">
        <v>7898</v>
      </c>
      <c r="Z19" t="s">
        <v>7147</v>
      </c>
      <c r="AA19">
        <v>77521</v>
      </c>
      <c r="AB19" t="s">
        <v>8945</v>
      </c>
      <c r="AC19">
        <v>71894400</v>
      </c>
      <c r="AD19" t="s">
        <v>7148</v>
      </c>
      <c r="AE19" t="s">
        <v>7149</v>
      </c>
      <c r="AF19" t="s">
        <v>7150</v>
      </c>
      <c r="AG19" t="s">
        <v>49</v>
      </c>
    </row>
    <row r="20" spans="1:33" x14ac:dyDescent="0.2">
      <c r="A20" s="27"/>
      <c r="B20" s="25">
        <v>44225</v>
      </c>
      <c r="C20">
        <v>3</v>
      </c>
      <c r="D20" s="11">
        <v>170793901010</v>
      </c>
      <c r="E20" s="10">
        <v>12421</v>
      </c>
      <c r="F20" t="s">
        <v>7143</v>
      </c>
      <c r="G20" t="s">
        <v>7144</v>
      </c>
      <c r="H20">
        <v>183</v>
      </c>
      <c r="I20" t="s">
        <v>44</v>
      </c>
      <c r="J20" t="s">
        <v>7145</v>
      </c>
      <c r="K20">
        <v>15000</v>
      </c>
      <c r="L20">
        <v>241111</v>
      </c>
      <c r="M20" t="s">
        <v>209</v>
      </c>
      <c r="N20" t="s">
        <v>45</v>
      </c>
      <c r="O20" s="10">
        <v>44257</v>
      </c>
      <c r="R20" t="s">
        <v>7923</v>
      </c>
      <c r="S20">
        <v>1904679</v>
      </c>
      <c r="T20" t="s">
        <v>50</v>
      </c>
      <c r="U20" t="s">
        <v>46</v>
      </c>
      <c r="V20" s="10">
        <v>30219</v>
      </c>
      <c r="W20" s="6">
        <v>510</v>
      </c>
      <c r="X20" t="s">
        <v>7924</v>
      </c>
      <c r="Y20" t="s">
        <v>7898</v>
      </c>
      <c r="Z20" t="s">
        <v>7147</v>
      </c>
      <c r="AA20">
        <v>77532</v>
      </c>
      <c r="AB20" t="s">
        <v>8267</v>
      </c>
      <c r="AC20">
        <v>2794047</v>
      </c>
      <c r="AD20" t="s">
        <v>7148</v>
      </c>
      <c r="AE20" t="s">
        <v>7149</v>
      </c>
      <c r="AF20" t="s">
        <v>7147</v>
      </c>
      <c r="AG20" t="s">
        <v>49</v>
      </c>
    </row>
    <row r="21" spans="1:33" x14ac:dyDescent="0.2">
      <c r="A21" s="27"/>
      <c r="B21" s="25">
        <v>44225</v>
      </c>
      <c r="C21">
        <v>3</v>
      </c>
      <c r="D21" s="11">
        <v>170812801010</v>
      </c>
      <c r="E21" s="10">
        <v>12521</v>
      </c>
      <c r="F21" t="s">
        <v>7143</v>
      </c>
      <c r="G21" t="s">
        <v>7144</v>
      </c>
      <c r="H21">
        <v>339</v>
      </c>
      <c r="I21" t="s">
        <v>44</v>
      </c>
      <c r="J21" t="s">
        <v>7145</v>
      </c>
      <c r="K21">
        <v>25000</v>
      </c>
      <c r="L21">
        <v>131408</v>
      </c>
      <c r="M21" t="s">
        <v>200</v>
      </c>
      <c r="N21" t="s">
        <v>45</v>
      </c>
      <c r="O21" s="10">
        <v>44229</v>
      </c>
      <c r="R21" t="s">
        <v>8182</v>
      </c>
      <c r="S21">
        <v>2743508</v>
      </c>
      <c r="T21" t="s">
        <v>50</v>
      </c>
      <c r="U21" t="s">
        <v>46</v>
      </c>
      <c r="V21" s="10">
        <v>27580</v>
      </c>
      <c r="W21" s="6">
        <v>547</v>
      </c>
      <c r="X21" t="s">
        <v>8183</v>
      </c>
      <c r="Y21" t="s">
        <v>7165</v>
      </c>
      <c r="Z21" t="s">
        <v>7147</v>
      </c>
      <c r="AA21">
        <v>77571</v>
      </c>
      <c r="AF21" t="s">
        <v>7147</v>
      </c>
      <c r="AG21" t="s">
        <v>8147</v>
      </c>
    </row>
    <row r="22" spans="1:33" x14ac:dyDescent="0.2">
      <c r="A22" s="27"/>
      <c r="B22" s="1">
        <v>44225</v>
      </c>
      <c r="C22">
        <v>3</v>
      </c>
      <c r="D22" s="11">
        <v>170854501010</v>
      </c>
      <c r="E22" s="10">
        <v>12821</v>
      </c>
      <c r="F22" t="s">
        <v>7143</v>
      </c>
      <c r="G22" t="s">
        <v>7144</v>
      </c>
      <c r="H22">
        <v>338</v>
      </c>
      <c r="I22" t="s">
        <v>44</v>
      </c>
      <c r="J22" t="s">
        <v>7145</v>
      </c>
      <c r="K22">
        <v>5000</v>
      </c>
      <c r="L22">
        <v>480127</v>
      </c>
      <c r="M22" t="s">
        <v>185</v>
      </c>
      <c r="N22" t="s">
        <v>45</v>
      </c>
      <c r="O22" s="10">
        <v>44225</v>
      </c>
      <c r="R22" t="s">
        <v>8990</v>
      </c>
      <c r="S22">
        <v>2347678</v>
      </c>
      <c r="T22" t="s">
        <v>7145</v>
      </c>
      <c r="U22" t="s">
        <v>46</v>
      </c>
      <c r="V22" s="10">
        <v>32130</v>
      </c>
      <c r="W22" s="6">
        <v>604</v>
      </c>
      <c r="X22" t="s">
        <v>8991</v>
      </c>
      <c r="Y22" t="s">
        <v>7146</v>
      </c>
      <c r="Z22" t="s">
        <v>7147</v>
      </c>
      <c r="AA22">
        <v>77022</v>
      </c>
      <c r="AF22" t="s">
        <v>7147</v>
      </c>
      <c r="AG22" t="s">
        <v>49</v>
      </c>
    </row>
    <row r="23" spans="1:33" x14ac:dyDescent="0.2">
      <c r="A23" s="27"/>
      <c r="B23" s="25">
        <v>44225</v>
      </c>
      <c r="C23">
        <v>2</v>
      </c>
      <c r="D23" s="11">
        <v>234328901010</v>
      </c>
      <c r="E23" s="10">
        <v>12821</v>
      </c>
      <c r="F23" t="s">
        <v>7163</v>
      </c>
      <c r="G23" t="s">
        <v>7144</v>
      </c>
      <c r="H23">
        <v>15</v>
      </c>
      <c r="I23" t="s">
        <v>44</v>
      </c>
      <c r="J23" t="s">
        <v>7145</v>
      </c>
      <c r="K23">
        <v>100</v>
      </c>
      <c r="L23">
        <v>480101</v>
      </c>
      <c r="M23" t="s">
        <v>71</v>
      </c>
      <c r="N23" t="s">
        <v>46</v>
      </c>
      <c r="O23" s="10">
        <v>44225</v>
      </c>
      <c r="R23" t="s">
        <v>8893</v>
      </c>
      <c r="S23">
        <v>3083133</v>
      </c>
      <c r="T23" t="s">
        <v>7145</v>
      </c>
      <c r="U23" t="s">
        <v>46</v>
      </c>
      <c r="V23" s="10">
        <v>35643</v>
      </c>
      <c r="W23" s="6">
        <v>625</v>
      </c>
      <c r="X23" t="s">
        <v>8894</v>
      </c>
      <c r="Y23" t="s">
        <v>8895</v>
      </c>
      <c r="Z23" t="s">
        <v>8214</v>
      </c>
      <c r="AA23">
        <v>38057</v>
      </c>
      <c r="AF23" t="s">
        <v>8214</v>
      </c>
      <c r="AG23" t="s">
        <v>49</v>
      </c>
    </row>
    <row r="24" spans="1:33" x14ac:dyDescent="0.2">
      <c r="A24" s="27"/>
      <c r="B24" s="25">
        <v>44225</v>
      </c>
      <c r="C24">
        <v>3</v>
      </c>
      <c r="D24" s="11">
        <v>170830001010</v>
      </c>
      <c r="E24" s="10">
        <v>12721</v>
      </c>
      <c r="F24" t="s">
        <v>7143</v>
      </c>
      <c r="G24" t="s">
        <v>7144</v>
      </c>
      <c r="H24">
        <v>182</v>
      </c>
      <c r="I24" t="s">
        <v>44</v>
      </c>
      <c r="J24" t="s">
        <v>7145</v>
      </c>
      <c r="K24">
        <v>15000</v>
      </c>
      <c r="L24">
        <v>131421</v>
      </c>
      <c r="M24" t="s">
        <v>187</v>
      </c>
      <c r="N24" t="s">
        <v>45</v>
      </c>
      <c r="O24" s="10">
        <v>44313</v>
      </c>
      <c r="R24" t="s">
        <v>8706</v>
      </c>
      <c r="S24">
        <v>2815674</v>
      </c>
      <c r="T24" t="s">
        <v>7145</v>
      </c>
      <c r="U24" t="s">
        <v>45</v>
      </c>
      <c r="V24" s="10">
        <v>35154</v>
      </c>
      <c r="W24" s="6">
        <v>680</v>
      </c>
      <c r="X24" t="s">
        <v>8707</v>
      </c>
      <c r="Y24" t="s">
        <v>7146</v>
      </c>
      <c r="Z24" t="s">
        <v>7147</v>
      </c>
      <c r="AA24">
        <v>77042</v>
      </c>
      <c r="AB24" t="s">
        <v>8896</v>
      </c>
      <c r="AC24">
        <v>1897720</v>
      </c>
      <c r="AD24" t="s">
        <v>7148</v>
      </c>
      <c r="AE24" t="s">
        <v>7149</v>
      </c>
      <c r="AF24" t="s">
        <v>7147</v>
      </c>
      <c r="AG24" t="s">
        <v>49</v>
      </c>
    </row>
    <row r="25" spans="1:33" x14ac:dyDescent="0.2">
      <c r="A25" s="27"/>
      <c r="B25" s="25">
        <v>44225</v>
      </c>
      <c r="C25">
        <v>3</v>
      </c>
      <c r="D25" s="11">
        <v>170812701010</v>
      </c>
      <c r="E25" s="10">
        <v>12521</v>
      </c>
      <c r="F25" t="s">
        <v>7143</v>
      </c>
      <c r="G25" t="s">
        <v>7144</v>
      </c>
      <c r="H25">
        <v>182</v>
      </c>
      <c r="I25" t="s">
        <v>44</v>
      </c>
      <c r="J25" t="s">
        <v>7145</v>
      </c>
      <c r="K25">
        <v>1500</v>
      </c>
      <c r="L25">
        <v>230152</v>
      </c>
      <c r="M25" t="s">
        <v>189</v>
      </c>
      <c r="N25" t="s">
        <v>45</v>
      </c>
      <c r="O25" s="10">
        <v>44313</v>
      </c>
      <c r="R25" t="s">
        <v>8247</v>
      </c>
      <c r="S25">
        <v>1051076</v>
      </c>
      <c r="T25" t="s">
        <v>7145</v>
      </c>
      <c r="U25" t="s">
        <v>46</v>
      </c>
      <c r="V25" s="10">
        <v>20202</v>
      </c>
      <c r="W25" s="6">
        <v>702</v>
      </c>
      <c r="X25" t="s">
        <v>8248</v>
      </c>
      <c r="Y25" t="s">
        <v>7146</v>
      </c>
      <c r="Z25" t="s">
        <v>7147</v>
      </c>
      <c r="AA25">
        <v>77091</v>
      </c>
      <c r="AB25" t="s">
        <v>8168</v>
      </c>
      <c r="AC25">
        <v>2466758</v>
      </c>
      <c r="AD25" t="s">
        <v>7148</v>
      </c>
      <c r="AE25" t="s">
        <v>7149</v>
      </c>
      <c r="AF25" t="s">
        <v>7147</v>
      </c>
      <c r="AG25" t="s">
        <v>49</v>
      </c>
    </row>
    <row r="26" spans="1:33" x14ac:dyDescent="0.2">
      <c r="A26" s="27"/>
      <c r="B26" s="25">
        <v>44225</v>
      </c>
      <c r="C26">
        <v>2</v>
      </c>
      <c r="D26" s="11">
        <v>234296401010</v>
      </c>
      <c r="E26" s="10">
        <v>12521</v>
      </c>
      <c r="F26" t="s">
        <v>7181</v>
      </c>
      <c r="G26" t="s">
        <v>7144</v>
      </c>
      <c r="H26">
        <v>6</v>
      </c>
      <c r="I26" t="s">
        <v>44</v>
      </c>
      <c r="J26" t="s">
        <v>7176</v>
      </c>
      <c r="K26">
        <v>100</v>
      </c>
      <c r="L26">
        <v>239100</v>
      </c>
      <c r="M26" t="s">
        <v>64</v>
      </c>
      <c r="N26" t="s">
        <v>46</v>
      </c>
      <c r="O26" s="10">
        <v>44244</v>
      </c>
      <c r="R26" t="s">
        <v>8257</v>
      </c>
      <c r="S26">
        <v>1728285</v>
      </c>
      <c r="T26" t="s">
        <v>7145</v>
      </c>
      <c r="U26" t="s">
        <v>46</v>
      </c>
      <c r="V26" s="10">
        <v>29400</v>
      </c>
      <c r="W26" s="6">
        <v>702</v>
      </c>
      <c r="X26" t="s">
        <v>8248</v>
      </c>
      <c r="Y26" t="s">
        <v>7146</v>
      </c>
      <c r="Z26" t="s">
        <v>7147</v>
      </c>
      <c r="AA26">
        <v>77091</v>
      </c>
      <c r="AF26" t="s">
        <v>7147</v>
      </c>
      <c r="AG26" t="s">
        <v>49</v>
      </c>
    </row>
    <row r="27" spans="1:33" x14ac:dyDescent="0.2">
      <c r="A27" s="27"/>
      <c r="B27" s="1">
        <v>44225</v>
      </c>
      <c r="C27">
        <v>2</v>
      </c>
      <c r="D27" s="11">
        <v>234320901010</v>
      </c>
      <c r="E27" s="10">
        <v>12721</v>
      </c>
      <c r="F27" t="s">
        <v>7163</v>
      </c>
      <c r="G27" t="s">
        <v>7144</v>
      </c>
      <c r="H27">
        <v>2</v>
      </c>
      <c r="I27" t="s">
        <v>44</v>
      </c>
      <c r="J27" t="s">
        <v>7145</v>
      </c>
      <c r="K27">
        <v>100</v>
      </c>
      <c r="L27">
        <v>210097</v>
      </c>
      <c r="M27" t="s">
        <v>58</v>
      </c>
      <c r="N27" t="s">
        <v>46</v>
      </c>
      <c r="O27" s="10">
        <v>44230</v>
      </c>
      <c r="R27" t="s">
        <v>8714</v>
      </c>
      <c r="S27">
        <v>3083057</v>
      </c>
      <c r="T27" t="s">
        <v>7145</v>
      </c>
      <c r="U27" t="s">
        <v>46</v>
      </c>
      <c r="V27" s="10">
        <v>31150</v>
      </c>
      <c r="W27" s="6">
        <v>706</v>
      </c>
      <c r="X27" t="s">
        <v>8715</v>
      </c>
      <c r="Y27" t="s">
        <v>7627</v>
      </c>
      <c r="Z27" t="s">
        <v>7147</v>
      </c>
      <c r="AA27">
        <v>78753</v>
      </c>
      <c r="AF27" t="s">
        <v>7147</v>
      </c>
      <c r="AG27" t="s">
        <v>49</v>
      </c>
    </row>
    <row r="28" spans="1:33" x14ac:dyDescent="0.2">
      <c r="A28" s="27"/>
      <c r="B28" s="1">
        <v>44225</v>
      </c>
      <c r="C28">
        <v>2</v>
      </c>
      <c r="D28" s="11">
        <v>234304801010</v>
      </c>
      <c r="E28" s="10">
        <v>12621</v>
      </c>
      <c r="F28" t="s">
        <v>7163</v>
      </c>
      <c r="G28" t="s">
        <v>7144</v>
      </c>
      <c r="H28">
        <v>5</v>
      </c>
      <c r="I28" t="s">
        <v>44</v>
      </c>
      <c r="J28" t="s">
        <v>7145</v>
      </c>
      <c r="K28">
        <v>100</v>
      </c>
      <c r="L28">
        <v>290156</v>
      </c>
      <c r="M28" t="s">
        <v>67</v>
      </c>
      <c r="N28" t="s">
        <v>46</v>
      </c>
      <c r="O28" s="10">
        <v>44229</v>
      </c>
      <c r="R28" t="s">
        <v>8277</v>
      </c>
      <c r="S28">
        <v>2911215</v>
      </c>
      <c r="T28" t="s">
        <v>50</v>
      </c>
      <c r="U28" t="s">
        <v>46</v>
      </c>
      <c r="V28" s="10">
        <v>34000</v>
      </c>
      <c r="W28" s="6">
        <v>741</v>
      </c>
      <c r="X28" t="s">
        <v>8278</v>
      </c>
      <c r="Y28" t="s">
        <v>7172</v>
      </c>
      <c r="Z28" t="s">
        <v>7147</v>
      </c>
      <c r="AA28">
        <v>77375</v>
      </c>
      <c r="AF28" t="s">
        <v>7169</v>
      </c>
      <c r="AG28" t="s">
        <v>49</v>
      </c>
    </row>
    <row r="29" spans="1:33" x14ac:dyDescent="0.2">
      <c r="A29" s="27"/>
      <c r="B29" s="25">
        <v>44225</v>
      </c>
      <c r="C29">
        <v>2</v>
      </c>
      <c r="D29" s="11">
        <v>234274001010</v>
      </c>
      <c r="E29" s="10">
        <v>12421</v>
      </c>
      <c r="F29" t="s">
        <v>7163</v>
      </c>
      <c r="G29" t="s">
        <v>7144</v>
      </c>
      <c r="H29">
        <v>1</v>
      </c>
      <c r="I29" t="s">
        <v>44</v>
      </c>
      <c r="J29" t="s">
        <v>7145</v>
      </c>
      <c r="K29">
        <v>100</v>
      </c>
      <c r="L29">
        <v>131302</v>
      </c>
      <c r="M29" t="s">
        <v>51</v>
      </c>
      <c r="N29" t="s">
        <v>46</v>
      </c>
      <c r="O29" s="10">
        <v>44260</v>
      </c>
      <c r="R29" t="s">
        <v>7896</v>
      </c>
      <c r="S29">
        <v>3082642</v>
      </c>
      <c r="T29" t="s">
        <v>7145</v>
      </c>
      <c r="U29" t="s">
        <v>46</v>
      </c>
      <c r="V29" s="10">
        <v>36280</v>
      </c>
      <c r="W29" s="6">
        <v>907</v>
      </c>
      <c r="X29" t="s">
        <v>7897</v>
      </c>
      <c r="Y29" t="s">
        <v>7620</v>
      </c>
      <c r="Z29" t="s">
        <v>7147</v>
      </c>
      <c r="AA29">
        <v>77530</v>
      </c>
      <c r="AF29" t="s">
        <v>7154</v>
      </c>
      <c r="AG29" t="s">
        <v>49</v>
      </c>
    </row>
    <row r="30" spans="1:33" x14ac:dyDescent="0.2">
      <c r="A30" s="27"/>
      <c r="B30" s="25">
        <v>44225</v>
      </c>
      <c r="C30">
        <v>2</v>
      </c>
      <c r="D30" s="11">
        <v>234307601010</v>
      </c>
      <c r="E30" s="10">
        <v>12621</v>
      </c>
      <c r="F30" t="s">
        <v>7163</v>
      </c>
      <c r="G30" t="s">
        <v>7144</v>
      </c>
      <c r="H30">
        <v>3</v>
      </c>
      <c r="I30" t="s">
        <v>44</v>
      </c>
      <c r="J30" t="s">
        <v>7145</v>
      </c>
      <c r="K30">
        <v>100</v>
      </c>
      <c r="L30">
        <v>131302</v>
      </c>
      <c r="M30" t="s">
        <v>51</v>
      </c>
      <c r="N30" t="s">
        <v>46</v>
      </c>
      <c r="O30" s="10">
        <v>44229</v>
      </c>
      <c r="R30" t="s">
        <v>8683</v>
      </c>
      <c r="S30">
        <v>3012003</v>
      </c>
      <c r="T30" t="s">
        <v>50</v>
      </c>
      <c r="U30" t="s">
        <v>46</v>
      </c>
      <c r="V30" s="10">
        <v>35656</v>
      </c>
      <c r="W30" s="6">
        <v>926</v>
      </c>
      <c r="X30" t="s">
        <v>8684</v>
      </c>
      <c r="Y30" t="s">
        <v>7146</v>
      </c>
      <c r="Z30" t="s">
        <v>7147</v>
      </c>
      <c r="AA30">
        <v>77017</v>
      </c>
      <c r="AF30" t="s">
        <v>7147</v>
      </c>
      <c r="AG30" t="s">
        <v>49</v>
      </c>
    </row>
    <row r="31" spans="1:33" x14ac:dyDescent="0.2">
      <c r="A31" s="27"/>
      <c r="B31" s="25">
        <v>44225</v>
      </c>
      <c r="C31">
        <v>3</v>
      </c>
      <c r="D31" s="11">
        <v>170836101010</v>
      </c>
      <c r="E31" s="10">
        <v>12721</v>
      </c>
      <c r="F31" t="s">
        <v>7143</v>
      </c>
      <c r="G31" t="s">
        <v>7144</v>
      </c>
      <c r="H31">
        <v>174</v>
      </c>
      <c r="I31" t="s">
        <v>44</v>
      </c>
      <c r="J31" t="s">
        <v>7145</v>
      </c>
      <c r="K31">
        <v>25000</v>
      </c>
      <c r="L31">
        <v>131421</v>
      </c>
      <c r="M31" t="s">
        <v>187</v>
      </c>
      <c r="N31" t="s">
        <v>45</v>
      </c>
      <c r="O31" s="10">
        <v>44229</v>
      </c>
      <c r="R31" t="s">
        <v>8928</v>
      </c>
      <c r="S31">
        <v>1603999</v>
      </c>
      <c r="T31" t="s">
        <v>50</v>
      </c>
      <c r="U31" t="s">
        <v>45</v>
      </c>
      <c r="V31" s="10">
        <v>28738</v>
      </c>
      <c r="W31" s="6">
        <v>1029</v>
      </c>
      <c r="X31" t="s">
        <v>8929</v>
      </c>
      <c r="Y31" t="s">
        <v>7146</v>
      </c>
      <c r="Z31" t="s">
        <v>7147</v>
      </c>
      <c r="AA31">
        <v>77032</v>
      </c>
      <c r="AB31" t="s">
        <v>8716</v>
      </c>
      <c r="AC31">
        <v>50795648</v>
      </c>
      <c r="AD31" t="s">
        <v>7148</v>
      </c>
      <c r="AE31" t="s">
        <v>7149</v>
      </c>
      <c r="AF31" t="s">
        <v>7169</v>
      </c>
      <c r="AG31" t="s">
        <v>49</v>
      </c>
    </row>
    <row r="32" spans="1:33" x14ac:dyDescent="0.2">
      <c r="A32" s="27"/>
      <c r="B32" s="25">
        <v>44225</v>
      </c>
      <c r="C32">
        <v>2</v>
      </c>
      <c r="D32" s="11">
        <v>234307001010</v>
      </c>
      <c r="E32" s="10">
        <v>12621</v>
      </c>
      <c r="F32" t="s">
        <v>7163</v>
      </c>
      <c r="G32" t="s">
        <v>7144</v>
      </c>
      <c r="H32">
        <v>8</v>
      </c>
      <c r="I32" t="s">
        <v>44</v>
      </c>
      <c r="J32" t="s">
        <v>7145</v>
      </c>
      <c r="K32">
        <v>500</v>
      </c>
      <c r="L32">
        <v>131420</v>
      </c>
      <c r="M32" t="s">
        <v>53</v>
      </c>
      <c r="N32" t="s">
        <v>46</v>
      </c>
      <c r="O32" s="10">
        <v>44229</v>
      </c>
      <c r="R32" t="s">
        <v>8184</v>
      </c>
      <c r="S32">
        <v>2864647</v>
      </c>
      <c r="T32" t="s">
        <v>7145</v>
      </c>
      <c r="U32" t="s">
        <v>46</v>
      </c>
      <c r="V32" s="10">
        <v>35361</v>
      </c>
      <c r="W32" s="6">
        <v>1091</v>
      </c>
      <c r="X32" t="s">
        <v>8185</v>
      </c>
      <c r="Y32" t="s">
        <v>7170</v>
      </c>
      <c r="Z32" t="s">
        <v>7147</v>
      </c>
      <c r="AA32">
        <v>77373</v>
      </c>
      <c r="AF32" t="s">
        <v>7150</v>
      </c>
      <c r="AG32" t="s">
        <v>47</v>
      </c>
    </row>
    <row r="33" spans="1:33" x14ac:dyDescent="0.2">
      <c r="A33" s="27"/>
      <c r="B33" s="1">
        <v>44225</v>
      </c>
      <c r="C33">
        <v>2</v>
      </c>
      <c r="D33" s="11">
        <v>234318801010</v>
      </c>
      <c r="E33" s="10">
        <v>12721</v>
      </c>
      <c r="F33" t="s">
        <v>7163</v>
      </c>
      <c r="G33" t="s">
        <v>7144</v>
      </c>
      <c r="H33">
        <v>14</v>
      </c>
      <c r="I33" t="s">
        <v>44</v>
      </c>
      <c r="J33" t="s">
        <v>7145</v>
      </c>
      <c r="K33">
        <v>1000</v>
      </c>
      <c r="L33">
        <v>131420</v>
      </c>
      <c r="M33" t="s">
        <v>53</v>
      </c>
      <c r="N33" t="s">
        <v>46</v>
      </c>
      <c r="O33" s="10">
        <v>44228</v>
      </c>
      <c r="R33" t="s">
        <v>8674</v>
      </c>
      <c r="S33">
        <v>3083025</v>
      </c>
      <c r="T33" t="s">
        <v>7145</v>
      </c>
      <c r="U33" t="s">
        <v>46</v>
      </c>
      <c r="V33" s="10">
        <v>37230</v>
      </c>
      <c r="W33" s="6">
        <v>1100</v>
      </c>
      <c r="X33" t="s">
        <v>8675</v>
      </c>
      <c r="Y33" t="s">
        <v>7146</v>
      </c>
      <c r="Z33" t="s">
        <v>7147</v>
      </c>
      <c r="AA33">
        <v>77060</v>
      </c>
      <c r="AF33" t="s">
        <v>7147</v>
      </c>
      <c r="AG33" t="s">
        <v>49</v>
      </c>
    </row>
    <row r="34" spans="1:33" x14ac:dyDescent="0.2">
      <c r="A34" s="27"/>
      <c r="B34" s="25">
        <v>44225</v>
      </c>
      <c r="C34">
        <v>3</v>
      </c>
      <c r="D34" s="11">
        <v>170804501010</v>
      </c>
      <c r="E34" s="10">
        <v>12521</v>
      </c>
      <c r="F34" t="s">
        <v>7143</v>
      </c>
      <c r="G34" t="s">
        <v>7144</v>
      </c>
      <c r="H34">
        <v>339</v>
      </c>
      <c r="I34" t="s">
        <v>44</v>
      </c>
      <c r="J34" t="s">
        <v>7145</v>
      </c>
      <c r="K34">
        <v>5000</v>
      </c>
      <c r="L34">
        <v>241111</v>
      </c>
      <c r="M34" t="s">
        <v>209</v>
      </c>
      <c r="N34" t="s">
        <v>45</v>
      </c>
      <c r="O34" s="10">
        <v>44295</v>
      </c>
      <c r="R34" t="s">
        <v>8260</v>
      </c>
      <c r="S34">
        <v>2699773</v>
      </c>
      <c r="T34" t="s">
        <v>7145</v>
      </c>
      <c r="U34" t="s">
        <v>46</v>
      </c>
      <c r="V34" s="10">
        <v>35199</v>
      </c>
      <c r="W34" s="6">
        <v>1111</v>
      </c>
      <c r="X34" t="s">
        <v>8261</v>
      </c>
      <c r="Y34" t="s">
        <v>7146</v>
      </c>
      <c r="Z34" t="s">
        <v>7147</v>
      </c>
      <c r="AA34">
        <v>77006</v>
      </c>
      <c r="AB34" t="s">
        <v>8262</v>
      </c>
      <c r="AC34">
        <v>2501456</v>
      </c>
      <c r="AD34" t="s">
        <v>7148</v>
      </c>
      <c r="AE34" t="s">
        <v>7149</v>
      </c>
      <c r="AF34" t="s">
        <v>7953</v>
      </c>
      <c r="AG34" t="s">
        <v>47</v>
      </c>
    </row>
    <row r="35" spans="1:33" x14ac:dyDescent="0.2">
      <c r="A35" s="27"/>
      <c r="B35" s="25">
        <v>44225</v>
      </c>
      <c r="C35">
        <v>3</v>
      </c>
      <c r="D35" s="11">
        <v>170807901010</v>
      </c>
      <c r="E35" s="10">
        <v>12521</v>
      </c>
      <c r="F35" t="s">
        <v>7143</v>
      </c>
      <c r="G35" t="s">
        <v>7144</v>
      </c>
      <c r="H35">
        <v>338</v>
      </c>
      <c r="I35" t="s">
        <v>44</v>
      </c>
      <c r="J35" t="s">
        <v>7145</v>
      </c>
      <c r="K35">
        <v>2500</v>
      </c>
      <c r="L35">
        <v>490404</v>
      </c>
      <c r="M35" t="s">
        <v>5297</v>
      </c>
      <c r="N35" t="s">
        <v>45</v>
      </c>
      <c r="O35" s="10">
        <v>44308</v>
      </c>
      <c r="R35" t="s">
        <v>8317</v>
      </c>
      <c r="S35">
        <v>2526924</v>
      </c>
      <c r="T35" t="s">
        <v>7145</v>
      </c>
      <c r="U35" t="s">
        <v>45</v>
      </c>
      <c r="V35" s="10">
        <v>33977</v>
      </c>
      <c r="W35" s="6">
        <v>1113</v>
      </c>
      <c r="X35" t="s">
        <v>8318</v>
      </c>
      <c r="Y35" t="s">
        <v>7146</v>
      </c>
      <c r="Z35" t="s">
        <v>7147</v>
      </c>
      <c r="AA35">
        <v>77020</v>
      </c>
      <c r="AF35" t="s">
        <v>7147</v>
      </c>
      <c r="AG35" t="s">
        <v>49</v>
      </c>
    </row>
    <row r="36" spans="1:33" x14ac:dyDescent="0.2">
      <c r="A36" s="27"/>
      <c r="B36" s="25">
        <v>44225</v>
      </c>
      <c r="C36">
        <v>3</v>
      </c>
      <c r="D36" s="11">
        <v>170827001010</v>
      </c>
      <c r="E36" s="10">
        <v>12621</v>
      </c>
      <c r="F36" t="s">
        <v>7143</v>
      </c>
      <c r="G36" t="s">
        <v>7144</v>
      </c>
      <c r="H36">
        <v>185</v>
      </c>
      <c r="I36" t="s">
        <v>44</v>
      </c>
      <c r="J36" t="s">
        <v>7145</v>
      </c>
      <c r="K36">
        <v>20000</v>
      </c>
      <c r="L36">
        <v>220205</v>
      </c>
      <c r="M36" t="s">
        <v>181</v>
      </c>
      <c r="N36" t="s">
        <v>45</v>
      </c>
      <c r="O36" s="10">
        <v>44291</v>
      </c>
      <c r="R36" t="s">
        <v>8717</v>
      </c>
      <c r="S36">
        <v>2381398</v>
      </c>
      <c r="T36" t="s">
        <v>7145</v>
      </c>
      <c r="U36" t="s">
        <v>46</v>
      </c>
      <c r="V36" s="10">
        <v>30589</v>
      </c>
      <c r="W36" s="6">
        <v>1121</v>
      </c>
      <c r="X36" t="s">
        <v>8718</v>
      </c>
      <c r="Y36" t="s">
        <v>8677</v>
      </c>
      <c r="Z36" t="s">
        <v>7147</v>
      </c>
      <c r="AA36">
        <v>77550</v>
      </c>
      <c r="AB36" t="s">
        <v>8942</v>
      </c>
      <c r="AC36">
        <v>50787973</v>
      </c>
      <c r="AD36" t="s">
        <v>7148</v>
      </c>
      <c r="AE36" t="s">
        <v>7149</v>
      </c>
      <c r="AF36" t="s">
        <v>7150</v>
      </c>
      <c r="AG36" t="s">
        <v>47</v>
      </c>
    </row>
    <row r="37" spans="1:33" x14ac:dyDescent="0.2">
      <c r="A37" s="27"/>
      <c r="B37" s="25">
        <v>44225</v>
      </c>
      <c r="C37">
        <v>3</v>
      </c>
      <c r="D37" s="11">
        <v>170806901010</v>
      </c>
      <c r="E37" s="10">
        <v>12521</v>
      </c>
      <c r="F37" t="s">
        <v>7143</v>
      </c>
      <c r="G37" t="s">
        <v>7144</v>
      </c>
      <c r="H37">
        <v>338</v>
      </c>
      <c r="I37" t="s">
        <v>44</v>
      </c>
      <c r="J37" t="s">
        <v>7145</v>
      </c>
      <c r="K37">
        <v>50000</v>
      </c>
      <c r="L37">
        <v>111535</v>
      </c>
      <c r="M37" t="s">
        <v>7356</v>
      </c>
      <c r="N37" t="s">
        <v>45</v>
      </c>
      <c r="O37" s="10">
        <v>44305</v>
      </c>
      <c r="R37" t="s">
        <v>8148</v>
      </c>
      <c r="S37">
        <v>3082740</v>
      </c>
      <c r="T37" t="s">
        <v>50</v>
      </c>
      <c r="U37" t="s">
        <v>46</v>
      </c>
      <c r="V37" s="10">
        <v>35893</v>
      </c>
      <c r="W37" s="6">
        <v>1122</v>
      </c>
      <c r="X37" t="s">
        <v>8149</v>
      </c>
      <c r="Y37" t="s">
        <v>7620</v>
      </c>
      <c r="Z37" t="s">
        <v>7147</v>
      </c>
      <c r="AA37">
        <v>77530</v>
      </c>
      <c r="AF37" t="s">
        <v>7154</v>
      </c>
      <c r="AG37" t="s">
        <v>49</v>
      </c>
    </row>
    <row r="38" spans="1:33" x14ac:dyDescent="0.2">
      <c r="A38" s="27"/>
      <c r="B38" s="25">
        <v>44225</v>
      </c>
      <c r="C38">
        <v>2</v>
      </c>
      <c r="D38" s="11">
        <v>234296901010</v>
      </c>
      <c r="E38" s="10">
        <v>12521</v>
      </c>
      <c r="F38" t="s">
        <v>7163</v>
      </c>
      <c r="G38" t="s">
        <v>7144</v>
      </c>
      <c r="H38">
        <v>11</v>
      </c>
      <c r="I38" t="s">
        <v>44</v>
      </c>
      <c r="J38" t="s">
        <v>7145</v>
      </c>
      <c r="K38">
        <v>100</v>
      </c>
      <c r="L38">
        <v>480101</v>
      </c>
      <c r="M38" t="s">
        <v>71</v>
      </c>
      <c r="N38" t="s">
        <v>46</v>
      </c>
      <c r="O38" s="10">
        <v>44228</v>
      </c>
      <c r="R38" t="s">
        <v>8297</v>
      </c>
      <c r="S38">
        <v>3082793</v>
      </c>
      <c r="T38" t="s">
        <v>7145</v>
      </c>
      <c r="U38" t="s">
        <v>46</v>
      </c>
      <c r="V38" s="10">
        <v>37069</v>
      </c>
      <c r="W38" s="6">
        <v>1200</v>
      </c>
      <c r="X38" t="s">
        <v>8298</v>
      </c>
      <c r="Y38" t="s">
        <v>7146</v>
      </c>
      <c r="Z38" t="s">
        <v>7147</v>
      </c>
      <c r="AA38">
        <v>77003</v>
      </c>
      <c r="AF38" t="s">
        <v>7147</v>
      </c>
      <c r="AG38" t="s">
        <v>49</v>
      </c>
    </row>
    <row r="39" spans="1:33" x14ac:dyDescent="0.2">
      <c r="A39" s="27"/>
      <c r="B39" s="1">
        <v>44225</v>
      </c>
      <c r="C39">
        <v>2</v>
      </c>
      <c r="D39" s="11">
        <v>234306601010</v>
      </c>
      <c r="E39" s="10">
        <v>12621</v>
      </c>
      <c r="F39" t="s">
        <v>7163</v>
      </c>
      <c r="G39" t="s">
        <v>7144</v>
      </c>
      <c r="H39">
        <v>11</v>
      </c>
      <c r="I39" t="s">
        <v>44</v>
      </c>
      <c r="J39" t="s">
        <v>7145</v>
      </c>
      <c r="K39">
        <v>100</v>
      </c>
      <c r="L39">
        <v>480101</v>
      </c>
      <c r="M39" t="s">
        <v>71</v>
      </c>
      <c r="N39" t="s">
        <v>46</v>
      </c>
      <c r="O39" s="10">
        <v>44229</v>
      </c>
      <c r="R39" t="s">
        <v>8299</v>
      </c>
      <c r="S39">
        <v>2243349</v>
      </c>
      <c r="T39" t="s">
        <v>50</v>
      </c>
      <c r="U39" t="s">
        <v>46</v>
      </c>
      <c r="V39" s="10">
        <v>32300</v>
      </c>
      <c r="W39" s="6">
        <v>1208</v>
      </c>
      <c r="X39" t="s">
        <v>8300</v>
      </c>
      <c r="Y39" t="s">
        <v>7152</v>
      </c>
      <c r="Z39" t="s">
        <v>7147</v>
      </c>
      <c r="AA39">
        <v>77587</v>
      </c>
      <c r="AF39" t="s">
        <v>7147</v>
      </c>
      <c r="AG39" t="s">
        <v>49</v>
      </c>
    </row>
    <row r="40" spans="1:33" x14ac:dyDescent="0.2">
      <c r="A40" s="27"/>
      <c r="B40" s="25">
        <v>44225</v>
      </c>
      <c r="C40">
        <v>2</v>
      </c>
      <c r="D40" s="11">
        <v>234303401010</v>
      </c>
      <c r="E40" s="10">
        <v>12621</v>
      </c>
      <c r="F40" t="s">
        <v>7163</v>
      </c>
      <c r="G40" t="s">
        <v>7144</v>
      </c>
      <c r="H40">
        <v>11</v>
      </c>
      <c r="I40" t="s">
        <v>44</v>
      </c>
      <c r="J40" t="s">
        <v>7145</v>
      </c>
      <c r="K40">
        <v>100</v>
      </c>
      <c r="L40">
        <v>380029</v>
      </c>
      <c r="M40" t="s">
        <v>68</v>
      </c>
      <c r="N40" t="s">
        <v>46</v>
      </c>
      <c r="O40" s="10">
        <v>44229</v>
      </c>
      <c r="R40" t="s">
        <v>8290</v>
      </c>
      <c r="S40">
        <v>3082829</v>
      </c>
      <c r="T40" t="s">
        <v>50</v>
      </c>
      <c r="U40" t="s">
        <v>45</v>
      </c>
      <c r="V40" s="10">
        <v>26579</v>
      </c>
      <c r="W40">
        <v>1306</v>
      </c>
      <c r="X40" t="s">
        <v>8291</v>
      </c>
      <c r="Y40" t="s">
        <v>7170</v>
      </c>
      <c r="Z40" t="s">
        <v>7147</v>
      </c>
      <c r="AA40">
        <v>77388</v>
      </c>
      <c r="AF40" t="s">
        <v>7150</v>
      </c>
      <c r="AG40" t="s">
        <v>49</v>
      </c>
    </row>
    <row r="41" spans="1:33" x14ac:dyDescent="0.2">
      <c r="A41" s="27"/>
      <c r="B41" s="25">
        <v>44225</v>
      </c>
      <c r="C41">
        <v>3</v>
      </c>
      <c r="D41" s="11">
        <v>170812401010</v>
      </c>
      <c r="E41" s="10">
        <v>12521</v>
      </c>
      <c r="F41" t="s">
        <v>7143</v>
      </c>
      <c r="G41" t="s">
        <v>7144</v>
      </c>
      <c r="H41">
        <v>248</v>
      </c>
      <c r="I41" t="s">
        <v>44</v>
      </c>
      <c r="J41" t="s">
        <v>7145</v>
      </c>
      <c r="K41">
        <v>2500</v>
      </c>
      <c r="L41">
        <v>356219</v>
      </c>
      <c r="M41" t="s">
        <v>6119</v>
      </c>
      <c r="N41" t="s">
        <v>45</v>
      </c>
      <c r="O41" s="10">
        <v>44257</v>
      </c>
      <c r="R41" t="s">
        <v>8285</v>
      </c>
      <c r="S41">
        <v>2415710</v>
      </c>
      <c r="T41" t="s">
        <v>50</v>
      </c>
      <c r="U41" t="s">
        <v>46</v>
      </c>
      <c r="V41" s="10">
        <v>33499</v>
      </c>
      <c r="W41" s="6">
        <v>1309</v>
      </c>
      <c r="X41" t="s">
        <v>8286</v>
      </c>
      <c r="Y41" t="s">
        <v>7146</v>
      </c>
      <c r="Z41" t="s">
        <v>7147</v>
      </c>
      <c r="AA41">
        <v>77091</v>
      </c>
      <c r="AF41" t="s">
        <v>7147</v>
      </c>
      <c r="AG41" t="s">
        <v>49</v>
      </c>
    </row>
    <row r="42" spans="1:33" x14ac:dyDescent="0.2">
      <c r="A42" s="27"/>
      <c r="B42" s="25">
        <v>44225</v>
      </c>
      <c r="C42">
        <v>2</v>
      </c>
      <c r="D42" s="11">
        <v>234283401010</v>
      </c>
      <c r="E42" s="10">
        <v>12421</v>
      </c>
      <c r="F42" t="s">
        <v>7163</v>
      </c>
      <c r="G42" t="s">
        <v>7144</v>
      </c>
      <c r="H42">
        <v>3</v>
      </c>
      <c r="I42" t="s">
        <v>44</v>
      </c>
      <c r="J42" t="s">
        <v>7145</v>
      </c>
      <c r="K42">
        <v>100</v>
      </c>
      <c r="L42">
        <v>239100</v>
      </c>
      <c r="M42" t="s">
        <v>64</v>
      </c>
      <c r="N42" t="s">
        <v>46</v>
      </c>
      <c r="O42" s="10">
        <v>44225</v>
      </c>
      <c r="R42" t="s">
        <v>7920</v>
      </c>
      <c r="S42">
        <v>2806224</v>
      </c>
      <c r="T42" t="s">
        <v>50</v>
      </c>
      <c r="U42" t="s">
        <v>46</v>
      </c>
      <c r="V42" s="10">
        <v>35623</v>
      </c>
      <c r="W42" s="6">
        <v>1502</v>
      </c>
      <c r="X42" t="s">
        <v>7921</v>
      </c>
      <c r="Y42" t="s">
        <v>7166</v>
      </c>
      <c r="Z42" t="s">
        <v>7147</v>
      </c>
      <c r="AA42">
        <v>77502</v>
      </c>
      <c r="AF42" t="s">
        <v>7147</v>
      </c>
      <c r="AG42" t="s">
        <v>49</v>
      </c>
    </row>
    <row r="43" spans="1:33" x14ac:dyDescent="0.2">
      <c r="A43" s="27"/>
      <c r="B43" s="25">
        <v>44225</v>
      </c>
      <c r="C43">
        <v>2</v>
      </c>
      <c r="D43" s="11">
        <v>234296101010</v>
      </c>
      <c r="E43" s="10">
        <v>12521</v>
      </c>
      <c r="F43" t="s">
        <v>7163</v>
      </c>
      <c r="G43" t="s">
        <v>7144</v>
      </c>
      <c r="H43">
        <v>2</v>
      </c>
      <c r="I43" t="s">
        <v>44</v>
      </c>
      <c r="J43" t="s">
        <v>7145</v>
      </c>
      <c r="K43">
        <v>500</v>
      </c>
      <c r="L43">
        <v>131420</v>
      </c>
      <c r="M43" t="s">
        <v>53</v>
      </c>
      <c r="N43" t="s">
        <v>46</v>
      </c>
      <c r="O43" s="10">
        <v>44228</v>
      </c>
      <c r="R43" t="s">
        <v>8206</v>
      </c>
      <c r="S43">
        <v>988993</v>
      </c>
      <c r="T43" t="s">
        <v>50</v>
      </c>
      <c r="U43" t="s">
        <v>46</v>
      </c>
      <c r="V43" s="10">
        <v>25440</v>
      </c>
      <c r="W43" s="6">
        <v>1519</v>
      </c>
      <c r="X43" t="s">
        <v>8207</v>
      </c>
      <c r="Y43" t="s">
        <v>7146</v>
      </c>
      <c r="Z43" t="s">
        <v>7147</v>
      </c>
      <c r="AA43">
        <v>77032</v>
      </c>
      <c r="AF43" t="s">
        <v>7168</v>
      </c>
      <c r="AG43" t="s">
        <v>7151</v>
      </c>
    </row>
    <row r="44" spans="1:33" x14ac:dyDescent="0.2">
      <c r="A44" s="27"/>
      <c r="B44" s="25">
        <v>44225</v>
      </c>
      <c r="C44">
        <v>2</v>
      </c>
      <c r="D44" s="11">
        <v>234292001010</v>
      </c>
      <c r="E44" s="10">
        <v>12521</v>
      </c>
      <c r="F44" t="s">
        <v>7163</v>
      </c>
      <c r="G44" t="s">
        <v>7144</v>
      </c>
      <c r="H44">
        <v>3</v>
      </c>
      <c r="I44" t="s">
        <v>44</v>
      </c>
      <c r="J44" t="s">
        <v>7145</v>
      </c>
      <c r="K44">
        <v>100</v>
      </c>
      <c r="L44">
        <v>131302</v>
      </c>
      <c r="M44" t="s">
        <v>51</v>
      </c>
      <c r="N44" t="s">
        <v>46</v>
      </c>
      <c r="O44" s="10">
        <v>44228</v>
      </c>
      <c r="R44" t="s">
        <v>8151</v>
      </c>
      <c r="S44">
        <v>1348595</v>
      </c>
      <c r="T44" t="s">
        <v>7145</v>
      </c>
      <c r="U44" t="s">
        <v>46</v>
      </c>
      <c r="V44" s="10">
        <v>27988</v>
      </c>
      <c r="W44" s="6">
        <v>1526</v>
      </c>
      <c r="X44" t="s">
        <v>8152</v>
      </c>
      <c r="Y44" t="s">
        <v>7945</v>
      </c>
      <c r="Z44" t="s">
        <v>7147</v>
      </c>
      <c r="AA44">
        <v>77545</v>
      </c>
      <c r="AF44" t="s">
        <v>7147</v>
      </c>
      <c r="AG44" t="s">
        <v>49</v>
      </c>
    </row>
    <row r="45" spans="1:33" x14ac:dyDescent="0.2">
      <c r="A45" s="27"/>
      <c r="B45" s="25">
        <v>44225</v>
      </c>
      <c r="C45">
        <v>2</v>
      </c>
      <c r="D45" s="11">
        <v>234321401010</v>
      </c>
      <c r="E45" s="10">
        <v>12721</v>
      </c>
      <c r="F45" t="s">
        <v>7163</v>
      </c>
      <c r="G45" t="s">
        <v>7144</v>
      </c>
      <c r="H45">
        <v>10</v>
      </c>
      <c r="I45" t="s">
        <v>44</v>
      </c>
      <c r="J45" t="s">
        <v>7145</v>
      </c>
      <c r="K45">
        <v>100</v>
      </c>
      <c r="L45">
        <v>131420</v>
      </c>
      <c r="M45" t="s">
        <v>53</v>
      </c>
      <c r="N45" t="s">
        <v>46</v>
      </c>
      <c r="O45" s="10">
        <v>44230</v>
      </c>
      <c r="R45" t="s">
        <v>8909</v>
      </c>
      <c r="S45">
        <v>2359444</v>
      </c>
      <c r="T45" t="s">
        <v>7145</v>
      </c>
      <c r="U45" t="s">
        <v>45</v>
      </c>
      <c r="V45" s="10">
        <v>30814</v>
      </c>
      <c r="W45" s="6">
        <v>1562</v>
      </c>
      <c r="X45" t="s">
        <v>8910</v>
      </c>
      <c r="Y45" t="s">
        <v>7146</v>
      </c>
      <c r="Z45" t="s">
        <v>7147</v>
      </c>
      <c r="AA45">
        <v>77088</v>
      </c>
      <c r="AF45" t="s">
        <v>7150</v>
      </c>
      <c r="AG45" t="s">
        <v>47</v>
      </c>
    </row>
    <row r="46" spans="1:33" x14ac:dyDescent="0.2">
      <c r="A46" s="27"/>
      <c r="B46" s="25">
        <v>44225</v>
      </c>
      <c r="C46">
        <v>2</v>
      </c>
      <c r="D46" s="11">
        <v>234325801010</v>
      </c>
      <c r="E46" s="10">
        <v>12821</v>
      </c>
      <c r="F46" t="s">
        <v>7163</v>
      </c>
      <c r="G46" t="s">
        <v>7144</v>
      </c>
      <c r="H46">
        <v>13</v>
      </c>
      <c r="I46" t="s">
        <v>44</v>
      </c>
      <c r="J46" t="s">
        <v>7145</v>
      </c>
      <c r="K46">
        <v>1000</v>
      </c>
      <c r="L46">
        <v>131420</v>
      </c>
      <c r="M46" t="s">
        <v>53</v>
      </c>
      <c r="N46" t="s">
        <v>46</v>
      </c>
      <c r="O46" s="10">
        <v>44231</v>
      </c>
      <c r="R46" t="s">
        <v>8911</v>
      </c>
      <c r="S46">
        <v>888717</v>
      </c>
      <c r="T46" t="s">
        <v>50</v>
      </c>
      <c r="U46" t="s">
        <v>46</v>
      </c>
      <c r="V46" s="10">
        <v>25776</v>
      </c>
      <c r="W46" s="6">
        <v>1601</v>
      </c>
      <c r="X46" t="s">
        <v>8912</v>
      </c>
      <c r="Y46" t="s">
        <v>7160</v>
      </c>
      <c r="Z46" t="s">
        <v>7147</v>
      </c>
      <c r="AA46">
        <v>77521</v>
      </c>
      <c r="AF46" t="s">
        <v>7147</v>
      </c>
      <c r="AG46" t="s">
        <v>49</v>
      </c>
    </row>
    <row r="47" spans="1:33" x14ac:dyDescent="0.2">
      <c r="A47" s="27"/>
      <c r="B47" s="25">
        <v>44225</v>
      </c>
      <c r="C47">
        <v>3</v>
      </c>
      <c r="D47" s="11">
        <v>170824301010</v>
      </c>
      <c r="E47" s="10">
        <v>12621</v>
      </c>
      <c r="F47" t="s">
        <v>7143</v>
      </c>
      <c r="G47" t="s">
        <v>7144</v>
      </c>
      <c r="H47">
        <v>180</v>
      </c>
      <c r="I47" t="s">
        <v>44</v>
      </c>
      <c r="J47" t="s">
        <v>7145</v>
      </c>
      <c r="K47">
        <v>5000</v>
      </c>
      <c r="L47">
        <v>131322</v>
      </c>
      <c r="M47" t="s">
        <v>201</v>
      </c>
      <c r="N47" t="s">
        <v>45</v>
      </c>
      <c r="O47" s="10">
        <v>44270</v>
      </c>
      <c r="R47" t="s">
        <v>8686</v>
      </c>
      <c r="S47">
        <v>3039316</v>
      </c>
      <c r="T47" t="s">
        <v>7145</v>
      </c>
      <c r="U47" t="s">
        <v>45</v>
      </c>
      <c r="V47" s="10">
        <v>34816</v>
      </c>
      <c r="W47" s="6">
        <v>1618</v>
      </c>
      <c r="X47" t="s">
        <v>8687</v>
      </c>
      <c r="Y47" t="s">
        <v>7146</v>
      </c>
      <c r="Z47" t="s">
        <v>7147</v>
      </c>
      <c r="AA47">
        <v>77014</v>
      </c>
      <c r="AF47" t="s">
        <v>7150</v>
      </c>
      <c r="AG47" t="s">
        <v>47</v>
      </c>
    </row>
    <row r="48" spans="1:33" x14ac:dyDescent="0.2">
      <c r="A48" s="27"/>
      <c r="B48" s="25">
        <v>44225</v>
      </c>
      <c r="C48">
        <v>3</v>
      </c>
      <c r="D48" s="11">
        <v>170804601010</v>
      </c>
      <c r="E48" s="10">
        <v>12521</v>
      </c>
      <c r="F48" t="s">
        <v>7143</v>
      </c>
      <c r="G48" t="s">
        <v>7144</v>
      </c>
      <c r="H48">
        <v>337</v>
      </c>
      <c r="I48" t="s">
        <v>44</v>
      </c>
      <c r="J48" t="s">
        <v>7145</v>
      </c>
      <c r="K48">
        <v>30000</v>
      </c>
      <c r="L48">
        <v>139903</v>
      </c>
      <c r="M48" t="s">
        <v>214</v>
      </c>
      <c r="N48" t="s">
        <v>45</v>
      </c>
      <c r="O48" s="10">
        <v>44271</v>
      </c>
      <c r="R48" t="s">
        <v>8225</v>
      </c>
      <c r="S48">
        <v>1487521</v>
      </c>
      <c r="T48" t="s">
        <v>7145</v>
      </c>
      <c r="U48" t="s">
        <v>46</v>
      </c>
      <c r="V48" s="10">
        <v>28614</v>
      </c>
      <c r="W48" s="6">
        <v>1906</v>
      </c>
      <c r="X48" t="s">
        <v>8226</v>
      </c>
      <c r="Y48" t="s">
        <v>7155</v>
      </c>
      <c r="Z48" t="s">
        <v>7147</v>
      </c>
      <c r="AA48">
        <v>77021</v>
      </c>
      <c r="AB48" t="s">
        <v>8168</v>
      </c>
      <c r="AC48">
        <v>2466758</v>
      </c>
      <c r="AD48" t="s">
        <v>7148</v>
      </c>
      <c r="AE48" t="s">
        <v>7149</v>
      </c>
      <c r="AF48" t="s">
        <v>7147</v>
      </c>
      <c r="AG48" t="s">
        <v>49</v>
      </c>
    </row>
    <row r="49" spans="1:33" x14ac:dyDescent="0.2">
      <c r="A49" s="27"/>
      <c r="B49" s="1">
        <v>44225</v>
      </c>
      <c r="C49">
        <v>3</v>
      </c>
      <c r="D49" s="11">
        <v>170817401010</v>
      </c>
      <c r="E49" s="10">
        <v>12621</v>
      </c>
      <c r="F49" t="s">
        <v>7143</v>
      </c>
      <c r="G49" t="s">
        <v>7144</v>
      </c>
      <c r="H49">
        <v>339</v>
      </c>
      <c r="I49" t="s">
        <v>44</v>
      </c>
      <c r="J49" t="s">
        <v>7145</v>
      </c>
      <c r="K49">
        <v>1000</v>
      </c>
      <c r="L49">
        <v>230180</v>
      </c>
      <c r="M49" t="s">
        <v>5293</v>
      </c>
      <c r="N49" t="s">
        <v>45</v>
      </c>
      <c r="O49" s="10">
        <v>44223</v>
      </c>
      <c r="R49" t="s">
        <v>8953</v>
      </c>
      <c r="S49">
        <v>2613618</v>
      </c>
      <c r="T49" t="s">
        <v>50</v>
      </c>
      <c r="U49" t="s">
        <v>46</v>
      </c>
      <c r="V49" s="10">
        <v>32929</v>
      </c>
      <c r="W49" s="6">
        <v>1906</v>
      </c>
      <c r="X49" t="s">
        <v>8954</v>
      </c>
      <c r="Y49" t="s">
        <v>7146</v>
      </c>
      <c r="Z49" t="s">
        <v>7147</v>
      </c>
      <c r="AA49">
        <v>77088</v>
      </c>
      <c r="AF49" t="s">
        <v>7147</v>
      </c>
      <c r="AG49" t="s">
        <v>49</v>
      </c>
    </row>
    <row r="50" spans="1:33" x14ac:dyDescent="0.2">
      <c r="A50" s="27"/>
      <c r="B50" s="1">
        <v>44225</v>
      </c>
      <c r="C50">
        <v>3</v>
      </c>
      <c r="D50" s="11">
        <v>170832201010</v>
      </c>
      <c r="E50" s="10">
        <v>12721</v>
      </c>
      <c r="F50" t="s">
        <v>7143</v>
      </c>
      <c r="G50" t="s">
        <v>7144</v>
      </c>
      <c r="H50">
        <v>185</v>
      </c>
      <c r="I50" t="s">
        <v>44</v>
      </c>
      <c r="J50" t="s">
        <v>7145</v>
      </c>
      <c r="K50">
        <v>50000</v>
      </c>
      <c r="L50">
        <v>120404</v>
      </c>
      <c r="M50" t="s">
        <v>188</v>
      </c>
      <c r="N50" t="s">
        <v>45</v>
      </c>
      <c r="O50" s="10">
        <v>44298</v>
      </c>
      <c r="R50" t="s">
        <v>8891</v>
      </c>
      <c r="S50">
        <v>1935630</v>
      </c>
      <c r="T50" t="s">
        <v>7145</v>
      </c>
      <c r="U50" t="s">
        <v>45</v>
      </c>
      <c r="V50" s="10">
        <v>29454</v>
      </c>
      <c r="W50">
        <v>1919</v>
      </c>
      <c r="X50" t="s">
        <v>8892</v>
      </c>
      <c r="Y50" t="s">
        <v>7146</v>
      </c>
      <c r="Z50" t="s">
        <v>7147</v>
      </c>
      <c r="AA50">
        <v>77003</v>
      </c>
      <c r="AF50" t="s">
        <v>7147</v>
      </c>
      <c r="AG50" t="s">
        <v>49</v>
      </c>
    </row>
    <row r="51" spans="1:33" x14ac:dyDescent="0.2">
      <c r="A51" s="27"/>
      <c r="B51" s="25">
        <v>44225</v>
      </c>
      <c r="C51">
        <v>3</v>
      </c>
      <c r="D51" s="11">
        <v>170838001010</v>
      </c>
      <c r="E51" s="10">
        <v>12721</v>
      </c>
      <c r="F51" t="s">
        <v>7143</v>
      </c>
      <c r="G51" t="s">
        <v>7144</v>
      </c>
      <c r="H51">
        <v>174</v>
      </c>
      <c r="I51" t="s">
        <v>44</v>
      </c>
      <c r="J51" t="s">
        <v>7145</v>
      </c>
      <c r="K51">
        <v>2500</v>
      </c>
      <c r="L51">
        <v>359921</v>
      </c>
      <c r="M51" t="s">
        <v>7628</v>
      </c>
      <c r="N51" t="s">
        <v>45</v>
      </c>
      <c r="O51" s="10">
        <v>44277</v>
      </c>
      <c r="R51" t="s">
        <v>8739</v>
      </c>
      <c r="S51">
        <v>2415955</v>
      </c>
      <c r="T51" t="s">
        <v>50</v>
      </c>
      <c r="U51" t="s">
        <v>46</v>
      </c>
      <c r="V51" s="10">
        <v>33337</v>
      </c>
      <c r="W51" s="6">
        <v>2002</v>
      </c>
      <c r="X51" t="s">
        <v>8740</v>
      </c>
      <c r="Y51" t="s">
        <v>7146</v>
      </c>
      <c r="Z51" t="s">
        <v>7147</v>
      </c>
      <c r="AA51">
        <v>77026</v>
      </c>
      <c r="AF51" t="s">
        <v>7147</v>
      </c>
      <c r="AG51" t="s">
        <v>49</v>
      </c>
    </row>
    <row r="52" spans="1:33" x14ac:dyDescent="0.2">
      <c r="A52" s="27"/>
      <c r="B52" s="25">
        <v>44225</v>
      </c>
      <c r="C52">
        <v>2</v>
      </c>
      <c r="D52" s="11">
        <v>234327601010</v>
      </c>
      <c r="E52" s="10">
        <v>12821</v>
      </c>
      <c r="F52" t="s">
        <v>7163</v>
      </c>
      <c r="G52" t="s">
        <v>7144</v>
      </c>
      <c r="H52">
        <v>5</v>
      </c>
      <c r="I52" t="s">
        <v>44</v>
      </c>
      <c r="J52" t="s">
        <v>7145</v>
      </c>
      <c r="K52">
        <v>1500</v>
      </c>
      <c r="L52">
        <v>131420</v>
      </c>
      <c r="M52" t="s">
        <v>53</v>
      </c>
      <c r="N52" t="s">
        <v>46</v>
      </c>
      <c r="O52" s="10">
        <v>44231</v>
      </c>
      <c r="R52" t="s">
        <v>8917</v>
      </c>
      <c r="S52">
        <v>3083100</v>
      </c>
      <c r="T52" t="s">
        <v>7145</v>
      </c>
      <c r="U52" t="s">
        <v>46</v>
      </c>
      <c r="V52" s="10">
        <v>26355</v>
      </c>
      <c r="W52" s="6">
        <v>2108</v>
      </c>
      <c r="X52" t="s">
        <v>8918</v>
      </c>
      <c r="Y52" t="s">
        <v>7166</v>
      </c>
      <c r="Z52" t="s">
        <v>7147</v>
      </c>
      <c r="AA52">
        <v>77502</v>
      </c>
      <c r="AF52" t="s">
        <v>7150</v>
      </c>
      <c r="AG52" t="s">
        <v>49</v>
      </c>
    </row>
    <row r="53" spans="1:33" x14ac:dyDescent="0.2">
      <c r="A53" s="27"/>
      <c r="B53" s="25">
        <v>44225</v>
      </c>
      <c r="C53">
        <v>3</v>
      </c>
      <c r="D53" s="11">
        <v>170801501010</v>
      </c>
      <c r="E53" s="10">
        <v>12421</v>
      </c>
      <c r="F53" t="s">
        <v>7143</v>
      </c>
      <c r="G53" t="s">
        <v>7144</v>
      </c>
      <c r="H53">
        <v>209</v>
      </c>
      <c r="I53" t="s">
        <v>44</v>
      </c>
      <c r="J53" t="s">
        <v>7145</v>
      </c>
      <c r="K53">
        <v>5000</v>
      </c>
      <c r="L53">
        <v>131408</v>
      </c>
      <c r="M53" t="s">
        <v>200</v>
      </c>
      <c r="N53" t="s">
        <v>45</v>
      </c>
      <c r="O53" s="10">
        <v>44312</v>
      </c>
      <c r="R53" t="s">
        <v>8175</v>
      </c>
      <c r="S53">
        <v>3082702</v>
      </c>
      <c r="T53" t="s">
        <v>50</v>
      </c>
      <c r="U53" t="s">
        <v>46</v>
      </c>
      <c r="V53" s="10">
        <v>25476</v>
      </c>
      <c r="W53" s="6">
        <v>2109</v>
      </c>
      <c r="X53" t="s">
        <v>8176</v>
      </c>
      <c r="Y53" t="s">
        <v>7629</v>
      </c>
      <c r="Z53" t="s">
        <v>7147</v>
      </c>
      <c r="AA53">
        <v>77586</v>
      </c>
      <c r="AF53" t="s">
        <v>7150</v>
      </c>
      <c r="AG53" t="s">
        <v>49</v>
      </c>
    </row>
    <row r="54" spans="1:33" x14ac:dyDescent="0.2">
      <c r="A54" s="27"/>
      <c r="B54" s="25">
        <v>44225</v>
      </c>
      <c r="C54">
        <v>2</v>
      </c>
      <c r="D54" s="11">
        <v>234315101010</v>
      </c>
      <c r="E54" s="10">
        <v>12721</v>
      </c>
      <c r="F54" t="s">
        <v>7163</v>
      </c>
      <c r="G54" t="s">
        <v>7144</v>
      </c>
      <c r="H54">
        <v>13</v>
      </c>
      <c r="I54" t="s">
        <v>44</v>
      </c>
      <c r="J54" t="s">
        <v>7145</v>
      </c>
      <c r="K54">
        <v>3000</v>
      </c>
      <c r="L54">
        <v>131420</v>
      </c>
      <c r="M54" t="s">
        <v>53</v>
      </c>
      <c r="N54" t="s">
        <v>46</v>
      </c>
      <c r="O54" s="10">
        <v>44230</v>
      </c>
      <c r="R54" t="s">
        <v>8690</v>
      </c>
      <c r="S54">
        <v>3082952</v>
      </c>
      <c r="T54" t="s">
        <v>7145</v>
      </c>
      <c r="U54" t="s">
        <v>46</v>
      </c>
      <c r="V54" s="10">
        <v>33735</v>
      </c>
      <c r="W54" s="6">
        <v>2150</v>
      </c>
      <c r="X54" t="s">
        <v>8691</v>
      </c>
      <c r="Y54" t="s">
        <v>7146</v>
      </c>
      <c r="Z54" t="s">
        <v>7147</v>
      </c>
      <c r="AA54">
        <v>77077</v>
      </c>
      <c r="AF54" t="s">
        <v>7157</v>
      </c>
      <c r="AG54" t="s">
        <v>49</v>
      </c>
    </row>
    <row r="55" spans="1:33" x14ac:dyDescent="0.2">
      <c r="A55" s="27"/>
      <c r="B55" s="25">
        <v>44225</v>
      </c>
      <c r="C55">
        <v>2</v>
      </c>
      <c r="D55" s="11">
        <v>234308801010</v>
      </c>
      <c r="E55" s="10">
        <v>12621</v>
      </c>
      <c r="F55" t="s">
        <v>7163</v>
      </c>
      <c r="G55" t="s">
        <v>7144</v>
      </c>
      <c r="H55">
        <v>1</v>
      </c>
      <c r="I55" t="s">
        <v>44</v>
      </c>
      <c r="J55" t="s">
        <v>7145</v>
      </c>
      <c r="K55">
        <v>100</v>
      </c>
      <c r="L55">
        <v>131302</v>
      </c>
      <c r="M55" t="s">
        <v>51</v>
      </c>
      <c r="N55" t="s">
        <v>46</v>
      </c>
      <c r="O55" s="10">
        <v>44229</v>
      </c>
      <c r="R55" t="s">
        <v>8681</v>
      </c>
      <c r="S55">
        <v>2746962</v>
      </c>
      <c r="T55" t="s">
        <v>50</v>
      </c>
      <c r="U55" t="s">
        <v>46</v>
      </c>
      <c r="V55" s="10">
        <v>34685</v>
      </c>
      <c r="W55" s="6">
        <v>2317</v>
      </c>
      <c r="X55" t="s">
        <v>8682</v>
      </c>
      <c r="Y55" t="s">
        <v>7166</v>
      </c>
      <c r="Z55" t="s">
        <v>7147</v>
      </c>
      <c r="AA55">
        <v>77506</v>
      </c>
      <c r="AF55" t="s">
        <v>7147</v>
      </c>
      <c r="AG55" t="s">
        <v>49</v>
      </c>
    </row>
    <row r="56" spans="1:33" x14ac:dyDescent="0.2">
      <c r="A56" s="27"/>
      <c r="B56" s="25">
        <v>44225</v>
      </c>
      <c r="C56">
        <v>2</v>
      </c>
      <c r="D56" s="11">
        <v>234308901010</v>
      </c>
      <c r="E56" s="10">
        <v>12621</v>
      </c>
      <c r="F56" t="s">
        <v>7163</v>
      </c>
      <c r="G56" t="s">
        <v>7144</v>
      </c>
      <c r="H56">
        <v>7</v>
      </c>
      <c r="I56" t="s">
        <v>44</v>
      </c>
      <c r="J56" t="s">
        <v>7145</v>
      </c>
      <c r="K56">
        <v>5000</v>
      </c>
      <c r="L56">
        <v>131420</v>
      </c>
      <c r="M56" t="s">
        <v>53</v>
      </c>
      <c r="N56" t="s">
        <v>46</v>
      </c>
      <c r="O56" s="10">
        <v>44229</v>
      </c>
      <c r="R56" t="s">
        <v>8696</v>
      </c>
      <c r="S56">
        <v>2983617</v>
      </c>
      <c r="T56" t="s">
        <v>50</v>
      </c>
      <c r="U56" t="s">
        <v>46</v>
      </c>
      <c r="V56" s="10">
        <v>36174</v>
      </c>
      <c r="W56" s="6">
        <v>2317</v>
      </c>
      <c r="X56" t="s">
        <v>8682</v>
      </c>
      <c r="Y56" t="s">
        <v>7166</v>
      </c>
      <c r="Z56" t="s">
        <v>7147</v>
      </c>
      <c r="AA56">
        <v>77504</v>
      </c>
      <c r="AF56" t="s">
        <v>7147</v>
      </c>
      <c r="AG56" t="s">
        <v>49</v>
      </c>
    </row>
    <row r="57" spans="1:33" x14ac:dyDescent="0.2">
      <c r="A57" s="27"/>
      <c r="B57" s="25">
        <v>44225</v>
      </c>
      <c r="C57">
        <v>2</v>
      </c>
      <c r="D57" s="11">
        <v>234326001010</v>
      </c>
      <c r="E57" s="10">
        <v>12821</v>
      </c>
      <c r="F57" t="s">
        <v>7163</v>
      </c>
      <c r="G57" t="s">
        <v>7144</v>
      </c>
      <c r="H57">
        <v>6</v>
      </c>
      <c r="I57" t="s">
        <v>44</v>
      </c>
      <c r="J57" t="s">
        <v>7145</v>
      </c>
      <c r="K57">
        <v>1500</v>
      </c>
      <c r="L57">
        <v>131420</v>
      </c>
      <c r="M57" t="s">
        <v>53</v>
      </c>
      <c r="N57" t="s">
        <v>46</v>
      </c>
      <c r="O57" s="10">
        <v>44231</v>
      </c>
      <c r="R57" t="s">
        <v>8913</v>
      </c>
      <c r="S57">
        <v>1732586</v>
      </c>
      <c r="T57" t="s">
        <v>7145</v>
      </c>
      <c r="U57" t="s">
        <v>46</v>
      </c>
      <c r="V57" s="10">
        <v>29001</v>
      </c>
      <c r="W57" s="6">
        <v>2400</v>
      </c>
      <c r="X57" t="s">
        <v>8914</v>
      </c>
      <c r="Y57" t="s">
        <v>7146</v>
      </c>
      <c r="Z57" t="s">
        <v>7147</v>
      </c>
      <c r="AA57">
        <v>77054</v>
      </c>
      <c r="AF57" t="s">
        <v>7147</v>
      </c>
      <c r="AG57" t="s">
        <v>49</v>
      </c>
    </row>
    <row r="58" spans="1:33" x14ac:dyDescent="0.2">
      <c r="A58" s="27"/>
      <c r="B58" s="25">
        <v>44225</v>
      </c>
      <c r="C58">
        <v>3</v>
      </c>
      <c r="D58" s="11">
        <v>170852901010</v>
      </c>
      <c r="E58" s="10">
        <v>12821</v>
      </c>
      <c r="F58" t="s">
        <v>7143</v>
      </c>
      <c r="G58" t="s">
        <v>7144</v>
      </c>
      <c r="H58">
        <v>263</v>
      </c>
      <c r="I58" t="s">
        <v>44</v>
      </c>
      <c r="J58" t="s">
        <v>7145</v>
      </c>
      <c r="K58">
        <v>10000</v>
      </c>
      <c r="L58">
        <v>520303</v>
      </c>
      <c r="M58" t="s">
        <v>203</v>
      </c>
      <c r="N58" t="s">
        <v>45</v>
      </c>
      <c r="O58" s="10">
        <v>44225</v>
      </c>
      <c r="R58" t="s">
        <v>9010</v>
      </c>
      <c r="S58">
        <v>2419561</v>
      </c>
      <c r="T58" t="s">
        <v>7145</v>
      </c>
      <c r="U58" t="s">
        <v>46</v>
      </c>
      <c r="V58" s="10">
        <v>33666</v>
      </c>
      <c r="W58" s="6">
        <v>2400</v>
      </c>
      <c r="X58" t="s">
        <v>9011</v>
      </c>
      <c r="Y58" t="s">
        <v>7146</v>
      </c>
      <c r="Z58" t="s">
        <v>7147</v>
      </c>
      <c r="AA58">
        <v>77054</v>
      </c>
      <c r="AF58" t="s">
        <v>7147</v>
      </c>
      <c r="AG58" t="s">
        <v>49</v>
      </c>
    </row>
    <row r="59" spans="1:33" x14ac:dyDescent="0.2">
      <c r="A59" s="27"/>
      <c r="B59" s="1">
        <v>44225</v>
      </c>
      <c r="C59">
        <v>2</v>
      </c>
      <c r="D59" s="11">
        <v>234298101010</v>
      </c>
      <c r="E59" s="10">
        <v>12521</v>
      </c>
      <c r="F59" t="s">
        <v>7163</v>
      </c>
      <c r="G59" t="s">
        <v>7144</v>
      </c>
      <c r="H59">
        <v>7</v>
      </c>
      <c r="I59" t="s">
        <v>44</v>
      </c>
      <c r="J59" t="s">
        <v>7145</v>
      </c>
      <c r="K59">
        <v>500</v>
      </c>
      <c r="L59">
        <v>131420</v>
      </c>
      <c r="M59" t="s">
        <v>53</v>
      </c>
      <c r="N59" t="s">
        <v>46</v>
      </c>
      <c r="O59" s="10">
        <v>44228</v>
      </c>
      <c r="R59" t="s">
        <v>8186</v>
      </c>
      <c r="S59">
        <v>3082800</v>
      </c>
      <c r="T59" t="s">
        <v>7145</v>
      </c>
      <c r="U59" t="s">
        <v>45</v>
      </c>
      <c r="V59" s="10">
        <v>28585</v>
      </c>
      <c r="W59" s="6">
        <v>2425</v>
      </c>
      <c r="X59" t="s">
        <v>8187</v>
      </c>
      <c r="Y59" t="s">
        <v>7146</v>
      </c>
      <c r="Z59" t="s">
        <v>7147</v>
      </c>
      <c r="AA59">
        <v>77056</v>
      </c>
      <c r="AF59" t="s">
        <v>7154</v>
      </c>
      <c r="AG59" t="s">
        <v>49</v>
      </c>
    </row>
    <row r="60" spans="1:33" x14ac:dyDescent="0.2">
      <c r="A60" s="27"/>
      <c r="B60" s="1">
        <v>44225</v>
      </c>
      <c r="C60">
        <v>2</v>
      </c>
      <c r="D60" s="11">
        <v>234319601010</v>
      </c>
      <c r="E60" s="10">
        <v>12721</v>
      </c>
      <c r="F60" t="s">
        <v>7163</v>
      </c>
      <c r="G60" t="s">
        <v>7144</v>
      </c>
      <c r="H60">
        <v>15</v>
      </c>
      <c r="I60" t="s">
        <v>44</v>
      </c>
      <c r="J60" t="s">
        <v>7145</v>
      </c>
      <c r="K60">
        <v>5000</v>
      </c>
      <c r="L60">
        <v>520301</v>
      </c>
      <c r="M60" t="s">
        <v>78</v>
      </c>
      <c r="N60" t="s">
        <v>46</v>
      </c>
      <c r="O60" s="10">
        <v>44230</v>
      </c>
      <c r="R60" t="s">
        <v>9006</v>
      </c>
      <c r="S60">
        <v>2921093</v>
      </c>
      <c r="T60" t="s">
        <v>7145</v>
      </c>
      <c r="U60" t="s">
        <v>46</v>
      </c>
      <c r="V60" s="10">
        <v>36325</v>
      </c>
      <c r="W60" s="6">
        <v>2711</v>
      </c>
      <c r="X60" t="s">
        <v>9007</v>
      </c>
      <c r="Y60" t="s">
        <v>7155</v>
      </c>
      <c r="Z60" t="s">
        <v>7147</v>
      </c>
      <c r="AA60">
        <v>77489</v>
      </c>
      <c r="AF60" t="s">
        <v>7154</v>
      </c>
      <c r="AG60" t="s">
        <v>49</v>
      </c>
    </row>
    <row r="61" spans="1:33" x14ac:dyDescent="0.2">
      <c r="A61" s="27"/>
      <c r="B61" s="25">
        <v>44225</v>
      </c>
      <c r="C61">
        <v>2</v>
      </c>
      <c r="D61" s="11">
        <v>234282301010</v>
      </c>
      <c r="E61" s="10">
        <v>12421</v>
      </c>
      <c r="F61" t="s">
        <v>7163</v>
      </c>
      <c r="G61" t="s">
        <v>7144</v>
      </c>
      <c r="H61">
        <v>4</v>
      </c>
      <c r="I61" t="s">
        <v>44</v>
      </c>
      <c r="J61" t="s">
        <v>7145</v>
      </c>
      <c r="K61">
        <v>1500</v>
      </c>
      <c r="L61">
        <v>210091</v>
      </c>
      <c r="M61" t="s">
        <v>56</v>
      </c>
      <c r="N61" t="s">
        <v>46</v>
      </c>
      <c r="O61" s="10">
        <v>44225</v>
      </c>
      <c r="R61" t="s">
        <v>8240</v>
      </c>
      <c r="S61">
        <v>3082687</v>
      </c>
      <c r="T61" t="s">
        <v>7145</v>
      </c>
      <c r="U61" t="s">
        <v>46</v>
      </c>
      <c r="V61" s="10">
        <v>37522</v>
      </c>
      <c r="W61" s="6">
        <v>2722</v>
      </c>
      <c r="X61" t="s">
        <v>8241</v>
      </c>
      <c r="Y61" t="s">
        <v>7158</v>
      </c>
      <c r="Z61" t="s">
        <v>7147</v>
      </c>
      <c r="AA61">
        <v>77493</v>
      </c>
      <c r="AF61" t="s">
        <v>7147</v>
      </c>
      <c r="AG61" t="s">
        <v>49</v>
      </c>
    </row>
    <row r="62" spans="1:33" x14ac:dyDescent="0.2">
      <c r="A62" s="27"/>
      <c r="B62" s="25">
        <v>44225</v>
      </c>
      <c r="C62">
        <v>3</v>
      </c>
      <c r="D62" s="11">
        <v>170817301010</v>
      </c>
      <c r="E62" s="10">
        <v>12621</v>
      </c>
      <c r="F62" t="s">
        <v>7143</v>
      </c>
      <c r="G62" t="s">
        <v>7144</v>
      </c>
      <c r="H62">
        <v>177</v>
      </c>
      <c r="I62" t="s">
        <v>44</v>
      </c>
      <c r="J62" t="s">
        <v>7145</v>
      </c>
      <c r="K62">
        <v>15000</v>
      </c>
      <c r="L62">
        <v>131408</v>
      </c>
      <c r="M62" t="s">
        <v>200</v>
      </c>
      <c r="N62" t="s">
        <v>45</v>
      </c>
      <c r="O62" s="10">
        <v>44266</v>
      </c>
      <c r="R62" t="s">
        <v>8178</v>
      </c>
      <c r="S62">
        <v>2915811</v>
      </c>
      <c r="T62" t="s">
        <v>7145</v>
      </c>
      <c r="U62" t="s">
        <v>45</v>
      </c>
      <c r="V62" s="10">
        <v>35080</v>
      </c>
      <c r="W62" s="6">
        <v>2777</v>
      </c>
      <c r="X62" t="s">
        <v>8179</v>
      </c>
      <c r="Y62" t="s">
        <v>7146</v>
      </c>
      <c r="Z62" t="s">
        <v>7147</v>
      </c>
      <c r="AA62">
        <v>77057</v>
      </c>
      <c r="AB62" t="s">
        <v>8167</v>
      </c>
      <c r="AC62">
        <v>1908055</v>
      </c>
      <c r="AD62" t="s">
        <v>7148</v>
      </c>
      <c r="AE62" t="s">
        <v>7149</v>
      </c>
      <c r="AF62" t="s">
        <v>7147</v>
      </c>
      <c r="AG62" t="s">
        <v>49</v>
      </c>
    </row>
    <row r="63" spans="1:33" x14ac:dyDescent="0.2">
      <c r="A63" s="27"/>
      <c r="B63" s="25">
        <v>44225</v>
      </c>
      <c r="C63">
        <v>2</v>
      </c>
      <c r="D63" s="11">
        <v>234313001010</v>
      </c>
      <c r="E63" s="10">
        <v>12721</v>
      </c>
      <c r="F63" t="s">
        <v>7163</v>
      </c>
      <c r="G63" t="s">
        <v>7144</v>
      </c>
      <c r="H63">
        <v>12</v>
      </c>
      <c r="I63" t="s">
        <v>62</v>
      </c>
      <c r="J63" t="s">
        <v>7145</v>
      </c>
      <c r="K63">
        <v>100</v>
      </c>
      <c r="L63">
        <v>360501</v>
      </c>
      <c r="M63" t="s">
        <v>104</v>
      </c>
      <c r="N63" t="s">
        <v>46</v>
      </c>
      <c r="O63" s="10">
        <v>44230</v>
      </c>
      <c r="R63" t="s">
        <v>8972</v>
      </c>
      <c r="S63">
        <v>2902835</v>
      </c>
      <c r="T63" t="s">
        <v>7145</v>
      </c>
      <c r="U63" t="s">
        <v>46</v>
      </c>
      <c r="V63" s="10">
        <v>32477</v>
      </c>
      <c r="W63" s="6">
        <v>2800</v>
      </c>
      <c r="X63" t="s">
        <v>8973</v>
      </c>
      <c r="Y63" t="s">
        <v>8974</v>
      </c>
      <c r="Z63" t="s">
        <v>7147</v>
      </c>
      <c r="AA63">
        <v>77630</v>
      </c>
      <c r="AF63" t="s">
        <v>7147</v>
      </c>
      <c r="AG63" t="s">
        <v>49</v>
      </c>
    </row>
    <row r="64" spans="1:33" x14ac:dyDescent="0.2">
      <c r="A64" s="27"/>
      <c r="B64" s="25">
        <v>44225</v>
      </c>
      <c r="C64">
        <v>2</v>
      </c>
      <c r="D64" s="11">
        <v>234291401010</v>
      </c>
      <c r="E64" s="10">
        <v>12521</v>
      </c>
      <c r="F64" t="s">
        <v>7163</v>
      </c>
      <c r="G64" t="s">
        <v>7144</v>
      </c>
      <c r="H64">
        <v>15</v>
      </c>
      <c r="I64" t="s">
        <v>44</v>
      </c>
      <c r="J64" t="s">
        <v>7145</v>
      </c>
      <c r="K64">
        <v>100</v>
      </c>
      <c r="L64">
        <v>131302</v>
      </c>
      <c r="M64" t="s">
        <v>51</v>
      </c>
      <c r="N64" t="s">
        <v>46</v>
      </c>
      <c r="O64" s="10">
        <v>44228</v>
      </c>
      <c r="R64" t="s">
        <v>8160</v>
      </c>
      <c r="S64">
        <v>3082726</v>
      </c>
      <c r="T64" t="s">
        <v>50</v>
      </c>
      <c r="U64" t="s">
        <v>46</v>
      </c>
      <c r="V64" s="10">
        <v>23758</v>
      </c>
      <c r="W64" s="6">
        <v>2800</v>
      </c>
      <c r="X64" t="s">
        <v>8161</v>
      </c>
      <c r="Y64" t="s">
        <v>8162</v>
      </c>
      <c r="Z64" t="s">
        <v>7147</v>
      </c>
      <c r="AA64">
        <v>77803</v>
      </c>
      <c r="AF64" t="s">
        <v>7175</v>
      </c>
      <c r="AG64" t="s">
        <v>49</v>
      </c>
    </row>
    <row r="65" spans="1:33" x14ac:dyDescent="0.2">
      <c r="A65" s="27"/>
      <c r="B65" s="25">
        <v>44225</v>
      </c>
      <c r="C65">
        <v>2</v>
      </c>
      <c r="D65" s="11">
        <v>234309201010</v>
      </c>
      <c r="E65" s="10">
        <v>12621</v>
      </c>
      <c r="F65" t="s">
        <v>7163</v>
      </c>
      <c r="G65" t="s">
        <v>7144</v>
      </c>
      <c r="H65">
        <v>3</v>
      </c>
      <c r="I65" t="s">
        <v>44</v>
      </c>
      <c r="J65" t="s">
        <v>7145</v>
      </c>
      <c r="K65">
        <v>100</v>
      </c>
      <c r="L65">
        <v>380029</v>
      </c>
      <c r="M65" t="s">
        <v>68</v>
      </c>
      <c r="N65" t="s">
        <v>46</v>
      </c>
      <c r="O65" s="10">
        <v>44229</v>
      </c>
      <c r="R65" t="s">
        <v>8743</v>
      </c>
      <c r="S65">
        <v>2347602</v>
      </c>
      <c r="T65" t="s">
        <v>50</v>
      </c>
      <c r="U65" t="s">
        <v>46</v>
      </c>
      <c r="V65" s="10">
        <v>33095</v>
      </c>
      <c r="W65" s="6">
        <v>2901</v>
      </c>
      <c r="X65" t="s">
        <v>8744</v>
      </c>
      <c r="Y65" t="s">
        <v>7146</v>
      </c>
      <c r="Z65" t="s">
        <v>7147</v>
      </c>
      <c r="AA65">
        <v>77009</v>
      </c>
      <c r="AF65" t="s">
        <v>7622</v>
      </c>
      <c r="AG65" t="s">
        <v>49</v>
      </c>
    </row>
    <row r="66" spans="1:33" x14ac:dyDescent="0.2">
      <c r="A66" s="27"/>
      <c r="B66" s="25">
        <v>44225</v>
      </c>
      <c r="C66">
        <v>3</v>
      </c>
      <c r="D66" s="11">
        <v>170832401010</v>
      </c>
      <c r="E66" s="10">
        <v>12721</v>
      </c>
      <c r="F66" t="s">
        <v>7143</v>
      </c>
      <c r="G66" t="s">
        <v>7144</v>
      </c>
      <c r="H66">
        <v>262</v>
      </c>
      <c r="I66" t="s">
        <v>44</v>
      </c>
      <c r="J66" t="s">
        <v>7145</v>
      </c>
      <c r="K66">
        <v>3000</v>
      </c>
      <c r="L66">
        <v>230152</v>
      </c>
      <c r="M66" t="s">
        <v>189</v>
      </c>
      <c r="N66" t="s">
        <v>45</v>
      </c>
      <c r="O66" s="10">
        <v>44350</v>
      </c>
      <c r="R66" t="s">
        <v>8948</v>
      </c>
      <c r="S66">
        <v>2265501</v>
      </c>
      <c r="T66" t="s">
        <v>50</v>
      </c>
      <c r="U66" t="s">
        <v>46</v>
      </c>
      <c r="V66" s="10">
        <v>31512</v>
      </c>
      <c r="W66" s="6">
        <v>2902</v>
      </c>
      <c r="X66" t="s">
        <v>8949</v>
      </c>
      <c r="Y66" t="s">
        <v>7358</v>
      </c>
      <c r="Z66" t="s">
        <v>7147</v>
      </c>
      <c r="AA66">
        <v>77573</v>
      </c>
      <c r="AB66" t="s">
        <v>8902</v>
      </c>
      <c r="AC66">
        <v>67469440</v>
      </c>
      <c r="AD66" t="s">
        <v>7148</v>
      </c>
      <c r="AE66" t="s">
        <v>7149</v>
      </c>
      <c r="AF66" t="s">
        <v>7147</v>
      </c>
      <c r="AG66" t="s">
        <v>49</v>
      </c>
    </row>
    <row r="67" spans="1:33" x14ac:dyDescent="0.2">
      <c r="A67" s="27"/>
      <c r="B67" s="25">
        <v>44225</v>
      </c>
      <c r="C67">
        <v>2</v>
      </c>
      <c r="D67" s="11">
        <v>234282801010</v>
      </c>
      <c r="E67" s="10">
        <v>12421</v>
      </c>
      <c r="F67" t="s">
        <v>7163</v>
      </c>
      <c r="G67" t="s">
        <v>7144</v>
      </c>
      <c r="H67">
        <v>8</v>
      </c>
      <c r="I67" t="s">
        <v>44</v>
      </c>
      <c r="J67" t="s">
        <v>7145</v>
      </c>
      <c r="K67">
        <v>100</v>
      </c>
      <c r="L67">
        <v>210091</v>
      </c>
      <c r="M67" t="s">
        <v>56</v>
      </c>
      <c r="N67" t="s">
        <v>46</v>
      </c>
      <c r="O67" s="10">
        <v>44250</v>
      </c>
      <c r="R67" t="s">
        <v>8238</v>
      </c>
      <c r="S67">
        <v>3082688</v>
      </c>
      <c r="T67" t="s">
        <v>7145</v>
      </c>
      <c r="U67" t="s">
        <v>46</v>
      </c>
      <c r="V67" s="10">
        <v>21568</v>
      </c>
      <c r="W67" s="6">
        <v>2915</v>
      </c>
      <c r="X67" t="s">
        <v>8239</v>
      </c>
      <c r="Y67" t="s">
        <v>7170</v>
      </c>
      <c r="Z67" t="s">
        <v>7147</v>
      </c>
      <c r="AA67">
        <v>77373</v>
      </c>
      <c r="AF67" t="s">
        <v>7154</v>
      </c>
      <c r="AG67" t="s">
        <v>49</v>
      </c>
    </row>
    <row r="68" spans="1:33" x14ac:dyDescent="0.2">
      <c r="A68" s="27"/>
      <c r="B68" s="25">
        <v>44225</v>
      </c>
      <c r="C68">
        <v>2</v>
      </c>
      <c r="D68" s="11">
        <v>234273201010</v>
      </c>
      <c r="E68" s="10">
        <v>12421</v>
      </c>
      <c r="F68" t="s">
        <v>7163</v>
      </c>
      <c r="G68" t="s">
        <v>7144</v>
      </c>
      <c r="H68">
        <v>4</v>
      </c>
      <c r="I68" t="s">
        <v>44</v>
      </c>
      <c r="J68" t="s">
        <v>7145</v>
      </c>
      <c r="K68">
        <v>100</v>
      </c>
      <c r="L68">
        <v>480105</v>
      </c>
      <c r="M68" t="s">
        <v>72</v>
      </c>
      <c r="N68" t="s">
        <v>46</v>
      </c>
      <c r="O68" s="10">
        <v>44225</v>
      </c>
      <c r="R68" t="s">
        <v>7941</v>
      </c>
      <c r="S68">
        <v>2386460</v>
      </c>
      <c r="T68" t="s">
        <v>7145</v>
      </c>
      <c r="U68" t="s">
        <v>46</v>
      </c>
      <c r="V68" s="10">
        <v>33362</v>
      </c>
      <c r="W68" s="6">
        <v>3000</v>
      </c>
      <c r="X68" t="s">
        <v>7942</v>
      </c>
      <c r="Y68" t="s">
        <v>7146</v>
      </c>
      <c r="Z68" t="s">
        <v>7147</v>
      </c>
      <c r="AA68">
        <v>77082</v>
      </c>
      <c r="AF68" t="s">
        <v>7147</v>
      </c>
      <c r="AG68" t="s">
        <v>49</v>
      </c>
    </row>
    <row r="69" spans="1:33" x14ac:dyDescent="0.2">
      <c r="A69" s="27"/>
      <c r="B69" s="25">
        <v>44225</v>
      </c>
      <c r="C69">
        <v>2</v>
      </c>
      <c r="D69" s="11">
        <v>234321601010</v>
      </c>
      <c r="E69" s="10">
        <v>12721</v>
      </c>
      <c r="F69" t="s">
        <v>7163</v>
      </c>
      <c r="G69" t="s">
        <v>7144</v>
      </c>
      <c r="H69">
        <v>2</v>
      </c>
      <c r="I69" t="s">
        <v>44</v>
      </c>
      <c r="J69" t="s">
        <v>7145</v>
      </c>
      <c r="K69">
        <v>100</v>
      </c>
      <c r="L69">
        <v>360011</v>
      </c>
      <c r="M69" t="s">
        <v>102</v>
      </c>
      <c r="N69" t="s">
        <v>46</v>
      </c>
      <c r="O69" s="10">
        <v>44230</v>
      </c>
      <c r="R69" t="s">
        <v>8741</v>
      </c>
      <c r="S69">
        <v>2243270</v>
      </c>
      <c r="T69" t="s">
        <v>7145</v>
      </c>
      <c r="U69" t="s">
        <v>46</v>
      </c>
      <c r="V69" s="10">
        <v>32013</v>
      </c>
      <c r="W69" s="6">
        <v>3008</v>
      </c>
      <c r="X69" t="s">
        <v>8742</v>
      </c>
      <c r="Y69" t="s">
        <v>7146</v>
      </c>
      <c r="Z69" t="s">
        <v>7147</v>
      </c>
      <c r="AA69">
        <v>77091</v>
      </c>
      <c r="AF69" t="s">
        <v>7147</v>
      </c>
      <c r="AG69" t="s">
        <v>49</v>
      </c>
    </row>
    <row r="70" spans="1:33" x14ac:dyDescent="0.2">
      <c r="A70" s="27"/>
      <c r="B70" s="25">
        <v>44225</v>
      </c>
      <c r="C70">
        <v>2</v>
      </c>
      <c r="D70" s="11">
        <v>234307901010</v>
      </c>
      <c r="E70" s="10">
        <v>12621</v>
      </c>
      <c r="F70" t="s">
        <v>7163</v>
      </c>
      <c r="G70" t="s">
        <v>7144</v>
      </c>
      <c r="H70">
        <v>4</v>
      </c>
      <c r="I70" t="s">
        <v>44</v>
      </c>
      <c r="J70" t="s">
        <v>7145</v>
      </c>
      <c r="K70">
        <v>500</v>
      </c>
      <c r="L70">
        <v>210092</v>
      </c>
      <c r="M70" t="s">
        <v>57</v>
      </c>
      <c r="N70" t="s">
        <v>46</v>
      </c>
      <c r="O70" s="10">
        <v>44229</v>
      </c>
      <c r="R70" t="s">
        <v>8230</v>
      </c>
      <c r="S70">
        <v>2154422</v>
      </c>
      <c r="T70" t="s">
        <v>50</v>
      </c>
      <c r="U70" t="s">
        <v>46</v>
      </c>
      <c r="V70" s="10">
        <v>28539</v>
      </c>
      <c r="W70" s="6">
        <v>3015</v>
      </c>
      <c r="X70" t="s">
        <v>8231</v>
      </c>
      <c r="Y70" t="s">
        <v>7166</v>
      </c>
      <c r="Z70" t="s">
        <v>7147</v>
      </c>
      <c r="AA70">
        <v>77503</v>
      </c>
      <c r="AF70" t="s">
        <v>7147</v>
      </c>
      <c r="AG70" t="s">
        <v>49</v>
      </c>
    </row>
    <row r="71" spans="1:33" x14ac:dyDescent="0.2">
      <c r="A71" s="27"/>
      <c r="B71" s="1">
        <v>44225</v>
      </c>
      <c r="C71">
        <v>2</v>
      </c>
      <c r="D71" s="11">
        <v>234308201010</v>
      </c>
      <c r="E71" s="10">
        <v>12621</v>
      </c>
      <c r="F71" t="s">
        <v>7163</v>
      </c>
      <c r="G71" t="s">
        <v>7144</v>
      </c>
      <c r="H71">
        <v>9</v>
      </c>
      <c r="I71" t="s">
        <v>44</v>
      </c>
      <c r="J71" t="s">
        <v>7145</v>
      </c>
      <c r="K71">
        <v>1500</v>
      </c>
      <c r="L71">
        <v>131420</v>
      </c>
      <c r="M71" t="s">
        <v>53</v>
      </c>
      <c r="N71" t="s">
        <v>46</v>
      </c>
      <c r="O71" s="10">
        <v>44229</v>
      </c>
      <c r="R71" t="s">
        <v>8703</v>
      </c>
      <c r="S71">
        <v>2963785</v>
      </c>
      <c r="T71" t="s">
        <v>7145</v>
      </c>
      <c r="U71" t="s">
        <v>46</v>
      </c>
      <c r="V71" s="10">
        <v>36975</v>
      </c>
      <c r="W71" s="6">
        <v>3101</v>
      </c>
      <c r="X71" t="s">
        <v>8704</v>
      </c>
      <c r="Y71" t="s">
        <v>7146</v>
      </c>
      <c r="Z71" t="s">
        <v>7147</v>
      </c>
      <c r="AA71">
        <v>77004</v>
      </c>
      <c r="AF71" t="s">
        <v>7154</v>
      </c>
      <c r="AG71" t="s">
        <v>49</v>
      </c>
    </row>
    <row r="72" spans="1:33" x14ac:dyDescent="0.2">
      <c r="A72" s="27"/>
      <c r="B72" s="25">
        <v>44225</v>
      </c>
      <c r="C72">
        <v>2</v>
      </c>
      <c r="D72" s="11">
        <v>234306301010</v>
      </c>
      <c r="E72" s="10">
        <v>12621</v>
      </c>
      <c r="F72" t="s">
        <v>7163</v>
      </c>
      <c r="G72" t="s">
        <v>7144</v>
      </c>
      <c r="H72">
        <v>6</v>
      </c>
      <c r="I72" t="s">
        <v>44</v>
      </c>
      <c r="J72" t="s">
        <v>7145</v>
      </c>
      <c r="K72">
        <v>500</v>
      </c>
      <c r="L72">
        <v>520301</v>
      </c>
      <c r="M72" t="s">
        <v>78</v>
      </c>
      <c r="N72" t="s">
        <v>46</v>
      </c>
      <c r="O72" s="10">
        <v>44229</v>
      </c>
      <c r="R72" t="s">
        <v>8319</v>
      </c>
      <c r="S72">
        <v>2705544</v>
      </c>
      <c r="T72" t="s">
        <v>50</v>
      </c>
      <c r="U72" t="s">
        <v>46</v>
      </c>
      <c r="V72" s="10">
        <v>35361</v>
      </c>
      <c r="W72" s="6">
        <v>3114</v>
      </c>
      <c r="X72" t="s">
        <v>8320</v>
      </c>
      <c r="Y72" t="s">
        <v>7146</v>
      </c>
      <c r="Z72" t="s">
        <v>7147</v>
      </c>
      <c r="AA72">
        <v>77020</v>
      </c>
      <c r="AF72" t="s">
        <v>7147</v>
      </c>
      <c r="AG72" t="s">
        <v>49</v>
      </c>
    </row>
    <row r="73" spans="1:33" x14ac:dyDescent="0.2">
      <c r="A73" s="27"/>
      <c r="B73" s="25">
        <v>44225</v>
      </c>
      <c r="C73">
        <v>2</v>
      </c>
      <c r="D73" s="11">
        <v>234320001010</v>
      </c>
      <c r="E73" s="10">
        <v>12721</v>
      </c>
      <c r="F73" t="s">
        <v>7163</v>
      </c>
      <c r="G73" t="s">
        <v>7144</v>
      </c>
      <c r="H73">
        <v>7</v>
      </c>
      <c r="I73" t="s">
        <v>44</v>
      </c>
      <c r="J73" t="s">
        <v>7145</v>
      </c>
      <c r="K73">
        <v>500</v>
      </c>
      <c r="L73">
        <v>131420</v>
      </c>
      <c r="M73" t="s">
        <v>53</v>
      </c>
      <c r="N73" t="s">
        <v>46</v>
      </c>
      <c r="O73" s="10">
        <v>44230</v>
      </c>
      <c r="R73" t="s">
        <v>8694</v>
      </c>
      <c r="S73">
        <v>2776503</v>
      </c>
      <c r="T73" t="s">
        <v>50</v>
      </c>
      <c r="U73" t="s">
        <v>46</v>
      </c>
      <c r="V73" s="10">
        <v>35436</v>
      </c>
      <c r="W73" s="6">
        <v>3303</v>
      </c>
      <c r="X73" t="s">
        <v>8695</v>
      </c>
      <c r="Y73" t="s">
        <v>7146</v>
      </c>
      <c r="Z73" t="s">
        <v>7147</v>
      </c>
      <c r="AA73">
        <v>77084</v>
      </c>
      <c r="AF73" t="s">
        <v>7150</v>
      </c>
      <c r="AG73" t="s">
        <v>47</v>
      </c>
    </row>
    <row r="74" spans="1:33" x14ac:dyDescent="0.2">
      <c r="A74" s="27"/>
      <c r="B74" s="25">
        <v>44225</v>
      </c>
      <c r="C74">
        <v>2</v>
      </c>
      <c r="D74" s="11">
        <v>234298601010</v>
      </c>
      <c r="E74" s="10">
        <v>12521</v>
      </c>
      <c r="F74" t="s">
        <v>7163</v>
      </c>
      <c r="G74" t="s">
        <v>7144</v>
      </c>
      <c r="H74">
        <v>3</v>
      </c>
      <c r="I74" t="s">
        <v>44</v>
      </c>
      <c r="J74" t="s">
        <v>7145</v>
      </c>
      <c r="K74">
        <v>1000</v>
      </c>
      <c r="L74">
        <v>131420</v>
      </c>
      <c r="M74" t="s">
        <v>53</v>
      </c>
      <c r="N74" t="s">
        <v>46</v>
      </c>
      <c r="O74" s="10">
        <v>44228</v>
      </c>
      <c r="R74" t="s">
        <v>8188</v>
      </c>
      <c r="S74">
        <v>2984379</v>
      </c>
      <c r="T74" t="s">
        <v>50</v>
      </c>
      <c r="U74" t="s">
        <v>46</v>
      </c>
      <c r="V74" s="10">
        <v>37150</v>
      </c>
      <c r="W74" s="6">
        <v>3306</v>
      </c>
      <c r="X74" t="s">
        <v>8189</v>
      </c>
      <c r="Y74" t="s">
        <v>7146</v>
      </c>
      <c r="Z74" t="s">
        <v>7147</v>
      </c>
      <c r="AA74">
        <v>77026</v>
      </c>
      <c r="AF74" t="s">
        <v>8190</v>
      </c>
      <c r="AG74" t="s">
        <v>49</v>
      </c>
    </row>
    <row r="75" spans="1:33" x14ac:dyDescent="0.2">
      <c r="A75" s="27"/>
      <c r="B75" s="25">
        <v>44225</v>
      </c>
      <c r="C75">
        <v>2</v>
      </c>
      <c r="D75" s="11">
        <v>234304401010</v>
      </c>
      <c r="E75" s="10">
        <v>12621</v>
      </c>
      <c r="F75" t="s">
        <v>7163</v>
      </c>
      <c r="G75" t="s">
        <v>7144</v>
      </c>
      <c r="H75">
        <v>1</v>
      </c>
      <c r="I75" t="s">
        <v>44</v>
      </c>
      <c r="J75" t="s">
        <v>7145</v>
      </c>
      <c r="K75">
        <v>5000</v>
      </c>
      <c r="L75">
        <v>131420</v>
      </c>
      <c r="M75" t="s">
        <v>53</v>
      </c>
      <c r="N75" t="s">
        <v>46</v>
      </c>
      <c r="O75" s="10">
        <v>44229</v>
      </c>
      <c r="R75" t="s">
        <v>8197</v>
      </c>
      <c r="S75">
        <v>2993408</v>
      </c>
      <c r="T75" t="s">
        <v>7145</v>
      </c>
      <c r="U75" t="s">
        <v>45</v>
      </c>
      <c r="V75" s="10">
        <v>36847</v>
      </c>
      <c r="W75" s="6">
        <v>3333</v>
      </c>
      <c r="X75" t="s">
        <v>8198</v>
      </c>
      <c r="Y75" t="s">
        <v>7146</v>
      </c>
      <c r="Z75" t="s">
        <v>7147</v>
      </c>
      <c r="AA75">
        <v>77004</v>
      </c>
      <c r="AF75" t="s">
        <v>7147</v>
      </c>
      <c r="AG75" t="s">
        <v>49</v>
      </c>
    </row>
    <row r="76" spans="1:33" x14ac:dyDescent="0.2">
      <c r="A76" s="27"/>
      <c r="B76" s="25">
        <v>44225</v>
      </c>
      <c r="C76">
        <v>3</v>
      </c>
      <c r="D76" s="11">
        <v>170833201010</v>
      </c>
      <c r="E76" s="10">
        <v>12721</v>
      </c>
      <c r="F76" t="s">
        <v>7143</v>
      </c>
      <c r="G76" t="s">
        <v>7144</v>
      </c>
      <c r="H76">
        <v>262</v>
      </c>
      <c r="I76" t="s">
        <v>44</v>
      </c>
      <c r="J76" t="s">
        <v>7145</v>
      </c>
      <c r="K76">
        <v>1500</v>
      </c>
      <c r="L76">
        <v>230152</v>
      </c>
      <c r="M76" t="s">
        <v>189</v>
      </c>
      <c r="N76" t="s">
        <v>45</v>
      </c>
      <c r="O76" s="10">
        <v>44225</v>
      </c>
      <c r="R76" t="s">
        <v>8719</v>
      </c>
      <c r="S76">
        <v>3082935</v>
      </c>
      <c r="T76" t="s">
        <v>50</v>
      </c>
      <c r="U76" t="s">
        <v>46</v>
      </c>
      <c r="V76" s="10">
        <v>34375</v>
      </c>
      <c r="W76" s="6">
        <v>3520</v>
      </c>
      <c r="X76" t="s">
        <v>8720</v>
      </c>
      <c r="Y76" t="s">
        <v>7629</v>
      </c>
      <c r="Z76" t="s">
        <v>7147</v>
      </c>
      <c r="AA76">
        <v>77586</v>
      </c>
      <c r="AF76" t="s">
        <v>7147</v>
      </c>
      <c r="AG76" t="s">
        <v>49</v>
      </c>
    </row>
    <row r="77" spans="1:33" x14ac:dyDescent="0.2">
      <c r="A77" s="27"/>
      <c r="B77" s="25">
        <v>44225</v>
      </c>
      <c r="C77">
        <v>2</v>
      </c>
      <c r="D77" s="11">
        <v>234295701010</v>
      </c>
      <c r="E77" s="10">
        <v>12521</v>
      </c>
      <c r="F77" t="s">
        <v>7163</v>
      </c>
      <c r="G77" t="s">
        <v>7144</v>
      </c>
      <c r="H77">
        <v>14</v>
      </c>
      <c r="I77" t="s">
        <v>44</v>
      </c>
      <c r="J77" t="s">
        <v>7145</v>
      </c>
      <c r="K77">
        <v>500</v>
      </c>
      <c r="L77">
        <v>131420</v>
      </c>
      <c r="M77" t="s">
        <v>53</v>
      </c>
      <c r="N77" t="s">
        <v>46</v>
      </c>
      <c r="O77" s="10">
        <v>44228</v>
      </c>
      <c r="R77" t="s">
        <v>8204</v>
      </c>
      <c r="S77">
        <v>2267792</v>
      </c>
      <c r="T77" t="s">
        <v>50</v>
      </c>
      <c r="U77" t="s">
        <v>45</v>
      </c>
      <c r="V77" s="10">
        <v>32050</v>
      </c>
      <c r="W77" s="6">
        <v>3550</v>
      </c>
      <c r="X77" t="s">
        <v>8205</v>
      </c>
      <c r="Y77" t="s">
        <v>7146</v>
      </c>
      <c r="Z77" t="s">
        <v>7147</v>
      </c>
      <c r="AA77">
        <v>77002</v>
      </c>
      <c r="AF77" t="s">
        <v>7147</v>
      </c>
      <c r="AG77" t="s">
        <v>49</v>
      </c>
    </row>
    <row r="78" spans="1:33" x14ac:dyDescent="0.2">
      <c r="A78" s="27"/>
      <c r="B78" s="25">
        <v>44225</v>
      </c>
      <c r="C78">
        <v>3</v>
      </c>
      <c r="D78" s="11">
        <v>170855901010</v>
      </c>
      <c r="E78" s="10">
        <v>12821</v>
      </c>
      <c r="F78" t="s">
        <v>7143</v>
      </c>
      <c r="G78" t="s">
        <v>7144</v>
      </c>
      <c r="H78">
        <v>176</v>
      </c>
      <c r="I78" t="s">
        <v>44</v>
      </c>
      <c r="J78" t="s">
        <v>7145</v>
      </c>
      <c r="K78">
        <v>2500</v>
      </c>
      <c r="L78">
        <v>290152</v>
      </c>
      <c r="M78" t="s">
        <v>204</v>
      </c>
      <c r="N78" t="s">
        <v>45</v>
      </c>
      <c r="O78" s="10">
        <v>44228</v>
      </c>
      <c r="R78" t="s">
        <v>8967</v>
      </c>
      <c r="S78">
        <v>2997843</v>
      </c>
      <c r="T78" t="s">
        <v>7145</v>
      </c>
      <c r="U78" t="s">
        <v>45</v>
      </c>
      <c r="V78" s="10">
        <v>36028</v>
      </c>
      <c r="W78" s="6">
        <v>3610</v>
      </c>
      <c r="X78" t="s">
        <v>8968</v>
      </c>
      <c r="Y78" t="s">
        <v>7146</v>
      </c>
      <c r="Z78" t="s">
        <v>7147</v>
      </c>
      <c r="AA78">
        <v>77004</v>
      </c>
      <c r="AF78" t="s">
        <v>7147</v>
      </c>
      <c r="AG78" t="s">
        <v>49</v>
      </c>
    </row>
    <row r="79" spans="1:33" x14ac:dyDescent="0.2">
      <c r="A79" s="27"/>
      <c r="B79" s="1">
        <v>44225</v>
      </c>
      <c r="C79">
        <v>3</v>
      </c>
      <c r="D79" s="11">
        <v>170837201010</v>
      </c>
      <c r="E79" s="10">
        <v>12721</v>
      </c>
      <c r="F79" t="s">
        <v>7143</v>
      </c>
      <c r="G79" t="s">
        <v>7144</v>
      </c>
      <c r="H79">
        <v>230</v>
      </c>
      <c r="I79" t="s">
        <v>44</v>
      </c>
      <c r="J79" t="s">
        <v>7145</v>
      </c>
      <c r="K79">
        <v>30000</v>
      </c>
      <c r="L79">
        <v>119901</v>
      </c>
      <c r="M79" t="s">
        <v>8888</v>
      </c>
      <c r="N79" t="s">
        <v>45</v>
      </c>
      <c r="O79" s="10">
        <v>44225</v>
      </c>
      <c r="R79" t="s">
        <v>8889</v>
      </c>
      <c r="S79">
        <v>3082962</v>
      </c>
      <c r="T79" t="s">
        <v>50</v>
      </c>
      <c r="U79" t="s">
        <v>46</v>
      </c>
      <c r="V79" s="10">
        <v>36338</v>
      </c>
      <c r="W79" s="6">
        <v>3615</v>
      </c>
      <c r="X79" t="s">
        <v>8890</v>
      </c>
      <c r="Y79" t="s">
        <v>7146</v>
      </c>
      <c r="Z79" t="s">
        <v>7147</v>
      </c>
      <c r="AA79">
        <v>77023</v>
      </c>
      <c r="AF79" t="s">
        <v>7147</v>
      </c>
      <c r="AG79" t="s">
        <v>49</v>
      </c>
    </row>
    <row r="80" spans="1:33" x14ac:dyDescent="0.2">
      <c r="A80" s="27"/>
      <c r="B80" s="25">
        <v>44225</v>
      </c>
      <c r="C80">
        <v>3</v>
      </c>
      <c r="D80" s="11">
        <v>170795601010</v>
      </c>
      <c r="E80" s="10">
        <v>12421</v>
      </c>
      <c r="F80" t="s">
        <v>7143</v>
      </c>
      <c r="G80" t="s">
        <v>7144</v>
      </c>
      <c r="H80">
        <v>208</v>
      </c>
      <c r="I80" t="s">
        <v>44</v>
      </c>
      <c r="J80" t="s">
        <v>7145</v>
      </c>
      <c r="K80">
        <v>5000</v>
      </c>
      <c r="L80">
        <v>480402</v>
      </c>
      <c r="M80" t="s">
        <v>196</v>
      </c>
      <c r="N80" t="s">
        <v>45</v>
      </c>
      <c r="O80" s="10">
        <v>44237</v>
      </c>
      <c r="R80" t="s">
        <v>8311</v>
      </c>
      <c r="S80">
        <v>2547685</v>
      </c>
      <c r="T80" t="s">
        <v>50</v>
      </c>
      <c r="U80" t="s">
        <v>46</v>
      </c>
      <c r="V80" s="10">
        <v>34229</v>
      </c>
      <c r="W80" s="6">
        <v>3700</v>
      </c>
      <c r="X80" t="s">
        <v>8312</v>
      </c>
      <c r="Y80" t="s">
        <v>7186</v>
      </c>
      <c r="Z80" t="s">
        <v>7147</v>
      </c>
      <c r="AA80">
        <v>77339</v>
      </c>
      <c r="AF80" t="s">
        <v>7147</v>
      </c>
      <c r="AG80" t="s">
        <v>49</v>
      </c>
    </row>
    <row r="81" spans="1:33" x14ac:dyDescent="0.2">
      <c r="A81" s="27"/>
      <c r="B81" s="25">
        <v>44225</v>
      </c>
      <c r="C81">
        <v>2</v>
      </c>
      <c r="D81" s="11">
        <v>234276601010</v>
      </c>
      <c r="E81" s="10">
        <v>12421</v>
      </c>
      <c r="F81" t="s">
        <v>7163</v>
      </c>
      <c r="G81" t="s">
        <v>7144</v>
      </c>
      <c r="H81">
        <v>4</v>
      </c>
      <c r="I81" t="s">
        <v>44</v>
      </c>
      <c r="J81" t="s">
        <v>7145</v>
      </c>
      <c r="K81">
        <v>100</v>
      </c>
      <c r="L81">
        <v>290156</v>
      </c>
      <c r="M81" t="s">
        <v>67</v>
      </c>
      <c r="N81" t="s">
        <v>46</v>
      </c>
      <c r="O81" s="10">
        <v>44225</v>
      </c>
      <c r="R81" t="s">
        <v>7934</v>
      </c>
      <c r="S81">
        <v>3079033</v>
      </c>
      <c r="T81" t="s">
        <v>50</v>
      </c>
      <c r="U81" t="s">
        <v>46</v>
      </c>
      <c r="V81" s="10">
        <v>36844</v>
      </c>
      <c r="W81" s="6">
        <v>3737</v>
      </c>
      <c r="X81" t="s">
        <v>7935</v>
      </c>
      <c r="Y81" t="s">
        <v>7146</v>
      </c>
      <c r="Z81" t="s">
        <v>7147</v>
      </c>
      <c r="AA81">
        <v>77057</v>
      </c>
      <c r="AF81" t="s">
        <v>7173</v>
      </c>
      <c r="AG81" t="s">
        <v>7151</v>
      </c>
    </row>
    <row r="82" spans="1:33" x14ac:dyDescent="0.2">
      <c r="A82" s="27"/>
      <c r="B82" s="25">
        <v>44225</v>
      </c>
      <c r="C82">
        <v>3</v>
      </c>
      <c r="D82" s="11">
        <v>170804701010</v>
      </c>
      <c r="E82" s="10">
        <v>12521</v>
      </c>
      <c r="F82" t="s">
        <v>7143</v>
      </c>
      <c r="G82" t="s">
        <v>7144</v>
      </c>
      <c r="H82">
        <v>184</v>
      </c>
      <c r="I82" t="s">
        <v>44</v>
      </c>
      <c r="J82" t="s">
        <v>7145</v>
      </c>
      <c r="K82">
        <v>30000</v>
      </c>
      <c r="L82">
        <v>131421</v>
      </c>
      <c r="M82" t="s">
        <v>187</v>
      </c>
      <c r="N82" t="s">
        <v>45</v>
      </c>
      <c r="O82" s="10">
        <v>44314</v>
      </c>
      <c r="R82" t="s">
        <v>8220</v>
      </c>
      <c r="S82">
        <v>1363021</v>
      </c>
      <c r="T82" t="s">
        <v>7145</v>
      </c>
      <c r="U82" t="s">
        <v>46</v>
      </c>
      <c r="V82" s="10">
        <v>19957</v>
      </c>
      <c r="W82" s="6">
        <v>3803</v>
      </c>
      <c r="X82" t="s">
        <v>8221</v>
      </c>
      <c r="Y82" t="s">
        <v>7146</v>
      </c>
      <c r="Z82" t="s">
        <v>7147</v>
      </c>
      <c r="AA82">
        <v>77047</v>
      </c>
      <c r="AB82" t="s">
        <v>8222</v>
      </c>
      <c r="AC82">
        <v>2078587</v>
      </c>
      <c r="AD82" t="s">
        <v>7148</v>
      </c>
      <c r="AE82" t="s">
        <v>7149</v>
      </c>
      <c r="AF82" t="s">
        <v>7147</v>
      </c>
      <c r="AG82" t="s">
        <v>49</v>
      </c>
    </row>
    <row r="83" spans="1:33" x14ac:dyDescent="0.2">
      <c r="A83" s="27"/>
      <c r="B83" s="25">
        <v>44225</v>
      </c>
      <c r="C83">
        <v>2</v>
      </c>
      <c r="D83" s="11">
        <v>234304601010</v>
      </c>
      <c r="E83" s="10">
        <v>12621</v>
      </c>
      <c r="F83" t="s">
        <v>7163</v>
      </c>
      <c r="G83" t="s">
        <v>7144</v>
      </c>
      <c r="H83">
        <v>3</v>
      </c>
      <c r="I83" t="s">
        <v>44</v>
      </c>
      <c r="J83" t="s">
        <v>7145</v>
      </c>
      <c r="K83">
        <v>3000</v>
      </c>
      <c r="L83">
        <v>131420</v>
      </c>
      <c r="M83" t="s">
        <v>53</v>
      </c>
      <c r="N83" t="s">
        <v>46</v>
      </c>
      <c r="O83" s="10">
        <v>44229</v>
      </c>
      <c r="R83" t="s">
        <v>8199</v>
      </c>
      <c r="S83">
        <v>1347429</v>
      </c>
      <c r="T83" t="s">
        <v>7145</v>
      </c>
      <c r="U83" t="s">
        <v>46</v>
      </c>
      <c r="V83" s="10">
        <v>27808</v>
      </c>
      <c r="W83" s="6">
        <v>3808</v>
      </c>
      <c r="X83" t="s">
        <v>8200</v>
      </c>
      <c r="Y83" t="s">
        <v>7146</v>
      </c>
      <c r="Z83" t="s">
        <v>7147</v>
      </c>
      <c r="AA83">
        <v>77026</v>
      </c>
      <c r="AF83" t="s">
        <v>7147</v>
      </c>
      <c r="AG83" t="s">
        <v>49</v>
      </c>
    </row>
    <row r="84" spans="1:33" x14ac:dyDescent="0.2">
      <c r="A84" s="27"/>
      <c r="B84" s="25">
        <v>44225</v>
      </c>
      <c r="C84">
        <v>2</v>
      </c>
      <c r="D84" s="11">
        <v>234324501010</v>
      </c>
      <c r="E84" s="10">
        <v>12821</v>
      </c>
      <c r="F84" t="s">
        <v>7163</v>
      </c>
      <c r="G84" t="s">
        <v>7144</v>
      </c>
      <c r="H84">
        <v>7</v>
      </c>
      <c r="I84" t="s">
        <v>44</v>
      </c>
      <c r="J84" t="s">
        <v>7145</v>
      </c>
      <c r="K84">
        <v>100</v>
      </c>
      <c r="L84">
        <v>400411</v>
      </c>
      <c r="M84" t="s">
        <v>70</v>
      </c>
      <c r="N84" t="s">
        <v>46</v>
      </c>
      <c r="O84" s="10">
        <v>44231</v>
      </c>
      <c r="R84" t="s">
        <v>8980</v>
      </c>
      <c r="S84">
        <v>2858409</v>
      </c>
      <c r="T84" t="s">
        <v>50</v>
      </c>
      <c r="U84" t="s">
        <v>45</v>
      </c>
      <c r="V84" s="10">
        <v>34632</v>
      </c>
      <c r="W84" s="6">
        <v>3902</v>
      </c>
      <c r="X84" t="s">
        <v>8981</v>
      </c>
      <c r="Y84" t="s">
        <v>7158</v>
      </c>
      <c r="Z84" t="s">
        <v>7147</v>
      </c>
      <c r="AA84">
        <v>77449</v>
      </c>
      <c r="AF84" t="s">
        <v>7147</v>
      </c>
      <c r="AG84" t="s">
        <v>49</v>
      </c>
    </row>
    <row r="85" spans="1:33" x14ac:dyDescent="0.2">
      <c r="A85" s="27"/>
      <c r="B85" s="25">
        <v>44225</v>
      </c>
      <c r="C85">
        <v>2</v>
      </c>
      <c r="D85" s="11">
        <v>234290101010</v>
      </c>
      <c r="E85" s="10">
        <v>12521</v>
      </c>
      <c r="F85" t="s">
        <v>7163</v>
      </c>
      <c r="G85" t="s">
        <v>7144</v>
      </c>
      <c r="H85">
        <v>2</v>
      </c>
      <c r="I85" t="s">
        <v>44</v>
      </c>
      <c r="J85" t="s">
        <v>7145</v>
      </c>
      <c r="K85">
        <v>2000</v>
      </c>
      <c r="L85">
        <v>131420</v>
      </c>
      <c r="M85" t="s">
        <v>53</v>
      </c>
      <c r="N85" t="s">
        <v>46</v>
      </c>
      <c r="O85" s="10">
        <v>44249</v>
      </c>
      <c r="R85" t="s">
        <v>8210</v>
      </c>
      <c r="S85">
        <v>3082716</v>
      </c>
      <c r="T85" t="s">
        <v>50</v>
      </c>
      <c r="U85" t="s">
        <v>46</v>
      </c>
      <c r="V85" s="10">
        <v>37354</v>
      </c>
      <c r="W85" s="6">
        <v>3950</v>
      </c>
      <c r="X85" t="s">
        <v>8211</v>
      </c>
      <c r="Y85" t="s">
        <v>7146</v>
      </c>
      <c r="Z85" t="s">
        <v>7147</v>
      </c>
      <c r="AA85">
        <v>77080</v>
      </c>
      <c r="AB85" t="s">
        <v>8705</v>
      </c>
      <c r="AC85">
        <v>2357660</v>
      </c>
      <c r="AD85" t="s">
        <v>7148</v>
      </c>
      <c r="AE85" t="s">
        <v>7149</v>
      </c>
      <c r="AF85" t="s">
        <v>7173</v>
      </c>
      <c r="AG85" t="s">
        <v>7151</v>
      </c>
    </row>
    <row r="86" spans="1:33" x14ac:dyDescent="0.2">
      <c r="A86" s="27"/>
      <c r="B86" s="25">
        <v>44225</v>
      </c>
      <c r="C86">
        <v>3</v>
      </c>
      <c r="D86" s="11">
        <v>170819301010</v>
      </c>
      <c r="E86" s="10">
        <v>12621</v>
      </c>
      <c r="F86" t="s">
        <v>7143</v>
      </c>
      <c r="G86" t="s">
        <v>7144</v>
      </c>
      <c r="H86">
        <v>179</v>
      </c>
      <c r="I86" t="s">
        <v>44</v>
      </c>
      <c r="J86" t="s">
        <v>7145</v>
      </c>
      <c r="K86">
        <v>7500</v>
      </c>
      <c r="L86">
        <v>230166</v>
      </c>
      <c r="M86" t="s">
        <v>221</v>
      </c>
      <c r="N86" t="s">
        <v>45</v>
      </c>
      <c r="O86" s="10">
        <v>44295</v>
      </c>
      <c r="R86" t="s">
        <v>8950</v>
      </c>
      <c r="S86">
        <v>1614409</v>
      </c>
      <c r="T86" t="s">
        <v>7145</v>
      </c>
      <c r="U86" t="s">
        <v>46</v>
      </c>
      <c r="V86" s="10">
        <v>26624</v>
      </c>
      <c r="W86" s="6">
        <v>4007</v>
      </c>
      <c r="X86" t="s">
        <v>8951</v>
      </c>
      <c r="Y86" t="s">
        <v>7167</v>
      </c>
      <c r="Z86" t="s">
        <v>7147</v>
      </c>
      <c r="AA86">
        <v>77346</v>
      </c>
      <c r="AB86" t="s">
        <v>8952</v>
      </c>
      <c r="AC86">
        <v>55656775</v>
      </c>
      <c r="AD86" t="s">
        <v>7148</v>
      </c>
      <c r="AE86" t="s">
        <v>7149</v>
      </c>
      <c r="AF86" t="s">
        <v>7147</v>
      </c>
      <c r="AG86" t="s">
        <v>49</v>
      </c>
    </row>
    <row r="87" spans="1:33" x14ac:dyDescent="0.2">
      <c r="A87" s="27"/>
      <c r="B87" s="25">
        <v>44225</v>
      </c>
      <c r="C87">
        <v>3</v>
      </c>
      <c r="D87" s="11">
        <v>170850101010</v>
      </c>
      <c r="E87" s="10">
        <v>12821</v>
      </c>
      <c r="F87" t="s">
        <v>7143</v>
      </c>
      <c r="G87" t="s">
        <v>7144</v>
      </c>
      <c r="H87">
        <v>230</v>
      </c>
      <c r="I87" t="s">
        <v>44</v>
      </c>
      <c r="J87" t="s">
        <v>7145</v>
      </c>
      <c r="K87">
        <v>500</v>
      </c>
      <c r="L87">
        <v>480127</v>
      </c>
      <c r="M87" t="s">
        <v>185</v>
      </c>
      <c r="N87" t="s">
        <v>45</v>
      </c>
      <c r="O87" s="10">
        <v>44225</v>
      </c>
      <c r="R87" t="s">
        <v>8993</v>
      </c>
      <c r="S87">
        <v>3071459</v>
      </c>
      <c r="T87" t="s">
        <v>7145</v>
      </c>
      <c r="U87" t="s">
        <v>46</v>
      </c>
      <c r="V87" s="10">
        <v>35110</v>
      </c>
      <c r="W87" s="6">
        <v>4100</v>
      </c>
      <c r="X87" t="s">
        <v>8992</v>
      </c>
      <c r="Y87" t="s">
        <v>7146</v>
      </c>
      <c r="Z87" t="s">
        <v>7147</v>
      </c>
      <c r="AA87">
        <v>77090</v>
      </c>
      <c r="AF87" t="s">
        <v>8994</v>
      </c>
      <c r="AG87" t="s">
        <v>49</v>
      </c>
    </row>
    <row r="88" spans="1:33" x14ac:dyDescent="0.2">
      <c r="A88" s="27"/>
      <c r="B88" s="25">
        <v>44225</v>
      </c>
      <c r="C88">
        <v>2</v>
      </c>
      <c r="D88" s="11">
        <v>234285301010</v>
      </c>
      <c r="E88" s="10">
        <v>12421</v>
      </c>
      <c r="F88" t="s">
        <v>7163</v>
      </c>
      <c r="G88" t="s">
        <v>7144</v>
      </c>
      <c r="H88">
        <v>4</v>
      </c>
      <c r="I88" t="s">
        <v>44</v>
      </c>
      <c r="J88" t="s">
        <v>7145</v>
      </c>
      <c r="K88">
        <v>500</v>
      </c>
      <c r="L88">
        <v>131302</v>
      </c>
      <c r="M88" t="s">
        <v>51</v>
      </c>
      <c r="N88" t="s">
        <v>46</v>
      </c>
      <c r="O88" s="10">
        <v>44225</v>
      </c>
      <c r="R88" t="s">
        <v>8155</v>
      </c>
      <c r="S88">
        <v>2518827</v>
      </c>
      <c r="T88" t="s">
        <v>7145</v>
      </c>
      <c r="U88" t="s">
        <v>45</v>
      </c>
      <c r="V88" s="10">
        <v>32346</v>
      </c>
      <c r="W88" s="6">
        <v>4107</v>
      </c>
      <c r="X88" t="s">
        <v>8156</v>
      </c>
      <c r="Y88" t="s">
        <v>7146</v>
      </c>
      <c r="Z88" t="s">
        <v>7147</v>
      </c>
      <c r="AA88">
        <v>77051</v>
      </c>
      <c r="AF88" t="s">
        <v>7150</v>
      </c>
      <c r="AG88" t="s">
        <v>47</v>
      </c>
    </row>
    <row r="89" spans="1:33" x14ac:dyDescent="0.2">
      <c r="A89" s="27"/>
      <c r="B89" s="25">
        <v>44225</v>
      </c>
      <c r="C89">
        <v>2</v>
      </c>
      <c r="D89" s="11">
        <v>234282001010</v>
      </c>
      <c r="E89" s="10">
        <v>12421</v>
      </c>
      <c r="F89" t="s">
        <v>7163</v>
      </c>
      <c r="G89" t="s">
        <v>7144</v>
      </c>
      <c r="H89">
        <v>15</v>
      </c>
      <c r="I89" t="s">
        <v>44</v>
      </c>
      <c r="J89" t="s">
        <v>7145</v>
      </c>
      <c r="K89">
        <v>3000</v>
      </c>
      <c r="L89">
        <v>131420</v>
      </c>
      <c r="M89" t="s">
        <v>53</v>
      </c>
      <c r="N89" t="s">
        <v>46</v>
      </c>
      <c r="O89" s="10">
        <v>44225</v>
      </c>
      <c r="R89" t="s">
        <v>7900</v>
      </c>
      <c r="S89">
        <v>2217581</v>
      </c>
      <c r="T89" t="s">
        <v>50</v>
      </c>
      <c r="U89" t="s">
        <v>46</v>
      </c>
      <c r="V89" s="10">
        <v>29760</v>
      </c>
      <c r="W89" s="6">
        <v>4114</v>
      </c>
      <c r="X89" t="s">
        <v>7901</v>
      </c>
      <c r="Y89" t="s">
        <v>7146</v>
      </c>
      <c r="Z89" t="s">
        <v>7147</v>
      </c>
      <c r="AA89">
        <v>77087</v>
      </c>
      <c r="AF89" t="s">
        <v>7147</v>
      </c>
      <c r="AG89" t="s">
        <v>49</v>
      </c>
    </row>
    <row r="90" spans="1:33" x14ac:dyDescent="0.2">
      <c r="A90" s="27"/>
      <c r="B90" s="25">
        <v>44225</v>
      </c>
      <c r="C90">
        <v>3</v>
      </c>
      <c r="D90" s="11">
        <v>170843101010</v>
      </c>
      <c r="E90" s="10">
        <v>12721</v>
      </c>
      <c r="F90" t="s">
        <v>7143</v>
      </c>
      <c r="G90" t="s">
        <v>7144</v>
      </c>
      <c r="H90">
        <v>230</v>
      </c>
      <c r="I90" t="s">
        <v>44</v>
      </c>
      <c r="J90" t="s">
        <v>7145</v>
      </c>
      <c r="K90">
        <v>2500</v>
      </c>
      <c r="L90">
        <v>260445</v>
      </c>
      <c r="M90" t="s">
        <v>217</v>
      </c>
      <c r="N90" t="s">
        <v>45</v>
      </c>
      <c r="O90" s="10">
        <v>44225</v>
      </c>
      <c r="R90" t="s">
        <v>8731</v>
      </c>
      <c r="S90">
        <v>3083048</v>
      </c>
      <c r="T90" t="s">
        <v>7145</v>
      </c>
      <c r="U90" t="s">
        <v>45</v>
      </c>
      <c r="V90" s="10">
        <v>36935</v>
      </c>
      <c r="W90" s="6">
        <v>4115</v>
      </c>
      <c r="X90" t="s">
        <v>8732</v>
      </c>
      <c r="Y90" t="s">
        <v>7170</v>
      </c>
      <c r="Z90" t="s">
        <v>7147</v>
      </c>
      <c r="AA90">
        <v>77388</v>
      </c>
      <c r="AF90" t="s">
        <v>7150</v>
      </c>
      <c r="AG90" t="s">
        <v>47</v>
      </c>
    </row>
    <row r="91" spans="1:33" x14ac:dyDescent="0.2">
      <c r="A91" s="27"/>
      <c r="B91" s="25">
        <v>44225</v>
      </c>
      <c r="C91">
        <v>3</v>
      </c>
      <c r="D91" s="11">
        <v>170852801010</v>
      </c>
      <c r="E91" s="10">
        <v>12821</v>
      </c>
      <c r="F91" t="s">
        <v>7143</v>
      </c>
      <c r="G91" t="s">
        <v>7144</v>
      </c>
      <c r="H91">
        <v>232</v>
      </c>
      <c r="I91" t="s">
        <v>44</v>
      </c>
      <c r="J91" t="s">
        <v>7145</v>
      </c>
      <c r="K91">
        <v>7500</v>
      </c>
      <c r="L91">
        <v>131408</v>
      </c>
      <c r="M91" t="s">
        <v>200</v>
      </c>
      <c r="N91" t="s">
        <v>45</v>
      </c>
      <c r="O91" s="10">
        <v>44225</v>
      </c>
      <c r="R91" t="s">
        <v>8905</v>
      </c>
      <c r="S91">
        <v>2794838</v>
      </c>
      <c r="T91" t="s">
        <v>7145</v>
      </c>
      <c r="U91" t="s">
        <v>46</v>
      </c>
      <c r="V91" s="10">
        <v>30811</v>
      </c>
      <c r="W91" s="6">
        <v>4203</v>
      </c>
      <c r="X91" t="s">
        <v>8906</v>
      </c>
      <c r="Y91" t="s">
        <v>7146</v>
      </c>
      <c r="Z91" t="s">
        <v>7147</v>
      </c>
      <c r="AA91">
        <v>77051</v>
      </c>
      <c r="AF91" t="s">
        <v>7150</v>
      </c>
      <c r="AG91" t="s">
        <v>47</v>
      </c>
    </row>
    <row r="92" spans="1:33" x14ac:dyDescent="0.2">
      <c r="A92" s="27"/>
      <c r="B92" s="25">
        <v>44225</v>
      </c>
      <c r="C92">
        <v>2</v>
      </c>
      <c r="D92" s="11">
        <v>234284701010</v>
      </c>
      <c r="E92" s="10">
        <v>12421</v>
      </c>
      <c r="F92" t="s">
        <v>7163</v>
      </c>
      <c r="G92" t="s">
        <v>7144</v>
      </c>
      <c r="H92">
        <v>14</v>
      </c>
      <c r="I92" t="s">
        <v>44</v>
      </c>
      <c r="J92" t="s">
        <v>7145</v>
      </c>
      <c r="K92">
        <v>100</v>
      </c>
      <c r="L92">
        <v>210091</v>
      </c>
      <c r="M92" t="s">
        <v>56</v>
      </c>
      <c r="N92" t="s">
        <v>46</v>
      </c>
      <c r="O92" s="10">
        <v>44225</v>
      </c>
      <c r="R92" t="s">
        <v>7918</v>
      </c>
      <c r="S92">
        <v>1864931</v>
      </c>
      <c r="T92" t="s">
        <v>7145</v>
      </c>
      <c r="U92" t="s">
        <v>45</v>
      </c>
      <c r="V92" s="10">
        <v>30087</v>
      </c>
      <c r="W92" s="6">
        <v>4415</v>
      </c>
      <c r="X92" t="s">
        <v>7919</v>
      </c>
      <c r="Y92" t="s">
        <v>7146</v>
      </c>
      <c r="Z92" t="s">
        <v>7147</v>
      </c>
      <c r="AA92">
        <v>77021</v>
      </c>
      <c r="AF92" t="s">
        <v>7147</v>
      </c>
      <c r="AG92" t="s">
        <v>49</v>
      </c>
    </row>
    <row r="93" spans="1:33" x14ac:dyDescent="0.2">
      <c r="A93" s="27"/>
      <c r="B93" s="25">
        <v>44225</v>
      </c>
      <c r="C93">
        <v>3</v>
      </c>
      <c r="D93" s="11">
        <v>170815401010</v>
      </c>
      <c r="E93" s="10">
        <v>12521</v>
      </c>
      <c r="F93" t="s">
        <v>7143</v>
      </c>
      <c r="G93" t="s">
        <v>7144</v>
      </c>
      <c r="H93">
        <v>176</v>
      </c>
      <c r="I93" t="s">
        <v>44</v>
      </c>
      <c r="J93" t="s">
        <v>7145</v>
      </c>
      <c r="K93">
        <v>2500</v>
      </c>
      <c r="L93">
        <v>356218</v>
      </c>
      <c r="M93" t="s">
        <v>233</v>
      </c>
      <c r="N93" t="s">
        <v>45</v>
      </c>
      <c r="O93" s="10">
        <v>44314</v>
      </c>
      <c r="R93" t="s">
        <v>8281</v>
      </c>
      <c r="S93">
        <v>2698736</v>
      </c>
      <c r="T93" t="s">
        <v>7145</v>
      </c>
      <c r="U93" t="s">
        <v>46</v>
      </c>
      <c r="V93" s="10">
        <v>34862</v>
      </c>
      <c r="W93" s="6">
        <v>4522</v>
      </c>
      <c r="X93" t="s">
        <v>8282</v>
      </c>
      <c r="Y93" t="s">
        <v>7146</v>
      </c>
      <c r="Z93" t="s">
        <v>7147</v>
      </c>
      <c r="AA93">
        <v>77014</v>
      </c>
      <c r="AB93" t="s">
        <v>8971</v>
      </c>
      <c r="AC93">
        <v>54286800</v>
      </c>
      <c r="AD93" t="s">
        <v>7148</v>
      </c>
      <c r="AE93" t="s">
        <v>7149</v>
      </c>
      <c r="AF93" t="s">
        <v>7147</v>
      </c>
      <c r="AG93" t="s">
        <v>49</v>
      </c>
    </row>
    <row r="94" spans="1:33" x14ac:dyDescent="0.2">
      <c r="A94" s="27"/>
      <c r="B94" s="25">
        <v>44225</v>
      </c>
      <c r="C94">
        <v>2</v>
      </c>
      <c r="D94" s="11">
        <v>234278301010</v>
      </c>
      <c r="E94" s="10">
        <v>12421</v>
      </c>
      <c r="F94" t="s">
        <v>7163</v>
      </c>
      <c r="G94" t="s">
        <v>7144</v>
      </c>
      <c r="H94">
        <v>15</v>
      </c>
      <c r="I94" t="s">
        <v>44</v>
      </c>
      <c r="J94" t="s">
        <v>7145</v>
      </c>
      <c r="K94">
        <v>100</v>
      </c>
      <c r="L94">
        <v>480105</v>
      </c>
      <c r="M94" t="s">
        <v>72</v>
      </c>
      <c r="N94" t="s">
        <v>46</v>
      </c>
      <c r="O94" s="10">
        <v>44225</v>
      </c>
      <c r="R94" t="s">
        <v>7943</v>
      </c>
      <c r="S94">
        <v>3082666</v>
      </c>
      <c r="T94" t="s">
        <v>7145</v>
      </c>
      <c r="U94" t="s">
        <v>46</v>
      </c>
      <c r="V94" s="10">
        <v>35748</v>
      </c>
      <c r="W94" s="6">
        <v>4530</v>
      </c>
      <c r="X94" t="s">
        <v>7944</v>
      </c>
      <c r="Y94" t="s">
        <v>7945</v>
      </c>
      <c r="Z94" t="s">
        <v>7147</v>
      </c>
      <c r="AA94">
        <v>77545</v>
      </c>
      <c r="AF94" t="s">
        <v>7147</v>
      </c>
      <c r="AG94" t="s">
        <v>49</v>
      </c>
    </row>
    <row r="95" spans="1:33" x14ac:dyDescent="0.2">
      <c r="A95" s="27"/>
      <c r="B95" s="25">
        <v>44225</v>
      </c>
      <c r="C95">
        <v>3</v>
      </c>
      <c r="D95" s="11">
        <v>170807201010</v>
      </c>
      <c r="E95" s="10">
        <v>12521</v>
      </c>
      <c r="F95" t="s">
        <v>7143</v>
      </c>
      <c r="G95" t="s">
        <v>7144</v>
      </c>
      <c r="H95">
        <v>184</v>
      </c>
      <c r="I95" t="s">
        <v>44</v>
      </c>
      <c r="J95" t="s">
        <v>7145</v>
      </c>
      <c r="K95">
        <v>2500</v>
      </c>
      <c r="L95">
        <v>241111</v>
      </c>
      <c r="M95" t="s">
        <v>209</v>
      </c>
      <c r="N95" t="s">
        <v>45</v>
      </c>
      <c r="O95" s="10">
        <v>44315</v>
      </c>
      <c r="R95" t="s">
        <v>8263</v>
      </c>
      <c r="S95">
        <v>3082742</v>
      </c>
      <c r="T95" t="s">
        <v>7145</v>
      </c>
      <c r="U95" t="s">
        <v>45</v>
      </c>
      <c r="V95" s="10">
        <v>37518</v>
      </c>
      <c r="W95" s="6">
        <v>4605</v>
      </c>
      <c r="X95" t="s">
        <v>8264</v>
      </c>
      <c r="Y95" t="s">
        <v>7146</v>
      </c>
      <c r="Z95" t="s">
        <v>7147</v>
      </c>
      <c r="AA95">
        <v>77051</v>
      </c>
      <c r="AB95" t="s">
        <v>8254</v>
      </c>
      <c r="AC95">
        <v>2651565</v>
      </c>
      <c r="AD95" t="s">
        <v>7148</v>
      </c>
      <c r="AE95" t="s">
        <v>7149</v>
      </c>
      <c r="AF95" t="s">
        <v>7154</v>
      </c>
      <c r="AG95" t="s">
        <v>49</v>
      </c>
    </row>
    <row r="96" spans="1:33" x14ac:dyDescent="0.2">
      <c r="A96" s="27"/>
      <c r="B96" s="1">
        <v>44225</v>
      </c>
      <c r="C96">
        <v>2</v>
      </c>
      <c r="D96" s="11">
        <v>234291801010</v>
      </c>
      <c r="E96" s="10">
        <v>12521</v>
      </c>
      <c r="F96" t="s">
        <v>7163</v>
      </c>
      <c r="G96" t="s">
        <v>7144</v>
      </c>
      <c r="H96">
        <v>2</v>
      </c>
      <c r="I96" t="s">
        <v>44</v>
      </c>
      <c r="J96" t="s">
        <v>7145</v>
      </c>
      <c r="K96">
        <v>100</v>
      </c>
      <c r="L96">
        <v>489902</v>
      </c>
      <c r="M96" t="s">
        <v>76</v>
      </c>
      <c r="N96" t="s">
        <v>46</v>
      </c>
      <c r="O96" s="10">
        <v>44228</v>
      </c>
      <c r="R96" t="s">
        <v>8314</v>
      </c>
      <c r="S96">
        <v>3082728</v>
      </c>
      <c r="T96" t="s">
        <v>50</v>
      </c>
      <c r="U96" t="s">
        <v>45</v>
      </c>
      <c r="V96" s="10">
        <v>37385</v>
      </c>
      <c r="W96" s="6">
        <v>4614</v>
      </c>
      <c r="X96" t="s">
        <v>8315</v>
      </c>
      <c r="Y96" t="s">
        <v>7146</v>
      </c>
      <c r="Z96" t="s">
        <v>7147</v>
      </c>
      <c r="AA96">
        <v>77083</v>
      </c>
      <c r="AF96" t="s">
        <v>7147</v>
      </c>
      <c r="AG96" t="s">
        <v>49</v>
      </c>
    </row>
    <row r="97" spans="1:33" x14ac:dyDescent="0.2">
      <c r="A97" s="27"/>
      <c r="B97" s="25">
        <v>44225</v>
      </c>
      <c r="C97">
        <v>2</v>
      </c>
      <c r="D97" s="11">
        <v>234333401010</v>
      </c>
      <c r="E97" s="10">
        <v>12821</v>
      </c>
      <c r="F97" t="s">
        <v>7163</v>
      </c>
      <c r="G97" t="s">
        <v>7144</v>
      </c>
      <c r="H97">
        <v>8</v>
      </c>
      <c r="I97" t="s">
        <v>44</v>
      </c>
      <c r="J97" t="s">
        <v>7145</v>
      </c>
      <c r="K97">
        <v>100</v>
      </c>
      <c r="L97">
        <v>480101</v>
      </c>
      <c r="M97" t="s">
        <v>71</v>
      </c>
      <c r="N97" t="s">
        <v>46</v>
      </c>
      <c r="O97" s="10">
        <v>44231</v>
      </c>
      <c r="R97" t="s">
        <v>8986</v>
      </c>
      <c r="S97">
        <v>2927293</v>
      </c>
      <c r="T97" t="s">
        <v>7145</v>
      </c>
      <c r="U97" t="s">
        <v>46</v>
      </c>
      <c r="V97" s="10">
        <v>35901</v>
      </c>
      <c r="W97" s="6">
        <v>4679</v>
      </c>
      <c r="X97" t="s">
        <v>8987</v>
      </c>
      <c r="Y97" t="s">
        <v>7146</v>
      </c>
      <c r="Z97" t="s">
        <v>7147</v>
      </c>
      <c r="AA97">
        <v>77016</v>
      </c>
      <c r="AF97" t="s">
        <v>7147</v>
      </c>
      <c r="AG97" t="s">
        <v>49</v>
      </c>
    </row>
    <row r="98" spans="1:33" x14ac:dyDescent="0.2">
      <c r="A98" s="27"/>
      <c r="B98" s="1">
        <v>44225</v>
      </c>
      <c r="C98">
        <v>2</v>
      </c>
      <c r="D98" s="11">
        <v>234301901010</v>
      </c>
      <c r="E98" s="10">
        <v>12621</v>
      </c>
      <c r="F98" t="s">
        <v>7163</v>
      </c>
      <c r="G98" t="s">
        <v>7144</v>
      </c>
      <c r="H98">
        <v>2</v>
      </c>
      <c r="I98" t="s">
        <v>44</v>
      </c>
      <c r="J98" t="s">
        <v>7145</v>
      </c>
      <c r="K98">
        <v>5000</v>
      </c>
      <c r="L98">
        <v>131420</v>
      </c>
      <c r="M98" t="s">
        <v>53</v>
      </c>
      <c r="N98" t="s">
        <v>46</v>
      </c>
      <c r="O98" s="10">
        <v>44229</v>
      </c>
      <c r="R98" t="s">
        <v>8193</v>
      </c>
      <c r="S98">
        <v>2987504</v>
      </c>
      <c r="T98" t="s">
        <v>7145</v>
      </c>
      <c r="U98" t="s">
        <v>46</v>
      </c>
      <c r="V98" s="10">
        <v>33054</v>
      </c>
      <c r="W98" s="6">
        <v>4715</v>
      </c>
      <c r="X98" t="s">
        <v>8194</v>
      </c>
      <c r="Y98" t="s">
        <v>7155</v>
      </c>
      <c r="Z98" t="s">
        <v>7147</v>
      </c>
      <c r="AA98">
        <v>77459</v>
      </c>
      <c r="AF98" t="s">
        <v>7147</v>
      </c>
      <c r="AG98" t="s">
        <v>49</v>
      </c>
    </row>
    <row r="99" spans="1:33" x14ac:dyDescent="0.2">
      <c r="A99" s="27"/>
      <c r="B99" s="25">
        <v>44225</v>
      </c>
      <c r="C99">
        <v>3</v>
      </c>
      <c r="D99" s="11">
        <v>170828501010</v>
      </c>
      <c r="E99" s="10">
        <v>12621</v>
      </c>
      <c r="F99" t="s">
        <v>7143</v>
      </c>
      <c r="G99" t="s">
        <v>7144</v>
      </c>
      <c r="H99">
        <v>248</v>
      </c>
      <c r="I99" t="s">
        <v>44</v>
      </c>
      <c r="J99" t="s">
        <v>7145</v>
      </c>
      <c r="K99">
        <v>1500</v>
      </c>
      <c r="L99">
        <v>230152</v>
      </c>
      <c r="M99" t="s">
        <v>189</v>
      </c>
      <c r="N99" t="s">
        <v>45</v>
      </c>
      <c r="O99" s="10">
        <v>44308</v>
      </c>
      <c r="R99" t="s">
        <v>8721</v>
      </c>
      <c r="S99">
        <v>1449541</v>
      </c>
      <c r="T99" t="s">
        <v>7145</v>
      </c>
      <c r="U99" t="s">
        <v>46</v>
      </c>
      <c r="V99" s="10">
        <v>27932</v>
      </c>
      <c r="W99" s="6">
        <v>4735</v>
      </c>
      <c r="X99" t="s">
        <v>8722</v>
      </c>
      <c r="Y99" t="s">
        <v>7167</v>
      </c>
      <c r="Z99" t="s">
        <v>7147</v>
      </c>
      <c r="AA99">
        <v>77396</v>
      </c>
      <c r="AF99" t="s">
        <v>7633</v>
      </c>
      <c r="AG99" t="s">
        <v>49</v>
      </c>
    </row>
    <row r="100" spans="1:33" x14ac:dyDescent="0.2">
      <c r="A100" s="27"/>
      <c r="B100" s="25">
        <v>44225</v>
      </c>
      <c r="C100">
        <v>2</v>
      </c>
      <c r="D100" s="11">
        <v>234285501010</v>
      </c>
      <c r="E100" s="10">
        <v>12421</v>
      </c>
      <c r="F100" t="s">
        <v>7163</v>
      </c>
      <c r="G100" t="s">
        <v>7144</v>
      </c>
      <c r="H100">
        <v>16</v>
      </c>
      <c r="I100" t="s">
        <v>44</v>
      </c>
      <c r="J100" t="s">
        <v>7145</v>
      </c>
      <c r="K100">
        <v>2500</v>
      </c>
      <c r="L100">
        <v>131420</v>
      </c>
      <c r="M100" t="s">
        <v>53</v>
      </c>
      <c r="N100" t="s">
        <v>46</v>
      </c>
      <c r="O100" s="10">
        <v>44225</v>
      </c>
      <c r="R100" t="s">
        <v>8212</v>
      </c>
      <c r="S100">
        <v>2636202</v>
      </c>
      <c r="T100" t="s">
        <v>50</v>
      </c>
      <c r="U100" t="s">
        <v>46</v>
      </c>
      <c r="V100" s="10">
        <v>28801</v>
      </c>
      <c r="W100" s="6">
        <v>4810</v>
      </c>
      <c r="X100" t="s">
        <v>8213</v>
      </c>
      <c r="Y100" t="s">
        <v>7170</v>
      </c>
      <c r="Z100" t="s">
        <v>7147</v>
      </c>
      <c r="AA100">
        <v>77388</v>
      </c>
      <c r="AF100" t="s">
        <v>7150</v>
      </c>
      <c r="AG100" t="s">
        <v>47</v>
      </c>
    </row>
    <row r="101" spans="1:33" x14ac:dyDescent="0.2">
      <c r="A101" s="27"/>
      <c r="B101" s="25">
        <v>44225</v>
      </c>
      <c r="C101">
        <v>3</v>
      </c>
      <c r="D101" s="11">
        <v>170792701010</v>
      </c>
      <c r="E101" s="10">
        <v>12421</v>
      </c>
      <c r="F101" t="s">
        <v>7143</v>
      </c>
      <c r="G101" t="s">
        <v>7144</v>
      </c>
      <c r="H101">
        <v>338</v>
      </c>
      <c r="I101" t="s">
        <v>44</v>
      </c>
      <c r="J101" t="s">
        <v>7145</v>
      </c>
      <c r="K101">
        <v>10000</v>
      </c>
      <c r="L101">
        <v>130119</v>
      </c>
      <c r="M101" t="s">
        <v>193</v>
      </c>
      <c r="N101" t="s">
        <v>45</v>
      </c>
      <c r="O101" s="10">
        <v>44306</v>
      </c>
      <c r="R101" t="s">
        <v>7892</v>
      </c>
      <c r="S101">
        <v>1087846</v>
      </c>
      <c r="T101" t="s">
        <v>7145</v>
      </c>
      <c r="U101" t="s">
        <v>46</v>
      </c>
      <c r="V101" s="10">
        <v>20818</v>
      </c>
      <c r="W101" s="6">
        <v>4821</v>
      </c>
      <c r="X101" t="s">
        <v>7893</v>
      </c>
      <c r="Y101" t="s">
        <v>7146</v>
      </c>
      <c r="Z101" t="s">
        <v>7147</v>
      </c>
      <c r="AA101">
        <v>77033</v>
      </c>
      <c r="AB101" t="s">
        <v>8150</v>
      </c>
      <c r="AC101">
        <v>53101400</v>
      </c>
      <c r="AD101" t="s">
        <v>7148</v>
      </c>
      <c r="AE101" t="s">
        <v>7149</v>
      </c>
      <c r="AF101" t="s">
        <v>7147</v>
      </c>
      <c r="AG101" t="s">
        <v>49</v>
      </c>
    </row>
    <row r="102" spans="1:33" x14ac:dyDescent="0.2">
      <c r="A102" s="27"/>
      <c r="B102" s="25">
        <v>44225</v>
      </c>
      <c r="C102">
        <v>2</v>
      </c>
      <c r="D102" s="11">
        <v>234308001010</v>
      </c>
      <c r="E102" s="10">
        <v>12621</v>
      </c>
      <c r="F102" t="s">
        <v>7163</v>
      </c>
      <c r="G102" t="s">
        <v>7144</v>
      </c>
      <c r="H102">
        <v>12</v>
      </c>
      <c r="I102" t="s">
        <v>44</v>
      </c>
      <c r="J102" t="s">
        <v>7145</v>
      </c>
      <c r="K102">
        <v>1000</v>
      </c>
      <c r="L102">
        <v>480101</v>
      </c>
      <c r="M102" t="s">
        <v>71</v>
      </c>
      <c r="N102" t="s">
        <v>46</v>
      </c>
      <c r="O102" s="10">
        <v>44229</v>
      </c>
      <c r="R102" t="s">
        <v>8745</v>
      </c>
      <c r="S102">
        <v>2984612</v>
      </c>
      <c r="T102" t="s">
        <v>7145</v>
      </c>
      <c r="U102" t="s">
        <v>46</v>
      </c>
      <c r="V102" s="10">
        <v>35899</v>
      </c>
      <c r="W102" s="6">
        <v>5002</v>
      </c>
      <c r="X102" t="s">
        <v>8746</v>
      </c>
      <c r="Y102" t="s">
        <v>7146</v>
      </c>
      <c r="Z102" t="s">
        <v>7147</v>
      </c>
      <c r="AA102">
        <v>77048</v>
      </c>
      <c r="AF102" t="s">
        <v>7147</v>
      </c>
      <c r="AG102" t="s">
        <v>49</v>
      </c>
    </row>
    <row r="103" spans="1:33" x14ac:dyDescent="0.2">
      <c r="A103" s="27"/>
      <c r="B103" s="25">
        <v>44225</v>
      </c>
      <c r="C103">
        <v>3</v>
      </c>
      <c r="D103" s="11">
        <v>170805901010</v>
      </c>
      <c r="E103" s="10">
        <v>12521</v>
      </c>
      <c r="F103" t="s">
        <v>7143</v>
      </c>
      <c r="G103" t="s">
        <v>7144</v>
      </c>
      <c r="H103">
        <v>248</v>
      </c>
      <c r="I103" t="s">
        <v>44</v>
      </c>
      <c r="J103" t="s">
        <v>7145</v>
      </c>
      <c r="K103">
        <v>2500</v>
      </c>
      <c r="L103">
        <v>290152</v>
      </c>
      <c r="M103" t="s">
        <v>204</v>
      </c>
      <c r="N103" t="s">
        <v>45</v>
      </c>
      <c r="O103" s="10">
        <v>44313</v>
      </c>
      <c r="R103" t="s">
        <v>8272</v>
      </c>
      <c r="S103">
        <v>2980939</v>
      </c>
      <c r="T103" t="s">
        <v>50</v>
      </c>
      <c r="U103" t="s">
        <v>46</v>
      </c>
      <c r="V103" s="10">
        <v>33365</v>
      </c>
      <c r="W103" s="6">
        <v>5006</v>
      </c>
      <c r="X103" t="s">
        <v>8273</v>
      </c>
      <c r="Y103" t="s">
        <v>7146</v>
      </c>
      <c r="Z103" t="s">
        <v>7147</v>
      </c>
      <c r="AA103">
        <v>77053</v>
      </c>
      <c r="AB103" t="s">
        <v>7631</v>
      </c>
      <c r="AC103">
        <v>2793634</v>
      </c>
      <c r="AD103" t="s">
        <v>7148</v>
      </c>
      <c r="AE103" t="s">
        <v>7149</v>
      </c>
      <c r="AF103" t="s">
        <v>7147</v>
      </c>
      <c r="AG103" t="s">
        <v>49</v>
      </c>
    </row>
    <row r="104" spans="1:33" x14ac:dyDescent="0.2">
      <c r="A104" s="27"/>
      <c r="B104" s="25">
        <v>44225</v>
      </c>
      <c r="C104">
        <v>2</v>
      </c>
      <c r="D104" s="11">
        <v>234273601010</v>
      </c>
      <c r="E104" s="10">
        <v>12421</v>
      </c>
      <c r="F104" t="s">
        <v>7163</v>
      </c>
      <c r="G104" t="s">
        <v>7144</v>
      </c>
      <c r="H104">
        <v>12</v>
      </c>
      <c r="I104" t="s">
        <v>44</v>
      </c>
      <c r="J104" t="s">
        <v>7145</v>
      </c>
      <c r="K104">
        <v>100</v>
      </c>
      <c r="L104">
        <v>489901</v>
      </c>
      <c r="M104" t="s">
        <v>75</v>
      </c>
      <c r="N104" t="s">
        <v>46</v>
      </c>
      <c r="O104" s="10">
        <v>44225</v>
      </c>
      <c r="R104" t="s">
        <v>7949</v>
      </c>
      <c r="S104">
        <v>2824872</v>
      </c>
      <c r="T104" t="s">
        <v>7145</v>
      </c>
      <c r="U104" t="s">
        <v>46</v>
      </c>
      <c r="V104" s="10">
        <v>34347</v>
      </c>
      <c r="W104" s="6">
        <v>5101</v>
      </c>
      <c r="X104" t="s">
        <v>7950</v>
      </c>
      <c r="Y104" t="s">
        <v>7146</v>
      </c>
      <c r="Z104" t="s">
        <v>7147</v>
      </c>
      <c r="AA104">
        <v>77090</v>
      </c>
      <c r="AF104" t="s">
        <v>7147</v>
      </c>
      <c r="AG104" t="s">
        <v>49</v>
      </c>
    </row>
    <row r="105" spans="1:33" x14ac:dyDescent="0.2">
      <c r="A105" s="27"/>
      <c r="B105" s="25">
        <v>44225</v>
      </c>
      <c r="C105">
        <v>2</v>
      </c>
      <c r="D105" s="11">
        <v>234307501010</v>
      </c>
      <c r="E105" s="10">
        <v>12621</v>
      </c>
      <c r="F105" t="s">
        <v>7163</v>
      </c>
      <c r="G105" t="s">
        <v>7144</v>
      </c>
      <c r="H105">
        <v>1</v>
      </c>
      <c r="I105" t="s">
        <v>44</v>
      </c>
      <c r="J105" t="s">
        <v>7145</v>
      </c>
      <c r="K105">
        <v>1000</v>
      </c>
      <c r="L105">
        <v>210091</v>
      </c>
      <c r="M105" t="s">
        <v>56</v>
      </c>
      <c r="N105" t="s">
        <v>46</v>
      </c>
      <c r="O105" s="10">
        <v>44229</v>
      </c>
      <c r="R105" t="s">
        <v>8235</v>
      </c>
      <c r="S105">
        <v>2267364</v>
      </c>
      <c r="T105" t="s">
        <v>50</v>
      </c>
      <c r="U105" t="s">
        <v>46</v>
      </c>
      <c r="V105" s="10">
        <v>32432</v>
      </c>
      <c r="W105" s="6">
        <v>5310</v>
      </c>
      <c r="X105" t="s">
        <v>8236</v>
      </c>
      <c r="Y105" t="s">
        <v>7146</v>
      </c>
      <c r="Z105" t="s">
        <v>7147</v>
      </c>
      <c r="AA105">
        <v>77084</v>
      </c>
      <c r="AF105" t="s">
        <v>7147</v>
      </c>
      <c r="AG105" t="s">
        <v>49</v>
      </c>
    </row>
    <row r="106" spans="1:33" x14ac:dyDescent="0.2">
      <c r="A106" s="27"/>
      <c r="B106" s="25">
        <v>44225</v>
      </c>
      <c r="C106">
        <v>2</v>
      </c>
      <c r="D106" s="11">
        <v>234296801010</v>
      </c>
      <c r="E106" s="10">
        <v>12521</v>
      </c>
      <c r="F106" t="s">
        <v>7163</v>
      </c>
      <c r="G106" t="s">
        <v>7144</v>
      </c>
      <c r="H106">
        <v>10</v>
      </c>
      <c r="I106" t="s">
        <v>44</v>
      </c>
      <c r="J106" t="s">
        <v>7145</v>
      </c>
      <c r="K106">
        <v>100</v>
      </c>
      <c r="L106">
        <v>480105</v>
      </c>
      <c r="M106" t="s">
        <v>72</v>
      </c>
      <c r="N106" t="s">
        <v>46</v>
      </c>
      <c r="O106" s="10">
        <v>44228</v>
      </c>
      <c r="R106" t="s">
        <v>8303</v>
      </c>
      <c r="S106">
        <v>3082792</v>
      </c>
      <c r="T106" t="s">
        <v>7145</v>
      </c>
      <c r="U106" t="s">
        <v>46</v>
      </c>
      <c r="V106" s="10">
        <v>37842</v>
      </c>
      <c r="W106" s="6">
        <v>5401</v>
      </c>
      <c r="X106" t="s">
        <v>8304</v>
      </c>
      <c r="Y106" t="s">
        <v>7146</v>
      </c>
      <c r="Z106" t="s">
        <v>7147</v>
      </c>
      <c r="AA106">
        <v>77081</v>
      </c>
      <c r="AF106" t="s">
        <v>7147</v>
      </c>
      <c r="AG106" t="s">
        <v>49</v>
      </c>
    </row>
    <row r="107" spans="1:33" x14ac:dyDescent="0.2">
      <c r="A107" s="27"/>
      <c r="B107" s="25">
        <v>44225</v>
      </c>
      <c r="C107">
        <v>3</v>
      </c>
      <c r="D107" s="11">
        <v>170827201010</v>
      </c>
      <c r="E107" s="10">
        <v>12621</v>
      </c>
      <c r="F107" t="s">
        <v>7143</v>
      </c>
      <c r="G107" t="s">
        <v>7144</v>
      </c>
      <c r="H107">
        <v>178</v>
      </c>
      <c r="I107" t="s">
        <v>44</v>
      </c>
      <c r="J107" t="s">
        <v>7145</v>
      </c>
      <c r="K107">
        <v>20000</v>
      </c>
      <c r="L107">
        <v>120501</v>
      </c>
      <c r="M107" t="s">
        <v>192</v>
      </c>
      <c r="N107" t="s">
        <v>45</v>
      </c>
      <c r="O107" s="10">
        <v>44251</v>
      </c>
      <c r="R107" t="s">
        <v>8672</v>
      </c>
      <c r="S107">
        <v>2934833</v>
      </c>
      <c r="T107" t="s">
        <v>50</v>
      </c>
      <c r="U107" t="s">
        <v>46</v>
      </c>
      <c r="V107" s="10">
        <v>32787</v>
      </c>
      <c r="W107" s="6">
        <v>5531</v>
      </c>
      <c r="X107" t="s">
        <v>8673</v>
      </c>
      <c r="Y107" t="s">
        <v>7146</v>
      </c>
      <c r="Z107" t="s">
        <v>7147</v>
      </c>
      <c r="AA107">
        <v>77032</v>
      </c>
      <c r="AF107" t="s">
        <v>7147</v>
      </c>
      <c r="AG107" t="s">
        <v>49</v>
      </c>
    </row>
    <row r="108" spans="1:33" x14ac:dyDescent="0.2">
      <c r="A108" s="27"/>
      <c r="B108" s="25">
        <v>44225</v>
      </c>
      <c r="C108">
        <v>2</v>
      </c>
      <c r="D108" s="11">
        <v>234295201010</v>
      </c>
      <c r="E108" s="10">
        <v>12521</v>
      </c>
      <c r="F108" t="s">
        <v>7163</v>
      </c>
      <c r="G108" t="s">
        <v>7144</v>
      </c>
      <c r="H108">
        <v>11</v>
      </c>
      <c r="I108" t="s">
        <v>44</v>
      </c>
      <c r="J108" t="s">
        <v>7145</v>
      </c>
      <c r="K108">
        <v>500</v>
      </c>
      <c r="L108">
        <v>131420</v>
      </c>
      <c r="M108" t="s">
        <v>53</v>
      </c>
      <c r="N108" t="s">
        <v>46</v>
      </c>
      <c r="O108" s="10">
        <v>44229</v>
      </c>
      <c r="R108" t="s">
        <v>8201</v>
      </c>
      <c r="S108">
        <v>3082782</v>
      </c>
      <c r="T108" t="s">
        <v>50</v>
      </c>
      <c r="U108" t="s">
        <v>46</v>
      </c>
      <c r="V108" s="10">
        <v>29284</v>
      </c>
      <c r="W108" s="6">
        <v>5557</v>
      </c>
      <c r="X108" t="s">
        <v>8202</v>
      </c>
      <c r="Y108" t="s">
        <v>7146</v>
      </c>
      <c r="Z108" t="s">
        <v>7147</v>
      </c>
      <c r="AA108">
        <v>77035</v>
      </c>
      <c r="AF108" t="s">
        <v>8203</v>
      </c>
      <c r="AG108" t="s">
        <v>47</v>
      </c>
    </row>
    <row r="109" spans="1:33" x14ac:dyDescent="0.2">
      <c r="A109" s="27"/>
      <c r="B109" s="1">
        <v>44225</v>
      </c>
      <c r="C109">
        <v>2</v>
      </c>
      <c r="D109" s="11">
        <v>234324801010</v>
      </c>
      <c r="E109" s="10">
        <v>12821</v>
      </c>
      <c r="F109" t="s">
        <v>7163</v>
      </c>
      <c r="G109" t="s">
        <v>7144</v>
      </c>
      <c r="H109">
        <v>9</v>
      </c>
      <c r="I109" t="s">
        <v>44</v>
      </c>
      <c r="J109" t="s">
        <v>7145</v>
      </c>
      <c r="K109">
        <v>500</v>
      </c>
      <c r="L109">
        <v>210091</v>
      </c>
      <c r="M109" t="s">
        <v>56</v>
      </c>
      <c r="N109" t="s">
        <v>46</v>
      </c>
      <c r="O109" s="10">
        <v>44231</v>
      </c>
      <c r="R109" t="s">
        <v>8930</v>
      </c>
      <c r="S109">
        <v>3083070</v>
      </c>
      <c r="T109" t="s">
        <v>50</v>
      </c>
      <c r="U109" t="s">
        <v>46</v>
      </c>
      <c r="V109" s="10">
        <v>31883</v>
      </c>
      <c r="W109" s="6">
        <v>5743</v>
      </c>
      <c r="X109" t="s">
        <v>8931</v>
      </c>
      <c r="Y109" t="s">
        <v>7158</v>
      </c>
      <c r="Z109" t="s">
        <v>7147</v>
      </c>
      <c r="AA109">
        <v>77449</v>
      </c>
      <c r="AF109" t="s">
        <v>7150</v>
      </c>
      <c r="AG109" t="s">
        <v>49</v>
      </c>
    </row>
    <row r="110" spans="1:33" x14ac:dyDescent="0.2">
      <c r="A110" s="27"/>
      <c r="B110" s="25">
        <v>44225</v>
      </c>
      <c r="C110">
        <v>3</v>
      </c>
      <c r="D110" s="11">
        <v>170832601010</v>
      </c>
      <c r="E110" s="10">
        <v>12721</v>
      </c>
      <c r="F110" t="s">
        <v>7143</v>
      </c>
      <c r="G110" t="s">
        <v>7144</v>
      </c>
      <c r="H110">
        <v>351</v>
      </c>
      <c r="I110" t="s">
        <v>44</v>
      </c>
      <c r="J110" t="s">
        <v>7145</v>
      </c>
      <c r="K110">
        <v>5000</v>
      </c>
      <c r="L110">
        <v>230166</v>
      </c>
      <c r="M110" t="s">
        <v>221</v>
      </c>
      <c r="N110" t="s">
        <v>45</v>
      </c>
      <c r="O110" s="10">
        <v>44307</v>
      </c>
      <c r="R110" t="s">
        <v>8723</v>
      </c>
      <c r="S110">
        <v>202685</v>
      </c>
      <c r="T110" t="s">
        <v>7145</v>
      </c>
      <c r="U110" t="s">
        <v>46</v>
      </c>
      <c r="V110" s="10">
        <v>21726</v>
      </c>
      <c r="W110" s="6">
        <v>5859</v>
      </c>
      <c r="X110" t="s">
        <v>8724</v>
      </c>
      <c r="Y110" t="s">
        <v>7146</v>
      </c>
      <c r="Z110" t="s">
        <v>7147</v>
      </c>
      <c r="AA110">
        <v>77033</v>
      </c>
      <c r="AF110" t="s">
        <v>7147</v>
      </c>
      <c r="AG110" t="s">
        <v>49</v>
      </c>
    </row>
    <row r="111" spans="1:33" x14ac:dyDescent="0.2">
      <c r="A111" s="27"/>
      <c r="B111" s="25">
        <v>44225</v>
      </c>
      <c r="C111">
        <v>3</v>
      </c>
      <c r="D111" s="11">
        <v>170803801010</v>
      </c>
      <c r="E111" s="10">
        <v>12521</v>
      </c>
      <c r="F111" t="s">
        <v>7143</v>
      </c>
      <c r="G111" t="s">
        <v>7144</v>
      </c>
      <c r="H111">
        <v>262</v>
      </c>
      <c r="I111" t="s">
        <v>44</v>
      </c>
      <c r="J111" t="s">
        <v>7145</v>
      </c>
      <c r="K111">
        <v>5000</v>
      </c>
      <c r="L111">
        <v>520303</v>
      </c>
      <c r="M111" t="s">
        <v>203</v>
      </c>
      <c r="N111" t="s">
        <v>45</v>
      </c>
      <c r="O111" s="10">
        <v>44301</v>
      </c>
      <c r="R111" t="s">
        <v>8329</v>
      </c>
      <c r="S111">
        <v>1969412</v>
      </c>
      <c r="T111" t="s">
        <v>7145</v>
      </c>
      <c r="U111" t="s">
        <v>45</v>
      </c>
      <c r="V111" s="10">
        <v>31244</v>
      </c>
      <c r="W111" s="6">
        <v>5874</v>
      </c>
      <c r="X111" t="s">
        <v>8330</v>
      </c>
      <c r="Y111" t="s">
        <v>7146</v>
      </c>
      <c r="Z111" t="s">
        <v>7147</v>
      </c>
      <c r="AA111">
        <v>77033</v>
      </c>
      <c r="AF111" t="s">
        <v>7147</v>
      </c>
      <c r="AG111" t="s">
        <v>49</v>
      </c>
    </row>
    <row r="112" spans="1:33" x14ac:dyDescent="0.2">
      <c r="A112" s="27"/>
      <c r="B112" s="25">
        <v>44225</v>
      </c>
      <c r="C112">
        <v>2</v>
      </c>
      <c r="D112" s="11">
        <v>234307201010</v>
      </c>
      <c r="E112" s="10">
        <v>12621</v>
      </c>
      <c r="F112" t="s">
        <v>7163</v>
      </c>
      <c r="G112" t="s">
        <v>7144</v>
      </c>
      <c r="H112">
        <v>13</v>
      </c>
      <c r="I112" t="s">
        <v>44</v>
      </c>
      <c r="J112" t="s">
        <v>7145</v>
      </c>
      <c r="K112">
        <v>100</v>
      </c>
      <c r="L112">
        <v>380029</v>
      </c>
      <c r="M112" t="s">
        <v>68</v>
      </c>
      <c r="N112" t="s">
        <v>46</v>
      </c>
      <c r="O112" s="10">
        <v>44229</v>
      </c>
      <c r="R112" t="s">
        <v>8287</v>
      </c>
      <c r="S112">
        <v>1822862</v>
      </c>
      <c r="T112" t="s">
        <v>50</v>
      </c>
      <c r="U112" t="s">
        <v>45</v>
      </c>
      <c r="V112" s="10">
        <v>26824</v>
      </c>
      <c r="W112" s="6">
        <v>5903</v>
      </c>
      <c r="X112" t="s">
        <v>8288</v>
      </c>
      <c r="Y112" t="s">
        <v>7146</v>
      </c>
      <c r="Z112" t="s">
        <v>7147</v>
      </c>
      <c r="AA112">
        <v>77041</v>
      </c>
      <c r="AF112" t="s">
        <v>8289</v>
      </c>
      <c r="AG112" t="s">
        <v>49</v>
      </c>
    </row>
    <row r="113" spans="1:33" x14ac:dyDescent="0.2">
      <c r="A113" s="27"/>
      <c r="B113" s="25">
        <v>44225</v>
      </c>
      <c r="C113">
        <v>3</v>
      </c>
      <c r="D113" s="11">
        <v>170812901010</v>
      </c>
      <c r="E113" s="10">
        <v>12521</v>
      </c>
      <c r="F113" t="s">
        <v>7143</v>
      </c>
      <c r="G113" t="s">
        <v>7144</v>
      </c>
      <c r="H113">
        <v>184</v>
      </c>
      <c r="I113" t="s">
        <v>44</v>
      </c>
      <c r="J113" t="s">
        <v>7145</v>
      </c>
      <c r="K113">
        <v>1000</v>
      </c>
      <c r="L113">
        <v>230180</v>
      </c>
      <c r="M113" t="s">
        <v>5293</v>
      </c>
      <c r="N113" t="s">
        <v>45</v>
      </c>
      <c r="O113" s="10">
        <v>44236</v>
      </c>
      <c r="R113" t="s">
        <v>8725</v>
      </c>
      <c r="S113">
        <v>3082795</v>
      </c>
      <c r="T113" t="s">
        <v>50</v>
      </c>
      <c r="U113" t="s">
        <v>45</v>
      </c>
      <c r="V113" s="10">
        <v>32931</v>
      </c>
      <c r="W113" s="6">
        <v>5930</v>
      </c>
      <c r="X113" t="s">
        <v>8726</v>
      </c>
      <c r="Y113" t="s">
        <v>7166</v>
      </c>
      <c r="Z113" t="s">
        <v>7147</v>
      </c>
      <c r="AA113">
        <v>77505</v>
      </c>
      <c r="AF113" t="s">
        <v>7150</v>
      </c>
      <c r="AG113" t="s">
        <v>49</v>
      </c>
    </row>
    <row r="114" spans="1:33" x14ac:dyDescent="0.2">
      <c r="A114" s="27"/>
      <c r="B114" s="25">
        <v>44225</v>
      </c>
      <c r="C114">
        <v>3</v>
      </c>
      <c r="D114" s="11">
        <v>170799901010</v>
      </c>
      <c r="E114" s="10">
        <v>12421</v>
      </c>
      <c r="F114" t="s">
        <v>7143</v>
      </c>
      <c r="G114" t="s">
        <v>7144</v>
      </c>
      <c r="H114">
        <v>178</v>
      </c>
      <c r="I114" t="s">
        <v>44</v>
      </c>
      <c r="J114" t="s">
        <v>7145</v>
      </c>
      <c r="K114">
        <v>7500</v>
      </c>
      <c r="L114">
        <v>131408</v>
      </c>
      <c r="M114" t="s">
        <v>200</v>
      </c>
      <c r="N114" t="s">
        <v>45</v>
      </c>
      <c r="O114" s="10">
        <v>44266</v>
      </c>
      <c r="R114" t="s">
        <v>8173</v>
      </c>
      <c r="S114">
        <v>2105131</v>
      </c>
      <c r="T114" t="s">
        <v>50</v>
      </c>
      <c r="U114" t="s">
        <v>46</v>
      </c>
      <c r="V114" s="10">
        <v>31227</v>
      </c>
      <c r="W114" s="6">
        <v>6203</v>
      </c>
      <c r="X114" t="s">
        <v>8174</v>
      </c>
      <c r="Y114" t="s">
        <v>7146</v>
      </c>
      <c r="Z114" t="s">
        <v>7147</v>
      </c>
      <c r="AA114">
        <v>77026</v>
      </c>
      <c r="AF114" t="s">
        <v>7147</v>
      </c>
      <c r="AG114" t="s">
        <v>49</v>
      </c>
    </row>
    <row r="115" spans="1:33" x14ac:dyDescent="0.2">
      <c r="A115" s="27"/>
      <c r="B115" s="25">
        <v>44225</v>
      </c>
      <c r="C115">
        <v>3</v>
      </c>
      <c r="D115" s="11">
        <v>170819401010</v>
      </c>
      <c r="E115" s="10">
        <v>12621</v>
      </c>
      <c r="F115" t="s">
        <v>7143</v>
      </c>
      <c r="G115" t="s">
        <v>7144</v>
      </c>
      <c r="H115">
        <v>338</v>
      </c>
      <c r="I115" t="s">
        <v>44</v>
      </c>
      <c r="J115" t="s">
        <v>7145</v>
      </c>
      <c r="K115">
        <v>2500</v>
      </c>
      <c r="L115">
        <v>241111</v>
      </c>
      <c r="M115" t="s">
        <v>209</v>
      </c>
      <c r="N115" t="s">
        <v>45</v>
      </c>
      <c r="O115" s="10">
        <v>44305</v>
      </c>
      <c r="R115" t="s">
        <v>8265</v>
      </c>
      <c r="S115">
        <v>2174599</v>
      </c>
      <c r="T115" t="s">
        <v>7145</v>
      </c>
      <c r="U115" t="s">
        <v>46</v>
      </c>
      <c r="V115" s="10">
        <v>32553</v>
      </c>
      <c r="W115" s="6">
        <v>6301</v>
      </c>
      <c r="X115" t="s">
        <v>8266</v>
      </c>
      <c r="Y115" t="s">
        <v>7146</v>
      </c>
      <c r="Z115" t="s">
        <v>7147</v>
      </c>
      <c r="AA115">
        <v>77091</v>
      </c>
      <c r="AF115" t="s">
        <v>7147</v>
      </c>
      <c r="AG115" t="s">
        <v>49</v>
      </c>
    </row>
    <row r="116" spans="1:33" x14ac:dyDescent="0.2">
      <c r="A116" s="27"/>
      <c r="B116" s="25">
        <v>44225</v>
      </c>
      <c r="C116">
        <v>3</v>
      </c>
      <c r="D116" s="11">
        <v>170825501010</v>
      </c>
      <c r="E116" s="10">
        <v>12621</v>
      </c>
      <c r="F116" t="s">
        <v>7143</v>
      </c>
      <c r="G116" t="s">
        <v>7144</v>
      </c>
      <c r="H116">
        <v>263</v>
      </c>
      <c r="I116" t="s">
        <v>44</v>
      </c>
      <c r="J116" t="s">
        <v>7145</v>
      </c>
      <c r="K116">
        <v>2500</v>
      </c>
      <c r="L116">
        <v>230152</v>
      </c>
      <c r="M116" t="s">
        <v>189</v>
      </c>
      <c r="N116" t="s">
        <v>45</v>
      </c>
      <c r="O116" s="10">
        <v>44229</v>
      </c>
      <c r="R116" t="s">
        <v>8249</v>
      </c>
      <c r="S116">
        <v>2391120</v>
      </c>
      <c r="T116" t="s">
        <v>7145</v>
      </c>
      <c r="U116" t="s">
        <v>46</v>
      </c>
      <c r="V116" s="10">
        <v>32859</v>
      </c>
      <c r="W116" s="6">
        <v>6400</v>
      </c>
      <c r="X116" t="s">
        <v>8250</v>
      </c>
      <c r="Y116" t="s">
        <v>7146</v>
      </c>
      <c r="Z116" t="s">
        <v>7147</v>
      </c>
      <c r="AA116">
        <v>77035</v>
      </c>
      <c r="AF116" t="s">
        <v>7147</v>
      </c>
      <c r="AG116" t="s">
        <v>49</v>
      </c>
    </row>
    <row r="117" spans="1:33" x14ac:dyDescent="0.2">
      <c r="A117" s="27"/>
      <c r="B117" s="1">
        <v>44225</v>
      </c>
      <c r="C117">
        <v>2</v>
      </c>
      <c r="D117" s="11">
        <v>234273901010</v>
      </c>
      <c r="E117" s="10">
        <v>12421</v>
      </c>
      <c r="F117" t="s">
        <v>7163</v>
      </c>
      <c r="G117" t="s">
        <v>7144</v>
      </c>
      <c r="H117">
        <v>15</v>
      </c>
      <c r="I117" t="s">
        <v>44</v>
      </c>
      <c r="J117" t="s">
        <v>7145</v>
      </c>
      <c r="K117">
        <v>100</v>
      </c>
      <c r="L117">
        <v>380029</v>
      </c>
      <c r="M117" t="s">
        <v>68</v>
      </c>
      <c r="N117" t="s">
        <v>46</v>
      </c>
      <c r="O117" s="10">
        <v>44225</v>
      </c>
      <c r="R117" t="s">
        <v>7938</v>
      </c>
      <c r="S117">
        <v>3082641</v>
      </c>
      <c r="T117" t="s">
        <v>50</v>
      </c>
      <c r="U117" t="s">
        <v>46</v>
      </c>
      <c r="V117" s="10">
        <v>32529</v>
      </c>
      <c r="W117" s="6">
        <v>6421</v>
      </c>
      <c r="X117" t="s">
        <v>7939</v>
      </c>
      <c r="Y117" t="s">
        <v>7940</v>
      </c>
      <c r="Z117" t="s">
        <v>7147</v>
      </c>
      <c r="AA117">
        <v>77510</v>
      </c>
      <c r="AF117" t="s">
        <v>7150</v>
      </c>
      <c r="AG117" t="s">
        <v>49</v>
      </c>
    </row>
    <row r="118" spans="1:33" x14ac:dyDescent="0.2">
      <c r="A118" s="27"/>
      <c r="B118" s="25">
        <v>44225</v>
      </c>
      <c r="C118">
        <v>2</v>
      </c>
      <c r="D118" s="11">
        <v>234285101010</v>
      </c>
      <c r="E118" s="10">
        <v>12421</v>
      </c>
      <c r="F118" t="s">
        <v>7181</v>
      </c>
      <c r="G118" t="s">
        <v>7144</v>
      </c>
      <c r="H118">
        <v>2</v>
      </c>
      <c r="I118" t="s">
        <v>44</v>
      </c>
      <c r="J118" t="s">
        <v>7176</v>
      </c>
      <c r="K118">
        <v>100</v>
      </c>
      <c r="L118">
        <v>239100</v>
      </c>
      <c r="M118" t="s">
        <v>64</v>
      </c>
      <c r="N118" t="s">
        <v>46</v>
      </c>
      <c r="O118" s="10">
        <v>44237</v>
      </c>
      <c r="R118" t="s">
        <v>7922</v>
      </c>
      <c r="S118">
        <v>757466</v>
      </c>
      <c r="T118" t="s">
        <v>50</v>
      </c>
      <c r="U118" t="s">
        <v>45</v>
      </c>
      <c r="V118" s="10">
        <v>21177</v>
      </c>
      <c r="W118" s="6">
        <v>6505</v>
      </c>
      <c r="X118" t="s">
        <v>7899</v>
      </c>
      <c r="Y118" t="s">
        <v>7146</v>
      </c>
      <c r="Z118" t="s">
        <v>7147</v>
      </c>
      <c r="AA118">
        <v>77057</v>
      </c>
      <c r="AF118" t="s">
        <v>7169</v>
      </c>
      <c r="AG118" t="s">
        <v>49</v>
      </c>
    </row>
    <row r="119" spans="1:33" x14ac:dyDescent="0.2">
      <c r="A119" s="27"/>
      <c r="B119" s="1">
        <v>44225</v>
      </c>
      <c r="C119">
        <v>2</v>
      </c>
      <c r="D119" s="11">
        <v>234326301010</v>
      </c>
      <c r="E119" s="10">
        <v>12821</v>
      </c>
      <c r="F119" t="s">
        <v>7163</v>
      </c>
      <c r="G119" t="s">
        <v>7144</v>
      </c>
      <c r="H119">
        <v>11</v>
      </c>
      <c r="I119" t="s">
        <v>44</v>
      </c>
      <c r="J119" t="s">
        <v>7145</v>
      </c>
      <c r="K119">
        <v>5000</v>
      </c>
      <c r="L119">
        <v>131420</v>
      </c>
      <c r="M119" t="s">
        <v>53</v>
      </c>
      <c r="N119" t="s">
        <v>46</v>
      </c>
      <c r="O119" s="10">
        <v>44231</v>
      </c>
      <c r="R119" t="s">
        <v>8915</v>
      </c>
      <c r="S119">
        <v>3076453</v>
      </c>
      <c r="T119" t="s">
        <v>7145</v>
      </c>
      <c r="U119" t="s">
        <v>46</v>
      </c>
      <c r="V119" s="10">
        <v>31606</v>
      </c>
      <c r="W119" s="6">
        <v>6700</v>
      </c>
      <c r="X119" t="s">
        <v>8916</v>
      </c>
      <c r="Y119" t="s">
        <v>7146</v>
      </c>
      <c r="Z119" t="s">
        <v>7147</v>
      </c>
      <c r="AA119">
        <v>77072</v>
      </c>
      <c r="AF119" t="s">
        <v>7171</v>
      </c>
      <c r="AG119" t="s">
        <v>49</v>
      </c>
    </row>
    <row r="120" spans="1:33" x14ac:dyDescent="0.2">
      <c r="A120" s="27"/>
      <c r="B120" s="25">
        <v>44225</v>
      </c>
      <c r="C120">
        <v>2</v>
      </c>
      <c r="D120" s="11">
        <v>234289901010</v>
      </c>
      <c r="E120" s="10">
        <v>12521</v>
      </c>
      <c r="F120" t="s">
        <v>7163</v>
      </c>
      <c r="G120" t="s">
        <v>7144</v>
      </c>
      <c r="H120">
        <v>16</v>
      </c>
      <c r="I120" t="s">
        <v>44</v>
      </c>
      <c r="J120" t="s">
        <v>7145</v>
      </c>
      <c r="K120">
        <v>100</v>
      </c>
      <c r="L120">
        <v>131420</v>
      </c>
      <c r="M120" t="s">
        <v>53</v>
      </c>
      <c r="N120" t="s">
        <v>46</v>
      </c>
      <c r="O120" s="10">
        <v>44228</v>
      </c>
      <c r="R120" t="s">
        <v>8208</v>
      </c>
      <c r="S120">
        <v>2671433</v>
      </c>
      <c r="T120" t="s">
        <v>7145</v>
      </c>
      <c r="U120" t="s">
        <v>46</v>
      </c>
      <c r="V120" s="10">
        <v>33613</v>
      </c>
      <c r="W120" s="6">
        <v>6811</v>
      </c>
      <c r="X120" t="s">
        <v>8209</v>
      </c>
      <c r="Y120" t="s">
        <v>7146</v>
      </c>
      <c r="Z120" t="s">
        <v>7147</v>
      </c>
      <c r="AA120">
        <v>77050</v>
      </c>
      <c r="AF120" t="s">
        <v>7147</v>
      </c>
      <c r="AG120" t="s">
        <v>49</v>
      </c>
    </row>
    <row r="121" spans="1:33" x14ac:dyDescent="0.2">
      <c r="A121" s="27"/>
      <c r="B121" s="25">
        <v>44225</v>
      </c>
      <c r="C121">
        <v>3</v>
      </c>
      <c r="D121" s="11">
        <v>170794701010</v>
      </c>
      <c r="E121" s="10">
        <v>12421</v>
      </c>
      <c r="F121" t="s">
        <v>7619</v>
      </c>
      <c r="G121" t="s">
        <v>7144</v>
      </c>
      <c r="H121">
        <v>209</v>
      </c>
      <c r="I121" t="s">
        <v>44</v>
      </c>
      <c r="J121" t="s">
        <v>7145</v>
      </c>
      <c r="K121">
        <v>5000</v>
      </c>
      <c r="L121">
        <v>480127</v>
      </c>
      <c r="M121" t="s">
        <v>185</v>
      </c>
      <c r="N121" t="s">
        <v>45</v>
      </c>
      <c r="O121" s="10">
        <v>44312</v>
      </c>
      <c r="R121" t="s">
        <v>7947</v>
      </c>
      <c r="S121">
        <v>2693897</v>
      </c>
      <c r="T121" t="s">
        <v>7145</v>
      </c>
      <c r="U121" t="s">
        <v>46</v>
      </c>
      <c r="V121" s="10">
        <v>35115</v>
      </c>
      <c r="W121" s="6">
        <v>6811</v>
      </c>
      <c r="X121" t="s">
        <v>7948</v>
      </c>
      <c r="Y121" t="s">
        <v>7146</v>
      </c>
      <c r="Z121" t="s">
        <v>7147</v>
      </c>
      <c r="AA121">
        <v>77016</v>
      </c>
      <c r="AB121" t="s">
        <v>8234</v>
      </c>
      <c r="AC121">
        <v>2242133</v>
      </c>
      <c r="AD121" t="s">
        <v>7148</v>
      </c>
      <c r="AE121" t="s">
        <v>7149</v>
      </c>
      <c r="AF121" t="s">
        <v>7147</v>
      </c>
      <c r="AG121" t="s">
        <v>49</v>
      </c>
    </row>
    <row r="122" spans="1:33" x14ac:dyDescent="0.2">
      <c r="A122" s="27"/>
      <c r="B122" s="25">
        <v>44225</v>
      </c>
      <c r="C122">
        <v>2</v>
      </c>
      <c r="D122" s="11">
        <v>234324201010</v>
      </c>
      <c r="E122" s="10">
        <v>12821</v>
      </c>
      <c r="F122" t="s">
        <v>7163</v>
      </c>
      <c r="G122" t="s">
        <v>7144</v>
      </c>
      <c r="H122">
        <v>16</v>
      </c>
      <c r="I122" t="s">
        <v>44</v>
      </c>
      <c r="J122" t="s">
        <v>7145</v>
      </c>
      <c r="K122">
        <v>100</v>
      </c>
      <c r="L122">
        <v>480101</v>
      </c>
      <c r="M122" t="s">
        <v>71</v>
      </c>
      <c r="N122" t="s">
        <v>46</v>
      </c>
      <c r="O122" s="10">
        <v>44231</v>
      </c>
      <c r="R122" t="s">
        <v>8940</v>
      </c>
      <c r="S122">
        <v>2773687</v>
      </c>
      <c r="T122" t="s">
        <v>7145</v>
      </c>
      <c r="U122" t="s">
        <v>46</v>
      </c>
      <c r="V122" s="10">
        <v>30578</v>
      </c>
      <c r="W122" s="6">
        <v>6868</v>
      </c>
      <c r="X122" t="s">
        <v>8941</v>
      </c>
      <c r="Y122" t="s">
        <v>7146</v>
      </c>
      <c r="Z122" t="s">
        <v>7147</v>
      </c>
      <c r="AA122">
        <v>77074</v>
      </c>
      <c r="AF122" t="s">
        <v>7157</v>
      </c>
      <c r="AG122" t="s">
        <v>49</v>
      </c>
    </row>
    <row r="123" spans="1:33" x14ac:dyDescent="0.2">
      <c r="A123" s="27"/>
      <c r="B123" s="1">
        <v>44225</v>
      </c>
      <c r="C123">
        <v>3</v>
      </c>
      <c r="D123" s="11">
        <v>170855801010</v>
      </c>
      <c r="E123" s="10">
        <v>12821</v>
      </c>
      <c r="F123" t="s">
        <v>7143</v>
      </c>
      <c r="G123" t="s">
        <v>7144</v>
      </c>
      <c r="H123">
        <v>179</v>
      </c>
      <c r="I123" t="s">
        <v>44</v>
      </c>
      <c r="J123" t="s">
        <v>7145</v>
      </c>
      <c r="K123">
        <v>30000</v>
      </c>
      <c r="L123">
        <v>130119</v>
      </c>
      <c r="M123" t="s">
        <v>193</v>
      </c>
      <c r="N123" t="s">
        <v>45</v>
      </c>
      <c r="O123" s="10">
        <v>44228</v>
      </c>
      <c r="R123" t="s">
        <v>8897</v>
      </c>
      <c r="S123">
        <v>902004</v>
      </c>
      <c r="T123" t="s">
        <v>50</v>
      </c>
      <c r="U123" t="s">
        <v>46</v>
      </c>
      <c r="V123" s="10">
        <v>25804</v>
      </c>
      <c r="W123" s="6">
        <v>6912</v>
      </c>
      <c r="X123" t="s">
        <v>8898</v>
      </c>
      <c r="Y123" t="s">
        <v>8677</v>
      </c>
      <c r="Z123" t="s">
        <v>7147</v>
      </c>
      <c r="AA123">
        <v>77551</v>
      </c>
      <c r="AF123" t="s">
        <v>7177</v>
      </c>
      <c r="AG123" t="s">
        <v>49</v>
      </c>
    </row>
    <row r="124" spans="1:33" x14ac:dyDescent="0.2">
      <c r="A124" s="27"/>
      <c r="B124" s="25">
        <v>44225</v>
      </c>
      <c r="C124">
        <v>3</v>
      </c>
      <c r="D124" s="11">
        <v>170858201010</v>
      </c>
      <c r="E124" s="10">
        <v>12821</v>
      </c>
      <c r="F124" t="s">
        <v>7143</v>
      </c>
      <c r="G124" t="s">
        <v>7144</v>
      </c>
      <c r="H124">
        <v>338</v>
      </c>
      <c r="I124" t="s">
        <v>44</v>
      </c>
      <c r="J124" t="s">
        <v>7145</v>
      </c>
      <c r="K124">
        <v>2500</v>
      </c>
      <c r="L124">
        <v>230086</v>
      </c>
      <c r="M124" t="s">
        <v>6736</v>
      </c>
      <c r="N124" t="s">
        <v>45</v>
      </c>
      <c r="O124" s="10">
        <v>44228</v>
      </c>
      <c r="R124" t="s">
        <v>8946</v>
      </c>
      <c r="S124">
        <v>3083154</v>
      </c>
      <c r="T124" t="s">
        <v>50</v>
      </c>
      <c r="U124" t="s">
        <v>46</v>
      </c>
      <c r="V124" s="10">
        <v>37385</v>
      </c>
      <c r="W124" s="6">
        <v>7202</v>
      </c>
      <c r="X124" t="s">
        <v>8947</v>
      </c>
      <c r="Y124" t="s">
        <v>7146</v>
      </c>
      <c r="Z124" t="s">
        <v>7147</v>
      </c>
      <c r="AA124">
        <v>77433</v>
      </c>
      <c r="AF124" t="s">
        <v>7154</v>
      </c>
      <c r="AG124" t="s">
        <v>49</v>
      </c>
    </row>
    <row r="125" spans="1:33" x14ac:dyDescent="0.2">
      <c r="A125" s="27"/>
      <c r="B125" s="25">
        <v>44225</v>
      </c>
      <c r="C125">
        <v>3</v>
      </c>
      <c r="D125" s="11">
        <v>170826901010</v>
      </c>
      <c r="E125" s="10">
        <v>12621</v>
      </c>
      <c r="F125" t="s">
        <v>7143</v>
      </c>
      <c r="G125" t="s">
        <v>7144</v>
      </c>
      <c r="H125">
        <v>337</v>
      </c>
      <c r="I125" t="s">
        <v>44</v>
      </c>
      <c r="J125" t="s">
        <v>7145</v>
      </c>
      <c r="K125">
        <v>2500</v>
      </c>
      <c r="L125">
        <v>356218</v>
      </c>
      <c r="M125" t="s">
        <v>233</v>
      </c>
      <c r="N125" t="s">
        <v>45</v>
      </c>
      <c r="O125" s="10">
        <v>44260</v>
      </c>
      <c r="R125" t="s">
        <v>8283</v>
      </c>
      <c r="S125">
        <v>2354237</v>
      </c>
      <c r="T125" t="s">
        <v>50</v>
      </c>
      <c r="U125" t="s">
        <v>46</v>
      </c>
      <c r="V125" s="10">
        <v>33276</v>
      </c>
      <c r="W125" s="6">
        <v>7211</v>
      </c>
      <c r="X125" t="s">
        <v>8284</v>
      </c>
      <c r="Y125" t="s">
        <v>7146</v>
      </c>
      <c r="Z125" t="s">
        <v>7147</v>
      </c>
      <c r="AA125">
        <v>77396</v>
      </c>
      <c r="AF125" t="s">
        <v>7147</v>
      </c>
      <c r="AG125" t="s">
        <v>49</v>
      </c>
    </row>
    <row r="126" spans="1:33" x14ac:dyDescent="0.2">
      <c r="A126" s="27"/>
      <c r="B126" s="25">
        <v>44225</v>
      </c>
      <c r="C126">
        <v>2</v>
      </c>
      <c r="D126" s="11">
        <v>234284601010</v>
      </c>
      <c r="E126" s="10">
        <v>12421</v>
      </c>
      <c r="F126" t="s">
        <v>7163</v>
      </c>
      <c r="G126" t="s">
        <v>7144</v>
      </c>
      <c r="H126">
        <v>13</v>
      </c>
      <c r="I126" t="s">
        <v>44</v>
      </c>
      <c r="J126" t="s">
        <v>7145</v>
      </c>
      <c r="K126">
        <v>100</v>
      </c>
      <c r="L126">
        <v>290151</v>
      </c>
      <c r="M126" t="s">
        <v>66</v>
      </c>
      <c r="N126" t="s">
        <v>46</v>
      </c>
      <c r="O126" s="10">
        <v>44225</v>
      </c>
      <c r="R126" t="s">
        <v>7932</v>
      </c>
      <c r="S126">
        <v>1345231</v>
      </c>
      <c r="T126" t="s">
        <v>7145</v>
      </c>
      <c r="U126" t="s">
        <v>46</v>
      </c>
      <c r="V126" s="10">
        <v>26859</v>
      </c>
      <c r="W126" s="6">
        <v>7446</v>
      </c>
      <c r="X126" t="s">
        <v>7933</v>
      </c>
      <c r="Y126" t="s">
        <v>7146</v>
      </c>
      <c r="Z126" t="s">
        <v>7147</v>
      </c>
      <c r="AA126">
        <v>77016</v>
      </c>
      <c r="AF126" t="s">
        <v>7147</v>
      </c>
      <c r="AG126" t="s">
        <v>49</v>
      </c>
    </row>
    <row r="127" spans="1:33" x14ac:dyDescent="0.2">
      <c r="A127" s="27"/>
      <c r="B127" s="25">
        <v>44225</v>
      </c>
      <c r="C127">
        <v>3</v>
      </c>
      <c r="D127" s="11">
        <v>170822601010</v>
      </c>
      <c r="E127" s="10">
        <v>12621</v>
      </c>
      <c r="F127" t="s">
        <v>7143</v>
      </c>
      <c r="G127" t="s">
        <v>7144</v>
      </c>
      <c r="H127">
        <v>180</v>
      </c>
      <c r="I127" t="s">
        <v>44</v>
      </c>
      <c r="J127" t="s">
        <v>7145</v>
      </c>
      <c r="K127">
        <v>10000</v>
      </c>
      <c r="L127">
        <v>131406</v>
      </c>
      <c r="M127" t="s">
        <v>207</v>
      </c>
      <c r="N127" t="s">
        <v>45</v>
      </c>
      <c r="O127" s="10">
        <v>44270</v>
      </c>
      <c r="R127" t="s">
        <v>8163</v>
      </c>
      <c r="S127">
        <v>1593022</v>
      </c>
      <c r="T127" t="s">
        <v>50</v>
      </c>
      <c r="U127" t="s">
        <v>46</v>
      </c>
      <c r="V127" s="10">
        <v>28474</v>
      </c>
      <c r="W127" s="6">
        <v>7485</v>
      </c>
      <c r="X127" t="s">
        <v>8164</v>
      </c>
      <c r="Y127" t="s">
        <v>7146</v>
      </c>
      <c r="Z127" t="s">
        <v>7147</v>
      </c>
      <c r="AA127">
        <v>77061</v>
      </c>
      <c r="AF127" t="s">
        <v>7147</v>
      </c>
      <c r="AG127" t="s">
        <v>49</v>
      </c>
    </row>
    <row r="128" spans="1:33" x14ac:dyDescent="0.2">
      <c r="A128" s="27"/>
      <c r="B128" s="25">
        <v>44225</v>
      </c>
      <c r="C128">
        <v>3</v>
      </c>
      <c r="D128" s="11">
        <v>170815501010</v>
      </c>
      <c r="E128" s="10">
        <v>12521</v>
      </c>
      <c r="F128" t="s">
        <v>7143</v>
      </c>
      <c r="G128" t="s">
        <v>7144</v>
      </c>
      <c r="H128">
        <v>248</v>
      </c>
      <c r="I128" t="s">
        <v>44</v>
      </c>
      <c r="J128" t="s">
        <v>7145</v>
      </c>
      <c r="K128">
        <v>15000</v>
      </c>
      <c r="L128">
        <v>131421</v>
      </c>
      <c r="M128" t="s">
        <v>187</v>
      </c>
      <c r="N128" t="s">
        <v>45</v>
      </c>
      <c r="O128" s="10">
        <v>44314</v>
      </c>
      <c r="R128" t="s">
        <v>8217</v>
      </c>
      <c r="S128">
        <v>2051378</v>
      </c>
      <c r="T128" t="s">
        <v>7145</v>
      </c>
      <c r="U128" t="s">
        <v>45</v>
      </c>
      <c r="V128" s="10">
        <v>31329</v>
      </c>
      <c r="W128" s="6">
        <v>7503</v>
      </c>
      <c r="X128" t="s">
        <v>8218</v>
      </c>
      <c r="Y128" t="s">
        <v>7167</v>
      </c>
      <c r="Z128" t="s">
        <v>7147</v>
      </c>
      <c r="AA128">
        <v>77338</v>
      </c>
      <c r="AF128" t="s">
        <v>7147</v>
      </c>
      <c r="AG128" t="s">
        <v>49</v>
      </c>
    </row>
    <row r="129" spans="1:33" x14ac:dyDescent="0.2">
      <c r="A129" s="27"/>
      <c r="B129" s="25">
        <v>44225</v>
      </c>
      <c r="C129">
        <v>2</v>
      </c>
      <c r="D129" s="11">
        <v>234272701010</v>
      </c>
      <c r="E129" s="10">
        <v>12421</v>
      </c>
      <c r="F129" t="s">
        <v>7163</v>
      </c>
      <c r="G129" t="s">
        <v>7144</v>
      </c>
      <c r="H129">
        <v>6</v>
      </c>
      <c r="I129" t="s">
        <v>44</v>
      </c>
      <c r="J129" t="s">
        <v>7145</v>
      </c>
      <c r="K129">
        <v>500</v>
      </c>
      <c r="L129">
        <v>210091</v>
      </c>
      <c r="M129" t="s">
        <v>56</v>
      </c>
      <c r="N129" t="s">
        <v>46</v>
      </c>
      <c r="O129" s="10">
        <v>44287</v>
      </c>
      <c r="R129" t="s">
        <v>7916</v>
      </c>
      <c r="S129">
        <v>3082633</v>
      </c>
      <c r="T129" t="s">
        <v>50</v>
      </c>
      <c r="U129" t="s">
        <v>46</v>
      </c>
      <c r="V129" s="10">
        <v>37816</v>
      </c>
      <c r="W129" s="6">
        <v>7630</v>
      </c>
      <c r="X129" t="s">
        <v>7917</v>
      </c>
      <c r="Y129" t="s">
        <v>7146</v>
      </c>
      <c r="Z129" t="s">
        <v>7147</v>
      </c>
      <c r="AA129">
        <v>77095</v>
      </c>
      <c r="AF129" t="s">
        <v>7154</v>
      </c>
      <c r="AG129" t="s">
        <v>49</v>
      </c>
    </row>
    <row r="130" spans="1:33" x14ac:dyDescent="0.2">
      <c r="A130" s="27"/>
      <c r="B130" s="25">
        <v>44225</v>
      </c>
      <c r="C130">
        <v>2</v>
      </c>
      <c r="D130" s="11">
        <v>234295601010</v>
      </c>
      <c r="E130" s="10">
        <v>12521</v>
      </c>
      <c r="F130" t="s">
        <v>7163</v>
      </c>
      <c r="G130" t="s">
        <v>7144</v>
      </c>
      <c r="H130">
        <v>13</v>
      </c>
      <c r="I130" t="s">
        <v>44</v>
      </c>
      <c r="J130" t="s">
        <v>7145</v>
      </c>
      <c r="K130">
        <v>100</v>
      </c>
      <c r="L130">
        <v>480105</v>
      </c>
      <c r="M130" t="s">
        <v>72</v>
      </c>
      <c r="N130" t="s">
        <v>46</v>
      </c>
      <c r="O130" s="10">
        <v>44228</v>
      </c>
      <c r="R130" t="s">
        <v>8305</v>
      </c>
      <c r="S130">
        <v>2312174</v>
      </c>
      <c r="T130" t="s">
        <v>50</v>
      </c>
      <c r="U130" t="s">
        <v>46</v>
      </c>
      <c r="V130" s="10">
        <v>31917</v>
      </c>
      <c r="W130" s="6">
        <v>7710</v>
      </c>
      <c r="X130" t="s">
        <v>8306</v>
      </c>
      <c r="Y130" t="s">
        <v>7146</v>
      </c>
      <c r="Z130" t="s">
        <v>7147</v>
      </c>
      <c r="AA130">
        <v>77012</v>
      </c>
      <c r="AF130" t="s">
        <v>7147</v>
      </c>
      <c r="AG130" t="s">
        <v>49</v>
      </c>
    </row>
    <row r="131" spans="1:33" x14ac:dyDescent="0.2">
      <c r="A131" s="27"/>
      <c r="B131" s="25">
        <v>44225</v>
      </c>
      <c r="C131">
        <v>2</v>
      </c>
      <c r="D131" s="11">
        <v>234309401010</v>
      </c>
      <c r="E131" s="10">
        <v>12621</v>
      </c>
      <c r="F131" t="s">
        <v>7163</v>
      </c>
      <c r="G131" t="s">
        <v>7144</v>
      </c>
      <c r="H131">
        <v>6</v>
      </c>
      <c r="I131" t="s">
        <v>44</v>
      </c>
      <c r="J131" t="s">
        <v>7145</v>
      </c>
      <c r="K131">
        <v>100</v>
      </c>
      <c r="L131">
        <v>489901</v>
      </c>
      <c r="M131" t="s">
        <v>75</v>
      </c>
      <c r="N131" t="s">
        <v>46</v>
      </c>
      <c r="O131" s="10">
        <v>44229</v>
      </c>
      <c r="R131" t="s">
        <v>8313</v>
      </c>
      <c r="S131">
        <v>2322875</v>
      </c>
      <c r="T131" t="s">
        <v>7145</v>
      </c>
      <c r="U131" t="s">
        <v>46</v>
      </c>
      <c r="V131" s="10">
        <v>31783</v>
      </c>
      <c r="W131" s="6">
        <v>7740</v>
      </c>
      <c r="X131" t="s">
        <v>7621</v>
      </c>
      <c r="Y131" t="s">
        <v>7146</v>
      </c>
      <c r="Z131" t="s">
        <v>7147</v>
      </c>
      <c r="AA131">
        <v>77040</v>
      </c>
      <c r="AF131" t="s">
        <v>7147</v>
      </c>
      <c r="AG131" t="s">
        <v>49</v>
      </c>
    </row>
    <row r="132" spans="1:33" x14ac:dyDescent="0.2">
      <c r="A132" s="27"/>
      <c r="B132" s="25">
        <v>44225</v>
      </c>
      <c r="C132">
        <v>3</v>
      </c>
      <c r="D132" s="11">
        <v>170820401010</v>
      </c>
      <c r="E132" s="10">
        <v>12621</v>
      </c>
      <c r="F132" t="s">
        <v>7143</v>
      </c>
      <c r="G132" t="s">
        <v>7144</v>
      </c>
      <c r="H132">
        <v>337</v>
      </c>
      <c r="I132" t="s">
        <v>44</v>
      </c>
      <c r="J132" t="s">
        <v>7145</v>
      </c>
      <c r="K132">
        <v>20000</v>
      </c>
      <c r="L132">
        <v>130119</v>
      </c>
      <c r="M132" t="s">
        <v>193</v>
      </c>
      <c r="N132" t="s">
        <v>45</v>
      </c>
      <c r="O132" s="10">
        <v>44285</v>
      </c>
      <c r="R132" t="s">
        <v>8678</v>
      </c>
      <c r="S132">
        <v>3082844</v>
      </c>
      <c r="T132" t="s">
        <v>7145</v>
      </c>
      <c r="U132" t="s">
        <v>46</v>
      </c>
      <c r="V132" s="10">
        <v>37795</v>
      </c>
      <c r="W132" s="6">
        <v>7802</v>
      </c>
      <c r="X132" t="s">
        <v>8679</v>
      </c>
      <c r="Y132" t="s">
        <v>7160</v>
      </c>
      <c r="Z132" t="s">
        <v>7147</v>
      </c>
      <c r="AA132">
        <v>77521</v>
      </c>
      <c r="AB132" t="s">
        <v>8680</v>
      </c>
      <c r="AC132">
        <v>1728540</v>
      </c>
      <c r="AD132" t="s">
        <v>7148</v>
      </c>
      <c r="AE132" t="s">
        <v>7149</v>
      </c>
      <c r="AF132" t="s">
        <v>7147</v>
      </c>
      <c r="AG132" t="s">
        <v>49</v>
      </c>
    </row>
    <row r="133" spans="1:33" x14ac:dyDescent="0.2">
      <c r="A133" s="27"/>
      <c r="B133" s="25">
        <v>44225</v>
      </c>
      <c r="C133">
        <v>2</v>
      </c>
      <c r="D133" s="11">
        <v>234298701010</v>
      </c>
      <c r="E133" s="10">
        <v>12521</v>
      </c>
      <c r="F133" t="s">
        <v>7163</v>
      </c>
      <c r="G133" t="s">
        <v>7144</v>
      </c>
      <c r="H133">
        <v>11</v>
      </c>
      <c r="I133" t="s">
        <v>44</v>
      </c>
      <c r="J133" t="s">
        <v>7145</v>
      </c>
      <c r="K133">
        <v>1000</v>
      </c>
      <c r="L133">
        <v>131420</v>
      </c>
      <c r="M133" t="s">
        <v>53</v>
      </c>
      <c r="N133" t="s">
        <v>46</v>
      </c>
      <c r="O133" s="10">
        <v>44228</v>
      </c>
      <c r="R133" t="s">
        <v>8191</v>
      </c>
      <c r="S133">
        <v>3082803</v>
      </c>
      <c r="T133" t="s">
        <v>7145</v>
      </c>
      <c r="U133" t="s">
        <v>45</v>
      </c>
      <c r="V133" s="10">
        <v>37457</v>
      </c>
      <c r="W133" s="6">
        <v>7914</v>
      </c>
      <c r="X133" t="s">
        <v>8192</v>
      </c>
      <c r="Y133" t="s">
        <v>7174</v>
      </c>
      <c r="Z133" t="s">
        <v>7147</v>
      </c>
      <c r="AA133">
        <v>77433</v>
      </c>
      <c r="AF133" t="s">
        <v>7147</v>
      </c>
      <c r="AG133" t="s">
        <v>49</v>
      </c>
    </row>
    <row r="134" spans="1:33" x14ac:dyDescent="0.2">
      <c r="A134" s="27"/>
      <c r="B134" s="25">
        <v>44225</v>
      </c>
      <c r="C134">
        <v>2</v>
      </c>
      <c r="D134" s="11">
        <v>234317201010</v>
      </c>
      <c r="E134" s="10">
        <v>12721</v>
      </c>
      <c r="F134" t="s">
        <v>7163</v>
      </c>
      <c r="G134" t="s">
        <v>7144</v>
      </c>
      <c r="H134">
        <v>8</v>
      </c>
      <c r="I134" t="s">
        <v>44</v>
      </c>
      <c r="J134" t="s">
        <v>7145</v>
      </c>
      <c r="K134">
        <v>100</v>
      </c>
      <c r="L134">
        <v>520301</v>
      </c>
      <c r="M134" t="s">
        <v>78</v>
      </c>
      <c r="N134" t="s">
        <v>46</v>
      </c>
      <c r="O134" s="10">
        <v>44230</v>
      </c>
      <c r="R134" t="s">
        <v>8753</v>
      </c>
      <c r="S134">
        <v>3082966</v>
      </c>
      <c r="T134" t="s">
        <v>50</v>
      </c>
      <c r="U134" t="s">
        <v>46</v>
      </c>
      <c r="V134" s="10">
        <v>37314</v>
      </c>
      <c r="W134" s="6">
        <v>7939</v>
      </c>
      <c r="X134" t="s">
        <v>8754</v>
      </c>
      <c r="Y134" t="s">
        <v>7146</v>
      </c>
      <c r="Z134" t="s">
        <v>7147</v>
      </c>
      <c r="AA134">
        <v>77071</v>
      </c>
      <c r="AF134" t="s">
        <v>7147</v>
      </c>
      <c r="AG134" t="s">
        <v>49</v>
      </c>
    </row>
    <row r="135" spans="1:33" x14ac:dyDescent="0.2">
      <c r="A135" s="27"/>
      <c r="B135" s="25">
        <v>44225</v>
      </c>
      <c r="C135">
        <v>3</v>
      </c>
      <c r="D135" s="11">
        <v>170803701010</v>
      </c>
      <c r="E135" s="10">
        <v>12521</v>
      </c>
      <c r="F135" t="s">
        <v>7143</v>
      </c>
      <c r="G135" t="s">
        <v>7144</v>
      </c>
      <c r="H135">
        <v>209</v>
      </c>
      <c r="I135" t="s">
        <v>44</v>
      </c>
      <c r="J135" t="s">
        <v>7145</v>
      </c>
      <c r="K135">
        <v>10000</v>
      </c>
      <c r="L135">
        <v>131408</v>
      </c>
      <c r="M135" t="s">
        <v>200</v>
      </c>
      <c r="N135" t="s">
        <v>45</v>
      </c>
      <c r="O135" s="10">
        <v>44253</v>
      </c>
      <c r="R135" t="s">
        <v>8169</v>
      </c>
      <c r="S135">
        <v>3082710</v>
      </c>
      <c r="T135" t="s">
        <v>44</v>
      </c>
      <c r="U135" t="s">
        <v>46</v>
      </c>
      <c r="V135" s="10">
        <v>35470</v>
      </c>
      <c r="W135" s="6">
        <v>7979</v>
      </c>
      <c r="X135" t="s">
        <v>8170</v>
      </c>
      <c r="Y135" t="s">
        <v>7146</v>
      </c>
      <c r="Z135" t="s">
        <v>7147</v>
      </c>
      <c r="AA135">
        <v>77063</v>
      </c>
      <c r="AF135" t="s">
        <v>7154</v>
      </c>
      <c r="AG135" t="s">
        <v>49</v>
      </c>
    </row>
    <row r="136" spans="1:33" x14ac:dyDescent="0.2">
      <c r="A136" s="27"/>
      <c r="B136" s="1">
        <v>44225</v>
      </c>
      <c r="C136">
        <v>2</v>
      </c>
      <c r="D136" s="11">
        <v>234327201010</v>
      </c>
      <c r="E136" s="10">
        <v>12821</v>
      </c>
      <c r="F136" t="s">
        <v>7163</v>
      </c>
      <c r="G136" t="s">
        <v>7144</v>
      </c>
      <c r="H136">
        <v>3</v>
      </c>
      <c r="I136" t="s">
        <v>44</v>
      </c>
      <c r="J136" t="s">
        <v>7145</v>
      </c>
      <c r="K136">
        <v>100</v>
      </c>
      <c r="L136">
        <v>380029</v>
      </c>
      <c r="M136" t="s">
        <v>68</v>
      </c>
      <c r="N136" t="s">
        <v>46</v>
      </c>
      <c r="O136" s="10">
        <v>44231</v>
      </c>
      <c r="R136" t="s">
        <v>8977</v>
      </c>
      <c r="S136">
        <v>2875934</v>
      </c>
      <c r="T136" t="s">
        <v>7145</v>
      </c>
      <c r="U136" t="s">
        <v>46</v>
      </c>
      <c r="V136" s="10">
        <v>31331</v>
      </c>
      <c r="W136" s="6">
        <v>8006</v>
      </c>
      <c r="X136" t="s">
        <v>8978</v>
      </c>
      <c r="Y136" t="s">
        <v>7167</v>
      </c>
      <c r="Z136" t="s">
        <v>7147</v>
      </c>
      <c r="AA136">
        <v>77396</v>
      </c>
      <c r="AF136" t="s">
        <v>8979</v>
      </c>
      <c r="AG136" t="s">
        <v>49</v>
      </c>
    </row>
    <row r="137" spans="1:33" x14ac:dyDescent="0.2">
      <c r="A137" s="27"/>
      <c r="B137" s="25">
        <v>44225</v>
      </c>
      <c r="C137">
        <v>3</v>
      </c>
      <c r="D137" s="11">
        <v>170791401010</v>
      </c>
      <c r="E137" s="10">
        <v>12421</v>
      </c>
      <c r="F137" t="s">
        <v>7143</v>
      </c>
      <c r="G137" t="s">
        <v>7144</v>
      </c>
      <c r="H137">
        <v>208</v>
      </c>
      <c r="I137" t="s">
        <v>44</v>
      </c>
      <c r="J137" t="s">
        <v>7151</v>
      </c>
      <c r="K137">
        <v>3000</v>
      </c>
      <c r="L137">
        <v>480126</v>
      </c>
      <c r="M137" t="s">
        <v>186</v>
      </c>
      <c r="N137" t="s">
        <v>45</v>
      </c>
      <c r="O137" s="10">
        <v>44224</v>
      </c>
      <c r="R137" t="s">
        <v>7946</v>
      </c>
      <c r="S137">
        <v>2861011</v>
      </c>
      <c r="T137" t="s">
        <v>7145</v>
      </c>
      <c r="U137" t="s">
        <v>46</v>
      </c>
      <c r="V137" s="10">
        <v>35866</v>
      </c>
      <c r="W137" s="6">
        <v>8011</v>
      </c>
      <c r="X137" t="s">
        <v>8307</v>
      </c>
      <c r="Y137" t="s">
        <v>7167</v>
      </c>
      <c r="Z137" t="s">
        <v>7147</v>
      </c>
      <c r="AA137">
        <v>77396</v>
      </c>
      <c r="AF137" t="s">
        <v>7150</v>
      </c>
      <c r="AG137" t="s">
        <v>47</v>
      </c>
    </row>
    <row r="138" spans="1:33" x14ac:dyDescent="0.2">
      <c r="A138" s="27"/>
      <c r="B138" s="1">
        <v>44225</v>
      </c>
      <c r="C138">
        <v>3</v>
      </c>
      <c r="D138" s="11">
        <v>170855101010</v>
      </c>
      <c r="E138" s="10">
        <v>12821</v>
      </c>
      <c r="F138" t="s">
        <v>7143</v>
      </c>
      <c r="G138" t="s">
        <v>7144</v>
      </c>
      <c r="H138">
        <v>351</v>
      </c>
      <c r="I138" t="s">
        <v>44</v>
      </c>
      <c r="J138" t="s">
        <v>7145</v>
      </c>
      <c r="K138">
        <v>2500</v>
      </c>
      <c r="L138">
        <v>290152</v>
      </c>
      <c r="M138" t="s">
        <v>204</v>
      </c>
      <c r="N138" t="s">
        <v>45</v>
      </c>
      <c r="O138" s="10">
        <v>44228</v>
      </c>
      <c r="R138" t="s">
        <v>8965</v>
      </c>
      <c r="S138">
        <v>2707339</v>
      </c>
      <c r="T138" t="s">
        <v>50</v>
      </c>
      <c r="U138" t="s">
        <v>46</v>
      </c>
      <c r="V138" s="10">
        <v>34768</v>
      </c>
      <c r="W138" s="6">
        <v>8126</v>
      </c>
      <c r="X138" t="s">
        <v>8966</v>
      </c>
      <c r="Y138" t="s">
        <v>7146</v>
      </c>
      <c r="Z138" t="s">
        <v>7147</v>
      </c>
      <c r="AA138">
        <v>77017</v>
      </c>
      <c r="AF138" t="s">
        <v>7147</v>
      </c>
      <c r="AG138" t="s">
        <v>49</v>
      </c>
    </row>
    <row r="139" spans="1:33" x14ac:dyDescent="0.2">
      <c r="A139" s="27"/>
      <c r="B139" s="25">
        <v>44225</v>
      </c>
      <c r="C139">
        <v>3</v>
      </c>
      <c r="D139" s="11">
        <v>170809701010</v>
      </c>
      <c r="E139" s="10">
        <v>12521</v>
      </c>
      <c r="F139" t="s">
        <v>7143</v>
      </c>
      <c r="G139" t="s">
        <v>7144</v>
      </c>
      <c r="H139">
        <v>183</v>
      </c>
      <c r="I139" t="s">
        <v>44</v>
      </c>
      <c r="J139" t="s">
        <v>7145</v>
      </c>
      <c r="K139">
        <v>5000</v>
      </c>
      <c r="L139">
        <v>131408</v>
      </c>
      <c r="M139" t="s">
        <v>200</v>
      </c>
      <c r="N139" t="s">
        <v>45</v>
      </c>
      <c r="O139" s="10">
        <v>44258</v>
      </c>
      <c r="R139" t="s">
        <v>8180</v>
      </c>
      <c r="S139">
        <v>3082781</v>
      </c>
      <c r="T139" t="s">
        <v>50</v>
      </c>
      <c r="U139" t="s">
        <v>46</v>
      </c>
      <c r="V139" s="10">
        <v>37908</v>
      </c>
      <c r="W139" s="6">
        <v>8323</v>
      </c>
      <c r="X139" t="s">
        <v>8181</v>
      </c>
      <c r="Y139" t="s">
        <v>7146</v>
      </c>
      <c r="Z139" t="s">
        <v>7147</v>
      </c>
      <c r="AA139">
        <v>77072</v>
      </c>
      <c r="AB139" t="s">
        <v>8685</v>
      </c>
      <c r="AC139">
        <v>1978306</v>
      </c>
      <c r="AD139" t="s">
        <v>7148</v>
      </c>
      <c r="AE139" t="s">
        <v>7149</v>
      </c>
      <c r="AF139" t="s">
        <v>7178</v>
      </c>
      <c r="AG139" t="s">
        <v>49</v>
      </c>
    </row>
    <row r="140" spans="1:33" x14ac:dyDescent="0.2">
      <c r="A140" s="27"/>
      <c r="B140" s="25">
        <v>44225</v>
      </c>
      <c r="C140">
        <v>3</v>
      </c>
      <c r="D140" s="11">
        <v>170841801010</v>
      </c>
      <c r="E140" s="10">
        <v>12721</v>
      </c>
      <c r="F140" t="s">
        <v>7143</v>
      </c>
      <c r="G140" t="s">
        <v>7144</v>
      </c>
      <c r="H140">
        <v>176</v>
      </c>
      <c r="I140" t="s">
        <v>44</v>
      </c>
      <c r="J140" t="s">
        <v>7145</v>
      </c>
      <c r="K140">
        <v>10000</v>
      </c>
      <c r="L140">
        <v>90130</v>
      </c>
      <c r="M140" t="s">
        <v>6733</v>
      </c>
      <c r="N140" t="s">
        <v>45</v>
      </c>
      <c r="O140" s="10">
        <v>44225</v>
      </c>
      <c r="R140" t="s">
        <v>8883</v>
      </c>
      <c r="S140">
        <v>3083029</v>
      </c>
      <c r="T140" t="s">
        <v>7145</v>
      </c>
      <c r="U140" t="s">
        <v>46</v>
      </c>
      <c r="V140" s="10">
        <v>25922</v>
      </c>
      <c r="W140" s="6">
        <v>8327</v>
      </c>
      <c r="X140" t="s">
        <v>8884</v>
      </c>
      <c r="Y140" t="s">
        <v>7146</v>
      </c>
      <c r="Z140" t="s">
        <v>7147</v>
      </c>
      <c r="AA140">
        <v>77088</v>
      </c>
      <c r="AF140" t="s">
        <v>7147</v>
      </c>
      <c r="AG140" t="s">
        <v>49</v>
      </c>
    </row>
    <row r="141" spans="1:33" x14ac:dyDescent="0.2">
      <c r="A141" s="27"/>
      <c r="B141" s="25">
        <v>44225</v>
      </c>
      <c r="C141">
        <v>2</v>
      </c>
      <c r="D141" s="11">
        <v>234315401010</v>
      </c>
      <c r="E141" s="10">
        <v>12721</v>
      </c>
      <c r="F141" t="s">
        <v>7163</v>
      </c>
      <c r="G141" t="s">
        <v>7144</v>
      </c>
      <c r="H141">
        <v>15</v>
      </c>
      <c r="I141" t="s">
        <v>44</v>
      </c>
      <c r="J141" t="s">
        <v>7145</v>
      </c>
      <c r="K141">
        <v>100</v>
      </c>
      <c r="L141">
        <v>210097</v>
      </c>
      <c r="M141" t="s">
        <v>58</v>
      </c>
      <c r="N141" t="s">
        <v>46</v>
      </c>
      <c r="O141" s="10">
        <v>44230</v>
      </c>
      <c r="R141" t="s">
        <v>8710</v>
      </c>
      <c r="S141">
        <v>2481786</v>
      </c>
      <c r="T141" t="s">
        <v>50</v>
      </c>
      <c r="U141" t="s">
        <v>46</v>
      </c>
      <c r="V141" s="10">
        <v>33090</v>
      </c>
      <c r="W141" s="6">
        <v>8622</v>
      </c>
      <c r="X141" t="s">
        <v>8711</v>
      </c>
      <c r="Y141" t="s">
        <v>7146</v>
      </c>
      <c r="Z141" t="s">
        <v>7147</v>
      </c>
      <c r="AA141">
        <v>77071</v>
      </c>
      <c r="AF141" t="s">
        <v>7150</v>
      </c>
      <c r="AG141" t="s">
        <v>47</v>
      </c>
    </row>
    <row r="142" spans="1:33" x14ac:dyDescent="0.2">
      <c r="A142" s="27"/>
      <c r="B142" s="25">
        <v>44225</v>
      </c>
      <c r="C142">
        <v>2</v>
      </c>
      <c r="D142" s="11">
        <v>234316801010</v>
      </c>
      <c r="E142" s="10">
        <v>12721</v>
      </c>
      <c r="F142" t="s">
        <v>7163</v>
      </c>
      <c r="G142" t="s">
        <v>7144</v>
      </c>
      <c r="H142">
        <v>5</v>
      </c>
      <c r="I142" t="s">
        <v>44</v>
      </c>
      <c r="J142" t="s">
        <v>7145</v>
      </c>
      <c r="K142">
        <v>3000</v>
      </c>
      <c r="L142">
        <v>131420</v>
      </c>
      <c r="M142" t="s">
        <v>53</v>
      </c>
      <c r="N142" t="s">
        <v>46</v>
      </c>
      <c r="O142" s="10">
        <v>44225</v>
      </c>
      <c r="R142" t="s">
        <v>8692</v>
      </c>
      <c r="S142">
        <v>2567085</v>
      </c>
      <c r="T142" t="s">
        <v>50</v>
      </c>
      <c r="U142" t="s">
        <v>46</v>
      </c>
      <c r="V142" s="10">
        <v>34094</v>
      </c>
      <c r="W142" s="6">
        <v>8800</v>
      </c>
      <c r="X142" t="s">
        <v>8693</v>
      </c>
      <c r="Y142" t="s">
        <v>7146</v>
      </c>
      <c r="Z142" t="s">
        <v>7147</v>
      </c>
      <c r="AA142">
        <v>77080</v>
      </c>
      <c r="AB142" t="s">
        <v>7183</v>
      </c>
      <c r="AC142">
        <v>1901925</v>
      </c>
      <c r="AD142" t="s">
        <v>7161</v>
      </c>
      <c r="AE142" t="s">
        <v>7162</v>
      </c>
      <c r="AF142" t="s">
        <v>7175</v>
      </c>
      <c r="AG142" t="s">
        <v>49</v>
      </c>
    </row>
    <row r="143" spans="1:33" x14ac:dyDescent="0.2">
      <c r="A143" s="27"/>
      <c r="B143" s="25">
        <v>44225</v>
      </c>
      <c r="C143">
        <v>2</v>
      </c>
      <c r="D143" s="11">
        <v>234308601010</v>
      </c>
      <c r="E143" s="10">
        <v>12621</v>
      </c>
      <c r="F143" t="s">
        <v>7163</v>
      </c>
      <c r="G143" t="s">
        <v>7144</v>
      </c>
      <c r="H143">
        <v>14</v>
      </c>
      <c r="I143" t="s">
        <v>44</v>
      </c>
      <c r="J143" t="s">
        <v>7145</v>
      </c>
      <c r="K143">
        <v>1000</v>
      </c>
      <c r="L143">
        <v>131420</v>
      </c>
      <c r="M143" t="s">
        <v>53</v>
      </c>
      <c r="N143" t="s">
        <v>46</v>
      </c>
      <c r="O143" s="10">
        <v>44229</v>
      </c>
      <c r="R143" t="s">
        <v>8699</v>
      </c>
      <c r="S143">
        <v>3082898</v>
      </c>
      <c r="T143" t="s">
        <v>50</v>
      </c>
      <c r="U143" t="s">
        <v>46</v>
      </c>
      <c r="V143" s="10">
        <v>37104</v>
      </c>
      <c r="W143" s="6">
        <v>8939</v>
      </c>
      <c r="X143" t="s">
        <v>8700</v>
      </c>
      <c r="Y143" t="s">
        <v>7146</v>
      </c>
      <c r="Z143" t="s">
        <v>7147</v>
      </c>
      <c r="AA143">
        <v>77049</v>
      </c>
      <c r="AF143" t="s">
        <v>7154</v>
      </c>
      <c r="AG143" t="s">
        <v>49</v>
      </c>
    </row>
    <row r="144" spans="1:33" x14ac:dyDescent="0.2">
      <c r="A144" s="27"/>
      <c r="B144" s="25">
        <v>44225</v>
      </c>
      <c r="C144">
        <v>3</v>
      </c>
      <c r="D144" s="11">
        <v>170792501010</v>
      </c>
      <c r="E144" s="10">
        <v>12421</v>
      </c>
      <c r="F144" t="s">
        <v>7143</v>
      </c>
      <c r="G144" t="s">
        <v>7144</v>
      </c>
      <c r="H144">
        <v>179</v>
      </c>
      <c r="I144" t="s">
        <v>44</v>
      </c>
      <c r="J144" t="s">
        <v>7145</v>
      </c>
      <c r="K144">
        <v>2500</v>
      </c>
      <c r="L144">
        <v>260445</v>
      </c>
      <c r="M144" t="s">
        <v>217</v>
      </c>
      <c r="N144" t="s">
        <v>45</v>
      </c>
      <c r="O144" s="10">
        <v>44307</v>
      </c>
      <c r="R144" t="s">
        <v>7925</v>
      </c>
      <c r="S144">
        <v>3082638</v>
      </c>
      <c r="T144" t="s">
        <v>50</v>
      </c>
      <c r="U144" t="s">
        <v>45</v>
      </c>
      <c r="V144" s="10">
        <v>37149</v>
      </c>
      <c r="W144" s="6">
        <v>8963</v>
      </c>
      <c r="X144" t="s">
        <v>7926</v>
      </c>
      <c r="Y144" t="s">
        <v>7146</v>
      </c>
      <c r="Z144" t="s">
        <v>7147</v>
      </c>
      <c r="AA144">
        <v>77074</v>
      </c>
      <c r="AB144" t="s">
        <v>8271</v>
      </c>
      <c r="AC144">
        <v>1903252</v>
      </c>
      <c r="AD144" t="s">
        <v>7148</v>
      </c>
      <c r="AE144" t="s">
        <v>7149</v>
      </c>
      <c r="AF144" t="s">
        <v>7154</v>
      </c>
      <c r="AG144" t="s">
        <v>49</v>
      </c>
    </row>
    <row r="145" spans="1:33" x14ac:dyDescent="0.2">
      <c r="A145" s="27"/>
      <c r="B145" s="1">
        <v>44225</v>
      </c>
      <c r="C145">
        <v>3</v>
      </c>
      <c r="D145" s="11">
        <v>170802001010</v>
      </c>
      <c r="E145" s="10">
        <v>12521</v>
      </c>
      <c r="F145" t="s">
        <v>7143</v>
      </c>
      <c r="G145" t="s">
        <v>7144</v>
      </c>
      <c r="H145">
        <v>351</v>
      </c>
      <c r="I145" t="s">
        <v>44</v>
      </c>
      <c r="J145" t="s">
        <v>7145</v>
      </c>
      <c r="K145">
        <v>25000</v>
      </c>
      <c r="L145">
        <v>139903</v>
      </c>
      <c r="M145" t="s">
        <v>214</v>
      </c>
      <c r="N145" t="s">
        <v>45</v>
      </c>
      <c r="O145" s="10">
        <v>44299</v>
      </c>
      <c r="R145" t="s">
        <v>8223</v>
      </c>
      <c r="S145">
        <v>2736866</v>
      </c>
      <c r="T145" t="s">
        <v>50</v>
      </c>
      <c r="U145" t="s">
        <v>46</v>
      </c>
      <c r="V145" s="10">
        <v>35451</v>
      </c>
      <c r="W145" s="6">
        <v>9005</v>
      </c>
      <c r="X145" t="s">
        <v>8224</v>
      </c>
      <c r="Y145" t="s">
        <v>7146</v>
      </c>
      <c r="Z145" t="s">
        <v>7147</v>
      </c>
      <c r="AA145">
        <v>77055</v>
      </c>
      <c r="AB145" t="s">
        <v>8901</v>
      </c>
      <c r="AC145">
        <v>1901668</v>
      </c>
      <c r="AD145" t="s">
        <v>7148</v>
      </c>
      <c r="AE145" t="s">
        <v>7149</v>
      </c>
      <c r="AF145" t="s">
        <v>7150</v>
      </c>
      <c r="AG145" t="s">
        <v>7151</v>
      </c>
    </row>
    <row r="146" spans="1:33" x14ac:dyDescent="0.2">
      <c r="A146" s="27"/>
      <c r="B146" s="25">
        <v>44225</v>
      </c>
      <c r="C146">
        <v>3</v>
      </c>
      <c r="D146" s="11">
        <v>170794801010</v>
      </c>
      <c r="E146" s="10">
        <v>12421</v>
      </c>
      <c r="F146" t="s">
        <v>7143</v>
      </c>
      <c r="G146" t="s">
        <v>7144</v>
      </c>
      <c r="H146">
        <v>262</v>
      </c>
      <c r="I146" t="s">
        <v>44</v>
      </c>
      <c r="J146" t="s">
        <v>7145</v>
      </c>
      <c r="K146">
        <v>15000</v>
      </c>
      <c r="L146">
        <v>139909</v>
      </c>
      <c r="M146" t="s">
        <v>215</v>
      </c>
      <c r="N146" t="s">
        <v>45</v>
      </c>
      <c r="O146" s="10">
        <v>44301</v>
      </c>
      <c r="R146" t="s">
        <v>7912</v>
      </c>
      <c r="S146">
        <v>2772353</v>
      </c>
      <c r="T146" t="s">
        <v>50</v>
      </c>
      <c r="U146" t="s">
        <v>46</v>
      </c>
      <c r="V146" s="10">
        <v>35362</v>
      </c>
      <c r="W146" s="6">
        <v>9006</v>
      </c>
      <c r="X146" t="s">
        <v>7913</v>
      </c>
      <c r="Y146" t="s">
        <v>7146</v>
      </c>
      <c r="Z146" t="s">
        <v>7147</v>
      </c>
      <c r="AA146">
        <v>77078</v>
      </c>
      <c r="AF146" t="s">
        <v>7147</v>
      </c>
      <c r="AG146" t="s">
        <v>49</v>
      </c>
    </row>
    <row r="147" spans="1:33" x14ac:dyDescent="0.2">
      <c r="A147" s="27"/>
      <c r="B147" s="25">
        <v>44225</v>
      </c>
      <c r="C147">
        <v>3</v>
      </c>
      <c r="D147" s="11">
        <v>170800701010</v>
      </c>
      <c r="E147" s="10">
        <v>12421</v>
      </c>
      <c r="F147" t="s">
        <v>7143</v>
      </c>
      <c r="G147" t="s">
        <v>7144</v>
      </c>
      <c r="H147">
        <v>184</v>
      </c>
      <c r="I147" t="s">
        <v>44</v>
      </c>
      <c r="J147" t="s">
        <v>7145</v>
      </c>
      <c r="K147">
        <v>2500</v>
      </c>
      <c r="L147">
        <v>230152</v>
      </c>
      <c r="M147" t="s">
        <v>189</v>
      </c>
      <c r="N147" t="s">
        <v>45</v>
      </c>
      <c r="O147" s="10">
        <v>44314</v>
      </c>
      <c r="R147" t="s">
        <v>8251</v>
      </c>
      <c r="S147">
        <v>2486518</v>
      </c>
      <c r="T147" t="s">
        <v>7145</v>
      </c>
      <c r="U147" t="s">
        <v>46</v>
      </c>
      <c r="V147" s="10">
        <v>33640</v>
      </c>
      <c r="W147" s="6">
        <v>9618</v>
      </c>
      <c r="X147" t="s">
        <v>8252</v>
      </c>
      <c r="Y147" t="s">
        <v>7146</v>
      </c>
      <c r="Z147" t="s">
        <v>7147</v>
      </c>
      <c r="AA147">
        <v>77051</v>
      </c>
      <c r="AB147" t="s">
        <v>8253</v>
      </c>
      <c r="AC147">
        <v>2078587</v>
      </c>
      <c r="AD147" t="s">
        <v>7148</v>
      </c>
      <c r="AE147" t="s">
        <v>7149</v>
      </c>
      <c r="AF147" t="s">
        <v>7147</v>
      </c>
      <c r="AG147" t="s">
        <v>49</v>
      </c>
    </row>
    <row r="148" spans="1:33" x14ac:dyDescent="0.2">
      <c r="A148" s="27"/>
      <c r="B148" s="25">
        <v>44225</v>
      </c>
      <c r="C148">
        <v>3</v>
      </c>
      <c r="D148" s="11">
        <v>170858301010</v>
      </c>
      <c r="E148" s="10">
        <v>12821</v>
      </c>
      <c r="F148" t="s">
        <v>7143</v>
      </c>
      <c r="G148" t="s">
        <v>7144</v>
      </c>
      <c r="H148">
        <v>178</v>
      </c>
      <c r="I148" t="s">
        <v>44</v>
      </c>
      <c r="J148" t="s">
        <v>7145</v>
      </c>
      <c r="K148">
        <v>2500</v>
      </c>
      <c r="L148">
        <v>480127</v>
      </c>
      <c r="M148" t="s">
        <v>185</v>
      </c>
      <c r="N148" t="s">
        <v>45</v>
      </c>
      <c r="O148" s="10">
        <v>44228</v>
      </c>
      <c r="R148" t="s">
        <v>8988</v>
      </c>
      <c r="S148">
        <v>3083155</v>
      </c>
      <c r="T148" t="s">
        <v>50</v>
      </c>
      <c r="U148" t="s">
        <v>46</v>
      </c>
      <c r="V148" s="10">
        <v>37867</v>
      </c>
      <c r="W148" s="6">
        <v>9630</v>
      </c>
      <c r="X148" t="s">
        <v>8989</v>
      </c>
      <c r="Y148" t="s">
        <v>7146</v>
      </c>
      <c r="Z148" t="s">
        <v>7147</v>
      </c>
      <c r="AA148">
        <v>77080</v>
      </c>
      <c r="AF148" t="s">
        <v>7147</v>
      </c>
      <c r="AG148" t="s">
        <v>49</v>
      </c>
    </row>
    <row r="149" spans="1:33" x14ac:dyDescent="0.2">
      <c r="A149" s="27"/>
      <c r="B149" s="25">
        <v>44225</v>
      </c>
      <c r="C149">
        <v>3</v>
      </c>
      <c r="D149" s="11">
        <v>170800601010</v>
      </c>
      <c r="E149" s="10">
        <v>12421</v>
      </c>
      <c r="F149" t="s">
        <v>7143</v>
      </c>
      <c r="G149" t="s">
        <v>7144</v>
      </c>
      <c r="H149">
        <v>176</v>
      </c>
      <c r="I149" t="s">
        <v>44</v>
      </c>
      <c r="J149" t="s">
        <v>7145</v>
      </c>
      <c r="K149">
        <v>5000</v>
      </c>
      <c r="L149">
        <v>139986</v>
      </c>
      <c r="M149" t="s">
        <v>241</v>
      </c>
      <c r="N149" t="s">
        <v>45</v>
      </c>
      <c r="O149" s="10">
        <v>44313</v>
      </c>
      <c r="R149" t="s">
        <v>7914</v>
      </c>
      <c r="S149">
        <v>3046886</v>
      </c>
      <c r="T149" t="s">
        <v>7145</v>
      </c>
      <c r="U149" t="s">
        <v>46</v>
      </c>
      <c r="V149" s="10">
        <v>35313</v>
      </c>
      <c r="W149" s="6">
        <v>9651</v>
      </c>
      <c r="X149" t="s">
        <v>7915</v>
      </c>
      <c r="Y149" t="s">
        <v>7146</v>
      </c>
      <c r="Z149" t="s">
        <v>7147</v>
      </c>
      <c r="AA149">
        <v>77078</v>
      </c>
      <c r="AF149" t="s">
        <v>7147</v>
      </c>
      <c r="AG149" t="s">
        <v>49</v>
      </c>
    </row>
    <row r="150" spans="1:33" x14ac:dyDescent="0.2">
      <c r="A150" s="27"/>
      <c r="B150" s="25">
        <v>44225</v>
      </c>
      <c r="C150">
        <v>3</v>
      </c>
      <c r="D150" s="11">
        <v>170846901010</v>
      </c>
      <c r="E150" s="10">
        <v>12721</v>
      </c>
      <c r="F150" t="s">
        <v>7143</v>
      </c>
      <c r="G150" t="s">
        <v>7144</v>
      </c>
      <c r="H150">
        <v>185</v>
      </c>
      <c r="I150" t="s">
        <v>44</v>
      </c>
      <c r="J150" t="s">
        <v>7145</v>
      </c>
      <c r="K150">
        <v>1500</v>
      </c>
      <c r="L150">
        <v>210094</v>
      </c>
      <c r="M150" t="s">
        <v>58</v>
      </c>
      <c r="N150" t="s">
        <v>45</v>
      </c>
      <c r="O150" s="10">
        <v>44225</v>
      </c>
      <c r="R150" t="s">
        <v>8936</v>
      </c>
      <c r="S150">
        <v>999644</v>
      </c>
      <c r="T150" t="s">
        <v>7145</v>
      </c>
      <c r="U150" t="s">
        <v>46</v>
      </c>
      <c r="V150" s="10">
        <v>22707</v>
      </c>
      <c r="W150" s="6">
        <v>9700</v>
      </c>
      <c r="X150" t="s">
        <v>8937</v>
      </c>
      <c r="Y150" t="s">
        <v>7146</v>
      </c>
      <c r="Z150" t="s">
        <v>7147</v>
      </c>
      <c r="AA150">
        <v>77078</v>
      </c>
      <c r="AF150" t="s">
        <v>7147</v>
      </c>
      <c r="AG150" t="s">
        <v>49</v>
      </c>
    </row>
    <row r="151" spans="1:33" x14ac:dyDescent="0.2">
      <c r="A151" s="27"/>
      <c r="B151" s="25">
        <v>44225</v>
      </c>
      <c r="C151">
        <v>3</v>
      </c>
      <c r="D151" s="11">
        <v>170842501010</v>
      </c>
      <c r="E151" s="10">
        <v>12721</v>
      </c>
      <c r="F151" t="s">
        <v>7143</v>
      </c>
      <c r="G151" t="s">
        <v>7144</v>
      </c>
      <c r="H151">
        <v>228</v>
      </c>
      <c r="I151" t="s">
        <v>44</v>
      </c>
      <c r="J151" t="s">
        <v>7145</v>
      </c>
      <c r="K151">
        <v>2500</v>
      </c>
      <c r="L151">
        <v>290152</v>
      </c>
      <c r="M151" t="s">
        <v>204</v>
      </c>
      <c r="N151" t="s">
        <v>45</v>
      </c>
      <c r="O151" s="10">
        <v>44225</v>
      </c>
      <c r="R151" t="s">
        <v>8963</v>
      </c>
      <c r="S151">
        <v>1770614</v>
      </c>
      <c r="T151" t="s">
        <v>7145</v>
      </c>
      <c r="U151" t="s">
        <v>46</v>
      </c>
      <c r="V151" s="10">
        <v>29984</v>
      </c>
      <c r="W151" s="6">
        <v>9818</v>
      </c>
      <c r="X151" t="s">
        <v>8964</v>
      </c>
      <c r="Y151" t="s">
        <v>7146</v>
      </c>
      <c r="Z151" t="s">
        <v>7147</v>
      </c>
      <c r="AA151">
        <v>77038</v>
      </c>
      <c r="AF151" t="s">
        <v>7147</v>
      </c>
      <c r="AG151" t="s">
        <v>49</v>
      </c>
    </row>
    <row r="152" spans="1:33" x14ac:dyDescent="0.2">
      <c r="A152" s="27"/>
      <c r="B152" s="25">
        <v>44225</v>
      </c>
      <c r="C152">
        <v>3</v>
      </c>
      <c r="D152" s="11">
        <v>170843201010</v>
      </c>
      <c r="E152" s="10">
        <v>12721</v>
      </c>
      <c r="F152" t="s">
        <v>7143</v>
      </c>
      <c r="G152" t="s">
        <v>7144</v>
      </c>
      <c r="H152">
        <v>230</v>
      </c>
      <c r="I152" t="s">
        <v>44</v>
      </c>
      <c r="J152" t="s">
        <v>7145</v>
      </c>
      <c r="K152">
        <v>2500</v>
      </c>
      <c r="L152">
        <v>260445</v>
      </c>
      <c r="M152" t="s">
        <v>217</v>
      </c>
      <c r="N152" t="s">
        <v>45</v>
      </c>
      <c r="O152" s="10">
        <v>44225</v>
      </c>
      <c r="R152" t="s">
        <v>8733</v>
      </c>
      <c r="S152">
        <v>3048921</v>
      </c>
      <c r="T152" t="s">
        <v>7145</v>
      </c>
      <c r="U152" t="s">
        <v>45</v>
      </c>
      <c r="V152" s="10">
        <v>37275</v>
      </c>
      <c r="W152" s="6">
        <v>9900</v>
      </c>
      <c r="X152" t="s">
        <v>8734</v>
      </c>
      <c r="Y152" t="s">
        <v>8735</v>
      </c>
      <c r="Z152" t="s">
        <v>7147</v>
      </c>
      <c r="AA152">
        <v>77385</v>
      </c>
      <c r="AF152" t="s">
        <v>7150</v>
      </c>
      <c r="AG152" t="s">
        <v>47</v>
      </c>
    </row>
    <row r="153" spans="1:33" x14ac:dyDescent="0.2">
      <c r="A153" s="27"/>
      <c r="B153" s="25">
        <v>44225</v>
      </c>
      <c r="C153">
        <v>3</v>
      </c>
      <c r="D153" s="11">
        <v>170798901010</v>
      </c>
      <c r="E153" s="10">
        <v>12421</v>
      </c>
      <c r="F153" t="s">
        <v>7143</v>
      </c>
      <c r="G153" t="s">
        <v>7144</v>
      </c>
      <c r="H153">
        <v>337</v>
      </c>
      <c r="I153" t="s">
        <v>44</v>
      </c>
      <c r="J153" t="s">
        <v>7145</v>
      </c>
      <c r="K153">
        <v>30000</v>
      </c>
      <c r="L153">
        <v>131421</v>
      </c>
      <c r="M153" t="s">
        <v>187</v>
      </c>
      <c r="N153" t="s">
        <v>45</v>
      </c>
      <c r="O153" s="10">
        <v>44267</v>
      </c>
      <c r="R153" t="s">
        <v>8923</v>
      </c>
      <c r="S153">
        <v>3082679</v>
      </c>
      <c r="T153" t="s">
        <v>44</v>
      </c>
      <c r="U153" t="s">
        <v>46</v>
      </c>
      <c r="V153" s="10">
        <v>27951</v>
      </c>
      <c r="W153" s="6">
        <v>10325</v>
      </c>
      <c r="X153" t="s">
        <v>8924</v>
      </c>
      <c r="Y153" t="s">
        <v>7146</v>
      </c>
      <c r="Z153" t="s">
        <v>7147</v>
      </c>
      <c r="AA153">
        <v>77070</v>
      </c>
      <c r="AB153" t="s">
        <v>8680</v>
      </c>
      <c r="AC153">
        <v>1728540</v>
      </c>
      <c r="AD153" t="s">
        <v>7148</v>
      </c>
      <c r="AE153" t="s">
        <v>7149</v>
      </c>
      <c r="AF153" t="s">
        <v>7150</v>
      </c>
      <c r="AG153" t="s">
        <v>47</v>
      </c>
    </row>
    <row r="154" spans="1:33" x14ac:dyDescent="0.2">
      <c r="A154" s="27"/>
      <c r="B154" s="25">
        <v>44225</v>
      </c>
      <c r="C154">
        <v>2</v>
      </c>
      <c r="D154" s="11">
        <v>234303601010</v>
      </c>
      <c r="E154" s="10">
        <v>12621</v>
      </c>
      <c r="F154" t="s">
        <v>7163</v>
      </c>
      <c r="G154" t="s">
        <v>7144</v>
      </c>
      <c r="H154">
        <v>11</v>
      </c>
      <c r="I154" t="s">
        <v>44</v>
      </c>
      <c r="J154" t="s">
        <v>7145</v>
      </c>
      <c r="K154">
        <v>100</v>
      </c>
      <c r="L154">
        <v>290156</v>
      </c>
      <c r="M154" t="s">
        <v>67</v>
      </c>
      <c r="N154" t="s">
        <v>46</v>
      </c>
      <c r="O154" s="10">
        <v>44231</v>
      </c>
      <c r="R154" t="s">
        <v>8736</v>
      </c>
      <c r="S154">
        <v>2014752</v>
      </c>
      <c r="T154" t="s">
        <v>50</v>
      </c>
      <c r="U154" t="s">
        <v>46</v>
      </c>
      <c r="V154" s="10">
        <v>30063</v>
      </c>
      <c r="W154" s="6">
        <v>10426</v>
      </c>
      <c r="X154" t="s">
        <v>8737</v>
      </c>
      <c r="Y154" t="s">
        <v>7357</v>
      </c>
      <c r="Z154" t="s">
        <v>7147</v>
      </c>
      <c r="AA154">
        <v>77029</v>
      </c>
      <c r="AF154" t="s">
        <v>7150</v>
      </c>
      <c r="AG154" t="s">
        <v>47</v>
      </c>
    </row>
    <row r="155" spans="1:33" x14ac:dyDescent="0.2">
      <c r="A155" s="27"/>
      <c r="B155" s="25">
        <v>44225</v>
      </c>
      <c r="C155">
        <v>2</v>
      </c>
      <c r="D155" s="11">
        <v>234321501010</v>
      </c>
      <c r="E155" s="10">
        <v>12721</v>
      </c>
      <c r="F155" t="s">
        <v>7163</v>
      </c>
      <c r="G155" t="s">
        <v>7144</v>
      </c>
      <c r="H155">
        <v>6</v>
      </c>
      <c r="I155" t="s">
        <v>44</v>
      </c>
      <c r="J155" t="s">
        <v>7145</v>
      </c>
      <c r="K155">
        <v>100</v>
      </c>
      <c r="L155">
        <v>210097</v>
      </c>
      <c r="M155" t="s">
        <v>58</v>
      </c>
      <c r="N155" t="s">
        <v>46</v>
      </c>
      <c r="O155" s="10">
        <v>44230</v>
      </c>
      <c r="R155" t="s">
        <v>8712</v>
      </c>
      <c r="S155">
        <v>1791948</v>
      </c>
      <c r="T155" t="s">
        <v>50</v>
      </c>
      <c r="U155" t="s">
        <v>46</v>
      </c>
      <c r="V155" s="10">
        <v>29337</v>
      </c>
      <c r="W155" s="6">
        <v>10934</v>
      </c>
      <c r="X155" t="s">
        <v>8713</v>
      </c>
      <c r="Y155" t="s">
        <v>7146</v>
      </c>
      <c r="Z155" t="s">
        <v>7147</v>
      </c>
      <c r="AA155">
        <v>77043</v>
      </c>
      <c r="AF155" t="s">
        <v>7147</v>
      </c>
      <c r="AG155" t="s">
        <v>49</v>
      </c>
    </row>
    <row r="156" spans="1:33" x14ac:dyDescent="0.2">
      <c r="A156" s="27"/>
      <c r="B156" s="25">
        <v>44225</v>
      </c>
      <c r="C156">
        <v>2</v>
      </c>
      <c r="D156" s="11">
        <v>234281501010</v>
      </c>
      <c r="E156" s="10">
        <v>12421</v>
      </c>
      <c r="F156" t="s">
        <v>7163</v>
      </c>
      <c r="G156" t="s">
        <v>7144</v>
      </c>
      <c r="H156">
        <v>12</v>
      </c>
      <c r="I156" t="s">
        <v>44</v>
      </c>
      <c r="J156" t="s">
        <v>7145</v>
      </c>
      <c r="K156">
        <v>1500</v>
      </c>
      <c r="L156">
        <v>131420</v>
      </c>
      <c r="M156" t="s">
        <v>53</v>
      </c>
      <c r="N156" t="s">
        <v>46</v>
      </c>
      <c r="O156" s="10">
        <v>44237</v>
      </c>
      <c r="R156" t="s">
        <v>7904</v>
      </c>
      <c r="S156">
        <v>2703494</v>
      </c>
      <c r="T156" t="s">
        <v>47</v>
      </c>
      <c r="U156" t="s">
        <v>45</v>
      </c>
      <c r="V156" s="10">
        <v>29351</v>
      </c>
      <c r="W156" s="6">
        <v>10950</v>
      </c>
      <c r="X156" t="s">
        <v>7905</v>
      </c>
      <c r="Y156" t="s">
        <v>7146</v>
      </c>
      <c r="Z156" t="s">
        <v>7147</v>
      </c>
      <c r="AA156">
        <v>77089</v>
      </c>
      <c r="AF156" t="s">
        <v>7150</v>
      </c>
      <c r="AG156" t="s">
        <v>47</v>
      </c>
    </row>
    <row r="157" spans="1:33" x14ac:dyDescent="0.2">
      <c r="A157" s="27"/>
      <c r="B157" s="25">
        <v>44225</v>
      </c>
      <c r="C157">
        <v>3</v>
      </c>
      <c r="D157" s="11">
        <v>170849501010</v>
      </c>
      <c r="E157" s="10">
        <v>12821</v>
      </c>
      <c r="F157" t="s">
        <v>7143</v>
      </c>
      <c r="G157" t="s">
        <v>7144</v>
      </c>
      <c r="H157">
        <v>339</v>
      </c>
      <c r="I157" t="s">
        <v>44</v>
      </c>
      <c r="J157" t="s">
        <v>7145</v>
      </c>
      <c r="K157">
        <v>20000</v>
      </c>
      <c r="L157">
        <v>220205</v>
      </c>
      <c r="M157" t="s">
        <v>181</v>
      </c>
      <c r="N157" t="s">
        <v>45</v>
      </c>
      <c r="O157" s="10">
        <v>44225</v>
      </c>
      <c r="R157" t="s">
        <v>8939</v>
      </c>
      <c r="S157">
        <v>2477770</v>
      </c>
      <c r="T157" t="s">
        <v>50</v>
      </c>
      <c r="U157" t="s">
        <v>45</v>
      </c>
      <c r="V157" s="10">
        <v>32868</v>
      </c>
      <c r="W157" s="6">
        <v>11118</v>
      </c>
      <c r="X157" t="s">
        <v>8938</v>
      </c>
      <c r="Y157" t="s">
        <v>7146</v>
      </c>
      <c r="Z157" t="s">
        <v>7147</v>
      </c>
      <c r="AA157">
        <v>77089</v>
      </c>
      <c r="AF157" t="s">
        <v>7150</v>
      </c>
      <c r="AG157" t="s">
        <v>47</v>
      </c>
    </row>
    <row r="158" spans="1:33" x14ac:dyDescent="0.2">
      <c r="A158" s="27"/>
      <c r="B158" s="25">
        <v>44225</v>
      </c>
      <c r="C158">
        <v>2</v>
      </c>
      <c r="D158" s="11">
        <v>234283301010</v>
      </c>
      <c r="E158" s="10">
        <v>12421</v>
      </c>
      <c r="F158" t="s">
        <v>7163</v>
      </c>
      <c r="G158" t="s">
        <v>7144</v>
      </c>
      <c r="H158">
        <v>1</v>
      </c>
      <c r="I158" t="s">
        <v>44</v>
      </c>
      <c r="J158" t="s">
        <v>7145</v>
      </c>
      <c r="K158">
        <v>100</v>
      </c>
      <c r="L158">
        <v>520301</v>
      </c>
      <c r="M158" t="s">
        <v>78</v>
      </c>
      <c r="N158" t="s">
        <v>46</v>
      </c>
      <c r="O158" s="10">
        <v>44225</v>
      </c>
      <c r="R158" t="s">
        <v>7951</v>
      </c>
      <c r="S158">
        <v>2956569</v>
      </c>
      <c r="T158" t="s">
        <v>50</v>
      </c>
      <c r="U158" t="s">
        <v>46</v>
      </c>
      <c r="V158" s="10">
        <v>34325</v>
      </c>
      <c r="W158" s="6">
        <v>11335</v>
      </c>
      <c r="X158" t="s">
        <v>7952</v>
      </c>
      <c r="Y158" t="s">
        <v>7146</v>
      </c>
      <c r="Z158" t="s">
        <v>7147</v>
      </c>
      <c r="AA158">
        <v>77016</v>
      </c>
      <c r="AF158" t="s">
        <v>7147</v>
      </c>
      <c r="AG158" t="s">
        <v>49</v>
      </c>
    </row>
    <row r="159" spans="1:33" x14ac:dyDescent="0.2">
      <c r="A159" s="27"/>
      <c r="B159" s="25">
        <v>44225</v>
      </c>
      <c r="C159">
        <v>2</v>
      </c>
      <c r="D159" s="11">
        <v>234332401010</v>
      </c>
      <c r="E159" s="10">
        <v>12821</v>
      </c>
      <c r="F159" t="s">
        <v>7163</v>
      </c>
      <c r="G159" t="s">
        <v>7144</v>
      </c>
      <c r="H159">
        <v>2</v>
      </c>
      <c r="I159" t="s">
        <v>44</v>
      </c>
      <c r="J159" t="s">
        <v>7145</v>
      </c>
      <c r="K159">
        <v>100</v>
      </c>
      <c r="L159">
        <v>239100</v>
      </c>
      <c r="M159" t="s">
        <v>64</v>
      </c>
      <c r="N159" t="s">
        <v>46</v>
      </c>
      <c r="O159" s="10">
        <v>44231</v>
      </c>
      <c r="R159" t="s">
        <v>8955</v>
      </c>
      <c r="S159">
        <v>1951099</v>
      </c>
      <c r="T159" t="s">
        <v>7145</v>
      </c>
      <c r="U159" t="s">
        <v>45</v>
      </c>
      <c r="V159" s="10">
        <v>30145</v>
      </c>
      <c r="W159" s="6">
        <v>12031</v>
      </c>
      <c r="X159" t="s">
        <v>8956</v>
      </c>
      <c r="Y159" t="s">
        <v>7146</v>
      </c>
      <c r="Z159" t="s">
        <v>7147</v>
      </c>
      <c r="AA159">
        <v>77047</v>
      </c>
      <c r="AF159" t="s">
        <v>7147</v>
      </c>
      <c r="AG159" t="s">
        <v>49</v>
      </c>
    </row>
    <row r="160" spans="1:33" x14ac:dyDescent="0.2">
      <c r="A160" s="27"/>
      <c r="B160" s="25">
        <v>44225</v>
      </c>
      <c r="C160">
        <v>3</v>
      </c>
      <c r="D160" s="11">
        <v>170800901010</v>
      </c>
      <c r="E160" s="10">
        <v>12421</v>
      </c>
      <c r="F160" t="s">
        <v>7143</v>
      </c>
      <c r="G160" t="s">
        <v>7144</v>
      </c>
      <c r="H160">
        <v>337</v>
      </c>
      <c r="I160" t="s">
        <v>44</v>
      </c>
      <c r="J160" t="s">
        <v>7145</v>
      </c>
      <c r="K160">
        <v>5000</v>
      </c>
      <c r="L160">
        <v>139909</v>
      </c>
      <c r="M160" t="s">
        <v>215</v>
      </c>
      <c r="N160" t="s">
        <v>45</v>
      </c>
      <c r="O160" s="10">
        <v>44256</v>
      </c>
      <c r="R160" t="s">
        <v>8227</v>
      </c>
      <c r="S160">
        <v>1106338</v>
      </c>
      <c r="T160" t="s">
        <v>50</v>
      </c>
      <c r="U160" t="s">
        <v>46</v>
      </c>
      <c r="V160" s="10">
        <v>24685</v>
      </c>
      <c r="W160" s="6">
        <v>12042</v>
      </c>
      <c r="X160" t="s">
        <v>8228</v>
      </c>
      <c r="Y160" t="s">
        <v>7146</v>
      </c>
      <c r="Z160" t="s">
        <v>7147</v>
      </c>
      <c r="AA160">
        <v>77067</v>
      </c>
      <c r="AB160" t="s">
        <v>8229</v>
      </c>
      <c r="AC160">
        <v>1576344</v>
      </c>
      <c r="AD160" t="s">
        <v>7148</v>
      </c>
      <c r="AE160" t="s">
        <v>7149</v>
      </c>
      <c r="AF160" t="s">
        <v>7175</v>
      </c>
      <c r="AG160" t="s">
        <v>7151</v>
      </c>
    </row>
    <row r="161" spans="1:33" x14ac:dyDescent="0.2">
      <c r="A161" s="27"/>
      <c r="B161" s="25">
        <v>44225</v>
      </c>
      <c r="C161">
        <v>2</v>
      </c>
      <c r="D161" s="11">
        <v>234322801010</v>
      </c>
      <c r="E161" s="10">
        <v>12821</v>
      </c>
      <c r="F161" t="s">
        <v>7163</v>
      </c>
      <c r="G161" t="s">
        <v>7144</v>
      </c>
      <c r="H161">
        <v>10</v>
      </c>
      <c r="I161" t="s">
        <v>44</v>
      </c>
      <c r="J161" t="s">
        <v>7145</v>
      </c>
      <c r="K161">
        <v>500</v>
      </c>
      <c r="L161">
        <v>480101</v>
      </c>
      <c r="M161" t="s">
        <v>71</v>
      </c>
      <c r="N161" t="s">
        <v>46</v>
      </c>
      <c r="O161" s="10">
        <v>44231</v>
      </c>
      <c r="R161" t="s">
        <v>8984</v>
      </c>
      <c r="S161">
        <v>3057285</v>
      </c>
      <c r="T161" t="s">
        <v>7145</v>
      </c>
      <c r="U161" t="s">
        <v>46</v>
      </c>
      <c r="V161" s="10">
        <v>37118</v>
      </c>
      <c r="W161" s="6">
        <v>12115</v>
      </c>
      <c r="X161" t="s">
        <v>8985</v>
      </c>
      <c r="Y161" t="s">
        <v>7146</v>
      </c>
      <c r="Z161" t="s">
        <v>7147</v>
      </c>
      <c r="AA161">
        <v>77033</v>
      </c>
      <c r="AF161" t="s">
        <v>7154</v>
      </c>
      <c r="AG161" t="s">
        <v>49</v>
      </c>
    </row>
    <row r="162" spans="1:33" x14ac:dyDescent="0.2">
      <c r="A162" s="27"/>
      <c r="B162" s="25">
        <v>44225</v>
      </c>
      <c r="C162">
        <v>2</v>
      </c>
      <c r="D162" s="11">
        <v>234311301010</v>
      </c>
      <c r="E162" s="10">
        <v>12721</v>
      </c>
      <c r="F162" t="s">
        <v>7163</v>
      </c>
      <c r="G162" t="s">
        <v>7144</v>
      </c>
      <c r="H162">
        <v>9</v>
      </c>
      <c r="I162" t="s">
        <v>44</v>
      </c>
      <c r="J162" t="s">
        <v>7145</v>
      </c>
      <c r="K162">
        <v>100</v>
      </c>
      <c r="L162">
        <v>239100</v>
      </c>
      <c r="M162" t="s">
        <v>64</v>
      </c>
      <c r="N162" t="s">
        <v>46</v>
      </c>
      <c r="O162" s="10">
        <v>44230</v>
      </c>
      <c r="R162" t="s">
        <v>8727</v>
      </c>
      <c r="S162">
        <v>2603145</v>
      </c>
      <c r="T162" t="s">
        <v>50</v>
      </c>
      <c r="U162" t="s">
        <v>46</v>
      </c>
      <c r="V162" s="10">
        <v>34397</v>
      </c>
      <c r="W162" s="6">
        <v>12150</v>
      </c>
      <c r="X162" t="s">
        <v>8728</v>
      </c>
      <c r="Y162" t="s">
        <v>8729</v>
      </c>
      <c r="Z162" t="s">
        <v>7147</v>
      </c>
      <c r="AA162">
        <v>78617</v>
      </c>
      <c r="AF162" t="s">
        <v>8730</v>
      </c>
      <c r="AG162" t="s">
        <v>49</v>
      </c>
    </row>
    <row r="163" spans="1:33" x14ac:dyDescent="0.2">
      <c r="A163" s="27"/>
      <c r="B163" s="25">
        <v>44225</v>
      </c>
      <c r="C163">
        <v>2</v>
      </c>
      <c r="D163" s="11">
        <v>234282201010</v>
      </c>
      <c r="E163" s="10">
        <v>12421</v>
      </c>
      <c r="F163" t="s">
        <v>7163</v>
      </c>
      <c r="G163" t="s">
        <v>7144</v>
      </c>
      <c r="H163">
        <v>2</v>
      </c>
      <c r="I163" t="s">
        <v>44</v>
      </c>
      <c r="J163" t="s">
        <v>7145</v>
      </c>
      <c r="K163">
        <v>2000</v>
      </c>
      <c r="L163">
        <v>131420</v>
      </c>
      <c r="M163" t="s">
        <v>53</v>
      </c>
      <c r="N163" t="s">
        <v>46</v>
      </c>
      <c r="O163" s="10">
        <v>44225</v>
      </c>
      <c r="R163" t="s">
        <v>7902</v>
      </c>
      <c r="S163">
        <v>3082686</v>
      </c>
      <c r="T163" t="s">
        <v>7145</v>
      </c>
      <c r="U163" t="s">
        <v>46</v>
      </c>
      <c r="V163" s="10">
        <v>23150</v>
      </c>
      <c r="W163" s="6">
        <v>12206</v>
      </c>
      <c r="X163" t="s">
        <v>7903</v>
      </c>
      <c r="Y163" t="s">
        <v>7167</v>
      </c>
      <c r="Z163" t="s">
        <v>7147</v>
      </c>
      <c r="AA163">
        <v>77346</v>
      </c>
      <c r="AF163" t="s">
        <v>7154</v>
      </c>
      <c r="AG163" t="s">
        <v>49</v>
      </c>
    </row>
    <row r="164" spans="1:33" x14ac:dyDescent="0.2">
      <c r="A164" s="27"/>
      <c r="B164" s="25">
        <v>44225</v>
      </c>
      <c r="C164">
        <v>3</v>
      </c>
      <c r="D164" s="11">
        <v>170831301010</v>
      </c>
      <c r="E164" s="10">
        <v>12721</v>
      </c>
      <c r="F164" t="s">
        <v>7143</v>
      </c>
      <c r="G164" t="s">
        <v>7144</v>
      </c>
      <c r="H164">
        <v>179</v>
      </c>
      <c r="I164" t="s">
        <v>44</v>
      </c>
      <c r="J164" t="s">
        <v>7145</v>
      </c>
      <c r="K164">
        <v>30000</v>
      </c>
      <c r="L164">
        <v>90320</v>
      </c>
      <c r="M164" t="s">
        <v>236</v>
      </c>
      <c r="N164" t="s">
        <v>45</v>
      </c>
      <c r="O164" s="10">
        <v>44228</v>
      </c>
      <c r="R164" t="s">
        <v>8885</v>
      </c>
      <c r="S164">
        <v>3082920</v>
      </c>
      <c r="T164" t="s">
        <v>7145</v>
      </c>
      <c r="U164" t="s">
        <v>45</v>
      </c>
      <c r="V164" s="10">
        <v>36776</v>
      </c>
      <c r="W164" s="6">
        <v>12360</v>
      </c>
      <c r="X164" t="s">
        <v>8886</v>
      </c>
      <c r="Y164" t="s">
        <v>7146</v>
      </c>
      <c r="Z164" t="s">
        <v>7147</v>
      </c>
      <c r="AA164">
        <v>77082</v>
      </c>
      <c r="AB164" t="s">
        <v>8887</v>
      </c>
      <c r="AC164">
        <v>1701766</v>
      </c>
      <c r="AD164" t="s">
        <v>7148</v>
      </c>
      <c r="AE164" t="s">
        <v>7149</v>
      </c>
      <c r="AF164" t="s">
        <v>7147</v>
      </c>
      <c r="AG164" t="s">
        <v>49</v>
      </c>
    </row>
    <row r="165" spans="1:33" x14ac:dyDescent="0.2">
      <c r="A165" s="27"/>
      <c r="B165" s="25">
        <v>44225</v>
      </c>
      <c r="C165">
        <v>2</v>
      </c>
      <c r="D165" s="11">
        <v>234277501010</v>
      </c>
      <c r="E165" s="10">
        <v>12421</v>
      </c>
      <c r="F165" t="s">
        <v>7163</v>
      </c>
      <c r="G165" t="s">
        <v>7144</v>
      </c>
      <c r="H165">
        <v>7</v>
      </c>
      <c r="I165" t="s">
        <v>44</v>
      </c>
      <c r="J165" t="s">
        <v>7145</v>
      </c>
      <c r="K165">
        <v>100</v>
      </c>
      <c r="L165">
        <v>131420</v>
      </c>
      <c r="M165" t="s">
        <v>53</v>
      </c>
      <c r="N165" t="s">
        <v>46</v>
      </c>
      <c r="O165" s="10">
        <v>44225</v>
      </c>
      <c r="R165" t="s">
        <v>7908</v>
      </c>
      <c r="S165">
        <v>2597551</v>
      </c>
      <c r="T165" t="s">
        <v>7145</v>
      </c>
      <c r="U165" t="s">
        <v>46</v>
      </c>
      <c r="V165" s="10">
        <v>33859</v>
      </c>
      <c r="W165" s="6">
        <v>12707</v>
      </c>
      <c r="X165" t="s">
        <v>7909</v>
      </c>
      <c r="Y165" t="s">
        <v>7146</v>
      </c>
      <c r="Z165" t="s">
        <v>7147</v>
      </c>
      <c r="AA165">
        <v>77072</v>
      </c>
      <c r="AF165" t="s">
        <v>7154</v>
      </c>
      <c r="AG165" t="s">
        <v>49</v>
      </c>
    </row>
    <row r="166" spans="1:33" x14ac:dyDescent="0.2">
      <c r="A166" s="27"/>
      <c r="B166" s="1">
        <v>44225</v>
      </c>
      <c r="C166">
        <v>2</v>
      </c>
      <c r="D166" s="11">
        <v>234287301010</v>
      </c>
      <c r="E166" s="10">
        <v>12521</v>
      </c>
      <c r="F166" t="s">
        <v>7163</v>
      </c>
      <c r="G166" t="s">
        <v>7144</v>
      </c>
      <c r="H166">
        <v>2</v>
      </c>
      <c r="I166" t="s">
        <v>44</v>
      </c>
      <c r="J166" t="s">
        <v>7145</v>
      </c>
      <c r="K166">
        <v>100</v>
      </c>
      <c r="L166">
        <v>520301</v>
      </c>
      <c r="M166" t="s">
        <v>78</v>
      </c>
      <c r="N166" t="s">
        <v>46</v>
      </c>
      <c r="O166" s="10">
        <v>44228</v>
      </c>
      <c r="R166" t="s">
        <v>8327</v>
      </c>
      <c r="S166">
        <v>3082706</v>
      </c>
      <c r="T166" t="s">
        <v>7145</v>
      </c>
      <c r="U166" t="s">
        <v>45</v>
      </c>
      <c r="V166" s="10">
        <v>36986</v>
      </c>
      <c r="W166" s="6">
        <v>12711</v>
      </c>
      <c r="X166" t="s">
        <v>8328</v>
      </c>
      <c r="Y166" t="s">
        <v>7146</v>
      </c>
      <c r="Z166" t="s">
        <v>7147</v>
      </c>
      <c r="AA166">
        <v>77044</v>
      </c>
      <c r="AF166" t="s">
        <v>7150</v>
      </c>
      <c r="AG166" t="s">
        <v>49</v>
      </c>
    </row>
    <row r="167" spans="1:33" x14ac:dyDescent="0.2">
      <c r="A167" s="27"/>
      <c r="B167" s="25">
        <v>44225</v>
      </c>
      <c r="C167">
        <v>3</v>
      </c>
      <c r="D167" s="11">
        <v>170838501010</v>
      </c>
      <c r="E167" s="10">
        <v>12721</v>
      </c>
      <c r="F167" t="s">
        <v>7143</v>
      </c>
      <c r="G167" t="s">
        <v>7144</v>
      </c>
      <c r="H167">
        <v>248</v>
      </c>
      <c r="I167" t="s">
        <v>44</v>
      </c>
      <c r="J167" t="s">
        <v>7145</v>
      </c>
      <c r="K167">
        <v>7500</v>
      </c>
      <c r="L167">
        <v>520303</v>
      </c>
      <c r="M167" t="s">
        <v>203</v>
      </c>
      <c r="N167" t="s">
        <v>45</v>
      </c>
      <c r="O167" s="10">
        <v>44257</v>
      </c>
      <c r="R167" t="s">
        <v>8755</v>
      </c>
      <c r="S167">
        <v>1765775</v>
      </c>
      <c r="T167" t="s">
        <v>50</v>
      </c>
      <c r="U167" t="s">
        <v>45</v>
      </c>
      <c r="V167" s="10">
        <v>30011</v>
      </c>
      <c r="W167" s="6">
        <v>12918</v>
      </c>
      <c r="X167" t="s">
        <v>8756</v>
      </c>
      <c r="Y167" t="s">
        <v>7146</v>
      </c>
      <c r="Z167" t="s">
        <v>7147</v>
      </c>
      <c r="AA167">
        <v>77044</v>
      </c>
      <c r="AF167" t="s">
        <v>7147</v>
      </c>
      <c r="AG167" t="s">
        <v>49</v>
      </c>
    </row>
    <row r="168" spans="1:33" x14ac:dyDescent="0.2">
      <c r="A168" s="27"/>
      <c r="B168" s="25">
        <v>44225</v>
      </c>
      <c r="C168">
        <v>2</v>
      </c>
      <c r="D168" s="11">
        <v>234272601010</v>
      </c>
      <c r="E168" s="10">
        <v>12421</v>
      </c>
      <c r="F168" t="s">
        <v>7163</v>
      </c>
      <c r="G168" t="s">
        <v>7144</v>
      </c>
      <c r="H168">
        <v>5</v>
      </c>
      <c r="I168" t="s">
        <v>44</v>
      </c>
      <c r="J168" t="s">
        <v>7145</v>
      </c>
      <c r="K168">
        <v>1500</v>
      </c>
      <c r="L168">
        <v>131420</v>
      </c>
      <c r="M168" t="s">
        <v>53</v>
      </c>
      <c r="N168" t="s">
        <v>46</v>
      </c>
      <c r="O168" s="10">
        <v>44225</v>
      </c>
      <c r="R168" t="s">
        <v>7910</v>
      </c>
      <c r="S168">
        <v>477101</v>
      </c>
      <c r="T168" t="s">
        <v>50</v>
      </c>
      <c r="U168" t="s">
        <v>46</v>
      </c>
      <c r="V168" s="10">
        <v>23007</v>
      </c>
      <c r="W168" s="6">
        <v>12923</v>
      </c>
      <c r="X168" t="s">
        <v>7911</v>
      </c>
      <c r="Y168" t="s">
        <v>7174</v>
      </c>
      <c r="Z168" t="s">
        <v>7147</v>
      </c>
      <c r="AA168">
        <v>77429</v>
      </c>
      <c r="AF168" t="s">
        <v>7177</v>
      </c>
      <c r="AG168" t="s">
        <v>49</v>
      </c>
    </row>
    <row r="169" spans="1:33" x14ac:dyDescent="0.2">
      <c r="A169" s="27"/>
      <c r="B169" s="25">
        <v>44225</v>
      </c>
      <c r="C169">
        <v>2</v>
      </c>
      <c r="D169" s="11">
        <v>234325701010</v>
      </c>
      <c r="E169" s="10">
        <v>12821</v>
      </c>
      <c r="F169" t="s">
        <v>7181</v>
      </c>
      <c r="G169" t="s">
        <v>7144</v>
      </c>
      <c r="H169">
        <v>5</v>
      </c>
      <c r="I169" t="s">
        <v>44</v>
      </c>
      <c r="J169" t="s">
        <v>7176</v>
      </c>
      <c r="K169">
        <v>100</v>
      </c>
      <c r="L169">
        <v>290156</v>
      </c>
      <c r="M169" t="s">
        <v>67</v>
      </c>
      <c r="N169" t="s">
        <v>46</v>
      </c>
      <c r="O169" s="10">
        <v>44244</v>
      </c>
      <c r="R169" t="s">
        <v>8969</v>
      </c>
      <c r="S169">
        <v>2353840</v>
      </c>
      <c r="T169" t="s">
        <v>7145</v>
      </c>
      <c r="U169" t="s">
        <v>46</v>
      </c>
      <c r="V169" s="10">
        <v>33327</v>
      </c>
      <c r="W169" s="6">
        <v>13111</v>
      </c>
      <c r="X169" t="s">
        <v>8970</v>
      </c>
      <c r="Y169" t="s">
        <v>7146</v>
      </c>
      <c r="Z169" t="s">
        <v>7147</v>
      </c>
      <c r="AA169">
        <v>77067</v>
      </c>
      <c r="AF169" t="s">
        <v>7157</v>
      </c>
      <c r="AG169" t="s">
        <v>49</v>
      </c>
    </row>
    <row r="170" spans="1:33" x14ac:dyDescent="0.2">
      <c r="A170" s="27"/>
      <c r="B170" s="1">
        <v>44225</v>
      </c>
      <c r="C170">
        <v>2</v>
      </c>
      <c r="D170" s="11">
        <v>234285401010</v>
      </c>
      <c r="E170" s="10">
        <v>12421</v>
      </c>
      <c r="F170" t="s">
        <v>7163</v>
      </c>
      <c r="G170" t="s">
        <v>7144</v>
      </c>
      <c r="H170">
        <v>12</v>
      </c>
      <c r="I170" t="s">
        <v>44</v>
      </c>
      <c r="J170" t="s">
        <v>7145</v>
      </c>
      <c r="K170">
        <v>100</v>
      </c>
      <c r="L170">
        <v>131302</v>
      </c>
      <c r="M170" t="s">
        <v>51</v>
      </c>
      <c r="N170" t="s">
        <v>46</v>
      </c>
      <c r="O170" s="10">
        <v>44225</v>
      </c>
      <c r="R170" t="s">
        <v>8157</v>
      </c>
      <c r="S170">
        <v>2680428</v>
      </c>
      <c r="T170" t="s">
        <v>50</v>
      </c>
      <c r="U170" t="s">
        <v>46</v>
      </c>
      <c r="V170" s="10">
        <v>31687</v>
      </c>
      <c r="W170" s="6">
        <v>13119</v>
      </c>
      <c r="X170" t="s">
        <v>8158</v>
      </c>
      <c r="Y170" t="s">
        <v>7146</v>
      </c>
      <c r="Z170" t="s">
        <v>7147</v>
      </c>
      <c r="AA170">
        <v>77014</v>
      </c>
      <c r="AB170" t="s">
        <v>8159</v>
      </c>
      <c r="AC170">
        <v>2432123</v>
      </c>
      <c r="AD170" t="s">
        <v>7161</v>
      </c>
      <c r="AE170" t="s">
        <v>7162</v>
      </c>
      <c r="AF170" t="s">
        <v>7150</v>
      </c>
      <c r="AG170" t="s">
        <v>49</v>
      </c>
    </row>
    <row r="171" spans="1:33" x14ac:dyDescent="0.2">
      <c r="A171" s="27"/>
      <c r="B171" s="25">
        <v>44225</v>
      </c>
      <c r="C171">
        <v>2</v>
      </c>
      <c r="D171" s="11">
        <v>234328401010</v>
      </c>
      <c r="E171" s="10">
        <v>12821</v>
      </c>
      <c r="F171" t="s">
        <v>7163</v>
      </c>
      <c r="G171" t="s">
        <v>7144</v>
      </c>
      <c r="H171">
        <v>7</v>
      </c>
      <c r="I171" t="s">
        <v>44</v>
      </c>
      <c r="J171" t="s">
        <v>7145</v>
      </c>
      <c r="K171">
        <v>1000</v>
      </c>
      <c r="L171">
        <v>131420</v>
      </c>
      <c r="M171" t="s">
        <v>53</v>
      </c>
      <c r="N171" t="s">
        <v>46</v>
      </c>
      <c r="O171" s="10">
        <v>44231</v>
      </c>
      <c r="R171" t="s">
        <v>8919</v>
      </c>
      <c r="S171">
        <v>3083119</v>
      </c>
      <c r="T171" t="s">
        <v>50</v>
      </c>
      <c r="U171" t="s">
        <v>45</v>
      </c>
      <c r="V171" s="10">
        <v>36798</v>
      </c>
      <c r="W171" s="6">
        <v>13205</v>
      </c>
      <c r="X171" t="s">
        <v>8920</v>
      </c>
      <c r="Y171" t="s">
        <v>7146</v>
      </c>
      <c r="Z171" t="s">
        <v>7147</v>
      </c>
      <c r="AA171">
        <v>77047</v>
      </c>
      <c r="AF171" t="s">
        <v>7150</v>
      </c>
      <c r="AG171" t="s">
        <v>49</v>
      </c>
    </row>
    <row r="172" spans="1:33" x14ac:dyDescent="0.2">
      <c r="A172" s="27"/>
      <c r="B172" s="25">
        <v>44225</v>
      </c>
      <c r="C172">
        <v>2</v>
      </c>
      <c r="D172" s="11">
        <v>234303201010</v>
      </c>
      <c r="E172" s="10">
        <v>12621</v>
      </c>
      <c r="F172" t="s">
        <v>7163</v>
      </c>
      <c r="G172" t="s">
        <v>7144</v>
      </c>
      <c r="H172">
        <v>16</v>
      </c>
      <c r="I172" t="s">
        <v>44</v>
      </c>
      <c r="J172" t="s">
        <v>7145</v>
      </c>
      <c r="K172">
        <v>5000</v>
      </c>
      <c r="L172">
        <v>520301</v>
      </c>
      <c r="M172" t="s">
        <v>78</v>
      </c>
      <c r="N172" t="s">
        <v>46</v>
      </c>
      <c r="O172" s="10">
        <v>44229</v>
      </c>
      <c r="R172" t="s">
        <v>8325</v>
      </c>
      <c r="S172">
        <v>2911478</v>
      </c>
      <c r="T172" t="s">
        <v>7145</v>
      </c>
      <c r="U172" t="s">
        <v>46</v>
      </c>
      <c r="V172" s="10">
        <v>36058</v>
      </c>
      <c r="W172" s="6">
        <v>13210</v>
      </c>
      <c r="X172" t="s">
        <v>8326</v>
      </c>
      <c r="Y172" t="s">
        <v>7146</v>
      </c>
      <c r="Z172" t="s">
        <v>7147</v>
      </c>
      <c r="AA172">
        <v>77015</v>
      </c>
      <c r="AF172" t="s">
        <v>7147</v>
      </c>
      <c r="AG172" t="s">
        <v>49</v>
      </c>
    </row>
    <row r="173" spans="1:33" x14ac:dyDescent="0.2">
      <c r="A173" s="27"/>
      <c r="B173" s="25">
        <v>44225</v>
      </c>
      <c r="C173">
        <v>3</v>
      </c>
      <c r="D173" s="11">
        <v>170848301010</v>
      </c>
      <c r="E173" s="10">
        <v>12721</v>
      </c>
      <c r="F173" t="s">
        <v>7143</v>
      </c>
      <c r="G173" t="s">
        <v>7144</v>
      </c>
      <c r="H173">
        <v>176</v>
      </c>
      <c r="I173" t="s">
        <v>44</v>
      </c>
      <c r="J173" t="s">
        <v>7145</v>
      </c>
      <c r="K173">
        <v>10000</v>
      </c>
      <c r="L173">
        <v>131421</v>
      </c>
      <c r="M173" t="s">
        <v>187</v>
      </c>
      <c r="N173" t="s">
        <v>45</v>
      </c>
      <c r="O173" s="10">
        <v>44225</v>
      </c>
      <c r="R173" t="s">
        <v>8926</v>
      </c>
      <c r="S173">
        <v>2419793</v>
      </c>
      <c r="T173" t="s">
        <v>50</v>
      </c>
      <c r="U173" t="s">
        <v>46</v>
      </c>
      <c r="V173" s="10">
        <v>33688</v>
      </c>
      <c r="W173" s="6">
        <v>13213</v>
      </c>
      <c r="X173" t="s">
        <v>8927</v>
      </c>
      <c r="Y173" t="s">
        <v>7146</v>
      </c>
      <c r="Z173" t="s">
        <v>7147</v>
      </c>
      <c r="AA173">
        <v>77049</v>
      </c>
      <c r="AF173" t="s">
        <v>7175</v>
      </c>
      <c r="AG173" t="s">
        <v>7151</v>
      </c>
    </row>
    <row r="174" spans="1:33" x14ac:dyDescent="0.2">
      <c r="A174" s="27"/>
      <c r="B174" s="25">
        <v>44225</v>
      </c>
      <c r="C174">
        <v>2</v>
      </c>
      <c r="D174" s="11">
        <v>234309101010</v>
      </c>
      <c r="E174" s="10">
        <v>12621</v>
      </c>
      <c r="F174" t="s">
        <v>7163</v>
      </c>
      <c r="G174" t="s">
        <v>7144</v>
      </c>
      <c r="H174">
        <v>2</v>
      </c>
      <c r="I174" t="s">
        <v>44</v>
      </c>
      <c r="J174" t="s">
        <v>7145</v>
      </c>
      <c r="K174">
        <v>5000</v>
      </c>
      <c r="L174">
        <v>131420</v>
      </c>
      <c r="M174" t="s">
        <v>53</v>
      </c>
      <c r="N174" t="s">
        <v>46</v>
      </c>
      <c r="O174" s="10">
        <v>44229</v>
      </c>
      <c r="R174" t="s">
        <v>8697</v>
      </c>
      <c r="S174">
        <v>3066370</v>
      </c>
      <c r="T174" t="s">
        <v>7145</v>
      </c>
      <c r="U174" t="s">
        <v>46</v>
      </c>
      <c r="V174" s="10">
        <v>37524</v>
      </c>
      <c r="W174" s="6">
        <v>13555</v>
      </c>
      <c r="X174" t="s">
        <v>8698</v>
      </c>
      <c r="Y174" t="s">
        <v>7146</v>
      </c>
      <c r="Z174" t="s">
        <v>7147</v>
      </c>
      <c r="AA174">
        <v>77070</v>
      </c>
      <c r="AF174" t="s">
        <v>7154</v>
      </c>
      <c r="AG174" t="s">
        <v>49</v>
      </c>
    </row>
    <row r="175" spans="1:33" x14ac:dyDescent="0.2">
      <c r="A175" s="27"/>
      <c r="B175" s="25">
        <v>44225</v>
      </c>
      <c r="C175">
        <v>2</v>
      </c>
      <c r="D175" s="11">
        <v>234320501010</v>
      </c>
      <c r="E175" s="10">
        <v>12721</v>
      </c>
      <c r="F175" t="s">
        <v>7163</v>
      </c>
      <c r="G175" t="s">
        <v>7144</v>
      </c>
      <c r="H175">
        <v>14</v>
      </c>
      <c r="I175" t="s">
        <v>44</v>
      </c>
      <c r="J175" t="s">
        <v>7145</v>
      </c>
      <c r="K175">
        <v>100</v>
      </c>
      <c r="L175">
        <v>490402</v>
      </c>
      <c r="M175" t="s">
        <v>5297</v>
      </c>
      <c r="N175" t="s">
        <v>46</v>
      </c>
      <c r="O175" s="10">
        <v>44230</v>
      </c>
      <c r="R175" t="s">
        <v>9002</v>
      </c>
      <c r="S175">
        <v>2932228</v>
      </c>
      <c r="T175" t="s">
        <v>50</v>
      </c>
      <c r="U175" t="s">
        <v>46</v>
      </c>
      <c r="V175" s="10">
        <v>26968</v>
      </c>
      <c r="W175" s="6">
        <v>13638</v>
      </c>
      <c r="X175" t="s">
        <v>9003</v>
      </c>
      <c r="Y175" t="s">
        <v>9004</v>
      </c>
      <c r="Z175" t="s">
        <v>7147</v>
      </c>
      <c r="AA175">
        <v>77378</v>
      </c>
      <c r="AF175" t="s">
        <v>7150</v>
      </c>
      <c r="AG175" t="s">
        <v>47</v>
      </c>
    </row>
    <row r="176" spans="1:33" x14ac:dyDescent="0.2">
      <c r="A176" s="27"/>
      <c r="B176" s="25">
        <v>44225</v>
      </c>
      <c r="C176">
        <v>2</v>
      </c>
      <c r="D176" s="11">
        <v>234332501010</v>
      </c>
      <c r="E176" s="10">
        <v>12821</v>
      </c>
      <c r="F176" t="s">
        <v>7163</v>
      </c>
      <c r="G176" t="s">
        <v>7144</v>
      </c>
      <c r="H176">
        <v>4</v>
      </c>
      <c r="I176" t="s">
        <v>44</v>
      </c>
      <c r="J176" t="s">
        <v>7145</v>
      </c>
      <c r="K176">
        <v>100</v>
      </c>
      <c r="L176">
        <v>380029</v>
      </c>
      <c r="M176" t="s">
        <v>68</v>
      </c>
      <c r="N176" t="s">
        <v>46</v>
      </c>
      <c r="O176" s="10">
        <v>44231</v>
      </c>
      <c r="R176" t="s">
        <v>8975</v>
      </c>
      <c r="S176">
        <v>2139051</v>
      </c>
      <c r="T176" t="s">
        <v>7145</v>
      </c>
      <c r="U176" t="s">
        <v>45</v>
      </c>
      <c r="V176" s="10">
        <v>25617</v>
      </c>
      <c r="W176" s="6">
        <v>13918</v>
      </c>
      <c r="X176" t="s">
        <v>8976</v>
      </c>
      <c r="Y176" t="s">
        <v>7146</v>
      </c>
      <c r="Z176" t="s">
        <v>7147</v>
      </c>
      <c r="AA176">
        <v>77014</v>
      </c>
      <c r="AF176" t="s">
        <v>7147</v>
      </c>
      <c r="AG176" t="s">
        <v>49</v>
      </c>
    </row>
    <row r="177" spans="1:33" x14ac:dyDescent="0.2">
      <c r="A177" s="27"/>
      <c r="B177" s="25">
        <v>44225</v>
      </c>
      <c r="C177">
        <v>2</v>
      </c>
      <c r="D177" s="11">
        <v>234282501010</v>
      </c>
      <c r="E177" s="10">
        <v>12421</v>
      </c>
      <c r="F177" t="s">
        <v>7163</v>
      </c>
      <c r="G177" t="s">
        <v>7144</v>
      </c>
      <c r="H177">
        <v>6</v>
      </c>
      <c r="I177" t="s">
        <v>44</v>
      </c>
      <c r="J177" t="s">
        <v>7145</v>
      </c>
      <c r="K177">
        <v>100</v>
      </c>
      <c r="L177">
        <v>260738</v>
      </c>
      <c r="M177" t="s">
        <v>7929</v>
      </c>
      <c r="N177" t="s">
        <v>46</v>
      </c>
      <c r="O177" s="10">
        <v>44287</v>
      </c>
      <c r="R177" t="s">
        <v>7930</v>
      </c>
      <c r="S177">
        <v>2788139</v>
      </c>
      <c r="T177" t="s">
        <v>50</v>
      </c>
      <c r="U177" t="s">
        <v>46</v>
      </c>
      <c r="V177" s="10">
        <v>34074</v>
      </c>
      <c r="W177" s="6">
        <v>14022</v>
      </c>
      <c r="X177" t="s">
        <v>7931</v>
      </c>
      <c r="Y177" t="s">
        <v>7146</v>
      </c>
      <c r="Z177" t="s">
        <v>7147</v>
      </c>
      <c r="AA177">
        <v>77014</v>
      </c>
      <c r="AF177" t="s">
        <v>7175</v>
      </c>
      <c r="AG177" t="s">
        <v>7151</v>
      </c>
    </row>
    <row r="178" spans="1:33" x14ac:dyDescent="0.2">
      <c r="A178" s="27"/>
      <c r="B178" s="25">
        <v>44225</v>
      </c>
      <c r="C178">
        <v>3</v>
      </c>
      <c r="D178" s="11">
        <v>170851201010</v>
      </c>
      <c r="E178" s="10">
        <v>12821</v>
      </c>
      <c r="F178" t="s">
        <v>7143</v>
      </c>
      <c r="G178" t="s">
        <v>7144</v>
      </c>
      <c r="H178">
        <v>176</v>
      </c>
      <c r="I178" t="s">
        <v>44</v>
      </c>
      <c r="J178" t="s">
        <v>7145</v>
      </c>
      <c r="K178">
        <v>1000</v>
      </c>
      <c r="L178">
        <v>490404</v>
      </c>
      <c r="M178" t="s">
        <v>5297</v>
      </c>
      <c r="N178" t="s">
        <v>45</v>
      </c>
      <c r="O178" s="10">
        <v>44225</v>
      </c>
      <c r="R178" t="s">
        <v>9005</v>
      </c>
      <c r="S178">
        <v>1990716</v>
      </c>
      <c r="T178" t="s">
        <v>7145</v>
      </c>
      <c r="U178" t="s">
        <v>45</v>
      </c>
      <c r="V178" s="10">
        <v>31005</v>
      </c>
      <c r="W178" s="6">
        <v>14300</v>
      </c>
      <c r="X178" t="s">
        <v>7182</v>
      </c>
      <c r="Y178" t="s">
        <v>7146</v>
      </c>
      <c r="Z178" t="s">
        <v>7147</v>
      </c>
      <c r="AA178">
        <v>77014</v>
      </c>
      <c r="AF178" t="s">
        <v>7150</v>
      </c>
      <c r="AG178" t="s">
        <v>47</v>
      </c>
    </row>
    <row r="179" spans="1:33" x14ac:dyDescent="0.2">
      <c r="A179" s="27"/>
      <c r="B179" s="25">
        <v>44225</v>
      </c>
      <c r="C179">
        <v>2</v>
      </c>
      <c r="D179" s="11">
        <v>234311601010</v>
      </c>
      <c r="E179" s="10">
        <v>12721</v>
      </c>
      <c r="F179" t="s">
        <v>7163</v>
      </c>
      <c r="G179" t="s">
        <v>7144</v>
      </c>
      <c r="H179">
        <v>12</v>
      </c>
      <c r="I179" t="s">
        <v>44</v>
      </c>
      <c r="J179" t="s">
        <v>7145</v>
      </c>
      <c r="K179">
        <v>100</v>
      </c>
      <c r="L179">
        <v>489901</v>
      </c>
      <c r="M179" t="s">
        <v>75</v>
      </c>
      <c r="N179" t="s">
        <v>46</v>
      </c>
      <c r="O179" s="10">
        <v>44230</v>
      </c>
      <c r="R179" t="s">
        <v>8751</v>
      </c>
      <c r="S179">
        <v>2965976</v>
      </c>
      <c r="T179" t="s">
        <v>7145</v>
      </c>
      <c r="U179" t="s">
        <v>46</v>
      </c>
      <c r="V179" s="10">
        <v>36472</v>
      </c>
      <c r="W179" s="6">
        <v>14306</v>
      </c>
      <c r="X179" t="s">
        <v>8752</v>
      </c>
      <c r="Y179" t="s">
        <v>7146</v>
      </c>
      <c r="Z179" t="s">
        <v>7147</v>
      </c>
      <c r="AA179">
        <v>77090</v>
      </c>
      <c r="AF179" t="s">
        <v>7147</v>
      </c>
      <c r="AG179" t="s">
        <v>49</v>
      </c>
    </row>
    <row r="180" spans="1:33" x14ac:dyDescent="0.2">
      <c r="A180" s="27"/>
      <c r="B180" s="25">
        <v>44225</v>
      </c>
      <c r="C180">
        <v>3</v>
      </c>
      <c r="D180" s="11">
        <v>170814501010</v>
      </c>
      <c r="E180" s="10">
        <v>12521</v>
      </c>
      <c r="F180" t="s">
        <v>7143</v>
      </c>
      <c r="G180" t="s">
        <v>7144</v>
      </c>
      <c r="H180">
        <v>183</v>
      </c>
      <c r="I180" t="s">
        <v>44</v>
      </c>
      <c r="J180" t="s">
        <v>7145</v>
      </c>
      <c r="K180">
        <v>5000</v>
      </c>
      <c r="L180">
        <v>290152</v>
      </c>
      <c r="M180" t="s">
        <v>204</v>
      </c>
      <c r="N180" t="s">
        <v>45</v>
      </c>
      <c r="O180" s="10">
        <v>44231</v>
      </c>
      <c r="R180" t="s">
        <v>8274</v>
      </c>
      <c r="S180">
        <v>1686423</v>
      </c>
      <c r="T180" t="s">
        <v>7145</v>
      </c>
      <c r="U180" t="s">
        <v>46</v>
      </c>
      <c r="V180" s="10">
        <v>19949</v>
      </c>
      <c r="W180" s="6">
        <v>14307</v>
      </c>
      <c r="X180" t="s">
        <v>8275</v>
      </c>
      <c r="Y180" t="s">
        <v>7185</v>
      </c>
      <c r="Z180" t="s">
        <v>7147</v>
      </c>
      <c r="AA180">
        <v>77498</v>
      </c>
      <c r="AF180" t="s">
        <v>8276</v>
      </c>
      <c r="AG180" t="s">
        <v>49</v>
      </c>
    </row>
    <row r="181" spans="1:33" x14ac:dyDescent="0.2">
      <c r="A181" s="27"/>
      <c r="B181" s="25">
        <v>44225</v>
      </c>
      <c r="C181">
        <v>2</v>
      </c>
      <c r="D181" s="11">
        <v>234324901010</v>
      </c>
      <c r="E181" s="10">
        <v>12821</v>
      </c>
      <c r="F181" t="s">
        <v>7163</v>
      </c>
      <c r="G181" t="s">
        <v>7144</v>
      </c>
      <c r="H181">
        <v>11</v>
      </c>
      <c r="I181" t="s">
        <v>44</v>
      </c>
      <c r="J181" t="s">
        <v>7145</v>
      </c>
      <c r="K181">
        <v>100</v>
      </c>
      <c r="L181">
        <v>520301</v>
      </c>
      <c r="M181" t="s">
        <v>78</v>
      </c>
      <c r="N181" t="s">
        <v>46</v>
      </c>
      <c r="O181" s="10">
        <v>44231</v>
      </c>
      <c r="R181" t="s">
        <v>9008</v>
      </c>
      <c r="S181">
        <v>3083071</v>
      </c>
      <c r="T181" t="s">
        <v>7145</v>
      </c>
      <c r="U181" t="s">
        <v>46</v>
      </c>
      <c r="V181" s="10">
        <v>32706</v>
      </c>
      <c r="W181" s="6">
        <v>14335</v>
      </c>
      <c r="X181" t="s">
        <v>7182</v>
      </c>
      <c r="Y181" t="s">
        <v>7146</v>
      </c>
      <c r="Z181" t="s">
        <v>7147</v>
      </c>
      <c r="AA181">
        <v>77014</v>
      </c>
      <c r="AF181" t="s">
        <v>9009</v>
      </c>
      <c r="AG181" t="s">
        <v>49</v>
      </c>
    </row>
    <row r="182" spans="1:33" x14ac:dyDescent="0.2">
      <c r="A182" s="27"/>
      <c r="B182" s="25">
        <v>44225</v>
      </c>
      <c r="C182">
        <v>2</v>
      </c>
      <c r="D182" s="11">
        <v>234309301010</v>
      </c>
      <c r="E182" s="10">
        <v>12621</v>
      </c>
      <c r="F182" t="s">
        <v>7163</v>
      </c>
      <c r="G182" t="s">
        <v>7144</v>
      </c>
      <c r="H182">
        <v>5</v>
      </c>
      <c r="I182" t="s">
        <v>44</v>
      </c>
      <c r="J182" t="s">
        <v>7145</v>
      </c>
      <c r="K182">
        <v>100</v>
      </c>
      <c r="L182">
        <v>520301</v>
      </c>
      <c r="M182" t="s">
        <v>78</v>
      </c>
      <c r="N182" t="s">
        <v>46</v>
      </c>
      <c r="O182" s="10">
        <v>44229</v>
      </c>
      <c r="R182" t="s">
        <v>8321</v>
      </c>
      <c r="S182">
        <v>3082901</v>
      </c>
      <c r="T182" t="s">
        <v>7145</v>
      </c>
      <c r="U182" t="s">
        <v>46</v>
      </c>
      <c r="V182" s="10">
        <v>37837</v>
      </c>
      <c r="W182" s="6">
        <v>14602</v>
      </c>
      <c r="X182" t="s">
        <v>8322</v>
      </c>
      <c r="Y182" t="s">
        <v>7174</v>
      </c>
      <c r="Z182" t="s">
        <v>7147</v>
      </c>
      <c r="AA182">
        <v>77433</v>
      </c>
      <c r="AF182" t="s">
        <v>7154</v>
      </c>
      <c r="AG182" t="s">
        <v>49</v>
      </c>
    </row>
    <row r="183" spans="1:33" x14ac:dyDescent="0.2">
      <c r="A183" s="27"/>
      <c r="B183" s="25">
        <v>44225</v>
      </c>
      <c r="C183">
        <v>2</v>
      </c>
      <c r="D183" s="11">
        <v>234310001010</v>
      </c>
      <c r="E183" s="10">
        <v>12621</v>
      </c>
      <c r="F183" t="s">
        <v>7163</v>
      </c>
      <c r="G183" t="s">
        <v>7144</v>
      </c>
      <c r="H183">
        <v>14</v>
      </c>
      <c r="I183" t="s">
        <v>44</v>
      </c>
      <c r="J183" t="s">
        <v>7145</v>
      </c>
      <c r="K183">
        <v>100</v>
      </c>
      <c r="L183">
        <v>131420</v>
      </c>
      <c r="M183" t="s">
        <v>53</v>
      </c>
      <c r="N183" t="s">
        <v>46</v>
      </c>
      <c r="O183" s="10">
        <v>44229</v>
      </c>
      <c r="R183" t="s">
        <v>8701</v>
      </c>
      <c r="S183">
        <v>3082903</v>
      </c>
      <c r="T183" t="s">
        <v>50</v>
      </c>
      <c r="U183" t="s">
        <v>45</v>
      </c>
      <c r="V183" s="10">
        <v>35540</v>
      </c>
      <c r="W183" s="6">
        <v>14682</v>
      </c>
      <c r="X183" t="s">
        <v>8702</v>
      </c>
      <c r="Y183" t="s">
        <v>7146</v>
      </c>
      <c r="Z183" t="s">
        <v>7147</v>
      </c>
      <c r="AA183">
        <v>77015</v>
      </c>
      <c r="AF183" t="s">
        <v>7147</v>
      </c>
      <c r="AG183" t="s">
        <v>49</v>
      </c>
    </row>
    <row r="184" spans="1:33" x14ac:dyDescent="0.2">
      <c r="A184" s="27"/>
      <c r="B184" s="25">
        <v>44225</v>
      </c>
      <c r="C184">
        <v>2</v>
      </c>
      <c r="D184" s="11">
        <v>234297701010</v>
      </c>
      <c r="E184" s="10">
        <v>12521</v>
      </c>
      <c r="F184" t="s">
        <v>7163</v>
      </c>
      <c r="G184" t="s">
        <v>7144</v>
      </c>
      <c r="H184">
        <v>4</v>
      </c>
      <c r="I184" t="s">
        <v>44</v>
      </c>
      <c r="J184" t="s">
        <v>7145</v>
      </c>
      <c r="K184">
        <v>100</v>
      </c>
      <c r="L184">
        <v>131302</v>
      </c>
      <c r="M184" t="s">
        <v>51</v>
      </c>
      <c r="N184" t="s">
        <v>46</v>
      </c>
      <c r="O184" s="10">
        <v>44228</v>
      </c>
      <c r="R184" t="s">
        <v>8153</v>
      </c>
      <c r="S184">
        <v>2050333</v>
      </c>
      <c r="T184" t="s">
        <v>50</v>
      </c>
      <c r="U184" t="s">
        <v>45</v>
      </c>
      <c r="V184" s="10">
        <v>31109</v>
      </c>
      <c r="W184" s="6">
        <v>15250</v>
      </c>
      <c r="X184" t="s">
        <v>8154</v>
      </c>
      <c r="Y184" t="s">
        <v>7146</v>
      </c>
      <c r="Z184" t="s">
        <v>7147</v>
      </c>
      <c r="AA184">
        <v>77082</v>
      </c>
      <c r="AF184" t="s">
        <v>7175</v>
      </c>
      <c r="AG184" t="s">
        <v>49</v>
      </c>
    </row>
    <row r="185" spans="1:33" x14ac:dyDescent="0.2">
      <c r="A185" s="27"/>
      <c r="B185" s="25">
        <v>44225</v>
      </c>
      <c r="C185">
        <v>2</v>
      </c>
      <c r="D185" s="11">
        <v>234289001010</v>
      </c>
      <c r="E185" s="10">
        <v>12521</v>
      </c>
      <c r="F185" t="s">
        <v>7163</v>
      </c>
      <c r="G185" t="s">
        <v>7144</v>
      </c>
      <c r="H185">
        <v>6</v>
      </c>
      <c r="I185" t="s">
        <v>44</v>
      </c>
      <c r="J185" t="s">
        <v>7145</v>
      </c>
      <c r="K185">
        <v>5000</v>
      </c>
      <c r="L185">
        <v>480101</v>
      </c>
      <c r="M185" t="s">
        <v>71</v>
      </c>
      <c r="N185" t="s">
        <v>46</v>
      </c>
      <c r="O185" s="10">
        <v>44228</v>
      </c>
      <c r="R185" t="s">
        <v>8301</v>
      </c>
      <c r="S185">
        <v>2788707</v>
      </c>
      <c r="T185" t="s">
        <v>7145</v>
      </c>
      <c r="U185" t="s">
        <v>46</v>
      </c>
      <c r="V185" s="10">
        <v>34914</v>
      </c>
      <c r="W185" s="6">
        <v>15770</v>
      </c>
      <c r="X185" t="s">
        <v>8302</v>
      </c>
      <c r="Y185" t="s">
        <v>7146</v>
      </c>
      <c r="Z185" t="s">
        <v>7147</v>
      </c>
      <c r="AA185">
        <v>77083</v>
      </c>
      <c r="AF185" t="s">
        <v>7157</v>
      </c>
      <c r="AG185" t="s">
        <v>49</v>
      </c>
    </row>
    <row r="186" spans="1:33" x14ac:dyDescent="0.2">
      <c r="A186" s="27"/>
      <c r="B186" s="1">
        <v>44225</v>
      </c>
      <c r="C186">
        <v>3</v>
      </c>
      <c r="D186" s="11">
        <v>170806401010</v>
      </c>
      <c r="E186" s="10">
        <v>12521</v>
      </c>
      <c r="F186" t="s">
        <v>7143</v>
      </c>
      <c r="G186" t="s">
        <v>7144</v>
      </c>
      <c r="H186">
        <v>351</v>
      </c>
      <c r="I186" t="s">
        <v>44</v>
      </c>
      <c r="J186" t="s">
        <v>7145</v>
      </c>
      <c r="K186">
        <v>3000</v>
      </c>
      <c r="L186">
        <v>480222</v>
      </c>
      <c r="M186" t="s">
        <v>5296</v>
      </c>
      <c r="N186" t="s">
        <v>45</v>
      </c>
      <c r="O186" s="10">
        <v>44238</v>
      </c>
      <c r="R186" t="s">
        <v>8308</v>
      </c>
      <c r="S186">
        <v>2904165</v>
      </c>
      <c r="T186" t="s">
        <v>7145</v>
      </c>
      <c r="U186" t="s">
        <v>45</v>
      </c>
      <c r="V186" s="10">
        <v>32924</v>
      </c>
      <c r="W186" s="6">
        <v>15803</v>
      </c>
      <c r="X186" t="s">
        <v>8309</v>
      </c>
      <c r="Y186" t="s">
        <v>8310</v>
      </c>
      <c r="Z186" t="s">
        <v>7147</v>
      </c>
      <c r="AA186">
        <v>77084</v>
      </c>
      <c r="AF186" t="s">
        <v>8214</v>
      </c>
      <c r="AG186" t="s">
        <v>49</v>
      </c>
    </row>
    <row r="187" spans="1:33" x14ac:dyDescent="0.2">
      <c r="A187" s="27"/>
      <c r="B187" s="25">
        <v>44225</v>
      </c>
      <c r="C187">
        <v>2</v>
      </c>
      <c r="D187" s="11">
        <v>234277401010</v>
      </c>
      <c r="E187" s="10">
        <v>12421</v>
      </c>
      <c r="F187" t="s">
        <v>7163</v>
      </c>
      <c r="G187" t="s">
        <v>7144</v>
      </c>
      <c r="H187">
        <v>5</v>
      </c>
      <c r="I187" t="s">
        <v>44</v>
      </c>
      <c r="J187" t="s">
        <v>7145</v>
      </c>
      <c r="K187">
        <v>100</v>
      </c>
      <c r="L187">
        <v>131420</v>
      </c>
      <c r="M187" t="s">
        <v>53</v>
      </c>
      <c r="N187" t="s">
        <v>46</v>
      </c>
      <c r="O187" s="10">
        <v>44225</v>
      </c>
      <c r="R187" t="s">
        <v>7906</v>
      </c>
      <c r="S187">
        <v>3082658</v>
      </c>
      <c r="T187" t="s">
        <v>50</v>
      </c>
      <c r="U187" t="s">
        <v>46</v>
      </c>
      <c r="V187" s="10">
        <v>29648</v>
      </c>
      <c r="W187" s="6">
        <v>15807</v>
      </c>
      <c r="X187" t="s">
        <v>7907</v>
      </c>
      <c r="Y187" t="s">
        <v>7180</v>
      </c>
      <c r="Z187" t="s">
        <v>7147</v>
      </c>
      <c r="AA187">
        <v>77546</v>
      </c>
      <c r="AF187" t="s">
        <v>7177</v>
      </c>
      <c r="AG187" t="s">
        <v>49</v>
      </c>
    </row>
    <row r="188" spans="1:33" x14ac:dyDescent="0.2">
      <c r="A188" s="27"/>
      <c r="B188" s="25">
        <v>44225</v>
      </c>
      <c r="C188">
        <v>3</v>
      </c>
      <c r="D188" s="11">
        <v>170816601010</v>
      </c>
      <c r="E188" s="10">
        <v>12621</v>
      </c>
      <c r="F188" t="s">
        <v>7143</v>
      </c>
      <c r="G188" t="s">
        <v>7144</v>
      </c>
      <c r="H188">
        <v>174</v>
      </c>
      <c r="I188" t="s">
        <v>44</v>
      </c>
      <c r="J188" t="s">
        <v>7145</v>
      </c>
      <c r="K188">
        <v>10000</v>
      </c>
      <c r="L188">
        <v>131408</v>
      </c>
      <c r="M188" t="s">
        <v>200</v>
      </c>
      <c r="N188" t="s">
        <v>45</v>
      </c>
      <c r="O188" s="10">
        <v>44225</v>
      </c>
      <c r="R188" t="s">
        <v>8903</v>
      </c>
      <c r="S188">
        <v>2905407</v>
      </c>
      <c r="T188" t="s">
        <v>7145</v>
      </c>
      <c r="U188" t="s">
        <v>46</v>
      </c>
      <c r="V188" s="10">
        <v>35934</v>
      </c>
      <c r="W188" s="6">
        <v>15914</v>
      </c>
      <c r="X188" t="s">
        <v>8904</v>
      </c>
      <c r="Y188" t="s">
        <v>7146</v>
      </c>
      <c r="Z188" t="s">
        <v>7147</v>
      </c>
      <c r="AA188">
        <v>77053</v>
      </c>
      <c r="AF188" t="s">
        <v>7147</v>
      </c>
      <c r="AG188" t="s">
        <v>49</v>
      </c>
    </row>
    <row r="189" spans="1:33" x14ac:dyDescent="0.2">
      <c r="A189" s="27"/>
      <c r="B189" s="25">
        <v>44225</v>
      </c>
      <c r="C189">
        <v>2</v>
      </c>
      <c r="D189" s="11">
        <v>234329001010</v>
      </c>
      <c r="E189" s="10">
        <v>12821</v>
      </c>
      <c r="F189" t="s">
        <v>7163</v>
      </c>
      <c r="G189" t="s">
        <v>7144</v>
      </c>
      <c r="H189">
        <v>16</v>
      </c>
      <c r="I189" t="s">
        <v>44</v>
      </c>
      <c r="J189" t="s">
        <v>7145</v>
      </c>
      <c r="K189">
        <v>500</v>
      </c>
      <c r="L189">
        <v>131420</v>
      </c>
      <c r="M189" t="s">
        <v>53</v>
      </c>
      <c r="N189" t="s">
        <v>46</v>
      </c>
      <c r="O189" s="10">
        <v>44231</v>
      </c>
      <c r="R189" t="s">
        <v>8921</v>
      </c>
      <c r="S189">
        <v>2585176</v>
      </c>
      <c r="T189" t="s">
        <v>50</v>
      </c>
      <c r="U189" t="s">
        <v>46</v>
      </c>
      <c r="V189" s="10">
        <v>33567</v>
      </c>
      <c r="W189" s="6">
        <v>16221</v>
      </c>
      <c r="X189" t="s">
        <v>8320</v>
      </c>
      <c r="Y189" t="s">
        <v>7620</v>
      </c>
      <c r="Z189" t="s">
        <v>7147</v>
      </c>
      <c r="AA189">
        <v>77530</v>
      </c>
      <c r="AF189" t="s">
        <v>7147</v>
      </c>
      <c r="AG189" t="s">
        <v>49</v>
      </c>
    </row>
    <row r="190" spans="1:33" x14ac:dyDescent="0.2">
      <c r="A190" s="27"/>
      <c r="B190" s="25">
        <v>44225</v>
      </c>
      <c r="C190">
        <v>3</v>
      </c>
      <c r="D190" s="11">
        <v>170807001010</v>
      </c>
      <c r="E190" s="10">
        <v>12521</v>
      </c>
      <c r="F190" t="s">
        <v>7143</v>
      </c>
      <c r="G190" t="s">
        <v>7144</v>
      </c>
      <c r="H190">
        <v>248</v>
      </c>
      <c r="I190" t="s">
        <v>44</v>
      </c>
      <c r="J190" t="s">
        <v>7145</v>
      </c>
      <c r="K190">
        <v>20000</v>
      </c>
      <c r="L190">
        <v>131421</v>
      </c>
      <c r="M190" t="s">
        <v>187</v>
      </c>
      <c r="N190" t="s">
        <v>45</v>
      </c>
      <c r="O190" s="10">
        <v>44315</v>
      </c>
      <c r="R190" t="s">
        <v>8708</v>
      </c>
      <c r="S190">
        <v>3082741</v>
      </c>
      <c r="T190" t="s">
        <v>47</v>
      </c>
      <c r="U190" t="s">
        <v>46</v>
      </c>
      <c r="V190" s="10">
        <v>34833</v>
      </c>
      <c r="W190" s="6">
        <v>16315</v>
      </c>
      <c r="X190" t="s">
        <v>8709</v>
      </c>
      <c r="Y190" t="s">
        <v>7146</v>
      </c>
      <c r="Z190" t="s">
        <v>7147</v>
      </c>
      <c r="AA190">
        <v>77070</v>
      </c>
      <c r="AB190" t="s">
        <v>8922</v>
      </c>
      <c r="AC190">
        <v>2769802</v>
      </c>
      <c r="AD190" t="s">
        <v>7161</v>
      </c>
      <c r="AE190" t="s">
        <v>7162</v>
      </c>
      <c r="AF190" t="s">
        <v>7147</v>
      </c>
      <c r="AG190" t="s">
        <v>49</v>
      </c>
    </row>
    <row r="191" spans="1:33" x14ac:dyDescent="0.2">
      <c r="A191" s="27"/>
      <c r="B191" s="25">
        <v>44225</v>
      </c>
      <c r="C191">
        <v>3</v>
      </c>
      <c r="D191" s="11">
        <v>170796101010</v>
      </c>
      <c r="E191" s="10">
        <v>12421</v>
      </c>
      <c r="F191" t="s">
        <v>7143</v>
      </c>
      <c r="G191" t="s">
        <v>7144</v>
      </c>
      <c r="H191">
        <v>262</v>
      </c>
      <c r="I191" t="s">
        <v>44</v>
      </c>
      <c r="J191" t="s">
        <v>7145</v>
      </c>
      <c r="K191">
        <v>10000</v>
      </c>
      <c r="L191">
        <v>260445</v>
      </c>
      <c r="M191" t="s">
        <v>217</v>
      </c>
      <c r="N191" t="s">
        <v>45</v>
      </c>
      <c r="O191" s="10">
        <v>44242</v>
      </c>
      <c r="R191" t="s">
        <v>7927</v>
      </c>
      <c r="S191">
        <v>2797752</v>
      </c>
      <c r="T191" t="s">
        <v>50</v>
      </c>
      <c r="U191" t="s">
        <v>45</v>
      </c>
      <c r="V191" s="10">
        <v>32787</v>
      </c>
      <c r="W191" s="6">
        <v>16415</v>
      </c>
      <c r="X191" t="s">
        <v>7928</v>
      </c>
      <c r="Y191" t="s">
        <v>7174</v>
      </c>
      <c r="Z191" t="s">
        <v>7147</v>
      </c>
      <c r="AA191">
        <v>77429</v>
      </c>
      <c r="AB191" t="s">
        <v>8962</v>
      </c>
      <c r="AC191">
        <v>1641643</v>
      </c>
      <c r="AD191" t="s">
        <v>7148</v>
      </c>
      <c r="AE191" t="s">
        <v>7149</v>
      </c>
      <c r="AF191" t="s">
        <v>7177</v>
      </c>
      <c r="AG191" t="s">
        <v>49</v>
      </c>
    </row>
    <row r="192" spans="1:33" x14ac:dyDescent="0.2">
      <c r="A192" s="27"/>
      <c r="B192" s="25">
        <v>44225</v>
      </c>
      <c r="C192">
        <v>2</v>
      </c>
      <c r="D192" s="11">
        <v>234283101010</v>
      </c>
      <c r="E192" s="10">
        <v>12421</v>
      </c>
      <c r="F192" t="s">
        <v>7163</v>
      </c>
      <c r="G192" t="s">
        <v>7144</v>
      </c>
      <c r="H192">
        <v>13</v>
      </c>
      <c r="I192" t="s">
        <v>44</v>
      </c>
      <c r="J192" t="s">
        <v>7145</v>
      </c>
      <c r="K192">
        <v>500</v>
      </c>
      <c r="L192">
        <v>131420</v>
      </c>
      <c r="M192" t="s">
        <v>53</v>
      </c>
      <c r="N192" t="s">
        <v>46</v>
      </c>
      <c r="O192" s="10">
        <v>44225</v>
      </c>
      <c r="R192" t="s">
        <v>8215</v>
      </c>
      <c r="S192">
        <v>3046485</v>
      </c>
      <c r="T192" t="s">
        <v>50</v>
      </c>
      <c r="U192" t="s">
        <v>46</v>
      </c>
      <c r="V192" s="10">
        <v>35242</v>
      </c>
      <c r="W192" s="6">
        <v>16607</v>
      </c>
      <c r="X192" t="s">
        <v>8216</v>
      </c>
      <c r="Y192" t="s">
        <v>7146</v>
      </c>
      <c r="Z192" t="s">
        <v>7147</v>
      </c>
      <c r="AA192">
        <v>77396</v>
      </c>
      <c r="AF192" t="s">
        <v>7147</v>
      </c>
      <c r="AG192" t="s">
        <v>49</v>
      </c>
    </row>
    <row r="193" spans="1:33" x14ac:dyDescent="0.2">
      <c r="A193" s="27"/>
      <c r="B193" s="25">
        <v>44225</v>
      </c>
      <c r="C193">
        <v>3</v>
      </c>
      <c r="D193" s="11">
        <v>170811801010</v>
      </c>
      <c r="E193" s="10">
        <v>12521</v>
      </c>
      <c r="F193" t="s">
        <v>7143</v>
      </c>
      <c r="G193" t="s">
        <v>7144</v>
      </c>
      <c r="H193">
        <v>351</v>
      </c>
      <c r="I193" t="s">
        <v>44</v>
      </c>
      <c r="J193" t="s">
        <v>7145</v>
      </c>
      <c r="K193">
        <v>15000</v>
      </c>
      <c r="L193">
        <v>131408</v>
      </c>
      <c r="M193" t="s">
        <v>200</v>
      </c>
      <c r="N193" t="s">
        <v>45</v>
      </c>
      <c r="O193" s="10">
        <v>44300</v>
      </c>
      <c r="R193" t="s">
        <v>8688</v>
      </c>
      <c r="S193">
        <v>3082789</v>
      </c>
      <c r="T193" t="s">
        <v>7145</v>
      </c>
      <c r="U193" t="s">
        <v>46</v>
      </c>
      <c r="V193" s="10">
        <v>33788</v>
      </c>
      <c r="W193" s="6">
        <v>16966</v>
      </c>
      <c r="X193" t="s">
        <v>8689</v>
      </c>
      <c r="Y193" t="s">
        <v>7146</v>
      </c>
      <c r="Z193" t="s">
        <v>7147</v>
      </c>
      <c r="AA193">
        <v>77060</v>
      </c>
      <c r="AF193" t="s">
        <v>7153</v>
      </c>
      <c r="AG193" t="s">
        <v>49</v>
      </c>
    </row>
    <row r="194" spans="1:33" x14ac:dyDescent="0.2">
      <c r="A194" s="27"/>
      <c r="B194" s="25">
        <v>44225</v>
      </c>
      <c r="C194">
        <v>2</v>
      </c>
      <c r="D194" s="11">
        <v>234324401010</v>
      </c>
      <c r="E194" s="10">
        <v>12821</v>
      </c>
      <c r="F194" t="s">
        <v>7163</v>
      </c>
      <c r="G194" t="s">
        <v>7144</v>
      </c>
      <c r="H194">
        <v>4</v>
      </c>
      <c r="I194" t="s">
        <v>44</v>
      </c>
      <c r="J194" t="s">
        <v>7145</v>
      </c>
      <c r="K194">
        <v>100</v>
      </c>
      <c r="L194">
        <v>489901</v>
      </c>
      <c r="M194" t="s">
        <v>75</v>
      </c>
      <c r="N194" t="s">
        <v>46</v>
      </c>
      <c r="O194" s="10">
        <v>44231</v>
      </c>
      <c r="R194" t="s">
        <v>8998</v>
      </c>
      <c r="S194">
        <v>3077551</v>
      </c>
      <c r="T194" t="s">
        <v>7145</v>
      </c>
      <c r="U194" t="s">
        <v>46</v>
      </c>
      <c r="V194" s="10">
        <v>34657</v>
      </c>
      <c r="W194" s="6">
        <v>17226</v>
      </c>
      <c r="X194" t="s">
        <v>8999</v>
      </c>
      <c r="Y194" t="s">
        <v>7159</v>
      </c>
      <c r="Z194" t="s">
        <v>7147</v>
      </c>
      <c r="AA194">
        <v>77407</v>
      </c>
      <c r="AF194" t="s">
        <v>7150</v>
      </c>
      <c r="AG194" t="s">
        <v>49</v>
      </c>
    </row>
    <row r="195" spans="1:33" x14ac:dyDescent="0.2">
      <c r="A195" s="27"/>
      <c r="B195" s="25">
        <v>44225</v>
      </c>
      <c r="C195">
        <v>3</v>
      </c>
      <c r="D195" s="11">
        <v>170823601010</v>
      </c>
      <c r="E195" s="10">
        <v>12621</v>
      </c>
      <c r="F195" t="s">
        <v>7619</v>
      </c>
      <c r="G195" t="s">
        <v>7144</v>
      </c>
      <c r="H195">
        <v>208</v>
      </c>
      <c r="I195" t="s">
        <v>44</v>
      </c>
      <c r="J195" t="s">
        <v>7145</v>
      </c>
      <c r="K195">
        <v>50000</v>
      </c>
      <c r="L195">
        <v>400209</v>
      </c>
      <c r="M195" t="s">
        <v>8292</v>
      </c>
      <c r="N195" t="s">
        <v>45</v>
      </c>
      <c r="O195" s="10">
        <v>44274</v>
      </c>
      <c r="R195" t="s">
        <v>8293</v>
      </c>
      <c r="S195">
        <v>3058675</v>
      </c>
      <c r="T195" t="s">
        <v>7145</v>
      </c>
      <c r="U195" t="s">
        <v>46</v>
      </c>
      <c r="V195" s="10">
        <v>33185</v>
      </c>
      <c r="W195" s="6">
        <v>17331</v>
      </c>
      <c r="X195" t="s">
        <v>8294</v>
      </c>
      <c r="Y195" t="s">
        <v>7146</v>
      </c>
      <c r="Z195" t="s">
        <v>7147</v>
      </c>
      <c r="AA195">
        <v>77090</v>
      </c>
      <c r="AF195" t="s">
        <v>7154</v>
      </c>
      <c r="AG195" t="s">
        <v>49</v>
      </c>
    </row>
    <row r="196" spans="1:33" x14ac:dyDescent="0.2">
      <c r="A196" s="27"/>
      <c r="B196" s="25">
        <v>44225</v>
      </c>
      <c r="C196">
        <v>3</v>
      </c>
      <c r="D196" s="11">
        <v>170852401010</v>
      </c>
      <c r="E196" s="10">
        <v>12821</v>
      </c>
      <c r="F196" t="s">
        <v>7143</v>
      </c>
      <c r="G196" t="s">
        <v>7144</v>
      </c>
      <c r="H196">
        <v>184</v>
      </c>
      <c r="I196" t="s">
        <v>44</v>
      </c>
      <c r="J196" t="s">
        <v>7145</v>
      </c>
      <c r="K196">
        <v>15000</v>
      </c>
      <c r="L196">
        <v>130119</v>
      </c>
      <c r="M196" t="s">
        <v>193</v>
      </c>
      <c r="N196" t="s">
        <v>45</v>
      </c>
      <c r="O196" s="10">
        <v>44225</v>
      </c>
      <c r="R196" t="s">
        <v>8899</v>
      </c>
      <c r="S196">
        <v>3083093</v>
      </c>
      <c r="T196" t="s">
        <v>50</v>
      </c>
      <c r="U196" t="s">
        <v>46</v>
      </c>
      <c r="V196" s="10">
        <v>23221</v>
      </c>
      <c r="W196" s="6">
        <v>20202</v>
      </c>
      <c r="X196" t="s">
        <v>8900</v>
      </c>
      <c r="Y196" t="s">
        <v>7158</v>
      </c>
      <c r="Z196" t="s">
        <v>7147</v>
      </c>
      <c r="AA196">
        <v>77450</v>
      </c>
      <c r="AF196" t="s">
        <v>7153</v>
      </c>
      <c r="AG196" t="s">
        <v>49</v>
      </c>
    </row>
    <row r="197" spans="1:33" x14ac:dyDescent="0.2">
      <c r="A197" s="27"/>
      <c r="B197" s="25">
        <v>44225</v>
      </c>
      <c r="C197">
        <v>2</v>
      </c>
      <c r="D197" s="11">
        <v>234326701010</v>
      </c>
      <c r="E197" s="10">
        <v>12821</v>
      </c>
      <c r="F197" t="s">
        <v>7163</v>
      </c>
      <c r="G197" t="s">
        <v>7144</v>
      </c>
      <c r="H197">
        <v>12</v>
      </c>
      <c r="I197" t="s">
        <v>44</v>
      </c>
      <c r="J197" t="s">
        <v>7145</v>
      </c>
      <c r="K197">
        <v>100</v>
      </c>
      <c r="L197">
        <v>210092</v>
      </c>
      <c r="M197" t="s">
        <v>57</v>
      </c>
      <c r="N197" t="s">
        <v>46</v>
      </c>
      <c r="O197" s="10">
        <v>44231</v>
      </c>
      <c r="R197" t="s">
        <v>8932</v>
      </c>
      <c r="S197">
        <v>3074134</v>
      </c>
      <c r="T197" t="s">
        <v>50</v>
      </c>
      <c r="U197" t="s">
        <v>45</v>
      </c>
      <c r="V197" s="10">
        <v>36173</v>
      </c>
      <c r="W197" s="6">
        <v>20230</v>
      </c>
      <c r="X197" t="s">
        <v>8933</v>
      </c>
      <c r="Y197" t="s">
        <v>7174</v>
      </c>
      <c r="Z197" t="s">
        <v>7147</v>
      </c>
      <c r="AA197">
        <v>77433</v>
      </c>
      <c r="AF197" t="s">
        <v>7147</v>
      </c>
      <c r="AG197" t="s">
        <v>49</v>
      </c>
    </row>
    <row r="198" spans="1:33" x14ac:dyDescent="0.2">
      <c r="A198" s="27"/>
      <c r="B198" s="25">
        <v>44225</v>
      </c>
      <c r="C198">
        <v>2</v>
      </c>
      <c r="D198" s="11">
        <v>234320101010</v>
      </c>
      <c r="E198" s="10">
        <v>12721</v>
      </c>
      <c r="F198" t="s">
        <v>7163</v>
      </c>
      <c r="G198" t="s">
        <v>7144</v>
      </c>
      <c r="H198">
        <v>9</v>
      </c>
      <c r="I198" t="s">
        <v>44</v>
      </c>
      <c r="J198" t="s">
        <v>7145</v>
      </c>
      <c r="K198">
        <v>100</v>
      </c>
      <c r="L198">
        <v>480105</v>
      </c>
      <c r="M198" t="s">
        <v>72</v>
      </c>
      <c r="N198" t="s">
        <v>46</v>
      </c>
      <c r="O198" s="10">
        <v>44230</v>
      </c>
      <c r="R198" t="s">
        <v>8747</v>
      </c>
      <c r="S198">
        <v>3083047</v>
      </c>
      <c r="T198" t="s">
        <v>7145</v>
      </c>
      <c r="U198" t="s">
        <v>46</v>
      </c>
      <c r="V198" s="10">
        <v>34555</v>
      </c>
      <c r="W198" s="6">
        <v>20433</v>
      </c>
      <c r="X198" t="s">
        <v>8748</v>
      </c>
      <c r="Y198" t="s">
        <v>7170</v>
      </c>
      <c r="Z198" t="s">
        <v>7147</v>
      </c>
      <c r="AA198">
        <v>77373</v>
      </c>
      <c r="AF198" t="s">
        <v>7157</v>
      </c>
      <c r="AG198" t="s">
        <v>49</v>
      </c>
    </row>
    <row r="199" spans="1:33" x14ac:dyDescent="0.2">
      <c r="A199" s="27"/>
      <c r="B199" s="25">
        <v>44225</v>
      </c>
      <c r="C199">
        <v>2</v>
      </c>
      <c r="D199" s="11">
        <v>234324101010</v>
      </c>
      <c r="E199" s="10">
        <v>12821</v>
      </c>
      <c r="F199" t="s">
        <v>7163</v>
      </c>
      <c r="G199" t="s">
        <v>7144</v>
      </c>
      <c r="H199">
        <v>10</v>
      </c>
      <c r="I199" t="s">
        <v>44</v>
      </c>
      <c r="J199" t="s">
        <v>7145</v>
      </c>
      <c r="K199">
        <v>500</v>
      </c>
      <c r="L199">
        <v>210092</v>
      </c>
      <c r="M199" t="s">
        <v>57</v>
      </c>
      <c r="N199" t="s">
        <v>46</v>
      </c>
      <c r="O199" s="10">
        <v>44231</v>
      </c>
      <c r="R199" t="s">
        <v>8934</v>
      </c>
      <c r="S199">
        <v>2268569</v>
      </c>
      <c r="T199" t="s">
        <v>7145</v>
      </c>
      <c r="U199" t="s">
        <v>46</v>
      </c>
      <c r="V199" s="10">
        <v>30391</v>
      </c>
      <c r="W199" s="6">
        <v>20726</v>
      </c>
      <c r="X199" t="s">
        <v>8935</v>
      </c>
      <c r="Y199" t="s">
        <v>7174</v>
      </c>
      <c r="Z199" t="s">
        <v>7147</v>
      </c>
      <c r="AA199">
        <v>77433</v>
      </c>
      <c r="AF199" t="s">
        <v>7147</v>
      </c>
      <c r="AG199" t="s">
        <v>49</v>
      </c>
    </row>
    <row r="200" spans="1:33" x14ac:dyDescent="0.2">
      <c r="A200" s="27"/>
      <c r="B200" s="25">
        <v>44225</v>
      </c>
      <c r="C200">
        <v>2</v>
      </c>
      <c r="D200" s="11">
        <v>234298401010</v>
      </c>
      <c r="E200" s="10">
        <v>12521</v>
      </c>
      <c r="F200" t="s">
        <v>7163</v>
      </c>
      <c r="G200" t="s">
        <v>7144</v>
      </c>
      <c r="H200">
        <v>16</v>
      </c>
      <c r="I200" t="s">
        <v>44</v>
      </c>
      <c r="J200" t="s">
        <v>7145</v>
      </c>
      <c r="K200">
        <v>1000</v>
      </c>
      <c r="L200">
        <v>230151</v>
      </c>
      <c r="M200" t="s">
        <v>61</v>
      </c>
      <c r="N200" t="s">
        <v>46</v>
      </c>
      <c r="O200" s="10">
        <v>44228</v>
      </c>
      <c r="R200" t="s">
        <v>8245</v>
      </c>
      <c r="S200">
        <v>2774940</v>
      </c>
      <c r="T200" t="s">
        <v>7145</v>
      </c>
      <c r="U200" t="s">
        <v>46</v>
      </c>
      <c r="V200" s="10">
        <v>35034</v>
      </c>
      <c r="W200" s="6">
        <v>21630</v>
      </c>
      <c r="X200" t="s">
        <v>8246</v>
      </c>
      <c r="Y200" t="s">
        <v>7167</v>
      </c>
      <c r="Z200" t="s">
        <v>7147</v>
      </c>
      <c r="AA200">
        <v>77338</v>
      </c>
      <c r="AF200" t="s">
        <v>7147</v>
      </c>
      <c r="AG200" t="s">
        <v>49</v>
      </c>
    </row>
    <row r="201" spans="1:33" x14ac:dyDescent="0.2">
      <c r="A201" s="27"/>
      <c r="B201" s="1">
        <v>44225</v>
      </c>
      <c r="C201">
        <v>2</v>
      </c>
      <c r="D201" s="11">
        <v>234320601010</v>
      </c>
      <c r="E201" s="10">
        <v>12721</v>
      </c>
      <c r="F201" t="s">
        <v>7163</v>
      </c>
      <c r="G201" t="s">
        <v>7144</v>
      </c>
      <c r="H201">
        <v>16</v>
      </c>
      <c r="I201" t="s">
        <v>44</v>
      </c>
      <c r="J201" t="s">
        <v>7145</v>
      </c>
      <c r="K201">
        <v>1000</v>
      </c>
      <c r="L201">
        <v>131420</v>
      </c>
      <c r="M201" t="s">
        <v>53</v>
      </c>
      <c r="N201" t="s">
        <v>46</v>
      </c>
      <c r="O201" s="10">
        <v>44230</v>
      </c>
      <c r="R201" t="s">
        <v>8907</v>
      </c>
      <c r="S201">
        <v>2461416</v>
      </c>
      <c r="T201" t="s">
        <v>50</v>
      </c>
      <c r="U201" t="s">
        <v>46</v>
      </c>
      <c r="V201" s="10">
        <v>28479</v>
      </c>
      <c r="W201" s="6">
        <v>22715</v>
      </c>
      <c r="X201" t="s">
        <v>8908</v>
      </c>
      <c r="Y201" t="s">
        <v>7158</v>
      </c>
      <c r="Z201" t="s">
        <v>7147</v>
      </c>
      <c r="AA201">
        <v>77493</v>
      </c>
      <c r="AF201" t="s">
        <v>7154</v>
      </c>
      <c r="AG201" t="s">
        <v>49</v>
      </c>
    </row>
    <row r="202" spans="1:33" x14ac:dyDescent="0.2">
      <c r="A202" s="27"/>
      <c r="B202" s="25">
        <v>44225</v>
      </c>
      <c r="C202">
        <v>2</v>
      </c>
      <c r="D202" s="11">
        <v>234304101010</v>
      </c>
      <c r="E202" s="10">
        <v>12621</v>
      </c>
      <c r="F202" t="s">
        <v>7163</v>
      </c>
      <c r="G202" t="s">
        <v>7144</v>
      </c>
      <c r="H202">
        <v>15</v>
      </c>
      <c r="I202" t="s">
        <v>44</v>
      </c>
      <c r="J202" t="s">
        <v>7145</v>
      </c>
      <c r="K202">
        <v>5000</v>
      </c>
      <c r="L202">
        <v>131420</v>
      </c>
      <c r="M202" t="s">
        <v>53</v>
      </c>
      <c r="N202" t="s">
        <v>46</v>
      </c>
      <c r="O202" s="10">
        <v>44229</v>
      </c>
      <c r="R202" t="s">
        <v>8195</v>
      </c>
      <c r="S202">
        <v>3082832</v>
      </c>
      <c r="T202" t="s">
        <v>7145</v>
      </c>
      <c r="U202" t="s">
        <v>46</v>
      </c>
      <c r="V202" s="10">
        <v>28290</v>
      </c>
      <c r="W202" s="6">
        <v>23807</v>
      </c>
      <c r="X202" t="s">
        <v>8196</v>
      </c>
      <c r="Y202" t="s">
        <v>7170</v>
      </c>
      <c r="Z202" t="s">
        <v>7147</v>
      </c>
      <c r="AA202">
        <v>77373</v>
      </c>
      <c r="AF202" t="s">
        <v>7154</v>
      </c>
      <c r="AG202" t="s">
        <v>49</v>
      </c>
    </row>
    <row r="203" spans="1:33" x14ac:dyDescent="0.2">
      <c r="A203" s="27"/>
      <c r="B203" s="25">
        <v>44225</v>
      </c>
      <c r="C203">
        <v>2</v>
      </c>
      <c r="D203" s="11">
        <v>234304501010</v>
      </c>
      <c r="E203" s="10">
        <v>12621</v>
      </c>
      <c r="F203" t="s">
        <v>7163</v>
      </c>
      <c r="G203" t="s">
        <v>7144</v>
      </c>
      <c r="H203">
        <v>2</v>
      </c>
      <c r="I203" t="s">
        <v>44</v>
      </c>
      <c r="J203" t="s">
        <v>7145</v>
      </c>
      <c r="K203">
        <v>3000</v>
      </c>
      <c r="L203">
        <v>210091</v>
      </c>
      <c r="M203" t="s">
        <v>56</v>
      </c>
      <c r="N203" t="s">
        <v>46</v>
      </c>
      <c r="O203" s="10">
        <v>44229</v>
      </c>
      <c r="R203" t="s">
        <v>8237</v>
      </c>
      <c r="S203">
        <v>2696331</v>
      </c>
      <c r="T203" t="s">
        <v>7145</v>
      </c>
      <c r="U203" t="s">
        <v>46</v>
      </c>
      <c r="V203" s="10">
        <v>33577</v>
      </c>
      <c r="W203" s="6">
        <v>23902</v>
      </c>
      <c r="X203" t="s">
        <v>7630</v>
      </c>
      <c r="Y203" t="s">
        <v>7170</v>
      </c>
      <c r="Z203" t="s">
        <v>7147</v>
      </c>
      <c r="AA203">
        <v>77389</v>
      </c>
      <c r="AF203" t="s">
        <v>7150</v>
      </c>
      <c r="AG203" t="s">
        <v>47</v>
      </c>
    </row>
    <row r="204" spans="1:33" x14ac:dyDescent="0.2">
      <c r="A204" s="27"/>
      <c r="B204" s="1">
        <v>44225</v>
      </c>
      <c r="C204">
        <v>2</v>
      </c>
      <c r="D204" s="11">
        <v>234303001010</v>
      </c>
      <c r="E204" s="10">
        <v>12621</v>
      </c>
      <c r="F204" t="s">
        <v>7163</v>
      </c>
      <c r="G204" t="s">
        <v>7144</v>
      </c>
      <c r="H204">
        <v>9</v>
      </c>
      <c r="I204" t="s">
        <v>44</v>
      </c>
      <c r="J204" t="s">
        <v>7145</v>
      </c>
      <c r="K204">
        <v>100</v>
      </c>
      <c r="L204">
        <v>239100</v>
      </c>
      <c r="M204" t="s">
        <v>64</v>
      </c>
      <c r="N204" t="s">
        <v>46</v>
      </c>
      <c r="O204" s="10">
        <v>44229</v>
      </c>
      <c r="R204" t="s">
        <v>8255</v>
      </c>
      <c r="S204">
        <v>3082827</v>
      </c>
      <c r="T204" t="s">
        <v>50</v>
      </c>
      <c r="U204" t="s">
        <v>45</v>
      </c>
      <c r="V204" s="10">
        <v>37189</v>
      </c>
      <c r="W204" s="6">
        <v>27650</v>
      </c>
      <c r="X204" t="s">
        <v>8256</v>
      </c>
      <c r="Y204" t="s">
        <v>7172</v>
      </c>
      <c r="Z204" t="s">
        <v>7147</v>
      </c>
      <c r="AA204">
        <v>77375</v>
      </c>
      <c r="AF204" t="s">
        <v>7153</v>
      </c>
      <c r="AG204" t="s">
        <v>49</v>
      </c>
    </row>
    <row r="205" spans="1:33" x14ac:dyDescent="0.2">
      <c r="A205" s="27"/>
      <c r="B205" s="25">
        <v>44225</v>
      </c>
      <c r="C205">
        <v>2</v>
      </c>
      <c r="D205" s="11">
        <v>234302501010</v>
      </c>
      <c r="E205" s="10">
        <v>12621</v>
      </c>
      <c r="F205" t="s">
        <v>7163</v>
      </c>
      <c r="G205" t="s">
        <v>7144</v>
      </c>
      <c r="H205">
        <v>4</v>
      </c>
      <c r="I205" t="s">
        <v>44</v>
      </c>
      <c r="J205" t="s">
        <v>7145</v>
      </c>
      <c r="K205">
        <v>100</v>
      </c>
      <c r="L205">
        <v>239101</v>
      </c>
      <c r="M205" t="s">
        <v>65</v>
      </c>
      <c r="N205" t="s">
        <v>46</v>
      </c>
      <c r="O205" s="10">
        <v>44229</v>
      </c>
      <c r="R205" t="s">
        <v>8258</v>
      </c>
      <c r="S205">
        <v>309315</v>
      </c>
      <c r="T205" t="s">
        <v>7145</v>
      </c>
      <c r="U205" t="s">
        <v>46</v>
      </c>
      <c r="V205" s="10">
        <v>21927</v>
      </c>
      <c r="W205" s="6">
        <v>16526</v>
      </c>
      <c r="X205" t="s">
        <v>9049</v>
      </c>
      <c r="Y205" t="s">
        <v>9050</v>
      </c>
      <c r="Z205" t="s">
        <v>7147</v>
      </c>
      <c r="AA205">
        <v>77489</v>
      </c>
      <c r="AF205" t="s">
        <v>7154</v>
      </c>
      <c r="AG205" t="s">
        <v>49</v>
      </c>
    </row>
    <row r="206" spans="1:33" x14ac:dyDescent="0.2">
      <c r="A206" s="27"/>
      <c r="B206" s="25">
        <v>44225</v>
      </c>
      <c r="C206">
        <v>2</v>
      </c>
      <c r="D206" s="11">
        <v>234300201010</v>
      </c>
      <c r="E206" s="10">
        <v>12621</v>
      </c>
      <c r="F206" t="s">
        <v>7163</v>
      </c>
      <c r="G206" t="s">
        <v>7144</v>
      </c>
      <c r="H206">
        <v>10</v>
      </c>
      <c r="I206" t="s">
        <v>44</v>
      </c>
      <c r="J206" t="s">
        <v>7145</v>
      </c>
      <c r="K206">
        <v>100</v>
      </c>
      <c r="L206">
        <v>480101</v>
      </c>
      <c r="M206" t="s">
        <v>71</v>
      </c>
      <c r="N206" t="s">
        <v>46</v>
      </c>
      <c r="O206" s="10">
        <v>44229</v>
      </c>
      <c r="R206" t="s">
        <v>8295</v>
      </c>
      <c r="S206">
        <v>3082815</v>
      </c>
      <c r="T206" t="s">
        <v>7145</v>
      </c>
      <c r="U206" t="s">
        <v>46</v>
      </c>
      <c r="V206" s="10">
        <v>36542</v>
      </c>
      <c r="W206">
        <v>2100</v>
      </c>
      <c r="X206" t="s">
        <v>8296</v>
      </c>
      <c r="Y206" t="s">
        <v>7146</v>
      </c>
      <c r="Z206" t="s">
        <v>7147</v>
      </c>
      <c r="AA206">
        <v>77003</v>
      </c>
      <c r="AF206" t="s">
        <v>7147</v>
      </c>
      <c r="AG206" t="s">
        <v>49</v>
      </c>
    </row>
    <row r="207" spans="1:33" x14ac:dyDescent="0.2">
      <c r="A207" s="27"/>
      <c r="B207" s="25">
        <v>44225</v>
      </c>
      <c r="C207">
        <v>2</v>
      </c>
      <c r="D207" s="11">
        <v>234334201010</v>
      </c>
      <c r="E207" s="10">
        <v>12821</v>
      </c>
      <c r="F207" t="s">
        <v>7163</v>
      </c>
      <c r="G207" t="s">
        <v>7144</v>
      </c>
      <c r="H207">
        <v>1</v>
      </c>
      <c r="I207" t="s">
        <v>44</v>
      </c>
      <c r="J207" t="s">
        <v>7145</v>
      </c>
      <c r="K207">
        <v>100</v>
      </c>
      <c r="L207">
        <v>490402</v>
      </c>
      <c r="M207" t="s">
        <v>5297</v>
      </c>
      <c r="N207" t="s">
        <v>46</v>
      </c>
      <c r="O207" s="10">
        <v>44231</v>
      </c>
      <c r="R207" t="s">
        <v>9000</v>
      </c>
      <c r="S207">
        <v>3083184</v>
      </c>
      <c r="T207" t="s">
        <v>50</v>
      </c>
      <c r="U207" t="s">
        <v>46</v>
      </c>
      <c r="V207" s="10">
        <v>37577</v>
      </c>
      <c r="W207">
        <v>20503</v>
      </c>
      <c r="X207" t="s">
        <v>9001</v>
      </c>
      <c r="Y207" t="s">
        <v>7146</v>
      </c>
      <c r="Z207" t="s">
        <v>7147</v>
      </c>
      <c r="AA207">
        <v>77449</v>
      </c>
      <c r="AF207" t="s">
        <v>7153</v>
      </c>
      <c r="AG207" t="s">
        <v>49</v>
      </c>
    </row>
    <row r="208" spans="1:33" x14ac:dyDescent="0.2">
      <c r="A208" s="27"/>
      <c r="B208" s="25"/>
      <c r="D208" s="11"/>
      <c r="E208" s="10"/>
      <c r="O208" s="10"/>
      <c r="V208" s="10"/>
      <c r="W208" s="6"/>
    </row>
    <row r="209" spans="1:23" x14ac:dyDescent="0.2">
      <c r="A209" s="27"/>
      <c r="B209" s="25"/>
      <c r="D209" s="11"/>
      <c r="E209" s="10"/>
      <c r="O209" s="10"/>
      <c r="V209" s="10"/>
      <c r="W209" s="6"/>
    </row>
    <row r="210" spans="1:23" x14ac:dyDescent="0.2">
      <c r="A210" s="27"/>
      <c r="B210" s="25"/>
      <c r="D210" s="11"/>
      <c r="E210" s="10"/>
      <c r="O210" s="10"/>
      <c r="V210" s="10"/>
      <c r="W210" s="6"/>
    </row>
    <row r="211" spans="1:23" x14ac:dyDescent="0.2">
      <c r="A211" s="27"/>
      <c r="B211" s="1"/>
      <c r="D211" s="11"/>
      <c r="E211" s="10"/>
      <c r="O211" s="10"/>
      <c r="V211" s="10"/>
      <c r="W211" s="6"/>
    </row>
    <row r="212" spans="1:23" x14ac:dyDescent="0.2">
      <c r="A212" s="27"/>
      <c r="B212" s="25"/>
      <c r="D212" s="11"/>
      <c r="E212" s="10"/>
      <c r="O212" s="10"/>
      <c r="V212" s="10"/>
      <c r="W212" s="6"/>
    </row>
    <row r="213" spans="1:23" x14ac:dyDescent="0.2">
      <c r="A213" s="27"/>
      <c r="B213" s="25"/>
      <c r="D213" s="11"/>
      <c r="E213" s="10"/>
      <c r="O213" s="10"/>
      <c r="V213" s="10"/>
      <c r="W213" s="6"/>
    </row>
    <row r="214" spans="1:23" x14ac:dyDescent="0.2">
      <c r="A214" s="27"/>
      <c r="B214" s="25"/>
      <c r="D214" s="11"/>
      <c r="E214" s="10"/>
      <c r="O214" s="10"/>
      <c r="V214" s="10"/>
      <c r="W214" s="6"/>
    </row>
    <row r="215" spans="1:23" x14ac:dyDescent="0.2">
      <c r="A215" s="27"/>
      <c r="B215" s="25"/>
      <c r="D215" s="11"/>
      <c r="E215" s="10"/>
      <c r="O215" s="10"/>
      <c r="V215" s="10"/>
      <c r="W215" s="6"/>
    </row>
    <row r="216" spans="1:23" x14ac:dyDescent="0.2">
      <c r="A216" s="27"/>
      <c r="B216" s="25"/>
      <c r="D216" s="11"/>
      <c r="E216" s="10"/>
      <c r="O216" s="10"/>
      <c r="V216" s="10"/>
      <c r="W216" s="6"/>
    </row>
    <row r="217" spans="1:23" x14ac:dyDescent="0.2">
      <c r="A217" s="27"/>
      <c r="B217" s="25"/>
      <c r="D217" s="11"/>
      <c r="E217" s="10"/>
      <c r="O217" s="10"/>
      <c r="V217" s="10"/>
      <c r="W217" s="6"/>
    </row>
    <row r="218" spans="1:23" x14ac:dyDescent="0.2">
      <c r="A218" s="27"/>
      <c r="B218" s="25"/>
      <c r="D218" s="11"/>
      <c r="E218" s="10"/>
      <c r="O218" s="10"/>
      <c r="V218" s="10"/>
      <c r="W218" s="6"/>
    </row>
    <row r="219" spans="1:23" x14ac:dyDescent="0.2">
      <c r="A219" s="27"/>
      <c r="B219" s="25"/>
      <c r="D219" s="11"/>
      <c r="E219" s="10"/>
      <c r="O219" s="10"/>
      <c r="V219" s="10"/>
      <c r="W219" s="6"/>
    </row>
    <row r="220" spans="1:23" x14ac:dyDescent="0.2">
      <c r="A220" s="27"/>
      <c r="B220" s="25"/>
      <c r="D220" s="11"/>
      <c r="E220" s="10"/>
      <c r="O220" s="10"/>
      <c r="V220" s="10"/>
      <c r="W220" s="6"/>
    </row>
    <row r="221" spans="1:23" x14ac:dyDescent="0.2">
      <c r="A221" s="27"/>
      <c r="B221" s="1"/>
      <c r="D221" s="11"/>
      <c r="E221" s="10"/>
      <c r="O221" s="10"/>
      <c r="V221" s="10"/>
      <c r="W221" s="6"/>
    </row>
    <row r="222" spans="1:23" x14ac:dyDescent="0.2">
      <c r="A222" s="27"/>
      <c r="B222" s="25"/>
      <c r="D222" s="11"/>
      <c r="E222" s="10"/>
      <c r="O222" s="10"/>
      <c r="V222" s="10"/>
      <c r="W222" s="6"/>
    </row>
    <row r="223" spans="1:23" x14ac:dyDescent="0.2">
      <c r="A223" s="27"/>
      <c r="B223" s="25"/>
      <c r="D223" s="11"/>
      <c r="E223" s="10"/>
      <c r="O223" s="10"/>
      <c r="V223" s="10"/>
      <c r="W223" s="6"/>
    </row>
    <row r="224" spans="1:23" x14ac:dyDescent="0.2">
      <c r="A224" s="27"/>
      <c r="B224" s="25"/>
      <c r="D224" s="11"/>
      <c r="E224" s="10"/>
      <c r="O224" s="10"/>
      <c r="V224" s="10"/>
      <c r="W224" s="6"/>
    </row>
    <row r="225" spans="1:23" x14ac:dyDescent="0.2">
      <c r="A225" s="27"/>
      <c r="B225" s="25"/>
      <c r="D225" s="11"/>
      <c r="E225" s="10"/>
      <c r="O225" s="10"/>
      <c r="V225" s="10"/>
      <c r="W225" s="6"/>
    </row>
    <row r="226" spans="1:23" x14ac:dyDescent="0.2">
      <c r="A226" s="27"/>
      <c r="B226" s="25"/>
      <c r="D226" s="11"/>
      <c r="E226" s="10"/>
      <c r="O226" s="10"/>
      <c r="V226" s="10"/>
      <c r="W226" s="6"/>
    </row>
    <row r="227" spans="1:23" x14ac:dyDescent="0.2">
      <c r="A227" s="27"/>
      <c r="B227" s="25"/>
      <c r="D227" s="11"/>
      <c r="E227" s="10"/>
      <c r="O227" s="10"/>
      <c r="V227" s="10"/>
      <c r="W227" s="6"/>
    </row>
    <row r="228" spans="1:23" x14ac:dyDescent="0.2">
      <c r="A228" s="27"/>
      <c r="B228" s="25"/>
      <c r="D228" s="11"/>
      <c r="E228" s="10"/>
      <c r="O228" s="10"/>
      <c r="V228" s="10"/>
      <c r="W228" s="6"/>
    </row>
    <row r="229" spans="1:23" x14ac:dyDescent="0.2">
      <c r="A229" s="27"/>
      <c r="B229" s="25"/>
      <c r="D229" s="11"/>
      <c r="E229" s="10"/>
      <c r="O229" s="10"/>
      <c r="V229" s="10"/>
      <c r="W229" s="6"/>
    </row>
    <row r="230" spans="1:23" x14ac:dyDescent="0.2">
      <c r="A230" s="27"/>
      <c r="B230" s="25"/>
      <c r="D230" s="11"/>
      <c r="E230" s="10"/>
      <c r="O230" s="10"/>
      <c r="V230" s="10"/>
      <c r="W230" s="6"/>
    </row>
    <row r="231" spans="1:23" x14ac:dyDescent="0.2">
      <c r="A231" s="27"/>
      <c r="B231" s="1"/>
      <c r="D231" s="11"/>
      <c r="E231" s="10"/>
      <c r="O231" s="10"/>
      <c r="V231" s="10"/>
      <c r="W231" s="6"/>
    </row>
    <row r="232" spans="1:23" x14ac:dyDescent="0.2">
      <c r="A232" s="27"/>
      <c r="B232" s="25"/>
      <c r="D232" s="11"/>
      <c r="E232" s="10"/>
      <c r="O232" s="10"/>
      <c r="V232" s="10"/>
      <c r="W232" s="6"/>
    </row>
    <row r="233" spans="1:23" x14ac:dyDescent="0.2">
      <c r="A233" s="27"/>
      <c r="B233" s="25"/>
      <c r="D233" s="11"/>
      <c r="E233" s="10"/>
      <c r="O233" s="10"/>
      <c r="V233" s="10"/>
      <c r="W233" s="6"/>
    </row>
    <row r="234" spans="1:23" x14ac:dyDescent="0.2">
      <c r="A234" s="27"/>
      <c r="B234" s="25"/>
      <c r="D234" s="11"/>
      <c r="E234" s="10"/>
      <c r="O234" s="10"/>
      <c r="V234" s="10"/>
      <c r="W234" s="6"/>
    </row>
    <row r="235" spans="1:23" x14ac:dyDescent="0.2">
      <c r="A235" s="27"/>
      <c r="B235" s="1"/>
      <c r="D235" s="11"/>
      <c r="E235" s="10"/>
      <c r="O235" s="10"/>
      <c r="V235" s="10"/>
      <c r="W235" s="6"/>
    </row>
    <row r="236" spans="1:23" x14ac:dyDescent="0.2">
      <c r="A236" s="27"/>
      <c r="B236" s="25"/>
      <c r="D236" s="11"/>
      <c r="E236" s="10"/>
      <c r="O236" s="10"/>
      <c r="V236" s="10"/>
      <c r="W236" s="6"/>
    </row>
    <row r="237" spans="1:23" x14ac:dyDescent="0.2">
      <c r="A237" s="27"/>
      <c r="B237" s="25"/>
      <c r="D237" s="11"/>
      <c r="E237" s="10"/>
      <c r="O237" s="10"/>
      <c r="V237" s="10"/>
      <c r="W237" s="6"/>
    </row>
    <row r="238" spans="1:23" x14ac:dyDescent="0.2">
      <c r="A238" s="27"/>
      <c r="B238" s="25"/>
      <c r="D238" s="11"/>
      <c r="E238" s="10"/>
      <c r="O238" s="10"/>
      <c r="V238" s="10"/>
      <c r="W238" s="6"/>
    </row>
    <row r="239" spans="1:23" x14ac:dyDescent="0.2">
      <c r="A239" s="27"/>
      <c r="B239" s="25"/>
      <c r="D239" s="11"/>
      <c r="E239" s="10"/>
      <c r="O239" s="10"/>
      <c r="V239" s="10"/>
      <c r="W239" s="6"/>
    </row>
    <row r="240" spans="1:23" x14ac:dyDescent="0.2">
      <c r="A240" s="27"/>
      <c r="B240" s="25"/>
      <c r="D240" s="11"/>
      <c r="E240" s="10"/>
      <c r="O240" s="10"/>
      <c r="V240" s="10"/>
      <c r="W240" s="6"/>
    </row>
    <row r="241" spans="1:23" x14ac:dyDescent="0.2">
      <c r="A241" s="27"/>
      <c r="B241" s="25"/>
      <c r="D241" s="11"/>
      <c r="E241" s="10"/>
      <c r="O241" s="10"/>
      <c r="V241" s="10"/>
      <c r="W241" s="6"/>
    </row>
    <row r="242" spans="1:23" x14ac:dyDescent="0.2">
      <c r="A242" s="27"/>
      <c r="B242" s="25"/>
      <c r="D242" s="11"/>
      <c r="E242" s="10"/>
      <c r="O242" s="10"/>
      <c r="V242" s="10"/>
      <c r="W242" s="6"/>
    </row>
    <row r="243" spans="1:23" x14ac:dyDescent="0.2">
      <c r="A243" s="27"/>
      <c r="B243" s="25"/>
      <c r="D243" s="11"/>
      <c r="E243" s="10"/>
      <c r="O243" s="10"/>
      <c r="V243" s="10"/>
      <c r="W243" s="6"/>
    </row>
    <row r="244" spans="1:23" x14ac:dyDescent="0.2">
      <c r="A244" s="27"/>
      <c r="B244" s="25"/>
      <c r="D244" s="11"/>
      <c r="E244" s="10"/>
      <c r="O244" s="10"/>
      <c r="V244" s="10"/>
      <c r="W244" s="6"/>
    </row>
    <row r="245" spans="1:23" x14ac:dyDescent="0.2">
      <c r="A245" s="27"/>
      <c r="B245" s="1"/>
      <c r="D245" s="11"/>
      <c r="E245" s="10"/>
      <c r="O245" s="10"/>
      <c r="V245" s="10"/>
      <c r="W245" s="6"/>
    </row>
    <row r="246" spans="1:23" x14ac:dyDescent="0.2">
      <c r="A246" s="27"/>
      <c r="B246" s="25"/>
      <c r="D246" s="11"/>
      <c r="E246" s="10"/>
      <c r="O246" s="10"/>
      <c r="V246" s="10"/>
      <c r="W246" s="6"/>
    </row>
    <row r="247" spans="1:23" x14ac:dyDescent="0.2">
      <c r="A247" s="27"/>
      <c r="B247" s="25"/>
      <c r="D247" s="11"/>
      <c r="E247" s="10"/>
      <c r="O247" s="10"/>
      <c r="V247" s="10"/>
      <c r="W247" s="6"/>
    </row>
    <row r="248" spans="1:23" x14ac:dyDescent="0.2">
      <c r="A248" s="27"/>
      <c r="B248" s="25"/>
      <c r="D248" s="11"/>
      <c r="E248" s="10"/>
      <c r="O248" s="10"/>
      <c r="V248" s="10"/>
      <c r="W248" s="6"/>
    </row>
    <row r="249" spans="1:23" x14ac:dyDescent="0.2">
      <c r="A249" s="27"/>
      <c r="B249" s="25"/>
      <c r="D249" s="11"/>
      <c r="E249" s="10"/>
      <c r="O249" s="10"/>
      <c r="V249" s="10"/>
      <c r="W249" s="6"/>
    </row>
    <row r="250" spans="1:23" x14ac:dyDescent="0.2">
      <c r="A250" s="27"/>
      <c r="B250" s="25"/>
      <c r="D250" s="11"/>
      <c r="E250" s="10"/>
      <c r="O250" s="10"/>
      <c r="V250" s="10"/>
      <c r="W250" s="6"/>
    </row>
    <row r="251" spans="1:23" x14ac:dyDescent="0.2">
      <c r="A251" s="27"/>
      <c r="B251" s="25"/>
      <c r="D251" s="11"/>
      <c r="E251" s="10"/>
      <c r="O251" s="10"/>
      <c r="V251" s="10"/>
      <c r="W251" s="6"/>
    </row>
    <row r="252" spans="1:23" x14ac:dyDescent="0.2">
      <c r="A252" s="27"/>
      <c r="B252" s="25"/>
      <c r="D252" s="11"/>
      <c r="E252" s="10"/>
      <c r="O252" s="10"/>
      <c r="V252" s="10"/>
      <c r="W252" s="6"/>
    </row>
    <row r="253" spans="1:23" x14ac:dyDescent="0.2">
      <c r="A253" s="27"/>
      <c r="B253" s="25"/>
      <c r="D253" s="11"/>
      <c r="E253" s="10"/>
      <c r="O253" s="10"/>
      <c r="V253" s="10"/>
      <c r="W253" s="6"/>
    </row>
    <row r="254" spans="1:23" x14ac:dyDescent="0.2">
      <c r="A254" s="27"/>
      <c r="B254" s="25"/>
      <c r="D254" s="11"/>
      <c r="E254" s="10"/>
      <c r="O254" s="10"/>
      <c r="V254" s="10"/>
      <c r="W254" s="6"/>
    </row>
    <row r="255" spans="1:23" x14ac:dyDescent="0.2">
      <c r="A255" s="27"/>
      <c r="B255" s="25"/>
      <c r="D255" s="11"/>
      <c r="E255" s="10"/>
      <c r="O255" s="10"/>
      <c r="V255" s="10"/>
      <c r="W255" s="6"/>
    </row>
    <row r="256" spans="1:23" x14ac:dyDescent="0.2">
      <c r="A256" s="27"/>
      <c r="B256" s="25"/>
      <c r="D256" s="11"/>
      <c r="E256" s="10"/>
      <c r="O256" s="10"/>
      <c r="V256" s="10"/>
      <c r="W256" s="6"/>
    </row>
    <row r="257" spans="1:23" x14ac:dyDescent="0.2">
      <c r="A257" s="27"/>
      <c r="B257" s="25"/>
      <c r="D257" s="11"/>
      <c r="E257" s="10"/>
      <c r="O257" s="10"/>
      <c r="V257" s="10"/>
      <c r="W257" s="6"/>
    </row>
    <row r="258" spans="1:23" x14ac:dyDescent="0.2">
      <c r="A258" s="27"/>
      <c r="B258" s="25"/>
      <c r="D258" s="11"/>
      <c r="E258" s="10"/>
      <c r="O258" s="10"/>
      <c r="V258" s="10"/>
      <c r="W258" s="6"/>
    </row>
    <row r="259" spans="1:23" x14ac:dyDescent="0.2">
      <c r="A259" s="27"/>
      <c r="B259" s="25"/>
      <c r="D259" s="11"/>
      <c r="E259" s="10"/>
      <c r="O259" s="10"/>
      <c r="V259" s="10"/>
      <c r="W259" s="6"/>
    </row>
    <row r="260" spans="1:23" x14ac:dyDescent="0.2">
      <c r="A260" s="27"/>
      <c r="B260" s="25"/>
      <c r="D260" s="11"/>
      <c r="E260" s="10"/>
      <c r="O260" s="10"/>
      <c r="V260" s="10"/>
      <c r="W260" s="6"/>
    </row>
    <row r="261" spans="1:23" x14ac:dyDescent="0.2">
      <c r="A261" s="27"/>
      <c r="B261" s="1"/>
      <c r="D261" s="11"/>
      <c r="E261" s="10"/>
      <c r="O261" s="10"/>
      <c r="V261" s="10"/>
      <c r="W261" s="6"/>
    </row>
    <row r="262" spans="1:23" x14ac:dyDescent="0.2">
      <c r="A262" s="27"/>
      <c r="B262" s="25"/>
      <c r="D262" s="11"/>
      <c r="E262" s="10"/>
      <c r="O262" s="10"/>
      <c r="V262" s="10"/>
      <c r="W262" s="6"/>
    </row>
    <row r="263" spans="1:23" x14ac:dyDescent="0.2">
      <c r="A263" s="27"/>
      <c r="B263" s="25"/>
      <c r="D263" s="11"/>
      <c r="E263" s="10"/>
      <c r="O263" s="10"/>
      <c r="V263" s="10"/>
      <c r="W263" s="6"/>
    </row>
    <row r="264" spans="1:23" x14ac:dyDescent="0.2">
      <c r="A264" s="27"/>
      <c r="B264" s="25"/>
      <c r="D264" s="11"/>
      <c r="E264" s="10"/>
      <c r="O264" s="10"/>
      <c r="V264" s="10"/>
      <c r="W264" s="6"/>
    </row>
    <row r="265" spans="1:23" x14ac:dyDescent="0.2">
      <c r="A265" s="27"/>
      <c r="B265" s="25"/>
      <c r="D265" s="11"/>
      <c r="E265" s="10"/>
      <c r="O265" s="10"/>
      <c r="V265" s="10"/>
      <c r="W265" s="6"/>
    </row>
    <row r="266" spans="1:23" x14ac:dyDescent="0.2">
      <c r="A266" s="27"/>
      <c r="B266" s="25"/>
      <c r="D266" s="11"/>
      <c r="E266" s="10"/>
      <c r="O266" s="10"/>
      <c r="V266" s="10"/>
      <c r="W266" s="6"/>
    </row>
    <row r="267" spans="1:23" x14ac:dyDescent="0.2">
      <c r="A267" s="27"/>
      <c r="B267" s="25"/>
      <c r="D267" s="11"/>
      <c r="E267" s="10"/>
      <c r="O267" s="10"/>
      <c r="V267" s="10"/>
      <c r="W267" s="6"/>
    </row>
    <row r="268" spans="1:23" x14ac:dyDescent="0.2">
      <c r="A268" s="27"/>
      <c r="B268" s="25"/>
      <c r="D268" s="11"/>
      <c r="E268" s="10"/>
      <c r="O268" s="10"/>
      <c r="V268" s="10"/>
      <c r="W268" s="6"/>
    </row>
    <row r="269" spans="1:23" x14ac:dyDescent="0.2">
      <c r="A269" s="27"/>
      <c r="B269" s="25"/>
      <c r="D269" s="11"/>
      <c r="E269" s="10"/>
      <c r="O269" s="10"/>
      <c r="V269" s="10"/>
      <c r="W269" s="6"/>
    </row>
    <row r="270" spans="1:23" x14ac:dyDescent="0.2">
      <c r="A270" s="27"/>
      <c r="B270" s="25"/>
      <c r="D270" s="11"/>
      <c r="E270" s="10"/>
      <c r="O270" s="10"/>
      <c r="V270" s="10"/>
      <c r="W270" s="6"/>
    </row>
    <row r="271" spans="1:23" x14ac:dyDescent="0.2">
      <c r="A271" s="27"/>
      <c r="B271" s="25"/>
      <c r="D271" s="11"/>
      <c r="E271" s="10"/>
      <c r="O271" s="10"/>
      <c r="V271" s="10"/>
      <c r="W271" s="6"/>
    </row>
    <row r="272" spans="1:23" x14ac:dyDescent="0.2">
      <c r="A272" s="27"/>
      <c r="B272" s="1"/>
      <c r="D272" s="11"/>
      <c r="E272" s="10"/>
      <c r="O272" s="10"/>
      <c r="V272" s="10"/>
      <c r="W272" s="6"/>
    </row>
    <row r="273" spans="1:23" x14ac:dyDescent="0.2">
      <c r="A273" s="27"/>
      <c r="B273" s="25"/>
      <c r="D273" s="11"/>
      <c r="E273" s="10"/>
      <c r="O273" s="10"/>
      <c r="V273" s="10"/>
      <c r="W273" s="6"/>
    </row>
    <row r="274" spans="1:23" x14ac:dyDescent="0.2">
      <c r="A274" s="27"/>
      <c r="B274" s="25"/>
      <c r="D274" s="11"/>
      <c r="E274" s="10"/>
      <c r="O274" s="10"/>
      <c r="V274" s="10"/>
      <c r="W274" s="6"/>
    </row>
    <row r="275" spans="1:23" x14ac:dyDescent="0.2">
      <c r="A275" s="27"/>
      <c r="B275" s="25"/>
      <c r="D275" s="11"/>
      <c r="E275" s="10"/>
      <c r="O275" s="10"/>
      <c r="V275" s="10"/>
      <c r="W275" s="6"/>
    </row>
    <row r="276" spans="1:23" x14ac:dyDescent="0.2">
      <c r="A276" s="27"/>
      <c r="B276" s="25"/>
      <c r="D276" s="11"/>
      <c r="E276" s="10"/>
      <c r="O276" s="10"/>
      <c r="V276" s="10"/>
      <c r="W276" s="6"/>
    </row>
    <row r="277" spans="1:23" x14ac:dyDescent="0.2">
      <c r="A277" s="27"/>
      <c r="B277" s="25"/>
      <c r="D277" s="11"/>
      <c r="E277" s="10"/>
      <c r="O277" s="10"/>
      <c r="V277" s="10"/>
      <c r="W277" s="6"/>
    </row>
    <row r="278" spans="1:23" x14ac:dyDescent="0.2">
      <c r="A278" s="27"/>
      <c r="B278" s="25"/>
      <c r="D278" s="11"/>
      <c r="E278" s="10"/>
      <c r="O278" s="10"/>
      <c r="V278" s="10"/>
      <c r="W278" s="6"/>
    </row>
    <row r="279" spans="1:23" x14ac:dyDescent="0.2">
      <c r="A279" s="27"/>
      <c r="B279" s="1"/>
      <c r="D279" s="11"/>
      <c r="E279" s="10"/>
      <c r="O279" s="10"/>
      <c r="V279" s="10"/>
      <c r="W279" s="6"/>
    </row>
    <row r="280" spans="1:23" x14ac:dyDescent="0.2">
      <c r="A280" s="27"/>
      <c r="B280" s="25"/>
      <c r="D280" s="11"/>
      <c r="E280" s="10"/>
      <c r="O280" s="10"/>
      <c r="V280" s="10"/>
      <c r="W280" s="6"/>
    </row>
    <row r="281" spans="1:23" x14ac:dyDescent="0.2">
      <c r="A281" s="27"/>
      <c r="B281" s="25"/>
      <c r="D281" s="11"/>
      <c r="E281" s="10"/>
      <c r="O281" s="10"/>
      <c r="V281" s="10"/>
      <c r="W281" s="6"/>
    </row>
    <row r="282" spans="1:23" x14ac:dyDescent="0.2">
      <c r="A282" s="27"/>
      <c r="B282" s="25"/>
      <c r="D282" s="11"/>
      <c r="E282" s="10"/>
      <c r="O282" s="10"/>
      <c r="V282" s="10"/>
      <c r="W282" s="6"/>
    </row>
    <row r="283" spans="1:23" x14ac:dyDescent="0.2">
      <c r="A283" s="27"/>
      <c r="B283" s="25"/>
      <c r="D283" s="11"/>
      <c r="E283" s="10"/>
      <c r="O283" s="10"/>
      <c r="V283" s="10"/>
      <c r="W283" s="6"/>
    </row>
    <row r="284" spans="1:23" x14ac:dyDescent="0.2">
      <c r="A284" s="27"/>
      <c r="B284" s="25"/>
      <c r="D284" s="11"/>
      <c r="E284" s="10"/>
      <c r="O284" s="10"/>
      <c r="V284" s="10"/>
      <c r="W284" s="6"/>
    </row>
    <row r="285" spans="1:23" x14ac:dyDescent="0.2">
      <c r="A285" s="27"/>
      <c r="B285" s="25"/>
      <c r="D285" s="11"/>
      <c r="E285" s="10"/>
      <c r="O285" s="10"/>
      <c r="V285" s="10"/>
      <c r="W285" s="6"/>
    </row>
    <row r="286" spans="1:23" x14ac:dyDescent="0.2">
      <c r="A286" s="27"/>
      <c r="B286" s="25"/>
      <c r="D286" s="11"/>
      <c r="E286" s="10"/>
      <c r="O286" s="10"/>
      <c r="V286" s="10"/>
      <c r="W286" s="6"/>
    </row>
    <row r="287" spans="1:23" x14ac:dyDescent="0.2">
      <c r="A287" s="27"/>
      <c r="B287" s="25"/>
      <c r="D287" s="11"/>
      <c r="E287" s="10"/>
      <c r="O287" s="10"/>
      <c r="V287" s="10"/>
      <c r="W287" s="6"/>
    </row>
    <row r="288" spans="1:23" x14ac:dyDescent="0.2">
      <c r="A288" s="27"/>
      <c r="B288" s="1"/>
      <c r="D288" s="11"/>
      <c r="E288" s="10"/>
      <c r="O288" s="10"/>
      <c r="V288" s="10"/>
      <c r="W288" s="6"/>
    </row>
    <row r="289" spans="1:23" x14ac:dyDescent="0.2">
      <c r="A289" s="27"/>
      <c r="B289" s="25"/>
      <c r="D289" s="11"/>
      <c r="E289" s="10"/>
      <c r="O289" s="10"/>
      <c r="V289" s="10"/>
      <c r="W289" s="6"/>
    </row>
    <row r="290" spans="1:23" x14ac:dyDescent="0.2">
      <c r="A290" s="27"/>
      <c r="B290" s="25"/>
      <c r="D290" s="11"/>
      <c r="E290" s="10"/>
      <c r="O290" s="10"/>
      <c r="V290" s="10"/>
      <c r="W290" s="6"/>
    </row>
    <row r="291" spans="1:23" x14ac:dyDescent="0.2">
      <c r="A291" s="27"/>
      <c r="B291" s="25"/>
      <c r="D291" s="11"/>
      <c r="E291" s="10"/>
      <c r="O291" s="10"/>
      <c r="V291" s="10"/>
      <c r="W291" s="6"/>
    </row>
    <row r="292" spans="1:23" x14ac:dyDescent="0.2">
      <c r="A292" s="27"/>
      <c r="B292" s="25"/>
      <c r="D292" s="11"/>
      <c r="E292" s="10"/>
      <c r="O292" s="10"/>
      <c r="V292" s="10"/>
      <c r="W292" s="6"/>
    </row>
    <row r="293" spans="1:23" x14ac:dyDescent="0.2">
      <c r="A293" s="27"/>
      <c r="B293" s="25"/>
      <c r="D293" s="11"/>
      <c r="E293" s="10"/>
      <c r="O293" s="10"/>
      <c r="V293" s="10"/>
      <c r="W293" s="6"/>
    </row>
    <row r="294" spans="1:23" x14ac:dyDescent="0.2">
      <c r="A294" s="27"/>
      <c r="B294" s="25"/>
      <c r="D294" s="11"/>
      <c r="E294" s="10"/>
      <c r="O294" s="10"/>
      <c r="V294" s="10"/>
      <c r="W294" s="6"/>
    </row>
    <row r="295" spans="1:23" x14ac:dyDescent="0.2">
      <c r="A295" s="27"/>
      <c r="B295" s="25"/>
      <c r="D295" s="11"/>
      <c r="E295" s="10"/>
      <c r="O295" s="10"/>
      <c r="V295" s="10"/>
      <c r="W295" s="6"/>
    </row>
    <row r="296" spans="1:23" x14ac:dyDescent="0.2">
      <c r="A296" s="27"/>
      <c r="B296" s="25"/>
      <c r="D296" s="11"/>
      <c r="E296" s="10"/>
      <c r="O296" s="10"/>
      <c r="V296" s="10"/>
      <c r="W296" s="6"/>
    </row>
    <row r="297" spans="1:23" x14ac:dyDescent="0.2">
      <c r="A297" s="27"/>
      <c r="B297" s="25"/>
      <c r="D297" s="11"/>
      <c r="E297" s="10"/>
      <c r="O297" s="10"/>
      <c r="V297" s="10"/>
      <c r="W297" s="6"/>
    </row>
    <row r="298" spans="1:23" x14ac:dyDescent="0.2">
      <c r="A298" s="27"/>
      <c r="B298" s="1"/>
      <c r="D298" s="11"/>
      <c r="E298" s="10"/>
      <c r="O298" s="10"/>
      <c r="V298" s="10"/>
      <c r="W298" s="6"/>
    </row>
    <row r="299" spans="1:23" x14ac:dyDescent="0.2">
      <c r="A299" s="27"/>
      <c r="B299" s="25"/>
      <c r="D299" s="11"/>
      <c r="E299" s="10"/>
      <c r="O299" s="10"/>
      <c r="V299" s="10"/>
      <c r="W299" s="6"/>
    </row>
    <row r="300" spans="1:23" x14ac:dyDescent="0.2">
      <c r="A300" s="27"/>
      <c r="B300" s="25"/>
      <c r="D300" s="11"/>
      <c r="E300" s="10"/>
      <c r="O300" s="10"/>
      <c r="V300" s="10"/>
      <c r="W300" s="6"/>
    </row>
    <row r="301" spans="1:23" x14ac:dyDescent="0.2">
      <c r="A301" s="27"/>
      <c r="B301" s="25"/>
      <c r="D301" s="11"/>
      <c r="E301" s="10"/>
      <c r="O301" s="10"/>
      <c r="V301" s="10"/>
      <c r="W301" s="6"/>
    </row>
    <row r="302" spans="1:23" x14ac:dyDescent="0.2">
      <c r="A302" s="27"/>
      <c r="B302" s="25"/>
      <c r="D302" s="11"/>
      <c r="E302" s="10"/>
      <c r="O302" s="10"/>
      <c r="V302" s="10"/>
      <c r="W302" s="6"/>
    </row>
    <row r="303" spans="1:23" x14ac:dyDescent="0.2">
      <c r="A303" s="27"/>
      <c r="B303" s="25"/>
      <c r="D303" s="11"/>
      <c r="E303" s="10"/>
      <c r="O303" s="10"/>
      <c r="V303" s="10"/>
      <c r="W303" s="6"/>
    </row>
    <row r="304" spans="1:23" x14ac:dyDescent="0.2">
      <c r="A304" s="27"/>
      <c r="B304" s="25"/>
      <c r="D304" s="11"/>
      <c r="E304" s="10"/>
      <c r="O304" s="10"/>
      <c r="V304" s="10"/>
      <c r="W304" s="6"/>
    </row>
    <row r="305" spans="1:23" x14ac:dyDescent="0.2">
      <c r="A305" s="27"/>
      <c r="B305" s="1"/>
      <c r="D305" s="11"/>
      <c r="E305" s="10"/>
      <c r="O305" s="10"/>
      <c r="V305" s="10"/>
      <c r="W305" s="6"/>
    </row>
    <row r="306" spans="1:23" x14ac:dyDescent="0.2">
      <c r="A306" s="27"/>
      <c r="B306" s="25"/>
      <c r="D306" s="11"/>
      <c r="E306" s="10"/>
      <c r="O306" s="10"/>
      <c r="V306" s="10"/>
      <c r="W306" s="6"/>
    </row>
    <row r="307" spans="1:23" x14ac:dyDescent="0.2">
      <c r="A307" s="27"/>
      <c r="B307" s="25"/>
      <c r="D307" s="11"/>
      <c r="E307" s="10"/>
      <c r="O307" s="10"/>
      <c r="V307" s="10"/>
      <c r="W307" s="6"/>
    </row>
    <row r="308" spans="1:23" x14ac:dyDescent="0.2">
      <c r="A308" s="27"/>
      <c r="B308" s="25"/>
      <c r="D308" s="11"/>
      <c r="E308" s="10"/>
      <c r="O308" s="10"/>
      <c r="V308" s="10"/>
      <c r="W308" s="6"/>
    </row>
    <row r="309" spans="1:23" x14ac:dyDescent="0.2">
      <c r="A309" s="27"/>
      <c r="B309" s="1"/>
      <c r="D309" s="11"/>
      <c r="E309" s="10"/>
      <c r="O309" s="10"/>
      <c r="V309" s="10"/>
      <c r="W309" s="6"/>
    </row>
    <row r="310" spans="1:23" x14ac:dyDescent="0.2">
      <c r="A310" s="27"/>
      <c r="B310" s="25"/>
      <c r="D310" s="11"/>
      <c r="E310" s="10"/>
      <c r="O310" s="10"/>
      <c r="V310" s="10"/>
      <c r="W310" s="6"/>
    </row>
    <row r="311" spans="1:23" x14ac:dyDescent="0.2">
      <c r="A311" s="27"/>
      <c r="B311" s="25"/>
      <c r="D311" s="11"/>
      <c r="E311" s="10"/>
      <c r="O311" s="10"/>
      <c r="V311" s="10"/>
      <c r="W311" s="6"/>
    </row>
    <row r="312" spans="1:23" x14ac:dyDescent="0.2">
      <c r="A312" s="27"/>
      <c r="B312" s="25"/>
      <c r="D312" s="11"/>
      <c r="E312" s="10"/>
      <c r="O312" s="10"/>
      <c r="V312" s="10"/>
      <c r="W312" s="6"/>
    </row>
    <row r="313" spans="1:23" x14ac:dyDescent="0.2">
      <c r="A313" s="27"/>
      <c r="B313" s="1"/>
      <c r="D313" s="11"/>
      <c r="E313" s="10"/>
      <c r="O313" s="10"/>
      <c r="V313" s="10"/>
      <c r="W313" s="6"/>
    </row>
    <row r="314" spans="1:23" x14ac:dyDescent="0.2">
      <c r="A314" s="27"/>
      <c r="B314" s="25"/>
      <c r="D314" s="11"/>
      <c r="E314" s="10"/>
      <c r="O314" s="10"/>
      <c r="V314" s="10"/>
      <c r="W314" s="6"/>
    </row>
    <row r="315" spans="1:23" x14ac:dyDescent="0.2">
      <c r="A315" s="27"/>
      <c r="B315" s="25"/>
      <c r="D315" s="11"/>
      <c r="E315" s="10"/>
      <c r="O315" s="10"/>
      <c r="V315" s="10"/>
      <c r="W315" s="6"/>
    </row>
    <row r="316" spans="1:23" x14ac:dyDescent="0.2">
      <c r="A316" s="27"/>
      <c r="B316" s="1"/>
      <c r="D316" s="11"/>
      <c r="E316" s="10"/>
      <c r="O316" s="10"/>
      <c r="V316" s="10"/>
      <c r="W316" s="6"/>
    </row>
    <row r="317" spans="1:23" x14ac:dyDescent="0.2">
      <c r="A317" s="27"/>
      <c r="B317" s="25"/>
      <c r="D317" s="11"/>
      <c r="E317" s="10"/>
      <c r="O317" s="10"/>
      <c r="V317" s="10"/>
      <c r="W317" s="6"/>
    </row>
    <row r="318" spans="1:23" x14ac:dyDescent="0.2">
      <c r="A318" s="27"/>
      <c r="B318" s="25"/>
      <c r="D318" s="11"/>
      <c r="E318" s="10"/>
      <c r="O318" s="10"/>
      <c r="V318" s="10"/>
      <c r="W318" s="6"/>
    </row>
    <row r="319" spans="1:23" x14ac:dyDescent="0.2">
      <c r="A319" s="27"/>
      <c r="B319" s="1"/>
      <c r="D319" s="11"/>
      <c r="E319" s="10"/>
      <c r="O319" s="10"/>
      <c r="V319" s="10"/>
      <c r="W319" s="6"/>
    </row>
    <row r="320" spans="1:23" x14ac:dyDescent="0.2">
      <c r="A320" s="27"/>
      <c r="B320" s="25"/>
      <c r="D320" s="11"/>
      <c r="E320" s="10"/>
      <c r="O320" s="10"/>
      <c r="V320" s="10"/>
      <c r="W320" s="6"/>
    </row>
    <row r="321" spans="1:23" x14ac:dyDescent="0.2">
      <c r="A321" s="27"/>
      <c r="B321" s="25"/>
      <c r="D321" s="11"/>
      <c r="E321" s="10"/>
      <c r="O321" s="10"/>
      <c r="V321" s="10"/>
      <c r="W321" s="6"/>
    </row>
    <row r="322" spans="1:23" x14ac:dyDescent="0.2">
      <c r="A322" s="27"/>
      <c r="B322" s="1"/>
      <c r="D322" s="11"/>
      <c r="E322" s="10"/>
      <c r="O322" s="10"/>
      <c r="V322" s="10"/>
      <c r="W322" s="6"/>
    </row>
    <row r="323" spans="1:23" x14ac:dyDescent="0.2">
      <c r="A323" s="27"/>
      <c r="B323" s="25"/>
      <c r="D323" s="11"/>
      <c r="E323" s="10"/>
      <c r="O323" s="10"/>
      <c r="V323" s="10"/>
      <c r="W323" s="6"/>
    </row>
    <row r="324" spans="1:23" x14ac:dyDescent="0.2">
      <c r="A324" s="27"/>
      <c r="B324" s="25"/>
      <c r="D324" s="11"/>
      <c r="E324" s="10"/>
      <c r="O324" s="10"/>
      <c r="V324" s="10"/>
      <c r="W324" s="6"/>
    </row>
    <row r="325" spans="1:23" x14ac:dyDescent="0.2">
      <c r="A325" s="27"/>
      <c r="B325" s="1"/>
      <c r="D325" s="11"/>
      <c r="E325" s="10"/>
      <c r="O325" s="10"/>
      <c r="V325" s="10"/>
      <c r="W325" s="6"/>
    </row>
    <row r="326" spans="1:23" x14ac:dyDescent="0.2">
      <c r="A326" s="27"/>
      <c r="B326" s="25"/>
      <c r="D326" s="11"/>
      <c r="E326" s="10"/>
      <c r="O326" s="10"/>
      <c r="V326" s="10"/>
      <c r="W326" s="6"/>
    </row>
    <row r="327" spans="1:23" x14ac:dyDescent="0.2">
      <c r="A327" s="27"/>
      <c r="B327" s="25"/>
      <c r="D327" s="11"/>
      <c r="E327" s="10"/>
      <c r="O327" s="10"/>
      <c r="V327" s="10"/>
      <c r="W327" s="6"/>
    </row>
    <row r="328" spans="1:23" x14ac:dyDescent="0.2">
      <c r="A328" s="27"/>
      <c r="B328" s="25"/>
      <c r="D328" s="11"/>
      <c r="E328" s="10"/>
      <c r="O328" s="10"/>
      <c r="V328" s="10"/>
      <c r="W328" s="6"/>
    </row>
    <row r="329" spans="1:23" x14ac:dyDescent="0.2">
      <c r="A329" s="27"/>
      <c r="B329" s="25"/>
      <c r="D329" s="11"/>
      <c r="E329" s="10"/>
      <c r="O329" s="10"/>
      <c r="V329" s="10"/>
      <c r="W329" s="6"/>
    </row>
    <row r="330" spans="1:23" x14ac:dyDescent="0.2">
      <c r="A330" s="27"/>
      <c r="B330" s="1"/>
      <c r="D330" s="11"/>
      <c r="E330" s="10"/>
      <c r="O330" s="10"/>
      <c r="V330" s="10"/>
      <c r="W330" s="6"/>
    </row>
    <row r="331" spans="1:23" x14ac:dyDescent="0.2">
      <c r="A331" s="27"/>
      <c r="B331" s="25"/>
      <c r="D331" s="11"/>
      <c r="E331" s="10"/>
      <c r="O331" s="10"/>
      <c r="V331" s="10"/>
    </row>
    <row r="332" spans="1:23" x14ac:dyDescent="0.2">
      <c r="A332" s="27"/>
      <c r="B332" s="25"/>
      <c r="D332" s="11"/>
      <c r="E332" s="10"/>
      <c r="O332" s="10"/>
      <c r="V332" s="10"/>
    </row>
    <row r="333" spans="1:23" x14ac:dyDescent="0.2">
      <c r="A333" s="27"/>
      <c r="B333" s="25"/>
      <c r="D333" s="11"/>
      <c r="E333" s="10"/>
      <c r="O333" s="10"/>
      <c r="V333" s="10"/>
    </row>
    <row r="334" spans="1:23" x14ac:dyDescent="0.2">
      <c r="A334" s="27"/>
      <c r="B334" s="25"/>
      <c r="D334" s="11"/>
      <c r="E334" s="10"/>
      <c r="O334" s="10"/>
      <c r="V334" s="10"/>
    </row>
    <row r="335" spans="1:23" x14ac:dyDescent="0.2">
      <c r="A335" s="27"/>
      <c r="B335" s="25"/>
      <c r="D335" s="11"/>
      <c r="E335" s="10"/>
      <c r="O335" s="10"/>
      <c r="V335" s="10"/>
    </row>
    <row r="336" spans="1:23" x14ac:dyDescent="0.2">
      <c r="A336" s="27"/>
      <c r="B336" s="25"/>
      <c r="D336" s="11"/>
      <c r="E336" s="10"/>
      <c r="O336" s="10"/>
      <c r="V336" s="10"/>
    </row>
    <row r="337" spans="1:23" x14ac:dyDescent="0.2">
      <c r="A337" s="27"/>
      <c r="B337" s="25"/>
      <c r="D337" s="11"/>
      <c r="E337" s="10"/>
      <c r="O337" s="10"/>
      <c r="V337" s="10"/>
    </row>
    <row r="338" spans="1:23" x14ac:dyDescent="0.2">
      <c r="A338" s="27"/>
      <c r="B338" s="25"/>
      <c r="D338" s="11"/>
      <c r="E338" s="10"/>
      <c r="O338" s="10"/>
      <c r="V338" s="10"/>
      <c r="W338" s="6"/>
    </row>
    <row r="339" spans="1:23" x14ac:dyDescent="0.2">
      <c r="A339" s="27"/>
      <c r="B339" s="25"/>
      <c r="D339" s="11"/>
      <c r="E339" s="10"/>
      <c r="O339" s="10"/>
      <c r="V339" s="10"/>
      <c r="W339" s="6"/>
    </row>
    <row r="340" spans="1:23" x14ac:dyDescent="0.2">
      <c r="A340" s="27"/>
      <c r="B340" s="25"/>
      <c r="D340" s="11"/>
      <c r="E340" s="10"/>
      <c r="O340" s="10"/>
      <c r="V340" s="10"/>
      <c r="W340" s="6"/>
    </row>
    <row r="341" spans="1:23" x14ac:dyDescent="0.2">
      <c r="A341" s="27"/>
      <c r="B341" s="25"/>
      <c r="D341" s="11"/>
      <c r="E341" s="10"/>
      <c r="O341" s="10"/>
      <c r="V341" s="10"/>
      <c r="W341" s="6"/>
    </row>
    <row r="342" spans="1:23" x14ac:dyDescent="0.2">
      <c r="A342" s="27"/>
      <c r="B342" s="1"/>
      <c r="D342" s="11"/>
      <c r="E342" s="10"/>
      <c r="O342" s="10"/>
      <c r="V342" s="10"/>
      <c r="W342" s="6"/>
    </row>
    <row r="343" spans="1:23" x14ac:dyDescent="0.2">
      <c r="A343" s="27"/>
      <c r="B343" s="25"/>
      <c r="D343" s="11"/>
      <c r="E343" s="10"/>
      <c r="O343" s="10"/>
      <c r="V343" s="10"/>
      <c r="W343" s="6"/>
    </row>
    <row r="344" spans="1:23" x14ac:dyDescent="0.2">
      <c r="A344" s="27"/>
      <c r="B344" s="25"/>
      <c r="D344" s="11"/>
      <c r="E344" s="10"/>
      <c r="O344" s="10"/>
      <c r="V344" s="10"/>
      <c r="W344" s="6"/>
    </row>
    <row r="345" spans="1:23" x14ac:dyDescent="0.2">
      <c r="A345" s="27"/>
      <c r="B345" s="25"/>
      <c r="D345" s="11"/>
      <c r="E345" s="10"/>
      <c r="O345" s="10"/>
      <c r="V345" s="10"/>
      <c r="W345" s="6"/>
    </row>
    <row r="346" spans="1:23" x14ac:dyDescent="0.2">
      <c r="A346" s="27"/>
      <c r="B346" s="25"/>
      <c r="D346" s="11"/>
      <c r="E346" s="10"/>
      <c r="O346" s="10"/>
      <c r="V346" s="10"/>
      <c r="W346" s="6"/>
    </row>
    <row r="347" spans="1:23" x14ac:dyDescent="0.2">
      <c r="A347" s="27"/>
      <c r="B347" s="25"/>
      <c r="D347" s="11"/>
      <c r="E347" s="10"/>
      <c r="O347" s="10"/>
      <c r="V347" s="10"/>
      <c r="W347" s="6"/>
    </row>
    <row r="348" spans="1:23" x14ac:dyDescent="0.2">
      <c r="A348" s="27"/>
      <c r="B348" s="1"/>
      <c r="D348" s="11"/>
      <c r="E348" s="10"/>
      <c r="O348" s="10"/>
      <c r="V348" s="10"/>
      <c r="W348" s="6"/>
    </row>
    <row r="349" spans="1:23" x14ac:dyDescent="0.2">
      <c r="A349" s="27"/>
      <c r="B349" s="25"/>
      <c r="D349" s="11"/>
      <c r="E349" s="10"/>
      <c r="O349" s="10"/>
      <c r="V349" s="10"/>
      <c r="W349" s="6"/>
    </row>
    <row r="350" spans="1:23" x14ac:dyDescent="0.2">
      <c r="A350" s="27"/>
      <c r="B350" s="25"/>
      <c r="D350" s="11"/>
      <c r="E350" s="10"/>
      <c r="O350" s="10"/>
      <c r="V350" s="10"/>
      <c r="W350" s="6"/>
    </row>
    <row r="351" spans="1:23" x14ac:dyDescent="0.2">
      <c r="A351" s="27"/>
      <c r="B351" s="25"/>
      <c r="D351" s="11"/>
      <c r="E351" s="10"/>
      <c r="O351" s="10"/>
      <c r="V351" s="10"/>
      <c r="W351" s="6"/>
    </row>
    <row r="352" spans="1:23" x14ac:dyDescent="0.2">
      <c r="A352" s="27"/>
      <c r="B352" s="25"/>
      <c r="D352" s="11"/>
      <c r="E352" s="10"/>
      <c r="O352" s="10"/>
      <c r="V352" s="10"/>
      <c r="W352" s="6"/>
    </row>
    <row r="353" spans="1:23" x14ac:dyDescent="0.2">
      <c r="A353" s="27"/>
      <c r="B353" s="25"/>
      <c r="D353" s="11"/>
      <c r="E353" s="10"/>
      <c r="O353" s="10"/>
      <c r="V353" s="10"/>
      <c r="W353" s="6"/>
    </row>
    <row r="354" spans="1:23" x14ac:dyDescent="0.2">
      <c r="A354" s="27"/>
      <c r="B354" s="25"/>
      <c r="D354" s="11"/>
      <c r="E354" s="10"/>
      <c r="O354" s="10"/>
      <c r="V354" s="10"/>
      <c r="W354" s="6"/>
    </row>
    <row r="355" spans="1:23" x14ac:dyDescent="0.2">
      <c r="A355" s="27"/>
      <c r="B355" s="25"/>
      <c r="D355" s="11"/>
      <c r="E355" s="10"/>
      <c r="O355" s="10"/>
      <c r="V355" s="10"/>
      <c r="W355" s="6"/>
    </row>
    <row r="356" spans="1:23" x14ac:dyDescent="0.2">
      <c r="A356" s="27"/>
      <c r="B356" s="25"/>
      <c r="D356" s="11"/>
      <c r="E356" s="10"/>
      <c r="O356" s="10"/>
      <c r="V356" s="10"/>
      <c r="W356" s="6"/>
    </row>
    <row r="357" spans="1:23" x14ac:dyDescent="0.2">
      <c r="A357" s="27"/>
      <c r="B357" s="25"/>
      <c r="D357" s="11"/>
      <c r="E357" s="10"/>
      <c r="O357" s="10"/>
      <c r="V357" s="10"/>
      <c r="W357" s="6"/>
    </row>
    <row r="358" spans="1:23" x14ac:dyDescent="0.2">
      <c r="A358" s="27"/>
      <c r="B358" s="1"/>
      <c r="D358" s="11"/>
      <c r="E358" s="10"/>
      <c r="O358" s="10"/>
      <c r="V358" s="10"/>
      <c r="W358" s="6"/>
    </row>
    <row r="359" spans="1:23" x14ac:dyDescent="0.2">
      <c r="A359" s="27"/>
      <c r="B359" s="25"/>
      <c r="D359" s="11"/>
      <c r="E359" s="10"/>
      <c r="O359" s="10"/>
      <c r="V359" s="10"/>
      <c r="W359" s="6"/>
    </row>
    <row r="360" spans="1:23" x14ac:dyDescent="0.2">
      <c r="A360" s="27"/>
      <c r="B360" s="1"/>
      <c r="D360" s="11"/>
      <c r="E360" s="10"/>
      <c r="O360" s="10"/>
      <c r="V360" s="10"/>
      <c r="W360" s="6"/>
    </row>
    <row r="361" spans="1:23" x14ac:dyDescent="0.2">
      <c r="A361" s="27"/>
      <c r="B361" s="25"/>
      <c r="D361" s="11"/>
      <c r="E361" s="10"/>
      <c r="O361" s="10"/>
      <c r="V361" s="10"/>
      <c r="W361" s="6"/>
    </row>
    <row r="362" spans="1:23" x14ac:dyDescent="0.2">
      <c r="A362" s="27"/>
      <c r="B362" s="25"/>
      <c r="D362" s="11"/>
      <c r="E362" s="10"/>
      <c r="O362" s="10"/>
      <c r="V362" s="10"/>
      <c r="W362" s="6"/>
    </row>
    <row r="363" spans="1:23" x14ac:dyDescent="0.2">
      <c r="A363" s="27"/>
      <c r="B363" s="25"/>
      <c r="D363" s="11"/>
      <c r="E363" s="10"/>
      <c r="O363" s="10"/>
      <c r="V363" s="10"/>
      <c r="W363" s="6"/>
    </row>
    <row r="364" spans="1:23" x14ac:dyDescent="0.2">
      <c r="A364" s="27"/>
      <c r="B364" s="25"/>
      <c r="D364" s="11"/>
      <c r="E364" s="10"/>
      <c r="O364" s="10"/>
      <c r="V364" s="10"/>
      <c r="W364" s="6"/>
    </row>
    <row r="365" spans="1:23" x14ac:dyDescent="0.2">
      <c r="A365" s="27"/>
      <c r="B365" s="25"/>
      <c r="D365" s="11"/>
      <c r="E365" s="10"/>
      <c r="O365" s="10"/>
      <c r="V365" s="10"/>
      <c r="W365" s="6"/>
    </row>
    <row r="366" spans="1:23" x14ac:dyDescent="0.2">
      <c r="A366" s="27"/>
      <c r="B366" s="25"/>
      <c r="D366" s="11"/>
      <c r="E366" s="10"/>
      <c r="O366" s="10"/>
      <c r="V366" s="10"/>
      <c r="W366" s="6"/>
    </row>
    <row r="367" spans="1:23" x14ac:dyDescent="0.2">
      <c r="A367" s="27"/>
      <c r="B367" s="1"/>
      <c r="D367" s="11"/>
      <c r="E367" s="10"/>
      <c r="O367" s="10"/>
      <c r="V367" s="10"/>
      <c r="W367" s="6"/>
    </row>
    <row r="368" spans="1:23" x14ac:dyDescent="0.2">
      <c r="A368" s="27"/>
      <c r="B368" s="25"/>
      <c r="D368" s="11"/>
      <c r="E368" s="10"/>
      <c r="O368" s="10"/>
      <c r="V368" s="10"/>
      <c r="W368" s="6"/>
    </row>
    <row r="369" spans="1:23" x14ac:dyDescent="0.2">
      <c r="A369" s="27"/>
      <c r="B369" s="25"/>
      <c r="D369" s="11"/>
      <c r="E369" s="10"/>
      <c r="O369" s="10"/>
      <c r="V369" s="10"/>
      <c r="W369" s="6"/>
    </row>
    <row r="370" spans="1:23" x14ac:dyDescent="0.2">
      <c r="A370" s="27"/>
      <c r="B370" s="25"/>
      <c r="D370" s="11"/>
      <c r="E370" s="10"/>
      <c r="O370" s="10"/>
      <c r="V370" s="10"/>
      <c r="W370" s="6"/>
    </row>
    <row r="371" spans="1:23" x14ac:dyDescent="0.2">
      <c r="A371" s="27"/>
      <c r="B371" s="25"/>
      <c r="D371" s="11"/>
      <c r="E371" s="10"/>
      <c r="O371" s="10"/>
      <c r="V371" s="10"/>
      <c r="W371" s="6"/>
    </row>
    <row r="372" spans="1:23" x14ac:dyDescent="0.2">
      <c r="A372" s="27"/>
      <c r="B372" s="25"/>
      <c r="D372" s="11"/>
      <c r="E372" s="10"/>
      <c r="O372" s="10"/>
      <c r="V372" s="10"/>
      <c r="W372" s="6"/>
    </row>
    <row r="373" spans="1:23" x14ac:dyDescent="0.2">
      <c r="A373" s="27"/>
      <c r="B373" s="25"/>
      <c r="D373" s="11"/>
      <c r="E373" s="10"/>
      <c r="O373" s="10"/>
      <c r="V373" s="10"/>
      <c r="W373" s="6"/>
    </row>
    <row r="374" spans="1:23" x14ac:dyDescent="0.2">
      <c r="A374" s="27"/>
      <c r="B374" s="25"/>
      <c r="D374" s="11"/>
      <c r="E374" s="10"/>
      <c r="O374" s="10"/>
      <c r="V374" s="10"/>
      <c r="W374" s="6"/>
    </row>
    <row r="375" spans="1:23" x14ac:dyDescent="0.2">
      <c r="A375" s="27"/>
      <c r="B375" s="1"/>
      <c r="D375" s="11"/>
      <c r="E375" s="10"/>
      <c r="O375" s="10"/>
      <c r="V375" s="10"/>
      <c r="W375" s="6"/>
    </row>
    <row r="376" spans="1:23" x14ac:dyDescent="0.2">
      <c r="A376" s="27"/>
      <c r="B376" s="25"/>
      <c r="D376" s="11"/>
      <c r="E376" s="10"/>
      <c r="O376" s="10"/>
      <c r="V376" s="10"/>
      <c r="W376" s="6"/>
    </row>
    <row r="377" spans="1:23" x14ac:dyDescent="0.2">
      <c r="A377" s="27"/>
      <c r="B377" s="25"/>
      <c r="D377" s="11"/>
      <c r="E377" s="10"/>
      <c r="O377" s="10"/>
      <c r="V377" s="10"/>
      <c r="W377" s="6"/>
    </row>
    <row r="378" spans="1:23" x14ac:dyDescent="0.2">
      <c r="A378" s="27"/>
      <c r="B378" s="25"/>
      <c r="D378" s="11"/>
      <c r="E378" s="10"/>
      <c r="O378" s="10"/>
      <c r="V378" s="10"/>
      <c r="W378" s="6"/>
    </row>
    <row r="379" spans="1:23" x14ac:dyDescent="0.2">
      <c r="A379" s="27"/>
      <c r="B379" s="25"/>
      <c r="D379" s="11"/>
      <c r="E379" s="10"/>
      <c r="O379" s="10"/>
      <c r="V379" s="10"/>
      <c r="W379" s="6"/>
    </row>
    <row r="380" spans="1:23" x14ac:dyDescent="0.2">
      <c r="A380" s="27"/>
      <c r="B380" s="25"/>
      <c r="D380" s="11"/>
      <c r="E380" s="10"/>
      <c r="O380" s="10"/>
      <c r="V380" s="10"/>
      <c r="W380" s="6"/>
    </row>
    <row r="381" spans="1:23" x14ac:dyDescent="0.2">
      <c r="A381" s="27"/>
      <c r="B381" s="25"/>
      <c r="D381" s="11"/>
      <c r="E381" s="10"/>
      <c r="O381" s="10"/>
      <c r="V381" s="10"/>
      <c r="W381" s="6"/>
    </row>
    <row r="382" spans="1:23" x14ac:dyDescent="0.2">
      <c r="A382" s="27"/>
      <c r="B382" s="25"/>
      <c r="D382" s="11"/>
      <c r="E382" s="10"/>
      <c r="O382" s="10"/>
      <c r="V382" s="10"/>
      <c r="W382" s="6"/>
    </row>
    <row r="383" spans="1:23" x14ac:dyDescent="0.2">
      <c r="A383" s="27"/>
      <c r="B383" s="25"/>
      <c r="D383" s="11"/>
      <c r="E383" s="10"/>
      <c r="O383" s="10"/>
      <c r="V383" s="10"/>
      <c r="W383" s="6"/>
    </row>
    <row r="384" spans="1:23" x14ac:dyDescent="0.2">
      <c r="A384" s="27"/>
      <c r="B384" s="25"/>
      <c r="D384" s="11"/>
      <c r="E384" s="10"/>
      <c r="O384" s="10"/>
      <c r="V384" s="10"/>
      <c r="W384" s="6"/>
    </row>
    <row r="385" spans="1:23" x14ac:dyDescent="0.2">
      <c r="A385" s="27"/>
      <c r="B385" s="25"/>
      <c r="D385" s="11"/>
      <c r="E385" s="10"/>
      <c r="O385" s="10"/>
      <c r="V385" s="10"/>
      <c r="W385" s="6"/>
    </row>
    <row r="386" spans="1:23" x14ac:dyDescent="0.2">
      <c r="A386" s="27"/>
      <c r="B386" s="25"/>
      <c r="D386" s="11"/>
      <c r="E386" s="10"/>
      <c r="O386" s="10"/>
      <c r="V386" s="10"/>
      <c r="W386" s="6"/>
    </row>
    <row r="387" spans="1:23" x14ac:dyDescent="0.2">
      <c r="A387" s="27"/>
      <c r="B387" s="25"/>
      <c r="D387" s="11"/>
      <c r="E387" s="10"/>
      <c r="O387" s="10"/>
      <c r="V387" s="10"/>
      <c r="W387" s="6"/>
    </row>
    <row r="388" spans="1:23" x14ac:dyDescent="0.2">
      <c r="A388" s="27"/>
      <c r="B388" s="25"/>
      <c r="D388" s="11"/>
      <c r="E388" s="10"/>
      <c r="O388" s="10"/>
      <c r="V388" s="10"/>
      <c r="W388" s="6"/>
    </row>
    <row r="389" spans="1:23" x14ac:dyDescent="0.2">
      <c r="A389" s="27"/>
      <c r="B389" s="1"/>
      <c r="D389" s="11"/>
      <c r="E389" s="10"/>
      <c r="O389" s="10"/>
      <c r="V389" s="10"/>
      <c r="W389" s="6"/>
    </row>
    <row r="390" spans="1:23" x14ac:dyDescent="0.2">
      <c r="A390" s="27"/>
      <c r="B390" s="25"/>
      <c r="D390" s="11"/>
      <c r="E390" s="10"/>
      <c r="O390" s="10"/>
      <c r="V390" s="10"/>
      <c r="W390" s="6"/>
    </row>
    <row r="391" spans="1:23" x14ac:dyDescent="0.2">
      <c r="A391" s="27"/>
      <c r="B391" s="25"/>
      <c r="D391" s="11"/>
      <c r="E391" s="10"/>
      <c r="O391" s="10"/>
      <c r="V391" s="10"/>
      <c r="W391" s="6"/>
    </row>
    <row r="392" spans="1:23" x14ac:dyDescent="0.2">
      <c r="A392" s="27"/>
      <c r="B392" s="25"/>
      <c r="D392" s="11"/>
      <c r="E392" s="10"/>
      <c r="O392" s="10"/>
      <c r="V392" s="10"/>
      <c r="W392" s="6"/>
    </row>
    <row r="393" spans="1:23" x14ac:dyDescent="0.2">
      <c r="A393" s="27"/>
      <c r="B393" s="25"/>
      <c r="D393" s="11"/>
      <c r="E393" s="10"/>
      <c r="O393" s="10"/>
      <c r="V393" s="10"/>
      <c r="W393" s="6"/>
    </row>
    <row r="394" spans="1:23" x14ac:dyDescent="0.2">
      <c r="A394" s="27"/>
      <c r="B394" s="25"/>
      <c r="D394" s="11"/>
      <c r="E394" s="10"/>
      <c r="O394" s="10"/>
      <c r="V394" s="10"/>
      <c r="W394" s="6"/>
    </row>
    <row r="395" spans="1:23" x14ac:dyDescent="0.2">
      <c r="A395" s="27"/>
      <c r="B395" s="25"/>
      <c r="D395" s="11"/>
      <c r="E395" s="10"/>
      <c r="O395" s="10"/>
      <c r="V395" s="10"/>
      <c r="W395" s="6"/>
    </row>
    <row r="396" spans="1:23" x14ac:dyDescent="0.2">
      <c r="A396" s="27"/>
      <c r="B396" s="25"/>
      <c r="D396" s="11"/>
      <c r="E396" s="10"/>
      <c r="O396" s="10"/>
      <c r="V396" s="10"/>
      <c r="W396" s="6"/>
    </row>
    <row r="397" spans="1:23" x14ac:dyDescent="0.2">
      <c r="A397" s="27"/>
      <c r="B397" s="25"/>
      <c r="D397" s="11"/>
      <c r="E397" s="10"/>
      <c r="O397" s="10"/>
      <c r="V397" s="10"/>
      <c r="W397" s="6"/>
    </row>
    <row r="398" spans="1:23" x14ac:dyDescent="0.2">
      <c r="A398" s="27"/>
      <c r="B398" s="25"/>
      <c r="D398" s="11"/>
      <c r="E398" s="10"/>
      <c r="O398" s="10"/>
      <c r="V398" s="10"/>
      <c r="W398" s="6"/>
    </row>
    <row r="399" spans="1:23" x14ac:dyDescent="0.2">
      <c r="A399" s="27"/>
      <c r="B399" s="25"/>
      <c r="D399" s="11"/>
      <c r="E399" s="10"/>
      <c r="O399" s="10"/>
      <c r="V399" s="10"/>
      <c r="W399" s="6"/>
    </row>
    <row r="400" spans="1:23" x14ac:dyDescent="0.2">
      <c r="A400" s="27"/>
      <c r="B400" s="25"/>
      <c r="D400" s="11"/>
      <c r="E400" s="10"/>
      <c r="O400" s="10"/>
      <c r="V400" s="10"/>
      <c r="W400" s="6"/>
    </row>
    <row r="401" spans="1:23" x14ac:dyDescent="0.2">
      <c r="A401" s="27"/>
      <c r="B401" s="25"/>
      <c r="D401" s="11"/>
      <c r="E401" s="10"/>
      <c r="O401" s="10"/>
      <c r="V401" s="10"/>
      <c r="W401" s="6"/>
    </row>
    <row r="402" spans="1:23" x14ac:dyDescent="0.2">
      <c r="A402" s="27"/>
      <c r="B402" s="25"/>
      <c r="D402" s="11"/>
      <c r="E402" s="10"/>
      <c r="O402" s="10"/>
      <c r="V402" s="10"/>
      <c r="W402" s="6"/>
    </row>
    <row r="403" spans="1:23" x14ac:dyDescent="0.2">
      <c r="A403" s="27"/>
      <c r="B403" s="25"/>
      <c r="D403" s="11"/>
      <c r="E403" s="10"/>
      <c r="O403" s="10"/>
      <c r="V403" s="10"/>
      <c r="W403" s="6"/>
    </row>
    <row r="404" spans="1:23" x14ac:dyDescent="0.2">
      <c r="A404" s="27"/>
      <c r="B404" s="1"/>
      <c r="D404" s="11"/>
      <c r="E404" s="10"/>
      <c r="O404" s="10"/>
      <c r="V404" s="10"/>
      <c r="W404" s="6"/>
    </row>
    <row r="405" spans="1:23" x14ac:dyDescent="0.2">
      <c r="A405" s="27"/>
      <c r="B405" s="25"/>
      <c r="D405" s="11"/>
      <c r="E405" s="10"/>
      <c r="O405" s="10"/>
      <c r="V405" s="10"/>
      <c r="W405" s="6"/>
    </row>
    <row r="406" spans="1:23" x14ac:dyDescent="0.2">
      <c r="A406" s="27"/>
      <c r="B406" s="25"/>
      <c r="D406" s="11"/>
      <c r="E406" s="10"/>
      <c r="O406" s="10"/>
      <c r="V406" s="10"/>
      <c r="W406" s="6"/>
    </row>
    <row r="407" spans="1:23" x14ac:dyDescent="0.2">
      <c r="A407" s="27"/>
      <c r="B407" s="25"/>
      <c r="D407" s="11"/>
      <c r="E407" s="10"/>
      <c r="O407" s="10"/>
      <c r="V407" s="10"/>
      <c r="W407" s="6"/>
    </row>
    <row r="408" spans="1:23" x14ac:dyDescent="0.2">
      <c r="A408" s="27"/>
      <c r="B408" s="25"/>
      <c r="D408" s="11"/>
      <c r="E408" s="10"/>
      <c r="O408" s="10"/>
      <c r="V408" s="10"/>
      <c r="W408" s="6"/>
    </row>
    <row r="409" spans="1:23" x14ac:dyDescent="0.2">
      <c r="A409" s="27"/>
      <c r="B409" s="25"/>
      <c r="D409" s="11"/>
      <c r="E409" s="10"/>
      <c r="O409" s="10"/>
      <c r="V409" s="10"/>
      <c r="W409" s="6"/>
    </row>
    <row r="410" spans="1:23" x14ac:dyDescent="0.2">
      <c r="A410" s="27"/>
      <c r="B410" s="25"/>
      <c r="D410" s="11"/>
      <c r="E410" s="10"/>
      <c r="O410" s="10"/>
      <c r="V410" s="10"/>
      <c r="W410" s="6"/>
    </row>
    <row r="411" spans="1:23" x14ac:dyDescent="0.2">
      <c r="A411" s="27"/>
      <c r="B411" s="25"/>
      <c r="D411" s="11"/>
      <c r="E411" s="10"/>
      <c r="O411" s="10"/>
      <c r="V411" s="10"/>
      <c r="W411" s="6"/>
    </row>
    <row r="412" spans="1:23" x14ac:dyDescent="0.2">
      <c r="A412" s="27"/>
      <c r="B412" s="25"/>
      <c r="D412" s="11"/>
      <c r="E412" s="10"/>
      <c r="O412" s="10"/>
      <c r="V412" s="10"/>
      <c r="W412" s="6"/>
    </row>
    <row r="413" spans="1:23" x14ac:dyDescent="0.2">
      <c r="A413" s="27"/>
      <c r="B413" s="1"/>
      <c r="D413" s="11"/>
      <c r="E413" s="10"/>
      <c r="O413" s="10"/>
      <c r="V413" s="10"/>
      <c r="W413" s="6"/>
    </row>
    <row r="414" spans="1:23" x14ac:dyDescent="0.2">
      <c r="A414" s="27"/>
      <c r="B414" s="25"/>
      <c r="D414" s="11"/>
      <c r="E414" s="10"/>
      <c r="O414" s="10"/>
      <c r="V414" s="10"/>
      <c r="W414" s="6"/>
    </row>
    <row r="415" spans="1:23" x14ac:dyDescent="0.2">
      <c r="A415" s="27"/>
      <c r="B415" s="25"/>
      <c r="D415" s="11"/>
      <c r="E415" s="10"/>
      <c r="O415" s="10"/>
      <c r="V415" s="10"/>
      <c r="W415" s="6"/>
    </row>
    <row r="416" spans="1:23" x14ac:dyDescent="0.2">
      <c r="A416" s="27"/>
      <c r="B416" s="25"/>
      <c r="D416" s="11"/>
      <c r="E416" s="10"/>
      <c r="O416" s="10"/>
      <c r="V416" s="10"/>
      <c r="W416" s="6"/>
    </row>
    <row r="417" spans="1:23" x14ac:dyDescent="0.2">
      <c r="A417" s="27"/>
      <c r="B417" s="25"/>
      <c r="D417" s="11"/>
      <c r="E417" s="10"/>
      <c r="O417" s="10"/>
      <c r="V417" s="10"/>
      <c r="W417" s="6"/>
    </row>
    <row r="418" spans="1:23" x14ac:dyDescent="0.2">
      <c r="A418" s="27"/>
      <c r="B418" s="25"/>
      <c r="D418" s="11"/>
      <c r="E418" s="10"/>
      <c r="O418" s="10"/>
      <c r="V418" s="10"/>
      <c r="W418" s="6"/>
    </row>
    <row r="419" spans="1:23" x14ac:dyDescent="0.2">
      <c r="A419" s="27"/>
      <c r="B419" s="25"/>
      <c r="D419" s="11"/>
      <c r="E419" s="10"/>
      <c r="O419" s="10"/>
      <c r="V419" s="10"/>
      <c r="W419" s="6"/>
    </row>
    <row r="420" spans="1:23" x14ac:dyDescent="0.2">
      <c r="A420" s="27"/>
      <c r="B420" s="25"/>
      <c r="D420" s="11"/>
      <c r="E420" s="10"/>
      <c r="O420" s="10"/>
      <c r="V420" s="10"/>
      <c r="W420" s="6"/>
    </row>
    <row r="421" spans="1:23" x14ac:dyDescent="0.2">
      <c r="A421" s="27"/>
      <c r="B421" s="25"/>
      <c r="D421" s="11"/>
      <c r="E421" s="10"/>
      <c r="O421" s="10"/>
      <c r="V421" s="10"/>
      <c r="W421" s="6"/>
    </row>
    <row r="422" spans="1:23" x14ac:dyDescent="0.2">
      <c r="A422" s="27"/>
      <c r="B422" s="25"/>
      <c r="D422" s="11"/>
      <c r="E422" s="10"/>
      <c r="O422" s="10"/>
      <c r="V422" s="10"/>
      <c r="W422" s="6"/>
    </row>
    <row r="423" spans="1:23" x14ac:dyDescent="0.2">
      <c r="A423" s="27"/>
      <c r="B423" s="25"/>
      <c r="D423" s="11"/>
      <c r="E423" s="10"/>
      <c r="O423" s="10"/>
      <c r="V423" s="10"/>
      <c r="W423" s="6"/>
    </row>
    <row r="424" spans="1:23" x14ac:dyDescent="0.2">
      <c r="A424" s="27"/>
      <c r="B424" s="25"/>
      <c r="D424" s="11"/>
      <c r="E424" s="10"/>
      <c r="O424" s="10"/>
      <c r="V424" s="10"/>
      <c r="W424" s="6"/>
    </row>
    <row r="425" spans="1:23" x14ac:dyDescent="0.2">
      <c r="A425" s="27"/>
      <c r="B425" s="25"/>
      <c r="D425" s="11"/>
      <c r="E425" s="10"/>
      <c r="O425" s="10"/>
      <c r="V425" s="10"/>
      <c r="W425" s="6"/>
    </row>
    <row r="426" spans="1:23" x14ac:dyDescent="0.2">
      <c r="A426" s="27"/>
      <c r="B426" s="25"/>
      <c r="D426" s="11"/>
      <c r="E426" s="10"/>
      <c r="O426" s="10"/>
      <c r="V426" s="10"/>
      <c r="W426" s="6"/>
    </row>
    <row r="427" spans="1:23" x14ac:dyDescent="0.2">
      <c r="A427" s="27"/>
      <c r="B427" s="1"/>
      <c r="D427" s="11"/>
      <c r="E427" s="10"/>
      <c r="O427" s="10"/>
      <c r="V427" s="10"/>
      <c r="W427" s="6"/>
    </row>
    <row r="428" spans="1:23" x14ac:dyDescent="0.2">
      <c r="A428" s="27"/>
      <c r="B428" s="25"/>
      <c r="D428" s="11"/>
      <c r="E428" s="10"/>
      <c r="O428" s="10"/>
      <c r="V428" s="10"/>
      <c r="W428" s="6"/>
    </row>
    <row r="429" spans="1:23" x14ac:dyDescent="0.2">
      <c r="A429" s="27"/>
      <c r="B429" s="25"/>
      <c r="D429" s="11"/>
      <c r="E429" s="10"/>
      <c r="O429" s="10"/>
      <c r="V429" s="10"/>
      <c r="W429" s="6"/>
    </row>
    <row r="430" spans="1:23" x14ac:dyDescent="0.2">
      <c r="A430" s="27"/>
      <c r="B430" s="25"/>
      <c r="D430" s="11"/>
      <c r="E430" s="10"/>
      <c r="O430" s="10"/>
      <c r="V430" s="10"/>
      <c r="W430" s="6"/>
    </row>
    <row r="431" spans="1:23" x14ac:dyDescent="0.2">
      <c r="A431" s="27"/>
      <c r="B431" s="1"/>
      <c r="D431" s="11"/>
      <c r="E431" s="10"/>
      <c r="O431" s="10"/>
      <c r="V431" s="10"/>
      <c r="W431" s="6"/>
    </row>
    <row r="432" spans="1:23" x14ac:dyDescent="0.2">
      <c r="A432" s="27"/>
      <c r="B432" s="25"/>
      <c r="D432" s="11"/>
      <c r="E432" s="10"/>
      <c r="O432" s="10"/>
      <c r="V432" s="10"/>
      <c r="W432" s="6"/>
    </row>
    <row r="433" spans="1:23" x14ac:dyDescent="0.2">
      <c r="A433" s="27"/>
      <c r="B433" s="25"/>
      <c r="D433" s="11"/>
      <c r="E433" s="10"/>
      <c r="O433" s="10"/>
      <c r="V433" s="10"/>
      <c r="W433" s="6"/>
    </row>
    <row r="434" spans="1:23" x14ac:dyDescent="0.2">
      <c r="A434" s="27"/>
      <c r="B434" s="25"/>
      <c r="D434" s="11"/>
      <c r="E434" s="10"/>
      <c r="O434" s="10"/>
      <c r="V434" s="10"/>
      <c r="W434" s="6"/>
    </row>
    <row r="435" spans="1:23" x14ac:dyDescent="0.2">
      <c r="A435" s="27"/>
      <c r="B435" s="1"/>
      <c r="D435" s="11"/>
      <c r="E435" s="10"/>
      <c r="O435" s="10"/>
      <c r="V435" s="10"/>
      <c r="W435" s="6"/>
    </row>
    <row r="436" spans="1:23" x14ac:dyDescent="0.2">
      <c r="A436" s="27"/>
      <c r="B436" s="25"/>
      <c r="D436" s="11"/>
      <c r="E436" s="10"/>
      <c r="O436" s="10"/>
      <c r="V436" s="10"/>
      <c r="W436" s="6"/>
    </row>
    <row r="437" spans="1:23" x14ac:dyDescent="0.2">
      <c r="A437" s="27"/>
      <c r="B437" s="25"/>
      <c r="D437" s="11"/>
      <c r="E437" s="10"/>
      <c r="O437" s="10"/>
      <c r="V437" s="10"/>
    </row>
    <row r="438" spans="1:23" x14ac:dyDescent="0.2">
      <c r="A438" s="27"/>
      <c r="B438" s="1"/>
      <c r="D438" s="11"/>
      <c r="E438" s="10"/>
      <c r="O438" s="10"/>
      <c r="V438" s="10"/>
      <c r="W438" s="6"/>
    </row>
    <row r="439" spans="1:23" x14ac:dyDescent="0.2">
      <c r="A439" s="27"/>
      <c r="B439" s="25"/>
      <c r="D439" s="11"/>
      <c r="E439" s="10"/>
      <c r="O439" s="10"/>
      <c r="V439" s="10"/>
      <c r="W439" s="6"/>
    </row>
    <row r="440" spans="1:23" x14ac:dyDescent="0.2">
      <c r="A440" s="27"/>
      <c r="B440" s="1"/>
      <c r="D440" s="11"/>
      <c r="E440" s="10"/>
      <c r="O440" s="10"/>
      <c r="V440" s="10"/>
      <c r="W440" s="6"/>
    </row>
    <row r="441" spans="1:23" x14ac:dyDescent="0.2">
      <c r="A441" s="27"/>
      <c r="B441" s="25"/>
      <c r="D441" s="11"/>
      <c r="E441" s="10"/>
      <c r="O441" s="10"/>
      <c r="V441" s="10"/>
      <c r="W441" s="6"/>
    </row>
    <row r="442" spans="1:23" x14ac:dyDescent="0.2">
      <c r="A442" s="27"/>
      <c r="B442" s="1"/>
      <c r="D442" s="11"/>
      <c r="E442" s="10"/>
      <c r="O442" s="10"/>
      <c r="V442" s="10"/>
      <c r="W442" s="6"/>
    </row>
    <row r="443" spans="1:23" x14ac:dyDescent="0.2">
      <c r="A443" s="27"/>
      <c r="B443" s="25"/>
      <c r="D443" s="11"/>
      <c r="E443" s="10"/>
      <c r="O443" s="10"/>
      <c r="V443" s="10"/>
      <c r="W443" s="6"/>
    </row>
    <row r="444" spans="1:23" x14ac:dyDescent="0.2">
      <c r="A444" s="27"/>
      <c r="B444" s="25"/>
      <c r="D444" s="11"/>
      <c r="E444" s="10"/>
      <c r="O444" s="10"/>
      <c r="V444" s="10"/>
      <c r="W444" s="6"/>
    </row>
    <row r="445" spans="1:23" x14ac:dyDescent="0.2">
      <c r="A445" s="27"/>
      <c r="B445" s="25"/>
      <c r="D445" s="11"/>
      <c r="E445" s="10"/>
      <c r="O445" s="10"/>
      <c r="V445" s="10"/>
      <c r="W445" s="6"/>
    </row>
    <row r="446" spans="1:23" x14ac:dyDescent="0.2">
      <c r="A446" s="27"/>
      <c r="B446" s="25"/>
      <c r="D446" s="11"/>
      <c r="E446" s="10"/>
      <c r="O446" s="10"/>
      <c r="V446" s="10"/>
      <c r="W446" s="6"/>
    </row>
    <row r="447" spans="1:23" x14ac:dyDescent="0.2">
      <c r="A447" s="27"/>
      <c r="B447" s="1"/>
      <c r="D447" s="11"/>
      <c r="E447" s="10"/>
      <c r="O447" s="10"/>
      <c r="V447" s="10"/>
      <c r="W447" s="6"/>
    </row>
    <row r="448" spans="1:23" x14ac:dyDescent="0.2">
      <c r="A448" s="27"/>
      <c r="B448" s="25"/>
      <c r="D448" s="11"/>
      <c r="E448" s="10"/>
      <c r="O448" s="10"/>
      <c r="V448" s="10"/>
      <c r="W448" s="6"/>
    </row>
    <row r="449" spans="1:23" x14ac:dyDescent="0.2">
      <c r="A449" s="27"/>
      <c r="B449" s="25"/>
      <c r="D449" s="11"/>
      <c r="E449" s="10"/>
      <c r="O449" s="10"/>
      <c r="V449" s="10"/>
      <c r="W449" s="6"/>
    </row>
    <row r="450" spans="1:23" x14ac:dyDescent="0.2">
      <c r="A450" s="27"/>
      <c r="B450" s="25"/>
      <c r="D450" s="11"/>
      <c r="E450" s="10"/>
      <c r="O450" s="10"/>
      <c r="V450" s="10"/>
      <c r="W450" s="6"/>
    </row>
    <row r="451" spans="1:23" x14ac:dyDescent="0.2">
      <c r="A451" s="27"/>
      <c r="B451" s="25"/>
      <c r="D451" s="11"/>
      <c r="E451" s="10"/>
      <c r="O451" s="10"/>
      <c r="V451" s="10"/>
      <c r="W451" s="6"/>
    </row>
    <row r="452" spans="1:23" x14ac:dyDescent="0.2">
      <c r="A452" s="27"/>
      <c r="B452" s="25"/>
      <c r="D452" s="11"/>
      <c r="E452" s="10"/>
      <c r="O452" s="10"/>
      <c r="V452" s="10"/>
      <c r="W452" s="6"/>
    </row>
    <row r="453" spans="1:23" x14ac:dyDescent="0.2">
      <c r="A453" s="27"/>
      <c r="B453" s="25"/>
      <c r="D453" s="11"/>
      <c r="E453" s="10"/>
      <c r="O453" s="10"/>
      <c r="V453" s="10"/>
      <c r="W453" s="6"/>
    </row>
    <row r="454" spans="1:23" x14ac:dyDescent="0.2">
      <c r="A454" s="27"/>
      <c r="B454" s="1"/>
      <c r="D454" s="11"/>
      <c r="E454" s="10"/>
      <c r="O454" s="10"/>
      <c r="V454" s="10"/>
      <c r="W454" s="6"/>
    </row>
    <row r="455" spans="1:23" x14ac:dyDescent="0.2">
      <c r="A455" s="27"/>
      <c r="B455" s="25"/>
      <c r="D455" s="11"/>
      <c r="E455" s="10"/>
      <c r="O455" s="10"/>
      <c r="V455" s="10"/>
      <c r="W455" s="6"/>
    </row>
    <row r="456" spans="1:23" x14ac:dyDescent="0.2">
      <c r="A456" s="27"/>
      <c r="B456" s="25"/>
      <c r="D456" s="11"/>
      <c r="E456" s="10"/>
      <c r="O456" s="10"/>
      <c r="V456" s="10"/>
      <c r="W456" s="6"/>
    </row>
    <row r="457" spans="1:23" x14ac:dyDescent="0.2">
      <c r="A457" s="27"/>
      <c r="B457" s="25"/>
      <c r="D457" s="11"/>
      <c r="E457" s="10"/>
      <c r="O457" s="10"/>
      <c r="V457" s="10"/>
      <c r="W457" s="6"/>
    </row>
    <row r="458" spans="1:23" x14ac:dyDescent="0.2">
      <c r="A458" s="27"/>
      <c r="B458" s="25"/>
      <c r="D458" s="11"/>
      <c r="E458" s="10"/>
      <c r="O458" s="10"/>
      <c r="V458" s="10"/>
      <c r="W458" s="6"/>
    </row>
    <row r="459" spans="1:23" x14ac:dyDescent="0.2">
      <c r="A459" s="27"/>
      <c r="B459" s="25"/>
      <c r="D459" s="11"/>
      <c r="E459" s="10"/>
      <c r="O459" s="10"/>
      <c r="V459" s="10"/>
      <c r="W459" s="6"/>
    </row>
    <row r="460" spans="1:23" x14ac:dyDescent="0.2">
      <c r="A460" s="27"/>
      <c r="B460" s="25"/>
      <c r="D460" s="11"/>
      <c r="E460" s="10"/>
      <c r="O460" s="10"/>
      <c r="V460" s="10"/>
      <c r="W460" s="6"/>
    </row>
    <row r="461" spans="1:23" x14ac:dyDescent="0.2">
      <c r="A461" s="27"/>
      <c r="B461" s="1"/>
      <c r="D461" s="11"/>
      <c r="E461" s="10"/>
      <c r="O461" s="10"/>
      <c r="V461" s="10"/>
      <c r="W461" s="6"/>
    </row>
    <row r="462" spans="1:23" x14ac:dyDescent="0.2">
      <c r="A462" s="27"/>
      <c r="B462" s="1"/>
      <c r="D462" s="11"/>
      <c r="E462" s="10"/>
      <c r="O462" s="10"/>
      <c r="V462" s="10"/>
      <c r="W462" s="6"/>
    </row>
    <row r="463" spans="1:23" x14ac:dyDescent="0.2">
      <c r="A463" s="27"/>
      <c r="B463" s="1"/>
      <c r="D463" s="11"/>
      <c r="E463" s="10"/>
      <c r="O463" s="10"/>
      <c r="V463" s="10"/>
      <c r="W463" s="6"/>
    </row>
    <row r="464" spans="1:23" x14ac:dyDescent="0.2">
      <c r="A464" s="27"/>
      <c r="B464" s="25"/>
      <c r="D464" s="11"/>
      <c r="E464" s="10"/>
      <c r="O464" s="10"/>
      <c r="V464" s="10"/>
      <c r="W464" s="6"/>
    </row>
    <row r="465" spans="1:23" x14ac:dyDescent="0.2">
      <c r="A465" s="27"/>
      <c r="B465" s="25"/>
      <c r="D465" s="11"/>
      <c r="E465" s="10"/>
      <c r="O465" s="10"/>
      <c r="V465" s="10"/>
      <c r="W465" s="6"/>
    </row>
    <row r="466" spans="1:23" x14ac:dyDescent="0.2">
      <c r="A466" s="27"/>
      <c r="B466" s="25"/>
      <c r="D466" s="11"/>
      <c r="E466" s="10"/>
      <c r="O466" s="10"/>
      <c r="V466" s="10"/>
      <c r="W466" s="6"/>
    </row>
    <row r="467" spans="1:23" x14ac:dyDescent="0.2">
      <c r="A467" s="27"/>
      <c r="B467" s="25"/>
      <c r="D467" s="11"/>
      <c r="E467" s="10"/>
      <c r="O467" s="10"/>
      <c r="V467" s="10"/>
      <c r="W467" s="6"/>
    </row>
    <row r="468" spans="1:23" x14ac:dyDescent="0.2">
      <c r="A468" s="27"/>
      <c r="B468" s="1"/>
      <c r="D468" s="11"/>
      <c r="E468" s="10"/>
      <c r="O468" s="10"/>
      <c r="V468" s="10"/>
      <c r="W468" s="6"/>
    </row>
    <row r="469" spans="1:23" x14ac:dyDescent="0.2">
      <c r="A469" s="27"/>
      <c r="B469" s="1"/>
      <c r="D469" s="11"/>
      <c r="E469" s="10"/>
      <c r="O469" s="10"/>
      <c r="V469" s="10"/>
      <c r="W469" s="6"/>
    </row>
    <row r="470" spans="1:23" x14ac:dyDescent="0.2">
      <c r="A470" s="27"/>
      <c r="B470" s="25"/>
      <c r="D470" s="11"/>
      <c r="E470" s="10"/>
      <c r="O470" s="10"/>
      <c r="V470" s="10"/>
      <c r="W470" s="6"/>
    </row>
    <row r="471" spans="1:23" x14ac:dyDescent="0.2">
      <c r="A471" s="27"/>
      <c r="B471" s="25"/>
      <c r="D471" s="11"/>
      <c r="E471" s="10"/>
      <c r="O471" s="10"/>
      <c r="V471" s="10"/>
      <c r="W471" s="6"/>
    </row>
    <row r="472" spans="1:23" x14ac:dyDescent="0.2">
      <c r="A472" s="27"/>
      <c r="B472" s="1"/>
      <c r="D472" s="11"/>
      <c r="E472" s="10"/>
      <c r="O472" s="10"/>
      <c r="V472" s="10"/>
      <c r="W472" s="6"/>
    </row>
    <row r="473" spans="1:23" x14ac:dyDescent="0.2">
      <c r="A473" s="27"/>
      <c r="B473" s="25"/>
      <c r="D473" s="11"/>
      <c r="E473" s="10"/>
      <c r="O473" s="10"/>
      <c r="V473" s="10"/>
      <c r="W473" s="6"/>
    </row>
    <row r="474" spans="1:23" x14ac:dyDescent="0.2">
      <c r="A474" s="27"/>
      <c r="B474" s="1"/>
      <c r="D474" s="11"/>
      <c r="E474" s="10"/>
      <c r="O474" s="10"/>
      <c r="V474" s="10"/>
      <c r="W474" s="6"/>
    </row>
    <row r="475" spans="1:23" x14ac:dyDescent="0.2">
      <c r="A475" s="27"/>
      <c r="B475" s="25"/>
      <c r="D475" s="11"/>
      <c r="E475" s="10"/>
      <c r="O475" s="10"/>
      <c r="V475" s="10"/>
      <c r="W475" s="6"/>
    </row>
    <row r="476" spans="1:23" x14ac:dyDescent="0.2">
      <c r="A476" s="27"/>
      <c r="B476" s="25"/>
      <c r="D476" s="11"/>
      <c r="E476" s="10"/>
      <c r="O476" s="10"/>
      <c r="V476" s="10"/>
      <c r="W476" s="6"/>
    </row>
    <row r="477" spans="1:23" x14ac:dyDescent="0.2">
      <c r="A477" s="27"/>
      <c r="B477" s="25"/>
      <c r="D477" s="11"/>
      <c r="E477" s="10"/>
      <c r="O477" s="10"/>
      <c r="V477" s="10"/>
      <c r="W477" s="6"/>
    </row>
    <row r="478" spans="1:23" x14ac:dyDescent="0.2">
      <c r="A478" s="27"/>
      <c r="B478" s="25"/>
      <c r="D478" s="11"/>
      <c r="E478" s="10"/>
      <c r="O478" s="10"/>
      <c r="V478" s="10"/>
      <c r="W478" s="6"/>
    </row>
    <row r="479" spans="1:23" x14ac:dyDescent="0.2">
      <c r="A479" s="27"/>
      <c r="B479" s="25"/>
      <c r="D479" s="11"/>
      <c r="E479" s="10"/>
      <c r="O479" s="10"/>
      <c r="V479" s="10"/>
      <c r="W479" s="6"/>
    </row>
    <row r="480" spans="1:23" x14ac:dyDescent="0.2">
      <c r="A480" s="27"/>
      <c r="B480" s="25"/>
      <c r="D480" s="11"/>
      <c r="E480" s="10"/>
      <c r="O480" s="10"/>
      <c r="V480" s="10"/>
      <c r="W480" s="6"/>
    </row>
    <row r="481" spans="1:23" x14ac:dyDescent="0.2">
      <c r="A481" s="27"/>
      <c r="B481" s="25"/>
      <c r="D481" s="11"/>
      <c r="E481" s="10"/>
      <c r="O481" s="10"/>
      <c r="V481" s="10"/>
      <c r="W481" s="6"/>
    </row>
    <row r="482" spans="1:23" x14ac:dyDescent="0.2">
      <c r="A482" s="27"/>
      <c r="B482" s="25"/>
      <c r="D482" s="11"/>
      <c r="E482" s="10"/>
      <c r="O482" s="10"/>
      <c r="V482" s="10"/>
      <c r="W482" s="6"/>
    </row>
    <row r="483" spans="1:23" x14ac:dyDescent="0.2">
      <c r="A483" s="27"/>
      <c r="B483" s="25"/>
      <c r="D483" s="11"/>
      <c r="E483" s="10"/>
      <c r="O483" s="10"/>
      <c r="V483" s="10"/>
      <c r="W483" s="6"/>
    </row>
    <row r="484" spans="1:23" x14ac:dyDescent="0.2">
      <c r="A484" s="27"/>
      <c r="B484" s="25"/>
      <c r="D484" s="11"/>
      <c r="E484" s="10"/>
      <c r="O484" s="10"/>
      <c r="V484" s="10"/>
      <c r="W484" s="6"/>
    </row>
    <row r="485" spans="1:23" x14ac:dyDescent="0.2">
      <c r="A485" s="27"/>
      <c r="B485" s="25"/>
      <c r="D485" s="11"/>
      <c r="E485" s="10"/>
      <c r="O485" s="10"/>
      <c r="V485" s="10"/>
      <c r="W485" s="6"/>
    </row>
    <row r="486" spans="1:23" x14ac:dyDescent="0.2">
      <c r="A486" s="27"/>
      <c r="B486" s="25"/>
      <c r="D486" s="11"/>
      <c r="E486" s="10"/>
      <c r="O486" s="10"/>
      <c r="V486" s="10"/>
      <c r="W486" s="6"/>
    </row>
    <row r="487" spans="1:23" x14ac:dyDescent="0.2">
      <c r="A487" s="27"/>
      <c r="B487" s="25"/>
      <c r="D487" s="11"/>
      <c r="E487" s="10"/>
      <c r="O487" s="10"/>
      <c r="V487" s="10"/>
      <c r="W487" s="6"/>
    </row>
    <row r="488" spans="1:23" x14ac:dyDescent="0.2">
      <c r="A488" s="27"/>
      <c r="B488" s="25"/>
      <c r="D488" s="11"/>
      <c r="E488" s="10"/>
      <c r="O488" s="10"/>
      <c r="V488" s="10"/>
      <c r="W488" s="6"/>
    </row>
    <row r="489" spans="1:23" x14ac:dyDescent="0.2">
      <c r="A489" s="27"/>
      <c r="B489" s="25"/>
      <c r="D489" s="11"/>
      <c r="E489" s="10"/>
      <c r="O489" s="10"/>
      <c r="V489" s="10"/>
      <c r="W489" s="6"/>
    </row>
    <row r="490" spans="1:23" x14ac:dyDescent="0.2">
      <c r="A490" s="27"/>
      <c r="B490" s="25"/>
      <c r="D490" s="11"/>
      <c r="E490" s="10"/>
      <c r="O490" s="10"/>
      <c r="V490" s="10"/>
      <c r="W490" s="6"/>
    </row>
    <row r="491" spans="1:23" x14ac:dyDescent="0.2">
      <c r="A491" s="27"/>
      <c r="B491" s="25"/>
      <c r="D491" s="11"/>
      <c r="E491" s="10"/>
      <c r="O491" s="10"/>
      <c r="V491" s="10"/>
      <c r="W491" s="6"/>
    </row>
    <row r="492" spans="1:23" x14ac:dyDescent="0.2">
      <c r="A492" s="27"/>
      <c r="B492" s="25"/>
      <c r="D492" s="11"/>
      <c r="E492" s="10"/>
      <c r="O492" s="10"/>
      <c r="V492" s="10"/>
      <c r="W492" s="6"/>
    </row>
    <row r="493" spans="1:23" x14ac:dyDescent="0.2">
      <c r="A493" s="27"/>
      <c r="B493" s="1"/>
      <c r="D493" s="11"/>
      <c r="E493" s="10"/>
      <c r="O493" s="10"/>
      <c r="V493" s="10"/>
      <c r="W493" s="6"/>
    </row>
    <row r="494" spans="1:23" x14ac:dyDescent="0.2">
      <c r="A494" s="27"/>
      <c r="B494" s="25"/>
      <c r="D494" s="11"/>
      <c r="E494" s="10"/>
      <c r="O494" s="10"/>
      <c r="V494" s="10"/>
      <c r="W494" s="6"/>
    </row>
    <row r="495" spans="1:23" x14ac:dyDescent="0.2">
      <c r="A495" s="27"/>
      <c r="B495" s="25"/>
      <c r="D495" s="11"/>
      <c r="E495" s="10"/>
      <c r="O495" s="10"/>
      <c r="V495" s="10"/>
      <c r="W495" s="6"/>
    </row>
    <row r="496" spans="1:23" x14ac:dyDescent="0.2">
      <c r="A496" s="27"/>
      <c r="B496" s="25"/>
      <c r="D496" s="11"/>
      <c r="E496" s="10"/>
      <c r="O496" s="10"/>
      <c r="V496" s="10"/>
      <c r="W496" s="6"/>
    </row>
    <row r="497" spans="1:23" x14ac:dyDescent="0.2">
      <c r="A497" s="27"/>
      <c r="B497" s="25"/>
      <c r="D497" s="11"/>
      <c r="E497" s="10"/>
      <c r="O497" s="10"/>
      <c r="V497" s="10"/>
      <c r="W497" s="6"/>
    </row>
    <row r="498" spans="1:23" x14ac:dyDescent="0.2">
      <c r="A498" s="27"/>
      <c r="B498" s="25"/>
      <c r="D498" s="11"/>
      <c r="E498" s="10"/>
      <c r="O498" s="10"/>
      <c r="V498" s="10"/>
      <c r="W498" s="6"/>
    </row>
    <row r="499" spans="1:23" x14ac:dyDescent="0.2">
      <c r="A499" s="27"/>
      <c r="B499" s="1"/>
      <c r="D499" s="11"/>
      <c r="E499" s="10"/>
      <c r="O499" s="10"/>
      <c r="V499" s="10"/>
      <c r="W499" s="6"/>
    </row>
    <row r="500" spans="1:23" x14ac:dyDescent="0.2">
      <c r="A500" s="27"/>
      <c r="B500" s="25"/>
      <c r="D500" s="11"/>
      <c r="E500" s="10"/>
      <c r="O500" s="10"/>
      <c r="V500" s="10"/>
      <c r="W500" s="6"/>
    </row>
    <row r="501" spans="1:23" x14ac:dyDescent="0.2">
      <c r="A501" s="27"/>
      <c r="B501" s="25"/>
      <c r="D501" s="11"/>
      <c r="E501" s="10"/>
      <c r="O501" s="10"/>
      <c r="V501" s="10"/>
      <c r="W501" s="6"/>
    </row>
    <row r="502" spans="1:23" x14ac:dyDescent="0.2">
      <c r="A502" s="27"/>
      <c r="B502" s="25"/>
      <c r="D502" s="11"/>
      <c r="E502" s="10"/>
      <c r="O502" s="10"/>
      <c r="V502" s="10"/>
      <c r="W502" s="6"/>
    </row>
    <row r="503" spans="1:23" x14ac:dyDescent="0.2">
      <c r="A503" s="27"/>
      <c r="B503" s="25"/>
      <c r="D503" s="11"/>
      <c r="E503" s="10"/>
      <c r="O503" s="10"/>
      <c r="V503" s="10"/>
      <c r="W503" s="6"/>
    </row>
    <row r="504" spans="1:23" x14ac:dyDescent="0.2">
      <c r="A504" s="27"/>
      <c r="B504" s="25"/>
      <c r="D504" s="11"/>
      <c r="E504" s="10"/>
      <c r="O504" s="10"/>
      <c r="V504" s="10"/>
      <c r="W504" s="6"/>
    </row>
    <row r="505" spans="1:23" x14ac:dyDescent="0.2">
      <c r="A505" s="27"/>
      <c r="B505" s="25"/>
      <c r="D505" s="11"/>
      <c r="E505" s="10"/>
      <c r="O505" s="10"/>
      <c r="V505" s="10"/>
      <c r="W505" s="6"/>
    </row>
    <row r="506" spans="1:23" x14ac:dyDescent="0.2">
      <c r="A506" s="27"/>
      <c r="B506" s="25"/>
      <c r="D506" s="11"/>
      <c r="E506" s="10"/>
      <c r="O506" s="10"/>
      <c r="V506" s="10"/>
      <c r="W506" s="6"/>
    </row>
    <row r="507" spans="1:23" x14ac:dyDescent="0.2">
      <c r="A507" s="27"/>
      <c r="B507" s="25"/>
      <c r="D507" s="11"/>
      <c r="E507" s="10"/>
      <c r="O507" s="10"/>
      <c r="V507" s="10"/>
      <c r="W507" s="6"/>
    </row>
    <row r="508" spans="1:23" x14ac:dyDescent="0.2">
      <c r="A508" s="27"/>
      <c r="B508" s="25"/>
      <c r="D508" s="11"/>
      <c r="E508" s="10"/>
      <c r="O508" s="10"/>
      <c r="V508" s="10"/>
      <c r="W508" s="6"/>
    </row>
    <row r="509" spans="1:23" x14ac:dyDescent="0.2">
      <c r="A509" s="27"/>
      <c r="B509" s="25"/>
      <c r="D509" s="11"/>
      <c r="E509" s="10"/>
      <c r="O509" s="10"/>
      <c r="V509" s="10"/>
      <c r="W509" s="6"/>
    </row>
    <row r="510" spans="1:23" x14ac:dyDescent="0.2">
      <c r="A510" s="27"/>
      <c r="B510" s="25"/>
      <c r="D510" s="11"/>
      <c r="E510" s="10"/>
      <c r="O510" s="10"/>
      <c r="V510" s="10"/>
      <c r="W510" s="6"/>
    </row>
    <row r="511" spans="1:23" x14ac:dyDescent="0.2">
      <c r="A511" s="27"/>
      <c r="B511" s="25"/>
      <c r="D511" s="11"/>
      <c r="E511" s="10"/>
      <c r="O511" s="10"/>
      <c r="V511" s="10"/>
      <c r="W511" s="6"/>
    </row>
    <row r="512" spans="1:23" x14ac:dyDescent="0.2">
      <c r="A512" s="27"/>
      <c r="B512" s="25"/>
      <c r="D512" s="11"/>
      <c r="E512" s="10"/>
      <c r="O512" s="10"/>
      <c r="V512" s="10"/>
      <c r="W512" s="6"/>
    </row>
    <row r="513" spans="1:23" x14ac:dyDescent="0.2">
      <c r="A513" s="27"/>
      <c r="B513" s="25"/>
      <c r="D513" s="11"/>
      <c r="E513" s="10"/>
      <c r="O513" s="10"/>
      <c r="V513" s="10"/>
      <c r="W513" s="6"/>
    </row>
    <row r="514" spans="1:23" x14ac:dyDescent="0.2">
      <c r="A514" s="27"/>
      <c r="B514" s="25"/>
      <c r="D514" s="11"/>
      <c r="E514" s="10"/>
      <c r="O514" s="10"/>
      <c r="V514" s="10"/>
      <c r="W514" s="6"/>
    </row>
    <row r="515" spans="1:23" x14ac:dyDescent="0.2">
      <c r="A515" s="27"/>
      <c r="B515" s="25"/>
      <c r="D515" s="11"/>
      <c r="E515" s="10"/>
      <c r="O515" s="10"/>
      <c r="V515" s="10"/>
      <c r="W515" s="6"/>
    </row>
    <row r="516" spans="1:23" x14ac:dyDescent="0.2">
      <c r="A516" s="27"/>
      <c r="B516" s="25"/>
      <c r="D516" s="11"/>
      <c r="E516" s="10"/>
      <c r="O516" s="10"/>
      <c r="V516" s="10"/>
      <c r="W516" s="6"/>
    </row>
    <row r="517" spans="1:23" x14ac:dyDescent="0.2">
      <c r="A517" s="27"/>
      <c r="B517" s="25"/>
      <c r="D517" s="11"/>
      <c r="E517" s="10"/>
      <c r="O517" s="10"/>
      <c r="V517" s="10"/>
      <c r="W517" s="6"/>
    </row>
    <row r="518" spans="1:23" x14ac:dyDescent="0.2">
      <c r="A518" s="27"/>
      <c r="B518" s="1"/>
      <c r="D518" s="11"/>
      <c r="E518" s="10"/>
      <c r="O518" s="10"/>
      <c r="V518" s="10"/>
      <c r="W518" s="6"/>
    </row>
    <row r="519" spans="1:23" x14ac:dyDescent="0.2">
      <c r="A519" s="27"/>
      <c r="B519" s="1"/>
      <c r="D519" s="11"/>
      <c r="E519" s="10"/>
      <c r="O519" s="10"/>
      <c r="V519" s="10"/>
      <c r="W519" s="6"/>
    </row>
    <row r="520" spans="1:23" x14ac:dyDescent="0.2">
      <c r="A520" s="27"/>
      <c r="B520" s="1"/>
      <c r="D520" s="11"/>
      <c r="E520" s="10"/>
      <c r="O520" s="10"/>
      <c r="V520" s="10"/>
      <c r="W520" s="6"/>
    </row>
    <row r="521" spans="1:23" x14ac:dyDescent="0.2">
      <c r="A521" s="27"/>
      <c r="B521" s="25"/>
      <c r="D521" s="11"/>
      <c r="E521" s="10"/>
      <c r="O521" s="10"/>
      <c r="V521" s="10"/>
      <c r="W521" s="6"/>
    </row>
    <row r="522" spans="1:23" x14ac:dyDescent="0.2">
      <c r="A522" s="27"/>
      <c r="B522" s="25"/>
      <c r="D522" s="11"/>
      <c r="E522" s="10"/>
      <c r="O522" s="10"/>
      <c r="V522" s="10"/>
      <c r="W522" s="6"/>
    </row>
    <row r="523" spans="1:23" x14ac:dyDescent="0.2">
      <c r="A523" s="27"/>
      <c r="B523" s="25"/>
      <c r="D523" s="11"/>
      <c r="E523" s="10"/>
      <c r="O523" s="10"/>
      <c r="V523" s="10"/>
      <c r="W523" s="6"/>
    </row>
    <row r="524" spans="1:23" x14ac:dyDescent="0.2">
      <c r="A524" s="27"/>
      <c r="B524" s="1"/>
      <c r="D524" s="11"/>
      <c r="E524" s="10"/>
      <c r="O524" s="10"/>
      <c r="V524" s="10"/>
      <c r="W524" s="6"/>
    </row>
    <row r="525" spans="1:23" x14ac:dyDescent="0.2">
      <c r="A525" s="27"/>
      <c r="B525" s="25"/>
      <c r="D525" s="11"/>
      <c r="E525" s="10"/>
      <c r="O525" s="10"/>
      <c r="V525" s="10"/>
      <c r="W525" s="6"/>
    </row>
    <row r="526" spans="1:23" x14ac:dyDescent="0.2">
      <c r="A526" s="27"/>
      <c r="B526" s="25"/>
      <c r="D526" s="11"/>
      <c r="E526" s="10"/>
      <c r="O526" s="10"/>
      <c r="V526" s="10"/>
      <c r="W526" s="6"/>
    </row>
    <row r="527" spans="1:23" x14ac:dyDescent="0.2">
      <c r="A527" s="27"/>
      <c r="B527" s="25"/>
      <c r="D527" s="11"/>
      <c r="E527" s="10"/>
      <c r="O527" s="10"/>
      <c r="V527" s="10"/>
      <c r="W527" s="6"/>
    </row>
    <row r="528" spans="1:23" x14ac:dyDescent="0.2">
      <c r="A528" s="27"/>
      <c r="B528" s="25"/>
      <c r="D528" s="11"/>
      <c r="E528" s="10"/>
      <c r="O528" s="10"/>
      <c r="V528" s="10"/>
      <c r="W528" s="6"/>
    </row>
    <row r="529" spans="1:23" x14ac:dyDescent="0.2">
      <c r="A529" s="27"/>
      <c r="B529" s="25"/>
      <c r="D529" s="11"/>
      <c r="E529" s="10"/>
      <c r="O529" s="10"/>
      <c r="V529" s="10"/>
      <c r="W529" s="6"/>
    </row>
    <row r="530" spans="1:23" x14ac:dyDescent="0.2">
      <c r="A530" s="27"/>
      <c r="B530" s="1"/>
      <c r="D530" s="11"/>
      <c r="E530" s="10"/>
      <c r="O530" s="10"/>
      <c r="V530" s="10"/>
      <c r="W530" s="6"/>
    </row>
    <row r="531" spans="1:23" x14ac:dyDescent="0.2">
      <c r="A531" s="27"/>
      <c r="B531" s="1"/>
      <c r="D531" s="11"/>
      <c r="E531" s="10"/>
      <c r="O531" s="10"/>
      <c r="V531" s="10"/>
      <c r="W531" s="6"/>
    </row>
    <row r="532" spans="1:23" x14ac:dyDescent="0.2">
      <c r="A532" s="27"/>
      <c r="B532" s="25"/>
      <c r="D532" s="11"/>
      <c r="E532" s="10"/>
      <c r="O532" s="10"/>
      <c r="V532" s="10"/>
      <c r="W532" s="6"/>
    </row>
    <row r="533" spans="1:23" x14ac:dyDescent="0.2">
      <c r="A533" s="27"/>
      <c r="B533" s="1"/>
      <c r="D533" s="11"/>
      <c r="E533" s="10"/>
      <c r="O533" s="10"/>
      <c r="V533" s="10"/>
      <c r="W533" s="6"/>
    </row>
    <row r="534" spans="1:23" x14ac:dyDescent="0.2">
      <c r="A534" s="27"/>
      <c r="B534" s="1"/>
      <c r="D534" s="11"/>
      <c r="E534" s="10"/>
      <c r="O534" s="10"/>
      <c r="V534" s="10"/>
      <c r="W534" s="6"/>
    </row>
    <row r="535" spans="1:23" x14ac:dyDescent="0.2">
      <c r="A535" s="27"/>
      <c r="B535" s="25"/>
      <c r="D535" s="11"/>
      <c r="E535" s="10"/>
      <c r="O535" s="10"/>
      <c r="V535" s="10"/>
      <c r="W535" s="6"/>
    </row>
    <row r="536" spans="1:23" x14ac:dyDescent="0.2">
      <c r="A536" s="27"/>
      <c r="B536" s="25"/>
      <c r="D536" s="11"/>
      <c r="E536" s="10"/>
      <c r="O536" s="10"/>
      <c r="V536" s="10"/>
      <c r="W536" s="6"/>
    </row>
    <row r="537" spans="1:23" x14ac:dyDescent="0.2">
      <c r="A537" s="27"/>
      <c r="B537" s="25"/>
      <c r="D537" s="11"/>
      <c r="E537" s="10"/>
      <c r="O537" s="10"/>
      <c r="V537" s="10"/>
      <c r="W537" s="6"/>
    </row>
    <row r="538" spans="1:23" x14ac:dyDescent="0.2">
      <c r="A538" s="27"/>
      <c r="B538" s="25"/>
      <c r="D538" s="11"/>
      <c r="E538" s="10"/>
      <c r="O538" s="10"/>
      <c r="V538" s="10"/>
      <c r="W538" s="6"/>
    </row>
    <row r="539" spans="1:23" x14ac:dyDescent="0.2">
      <c r="A539" s="27"/>
      <c r="B539" s="25"/>
      <c r="D539" s="11"/>
      <c r="E539" s="10"/>
      <c r="O539" s="10"/>
      <c r="V539" s="10"/>
      <c r="W539" s="6"/>
    </row>
    <row r="540" spans="1:23" x14ac:dyDescent="0.2">
      <c r="A540" s="27"/>
      <c r="B540" s="25"/>
      <c r="D540" s="11"/>
      <c r="E540" s="10"/>
      <c r="O540" s="10"/>
      <c r="V540" s="10"/>
      <c r="W540" s="6"/>
    </row>
    <row r="541" spans="1:23" x14ac:dyDescent="0.2">
      <c r="A541" s="27"/>
      <c r="B541" s="25"/>
      <c r="D541" s="11"/>
      <c r="E541" s="10"/>
      <c r="O541" s="10"/>
      <c r="V541" s="10"/>
      <c r="W541" s="6"/>
    </row>
    <row r="542" spans="1:23" x14ac:dyDescent="0.2">
      <c r="A542" s="27"/>
      <c r="B542" s="25"/>
      <c r="D542" s="11"/>
      <c r="E542" s="10"/>
      <c r="O542" s="10"/>
      <c r="V542" s="10"/>
      <c r="W542" s="6"/>
    </row>
    <row r="543" spans="1:23" x14ac:dyDescent="0.2">
      <c r="A543" s="27"/>
      <c r="B543" s="25"/>
      <c r="D543" s="11"/>
      <c r="E543" s="10"/>
      <c r="O543" s="10"/>
      <c r="V543" s="10"/>
      <c r="W543" s="6"/>
    </row>
    <row r="544" spans="1:23" x14ac:dyDescent="0.2">
      <c r="A544" s="27"/>
      <c r="B544" s="25"/>
      <c r="D544" s="11"/>
      <c r="E544" s="10"/>
      <c r="O544" s="10"/>
      <c r="V544" s="10"/>
      <c r="W544" s="6"/>
    </row>
    <row r="545" spans="1:23" x14ac:dyDescent="0.2">
      <c r="A545" s="27"/>
      <c r="B545" s="25"/>
      <c r="D545" s="11"/>
      <c r="E545" s="10"/>
      <c r="O545" s="10"/>
      <c r="V545" s="10"/>
      <c r="W545" s="6"/>
    </row>
    <row r="546" spans="1:23" x14ac:dyDescent="0.2">
      <c r="A546" s="27"/>
      <c r="B546" s="25"/>
      <c r="D546" s="11"/>
      <c r="E546" s="10"/>
      <c r="O546" s="10"/>
      <c r="V546" s="10"/>
      <c r="W546" s="6"/>
    </row>
    <row r="547" spans="1:23" x14ac:dyDescent="0.2">
      <c r="A547" s="27"/>
      <c r="B547" s="1"/>
      <c r="D547" s="11"/>
      <c r="E547" s="10"/>
      <c r="O547" s="10"/>
      <c r="V547" s="10"/>
      <c r="W547" s="6"/>
    </row>
    <row r="548" spans="1:23" x14ac:dyDescent="0.2">
      <c r="A548" s="27"/>
      <c r="B548" s="25"/>
      <c r="D548" s="11"/>
      <c r="E548" s="10"/>
      <c r="O548" s="10"/>
      <c r="V548" s="10"/>
      <c r="W548" s="6"/>
    </row>
    <row r="549" spans="1:23" x14ac:dyDescent="0.2">
      <c r="A549" s="27"/>
      <c r="B549" s="1"/>
      <c r="D549" s="11"/>
      <c r="E549" s="10"/>
      <c r="O549" s="10"/>
      <c r="V549" s="10"/>
      <c r="W549" s="6"/>
    </row>
    <row r="550" spans="1:23" x14ac:dyDescent="0.2">
      <c r="A550" s="27"/>
      <c r="B550" s="25"/>
      <c r="D550" s="11"/>
      <c r="E550" s="10"/>
      <c r="O550" s="10"/>
      <c r="V550" s="10"/>
      <c r="W550" s="6"/>
    </row>
    <row r="551" spans="1:23" x14ac:dyDescent="0.2">
      <c r="A551" s="27"/>
      <c r="B551" s="25"/>
      <c r="D551" s="11"/>
      <c r="E551" s="10"/>
      <c r="O551" s="10"/>
      <c r="V551" s="10"/>
      <c r="W551" s="6"/>
    </row>
    <row r="552" spans="1:23" x14ac:dyDescent="0.2">
      <c r="A552" s="27"/>
      <c r="B552" s="1"/>
      <c r="D552" s="11"/>
      <c r="E552" s="10"/>
      <c r="O552" s="10"/>
      <c r="V552" s="10"/>
      <c r="W552" s="6"/>
    </row>
    <row r="553" spans="1:23" x14ac:dyDescent="0.2">
      <c r="A553" s="27"/>
      <c r="B553" s="25"/>
      <c r="D553" s="11"/>
      <c r="E553" s="10"/>
      <c r="O553" s="10"/>
      <c r="V553" s="10"/>
      <c r="W553" s="6"/>
    </row>
    <row r="554" spans="1:23" x14ac:dyDescent="0.2">
      <c r="A554" s="27"/>
      <c r="B554" s="25"/>
      <c r="D554" s="11"/>
      <c r="E554" s="10"/>
      <c r="O554" s="10"/>
      <c r="V554" s="10"/>
      <c r="W554" s="6"/>
    </row>
    <row r="555" spans="1:23" x14ac:dyDescent="0.2">
      <c r="A555" s="27"/>
      <c r="B555" s="1"/>
      <c r="D555" s="11"/>
      <c r="E555" s="10"/>
      <c r="O555" s="10"/>
      <c r="V555" s="10"/>
      <c r="W555" s="6"/>
    </row>
    <row r="556" spans="1:23" x14ac:dyDescent="0.2">
      <c r="A556" s="27"/>
      <c r="B556" s="25"/>
      <c r="D556" s="11"/>
      <c r="E556" s="10"/>
      <c r="O556" s="10"/>
      <c r="V556" s="10"/>
      <c r="W556" s="6"/>
    </row>
    <row r="557" spans="1:23" x14ac:dyDescent="0.2">
      <c r="A557" s="27"/>
      <c r="B557" s="25"/>
      <c r="D557" s="11"/>
      <c r="E557" s="10"/>
      <c r="O557" s="10"/>
      <c r="V557" s="10"/>
      <c r="W557" s="6"/>
    </row>
    <row r="558" spans="1:23" x14ac:dyDescent="0.2">
      <c r="A558" s="27"/>
      <c r="B558" s="25"/>
      <c r="D558" s="11"/>
      <c r="E558" s="10"/>
      <c r="O558" s="10"/>
      <c r="V558" s="10"/>
      <c r="W558" s="6"/>
    </row>
    <row r="559" spans="1:23" x14ac:dyDescent="0.2">
      <c r="A559" s="27"/>
      <c r="B559" s="25"/>
      <c r="D559" s="11"/>
      <c r="E559" s="10"/>
      <c r="O559" s="10"/>
      <c r="V559" s="10"/>
      <c r="W559" s="6"/>
    </row>
    <row r="560" spans="1:23" x14ac:dyDescent="0.2">
      <c r="A560" s="27"/>
      <c r="B560" s="1"/>
      <c r="D560" s="11"/>
      <c r="E560" s="10"/>
      <c r="O560" s="10"/>
      <c r="V560" s="10"/>
      <c r="W560" s="6"/>
    </row>
    <row r="561" spans="1:23" x14ac:dyDescent="0.2">
      <c r="A561" s="27"/>
      <c r="B561" s="25"/>
      <c r="D561" s="11"/>
      <c r="E561" s="10"/>
      <c r="O561" s="10"/>
      <c r="V561" s="10"/>
      <c r="W561" s="6"/>
    </row>
    <row r="562" spans="1:23" x14ac:dyDescent="0.2">
      <c r="A562" s="27"/>
      <c r="B562" s="25"/>
      <c r="D562" s="11"/>
      <c r="E562" s="10"/>
      <c r="O562" s="10"/>
      <c r="V562" s="10"/>
      <c r="W562" s="6"/>
    </row>
    <row r="563" spans="1:23" x14ac:dyDescent="0.2">
      <c r="A563" s="27"/>
      <c r="B563" s="25"/>
      <c r="D563" s="11"/>
      <c r="E563" s="10"/>
      <c r="O563" s="10"/>
      <c r="V563" s="10"/>
      <c r="W563" s="6"/>
    </row>
    <row r="564" spans="1:23" x14ac:dyDescent="0.2">
      <c r="A564" s="27"/>
      <c r="B564" s="25"/>
      <c r="D564" s="11"/>
      <c r="E564" s="10"/>
      <c r="O564" s="10"/>
      <c r="V564" s="10"/>
      <c r="W564" s="6"/>
    </row>
    <row r="565" spans="1:23" x14ac:dyDescent="0.2">
      <c r="A565" s="27"/>
      <c r="B565" s="25"/>
      <c r="D565" s="11"/>
      <c r="E565" s="10"/>
      <c r="O565" s="10"/>
      <c r="V565" s="10"/>
      <c r="W565" s="6"/>
    </row>
    <row r="566" spans="1:23" x14ac:dyDescent="0.2">
      <c r="A566" s="27"/>
      <c r="B566" s="25"/>
      <c r="D566" s="11"/>
      <c r="E566" s="10"/>
      <c r="O566" s="10"/>
      <c r="V566" s="10"/>
      <c r="W566" s="6"/>
    </row>
    <row r="567" spans="1:23" x14ac:dyDescent="0.2">
      <c r="A567" s="27"/>
      <c r="B567" s="25"/>
      <c r="D567" s="11"/>
      <c r="E567" s="10"/>
      <c r="O567" s="10"/>
      <c r="V567" s="10"/>
      <c r="W567" s="6"/>
    </row>
    <row r="568" spans="1:23" x14ac:dyDescent="0.2">
      <c r="A568" s="27"/>
      <c r="B568" s="25"/>
      <c r="D568" s="11"/>
      <c r="E568" s="10"/>
      <c r="O568" s="10"/>
      <c r="V568" s="10"/>
      <c r="W568" s="6"/>
    </row>
    <row r="569" spans="1:23" x14ac:dyDescent="0.2">
      <c r="A569" s="27"/>
      <c r="B569" s="1"/>
      <c r="D569" s="11"/>
      <c r="E569" s="10"/>
      <c r="O569" s="10"/>
      <c r="V569" s="10"/>
      <c r="W569" s="6"/>
    </row>
    <row r="570" spans="1:23" x14ac:dyDescent="0.2">
      <c r="A570" s="27"/>
      <c r="B570" s="25"/>
      <c r="D570" s="11"/>
      <c r="E570" s="10"/>
      <c r="O570" s="10"/>
      <c r="V570" s="10"/>
      <c r="W570" s="6"/>
    </row>
    <row r="571" spans="1:23" x14ac:dyDescent="0.2">
      <c r="A571" s="27"/>
      <c r="B571" s="25"/>
      <c r="D571" s="11"/>
      <c r="E571" s="10"/>
      <c r="O571" s="10"/>
      <c r="V571" s="10"/>
      <c r="W571" s="6"/>
    </row>
    <row r="572" spans="1:23" x14ac:dyDescent="0.2">
      <c r="A572" s="27"/>
      <c r="B572" s="25"/>
      <c r="D572" s="11"/>
      <c r="E572" s="10"/>
      <c r="O572" s="10"/>
      <c r="V572" s="10"/>
      <c r="W572" s="6"/>
    </row>
    <row r="573" spans="1:23" x14ac:dyDescent="0.2">
      <c r="A573" s="27"/>
      <c r="B573" s="25"/>
      <c r="D573" s="11"/>
      <c r="E573" s="10"/>
      <c r="O573" s="10"/>
      <c r="V573" s="10"/>
      <c r="W573" s="6"/>
    </row>
    <row r="574" spans="1:23" x14ac:dyDescent="0.2">
      <c r="A574" s="27"/>
      <c r="B574" s="25"/>
      <c r="D574" s="11"/>
      <c r="E574" s="10"/>
      <c r="O574" s="10"/>
      <c r="V574" s="10"/>
      <c r="W574" s="6"/>
    </row>
    <row r="575" spans="1:23" x14ac:dyDescent="0.2">
      <c r="A575" s="27"/>
      <c r="B575" s="25"/>
      <c r="D575" s="11"/>
      <c r="E575" s="10"/>
      <c r="O575" s="10"/>
      <c r="V575" s="10"/>
      <c r="W575" s="6"/>
    </row>
    <row r="576" spans="1:23" x14ac:dyDescent="0.2">
      <c r="A576" s="27"/>
      <c r="B576" s="25"/>
      <c r="D576" s="11"/>
      <c r="E576" s="10"/>
      <c r="O576" s="10"/>
      <c r="V576" s="10"/>
      <c r="W576" s="6"/>
    </row>
    <row r="577" spans="1:23" x14ac:dyDescent="0.2">
      <c r="A577" s="27"/>
      <c r="B577" s="1"/>
      <c r="D577" s="11"/>
      <c r="E577" s="10"/>
      <c r="O577" s="10"/>
      <c r="V577" s="10"/>
      <c r="W577" s="6"/>
    </row>
    <row r="578" spans="1:23" x14ac:dyDescent="0.2">
      <c r="A578" s="27"/>
      <c r="B578" s="25"/>
      <c r="D578" s="11"/>
      <c r="E578" s="10"/>
      <c r="O578" s="10"/>
      <c r="V578" s="10"/>
      <c r="W578" s="6"/>
    </row>
    <row r="579" spans="1:23" x14ac:dyDescent="0.2">
      <c r="A579" s="27"/>
      <c r="B579" s="25"/>
      <c r="D579" s="11"/>
      <c r="E579" s="10"/>
      <c r="O579" s="10"/>
      <c r="V579" s="10"/>
      <c r="W579" s="6"/>
    </row>
    <row r="580" spans="1:23" x14ac:dyDescent="0.2">
      <c r="A580" s="27"/>
      <c r="B580" s="25"/>
      <c r="D580" s="11"/>
      <c r="E580" s="10"/>
      <c r="O580" s="10"/>
      <c r="V580" s="10"/>
      <c r="W580" s="6"/>
    </row>
    <row r="581" spans="1:23" x14ac:dyDescent="0.2">
      <c r="A581" s="27"/>
      <c r="B581" s="25"/>
      <c r="D581" s="11"/>
      <c r="E581" s="10"/>
      <c r="O581" s="10"/>
      <c r="V581" s="10"/>
      <c r="W581" s="6"/>
    </row>
    <row r="582" spans="1:23" x14ac:dyDescent="0.2">
      <c r="A582" s="27"/>
      <c r="B582" s="25"/>
      <c r="D582" s="11"/>
      <c r="E582" s="10"/>
      <c r="O582" s="10"/>
      <c r="V582" s="10"/>
      <c r="W582" s="6"/>
    </row>
    <row r="583" spans="1:23" x14ac:dyDescent="0.2">
      <c r="A583" s="27"/>
      <c r="B583" s="1"/>
      <c r="D583" s="11"/>
      <c r="E583" s="10"/>
      <c r="O583" s="10"/>
      <c r="V583" s="10"/>
      <c r="W583" s="6"/>
    </row>
    <row r="584" spans="1:23" x14ac:dyDescent="0.2">
      <c r="A584" s="27"/>
      <c r="B584" s="25"/>
      <c r="D584" s="11"/>
      <c r="E584" s="10"/>
      <c r="O584" s="10"/>
      <c r="V584" s="10"/>
      <c r="W584" s="6"/>
    </row>
    <row r="585" spans="1:23" x14ac:dyDescent="0.2">
      <c r="A585" s="27"/>
      <c r="B585" s="1"/>
      <c r="D585" s="11"/>
      <c r="E585" s="10"/>
      <c r="O585" s="10"/>
      <c r="V585" s="10"/>
      <c r="W585" s="6"/>
    </row>
    <row r="586" spans="1:23" x14ac:dyDescent="0.2">
      <c r="A586" s="27"/>
      <c r="B586" s="1"/>
      <c r="D586" s="11"/>
      <c r="E586" s="10"/>
      <c r="O586" s="10"/>
      <c r="V586" s="10"/>
      <c r="W586" s="6"/>
    </row>
    <row r="587" spans="1:23" x14ac:dyDescent="0.2">
      <c r="A587" s="27"/>
      <c r="B587" s="25"/>
      <c r="D587" s="11"/>
      <c r="E587" s="10"/>
      <c r="O587" s="10"/>
      <c r="V587" s="10"/>
      <c r="W587" s="6"/>
    </row>
    <row r="588" spans="1:23" x14ac:dyDescent="0.2">
      <c r="A588" s="27"/>
      <c r="B588" s="25"/>
      <c r="D588" s="11"/>
      <c r="E588" s="10"/>
      <c r="O588" s="10"/>
      <c r="V588" s="10"/>
      <c r="W588" s="6"/>
    </row>
    <row r="589" spans="1:23" x14ac:dyDescent="0.2">
      <c r="A589" s="27"/>
      <c r="B589" s="25"/>
      <c r="D589" s="11"/>
      <c r="E589" s="10"/>
      <c r="O589" s="10"/>
      <c r="V589" s="10"/>
      <c r="W589" s="6"/>
    </row>
    <row r="590" spans="1:23" x14ac:dyDescent="0.2">
      <c r="A590" s="27"/>
      <c r="B590" s="1"/>
      <c r="D590" s="11"/>
      <c r="E590" s="10"/>
      <c r="O590" s="10"/>
      <c r="V590" s="10"/>
      <c r="W590" s="6"/>
    </row>
    <row r="591" spans="1:23" x14ac:dyDescent="0.2">
      <c r="A591" s="27"/>
      <c r="B591" s="25"/>
      <c r="D591" s="11"/>
      <c r="E591" s="10"/>
      <c r="O591" s="10"/>
      <c r="V591" s="10"/>
      <c r="W591" s="6"/>
    </row>
    <row r="592" spans="1:23" x14ac:dyDescent="0.2">
      <c r="A592" s="27"/>
      <c r="B592" s="1"/>
      <c r="D592" s="11"/>
      <c r="E592" s="10"/>
      <c r="O592" s="10"/>
      <c r="V592" s="10"/>
      <c r="W592" s="6"/>
    </row>
    <row r="593" spans="1:23" x14ac:dyDescent="0.2">
      <c r="A593" s="27"/>
      <c r="B593" s="25"/>
      <c r="D593" s="11"/>
      <c r="E593" s="10"/>
      <c r="O593" s="10"/>
      <c r="V593" s="10"/>
      <c r="W593" s="6"/>
    </row>
    <row r="594" spans="1:23" x14ac:dyDescent="0.2">
      <c r="A594" s="27"/>
      <c r="B594" s="25"/>
      <c r="D594" s="11"/>
      <c r="E594" s="10"/>
      <c r="O594" s="10"/>
      <c r="V594" s="10"/>
      <c r="W594" s="6"/>
    </row>
    <row r="595" spans="1:23" x14ac:dyDescent="0.2">
      <c r="A595" s="27"/>
      <c r="B595" s="1"/>
      <c r="D595" s="11"/>
      <c r="E595" s="10"/>
      <c r="O595" s="10"/>
      <c r="V595" s="10"/>
      <c r="W595" s="6"/>
    </row>
    <row r="596" spans="1:23" x14ac:dyDescent="0.2">
      <c r="A596" s="27"/>
      <c r="B596" s="25"/>
      <c r="D596" s="11"/>
      <c r="E596" s="10"/>
      <c r="O596" s="10"/>
      <c r="V596" s="10"/>
      <c r="W596" s="6"/>
    </row>
    <row r="597" spans="1:23" x14ac:dyDescent="0.2">
      <c r="A597" s="27"/>
      <c r="B597" s="1"/>
      <c r="D597" s="11"/>
      <c r="E597" s="10"/>
      <c r="O597" s="10"/>
      <c r="V597" s="10"/>
      <c r="W597" s="6"/>
    </row>
    <row r="598" spans="1:23" x14ac:dyDescent="0.2">
      <c r="A598" s="27"/>
      <c r="B598" s="25"/>
      <c r="D598" s="11"/>
      <c r="E598" s="10"/>
      <c r="O598" s="10"/>
      <c r="V598" s="10"/>
      <c r="W598" s="6"/>
    </row>
    <row r="599" spans="1:23" x14ac:dyDescent="0.2">
      <c r="A599" s="27"/>
      <c r="B599" s="25"/>
      <c r="D599" s="11"/>
      <c r="E599" s="10"/>
      <c r="O599" s="10"/>
      <c r="V599" s="10"/>
      <c r="W599" s="6"/>
    </row>
    <row r="600" spans="1:23" x14ac:dyDescent="0.2">
      <c r="A600" s="27"/>
      <c r="B600" s="25"/>
      <c r="D600" s="11"/>
      <c r="E600" s="10"/>
      <c r="O600" s="10"/>
      <c r="V600" s="10"/>
      <c r="W600" s="6"/>
    </row>
    <row r="601" spans="1:23" x14ac:dyDescent="0.2">
      <c r="A601" s="27"/>
      <c r="B601" s="1"/>
      <c r="D601" s="11"/>
      <c r="E601" s="10"/>
      <c r="O601" s="10"/>
      <c r="V601" s="10"/>
      <c r="W601" s="6"/>
    </row>
    <row r="602" spans="1:23" x14ac:dyDescent="0.2">
      <c r="A602" s="27"/>
      <c r="B602" s="25"/>
      <c r="D602" s="11"/>
      <c r="E602" s="10"/>
      <c r="O602" s="10"/>
      <c r="V602" s="10"/>
      <c r="W602" s="6"/>
    </row>
    <row r="603" spans="1:23" x14ac:dyDescent="0.2">
      <c r="A603" s="27"/>
      <c r="B603" s="25"/>
      <c r="D603" s="11"/>
      <c r="E603" s="10"/>
      <c r="O603" s="10"/>
      <c r="V603" s="10"/>
      <c r="W603" s="6"/>
    </row>
    <row r="604" spans="1:23" x14ac:dyDescent="0.2">
      <c r="A604" s="27"/>
      <c r="B604" s="1"/>
      <c r="D604" s="11"/>
      <c r="E604" s="10"/>
      <c r="O604" s="10"/>
      <c r="V604" s="10"/>
      <c r="W604" s="6"/>
    </row>
    <row r="605" spans="1:23" x14ac:dyDescent="0.2">
      <c r="A605" s="27"/>
      <c r="B605" s="25"/>
      <c r="D605" s="11"/>
      <c r="E605" s="10"/>
      <c r="O605" s="10"/>
      <c r="V605" s="10"/>
      <c r="W605" s="6"/>
    </row>
    <row r="606" spans="1:23" x14ac:dyDescent="0.2">
      <c r="A606" s="27"/>
      <c r="B606" s="25"/>
      <c r="D606" s="11"/>
      <c r="E606" s="10"/>
      <c r="O606" s="10"/>
      <c r="V606" s="10"/>
      <c r="W606" s="6"/>
    </row>
    <row r="607" spans="1:23" x14ac:dyDescent="0.2">
      <c r="A607" s="27"/>
      <c r="B607" s="25"/>
      <c r="D607" s="11"/>
      <c r="E607" s="10"/>
      <c r="O607" s="10"/>
      <c r="V607" s="10"/>
      <c r="W607" s="6"/>
    </row>
    <row r="608" spans="1:23" x14ac:dyDescent="0.2">
      <c r="A608" s="27"/>
      <c r="B608" s="25"/>
      <c r="D608" s="11"/>
      <c r="E608" s="10"/>
      <c r="O608" s="10"/>
      <c r="V608" s="10"/>
      <c r="W608" s="6"/>
    </row>
    <row r="609" spans="1:23" x14ac:dyDescent="0.2">
      <c r="A609" s="27"/>
      <c r="B609" s="25"/>
      <c r="D609" s="11"/>
      <c r="E609" s="10"/>
      <c r="O609" s="10"/>
      <c r="V609" s="10"/>
      <c r="W609" s="6"/>
    </row>
    <row r="610" spans="1:23" x14ac:dyDescent="0.2">
      <c r="A610" s="27"/>
      <c r="B610" s="25"/>
      <c r="D610" s="11"/>
      <c r="E610" s="10"/>
      <c r="O610" s="10"/>
      <c r="V610" s="10"/>
      <c r="W610" s="6"/>
    </row>
    <row r="611" spans="1:23" x14ac:dyDescent="0.2">
      <c r="A611" s="27"/>
      <c r="B611" s="25"/>
      <c r="D611" s="11"/>
      <c r="E611" s="10"/>
      <c r="O611" s="10"/>
      <c r="V611" s="10"/>
      <c r="W611" s="6"/>
    </row>
    <row r="612" spans="1:23" x14ac:dyDescent="0.2">
      <c r="A612" s="27"/>
      <c r="B612" s="25"/>
      <c r="D612" s="11"/>
      <c r="E612" s="10"/>
      <c r="O612" s="10"/>
      <c r="V612" s="10"/>
      <c r="W612" s="6"/>
    </row>
    <row r="613" spans="1:23" x14ac:dyDescent="0.2">
      <c r="A613" s="27"/>
      <c r="B613" s="25"/>
      <c r="D613" s="11"/>
      <c r="E613" s="10"/>
      <c r="O613" s="10"/>
      <c r="V613" s="10"/>
      <c r="W613" s="6"/>
    </row>
    <row r="614" spans="1:23" x14ac:dyDescent="0.2">
      <c r="A614" s="27"/>
      <c r="B614" s="25"/>
      <c r="D614" s="11"/>
      <c r="E614" s="10"/>
      <c r="O614" s="10"/>
      <c r="V614" s="10"/>
      <c r="W614" s="6"/>
    </row>
    <row r="615" spans="1:23" x14ac:dyDescent="0.2">
      <c r="A615" s="27"/>
      <c r="B615" s="1"/>
      <c r="D615" s="11"/>
      <c r="E615" s="10"/>
      <c r="O615" s="10"/>
      <c r="V615" s="10"/>
      <c r="W615" s="6"/>
    </row>
    <row r="616" spans="1:23" x14ac:dyDescent="0.2">
      <c r="A616" s="27"/>
      <c r="B616" s="1"/>
      <c r="D616" s="11"/>
      <c r="E616" s="10"/>
      <c r="O616" s="10"/>
      <c r="V616" s="10"/>
      <c r="W616" s="6"/>
    </row>
    <row r="617" spans="1:23" x14ac:dyDescent="0.2">
      <c r="A617" s="27"/>
      <c r="B617" s="25"/>
      <c r="D617" s="11"/>
      <c r="E617" s="10"/>
      <c r="O617" s="10"/>
      <c r="V617" s="10"/>
      <c r="W617" s="6"/>
    </row>
    <row r="618" spans="1:23" x14ac:dyDescent="0.2">
      <c r="A618" s="27"/>
      <c r="B618" s="25"/>
      <c r="D618" s="11"/>
      <c r="E618" s="10"/>
      <c r="O618" s="10"/>
      <c r="V618" s="10"/>
      <c r="W618" s="6"/>
    </row>
    <row r="619" spans="1:23" x14ac:dyDescent="0.2">
      <c r="A619" s="27"/>
      <c r="B619" s="25"/>
      <c r="D619" s="11"/>
      <c r="E619" s="10"/>
      <c r="O619" s="10"/>
      <c r="V619" s="10"/>
      <c r="W619" s="6"/>
    </row>
    <row r="620" spans="1:23" x14ac:dyDescent="0.2">
      <c r="A620" s="27"/>
      <c r="B620" s="25"/>
      <c r="D620" s="11"/>
      <c r="E620" s="10"/>
      <c r="O620" s="10"/>
      <c r="V620" s="10"/>
      <c r="W620" s="6"/>
    </row>
    <row r="621" spans="1:23" x14ac:dyDescent="0.2">
      <c r="A621" s="27"/>
      <c r="B621" s="25"/>
      <c r="D621" s="11"/>
      <c r="E621" s="10"/>
      <c r="O621" s="10"/>
      <c r="V621" s="10"/>
      <c r="W621" s="6"/>
    </row>
    <row r="622" spans="1:23" x14ac:dyDescent="0.2">
      <c r="A622" s="27"/>
      <c r="B622" s="25"/>
      <c r="D622" s="11"/>
      <c r="E622" s="10"/>
      <c r="O622" s="10"/>
      <c r="V622" s="10"/>
      <c r="W622" s="6"/>
    </row>
    <row r="623" spans="1:23" x14ac:dyDescent="0.2">
      <c r="A623" s="27"/>
      <c r="B623" s="1"/>
      <c r="D623" s="11"/>
      <c r="E623" s="10"/>
      <c r="O623" s="10"/>
      <c r="V623" s="10"/>
      <c r="W623" s="6"/>
    </row>
    <row r="624" spans="1:23" x14ac:dyDescent="0.2">
      <c r="A624" s="27"/>
      <c r="B624" s="25"/>
      <c r="D624" s="11"/>
      <c r="E624" s="10"/>
      <c r="O624" s="10"/>
      <c r="V624" s="10"/>
      <c r="W624" s="6"/>
    </row>
    <row r="625" spans="1:23" x14ac:dyDescent="0.2">
      <c r="A625" s="27"/>
      <c r="B625" s="25"/>
      <c r="D625" s="11"/>
      <c r="E625" s="10"/>
      <c r="O625" s="10"/>
      <c r="V625" s="10"/>
      <c r="W625" s="6"/>
    </row>
    <row r="626" spans="1:23" x14ac:dyDescent="0.2">
      <c r="A626" s="27"/>
      <c r="B626" s="25"/>
      <c r="D626" s="11"/>
      <c r="E626" s="10"/>
      <c r="O626" s="10"/>
      <c r="V626" s="10"/>
      <c r="W626" s="6"/>
    </row>
    <row r="627" spans="1:23" x14ac:dyDescent="0.2">
      <c r="A627" s="27"/>
      <c r="B627" s="1"/>
      <c r="D627" s="11"/>
      <c r="E627" s="10"/>
      <c r="O627" s="10"/>
      <c r="V627" s="10"/>
      <c r="W627" s="6"/>
    </row>
    <row r="628" spans="1:23" x14ac:dyDescent="0.2">
      <c r="A628" s="27"/>
      <c r="B628" s="25"/>
      <c r="D628" s="11"/>
      <c r="E628" s="10"/>
      <c r="O628" s="10"/>
      <c r="V628" s="10"/>
      <c r="W628" s="6"/>
    </row>
    <row r="629" spans="1:23" x14ac:dyDescent="0.2">
      <c r="A629" s="27"/>
      <c r="B629" s="25"/>
      <c r="D629" s="11"/>
      <c r="E629" s="10"/>
      <c r="O629" s="10"/>
      <c r="V629" s="10"/>
      <c r="W629" s="6"/>
    </row>
    <row r="630" spans="1:23" x14ac:dyDescent="0.2">
      <c r="A630" s="27"/>
      <c r="B630" s="25"/>
      <c r="D630" s="11"/>
      <c r="E630" s="10"/>
      <c r="O630" s="10"/>
      <c r="V630" s="10"/>
      <c r="W630" s="6"/>
    </row>
    <row r="631" spans="1:23" x14ac:dyDescent="0.2">
      <c r="A631" s="27"/>
      <c r="B631" s="25"/>
      <c r="D631" s="11"/>
      <c r="E631" s="10"/>
      <c r="O631" s="10"/>
      <c r="V631" s="10"/>
      <c r="W631" s="6"/>
    </row>
    <row r="632" spans="1:23" x14ac:dyDescent="0.2">
      <c r="A632" s="27"/>
      <c r="B632" s="25"/>
      <c r="D632" s="11"/>
      <c r="E632" s="10"/>
      <c r="O632" s="10"/>
      <c r="V632" s="10"/>
      <c r="W632" s="6"/>
    </row>
    <row r="633" spans="1:23" x14ac:dyDescent="0.2">
      <c r="A633" s="27"/>
      <c r="B633" s="25"/>
      <c r="D633" s="11"/>
      <c r="E633" s="10"/>
      <c r="O633" s="10"/>
      <c r="V633" s="10"/>
      <c r="W633" s="6"/>
    </row>
    <row r="634" spans="1:23" x14ac:dyDescent="0.2">
      <c r="A634" s="27"/>
      <c r="B634" s="25"/>
      <c r="D634" s="11"/>
      <c r="E634" s="10"/>
      <c r="O634" s="10"/>
      <c r="V634" s="10"/>
      <c r="W634" s="6"/>
    </row>
    <row r="635" spans="1:23" x14ac:dyDescent="0.2">
      <c r="A635" s="27"/>
      <c r="B635" s="25"/>
      <c r="D635" s="11"/>
      <c r="E635" s="10"/>
      <c r="O635" s="10"/>
      <c r="V635" s="10"/>
      <c r="W635" s="6"/>
    </row>
    <row r="636" spans="1:23" x14ac:dyDescent="0.2">
      <c r="A636" s="27"/>
      <c r="B636" s="25"/>
      <c r="D636" s="11"/>
      <c r="E636" s="10"/>
      <c r="O636" s="10"/>
      <c r="V636" s="10"/>
      <c r="W636" s="6"/>
    </row>
    <row r="637" spans="1:23" x14ac:dyDescent="0.2">
      <c r="A637" s="27"/>
      <c r="B637" s="25"/>
      <c r="D637" s="11"/>
      <c r="E637" s="10"/>
      <c r="O637" s="10"/>
      <c r="V637" s="10"/>
      <c r="W637" s="6"/>
    </row>
    <row r="638" spans="1:23" x14ac:dyDescent="0.2">
      <c r="A638" s="27"/>
      <c r="B638" s="25"/>
      <c r="D638" s="11"/>
      <c r="E638" s="10"/>
      <c r="O638" s="10"/>
      <c r="V638" s="10"/>
      <c r="W638" s="6"/>
    </row>
    <row r="639" spans="1:23" x14ac:dyDescent="0.2">
      <c r="A639" s="27"/>
      <c r="B639" s="25"/>
      <c r="D639" s="11"/>
      <c r="E639" s="10"/>
      <c r="O639" s="10"/>
      <c r="V639" s="10"/>
      <c r="W639" s="6"/>
    </row>
    <row r="640" spans="1:23" x14ac:dyDescent="0.2">
      <c r="A640" s="27"/>
      <c r="B640" s="25"/>
      <c r="D640" s="11"/>
      <c r="E640" s="10"/>
      <c r="O640" s="10"/>
      <c r="V640" s="10"/>
      <c r="W640" s="6"/>
    </row>
    <row r="641" spans="1:23" x14ac:dyDescent="0.2">
      <c r="A641" s="27"/>
      <c r="B641" s="25"/>
      <c r="D641" s="11"/>
      <c r="E641" s="10"/>
      <c r="O641" s="10"/>
      <c r="V641" s="10"/>
      <c r="W641" s="6"/>
    </row>
    <row r="642" spans="1:23" x14ac:dyDescent="0.2">
      <c r="A642" s="27"/>
      <c r="B642" s="1"/>
      <c r="D642" s="11"/>
      <c r="E642" s="10"/>
      <c r="O642" s="10"/>
      <c r="V642" s="10"/>
      <c r="W642" s="6"/>
    </row>
    <row r="643" spans="1:23" x14ac:dyDescent="0.2">
      <c r="A643" s="27"/>
      <c r="B643" s="25"/>
      <c r="D643" s="11"/>
      <c r="E643" s="10"/>
      <c r="O643" s="10"/>
      <c r="V643" s="10"/>
      <c r="W643" s="6"/>
    </row>
    <row r="644" spans="1:23" x14ac:dyDescent="0.2">
      <c r="A644" s="27"/>
      <c r="B644" s="25"/>
      <c r="D644" s="11"/>
      <c r="E644" s="10"/>
      <c r="O644" s="10"/>
      <c r="V644" s="10"/>
      <c r="W644" s="6"/>
    </row>
    <row r="645" spans="1:23" x14ac:dyDescent="0.2">
      <c r="A645" s="27"/>
      <c r="B645" s="25"/>
      <c r="D645" s="11"/>
      <c r="E645" s="10"/>
      <c r="O645" s="10"/>
      <c r="V645" s="10"/>
      <c r="W645" s="6"/>
    </row>
    <row r="646" spans="1:23" x14ac:dyDescent="0.2">
      <c r="A646" s="27"/>
      <c r="B646" s="25"/>
      <c r="D646" s="11"/>
      <c r="E646" s="10"/>
      <c r="O646" s="10"/>
      <c r="V646" s="10"/>
      <c r="W646" s="6"/>
    </row>
    <row r="647" spans="1:23" x14ac:dyDescent="0.2">
      <c r="A647" s="27"/>
      <c r="B647" s="25"/>
      <c r="D647" s="11"/>
      <c r="E647" s="10"/>
      <c r="O647" s="10"/>
      <c r="V647" s="10"/>
      <c r="W647" s="6"/>
    </row>
    <row r="648" spans="1:23" x14ac:dyDescent="0.2">
      <c r="A648" s="27"/>
      <c r="B648" s="1"/>
      <c r="D648" s="11"/>
      <c r="E648" s="10"/>
      <c r="O648" s="10"/>
      <c r="V648" s="10"/>
      <c r="W648" s="6"/>
    </row>
    <row r="649" spans="1:23" x14ac:dyDescent="0.2">
      <c r="A649" s="27"/>
      <c r="B649" s="1"/>
      <c r="D649" s="11"/>
      <c r="E649" s="10"/>
      <c r="O649" s="10"/>
      <c r="V649" s="10"/>
      <c r="W649" s="6"/>
    </row>
    <row r="650" spans="1:23" x14ac:dyDescent="0.2">
      <c r="A650" s="27"/>
      <c r="B650" s="1"/>
      <c r="D650" s="11"/>
      <c r="E650" s="10"/>
      <c r="O650" s="10"/>
      <c r="V650" s="10"/>
      <c r="W650" s="6"/>
    </row>
    <row r="651" spans="1:23" x14ac:dyDescent="0.2">
      <c r="A651" s="27"/>
      <c r="B651" s="25"/>
      <c r="D651" s="11"/>
      <c r="E651" s="10"/>
      <c r="O651" s="10"/>
      <c r="V651" s="10"/>
      <c r="W651" s="6"/>
    </row>
    <row r="652" spans="1:23" x14ac:dyDescent="0.2">
      <c r="A652" s="27"/>
      <c r="B652" s="25"/>
      <c r="D652" s="11"/>
      <c r="E652" s="10"/>
      <c r="O652" s="10"/>
      <c r="V652" s="10"/>
      <c r="W652" s="6"/>
    </row>
    <row r="653" spans="1:23" x14ac:dyDescent="0.2">
      <c r="A653" s="27"/>
      <c r="B653" s="25"/>
      <c r="D653" s="11"/>
      <c r="E653" s="10"/>
      <c r="O653" s="10"/>
      <c r="V653" s="10"/>
      <c r="W653" s="6"/>
    </row>
    <row r="654" spans="1:23" x14ac:dyDescent="0.2">
      <c r="A654" s="27"/>
      <c r="B654" s="25"/>
      <c r="D654" s="11"/>
      <c r="E654" s="10"/>
      <c r="O654" s="10"/>
      <c r="V654" s="10"/>
      <c r="W654" s="6"/>
    </row>
    <row r="655" spans="1:23" x14ac:dyDescent="0.2">
      <c r="A655" s="27"/>
      <c r="B655" s="1"/>
      <c r="D655" s="11"/>
      <c r="E655" s="10"/>
      <c r="O655" s="10"/>
      <c r="V655" s="10"/>
      <c r="W655" s="6"/>
    </row>
    <row r="656" spans="1:23" x14ac:dyDescent="0.2">
      <c r="A656" s="27"/>
      <c r="B656" s="25"/>
      <c r="D656" s="11"/>
      <c r="E656" s="10"/>
      <c r="O656" s="10"/>
      <c r="V656" s="10"/>
      <c r="W656" s="6"/>
    </row>
    <row r="657" spans="1:23" x14ac:dyDescent="0.2">
      <c r="A657" s="27"/>
      <c r="B657" s="1"/>
      <c r="D657" s="11"/>
      <c r="E657" s="10"/>
      <c r="O657" s="10"/>
      <c r="V657" s="10"/>
      <c r="W657" s="6"/>
    </row>
    <row r="658" spans="1:23" x14ac:dyDescent="0.2">
      <c r="A658" s="27"/>
      <c r="B658" s="25"/>
      <c r="D658" s="11"/>
      <c r="E658" s="10"/>
      <c r="O658" s="10"/>
      <c r="V658" s="10"/>
      <c r="W658" s="6"/>
    </row>
    <row r="659" spans="1:23" x14ac:dyDescent="0.2">
      <c r="A659" s="27"/>
      <c r="B659" s="25"/>
      <c r="D659" s="11"/>
      <c r="E659" s="10"/>
      <c r="O659" s="10"/>
      <c r="V659" s="10"/>
      <c r="W659" s="6"/>
    </row>
    <row r="660" spans="1:23" x14ac:dyDescent="0.2">
      <c r="A660" s="27"/>
      <c r="B660" s="25"/>
      <c r="D660" s="11"/>
      <c r="E660" s="10"/>
      <c r="O660" s="10"/>
      <c r="V660" s="10"/>
      <c r="W660" s="6"/>
    </row>
    <row r="661" spans="1:23" x14ac:dyDescent="0.2">
      <c r="A661" s="27"/>
      <c r="B661" s="25"/>
      <c r="D661" s="11"/>
      <c r="E661" s="10"/>
      <c r="O661" s="10"/>
      <c r="V661" s="10"/>
      <c r="W661" s="6"/>
    </row>
    <row r="662" spans="1:23" x14ac:dyDescent="0.2">
      <c r="A662" s="27"/>
      <c r="B662" s="25"/>
      <c r="D662" s="11"/>
      <c r="E662" s="10"/>
      <c r="O662" s="10"/>
      <c r="V662" s="10"/>
      <c r="W662" s="6"/>
    </row>
    <row r="663" spans="1:23" x14ac:dyDescent="0.2">
      <c r="A663" s="27"/>
      <c r="B663" s="25"/>
      <c r="D663" s="11"/>
      <c r="E663" s="10"/>
      <c r="O663" s="10"/>
      <c r="V663" s="10"/>
      <c r="W663" s="6"/>
    </row>
    <row r="664" spans="1:23" x14ac:dyDescent="0.2">
      <c r="A664" s="27"/>
      <c r="B664" s="25"/>
      <c r="D664" s="11"/>
      <c r="E664" s="10"/>
      <c r="O664" s="10"/>
      <c r="V664" s="10"/>
      <c r="W664" s="6"/>
    </row>
    <row r="665" spans="1:23" x14ac:dyDescent="0.2">
      <c r="A665" s="27"/>
      <c r="B665" s="25"/>
      <c r="D665" s="11"/>
      <c r="E665" s="10"/>
      <c r="O665" s="10"/>
      <c r="V665" s="10"/>
      <c r="W665" s="6"/>
    </row>
    <row r="666" spans="1:23" x14ac:dyDescent="0.2">
      <c r="A666" s="27"/>
      <c r="B666" s="25"/>
      <c r="D666" s="11"/>
      <c r="E666" s="10"/>
      <c r="O666" s="10"/>
      <c r="V666" s="10"/>
      <c r="W666" s="6"/>
    </row>
    <row r="667" spans="1:23" x14ac:dyDescent="0.2">
      <c r="A667" s="27"/>
      <c r="B667" s="25"/>
      <c r="D667" s="11"/>
      <c r="E667" s="10"/>
      <c r="O667" s="10"/>
      <c r="V667" s="10"/>
      <c r="W667" s="6"/>
    </row>
    <row r="668" spans="1:23" x14ac:dyDescent="0.2">
      <c r="A668" s="27"/>
      <c r="B668" s="25"/>
      <c r="D668" s="11"/>
      <c r="E668" s="10"/>
      <c r="O668" s="10"/>
      <c r="V668" s="10"/>
      <c r="W668" s="6"/>
    </row>
    <row r="669" spans="1:23" x14ac:dyDescent="0.2">
      <c r="A669" s="27"/>
      <c r="B669" s="25"/>
      <c r="D669" s="11"/>
      <c r="E669" s="10"/>
      <c r="O669" s="10"/>
      <c r="V669" s="10"/>
      <c r="W669" s="6"/>
    </row>
    <row r="670" spans="1:23" x14ac:dyDescent="0.2">
      <c r="A670" s="27"/>
      <c r="B670" s="25"/>
      <c r="D670" s="11"/>
      <c r="E670" s="10"/>
      <c r="O670" s="10"/>
      <c r="V670" s="10"/>
      <c r="W670" s="6"/>
    </row>
    <row r="671" spans="1:23" x14ac:dyDescent="0.2">
      <c r="A671" s="27"/>
      <c r="B671" s="25"/>
      <c r="D671" s="11"/>
      <c r="E671" s="10"/>
      <c r="O671" s="10"/>
      <c r="V671" s="10"/>
      <c r="W671" s="6"/>
    </row>
    <row r="672" spans="1:23" x14ac:dyDescent="0.2">
      <c r="A672" s="27"/>
      <c r="B672" s="25"/>
      <c r="D672" s="11"/>
      <c r="E672" s="10"/>
      <c r="O672" s="10"/>
      <c r="V672" s="10"/>
      <c r="W672" s="6"/>
    </row>
    <row r="673" spans="1:23" x14ac:dyDescent="0.2">
      <c r="A673" s="27"/>
      <c r="B673" s="25"/>
      <c r="D673" s="11"/>
      <c r="E673" s="10"/>
      <c r="O673" s="10"/>
      <c r="V673" s="10"/>
      <c r="W673" s="6"/>
    </row>
    <row r="674" spans="1:23" x14ac:dyDescent="0.2">
      <c r="A674" s="27"/>
      <c r="B674" s="25"/>
      <c r="D674" s="11"/>
      <c r="E674" s="10"/>
      <c r="O674" s="10"/>
      <c r="V674" s="10"/>
      <c r="W674" s="6"/>
    </row>
    <row r="675" spans="1:23" x14ac:dyDescent="0.2">
      <c r="A675" s="27"/>
      <c r="B675" s="1"/>
      <c r="D675" s="11"/>
      <c r="E675" s="10"/>
      <c r="O675" s="10"/>
      <c r="V675" s="10"/>
      <c r="W675" s="6"/>
    </row>
    <row r="676" spans="1:23" x14ac:dyDescent="0.2">
      <c r="A676" s="27"/>
      <c r="B676" s="1"/>
      <c r="D676" s="11"/>
      <c r="E676" s="10"/>
      <c r="O676" s="10"/>
      <c r="V676" s="10"/>
      <c r="W676" s="6"/>
    </row>
    <row r="677" spans="1:23" x14ac:dyDescent="0.2">
      <c r="A677" s="27"/>
      <c r="B677" s="25"/>
      <c r="D677" s="11"/>
      <c r="E677" s="10"/>
      <c r="O677" s="10"/>
      <c r="V677" s="10"/>
      <c r="W677" s="6"/>
    </row>
    <row r="678" spans="1:23" x14ac:dyDescent="0.2">
      <c r="A678" s="27"/>
      <c r="B678" s="25"/>
      <c r="D678" s="11"/>
      <c r="E678" s="10"/>
      <c r="O678" s="10"/>
      <c r="V678" s="10"/>
    </row>
    <row r="679" spans="1:23" x14ac:dyDescent="0.2">
      <c r="A679" s="27"/>
      <c r="B679" s="25"/>
      <c r="D679" s="11"/>
      <c r="E679" s="10"/>
      <c r="O679" s="10"/>
      <c r="V679" s="10"/>
      <c r="W679" s="6"/>
    </row>
    <row r="680" spans="1:23" x14ac:dyDescent="0.2">
      <c r="A680" s="27"/>
      <c r="B680" s="25"/>
      <c r="D680" s="11"/>
      <c r="E680" s="10"/>
      <c r="O680" s="10"/>
      <c r="V680" s="10"/>
      <c r="W680" s="6"/>
    </row>
    <row r="681" spans="1:23" x14ac:dyDescent="0.2">
      <c r="A681" s="27"/>
      <c r="B681" s="25"/>
      <c r="D681" s="11"/>
      <c r="E681" s="10"/>
      <c r="O681" s="10"/>
      <c r="V681" s="10"/>
      <c r="W681" s="6"/>
    </row>
    <row r="682" spans="1:23" x14ac:dyDescent="0.2">
      <c r="A682" s="27"/>
      <c r="B682" s="25"/>
      <c r="D682" s="11"/>
      <c r="E682" s="10"/>
      <c r="O682" s="10"/>
      <c r="V682" s="10"/>
      <c r="W682" s="6"/>
    </row>
    <row r="683" spans="1:23" x14ac:dyDescent="0.2">
      <c r="A683" s="27"/>
      <c r="B683" s="25"/>
      <c r="D683" s="11"/>
      <c r="E683" s="10"/>
      <c r="O683" s="10"/>
      <c r="V683" s="10"/>
      <c r="W683" s="6"/>
    </row>
    <row r="684" spans="1:23" x14ac:dyDescent="0.2">
      <c r="A684" s="27"/>
      <c r="B684" s="25"/>
      <c r="D684" s="11"/>
      <c r="E684" s="10"/>
      <c r="O684" s="10"/>
      <c r="V684" s="10"/>
      <c r="W684" s="6"/>
    </row>
    <row r="685" spans="1:23" x14ac:dyDescent="0.2">
      <c r="A685" s="27"/>
      <c r="B685" s="25"/>
      <c r="D685" s="11"/>
      <c r="E685" s="10"/>
      <c r="O685" s="10"/>
      <c r="V685" s="10"/>
      <c r="W685" s="6"/>
    </row>
    <row r="686" spans="1:23" x14ac:dyDescent="0.2">
      <c r="A686" s="27"/>
      <c r="B686" s="25"/>
      <c r="D686" s="11"/>
      <c r="E686" s="10"/>
      <c r="O686" s="10"/>
      <c r="V686" s="10"/>
      <c r="W686" s="6"/>
    </row>
    <row r="687" spans="1:23" x14ac:dyDescent="0.2">
      <c r="A687" s="27"/>
      <c r="B687" s="25"/>
      <c r="D687" s="11"/>
      <c r="E687" s="10"/>
      <c r="O687" s="10"/>
      <c r="V687" s="10"/>
      <c r="W687" s="6"/>
    </row>
    <row r="688" spans="1:23" x14ac:dyDescent="0.2">
      <c r="A688" s="27"/>
      <c r="B688" s="25"/>
      <c r="D688" s="11"/>
      <c r="E688" s="10"/>
      <c r="O688" s="10"/>
      <c r="V688" s="10"/>
      <c r="W688" s="6"/>
    </row>
    <row r="689" spans="1:23" x14ac:dyDescent="0.2">
      <c r="A689" s="27"/>
      <c r="B689" s="25"/>
      <c r="D689" s="11"/>
      <c r="E689" s="10"/>
      <c r="O689" s="10"/>
      <c r="V689" s="10"/>
      <c r="W689" s="6"/>
    </row>
    <row r="690" spans="1:23" x14ac:dyDescent="0.2">
      <c r="A690" s="27"/>
      <c r="B690" s="25"/>
      <c r="D690" s="11"/>
      <c r="E690" s="10"/>
      <c r="O690" s="10"/>
      <c r="V690" s="10"/>
      <c r="W690" s="6"/>
    </row>
    <row r="691" spans="1:23" x14ac:dyDescent="0.2">
      <c r="A691" s="27"/>
      <c r="B691" s="1"/>
      <c r="D691" s="11"/>
      <c r="E691" s="10"/>
      <c r="O691" s="10"/>
      <c r="V691" s="10"/>
      <c r="W691" s="6"/>
    </row>
    <row r="692" spans="1:23" x14ac:dyDescent="0.2">
      <c r="A692" s="27"/>
      <c r="B692" s="25"/>
      <c r="D692" s="11"/>
      <c r="E692" s="10"/>
      <c r="O692" s="10"/>
      <c r="V692" s="10"/>
      <c r="W692" s="6"/>
    </row>
    <row r="693" spans="1:23" x14ac:dyDescent="0.2">
      <c r="A693" s="27"/>
      <c r="B693" s="1"/>
      <c r="D693" s="11"/>
      <c r="E693" s="10"/>
      <c r="O693" s="10"/>
      <c r="V693" s="10"/>
      <c r="W693" s="6"/>
    </row>
    <row r="694" spans="1:23" x14ac:dyDescent="0.2">
      <c r="A694" s="27"/>
      <c r="B694" s="25"/>
      <c r="D694" s="11"/>
      <c r="E694" s="10"/>
      <c r="O694" s="10"/>
      <c r="V694" s="10"/>
      <c r="W694" s="6"/>
    </row>
    <row r="695" spans="1:23" x14ac:dyDescent="0.2">
      <c r="A695" s="27"/>
      <c r="B695" s="25"/>
      <c r="D695" s="11"/>
      <c r="E695" s="10"/>
      <c r="O695" s="10"/>
      <c r="V695" s="10"/>
      <c r="W695" s="6"/>
    </row>
    <row r="696" spans="1:23" x14ac:dyDescent="0.2">
      <c r="A696" s="27"/>
      <c r="B696" s="1"/>
      <c r="D696" s="11"/>
      <c r="E696" s="10"/>
      <c r="O696" s="10"/>
      <c r="V696" s="10"/>
      <c r="W696" s="6"/>
    </row>
    <row r="697" spans="1:23" x14ac:dyDescent="0.2">
      <c r="A697" s="27"/>
      <c r="B697" s="25"/>
      <c r="D697" s="11"/>
      <c r="E697" s="10"/>
      <c r="O697" s="10"/>
      <c r="V697" s="10"/>
      <c r="W697" s="6"/>
    </row>
    <row r="698" spans="1:23" x14ac:dyDescent="0.2">
      <c r="A698" s="27"/>
      <c r="B698" s="1"/>
      <c r="D698" s="11"/>
      <c r="E698" s="10"/>
      <c r="O698" s="10"/>
      <c r="V698" s="10"/>
      <c r="W698" s="6"/>
    </row>
    <row r="699" spans="1:23" x14ac:dyDescent="0.2">
      <c r="A699" s="27"/>
      <c r="B699" s="25"/>
      <c r="D699" s="11"/>
      <c r="E699" s="10"/>
      <c r="O699" s="10"/>
      <c r="V699" s="10"/>
      <c r="W699" s="6"/>
    </row>
    <row r="700" spans="1:23" x14ac:dyDescent="0.2">
      <c r="A700" s="27"/>
      <c r="B700" s="25"/>
      <c r="D700" s="11"/>
      <c r="E700" s="10"/>
      <c r="O700" s="10"/>
      <c r="V700" s="10"/>
      <c r="W700" s="6"/>
    </row>
    <row r="701" spans="1:23" x14ac:dyDescent="0.2">
      <c r="A701" s="27"/>
      <c r="B701" s="25"/>
      <c r="D701" s="11"/>
      <c r="E701" s="10"/>
      <c r="O701" s="10"/>
      <c r="V701" s="10"/>
      <c r="W701" s="6"/>
    </row>
    <row r="702" spans="1:23" x14ac:dyDescent="0.2">
      <c r="A702" s="27"/>
      <c r="B702" s="25"/>
      <c r="D702" s="11"/>
      <c r="E702" s="10"/>
      <c r="O702" s="10"/>
      <c r="V702" s="10"/>
      <c r="W702" s="6"/>
    </row>
    <row r="703" spans="1:23" x14ac:dyDescent="0.2">
      <c r="A703" s="27"/>
      <c r="B703" s="25"/>
      <c r="D703" s="11"/>
      <c r="E703" s="10"/>
      <c r="O703" s="10"/>
      <c r="V703" s="10"/>
      <c r="W703" s="6"/>
    </row>
    <row r="704" spans="1:23" x14ac:dyDescent="0.2">
      <c r="A704" s="27"/>
      <c r="B704" s="25"/>
      <c r="D704" s="11"/>
      <c r="E704" s="10"/>
      <c r="O704" s="10"/>
      <c r="V704" s="10"/>
      <c r="W704" s="6"/>
    </row>
    <row r="705" spans="1:23" x14ac:dyDescent="0.2">
      <c r="A705" s="27"/>
      <c r="B705" s="25"/>
      <c r="D705" s="11"/>
      <c r="E705" s="10"/>
      <c r="O705" s="10"/>
      <c r="V705" s="10"/>
      <c r="W705" s="6"/>
    </row>
    <row r="706" spans="1:23" x14ac:dyDescent="0.2">
      <c r="A706" s="27"/>
      <c r="B706" s="25"/>
      <c r="D706" s="11"/>
      <c r="E706" s="10"/>
      <c r="O706" s="10"/>
      <c r="V706" s="10"/>
      <c r="W706" s="6"/>
    </row>
    <row r="707" spans="1:23" x14ac:dyDescent="0.2">
      <c r="A707" s="27"/>
      <c r="B707" s="25"/>
      <c r="D707" s="11"/>
      <c r="E707" s="10"/>
      <c r="O707" s="10"/>
      <c r="V707" s="10"/>
      <c r="W707" s="6"/>
    </row>
    <row r="708" spans="1:23" x14ac:dyDescent="0.2">
      <c r="A708" s="27"/>
      <c r="B708" s="25"/>
      <c r="D708" s="11"/>
      <c r="E708" s="10"/>
      <c r="O708" s="10"/>
      <c r="V708" s="10"/>
      <c r="W708" s="6"/>
    </row>
    <row r="709" spans="1:23" x14ac:dyDescent="0.2">
      <c r="A709" s="27"/>
      <c r="B709" s="25"/>
      <c r="D709" s="11"/>
      <c r="E709" s="10"/>
      <c r="O709" s="10"/>
      <c r="V709" s="10"/>
      <c r="W709" s="6"/>
    </row>
    <row r="710" spans="1:23" x14ac:dyDescent="0.2">
      <c r="A710" s="27"/>
      <c r="B710" s="25"/>
      <c r="D710" s="11"/>
      <c r="E710" s="10"/>
      <c r="O710" s="10"/>
      <c r="V710" s="10"/>
      <c r="W710" s="6"/>
    </row>
    <row r="711" spans="1:23" x14ac:dyDescent="0.2">
      <c r="A711" s="27"/>
      <c r="B711" s="25"/>
      <c r="D711" s="11"/>
      <c r="E711" s="10"/>
      <c r="O711" s="10"/>
      <c r="V711" s="10"/>
      <c r="W711" s="6"/>
    </row>
    <row r="712" spans="1:23" x14ac:dyDescent="0.2">
      <c r="A712" s="27"/>
      <c r="B712" s="25"/>
      <c r="D712" s="11"/>
      <c r="E712" s="10"/>
      <c r="O712" s="10"/>
      <c r="V712" s="10"/>
      <c r="W712" s="6"/>
    </row>
    <row r="713" spans="1:23" x14ac:dyDescent="0.2">
      <c r="A713" s="27"/>
      <c r="B713" s="25"/>
      <c r="D713" s="11"/>
      <c r="E713" s="10"/>
      <c r="O713" s="10"/>
      <c r="V713" s="10"/>
      <c r="W713" s="6"/>
    </row>
    <row r="714" spans="1:23" x14ac:dyDescent="0.2">
      <c r="A714" s="27"/>
      <c r="B714" s="25"/>
      <c r="D714" s="11"/>
      <c r="E714" s="10"/>
      <c r="O714" s="10"/>
      <c r="V714" s="10"/>
      <c r="W714" s="6"/>
    </row>
    <row r="715" spans="1:23" x14ac:dyDescent="0.2">
      <c r="A715" s="27"/>
      <c r="B715" s="25"/>
      <c r="D715" s="11"/>
      <c r="E715" s="10"/>
      <c r="O715" s="10"/>
      <c r="V715" s="10"/>
      <c r="W715" s="6"/>
    </row>
    <row r="716" spans="1:23" x14ac:dyDescent="0.2">
      <c r="A716" s="27"/>
      <c r="B716" s="1"/>
      <c r="D716" s="11"/>
      <c r="E716" s="10"/>
      <c r="O716" s="10"/>
      <c r="V716" s="10"/>
      <c r="W716" s="6"/>
    </row>
    <row r="717" spans="1:23" x14ac:dyDescent="0.2">
      <c r="A717" s="27"/>
      <c r="B717" s="25"/>
      <c r="D717" s="11"/>
      <c r="E717" s="10"/>
      <c r="O717" s="10"/>
      <c r="V717" s="10"/>
    </row>
    <row r="718" spans="1:23" x14ac:dyDescent="0.2">
      <c r="A718" s="27"/>
      <c r="B718" s="1"/>
      <c r="D718" s="11"/>
      <c r="E718" s="10"/>
      <c r="O718" s="10"/>
      <c r="V718" s="10"/>
      <c r="W718" s="6"/>
    </row>
    <row r="719" spans="1:23" x14ac:dyDescent="0.2">
      <c r="A719" s="27"/>
      <c r="B719" s="25"/>
      <c r="D719" s="11"/>
      <c r="E719" s="10"/>
      <c r="O719" s="10"/>
      <c r="V719" s="10"/>
      <c r="W719" s="6"/>
    </row>
    <row r="720" spans="1:23" x14ac:dyDescent="0.2">
      <c r="A720" s="27"/>
      <c r="B720" s="1"/>
      <c r="D720" s="11"/>
      <c r="E720" s="10"/>
      <c r="O720" s="10"/>
      <c r="V720" s="10"/>
      <c r="W720" s="6"/>
    </row>
    <row r="721" spans="1:23" x14ac:dyDescent="0.2">
      <c r="A721" s="27"/>
      <c r="B721" s="25"/>
      <c r="D721" s="11"/>
      <c r="E721" s="10"/>
      <c r="O721" s="10"/>
      <c r="V721" s="10"/>
      <c r="W721" s="6"/>
    </row>
    <row r="722" spans="1:23" x14ac:dyDescent="0.2">
      <c r="A722" s="27"/>
      <c r="B722" s="25"/>
      <c r="D722" s="11"/>
      <c r="E722" s="10"/>
      <c r="O722" s="10"/>
      <c r="V722" s="10"/>
      <c r="W722" s="6"/>
    </row>
    <row r="723" spans="1:23" x14ac:dyDescent="0.2">
      <c r="A723" s="27"/>
      <c r="B723" s="25"/>
      <c r="D723" s="11"/>
      <c r="E723" s="10"/>
      <c r="O723" s="10"/>
      <c r="V723" s="10"/>
      <c r="W723" s="6"/>
    </row>
    <row r="724" spans="1:23" x14ac:dyDescent="0.2">
      <c r="A724" s="27"/>
      <c r="B724" s="25"/>
      <c r="D724" s="11"/>
      <c r="E724" s="10"/>
      <c r="O724" s="10"/>
      <c r="V724" s="10"/>
      <c r="W724" s="6"/>
    </row>
    <row r="725" spans="1:23" x14ac:dyDescent="0.2">
      <c r="A725" s="27"/>
      <c r="B725" s="25"/>
      <c r="D725" s="11"/>
      <c r="E725" s="10"/>
      <c r="O725" s="10"/>
      <c r="V725" s="10"/>
      <c r="W725" s="6"/>
    </row>
    <row r="726" spans="1:23" x14ac:dyDescent="0.2">
      <c r="A726" s="27"/>
      <c r="B726" s="25"/>
      <c r="D726" s="11"/>
      <c r="E726" s="10"/>
      <c r="O726" s="10"/>
      <c r="V726" s="10"/>
      <c r="W726" s="6"/>
    </row>
    <row r="727" spans="1:23" x14ac:dyDescent="0.2">
      <c r="A727" s="27"/>
      <c r="B727" s="25"/>
      <c r="D727" s="11"/>
      <c r="E727" s="10"/>
      <c r="O727" s="10"/>
      <c r="V727" s="10"/>
      <c r="W727" s="6"/>
    </row>
    <row r="728" spans="1:23" x14ac:dyDescent="0.2">
      <c r="A728" s="27"/>
      <c r="B728" s="25"/>
      <c r="D728" s="11"/>
      <c r="E728" s="10"/>
      <c r="O728" s="10"/>
      <c r="V728" s="10"/>
      <c r="W728" s="6"/>
    </row>
    <row r="729" spans="1:23" x14ac:dyDescent="0.2">
      <c r="A729" s="27"/>
      <c r="B729" s="25"/>
      <c r="D729" s="11"/>
      <c r="E729" s="10"/>
      <c r="O729" s="10"/>
      <c r="V729" s="10"/>
      <c r="W729" s="6"/>
    </row>
    <row r="730" spans="1:23" x14ac:dyDescent="0.2">
      <c r="A730" s="27"/>
      <c r="B730" s="25"/>
      <c r="D730" s="11"/>
      <c r="E730" s="10"/>
      <c r="O730" s="10"/>
      <c r="V730" s="10"/>
      <c r="W730" s="6"/>
    </row>
    <row r="731" spans="1:23" x14ac:dyDescent="0.2">
      <c r="A731" s="27"/>
      <c r="B731" s="25"/>
      <c r="D731" s="11"/>
      <c r="E731" s="10"/>
      <c r="O731" s="10"/>
      <c r="V731" s="10"/>
      <c r="W731" s="6"/>
    </row>
    <row r="732" spans="1:23" x14ac:dyDescent="0.2">
      <c r="A732" s="27"/>
      <c r="B732" s="25"/>
      <c r="D732" s="11"/>
      <c r="E732" s="10"/>
      <c r="O732" s="10"/>
      <c r="V732" s="10"/>
      <c r="W732" s="6"/>
    </row>
    <row r="733" spans="1:23" x14ac:dyDescent="0.2">
      <c r="A733" s="27"/>
      <c r="B733" s="25"/>
      <c r="D733" s="11"/>
      <c r="E733" s="10"/>
      <c r="O733" s="10"/>
      <c r="V733" s="10"/>
      <c r="W733" s="6"/>
    </row>
    <row r="734" spans="1:23" x14ac:dyDescent="0.2">
      <c r="A734" s="27"/>
      <c r="B734" s="25"/>
      <c r="D734" s="11"/>
      <c r="E734" s="10"/>
      <c r="O734" s="10"/>
      <c r="V734" s="10"/>
      <c r="W734" s="6"/>
    </row>
    <row r="735" spans="1:23" x14ac:dyDescent="0.2">
      <c r="A735" s="27"/>
      <c r="B735" s="25"/>
      <c r="D735" s="11"/>
      <c r="E735" s="10"/>
      <c r="O735" s="10"/>
      <c r="V735" s="10"/>
      <c r="W735" s="6"/>
    </row>
    <row r="736" spans="1:23" x14ac:dyDescent="0.2">
      <c r="A736" s="27"/>
      <c r="B736" s="1"/>
      <c r="D736" s="11"/>
      <c r="E736" s="10"/>
      <c r="O736" s="10"/>
      <c r="V736" s="10"/>
      <c r="W736" s="6"/>
    </row>
    <row r="737" spans="1:23" x14ac:dyDescent="0.2">
      <c r="A737" s="27"/>
      <c r="B737" s="25"/>
      <c r="D737" s="11"/>
      <c r="E737" s="10"/>
      <c r="O737" s="10"/>
      <c r="V737" s="10"/>
      <c r="W737" s="6"/>
    </row>
    <row r="738" spans="1:23" x14ac:dyDescent="0.2">
      <c r="A738" s="27"/>
      <c r="B738" s="25"/>
      <c r="D738" s="11"/>
      <c r="E738" s="10"/>
      <c r="O738" s="10"/>
      <c r="V738" s="10"/>
      <c r="W738" s="6"/>
    </row>
    <row r="739" spans="1:23" x14ac:dyDescent="0.2">
      <c r="A739" s="27"/>
      <c r="B739" s="25"/>
      <c r="D739" s="11"/>
      <c r="E739" s="10"/>
      <c r="O739" s="10"/>
      <c r="V739" s="10"/>
      <c r="W739" s="6"/>
    </row>
    <row r="740" spans="1:23" x14ac:dyDescent="0.2">
      <c r="A740" s="27"/>
      <c r="B740" s="25"/>
      <c r="D740" s="11"/>
      <c r="E740" s="10"/>
      <c r="O740" s="10"/>
      <c r="V740" s="10"/>
      <c r="W740" s="6"/>
    </row>
    <row r="741" spans="1:23" x14ac:dyDescent="0.2">
      <c r="A741" s="27"/>
      <c r="B741" s="25"/>
      <c r="D741" s="11"/>
      <c r="E741" s="10"/>
      <c r="O741" s="10"/>
      <c r="V741" s="10"/>
      <c r="W741" s="6"/>
    </row>
    <row r="742" spans="1:23" x14ac:dyDescent="0.2">
      <c r="A742" s="27"/>
      <c r="B742" s="1"/>
      <c r="D742" s="11"/>
      <c r="E742" s="10"/>
      <c r="O742" s="10"/>
      <c r="V742" s="10"/>
      <c r="W742" s="6"/>
    </row>
    <row r="743" spans="1:23" x14ac:dyDescent="0.2">
      <c r="A743" s="27"/>
      <c r="B743" s="25"/>
      <c r="D743" s="11"/>
      <c r="E743" s="10"/>
      <c r="O743" s="10"/>
      <c r="V743" s="10"/>
      <c r="W743" s="6"/>
    </row>
    <row r="744" spans="1:23" x14ac:dyDescent="0.2">
      <c r="A744" s="27"/>
      <c r="B744" s="25"/>
      <c r="D744" s="11"/>
      <c r="E744" s="10"/>
      <c r="O744" s="10"/>
      <c r="V744" s="10"/>
      <c r="W744" s="6"/>
    </row>
    <row r="745" spans="1:23" x14ac:dyDescent="0.2">
      <c r="A745" s="27"/>
      <c r="B745" s="25"/>
      <c r="D745" s="11"/>
      <c r="E745" s="10"/>
      <c r="O745" s="10"/>
      <c r="V745" s="10"/>
      <c r="W745" s="6"/>
    </row>
    <row r="746" spans="1:23" x14ac:dyDescent="0.2">
      <c r="A746" s="27"/>
      <c r="B746" s="25"/>
      <c r="D746" s="11"/>
      <c r="E746" s="10"/>
      <c r="O746" s="10"/>
      <c r="V746" s="10"/>
      <c r="W746" s="6"/>
    </row>
    <row r="747" spans="1:23" x14ac:dyDescent="0.2">
      <c r="A747" s="27"/>
      <c r="B747" s="25"/>
      <c r="D747" s="11"/>
      <c r="E747" s="10"/>
      <c r="O747" s="10"/>
      <c r="V747" s="10"/>
      <c r="W747" s="6"/>
    </row>
    <row r="748" spans="1:23" x14ac:dyDescent="0.2">
      <c r="A748" s="27"/>
      <c r="B748" s="25"/>
      <c r="D748" s="11"/>
      <c r="E748" s="10"/>
      <c r="O748" s="10"/>
      <c r="V748" s="10"/>
      <c r="W748" s="6"/>
    </row>
    <row r="749" spans="1:23" x14ac:dyDescent="0.2">
      <c r="A749" s="27"/>
      <c r="B749" s="1"/>
      <c r="D749" s="11"/>
      <c r="E749" s="10"/>
      <c r="O749" s="10"/>
      <c r="V749" s="10"/>
      <c r="W749" s="6"/>
    </row>
    <row r="750" spans="1:23" x14ac:dyDescent="0.2">
      <c r="A750" s="27"/>
      <c r="B750" s="25"/>
      <c r="D750" s="11"/>
      <c r="E750" s="10"/>
      <c r="O750" s="10"/>
      <c r="V750" s="10"/>
      <c r="W750" s="6"/>
    </row>
    <row r="751" spans="1:23" x14ac:dyDescent="0.2">
      <c r="A751" s="27"/>
      <c r="B751" s="25"/>
      <c r="D751" s="11"/>
      <c r="E751" s="10"/>
      <c r="O751" s="10"/>
      <c r="V751" s="10"/>
      <c r="W751" s="6"/>
    </row>
    <row r="752" spans="1:23" x14ac:dyDescent="0.2">
      <c r="A752" s="27"/>
      <c r="B752" s="25"/>
      <c r="D752" s="11"/>
      <c r="E752" s="10"/>
      <c r="O752" s="10"/>
      <c r="V752" s="10"/>
      <c r="W752" s="6"/>
    </row>
    <row r="753" spans="1:23" x14ac:dyDescent="0.2">
      <c r="A753" s="27"/>
      <c r="B753" s="25"/>
      <c r="D753" s="11"/>
      <c r="E753" s="10"/>
      <c r="O753" s="10"/>
      <c r="V753" s="10"/>
      <c r="W753" s="6"/>
    </row>
    <row r="754" spans="1:23" x14ac:dyDescent="0.2">
      <c r="A754" s="27"/>
      <c r="B754" s="25"/>
      <c r="D754" s="11"/>
      <c r="E754" s="10"/>
      <c r="O754" s="10"/>
      <c r="V754" s="10"/>
      <c r="W754" s="6"/>
    </row>
    <row r="755" spans="1:23" x14ac:dyDescent="0.2">
      <c r="A755" s="27"/>
      <c r="B755" s="25"/>
      <c r="D755" s="11"/>
      <c r="E755" s="10"/>
      <c r="O755" s="10"/>
      <c r="V755" s="10"/>
      <c r="W755" s="6"/>
    </row>
    <row r="756" spans="1:23" x14ac:dyDescent="0.2">
      <c r="A756" s="27"/>
      <c r="B756" s="25"/>
      <c r="D756" s="11"/>
      <c r="E756" s="10"/>
      <c r="O756" s="10"/>
      <c r="V756" s="10"/>
      <c r="W756" s="6"/>
    </row>
    <row r="757" spans="1:23" x14ac:dyDescent="0.2">
      <c r="A757" s="27"/>
      <c r="B757" s="25"/>
      <c r="D757" s="11"/>
      <c r="E757" s="10"/>
      <c r="O757" s="10"/>
      <c r="V757" s="10"/>
      <c r="W757" s="6"/>
    </row>
    <row r="758" spans="1:23" x14ac:dyDescent="0.2">
      <c r="A758" s="27"/>
      <c r="B758" s="25"/>
      <c r="D758" s="11"/>
      <c r="E758" s="10"/>
      <c r="O758" s="10"/>
      <c r="V758" s="10"/>
      <c r="W758" s="6"/>
    </row>
    <row r="759" spans="1:23" x14ac:dyDescent="0.2">
      <c r="A759" s="27"/>
      <c r="B759" s="1"/>
      <c r="D759" s="11"/>
      <c r="E759" s="10"/>
      <c r="O759" s="10"/>
      <c r="V759" s="10"/>
      <c r="W759" s="6"/>
    </row>
    <row r="760" spans="1:23" x14ac:dyDescent="0.2">
      <c r="A760" s="27"/>
      <c r="B760" s="25"/>
      <c r="D760" s="11"/>
      <c r="E760" s="10"/>
      <c r="O760" s="10"/>
      <c r="V760" s="10"/>
      <c r="W760" s="6"/>
    </row>
    <row r="761" spans="1:23" x14ac:dyDescent="0.2">
      <c r="A761" s="27"/>
      <c r="B761" s="25"/>
      <c r="D761" s="11"/>
      <c r="E761" s="10"/>
      <c r="O761" s="10"/>
      <c r="V761" s="10"/>
      <c r="W761" s="6"/>
    </row>
    <row r="762" spans="1:23" x14ac:dyDescent="0.2">
      <c r="A762" s="27"/>
      <c r="B762" s="25"/>
      <c r="D762" s="11"/>
      <c r="E762" s="10"/>
      <c r="O762" s="10"/>
      <c r="V762" s="10"/>
      <c r="W762" s="6"/>
    </row>
    <row r="763" spans="1:23" x14ac:dyDescent="0.2">
      <c r="A763" s="27"/>
      <c r="B763" s="25"/>
      <c r="D763" s="11"/>
      <c r="E763" s="10"/>
      <c r="O763" s="10"/>
      <c r="V763" s="10"/>
      <c r="W763" s="6"/>
    </row>
    <row r="764" spans="1:23" x14ac:dyDescent="0.2">
      <c r="A764" s="27"/>
      <c r="B764" s="25"/>
      <c r="D764" s="11"/>
      <c r="E764" s="10"/>
      <c r="O764" s="10"/>
      <c r="V764" s="10"/>
      <c r="W764" s="6"/>
    </row>
    <row r="765" spans="1:23" x14ac:dyDescent="0.2">
      <c r="A765" s="27"/>
      <c r="B765" s="25"/>
      <c r="D765" s="11"/>
      <c r="E765" s="10"/>
      <c r="O765" s="10"/>
      <c r="V765" s="10"/>
      <c r="W765" s="6"/>
    </row>
    <row r="766" spans="1:23" x14ac:dyDescent="0.2">
      <c r="A766" s="27"/>
      <c r="B766" s="1"/>
      <c r="D766" s="11"/>
      <c r="E766" s="10"/>
      <c r="O766" s="10"/>
      <c r="V766" s="10"/>
      <c r="W766" s="6"/>
    </row>
    <row r="767" spans="1:23" x14ac:dyDescent="0.2">
      <c r="A767" s="27"/>
      <c r="B767" s="25"/>
      <c r="D767" s="11"/>
      <c r="E767" s="10"/>
      <c r="O767" s="10"/>
      <c r="V767" s="10"/>
      <c r="W767" s="6"/>
    </row>
    <row r="768" spans="1:23" x14ac:dyDescent="0.2">
      <c r="A768" s="27"/>
      <c r="B768" s="25"/>
      <c r="D768" s="11"/>
      <c r="E768" s="10"/>
      <c r="O768" s="10"/>
      <c r="V768" s="10"/>
      <c r="W768" s="6"/>
    </row>
    <row r="769" spans="1:23" x14ac:dyDescent="0.2">
      <c r="A769" s="27"/>
      <c r="B769" s="25"/>
      <c r="D769" s="11"/>
      <c r="E769" s="10"/>
      <c r="O769" s="10"/>
      <c r="V769" s="10"/>
      <c r="W769" s="6"/>
    </row>
    <row r="770" spans="1:23" x14ac:dyDescent="0.2">
      <c r="A770" s="27"/>
      <c r="B770" s="1"/>
      <c r="D770" s="11"/>
      <c r="E770" s="10"/>
      <c r="O770" s="10"/>
      <c r="V770" s="10"/>
      <c r="W770" s="6"/>
    </row>
    <row r="771" spans="1:23" x14ac:dyDescent="0.2">
      <c r="A771" s="27"/>
      <c r="B771" s="25"/>
      <c r="D771" s="11"/>
      <c r="E771" s="10"/>
      <c r="O771" s="10"/>
      <c r="V771" s="10"/>
      <c r="W771" s="6"/>
    </row>
    <row r="772" spans="1:23" x14ac:dyDescent="0.2">
      <c r="A772" s="27"/>
      <c r="B772" s="25"/>
      <c r="D772" s="11"/>
      <c r="E772" s="10"/>
      <c r="O772" s="10"/>
      <c r="V772" s="10"/>
      <c r="W772" s="6"/>
    </row>
    <row r="773" spans="1:23" x14ac:dyDescent="0.2">
      <c r="A773" s="27"/>
      <c r="B773" s="25"/>
      <c r="D773" s="11"/>
      <c r="E773" s="10"/>
      <c r="O773" s="10"/>
      <c r="V773" s="10"/>
      <c r="W773" s="6"/>
    </row>
    <row r="774" spans="1:23" x14ac:dyDescent="0.2">
      <c r="A774" s="27"/>
      <c r="B774" s="25"/>
      <c r="D774" s="11"/>
      <c r="E774" s="10"/>
      <c r="O774" s="10"/>
      <c r="V774" s="10"/>
      <c r="W774" s="6"/>
    </row>
    <row r="775" spans="1:23" x14ac:dyDescent="0.2">
      <c r="A775" s="27"/>
      <c r="B775" s="25"/>
      <c r="D775" s="11"/>
      <c r="E775" s="10"/>
      <c r="O775" s="10"/>
      <c r="V775" s="10"/>
      <c r="W775" s="6"/>
    </row>
    <row r="776" spans="1:23" x14ac:dyDescent="0.2">
      <c r="A776" s="27"/>
      <c r="B776" s="25"/>
      <c r="D776" s="11"/>
      <c r="E776" s="10"/>
      <c r="O776" s="10"/>
      <c r="V776" s="10"/>
      <c r="W776" s="6"/>
    </row>
    <row r="777" spans="1:23" x14ac:dyDescent="0.2">
      <c r="A777" s="27"/>
      <c r="B777" s="25"/>
      <c r="D777" s="11"/>
      <c r="E777" s="10"/>
      <c r="O777" s="10"/>
      <c r="V777" s="10"/>
      <c r="W777" s="6"/>
    </row>
    <row r="778" spans="1:23" x14ac:dyDescent="0.2">
      <c r="A778" s="27"/>
      <c r="B778" s="25"/>
      <c r="D778" s="11"/>
      <c r="E778" s="10"/>
      <c r="O778" s="10"/>
      <c r="V778" s="10"/>
      <c r="W778" s="6"/>
    </row>
    <row r="779" spans="1:23" x14ac:dyDescent="0.2">
      <c r="A779" s="27"/>
      <c r="B779" s="25"/>
      <c r="D779" s="11"/>
      <c r="E779" s="10"/>
      <c r="O779" s="10"/>
      <c r="V779" s="10"/>
      <c r="W779" s="6"/>
    </row>
    <row r="780" spans="1:23" x14ac:dyDescent="0.2">
      <c r="A780" s="27"/>
      <c r="B780" s="25"/>
      <c r="D780" s="11"/>
      <c r="E780" s="10"/>
      <c r="O780" s="10"/>
      <c r="V780" s="10"/>
      <c r="W780" s="6"/>
    </row>
    <row r="781" spans="1:23" x14ac:dyDescent="0.2">
      <c r="A781" s="27"/>
      <c r="B781" s="25"/>
      <c r="D781" s="11"/>
      <c r="E781" s="10"/>
      <c r="O781" s="10"/>
      <c r="V781" s="10"/>
      <c r="W781" s="6"/>
    </row>
    <row r="782" spans="1:23" x14ac:dyDescent="0.2">
      <c r="A782" s="27"/>
      <c r="B782" s="25"/>
      <c r="D782" s="11"/>
      <c r="E782" s="10"/>
      <c r="O782" s="10"/>
      <c r="V782" s="10"/>
      <c r="W782" s="6"/>
    </row>
    <row r="783" spans="1:23" x14ac:dyDescent="0.2">
      <c r="A783" s="27"/>
      <c r="B783" s="25"/>
      <c r="D783" s="11"/>
      <c r="E783" s="10"/>
      <c r="O783" s="10"/>
      <c r="V783" s="10"/>
      <c r="W783" s="6"/>
    </row>
    <row r="784" spans="1:23" x14ac:dyDescent="0.2">
      <c r="A784" s="27"/>
      <c r="B784" s="25"/>
      <c r="D784" s="11"/>
      <c r="E784" s="10"/>
      <c r="O784" s="10"/>
      <c r="V784" s="10"/>
      <c r="W784" s="6"/>
    </row>
    <row r="785" spans="1:23" x14ac:dyDescent="0.2">
      <c r="A785" s="27"/>
      <c r="B785" s="25"/>
      <c r="D785" s="11"/>
      <c r="E785" s="10"/>
      <c r="O785" s="10"/>
      <c r="V785" s="10"/>
      <c r="W785" s="6"/>
    </row>
    <row r="786" spans="1:23" x14ac:dyDescent="0.2">
      <c r="A786" s="27"/>
      <c r="B786" s="25"/>
      <c r="D786" s="11"/>
      <c r="E786" s="10"/>
      <c r="O786" s="10"/>
      <c r="V786" s="10"/>
      <c r="W786" s="6"/>
    </row>
    <row r="787" spans="1:23" x14ac:dyDescent="0.2">
      <c r="A787" s="27"/>
      <c r="B787" s="1"/>
      <c r="D787" s="11"/>
      <c r="E787" s="10"/>
      <c r="O787" s="10"/>
      <c r="V787" s="10"/>
      <c r="W787" s="6"/>
    </row>
    <row r="788" spans="1:23" x14ac:dyDescent="0.2">
      <c r="A788" s="27"/>
      <c r="B788" s="25"/>
      <c r="D788" s="11"/>
      <c r="E788" s="10"/>
      <c r="O788" s="10"/>
      <c r="V788" s="10"/>
      <c r="W788" s="6"/>
    </row>
    <row r="789" spans="1:23" x14ac:dyDescent="0.2">
      <c r="A789" s="27"/>
      <c r="B789" s="25"/>
      <c r="D789" s="11"/>
      <c r="E789" s="10"/>
      <c r="O789" s="10"/>
      <c r="V789" s="10"/>
      <c r="W789" s="6"/>
    </row>
    <row r="790" spans="1:23" x14ac:dyDescent="0.2">
      <c r="A790" s="27"/>
      <c r="B790" s="25"/>
      <c r="D790" s="11"/>
      <c r="E790" s="10"/>
      <c r="O790" s="10"/>
      <c r="V790" s="10"/>
      <c r="W790" s="6"/>
    </row>
    <row r="791" spans="1:23" x14ac:dyDescent="0.2">
      <c r="A791" s="27"/>
      <c r="B791" s="25"/>
      <c r="D791" s="11"/>
      <c r="E791" s="10"/>
      <c r="O791" s="10"/>
      <c r="V791" s="10"/>
      <c r="W791" s="6"/>
    </row>
    <row r="792" spans="1:23" x14ac:dyDescent="0.2">
      <c r="A792" s="27"/>
      <c r="B792" s="25"/>
      <c r="D792" s="11"/>
      <c r="E792" s="10"/>
      <c r="O792" s="10"/>
      <c r="V792" s="10"/>
      <c r="W792" s="6"/>
    </row>
    <row r="793" spans="1:23" x14ac:dyDescent="0.2">
      <c r="A793" s="27"/>
      <c r="B793" s="1"/>
      <c r="D793" s="11"/>
      <c r="E793" s="10"/>
      <c r="O793" s="10"/>
      <c r="V793" s="10"/>
      <c r="W793" s="6"/>
    </row>
    <row r="794" spans="1:23" x14ac:dyDescent="0.2">
      <c r="A794" s="27"/>
      <c r="B794" s="25"/>
      <c r="D794" s="11"/>
      <c r="E794" s="10"/>
      <c r="O794" s="10"/>
      <c r="V794" s="10"/>
      <c r="W794" s="6"/>
    </row>
    <row r="795" spans="1:23" x14ac:dyDescent="0.2">
      <c r="A795" s="27"/>
      <c r="B795" s="25"/>
      <c r="D795" s="11"/>
      <c r="E795" s="10"/>
      <c r="O795" s="10"/>
      <c r="V795" s="10"/>
      <c r="W795" s="6"/>
    </row>
    <row r="796" spans="1:23" x14ac:dyDescent="0.2">
      <c r="A796" s="27"/>
      <c r="B796" s="25"/>
      <c r="D796" s="11"/>
      <c r="E796" s="10"/>
      <c r="O796" s="10"/>
      <c r="V796" s="10"/>
      <c r="W796" s="6"/>
    </row>
    <row r="797" spans="1:23" x14ac:dyDescent="0.2">
      <c r="A797" s="27"/>
      <c r="B797" s="25"/>
      <c r="D797" s="11"/>
      <c r="E797" s="10"/>
      <c r="O797" s="10"/>
      <c r="V797" s="10"/>
      <c r="W797" s="6"/>
    </row>
    <row r="798" spans="1:23" x14ac:dyDescent="0.2">
      <c r="A798" s="27"/>
      <c r="B798" s="1"/>
      <c r="D798" s="11"/>
      <c r="E798" s="10"/>
      <c r="O798" s="10"/>
      <c r="V798" s="10"/>
      <c r="W798" s="6"/>
    </row>
    <row r="799" spans="1:23" x14ac:dyDescent="0.2">
      <c r="A799" s="27"/>
      <c r="B799" s="25"/>
      <c r="D799" s="11"/>
      <c r="E799" s="10"/>
      <c r="O799" s="10"/>
      <c r="V799" s="10"/>
      <c r="W799" s="6"/>
    </row>
    <row r="800" spans="1:23" x14ac:dyDescent="0.2">
      <c r="A800" s="27"/>
      <c r="B800" s="25"/>
      <c r="D800" s="11"/>
      <c r="E800" s="10"/>
      <c r="O800" s="10"/>
      <c r="V800" s="10"/>
      <c r="W800" s="6"/>
    </row>
    <row r="801" spans="1:23" x14ac:dyDescent="0.2">
      <c r="A801" s="27"/>
      <c r="B801" s="1"/>
      <c r="D801" s="11"/>
      <c r="E801" s="10"/>
      <c r="O801" s="10"/>
      <c r="V801" s="10"/>
      <c r="W801" s="6"/>
    </row>
    <row r="802" spans="1:23" x14ac:dyDescent="0.2">
      <c r="A802" s="27"/>
      <c r="B802" s="25"/>
      <c r="D802" s="11"/>
      <c r="E802" s="10"/>
      <c r="O802" s="10"/>
      <c r="V802" s="10"/>
      <c r="W802" s="6"/>
    </row>
    <row r="803" spans="1:23" x14ac:dyDescent="0.2">
      <c r="A803" s="27"/>
      <c r="B803" s="25"/>
      <c r="D803" s="11"/>
      <c r="E803" s="10"/>
      <c r="O803" s="10"/>
      <c r="V803" s="10"/>
      <c r="W803" s="6"/>
    </row>
    <row r="804" spans="1:23" x14ac:dyDescent="0.2">
      <c r="A804" s="27"/>
      <c r="B804" s="25"/>
      <c r="D804" s="11"/>
      <c r="E804" s="10"/>
      <c r="O804" s="10"/>
      <c r="V804" s="10"/>
      <c r="W804" s="6"/>
    </row>
    <row r="805" spans="1:23" x14ac:dyDescent="0.2">
      <c r="A805" s="27"/>
      <c r="B805" s="25"/>
      <c r="D805" s="11"/>
      <c r="E805" s="10"/>
      <c r="O805" s="10"/>
      <c r="V805" s="10"/>
      <c r="W805" s="6"/>
    </row>
    <row r="806" spans="1:23" x14ac:dyDescent="0.2">
      <c r="A806" s="27"/>
      <c r="B806" s="25"/>
      <c r="D806" s="11"/>
      <c r="E806" s="10"/>
      <c r="O806" s="10"/>
      <c r="V806" s="10"/>
      <c r="W806" s="6"/>
    </row>
    <row r="807" spans="1:23" x14ac:dyDescent="0.2">
      <c r="A807" s="27"/>
      <c r="B807" s="25"/>
      <c r="D807" s="11"/>
      <c r="E807" s="10"/>
      <c r="O807" s="10"/>
      <c r="V807" s="10"/>
      <c r="W807" s="6"/>
    </row>
    <row r="808" spans="1:23" x14ac:dyDescent="0.2">
      <c r="A808" s="27"/>
      <c r="B808" s="25"/>
      <c r="D808" s="11"/>
      <c r="E808" s="10"/>
      <c r="O808" s="10"/>
      <c r="V808" s="10"/>
      <c r="W808" s="6"/>
    </row>
    <row r="809" spans="1:23" x14ac:dyDescent="0.2">
      <c r="A809" s="27"/>
      <c r="B809" s="25"/>
      <c r="D809" s="11"/>
      <c r="E809" s="10"/>
      <c r="O809" s="10"/>
      <c r="V809" s="10"/>
      <c r="W809" s="6"/>
    </row>
    <row r="810" spans="1:23" x14ac:dyDescent="0.2">
      <c r="A810" s="27"/>
      <c r="B810" s="25"/>
      <c r="D810" s="11"/>
      <c r="E810" s="10"/>
      <c r="O810" s="10"/>
      <c r="V810" s="10"/>
      <c r="W810" s="6"/>
    </row>
    <row r="811" spans="1:23" x14ac:dyDescent="0.2">
      <c r="A811" s="27"/>
      <c r="B811" s="25"/>
      <c r="D811" s="11"/>
      <c r="E811" s="10"/>
      <c r="O811" s="10"/>
      <c r="V811" s="10"/>
      <c r="W811" s="6"/>
    </row>
    <row r="812" spans="1:23" x14ac:dyDescent="0.2">
      <c r="A812" s="27"/>
      <c r="B812" s="25"/>
      <c r="D812" s="11"/>
      <c r="E812" s="10"/>
      <c r="O812" s="10"/>
      <c r="V812" s="10"/>
      <c r="W812" s="6"/>
    </row>
    <row r="813" spans="1:23" x14ac:dyDescent="0.2">
      <c r="A813" s="27"/>
      <c r="B813" s="25"/>
      <c r="D813" s="11"/>
      <c r="E813" s="10"/>
      <c r="O813" s="10"/>
      <c r="V813" s="10"/>
      <c r="W813" s="6"/>
    </row>
    <row r="814" spans="1:23" x14ac:dyDescent="0.2">
      <c r="A814" s="27"/>
      <c r="B814" s="25"/>
      <c r="D814" s="11"/>
      <c r="E814" s="10"/>
      <c r="O814" s="10"/>
      <c r="V814" s="10"/>
      <c r="W814" s="6"/>
    </row>
    <row r="815" spans="1:23" x14ac:dyDescent="0.2">
      <c r="A815" s="27"/>
      <c r="B815" s="25"/>
      <c r="D815" s="11"/>
      <c r="E815" s="10"/>
      <c r="O815" s="10"/>
      <c r="V815" s="10"/>
      <c r="W815" s="6"/>
    </row>
    <row r="816" spans="1:23" x14ac:dyDescent="0.2">
      <c r="A816" s="27"/>
      <c r="B816" s="25"/>
      <c r="D816" s="11"/>
      <c r="E816" s="10"/>
      <c r="O816" s="10"/>
      <c r="V816" s="10"/>
      <c r="W816" s="6"/>
    </row>
    <row r="817" spans="1:23" x14ac:dyDescent="0.2">
      <c r="A817" s="27"/>
      <c r="B817" s="25"/>
      <c r="D817" s="11"/>
      <c r="E817" s="10"/>
      <c r="O817" s="10"/>
      <c r="V817" s="10"/>
      <c r="W817" s="6"/>
    </row>
    <row r="818" spans="1:23" x14ac:dyDescent="0.2">
      <c r="A818" s="27"/>
      <c r="B818" s="25"/>
      <c r="D818" s="11"/>
      <c r="E818" s="10"/>
      <c r="O818" s="10"/>
      <c r="V818" s="10"/>
      <c r="W818" s="6"/>
    </row>
    <row r="819" spans="1:23" x14ac:dyDescent="0.2">
      <c r="A819" s="27"/>
      <c r="B819" s="25"/>
      <c r="D819" s="11"/>
      <c r="E819" s="10"/>
      <c r="O819" s="10"/>
      <c r="V819" s="10"/>
      <c r="W819" s="6"/>
    </row>
    <row r="820" spans="1:23" x14ac:dyDescent="0.2">
      <c r="A820" s="27"/>
      <c r="B820" s="25"/>
      <c r="D820" s="11"/>
      <c r="E820" s="10"/>
      <c r="O820" s="10"/>
      <c r="V820" s="10"/>
      <c r="W820" s="6"/>
    </row>
    <row r="821" spans="1:23" x14ac:dyDescent="0.2">
      <c r="A821" s="27"/>
      <c r="B821" s="25"/>
      <c r="D821" s="11"/>
      <c r="E821" s="10"/>
      <c r="O821" s="10"/>
      <c r="V821" s="10"/>
      <c r="W821" s="6"/>
    </row>
    <row r="822" spans="1:23" x14ac:dyDescent="0.2">
      <c r="A822" s="27"/>
      <c r="B822" s="25"/>
      <c r="D822" s="11"/>
      <c r="E822" s="10"/>
      <c r="O822" s="10"/>
      <c r="V822" s="10"/>
      <c r="W822" s="6"/>
    </row>
    <row r="823" spans="1:23" x14ac:dyDescent="0.2">
      <c r="A823" s="27"/>
      <c r="B823" s="25"/>
      <c r="D823" s="11"/>
      <c r="E823" s="10"/>
      <c r="O823" s="10"/>
      <c r="V823" s="10"/>
      <c r="W823" s="6"/>
    </row>
    <row r="824" spans="1:23" x14ac:dyDescent="0.2">
      <c r="A824" s="27"/>
      <c r="B824" s="25"/>
      <c r="D824" s="11"/>
      <c r="E824" s="10"/>
      <c r="O824" s="10"/>
      <c r="V824" s="10"/>
      <c r="W824" s="6"/>
    </row>
    <row r="825" spans="1:23" x14ac:dyDescent="0.2">
      <c r="A825" s="27"/>
      <c r="B825" s="25"/>
      <c r="D825" s="11"/>
      <c r="E825" s="10"/>
      <c r="O825" s="10"/>
      <c r="V825" s="10"/>
      <c r="W825" s="6"/>
    </row>
    <row r="826" spans="1:23" x14ac:dyDescent="0.2">
      <c r="A826" s="27"/>
      <c r="B826" s="25"/>
      <c r="D826" s="11"/>
      <c r="E826" s="10"/>
      <c r="O826" s="10"/>
      <c r="V826" s="10"/>
      <c r="W826" s="6"/>
    </row>
    <row r="827" spans="1:23" x14ac:dyDescent="0.2">
      <c r="A827" s="27"/>
      <c r="B827" s="25"/>
      <c r="D827" s="11"/>
      <c r="E827" s="10"/>
      <c r="O827" s="10"/>
      <c r="V827" s="10"/>
      <c r="W827" s="6"/>
    </row>
    <row r="828" spans="1:23" x14ac:dyDescent="0.2">
      <c r="A828" s="27"/>
      <c r="B828" s="25"/>
      <c r="D828" s="11"/>
      <c r="E828" s="10"/>
      <c r="O828" s="10"/>
      <c r="V828" s="10"/>
      <c r="W828" s="6"/>
    </row>
    <row r="829" spans="1:23" x14ac:dyDescent="0.2">
      <c r="A829" s="27"/>
      <c r="B829" s="25"/>
      <c r="D829" s="11"/>
      <c r="E829" s="10"/>
      <c r="O829" s="10"/>
      <c r="V829" s="10"/>
      <c r="W829" s="6"/>
    </row>
    <row r="830" spans="1:23" x14ac:dyDescent="0.2">
      <c r="A830" s="27"/>
      <c r="B830" s="25"/>
      <c r="D830" s="11"/>
      <c r="E830" s="10"/>
      <c r="O830" s="10"/>
      <c r="V830" s="10"/>
      <c r="W830" s="6"/>
    </row>
    <row r="831" spans="1:23" x14ac:dyDescent="0.2">
      <c r="A831" s="27"/>
      <c r="B831" s="1"/>
      <c r="D831" s="11"/>
      <c r="E831" s="10"/>
      <c r="O831" s="10"/>
      <c r="V831" s="10"/>
      <c r="W831" s="6"/>
    </row>
    <row r="832" spans="1:23" x14ac:dyDescent="0.2">
      <c r="A832" s="27"/>
      <c r="B832" s="25"/>
      <c r="D832" s="11"/>
      <c r="E832" s="10"/>
      <c r="O832" s="10"/>
      <c r="V832" s="10"/>
      <c r="W832" s="6"/>
    </row>
    <row r="833" spans="1:23" x14ac:dyDescent="0.2">
      <c r="A833" s="27"/>
      <c r="B833" s="25"/>
      <c r="D833" s="11"/>
      <c r="E833" s="10"/>
      <c r="O833" s="10"/>
      <c r="V833" s="10"/>
      <c r="W833" s="6"/>
    </row>
    <row r="834" spans="1:23" x14ac:dyDescent="0.2">
      <c r="A834" s="27"/>
      <c r="B834" s="25"/>
      <c r="D834" s="11"/>
      <c r="E834" s="10"/>
      <c r="O834" s="10"/>
      <c r="V834" s="10"/>
      <c r="W834" s="6"/>
    </row>
    <row r="835" spans="1:23" x14ac:dyDescent="0.2">
      <c r="A835" s="27"/>
      <c r="B835" s="25"/>
      <c r="D835" s="11"/>
      <c r="E835" s="10"/>
      <c r="O835" s="10"/>
      <c r="V835" s="10"/>
      <c r="W835" s="6"/>
    </row>
    <row r="836" spans="1:23" x14ac:dyDescent="0.2">
      <c r="A836" s="27"/>
      <c r="B836" s="25"/>
      <c r="D836" s="11"/>
      <c r="E836" s="10"/>
      <c r="O836" s="10"/>
      <c r="V836" s="10"/>
      <c r="W836" s="6"/>
    </row>
    <row r="837" spans="1:23" x14ac:dyDescent="0.2">
      <c r="A837" s="27"/>
      <c r="B837" s="25"/>
      <c r="D837" s="11"/>
      <c r="E837" s="10"/>
      <c r="O837" s="10"/>
      <c r="V837" s="10"/>
      <c r="W837" s="6"/>
    </row>
    <row r="838" spans="1:23" x14ac:dyDescent="0.2">
      <c r="A838" s="27"/>
      <c r="B838" s="25"/>
      <c r="D838" s="11"/>
      <c r="E838" s="10"/>
      <c r="O838" s="10"/>
      <c r="V838" s="10"/>
      <c r="W838" s="6"/>
    </row>
    <row r="839" spans="1:23" x14ac:dyDescent="0.2">
      <c r="A839" s="27"/>
      <c r="B839" s="25"/>
      <c r="D839" s="11"/>
      <c r="E839" s="10"/>
      <c r="O839" s="10"/>
      <c r="V839" s="10"/>
      <c r="W839" s="6"/>
    </row>
    <row r="840" spans="1:23" x14ac:dyDescent="0.2">
      <c r="A840" s="27"/>
      <c r="B840" s="1"/>
      <c r="D840" s="11"/>
      <c r="E840" s="10"/>
      <c r="O840" s="10"/>
      <c r="V840" s="10"/>
      <c r="W840" s="6"/>
    </row>
    <row r="841" spans="1:23" x14ac:dyDescent="0.2">
      <c r="A841" s="27"/>
      <c r="B841" s="1"/>
      <c r="D841" s="11"/>
      <c r="E841" s="10"/>
      <c r="O841" s="10"/>
      <c r="V841" s="10"/>
      <c r="W841" s="6"/>
    </row>
    <row r="842" spans="1:23" x14ac:dyDescent="0.2">
      <c r="A842" s="27"/>
      <c r="B842" s="25"/>
      <c r="D842" s="11"/>
      <c r="E842" s="10"/>
      <c r="O842" s="10"/>
      <c r="V842" s="10"/>
      <c r="W842" s="6"/>
    </row>
    <row r="843" spans="1:23" x14ac:dyDescent="0.2">
      <c r="A843" s="27"/>
      <c r="B843" s="25"/>
      <c r="D843" s="11"/>
      <c r="E843" s="10"/>
      <c r="O843" s="10"/>
      <c r="V843" s="10"/>
      <c r="W843" s="6"/>
    </row>
    <row r="844" spans="1:23" x14ac:dyDescent="0.2">
      <c r="A844" s="27"/>
      <c r="B844" s="25"/>
      <c r="D844" s="11"/>
      <c r="E844" s="10"/>
      <c r="O844" s="10"/>
      <c r="V844" s="10"/>
      <c r="W844" s="6"/>
    </row>
    <row r="845" spans="1:23" x14ac:dyDescent="0.2">
      <c r="A845" s="27"/>
      <c r="B845" s="25"/>
      <c r="D845" s="11"/>
      <c r="E845" s="10"/>
      <c r="O845" s="10"/>
      <c r="V845" s="10"/>
      <c r="W845" s="6"/>
    </row>
    <row r="846" spans="1:23" x14ac:dyDescent="0.2">
      <c r="A846" s="27"/>
      <c r="B846" s="25"/>
      <c r="D846" s="11"/>
      <c r="E846" s="10"/>
      <c r="O846" s="10"/>
      <c r="V846" s="10"/>
      <c r="W846" s="6"/>
    </row>
    <row r="847" spans="1:23" x14ac:dyDescent="0.2">
      <c r="A847" s="27"/>
      <c r="B847" s="25"/>
      <c r="D847" s="11"/>
      <c r="E847" s="10"/>
      <c r="O847" s="10"/>
      <c r="V847" s="10"/>
      <c r="W847" s="6"/>
    </row>
    <row r="848" spans="1:23" x14ac:dyDescent="0.2">
      <c r="A848" s="27"/>
      <c r="B848" s="25"/>
      <c r="D848" s="11"/>
      <c r="E848" s="10"/>
      <c r="O848" s="10"/>
      <c r="V848" s="10"/>
      <c r="W848" s="6"/>
    </row>
    <row r="849" spans="1:23" x14ac:dyDescent="0.2">
      <c r="A849" s="27"/>
      <c r="B849" s="1"/>
      <c r="D849" s="11"/>
      <c r="E849" s="10"/>
      <c r="O849" s="10"/>
      <c r="V849" s="10"/>
      <c r="W849" s="6"/>
    </row>
    <row r="850" spans="1:23" x14ac:dyDescent="0.2">
      <c r="A850" s="27"/>
      <c r="B850" s="25"/>
      <c r="D850" s="11"/>
      <c r="E850" s="10"/>
      <c r="O850" s="10"/>
      <c r="V850" s="10"/>
      <c r="W850" s="6"/>
    </row>
    <row r="851" spans="1:23" x14ac:dyDescent="0.2">
      <c r="A851" s="27"/>
      <c r="B851" s="25"/>
      <c r="D851" s="11"/>
      <c r="E851" s="10"/>
      <c r="O851" s="10"/>
      <c r="V851" s="10"/>
      <c r="W851" s="6"/>
    </row>
    <row r="852" spans="1:23" x14ac:dyDescent="0.2">
      <c r="A852" s="27"/>
      <c r="B852" s="25"/>
      <c r="D852" s="11"/>
      <c r="E852" s="10"/>
      <c r="O852" s="10"/>
      <c r="V852" s="10"/>
      <c r="W852" s="6"/>
    </row>
    <row r="853" spans="1:23" x14ac:dyDescent="0.2">
      <c r="A853" s="27"/>
      <c r="B853" s="25"/>
      <c r="D853" s="11"/>
      <c r="E853" s="10"/>
      <c r="O853" s="10"/>
      <c r="V853" s="10"/>
      <c r="W853" s="6"/>
    </row>
    <row r="854" spans="1:23" x14ac:dyDescent="0.2">
      <c r="A854" s="27"/>
      <c r="B854" s="25"/>
      <c r="D854" s="11"/>
      <c r="E854" s="10"/>
      <c r="O854" s="10"/>
      <c r="V854" s="10"/>
      <c r="W854" s="6"/>
    </row>
    <row r="855" spans="1:23" x14ac:dyDescent="0.2">
      <c r="A855" s="27"/>
      <c r="B855" s="25"/>
      <c r="D855" s="11"/>
      <c r="E855" s="10"/>
      <c r="O855" s="10"/>
      <c r="V855" s="10"/>
      <c r="W855" s="6"/>
    </row>
    <row r="856" spans="1:23" x14ac:dyDescent="0.2">
      <c r="A856" s="27"/>
      <c r="B856" s="25"/>
      <c r="D856" s="11"/>
      <c r="E856" s="10"/>
      <c r="O856" s="10"/>
      <c r="V856" s="10"/>
      <c r="W856" s="6"/>
    </row>
    <row r="857" spans="1:23" x14ac:dyDescent="0.2">
      <c r="A857" s="27"/>
      <c r="B857" s="25"/>
      <c r="D857" s="11"/>
      <c r="E857" s="10"/>
      <c r="O857" s="10"/>
      <c r="V857" s="10"/>
      <c r="W857" s="6"/>
    </row>
    <row r="858" spans="1:23" x14ac:dyDescent="0.2">
      <c r="A858" s="27"/>
      <c r="B858" s="25"/>
      <c r="D858" s="11"/>
      <c r="E858" s="10"/>
      <c r="O858" s="10"/>
      <c r="V858" s="10"/>
      <c r="W858" s="6"/>
    </row>
    <row r="859" spans="1:23" x14ac:dyDescent="0.2">
      <c r="A859" s="27"/>
      <c r="B859" s="25"/>
      <c r="D859" s="11"/>
      <c r="E859" s="10"/>
      <c r="O859" s="10"/>
      <c r="V859" s="10"/>
      <c r="W859" s="6"/>
    </row>
    <row r="860" spans="1:23" x14ac:dyDescent="0.2">
      <c r="A860" s="27"/>
      <c r="B860" s="25"/>
      <c r="D860" s="11"/>
      <c r="E860" s="10"/>
      <c r="O860" s="10"/>
      <c r="V860" s="10"/>
      <c r="W860" s="6"/>
    </row>
    <row r="861" spans="1:23" x14ac:dyDescent="0.2">
      <c r="A861" s="27"/>
      <c r="B861" s="1"/>
      <c r="D861" s="11"/>
      <c r="E861" s="10"/>
      <c r="O861" s="10"/>
      <c r="V861" s="10"/>
      <c r="W861" s="6"/>
    </row>
    <row r="862" spans="1:23" x14ac:dyDescent="0.2">
      <c r="A862" s="27"/>
      <c r="B862" s="25"/>
      <c r="D862" s="11"/>
      <c r="E862" s="10"/>
      <c r="O862" s="10"/>
      <c r="V862" s="10"/>
      <c r="W862" s="6"/>
    </row>
    <row r="863" spans="1:23" x14ac:dyDescent="0.2">
      <c r="A863" s="27"/>
      <c r="B863" s="25"/>
      <c r="D863" s="11"/>
      <c r="E863" s="10"/>
      <c r="O863" s="10"/>
      <c r="V863" s="10"/>
      <c r="W863" s="6"/>
    </row>
    <row r="864" spans="1:23" x14ac:dyDescent="0.2">
      <c r="A864" s="27"/>
      <c r="B864" s="1"/>
      <c r="D864" s="11"/>
      <c r="E864" s="10"/>
      <c r="O864" s="10"/>
      <c r="V864" s="10"/>
      <c r="W864" s="6"/>
    </row>
    <row r="865" spans="1:23" x14ac:dyDescent="0.2">
      <c r="A865" s="27"/>
      <c r="B865" s="25"/>
      <c r="D865" s="11"/>
      <c r="E865" s="10"/>
      <c r="O865" s="10"/>
      <c r="V865" s="10"/>
      <c r="W865" s="6"/>
    </row>
    <row r="866" spans="1:23" x14ac:dyDescent="0.2">
      <c r="A866" s="27"/>
      <c r="B866" s="25"/>
      <c r="D866" s="11"/>
      <c r="E866" s="10"/>
      <c r="O866" s="10"/>
      <c r="V866" s="10"/>
      <c r="W866" s="6"/>
    </row>
    <row r="867" spans="1:23" x14ac:dyDescent="0.2">
      <c r="A867" s="27"/>
      <c r="B867" s="25"/>
      <c r="D867" s="11"/>
      <c r="E867" s="10"/>
      <c r="O867" s="10"/>
      <c r="V867" s="10"/>
      <c r="W867" s="6"/>
    </row>
    <row r="868" spans="1:23" x14ac:dyDescent="0.2">
      <c r="A868" s="27"/>
      <c r="B868" s="25"/>
      <c r="D868" s="11"/>
      <c r="E868" s="10"/>
      <c r="O868" s="10"/>
      <c r="V868" s="10"/>
      <c r="W868" s="6"/>
    </row>
    <row r="869" spans="1:23" x14ac:dyDescent="0.2">
      <c r="A869" s="27"/>
      <c r="B869" s="25"/>
      <c r="D869" s="11"/>
      <c r="E869" s="10"/>
      <c r="O869" s="10"/>
      <c r="V869" s="10"/>
      <c r="W869" s="6"/>
    </row>
    <row r="870" spans="1:23" x14ac:dyDescent="0.2">
      <c r="A870" s="27"/>
      <c r="B870" s="25"/>
      <c r="D870" s="11"/>
      <c r="E870" s="10"/>
      <c r="O870" s="10"/>
      <c r="V870" s="10"/>
      <c r="W870" s="6"/>
    </row>
    <row r="871" spans="1:23" x14ac:dyDescent="0.2">
      <c r="A871" s="27"/>
      <c r="B871" s="25"/>
      <c r="D871" s="11"/>
      <c r="E871" s="10"/>
      <c r="O871" s="10"/>
      <c r="V871" s="10"/>
      <c r="W871" s="6"/>
    </row>
    <row r="872" spans="1:23" x14ac:dyDescent="0.2">
      <c r="A872" s="27"/>
      <c r="B872" s="25"/>
      <c r="D872" s="11"/>
      <c r="E872" s="10"/>
      <c r="O872" s="10"/>
      <c r="V872" s="10"/>
      <c r="W872" s="6"/>
    </row>
    <row r="873" spans="1:23" x14ac:dyDescent="0.2">
      <c r="A873" s="27"/>
      <c r="B873" s="25"/>
      <c r="D873" s="11"/>
      <c r="E873" s="10"/>
      <c r="O873" s="10"/>
      <c r="V873" s="10"/>
      <c r="W873" s="6"/>
    </row>
    <row r="874" spans="1:23" x14ac:dyDescent="0.2">
      <c r="A874" s="27"/>
      <c r="B874" s="25"/>
      <c r="D874" s="11"/>
      <c r="E874" s="10"/>
      <c r="O874" s="10"/>
      <c r="V874" s="10"/>
      <c r="W874" s="6"/>
    </row>
    <row r="875" spans="1:23" x14ac:dyDescent="0.2">
      <c r="A875" s="27"/>
      <c r="B875" s="25"/>
      <c r="D875" s="11"/>
      <c r="E875" s="10"/>
      <c r="O875" s="10"/>
      <c r="V875" s="10"/>
      <c r="W875" s="6"/>
    </row>
    <row r="876" spans="1:23" x14ac:dyDescent="0.2">
      <c r="A876" s="27"/>
      <c r="B876" s="25"/>
      <c r="D876" s="11"/>
      <c r="E876" s="10"/>
      <c r="O876" s="10"/>
      <c r="V876" s="10"/>
      <c r="W876" s="6"/>
    </row>
    <row r="877" spans="1:23" x14ac:dyDescent="0.2">
      <c r="A877" s="27"/>
      <c r="B877" s="1"/>
      <c r="D877" s="11"/>
      <c r="E877" s="10"/>
      <c r="O877" s="10"/>
      <c r="V877" s="10"/>
      <c r="W877" s="6"/>
    </row>
    <row r="878" spans="1:23" x14ac:dyDescent="0.2">
      <c r="A878" s="27"/>
      <c r="B878" s="25"/>
      <c r="D878" s="11"/>
      <c r="E878" s="10"/>
      <c r="O878" s="10"/>
      <c r="V878" s="10"/>
      <c r="W878" s="6"/>
    </row>
    <row r="879" spans="1:23" x14ac:dyDescent="0.2">
      <c r="A879" s="27"/>
      <c r="B879" s="25"/>
      <c r="D879" s="11"/>
      <c r="E879" s="10"/>
      <c r="O879" s="10"/>
      <c r="V879" s="10"/>
      <c r="W879" s="6"/>
    </row>
    <row r="880" spans="1:23" x14ac:dyDescent="0.2">
      <c r="A880" s="27"/>
      <c r="B880" s="25"/>
      <c r="D880" s="11"/>
      <c r="E880" s="10"/>
      <c r="O880" s="10"/>
      <c r="V880" s="10"/>
      <c r="W880" s="6"/>
    </row>
    <row r="881" spans="1:23" x14ac:dyDescent="0.2">
      <c r="A881" s="27"/>
      <c r="B881" s="25"/>
      <c r="D881" s="11"/>
      <c r="E881" s="10"/>
      <c r="O881" s="10"/>
      <c r="V881" s="10"/>
      <c r="W881" s="6"/>
    </row>
    <row r="882" spans="1:23" x14ac:dyDescent="0.2">
      <c r="A882" s="27"/>
      <c r="B882" s="25"/>
      <c r="D882" s="11"/>
      <c r="E882" s="10"/>
      <c r="O882" s="10"/>
      <c r="V882" s="10"/>
      <c r="W882" s="6"/>
    </row>
    <row r="883" spans="1:23" x14ac:dyDescent="0.2">
      <c r="A883" s="27"/>
      <c r="B883" s="25"/>
      <c r="D883" s="11"/>
      <c r="E883" s="10"/>
      <c r="O883" s="10"/>
      <c r="V883" s="10"/>
      <c r="W883" s="6"/>
    </row>
    <row r="884" spans="1:23" x14ac:dyDescent="0.2">
      <c r="A884" s="27"/>
      <c r="B884" s="25"/>
      <c r="D884" s="11"/>
      <c r="E884" s="10"/>
      <c r="O884" s="10"/>
      <c r="V884" s="10"/>
      <c r="W884" s="6"/>
    </row>
    <row r="885" spans="1:23" x14ac:dyDescent="0.2">
      <c r="A885" s="27"/>
      <c r="B885" s="1"/>
      <c r="D885" s="11"/>
      <c r="E885" s="10"/>
      <c r="O885" s="10"/>
      <c r="V885" s="10"/>
      <c r="W885" s="6"/>
    </row>
    <row r="886" spans="1:23" x14ac:dyDescent="0.2">
      <c r="A886" s="27"/>
      <c r="B886" s="25"/>
      <c r="D886" s="11"/>
      <c r="E886" s="10"/>
      <c r="O886" s="10"/>
      <c r="V886" s="10"/>
      <c r="W886" s="6"/>
    </row>
    <row r="887" spans="1:23" x14ac:dyDescent="0.2">
      <c r="A887" s="27"/>
      <c r="B887" s="25"/>
      <c r="D887" s="11"/>
      <c r="E887" s="10"/>
      <c r="O887" s="10"/>
      <c r="V887" s="10"/>
      <c r="W887" s="6"/>
    </row>
    <row r="888" spans="1:23" x14ac:dyDescent="0.2">
      <c r="A888" s="27"/>
      <c r="B888" s="25"/>
      <c r="D888" s="11"/>
      <c r="E888" s="10"/>
      <c r="O888" s="10"/>
      <c r="V888" s="10"/>
      <c r="W888" s="6"/>
    </row>
    <row r="889" spans="1:23" x14ac:dyDescent="0.2">
      <c r="A889" s="27"/>
      <c r="B889" s="25"/>
      <c r="D889" s="11"/>
      <c r="E889" s="10"/>
      <c r="O889" s="10"/>
      <c r="V889" s="10"/>
      <c r="W889" s="6"/>
    </row>
    <row r="890" spans="1:23" x14ac:dyDescent="0.2">
      <c r="A890" s="27"/>
      <c r="B890" s="25"/>
      <c r="D890" s="11"/>
      <c r="E890" s="10"/>
      <c r="O890" s="10"/>
      <c r="V890" s="10"/>
      <c r="W890" s="6"/>
    </row>
    <row r="891" spans="1:23" x14ac:dyDescent="0.2">
      <c r="A891" s="27"/>
      <c r="B891" s="25"/>
      <c r="D891" s="11"/>
      <c r="E891" s="10"/>
      <c r="O891" s="10"/>
      <c r="V891" s="10"/>
      <c r="W891" s="6"/>
    </row>
    <row r="892" spans="1:23" x14ac:dyDescent="0.2">
      <c r="A892" s="27"/>
      <c r="B892" s="25"/>
      <c r="D892" s="11"/>
      <c r="E892" s="10"/>
      <c r="O892" s="10"/>
      <c r="V892" s="10"/>
      <c r="W892" s="6"/>
    </row>
    <row r="893" spans="1:23" x14ac:dyDescent="0.2">
      <c r="A893" s="27"/>
      <c r="B893" s="25"/>
      <c r="D893" s="11"/>
      <c r="E893" s="10"/>
      <c r="O893" s="10"/>
      <c r="V893" s="10"/>
      <c r="W893" s="6"/>
    </row>
    <row r="894" spans="1:23" x14ac:dyDescent="0.2">
      <c r="A894" s="27"/>
      <c r="B894" s="25"/>
      <c r="D894" s="11"/>
      <c r="E894" s="10"/>
      <c r="O894" s="10"/>
      <c r="V894" s="10"/>
      <c r="W894" s="6"/>
    </row>
    <row r="895" spans="1:23" x14ac:dyDescent="0.2">
      <c r="A895" s="27"/>
      <c r="B895" s="25"/>
      <c r="D895" s="11"/>
      <c r="E895" s="10"/>
      <c r="O895" s="10"/>
      <c r="V895" s="10"/>
      <c r="W895" s="6"/>
    </row>
    <row r="896" spans="1:23" x14ac:dyDescent="0.2">
      <c r="A896" s="27"/>
      <c r="B896" s="25"/>
      <c r="D896" s="11"/>
      <c r="E896" s="10"/>
      <c r="O896" s="10"/>
      <c r="V896" s="10"/>
      <c r="W896" s="6"/>
    </row>
    <row r="897" spans="1:23" x14ac:dyDescent="0.2">
      <c r="A897" s="27"/>
      <c r="B897" s="25"/>
      <c r="D897" s="11"/>
      <c r="E897" s="10"/>
      <c r="O897" s="10"/>
      <c r="V897" s="10"/>
      <c r="W897" s="6"/>
    </row>
    <row r="898" spans="1:23" x14ac:dyDescent="0.2">
      <c r="A898" s="27"/>
      <c r="B898" s="25"/>
      <c r="D898" s="11"/>
      <c r="E898" s="10"/>
      <c r="O898" s="10"/>
      <c r="V898" s="10"/>
      <c r="W898" s="6"/>
    </row>
    <row r="899" spans="1:23" x14ac:dyDescent="0.2">
      <c r="A899" s="27"/>
      <c r="B899" s="1"/>
      <c r="D899" s="11"/>
      <c r="E899" s="10"/>
      <c r="O899" s="10"/>
      <c r="V899" s="10"/>
      <c r="W899" s="6"/>
    </row>
    <row r="900" spans="1:23" x14ac:dyDescent="0.2">
      <c r="A900" s="27"/>
      <c r="B900" s="25"/>
      <c r="D900" s="11"/>
      <c r="E900" s="10"/>
      <c r="O900" s="10"/>
      <c r="V900" s="10"/>
      <c r="W900" s="6"/>
    </row>
    <row r="901" spans="1:23" x14ac:dyDescent="0.2">
      <c r="A901" s="27"/>
      <c r="B901" s="1"/>
      <c r="D901" s="11"/>
      <c r="E901" s="10"/>
      <c r="O901" s="10"/>
      <c r="V901" s="10"/>
      <c r="W901" s="6"/>
    </row>
    <row r="902" spans="1:23" x14ac:dyDescent="0.2">
      <c r="A902" s="27"/>
      <c r="B902" s="1"/>
      <c r="D902" s="11"/>
      <c r="E902" s="10"/>
      <c r="O902" s="10"/>
      <c r="V902" s="10"/>
      <c r="W902" s="6"/>
    </row>
    <row r="903" spans="1:23" x14ac:dyDescent="0.2">
      <c r="A903" s="27"/>
      <c r="B903" s="25"/>
      <c r="D903" s="11"/>
      <c r="E903" s="10"/>
      <c r="O903" s="10"/>
      <c r="V903" s="10"/>
      <c r="W903" s="6"/>
    </row>
    <row r="904" spans="1:23" x14ac:dyDescent="0.2">
      <c r="A904" s="27"/>
      <c r="B904" s="25"/>
      <c r="D904" s="11"/>
      <c r="E904" s="10"/>
      <c r="O904" s="10"/>
      <c r="V904" s="10"/>
      <c r="W904" s="6"/>
    </row>
    <row r="905" spans="1:23" x14ac:dyDescent="0.2">
      <c r="A905" s="27"/>
      <c r="B905" s="25"/>
      <c r="D905" s="11"/>
      <c r="E905" s="10"/>
      <c r="O905" s="10"/>
      <c r="V905" s="10"/>
      <c r="W905" s="6"/>
    </row>
    <row r="906" spans="1:23" x14ac:dyDescent="0.2">
      <c r="A906" s="27"/>
      <c r="B906" s="1"/>
      <c r="D906" s="11"/>
      <c r="E906" s="10"/>
      <c r="O906" s="10"/>
      <c r="V906" s="10"/>
      <c r="W906" s="6"/>
    </row>
    <row r="907" spans="1:23" x14ac:dyDescent="0.2">
      <c r="A907" s="27"/>
      <c r="B907" s="25"/>
      <c r="D907" s="11"/>
      <c r="E907" s="10"/>
      <c r="O907" s="10"/>
      <c r="V907" s="10"/>
      <c r="W907" s="6"/>
    </row>
    <row r="908" spans="1:23" x14ac:dyDescent="0.2">
      <c r="A908" s="27"/>
      <c r="B908" s="1"/>
      <c r="D908" s="11"/>
      <c r="E908" s="10"/>
      <c r="O908" s="10"/>
      <c r="V908" s="10"/>
      <c r="W908" s="6"/>
    </row>
    <row r="909" spans="1:23" x14ac:dyDescent="0.2">
      <c r="A909" s="27"/>
      <c r="B909" s="25"/>
      <c r="D909" s="11"/>
      <c r="E909" s="10"/>
      <c r="O909" s="10"/>
      <c r="V909" s="10"/>
      <c r="W909" s="6"/>
    </row>
    <row r="910" spans="1:23" x14ac:dyDescent="0.2">
      <c r="A910" s="27"/>
      <c r="B910" s="25"/>
      <c r="D910" s="11"/>
      <c r="E910" s="10"/>
      <c r="O910" s="10"/>
      <c r="V910" s="10"/>
      <c r="W910" s="6"/>
    </row>
    <row r="911" spans="1:23" x14ac:dyDescent="0.2">
      <c r="A911" s="27"/>
      <c r="B911" s="25"/>
      <c r="D911" s="11"/>
      <c r="E911" s="10"/>
      <c r="O911" s="10"/>
      <c r="V911" s="10"/>
      <c r="W911" s="6"/>
    </row>
    <row r="912" spans="1:23" x14ac:dyDescent="0.2">
      <c r="A912" s="27"/>
      <c r="B912" s="25"/>
      <c r="D912" s="11"/>
      <c r="E912" s="10"/>
      <c r="O912" s="10"/>
      <c r="V912" s="10"/>
      <c r="W912" s="6"/>
    </row>
    <row r="913" spans="1:23" x14ac:dyDescent="0.2">
      <c r="A913" s="27"/>
      <c r="B913" s="1"/>
      <c r="D913" s="11"/>
      <c r="E913" s="10"/>
      <c r="O913" s="10"/>
      <c r="V913" s="10"/>
      <c r="W913" s="6"/>
    </row>
    <row r="914" spans="1:23" x14ac:dyDescent="0.2">
      <c r="A914" s="27"/>
      <c r="B914" s="25"/>
      <c r="D914" s="11"/>
      <c r="E914" s="10"/>
      <c r="O914" s="10"/>
      <c r="V914" s="10"/>
      <c r="W914" s="6"/>
    </row>
    <row r="915" spans="1:23" x14ac:dyDescent="0.2">
      <c r="A915" s="27"/>
      <c r="B915" s="1"/>
      <c r="D915" s="11"/>
      <c r="E915" s="10"/>
      <c r="O915" s="10"/>
      <c r="V915" s="10"/>
      <c r="W915" s="6"/>
    </row>
    <row r="916" spans="1:23" x14ac:dyDescent="0.2">
      <c r="A916" s="27"/>
      <c r="B916" s="25"/>
      <c r="D916" s="11"/>
      <c r="E916" s="10"/>
      <c r="O916" s="10"/>
      <c r="V916" s="10"/>
      <c r="W916" s="6"/>
    </row>
    <row r="917" spans="1:23" x14ac:dyDescent="0.2">
      <c r="A917" s="27"/>
      <c r="B917" s="25"/>
      <c r="D917" s="11"/>
      <c r="E917" s="10"/>
      <c r="O917" s="10"/>
      <c r="V917" s="10"/>
      <c r="W917" s="6"/>
    </row>
    <row r="918" spans="1:23" x14ac:dyDescent="0.2">
      <c r="A918" s="27"/>
      <c r="B918" s="25"/>
      <c r="D918" s="11"/>
      <c r="E918" s="10"/>
      <c r="O918" s="10"/>
      <c r="V918" s="10"/>
      <c r="W918" s="6"/>
    </row>
    <row r="919" spans="1:23" x14ac:dyDescent="0.2">
      <c r="A919" s="27"/>
      <c r="B919" s="25"/>
      <c r="D919" s="11"/>
      <c r="E919" s="10"/>
      <c r="O919" s="10"/>
      <c r="V919" s="10"/>
      <c r="W919" s="6"/>
    </row>
    <row r="920" spans="1:23" x14ac:dyDescent="0.2">
      <c r="A920" s="27"/>
      <c r="B920" s="25"/>
      <c r="D920" s="11"/>
      <c r="E920" s="10"/>
      <c r="O920" s="10"/>
      <c r="V920" s="10"/>
      <c r="W920" s="6"/>
    </row>
    <row r="921" spans="1:23" x14ac:dyDescent="0.2">
      <c r="A921" s="27"/>
      <c r="B921" s="25"/>
      <c r="D921" s="11"/>
      <c r="E921" s="10"/>
      <c r="O921" s="10"/>
      <c r="V921" s="10"/>
      <c r="W921" s="6"/>
    </row>
    <row r="922" spans="1:23" x14ac:dyDescent="0.2">
      <c r="A922" s="27"/>
      <c r="B922" s="25"/>
      <c r="D922" s="11"/>
      <c r="E922" s="10"/>
      <c r="O922" s="10"/>
      <c r="V922" s="10"/>
      <c r="W922" s="6"/>
    </row>
    <row r="923" spans="1:23" x14ac:dyDescent="0.2">
      <c r="A923" s="27"/>
      <c r="B923" s="25"/>
      <c r="D923" s="11"/>
      <c r="E923" s="10"/>
      <c r="O923" s="10"/>
      <c r="V923" s="10"/>
      <c r="W923" s="6"/>
    </row>
    <row r="924" spans="1:23" x14ac:dyDescent="0.2">
      <c r="A924" s="27"/>
      <c r="B924" s="25"/>
      <c r="D924" s="11"/>
      <c r="E924" s="10"/>
      <c r="O924" s="10"/>
      <c r="V924" s="10"/>
      <c r="W924" s="6"/>
    </row>
    <row r="925" spans="1:23" x14ac:dyDescent="0.2">
      <c r="A925" s="27"/>
      <c r="B925" s="25"/>
      <c r="D925" s="11"/>
      <c r="E925" s="10"/>
      <c r="O925" s="10"/>
      <c r="V925" s="10"/>
      <c r="W925" s="6"/>
    </row>
    <row r="926" spans="1:23" x14ac:dyDescent="0.2">
      <c r="A926" s="27"/>
      <c r="B926" s="25"/>
      <c r="D926" s="11"/>
      <c r="E926" s="10"/>
      <c r="O926" s="10"/>
      <c r="V926" s="10"/>
      <c r="W926" s="6"/>
    </row>
    <row r="927" spans="1:23" x14ac:dyDescent="0.2">
      <c r="A927" s="27"/>
      <c r="B927" s="25"/>
      <c r="D927" s="11"/>
      <c r="E927" s="10"/>
      <c r="O927" s="10"/>
      <c r="V927" s="10"/>
      <c r="W927" s="6"/>
    </row>
    <row r="928" spans="1:23" x14ac:dyDescent="0.2">
      <c r="A928" s="27"/>
      <c r="B928" s="25"/>
      <c r="D928" s="11"/>
      <c r="E928" s="10"/>
      <c r="O928" s="10"/>
      <c r="V928" s="10"/>
      <c r="W928" s="6"/>
    </row>
    <row r="929" spans="1:23" x14ac:dyDescent="0.2">
      <c r="A929" s="27"/>
      <c r="B929" s="25"/>
      <c r="D929" s="11"/>
      <c r="E929" s="10"/>
      <c r="O929" s="10"/>
      <c r="V929" s="10"/>
      <c r="W929" s="6"/>
    </row>
    <row r="930" spans="1:23" x14ac:dyDescent="0.2">
      <c r="A930" s="27"/>
      <c r="B930" s="25"/>
      <c r="D930" s="11"/>
      <c r="E930" s="10"/>
      <c r="O930" s="10"/>
      <c r="V930" s="10"/>
      <c r="W930" s="6"/>
    </row>
    <row r="931" spans="1:23" x14ac:dyDescent="0.2">
      <c r="A931" s="27"/>
      <c r="B931" s="25"/>
      <c r="D931" s="11"/>
      <c r="E931" s="10"/>
      <c r="O931" s="10"/>
      <c r="V931" s="10"/>
      <c r="W931" s="6"/>
    </row>
    <row r="932" spans="1:23" x14ac:dyDescent="0.2">
      <c r="A932" s="27"/>
      <c r="B932" s="25"/>
      <c r="D932" s="11"/>
      <c r="E932" s="10"/>
      <c r="O932" s="10"/>
      <c r="V932" s="10"/>
      <c r="W932" s="6"/>
    </row>
    <row r="933" spans="1:23" x14ac:dyDescent="0.2">
      <c r="A933" s="27"/>
      <c r="B933" s="25"/>
      <c r="D933" s="11"/>
      <c r="E933" s="10"/>
      <c r="O933" s="10"/>
      <c r="V933" s="10"/>
      <c r="W933" s="6"/>
    </row>
    <row r="934" spans="1:23" x14ac:dyDescent="0.2">
      <c r="A934" s="27"/>
      <c r="B934" s="25"/>
      <c r="D934" s="11"/>
      <c r="E934" s="10"/>
      <c r="O934" s="10"/>
      <c r="V934" s="10"/>
      <c r="W934" s="6"/>
    </row>
    <row r="935" spans="1:23" x14ac:dyDescent="0.2">
      <c r="A935" s="27"/>
      <c r="B935" s="1"/>
      <c r="D935" s="11"/>
      <c r="E935" s="10"/>
      <c r="O935" s="10"/>
      <c r="V935" s="10"/>
      <c r="W935" s="6"/>
    </row>
    <row r="936" spans="1:23" x14ac:dyDescent="0.2">
      <c r="A936" s="27"/>
      <c r="B936" s="1"/>
      <c r="D936" s="11"/>
      <c r="E936" s="10"/>
      <c r="O936" s="10"/>
      <c r="V936" s="10"/>
      <c r="W936" s="6"/>
    </row>
    <row r="937" spans="1:23" x14ac:dyDescent="0.2">
      <c r="A937" s="27"/>
      <c r="B937" s="25"/>
      <c r="D937" s="11"/>
      <c r="E937" s="10"/>
      <c r="O937" s="10"/>
      <c r="V937" s="10"/>
      <c r="W937" s="6"/>
    </row>
    <row r="938" spans="1:23" x14ac:dyDescent="0.2">
      <c r="A938" s="27"/>
      <c r="B938" s="25"/>
      <c r="D938" s="11"/>
      <c r="E938" s="10"/>
      <c r="O938" s="10"/>
      <c r="V938" s="10"/>
      <c r="W938" s="6"/>
    </row>
    <row r="939" spans="1:23" x14ac:dyDescent="0.2">
      <c r="A939" s="27"/>
      <c r="B939" s="25"/>
      <c r="D939" s="11"/>
      <c r="E939" s="10"/>
      <c r="O939" s="10"/>
      <c r="V939" s="10"/>
      <c r="W939" s="6"/>
    </row>
    <row r="940" spans="1:23" x14ac:dyDescent="0.2">
      <c r="A940" s="27"/>
      <c r="B940" s="25"/>
      <c r="D940" s="11"/>
      <c r="E940" s="10"/>
      <c r="O940" s="10"/>
      <c r="V940" s="10"/>
      <c r="W940" s="6"/>
    </row>
    <row r="941" spans="1:23" x14ac:dyDescent="0.2">
      <c r="A941" s="27"/>
      <c r="B941" s="1"/>
      <c r="D941" s="11"/>
      <c r="E941" s="10"/>
      <c r="O941" s="10"/>
      <c r="V941" s="10"/>
      <c r="W941" s="6"/>
    </row>
    <row r="942" spans="1:23" x14ac:dyDescent="0.2">
      <c r="A942" s="27"/>
      <c r="B942" s="25"/>
      <c r="D942" s="11"/>
      <c r="E942" s="10"/>
      <c r="O942" s="10"/>
      <c r="V942" s="10"/>
      <c r="W942" s="6"/>
    </row>
    <row r="943" spans="1:23" x14ac:dyDescent="0.2">
      <c r="A943" s="27"/>
      <c r="B943" s="25"/>
      <c r="D943" s="11"/>
      <c r="E943" s="10"/>
      <c r="O943" s="10"/>
      <c r="V943" s="10"/>
      <c r="W943" s="6"/>
    </row>
    <row r="944" spans="1:23" x14ac:dyDescent="0.2">
      <c r="A944" s="27"/>
      <c r="B944" s="25"/>
      <c r="D944" s="11"/>
      <c r="E944" s="10"/>
      <c r="O944" s="10"/>
      <c r="V944" s="10"/>
      <c r="W944" s="6"/>
    </row>
    <row r="945" spans="1:23" x14ac:dyDescent="0.2">
      <c r="A945" s="27"/>
      <c r="B945" s="25"/>
      <c r="D945" s="11"/>
      <c r="E945" s="10"/>
      <c r="O945" s="10"/>
      <c r="V945" s="10"/>
      <c r="W945" s="6"/>
    </row>
    <row r="946" spans="1:23" x14ac:dyDescent="0.2">
      <c r="A946" s="27"/>
      <c r="B946" s="1"/>
      <c r="D946" s="11"/>
      <c r="E946" s="10"/>
      <c r="O946" s="10"/>
      <c r="V946" s="10"/>
      <c r="W946" s="6"/>
    </row>
    <row r="947" spans="1:23" x14ac:dyDescent="0.2">
      <c r="A947" s="27"/>
      <c r="B947" s="25"/>
      <c r="D947" s="11"/>
      <c r="E947" s="10"/>
      <c r="O947" s="10"/>
      <c r="V947" s="10"/>
      <c r="W947" s="6"/>
    </row>
    <row r="948" spans="1:23" x14ac:dyDescent="0.2">
      <c r="A948" s="27"/>
      <c r="B948" s="25"/>
      <c r="D948" s="11"/>
      <c r="E948" s="10"/>
      <c r="O948" s="10"/>
      <c r="V948" s="10"/>
      <c r="W948" s="6"/>
    </row>
    <row r="949" spans="1:23" x14ac:dyDescent="0.2">
      <c r="A949" s="27"/>
      <c r="B949" s="25"/>
      <c r="D949" s="11"/>
      <c r="E949" s="10"/>
      <c r="O949" s="10"/>
      <c r="V949" s="10"/>
      <c r="W949" s="6"/>
    </row>
    <row r="950" spans="1:23" x14ac:dyDescent="0.2">
      <c r="A950" s="27"/>
      <c r="B950" s="25"/>
      <c r="D950" s="11"/>
      <c r="E950" s="10"/>
      <c r="O950" s="10"/>
      <c r="V950" s="10"/>
      <c r="W950" s="6"/>
    </row>
    <row r="951" spans="1:23" x14ac:dyDescent="0.2">
      <c r="A951" s="27"/>
      <c r="B951" s="25"/>
      <c r="D951" s="11"/>
      <c r="E951" s="10"/>
      <c r="O951" s="10"/>
      <c r="V951" s="10"/>
      <c r="W951" s="6"/>
    </row>
    <row r="952" spans="1:23" x14ac:dyDescent="0.2">
      <c r="A952" s="27"/>
      <c r="B952" s="25"/>
      <c r="D952" s="11"/>
      <c r="E952" s="10"/>
      <c r="O952" s="10"/>
      <c r="V952" s="10"/>
      <c r="W952" s="6"/>
    </row>
    <row r="953" spans="1:23" x14ac:dyDescent="0.2">
      <c r="A953" s="27"/>
      <c r="B953" s="25"/>
      <c r="D953" s="11"/>
      <c r="E953" s="10"/>
      <c r="O953" s="10"/>
      <c r="V953" s="10"/>
      <c r="W953" s="6"/>
    </row>
    <row r="954" spans="1:23" x14ac:dyDescent="0.2">
      <c r="A954" s="27"/>
      <c r="B954" s="25"/>
      <c r="D954" s="11"/>
      <c r="E954" s="10"/>
      <c r="O954" s="10"/>
      <c r="V954" s="10"/>
      <c r="W954" s="6"/>
    </row>
    <row r="955" spans="1:23" x14ac:dyDescent="0.2">
      <c r="A955" s="27"/>
      <c r="B955" s="25"/>
      <c r="D955" s="11"/>
      <c r="E955" s="10"/>
      <c r="O955" s="10"/>
      <c r="V955" s="10"/>
      <c r="W955" s="6"/>
    </row>
    <row r="956" spans="1:23" x14ac:dyDescent="0.2">
      <c r="A956" s="27"/>
      <c r="B956" s="25"/>
      <c r="D956" s="11"/>
      <c r="E956" s="10"/>
      <c r="O956" s="10"/>
      <c r="V956" s="10"/>
      <c r="W956" s="6"/>
    </row>
    <row r="957" spans="1:23" x14ac:dyDescent="0.2">
      <c r="A957" s="27"/>
      <c r="B957" s="1"/>
      <c r="D957" s="11"/>
      <c r="E957" s="10"/>
      <c r="O957" s="10"/>
      <c r="V957" s="10"/>
      <c r="W957" s="6"/>
    </row>
    <row r="958" spans="1:23" x14ac:dyDescent="0.2">
      <c r="A958" s="27"/>
      <c r="B958" s="25"/>
      <c r="D958" s="11"/>
      <c r="E958" s="10"/>
      <c r="O958" s="10"/>
      <c r="V958" s="10"/>
      <c r="W958" s="6"/>
    </row>
    <row r="959" spans="1:23" x14ac:dyDescent="0.2">
      <c r="A959" s="27"/>
      <c r="B959" s="1"/>
      <c r="D959" s="11"/>
      <c r="E959" s="10"/>
      <c r="O959" s="10"/>
      <c r="V959" s="10"/>
      <c r="W959" s="6"/>
    </row>
    <row r="960" spans="1:23" x14ac:dyDescent="0.2">
      <c r="A960" s="27"/>
      <c r="B960" s="25"/>
      <c r="D960" s="11"/>
      <c r="E960" s="10"/>
      <c r="O960" s="10"/>
      <c r="V960" s="10"/>
      <c r="W960" s="6"/>
    </row>
    <row r="961" spans="1:23" x14ac:dyDescent="0.2">
      <c r="A961" s="27"/>
      <c r="B961" s="25"/>
      <c r="D961" s="11"/>
      <c r="E961" s="10"/>
      <c r="O961" s="10"/>
      <c r="V961" s="10"/>
      <c r="W961" s="6"/>
    </row>
    <row r="962" spans="1:23" x14ac:dyDescent="0.2">
      <c r="A962" s="27"/>
      <c r="B962" s="1"/>
      <c r="D962" s="11"/>
      <c r="E962" s="10"/>
      <c r="O962" s="10"/>
      <c r="V962" s="10"/>
      <c r="W962" s="6"/>
    </row>
    <row r="963" spans="1:23" x14ac:dyDescent="0.2">
      <c r="A963" s="27"/>
      <c r="B963" s="25"/>
      <c r="D963" s="11"/>
      <c r="E963" s="10"/>
      <c r="O963" s="10"/>
      <c r="V963" s="10"/>
      <c r="W963" s="6"/>
    </row>
    <row r="964" spans="1:23" x14ac:dyDescent="0.2">
      <c r="A964" s="27"/>
      <c r="B964" s="25"/>
      <c r="D964" s="11"/>
      <c r="E964" s="10"/>
      <c r="O964" s="10"/>
      <c r="V964" s="10"/>
      <c r="W964" s="6"/>
    </row>
    <row r="965" spans="1:23" x14ac:dyDescent="0.2">
      <c r="A965" s="27"/>
      <c r="B965" s="1"/>
      <c r="D965" s="11"/>
      <c r="E965" s="10"/>
      <c r="O965" s="10"/>
      <c r="V965" s="10"/>
      <c r="W965" s="6"/>
    </row>
    <row r="966" spans="1:23" x14ac:dyDescent="0.2">
      <c r="A966" s="27"/>
      <c r="B966" s="25"/>
      <c r="D966" s="11"/>
      <c r="E966" s="10"/>
      <c r="O966" s="10"/>
      <c r="V966" s="10"/>
      <c r="W966" s="6"/>
    </row>
    <row r="967" spans="1:23" x14ac:dyDescent="0.2">
      <c r="A967" s="27"/>
      <c r="B967" s="25"/>
      <c r="D967" s="11"/>
      <c r="E967" s="10"/>
      <c r="O967" s="10"/>
      <c r="V967" s="10"/>
      <c r="W967" s="6"/>
    </row>
    <row r="968" spans="1:23" x14ac:dyDescent="0.2">
      <c r="A968" s="27"/>
      <c r="B968" s="25"/>
      <c r="D968" s="11"/>
      <c r="E968" s="10"/>
      <c r="O968" s="10"/>
      <c r="V968" s="10"/>
      <c r="W968" s="6"/>
    </row>
    <row r="969" spans="1:23" x14ac:dyDescent="0.2">
      <c r="A969" s="27"/>
      <c r="B969" s="25"/>
      <c r="D969" s="11"/>
      <c r="E969" s="10"/>
      <c r="O969" s="10"/>
      <c r="V969" s="10"/>
      <c r="W969" s="6"/>
    </row>
    <row r="970" spans="1:23" x14ac:dyDescent="0.2">
      <c r="A970" s="27"/>
      <c r="B970" s="25"/>
      <c r="D970" s="11"/>
      <c r="E970" s="10"/>
      <c r="O970" s="10"/>
      <c r="V970" s="10"/>
      <c r="W970" s="6"/>
    </row>
    <row r="971" spans="1:23" x14ac:dyDescent="0.2">
      <c r="A971" s="27"/>
      <c r="B971" s="25"/>
      <c r="D971" s="11"/>
      <c r="E971" s="10"/>
      <c r="O971" s="10"/>
      <c r="V971" s="10"/>
      <c r="W971" s="6"/>
    </row>
    <row r="972" spans="1:23" x14ac:dyDescent="0.2">
      <c r="A972" s="27"/>
      <c r="B972" s="25"/>
      <c r="D972" s="11"/>
      <c r="E972" s="10"/>
      <c r="O972" s="10"/>
      <c r="V972" s="10"/>
      <c r="W972" s="6"/>
    </row>
    <row r="973" spans="1:23" x14ac:dyDescent="0.2">
      <c r="A973" s="27"/>
      <c r="B973" s="1"/>
      <c r="D973" s="11"/>
      <c r="E973" s="10"/>
      <c r="O973" s="10"/>
      <c r="V973" s="10"/>
      <c r="W973" s="6"/>
    </row>
    <row r="974" spans="1:23" x14ac:dyDescent="0.2">
      <c r="A974" s="27"/>
      <c r="B974" s="1"/>
      <c r="D974" s="11"/>
      <c r="E974" s="10"/>
      <c r="O974" s="10"/>
      <c r="V974" s="10"/>
      <c r="W974" s="6"/>
    </row>
    <row r="975" spans="1:23" x14ac:dyDescent="0.2">
      <c r="A975" s="27"/>
      <c r="B975" s="25"/>
      <c r="D975" s="11"/>
      <c r="E975" s="10"/>
      <c r="O975" s="10"/>
      <c r="V975" s="10"/>
      <c r="W975" s="6"/>
    </row>
    <row r="976" spans="1:23" x14ac:dyDescent="0.2">
      <c r="A976" s="27"/>
      <c r="B976" s="1"/>
      <c r="D976" s="11"/>
      <c r="E976" s="10"/>
      <c r="O976" s="10"/>
      <c r="V976" s="10"/>
      <c r="W976" s="6"/>
    </row>
    <row r="977" spans="1:23" x14ac:dyDescent="0.2">
      <c r="A977" s="27"/>
      <c r="B977" s="25"/>
      <c r="D977" s="11"/>
      <c r="E977" s="10"/>
      <c r="O977" s="10"/>
      <c r="V977" s="10"/>
      <c r="W977" s="6"/>
    </row>
    <row r="978" spans="1:23" x14ac:dyDescent="0.2">
      <c r="A978" s="27"/>
      <c r="B978" s="1"/>
      <c r="D978" s="11"/>
      <c r="E978" s="10"/>
      <c r="O978" s="10"/>
      <c r="V978" s="10"/>
      <c r="W978" s="6"/>
    </row>
    <row r="979" spans="1:23" x14ac:dyDescent="0.2">
      <c r="A979" s="27"/>
      <c r="B979" s="25"/>
      <c r="D979" s="11"/>
      <c r="E979" s="10"/>
      <c r="O979" s="10"/>
      <c r="V979" s="10"/>
      <c r="W979" s="6"/>
    </row>
    <row r="980" spans="1:23" x14ac:dyDescent="0.2">
      <c r="A980" s="27"/>
      <c r="B980" s="25"/>
      <c r="D980" s="11"/>
      <c r="E980" s="10"/>
      <c r="O980" s="10"/>
      <c r="V980" s="10"/>
      <c r="W980" s="6"/>
    </row>
    <row r="981" spans="1:23" x14ac:dyDescent="0.2">
      <c r="A981" s="27"/>
      <c r="B981" s="1"/>
      <c r="D981" s="11"/>
      <c r="E981" s="10"/>
      <c r="O981" s="10"/>
      <c r="V981" s="10"/>
      <c r="W981" s="6"/>
    </row>
    <row r="982" spans="1:23" x14ac:dyDescent="0.2">
      <c r="A982" s="27"/>
      <c r="B982" s="25"/>
      <c r="D982" s="11"/>
      <c r="E982" s="10"/>
      <c r="O982" s="10"/>
      <c r="V982" s="10"/>
      <c r="W982" s="6"/>
    </row>
    <row r="983" spans="1:23" x14ac:dyDescent="0.2">
      <c r="A983" s="27"/>
      <c r="B983" s="25"/>
      <c r="D983" s="11"/>
      <c r="E983" s="10"/>
      <c r="O983" s="10"/>
      <c r="V983" s="10"/>
      <c r="W983" s="6"/>
    </row>
    <row r="984" spans="1:23" x14ac:dyDescent="0.2">
      <c r="A984" s="27"/>
      <c r="B984" s="25"/>
      <c r="D984" s="11"/>
      <c r="E984" s="10"/>
      <c r="O984" s="10"/>
      <c r="V984" s="10"/>
      <c r="W984" s="6"/>
    </row>
    <row r="985" spans="1:23" x14ac:dyDescent="0.2">
      <c r="A985" s="27"/>
      <c r="B985" s="1"/>
      <c r="D985" s="11"/>
      <c r="E985" s="10"/>
      <c r="O985" s="10"/>
      <c r="V985" s="10"/>
      <c r="W985" s="6"/>
    </row>
    <row r="986" spans="1:23" x14ac:dyDescent="0.2">
      <c r="A986" s="27"/>
      <c r="B986" s="25"/>
      <c r="D986" s="11"/>
      <c r="E986" s="10"/>
      <c r="O986" s="10"/>
      <c r="V986" s="10"/>
      <c r="W986" s="6"/>
    </row>
    <row r="987" spans="1:23" x14ac:dyDescent="0.2">
      <c r="A987" s="27"/>
      <c r="B987" s="25"/>
      <c r="D987" s="11"/>
      <c r="E987" s="10"/>
      <c r="O987" s="10"/>
      <c r="V987" s="10"/>
      <c r="W987" s="6"/>
    </row>
    <row r="988" spans="1:23" x14ac:dyDescent="0.2">
      <c r="A988" s="27"/>
      <c r="B988" s="25"/>
      <c r="D988" s="11"/>
      <c r="E988" s="10"/>
      <c r="O988" s="10"/>
      <c r="V988" s="10"/>
      <c r="W988" s="6"/>
    </row>
    <row r="989" spans="1:23" x14ac:dyDescent="0.2">
      <c r="A989" s="27"/>
      <c r="B989" s="25"/>
      <c r="D989" s="11"/>
      <c r="E989" s="10"/>
      <c r="O989" s="10"/>
      <c r="V989" s="10"/>
      <c r="W989" s="6"/>
    </row>
    <row r="990" spans="1:23" x14ac:dyDescent="0.2">
      <c r="A990" s="27"/>
      <c r="B990" s="25"/>
      <c r="D990" s="11"/>
      <c r="E990" s="10"/>
      <c r="O990" s="10"/>
      <c r="V990" s="10"/>
      <c r="W990" s="6"/>
    </row>
    <row r="991" spans="1:23" x14ac:dyDescent="0.2">
      <c r="A991" s="27"/>
      <c r="B991" s="25"/>
      <c r="D991" s="11"/>
      <c r="E991" s="10"/>
      <c r="O991" s="10"/>
      <c r="V991" s="10"/>
      <c r="W991" s="6"/>
    </row>
    <row r="992" spans="1:23" x14ac:dyDescent="0.2">
      <c r="A992" s="27"/>
      <c r="B992" s="25"/>
      <c r="D992" s="11"/>
      <c r="E992" s="10"/>
      <c r="O992" s="10"/>
      <c r="V992" s="10"/>
      <c r="W992" s="6"/>
    </row>
    <row r="993" spans="1:23" x14ac:dyDescent="0.2">
      <c r="A993" s="27"/>
      <c r="B993" s="25"/>
      <c r="D993" s="11"/>
      <c r="E993" s="10"/>
      <c r="O993" s="10"/>
      <c r="V993" s="10"/>
      <c r="W993" s="6"/>
    </row>
    <row r="994" spans="1:23" x14ac:dyDescent="0.2">
      <c r="A994" s="27"/>
      <c r="B994" s="25"/>
      <c r="D994" s="11"/>
      <c r="E994" s="10"/>
      <c r="O994" s="10"/>
      <c r="V994" s="10"/>
      <c r="W994" s="6"/>
    </row>
    <row r="995" spans="1:23" x14ac:dyDescent="0.2">
      <c r="A995" s="27"/>
      <c r="B995" s="25"/>
      <c r="D995" s="11"/>
      <c r="E995" s="10"/>
      <c r="O995" s="10"/>
      <c r="V995" s="10"/>
      <c r="W995" s="6"/>
    </row>
    <row r="996" spans="1:23" x14ac:dyDescent="0.2">
      <c r="A996" s="27"/>
      <c r="B996" s="25"/>
      <c r="D996" s="11"/>
      <c r="E996" s="10"/>
      <c r="O996" s="10"/>
      <c r="V996" s="10"/>
      <c r="W996" s="6"/>
    </row>
    <row r="997" spans="1:23" x14ac:dyDescent="0.2">
      <c r="A997" s="27"/>
      <c r="B997" s="25"/>
      <c r="D997" s="11"/>
      <c r="E997" s="10"/>
      <c r="O997" s="10"/>
      <c r="V997" s="10"/>
      <c r="W997" s="6"/>
    </row>
    <row r="998" spans="1:23" x14ac:dyDescent="0.2">
      <c r="A998" s="27"/>
      <c r="B998" s="25"/>
      <c r="D998" s="11"/>
      <c r="E998" s="10"/>
      <c r="O998" s="10"/>
      <c r="V998" s="10"/>
      <c r="W998" s="6"/>
    </row>
    <row r="999" spans="1:23" x14ac:dyDescent="0.2">
      <c r="A999" s="27"/>
      <c r="B999" s="25"/>
      <c r="D999" s="11"/>
      <c r="E999" s="10"/>
      <c r="O999" s="10"/>
      <c r="V999" s="10"/>
      <c r="W999" s="6"/>
    </row>
    <row r="1000" spans="1:23" x14ac:dyDescent="0.2">
      <c r="A1000" s="27"/>
      <c r="B1000" s="25"/>
      <c r="D1000" s="11"/>
      <c r="E1000" s="10"/>
      <c r="O1000" s="10"/>
      <c r="V1000" s="10"/>
      <c r="W1000" s="6"/>
    </row>
    <row r="1001" spans="1:23" x14ac:dyDescent="0.2">
      <c r="A1001" s="27"/>
      <c r="B1001" s="1"/>
      <c r="D1001" s="11"/>
      <c r="E1001" s="10"/>
      <c r="O1001" s="10"/>
      <c r="V1001" s="10"/>
      <c r="W1001" s="6"/>
    </row>
    <row r="1002" spans="1:23" x14ac:dyDescent="0.2">
      <c r="A1002" s="27"/>
      <c r="B1002" s="25"/>
      <c r="D1002" s="11"/>
      <c r="E1002" s="10"/>
      <c r="O1002" s="10"/>
      <c r="V1002" s="10"/>
      <c r="W1002" s="6"/>
    </row>
    <row r="1003" spans="1:23" x14ac:dyDescent="0.2">
      <c r="A1003" s="27"/>
      <c r="B1003" s="1"/>
      <c r="D1003" s="11"/>
      <c r="E1003" s="10"/>
      <c r="O1003" s="10"/>
      <c r="V1003" s="10"/>
      <c r="W1003" s="6"/>
    </row>
    <row r="1004" spans="1:23" x14ac:dyDescent="0.2">
      <c r="A1004" s="27"/>
      <c r="B1004" s="25"/>
      <c r="D1004" s="11"/>
      <c r="E1004" s="10"/>
      <c r="O1004" s="10"/>
      <c r="V1004" s="10"/>
      <c r="W1004" s="6"/>
    </row>
    <row r="1005" spans="1:23" x14ac:dyDescent="0.2">
      <c r="A1005" s="27"/>
      <c r="B1005" s="25"/>
      <c r="D1005" s="11"/>
      <c r="E1005" s="10"/>
      <c r="O1005" s="10"/>
      <c r="V1005" s="10"/>
      <c r="W1005" s="6"/>
    </row>
    <row r="1006" spans="1:23" x14ac:dyDescent="0.2">
      <c r="A1006" s="27"/>
      <c r="B1006" s="1"/>
      <c r="D1006" s="11"/>
      <c r="E1006" s="10"/>
      <c r="O1006" s="10"/>
      <c r="V1006" s="10"/>
      <c r="W1006" s="6"/>
    </row>
    <row r="1007" spans="1:23" x14ac:dyDescent="0.2">
      <c r="A1007" s="27"/>
      <c r="B1007" s="25"/>
      <c r="D1007" s="11"/>
      <c r="E1007" s="10"/>
      <c r="O1007" s="10"/>
      <c r="V1007" s="10"/>
      <c r="W1007" s="6"/>
    </row>
    <row r="1008" spans="1:23" x14ac:dyDescent="0.2">
      <c r="A1008" s="27"/>
      <c r="B1008" s="25"/>
      <c r="D1008" s="11"/>
      <c r="E1008" s="10"/>
      <c r="O1008" s="10"/>
      <c r="V1008" s="10"/>
      <c r="W1008" s="6"/>
    </row>
    <row r="1009" spans="1:23" x14ac:dyDescent="0.2">
      <c r="A1009" s="27"/>
      <c r="B1009" s="25"/>
      <c r="D1009" s="11"/>
      <c r="E1009" s="10"/>
      <c r="O1009" s="10"/>
      <c r="V1009" s="10"/>
      <c r="W1009" s="6"/>
    </row>
    <row r="1010" spans="1:23" x14ac:dyDescent="0.2">
      <c r="A1010" s="27"/>
      <c r="B1010" s="25"/>
      <c r="D1010" s="11"/>
      <c r="E1010" s="10"/>
      <c r="O1010" s="10"/>
      <c r="V1010" s="10"/>
      <c r="W1010" s="6"/>
    </row>
    <row r="1011" spans="1:23" x14ac:dyDescent="0.2">
      <c r="A1011" s="27"/>
      <c r="B1011" s="25"/>
      <c r="D1011" s="11"/>
      <c r="E1011" s="10"/>
      <c r="O1011" s="10"/>
      <c r="V1011" s="10"/>
      <c r="W1011" s="6"/>
    </row>
    <row r="1012" spans="1:23" x14ac:dyDescent="0.2">
      <c r="A1012" s="27"/>
      <c r="B1012" s="25"/>
      <c r="D1012" s="11"/>
      <c r="E1012" s="10"/>
      <c r="O1012" s="10"/>
      <c r="V1012" s="10"/>
      <c r="W1012" s="6"/>
    </row>
    <row r="1013" spans="1:23" x14ac:dyDescent="0.2">
      <c r="A1013" s="27"/>
      <c r="B1013" s="25"/>
      <c r="D1013" s="11"/>
      <c r="E1013" s="10"/>
      <c r="O1013" s="10"/>
      <c r="V1013" s="10"/>
      <c r="W1013" s="6"/>
    </row>
    <row r="1014" spans="1:23" x14ac:dyDescent="0.2">
      <c r="A1014" s="27"/>
      <c r="B1014" s="25"/>
      <c r="D1014" s="11"/>
      <c r="E1014" s="10"/>
      <c r="O1014" s="10"/>
      <c r="V1014" s="10"/>
      <c r="W1014" s="6"/>
    </row>
    <row r="1015" spans="1:23" x14ac:dyDescent="0.2">
      <c r="A1015" s="27"/>
      <c r="B1015" s="25"/>
      <c r="D1015" s="11"/>
      <c r="E1015" s="10"/>
      <c r="O1015" s="10"/>
      <c r="V1015" s="10"/>
      <c r="W1015" s="6"/>
    </row>
    <row r="1016" spans="1:23" x14ac:dyDescent="0.2">
      <c r="A1016" s="27"/>
      <c r="B1016" s="25"/>
      <c r="D1016" s="11"/>
      <c r="E1016" s="10"/>
      <c r="O1016" s="10"/>
      <c r="V1016" s="10"/>
      <c r="W1016" s="6"/>
    </row>
    <row r="1017" spans="1:23" x14ac:dyDescent="0.2">
      <c r="A1017" s="27"/>
      <c r="B1017" s="25"/>
      <c r="D1017" s="11"/>
      <c r="E1017" s="10"/>
      <c r="O1017" s="10"/>
      <c r="V1017" s="10"/>
      <c r="W1017" s="6"/>
    </row>
    <row r="1018" spans="1:23" x14ac:dyDescent="0.2">
      <c r="A1018" s="27"/>
      <c r="B1018" s="25"/>
      <c r="D1018" s="11"/>
      <c r="E1018" s="10"/>
      <c r="O1018" s="10"/>
      <c r="V1018" s="10"/>
      <c r="W1018" s="6"/>
    </row>
    <row r="1019" spans="1:23" x14ac:dyDescent="0.2">
      <c r="A1019" s="27"/>
      <c r="B1019" s="25"/>
      <c r="D1019" s="11"/>
      <c r="E1019" s="10"/>
      <c r="O1019" s="10"/>
      <c r="V1019" s="10"/>
      <c r="W1019" s="6"/>
    </row>
    <row r="1020" spans="1:23" x14ac:dyDescent="0.2">
      <c r="A1020" s="27"/>
      <c r="B1020" s="25"/>
      <c r="D1020" s="11"/>
      <c r="E1020" s="10"/>
      <c r="O1020" s="10"/>
      <c r="V1020" s="10"/>
      <c r="W1020" s="6"/>
    </row>
    <row r="1021" spans="1:23" x14ac:dyDescent="0.2">
      <c r="A1021" s="27"/>
      <c r="B1021" s="25"/>
      <c r="D1021" s="11"/>
      <c r="E1021" s="10"/>
      <c r="O1021" s="10"/>
      <c r="V1021" s="10"/>
      <c r="W1021" s="6"/>
    </row>
    <row r="1022" spans="1:23" x14ac:dyDescent="0.2">
      <c r="A1022" s="27"/>
      <c r="B1022" s="25"/>
      <c r="D1022" s="11"/>
      <c r="E1022" s="10"/>
      <c r="O1022" s="10"/>
      <c r="V1022" s="10"/>
      <c r="W1022" s="6"/>
    </row>
    <row r="1023" spans="1:23" x14ac:dyDescent="0.2">
      <c r="A1023" s="27"/>
      <c r="B1023" s="1"/>
      <c r="D1023" s="11"/>
      <c r="E1023" s="10"/>
      <c r="O1023" s="10"/>
      <c r="V1023" s="10"/>
      <c r="W1023" s="6"/>
    </row>
    <row r="1024" spans="1:23" x14ac:dyDescent="0.2">
      <c r="A1024" s="27"/>
      <c r="B1024" s="25"/>
      <c r="D1024" s="11"/>
      <c r="E1024" s="10"/>
      <c r="O1024" s="10"/>
      <c r="V1024" s="10"/>
      <c r="W1024" s="6"/>
    </row>
    <row r="1025" spans="1:23" x14ac:dyDescent="0.2">
      <c r="A1025" s="27"/>
      <c r="B1025" s="25"/>
      <c r="D1025" s="11"/>
      <c r="E1025" s="10"/>
      <c r="O1025" s="10"/>
      <c r="V1025" s="10"/>
      <c r="W1025" s="6"/>
    </row>
    <row r="1026" spans="1:23" x14ac:dyDescent="0.2">
      <c r="A1026" s="27"/>
      <c r="B1026" s="25"/>
      <c r="D1026" s="11"/>
      <c r="E1026" s="10"/>
      <c r="O1026" s="10"/>
      <c r="V1026" s="10"/>
      <c r="W1026" s="6"/>
    </row>
    <row r="1027" spans="1:23" x14ac:dyDescent="0.2">
      <c r="A1027" s="27"/>
      <c r="B1027" s="25"/>
      <c r="D1027" s="11"/>
      <c r="E1027" s="10"/>
      <c r="O1027" s="10"/>
      <c r="V1027" s="10"/>
      <c r="W1027" s="6"/>
    </row>
    <row r="1028" spans="1:23" x14ac:dyDescent="0.2">
      <c r="A1028" s="27"/>
      <c r="B1028" s="25"/>
      <c r="D1028" s="11"/>
      <c r="E1028" s="10"/>
      <c r="O1028" s="10"/>
      <c r="V1028" s="10"/>
      <c r="W1028" s="6"/>
    </row>
    <row r="1029" spans="1:23" x14ac:dyDescent="0.2">
      <c r="A1029" s="27"/>
      <c r="B1029" s="25"/>
      <c r="D1029" s="11"/>
      <c r="E1029" s="10"/>
      <c r="O1029" s="10"/>
      <c r="V1029" s="10"/>
      <c r="W1029" s="6"/>
    </row>
    <row r="1030" spans="1:23" x14ac:dyDescent="0.2">
      <c r="A1030" s="27"/>
      <c r="B1030" s="25"/>
      <c r="D1030" s="11"/>
      <c r="E1030" s="10"/>
      <c r="O1030" s="10"/>
      <c r="V1030" s="10"/>
      <c r="W1030" s="6"/>
    </row>
    <row r="1031" spans="1:23" x14ac:dyDescent="0.2">
      <c r="A1031" s="27"/>
      <c r="B1031" s="25"/>
      <c r="D1031" s="11"/>
      <c r="E1031" s="10"/>
      <c r="O1031" s="10"/>
      <c r="V1031" s="10"/>
      <c r="W1031" s="6"/>
    </row>
    <row r="1032" spans="1:23" x14ac:dyDescent="0.2">
      <c r="A1032" s="27"/>
      <c r="B1032" s="1"/>
      <c r="D1032" s="11"/>
      <c r="E1032" s="10"/>
      <c r="O1032" s="10"/>
      <c r="V1032" s="10"/>
      <c r="W1032" s="6"/>
    </row>
    <row r="1033" spans="1:23" x14ac:dyDescent="0.2">
      <c r="A1033" s="27"/>
      <c r="B1033" s="25"/>
      <c r="D1033" s="11"/>
      <c r="E1033" s="10"/>
      <c r="O1033" s="10"/>
      <c r="V1033" s="10"/>
      <c r="W1033" s="6"/>
    </row>
    <row r="1034" spans="1:23" x14ac:dyDescent="0.2">
      <c r="A1034" s="27"/>
      <c r="B1034" s="25"/>
      <c r="D1034" s="11"/>
      <c r="E1034" s="10"/>
      <c r="O1034" s="10"/>
      <c r="V1034" s="10"/>
      <c r="W1034" s="6"/>
    </row>
    <row r="1035" spans="1:23" x14ac:dyDescent="0.2">
      <c r="A1035" s="27"/>
      <c r="B1035" s="1"/>
      <c r="D1035" s="11"/>
      <c r="E1035" s="10"/>
      <c r="O1035" s="10"/>
      <c r="V1035" s="10"/>
      <c r="W1035" s="6"/>
    </row>
    <row r="1036" spans="1:23" x14ac:dyDescent="0.2">
      <c r="A1036" s="27"/>
      <c r="B1036" s="25"/>
      <c r="D1036" s="11"/>
      <c r="E1036" s="10"/>
      <c r="O1036" s="10"/>
      <c r="V1036" s="10"/>
      <c r="W1036" s="6"/>
    </row>
    <row r="1037" spans="1:23" x14ac:dyDescent="0.2">
      <c r="A1037" s="27"/>
      <c r="B1037" s="1"/>
      <c r="D1037" s="11"/>
      <c r="E1037" s="10"/>
      <c r="O1037" s="10"/>
      <c r="V1037" s="10"/>
      <c r="W1037" s="6"/>
    </row>
    <row r="1038" spans="1:23" x14ac:dyDescent="0.2">
      <c r="A1038" s="27"/>
      <c r="B1038" s="25"/>
      <c r="D1038" s="11"/>
      <c r="E1038" s="10"/>
      <c r="O1038" s="10"/>
      <c r="V1038" s="10"/>
      <c r="W1038" s="6"/>
    </row>
    <row r="1039" spans="1:23" x14ac:dyDescent="0.2">
      <c r="A1039" s="27"/>
      <c r="B1039" s="25"/>
      <c r="D1039" s="11"/>
      <c r="E1039" s="10"/>
      <c r="O1039" s="10"/>
      <c r="V1039" s="10"/>
      <c r="W1039" s="6"/>
    </row>
    <row r="1040" spans="1:23" x14ac:dyDescent="0.2">
      <c r="A1040" s="27"/>
      <c r="B1040" s="25"/>
      <c r="D1040" s="11"/>
      <c r="E1040" s="10"/>
      <c r="O1040" s="10"/>
      <c r="V1040" s="10"/>
      <c r="W1040" s="6"/>
    </row>
    <row r="1041" spans="1:23" x14ac:dyDescent="0.2">
      <c r="A1041" s="27"/>
      <c r="B1041" s="25"/>
      <c r="D1041" s="11"/>
      <c r="E1041" s="10"/>
      <c r="O1041" s="10"/>
      <c r="V1041" s="10"/>
      <c r="W1041" s="6"/>
    </row>
    <row r="1042" spans="1:23" x14ac:dyDescent="0.2">
      <c r="A1042" s="27"/>
      <c r="B1042" s="1"/>
      <c r="D1042" s="11"/>
      <c r="E1042" s="10"/>
      <c r="O1042" s="10"/>
      <c r="V1042" s="10"/>
      <c r="W1042" s="6"/>
    </row>
    <row r="1043" spans="1:23" x14ac:dyDescent="0.2">
      <c r="A1043" s="27"/>
      <c r="B1043" s="25"/>
      <c r="D1043" s="11"/>
      <c r="E1043" s="10"/>
      <c r="O1043" s="10"/>
      <c r="V1043" s="10"/>
      <c r="W1043" s="6"/>
    </row>
    <row r="1044" spans="1:23" x14ac:dyDescent="0.2">
      <c r="A1044" s="27"/>
      <c r="B1044" s="25"/>
      <c r="D1044" s="11"/>
      <c r="E1044" s="10"/>
      <c r="O1044" s="10"/>
      <c r="V1044" s="10"/>
      <c r="W1044" s="6"/>
    </row>
    <row r="1045" spans="1:23" x14ac:dyDescent="0.2">
      <c r="A1045" s="27"/>
      <c r="B1045" s="25"/>
      <c r="D1045" s="11"/>
      <c r="E1045" s="10"/>
      <c r="O1045" s="10"/>
      <c r="V1045" s="10"/>
      <c r="W1045" s="6"/>
    </row>
    <row r="1046" spans="1:23" x14ac:dyDescent="0.2">
      <c r="A1046" s="27"/>
      <c r="B1046" s="25"/>
      <c r="D1046" s="11"/>
      <c r="E1046" s="10"/>
      <c r="O1046" s="10"/>
      <c r="V1046" s="10"/>
      <c r="W1046" s="6"/>
    </row>
    <row r="1047" spans="1:23" x14ac:dyDescent="0.2">
      <c r="A1047" s="27"/>
      <c r="B1047" s="25"/>
      <c r="D1047" s="11"/>
      <c r="E1047" s="10"/>
      <c r="O1047" s="10"/>
      <c r="V1047" s="10"/>
      <c r="W1047" s="6"/>
    </row>
    <row r="1048" spans="1:23" x14ac:dyDescent="0.2">
      <c r="A1048" s="27"/>
      <c r="B1048" s="25"/>
      <c r="D1048" s="11"/>
      <c r="E1048" s="10"/>
      <c r="O1048" s="10"/>
      <c r="V1048" s="10"/>
      <c r="W1048" s="6"/>
    </row>
    <row r="1049" spans="1:23" x14ac:dyDescent="0.2">
      <c r="A1049" s="27"/>
      <c r="B1049" s="1"/>
      <c r="D1049" s="11"/>
      <c r="E1049" s="10"/>
      <c r="O1049" s="10"/>
      <c r="V1049" s="10"/>
      <c r="W1049" s="6"/>
    </row>
    <row r="1050" spans="1:23" x14ac:dyDescent="0.2">
      <c r="A1050" s="27"/>
      <c r="B1050" s="25"/>
      <c r="D1050" s="11"/>
      <c r="E1050" s="10"/>
      <c r="O1050" s="10"/>
      <c r="V1050" s="10"/>
      <c r="W1050" s="6"/>
    </row>
    <row r="1051" spans="1:23" x14ac:dyDescent="0.2">
      <c r="A1051" s="27"/>
      <c r="B1051" s="25"/>
      <c r="D1051" s="11"/>
      <c r="E1051" s="10"/>
      <c r="O1051" s="10"/>
      <c r="V1051" s="10"/>
      <c r="W1051" s="6"/>
    </row>
    <row r="1052" spans="1:23" x14ac:dyDescent="0.2">
      <c r="A1052" s="27"/>
      <c r="B1052" s="25"/>
      <c r="D1052" s="11"/>
      <c r="E1052" s="10"/>
      <c r="O1052" s="10"/>
      <c r="V1052" s="10"/>
      <c r="W1052" s="6"/>
    </row>
    <row r="1053" spans="1:23" x14ac:dyDescent="0.2">
      <c r="A1053" s="27"/>
      <c r="B1053" s="25"/>
      <c r="D1053" s="11"/>
      <c r="E1053" s="10"/>
      <c r="O1053" s="10"/>
      <c r="V1053" s="10"/>
      <c r="W1053" s="6"/>
    </row>
    <row r="1054" spans="1:23" x14ac:dyDescent="0.2">
      <c r="A1054" s="27"/>
      <c r="B1054" s="25"/>
      <c r="D1054" s="11"/>
      <c r="E1054" s="10"/>
      <c r="O1054" s="10"/>
      <c r="V1054" s="10"/>
      <c r="W1054" s="6"/>
    </row>
    <row r="1055" spans="1:23" x14ac:dyDescent="0.2">
      <c r="A1055" s="27"/>
      <c r="B1055" s="25"/>
      <c r="D1055" s="11"/>
      <c r="E1055" s="10"/>
      <c r="O1055" s="10"/>
      <c r="V1055" s="10"/>
      <c r="W1055" s="6"/>
    </row>
    <row r="1056" spans="1:23" x14ac:dyDescent="0.2">
      <c r="A1056" s="27"/>
      <c r="B1056" s="25"/>
      <c r="D1056" s="11"/>
      <c r="E1056" s="10"/>
      <c r="O1056" s="10"/>
      <c r="V1056" s="10"/>
      <c r="W1056" s="6"/>
    </row>
    <row r="1057" spans="1:23" x14ac:dyDescent="0.2">
      <c r="A1057" s="27"/>
      <c r="B1057" s="25"/>
      <c r="D1057" s="11"/>
      <c r="E1057" s="10"/>
      <c r="O1057" s="10"/>
      <c r="V1057" s="10"/>
      <c r="W1057" s="6"/>
    </row>
    <row r="1058" spans="1:23" x14ac:dyDescent="0.2">
      <c r="A1058" s="27"/>
      <c r="B1058" s="1"/>
      <c r="D1058" s="11"/>
      <c r="E1058" s="10"/>
      <c r="O1058" s="10"/>
      <c r="V1058" s="10"/>
      <c r="W1058" s="6"/>
    </row>
    <row r="1059" spans="1:23" x14ac:dyDescent="0.2">
      <c r="A1059" s="27"/>
      <c r="B1059" s="25"/>
      <c r="D1059" s="11"/>
      <c r="E1059" s="10"/>
      <c r="O1059" s="10"/>
      <c r="V1059" s="10"/>
      <c r="W1059" s="6"/>
    </row>
    <row r="1060" spans="1:23" x14ac:dyDescent="0.2">
      <c r="A1060" s="27"/>
      <c r="B1060" s="25"/>
      <c r="D1060" s="11"/>
      <c r="E1060" s="10"/>
      <c r="O1060" s="10"/>
      <c r="V1060" s="10"/>
      <c r="W1060" s="6"/>
    </row>
    <row r="1061" spans="1:23" x14ac:dyDescent="0.2">
      <c r="A1061" s="27"/>
      <c r="B1061" s="25"/>
      <c r="D1061" s="11"/>
      <c r="E1061" s="10"/>
      <c r="O1061" s="10"/>
      <c r="V1061" s="10"/>
      <c r="W1061" s="6"/>
    </row>
    <row r="1062" spans="1:23" x14ac:dyDescent="0.2">
      <c r="A1062" s="27"/>
      <c r="B1062" s="1"/>
      <c r="D1062" s="11"/>
      <c r="E1062" s="10"/>
      <c r="O1062" s="10"/>
      <c r="V1062" s="10"/>
      <c r="W1062" s="6"/>
    </row>
    <row r="1063" spans="1:23" x14ac:dyDescent="0.2">
      <c r="A1063" s="27"/>
      <c r="B1063" s="25"/>
      <c r="D1063" s="11"/>
      <c r="E1063" s="10"/>
      <c r="O1063" s="10"/>
      <c r="V1063" s="10"/>
      <c r="W1063" s="6"/>
    </row>
    <row r="1064" spans="1:23" x14ac:dyDescent="0.2">
      <c r="A1064" s="27"/>
      <c r="B1064" s="25"/>
      <c r="D1064" s="11"/>
      <c r="E1064" s="10"/>
      <c r="O1064" s="10"/>
      <c r="V1064" s="10"/>
      <c r="W1064" s="6"/>
    </row>
    <row r="1065" spans="1:23" x14ac:dyDescent="0.2">
      <c r="A1065" s="27"/>
      <c r="B1065" s="1"/>
      <c r="D1065" s="11"/>
      <c r="E1065" s="10"/>
      <c r="O1065" s="10"/>
      <c r="V1065" s="10"/>
      <c r="W1065" s="6"/>
    </row>
    <row r="1066" spans="1:23" x14ac:dyDescent="0.2">
      <c r="A1066" s="27"/>
      <c r="B1066" s="25"/>
      <c r="D1066" s="11"/>
      <c r="E1066" s="10"/>
      <c r="O1066" s="10"/>
      <c r="V1066" s="10"/>
      <c r="W1066" s="6"/>
    </row>
    <row r="1067" spans="1:23" x14ac:dyDescent="0.2">
      <c r="A1067" s="27"/>
      <c r="B1067" s="25"/>
      <c r="D1067" s="11"/>
      <c r="E1067" s="10"/>
      <c r="O1067" s="10"/>
      <c r="V1067" s="10"/>
      <c r="W1067" s="6"/>
    </row>
    <row r="1068" spans="1:23" x14ac:dyDescent="0.2">
      <c r="A1068" s="27"/>
      <c r="B1068" s="25"/>
      <c r="D1068" s="11"/>
      <c r="E1068" s="10"/>
      <c r="O1068" s="10"/>
      <c r="V1068" s="10"/>
      <c r="W1068" s="6"/>
    </row>
    <row r="1069" spans="1:23" x14ac:dyDescent="0.2">
      <c r="A1069" s="27"/>
      <c r="B1069" s="25"/>
      <c r="D1069" s="11"/>
      <c r="E1069" s="10"/>
      <c r="O1069" s="10"/>
      <c r="V1069" s="10"/>
      <c r="W1069" s="6"/>
    </row>
    <row r="1070" spans="1:23" x14ac:dyDescent="0.2">
      <c r="A1070" s="27"/>
      <c r="B1070" s="25"/>
      <c r="D1070" s="11"/>
      <c r="E1070" s="10"/>
      <c r="O1070" s="10"/>
      <c r="V1070" s="10"/>
      <c r="W1070" s="6"/>
    </row>
    <row r="1071" spans="1:23" x14ac:dyDescent="0.2">
      <c r="A1071" s="27"/>
      <c r="B1071" s="25"/>
      <c r="D1071" s="11"/>
      <c r="E1071" s="10"/>
      <c r="O1071" s="10"/>
      <c r="V1071" s="10"/>
      <c r="W1071" s="6"/>
    </row>
    <row r="1072" spans="1:23" x14ac:dyDescent="0.2">
      <c r="A1072" s="27"/>
      <c r="B1072" s="25"/>
      <c r="D1072" s="11"/>
      <c r="E1072" s="10"/>
      <c r="O1072" s="10"/>
      <c r="V1072" s="10"/>
      <c r="W1072" s="6"/>
    </row>
    <row r="1073" spans="1:23" x14ac:dyDescent="0.2">
      <c r="A1073" s="27"/>
      <c r="B1073" s="1"/>
      <c r="D1073" s="11"/>
      <c r="E1073" s="10"/>
      <c r="O1073" s="10"/>
      <c r="V1073" s="10"/>
      <c r="W1073" s="6"/>
    </row>
    <row r="1074" spans="1:23" x14ac:dyDescent="0.2">
      <c r="A1074" s="27"/>
      <c r="B1074" s="25"/>
      <c r="D1074" s="11"/>
      <c r="E1074" s="10"/>
      <c r="O1074" s="10"/>
      <c r="V1074" s="10"/>
      <c r="W1074" s="6"/>
    </row>
    <row r="1075" spans="1:23" x14ac:dyDescent="0.2">
      <c r="A1075" s="27"/>
      <c r="B1075" s="25"/>
      <c r="D1075" s="11"/>
      <c r="E1075" s="10"/>
      <c r="O1075" s="10"/>
      <c r="V1075" s="10"/>
      <c r="W1075" s="6"/>
    </row>
    <row r="1076" spans="1:23" x14ac:dyDescent="0.2">
      <c r="A1076" s="27"/>
      <c r="B1076" s="1"/>
      <c r="D1076" s="11"/>
      <c r="E1076" s="10"/>
      <c r="O1076" s="10"/>
      <c r="V1076" s="10"/>
      <c r="W1076" s="6"/>
    </row>
    <row r="1077" spans="1:23" x14ac:dyDescent="0.2">
      <c r="A1077" s="27"/>
      <c r="B1077" s="25"/>
      <c r="D1077" s="11"/>
      <c r="E1077" s="10"/>
      <c r="O1077" s="10"/>
      <c r="V1077" s="10"/>
      <c r="W1077" s="6"/>
    </row>
    <row r="1078" spans="1:23" x14ac:dyDescent="0.2">
      <c r="A1078" s="27"/>
      <c r="B1078" s="25"/>
      <c r="D1078" s="11"/>
      <c r="E1078" s="10"/>
      <c r="O1078" s="10"/>
      <c r="V1078" s="10"/>
      <c r="W1078" s="6"/>
    </row>
    <row r="1079" spans="1:23" x14ac:dyDescent="0.2">
      <c r="A1079" s="27"/>
      <c r="B1079" s="25"/>
      <c r="D1079" s="11"/>
      <c r="E1079" s="10"/>
      <c r="O1079" s="10"/>
      <c r="V1079" s="10"/>
      <c r="W1079" s="6"/>
    </row>
    <row r="1080" spans="1:23" x14ac:dyDescent="0.2">
      <c r="A1080" s="27"/>
      <c r="B1080" s="25"/>
      <c r="D1080" s="11"/>
      <c r="E1080" s="10"/>
      <c r="O1080" s="10"/>
      <c r="V1080" s="10"/>
      <c r="W1080" s="6"/>
    </row>
    <row r="1081" spans="1:23" x14ac:dyDescent="0.2">
      <c r="A1081" s="27"/>
      <c r="B1081" s="25"/>
      <c r="D1081" s="11"/>
      <c r="E1081" s="10"/>
      <c r="O1081" s="10"/>
      <c r="V1081" s="10"/>
      <c r="W1081" s="6"/>
    </row>
    <row r="1082" spans="1:23" x14ac:dyDescent="0.2">
      <c r="A1082" s="27"/>
      <c r="B1082" s="25"/>
      <c r="D1082" s="11"/>
      <c r="E1082" s="10"/>
      <c r="O1082" s="10"/>
      <c r="V1082" s="10"/>
      <c r="W1082" s="6"/>
    </row>
    <row r="1083" spans="1:23" x14ac:dyDescent="0.2">
      <c r="A1083" s="27"/>
      <c r="B1083" s="1"/>
      <c r="D1083" s="11"/>
      <c r="E1083" s="10"/>
      <c r="O1083" s="10"/>
      <c r="V1083" s="10"/>
      <c r="W1083" s="6"/>
    </row>
    <row r="1084" spans="1:23" x14ac:dyDescent="0.2">
      <c r="A1084" s="27"/>
      <c r="B1084" s="25"/>
      <c r="D1084" s="11"/>
      <c r="E1084" s="10"/>
      <c r="O1084" s="10"/>
      <c r="V1084" s="10"/>
      <c r="W1084" s="6"/>
    </row>
    <row r="1085" spans="1:23" x14ac:dyDescent="0.2">
      <c r="A1085" s="27"/>
      <c r="B1085" s="25"/>
      <c r="D1085" s="11"/>
      <c r="E1085" s="10"/>
      <c r="O1085" s="10"/>
      <c r="V1085" s="10"/>
      <c r="W1085" s="6"/>
    </row>
    <row r="1086" spans="1:23" x14ac:dyDescent="0.2">
      <c r="A1086" s="27"/>
      <c r="B1086" s="25"/>
      <c r="D1086" s="11"/>
      <c r="E1086" s="10"/>
      <c r="O1086" s="10"/>
      <c r="V1086" s="10"/>
      <c r="W1086" s="6"/>
    </row>
    <row r="1087" spans="1:23" x14ac:dyDescent="0.2">
      <c r="A1087" s="27"/>
      <c r="B1087" s="25"/>
      <c r="D1087" s="11"/>
      <c r="E1087" s="10"/>
      <c r="O1087" s="10"/>
      <c r="V1087" s="10"/>
      <c r="W1087" s="6"/>
    </row>
    <row r="1088" spans="1:23" x14ac:dyDescent="0.2">
      <c r="A1088" s="27"/>
      <c r="B1088" s="25"/>
      <c r="D1088" s="11"/>
      <c r="E1088" s="10"/>
      <c r="O1088" s="10"/>
      <c r="V1088" s="10"/>
      <c r="W1088" s="6"/>
    </row>
    <row r="1089" spans="1:23" x14ac:dyDescent="0.2">
      <c r="A1089" s="27"/>
      <c r="B1089" s="25"/>
      <c r="D1089" s="11"/>
      <c r="E1089" s="10"/>
      <c r="O1089" s="10"/>
      <c r="V1089" s="10"/>
      <c r="W1089" s="6"/>
    </row>
    <row r="1090" spans="1:23" x14ac:dyDescent="0.2">
      <c r="A1090" s="27"/>
      <c r="B1090" s="1"/>
      <c r="D1090" s="11"/>
      <c r="E1090" s="10"/>
      <c r="O1090" s="10"/>
      <c r="V1090" s="10"/>
      <c r="W1090" s="6"/>
    </row>
    <row r="1091" spans="1:23" x14ac:dyDescent="0.2">
      <c r="A1091" s="27"/>
      <c r="B1091" s="25"/>
      <c r="D1091" s="11"/>
      <c r="E1091" s="10"/>
      <c r="O1091" s="10"/>
      <c r="V1091" s="10"/>
      <c r="W1091" s="6"/>
    </row>
    <row r="1092" spans="1:23" x14ac:dyDescent="0.2">
      <c r="A1092" s="27"/>
      <c r="B1092" s="25"/>
      <c r="D1092" s="11"/>
      <c r="E1092" s="10"/>
      <c r="O1092" s="10"/>
      <c r="V1092" s="10"/>
      <c r="W1092" s="6"/>
    </row>
    <row r="1093" spans="1:23" x14ac:dyDescent="0.2">
      <c r="A1093" s="27"/>
      <c r="B1093" s="1"/>
      <c r="D1093" s="11"/>
      <c r="E1093" s="10"/>
      <c r="O1093" s="10"/>
      <c r="V1093" s="10"/>
      <c r="W1093" s="6"/>
    </row>
    <row r="1094" spans="1:23" x14ac:dyDescent="0.2">
      <c r="A1094" s="27"/>
      <c r="B1094" s="25"/>
      <c r="D1094" s="11"/>
      <c r="E1094" s="10"/>
      <c r="O1094" s="10"/>
      <c r="V1094" s="10"/>
      <c r="W1094" s="6"/>
    </row>
    <row r="1095" spans="1:23" x14ac:dyDescent="0.2">
      <c r="A1095" s="27"/>
      <c r="B1095" s="25"/>
      <c r="D1095" s="11"/>
      <c r="E1095" s="10"/>
      <c r="O1095" s="10"/>
      <c r="V1095" s="10"/>
      <c r="W1095" s="6"/>
    </row>
    <row r="1096" spans="1:23" x14ac:dyDescent="0.2">
      <c r="A1096" s="27"/>
      <c r="B1096" s="25"/>
      <c r="D1096" s="11"/>
      <c r="E1096" s="10"/>
      <c r="O1096" s="10"/>
      <c r="V1096" s="10"/>
      <c r="W1096" s="6"/>
    </row>
    <row r="1097" spans="1:23" x14ac:dyDescent="0.2">
      <c r="A1097" s="27"/>
      <c r="B1097" s="25"/>
      <c r="D1097" s="11"/>
      <c r="E1097" s="10"/>
      <c r="O1097" s="10"/>
      <c r="V1097" s="10"/>
      <c r="W1097" s="6"/>
    </row>
    <row r="1098" spans="1:23" x14ac:dyDescent="0.2">
      <c r="A1098" s="27"/>
      <c r="B1098" s="25"/>
      <c r="D1098" s="11"/>
      <c r="E1098" s="10"/>
      <c r="O1098" s="10"/>
      <c r="V1098" s="10"/>
      <c r="W1098" s="6"/>
    </row>
    <row r="1099" spans="1:23" x14ac:dyDescent="0.2">
      <c r="A1099" s="27"/>
      <c r="B1099" s="25"/>
      <c r="D1099" s="11"/>
      <c r="E1099" s="10"/>
      <c r="O1099" s="10"/>
      <c r="V1099" s="10"/>
      <c r="W1099" s="6"/>
    </row>
    <row r="1100" spans="1:23" x14ac:dyDescent="0.2">
      <c r="A1100" s="27"/>
      <c r="B1100" s="25"/>
      <c r="D1100" s="11"/>
      <c r="E1100" s="10"/>
      <c r="O1100" s="10"/>
      <c r="V1100" s="10"/>
      <c r="W1100" s="6"/>
    </row>
    <row r="1101" spans="1:23" x14ac:dyDescent="0.2">
      <c r="A1101" s="27"/>
      <c r="B1101" s="1"/>
      <c r="D1101" s="11"/>
      <c r="E1101" s="10"/>
      <c r="O1101" s="10"/>
      <c r="V1101" s="10"/>
      <c r="W1101" s="6"/>
    </row>
    <row r="1102" spans="1:23" x14ac:dyDescent="0.2">
      <c r="A1102" s="27"/>
      <c r="B1102" s="25"/>
      <c r="D1102" s="11"/>
      <c r="E1102" s="10"/>
      <c r="O1102" s="10"/>
      <c r="V1102" s="10"/>
      <c r="W1102" s="6"/>
    </row>
    <row r="1103" spans="1:23" x14ac:dyDescent="0.2">
      <c r="A1103" s="27"/>
      <c r="B1103" s="25"/>
      <c r="D1103" s="11"/>
      <c r="E1103" s="10"/>
      <c r="O1103" s="10"/>
      <c r="V1103" s="10"/>
      <c r="W1103" s="6"/>
    </row>
    <row r="1104" spans="1:23" x14ac:dyDescent="0.2">
      <c r="A1104" s="27"/>
      <c r="B1104" s="25"/>
      <c r="D1104" s="11"/>
      <c r="E1104" s="10"/>
      <c r="O1104" s="10"/>
      <c r="V1104" s="10"/>
      <c r="W1104" s="6"/>
    </row>
    <row r="1105" spans="1:23" x14ac:dyDescent="0.2">
      <c r="A1105" s="27"/>
      <c r="B1105" s="25"/>
      <c r="D1105" s="11"/>
      <c r="E1105" s="10"/>
      <c r="O1105" s="10"/>
      <c r="V1105" s="10"/>
      <c r="W1105" s="6"/>
    </row>
    <row r="1106" spans="1:23" x14ac:dyDescent="0.2">
      <c r="A1106" s="27"/>
      <c r="B1106" s="25"/>
      <c r="D1106" s="11"/>
      <c r="E1106" s="10"/>
      <c r="O1106" s="10"/>
      <c r="V1106" s="10"/>
      <c r="W1106" s="6"/>
    </row>
    <row r="1107" spans="1:23" x14ac:dyDescent="0.2">
      <c r="A1107" s="27"/>
      <c r="B1107" s="25"/>
      <c r="D1107" s="11"/>
      <c r="E1107" s="10"/>
      <c r="O1107" s="10"/>
      <c r="V1107" s="10"/>
      <c r="W1107" s="6"/>
    </row>
    <row r="1108" spans="1:23" x14ac:dyDescent="0.2">
      <c r="A1108" s="27"/>
      <c r="B1108" s="25"/>
      <c r="D1108" s="11"/>
      <c r="E1108" s="10"/>
      <c r="O1108" s="10"/>
      <c r="V1108" s="10"/>
      <c r="W1108" s="6"/>
    </row>
    <row r="1109" spans="1:23" x14ac:dyDescent="0.2">
      <c r="A1109" s="27"/>
      <c r="B1109" s="25"/>
      <c r="D1109" s="11"/>
      <c r="E1109" s="10"/>
      <c r="O1109" s="10"/>
      <c r="V1109" s="10"/>
      <c r="W1109" s="6"/>
    </row>
    <row r="1110" spans="1:23" x14ac:dyDescent="0.2">
      <c r="A1110" s="27"/>
      <c r="B1110" s="25"/>
      <c r="D1110" s="11"/>
      <c r="E1110" s="10"/>
      <c r="O1110" s="10"/>
      <c r="V1110" s="10"/>
      <c r="W1110" s="6"/>
    </row>
    <row r="1111" spans="1:23" x14ac:dyDescent="0.2">
      <c r="A1111" s="27"/>
      <c r="B1111" s="25"/>
      <c r="D1111" s="11"/>
      <c r="E1111" s="10"/>
      <c r="O1111" s="10"/>
      <c r="V1111" s="10"/>
      <c r="W1111" s="6"/>
    </row>
    <row r="1112" spans="1:23" x14ac:dyDescent="0.2">
      <c r="A1112" s="27"/>
      <c r="B1112" s="25"/>
      <c r="D1112" s="11"/>
      <c r="E1112" s="10"/>
      <c r="O1112" s="10"/>
      <c r="V1112" s="10"/>
      <c r="W1112" s="6"/>
    </row>
    <row r="1113" spans="1:23" x14ac:dyDescent="0.2">
      <c r="A1113" s="27"/>
      <c r="B1113" s="25"/>
      <c r="D1113" s="11"/>
      <c r="E1113" s="10"/>
      <c r="O1113" s="10"/>
      <c r="V1113" s="10"/>
      <c r="W1113" s="6"/>
    </row>
    <row r="1114" spans="1:23" x14ac:dyDescent="0.2">
      <c r="A1114" s="27"/>
      <c r="B1114" s="25"/>
      <c r="D1114" s="11"/>
      <c r="E1114" s="10"/>
      <c r="O1114" s="10"/>
      <c r="V1114" s="10"/>
      <c r="W1114" s="6"/>
    </row>
    <row r="1115" spans="1:23" x14ac:dyDescent="0.2">
      <c r="A1115" s="27"/>
      <c r="B1115" s="25"/>
      <c r="D1115" s="11"/>
      <c r="E1115" s="10"/>
      <c r="O1115" s="10"/>
      <c r="V1115" s="10"/>
      <c r="W1115" s="6"/>
    </row>
    <row r="1116" spans="1:23" x14ac:dyDescent="0.2">
      <c r="A1116" s="27"/>
      <c r="B1116" s="25"/>
      <c r="D1116" s="11"/>
      <c r="E1116" s="10"/>
      <c r="O1116" s="10"/>
      <c r="V1116" s="10"/>
      <c r="W1116" s="6"/>
    </row>
    <row r="1117" spans="1:23" x14ac:dyDescent="0.2">
      <c r="A1117" s="27"/>
      <c r="B1117" s="1"/>
      <c r="D1117" s="11"/>
      <c r="E1117" s="10"/>
      <c r="O1117" s="10"/>
      <c r="V1117" s="10"/>
      <c r="W1117" s="6"/>
    </row>
    <row r="1118" spans="1:23" x14ac:dyDescent="0.2">
      <c r="A1118" s="27"/>
      <c r="B1118" s="1"/>
      <c r="D1118" s="11"/>
      <c r="E1118" s="10"/>
      <c r="O1118" s="10"/>
      <c r="V1118" s="10"/>
      <c r="W1118" s="6"/>
    </row>
    <row r="1119" spans="1:23" x14ac:dyDescent="0.2">
      <c r="A1119" s="27"/>
      <c r="B1119" s="1"/>
      <c r="D1119" s="11"/>
      <c r="E1119" s="10"/>
      <c r="O1119" s="10"/>
      <c r="V1119" s="10"/>
      <c r="W1119" s="6"/>
    </row>
    <row r="1120" spans="1:23" x14ac:dyDescent="0.2">
      <c r="A1120" s="27"/>
      <c r="B1120" s="1"/>
      <c r="D1120" s="11"/>
      <c r="E1120" s="10"/>
      <c r="O1120" s="10"/>
      <c r="V1120" s="10"/>
      <c r="W1120" s="6"/>
    </row>
    <row r="1121" spans="1:23" x14ac:dyDescent="0.2">
      <c r="A1121" s="27"/>
      <c r="B1121" s="25"/>
      <c r="D1121" s="11"/>
      <c r="E1121" s="10"/>
      <c r="O1121" s="10"/>
      <c r="V1121" s="10"/>
      <c r="W1121" s="6"/>
    </row>
    <row r="1122" spans="1:23" x14ac:dyDescent="0.2">
      <c r="A1122" s="27"/>
      <c r="B1122" s="25"/>
      <c r="D1122" s="11"/>
      <c r="E1122" s="10"/>
      <c r="O1122" s="10"/>
      <c r="V1122" s="10"/>
      <c r="W1122" s="6"/>
    </row>
    <row r="1123" spans="1:23" x14ac:dyDescent="0.2">
      <c r="A1123" s="27"/>
      <c r="B1123" s="25"/>
      <c r="D1123" s="11"/>
      <c r="E1123" s="10"/>
      <c r="O1123" s="10"/>
      <c r="V1123" s="10"/>
      <c r="W1123" s="6"/>
    </row>
    <row r="1124" spans="1:23" x14ac:dyDescent="0.2">
      <c r="A1124" s="27"/>
      <c r="B1124" s="25"/>
      <c r="D1124" s="11"/>
      <c r="E1124" s="10"/>
      <c r="O1124" s="10"/>
      <c r="V1124" s="10"/>
      <c r="W1124" s="6"/>
    </row>
    <row r="1125" spans="1:23" x14ac:dyDescent="0.2">
      <c r="A1125" s="27"/>
      <c r="B1125" s="25"/>
      <c r="D1125" s="11"/>
      <c r="E1125" s="10"/>
      <c r="O1125" s="10"/>
      <c r="V1125" s="10"/>
      <c r="W1125" s="6"/>
    </row>
    <row r="1126" spans="1:23" x14ac:dyDescent="0.2">
      <c r="A1126" s="27"/>
      <c r="B1126" s="25"/>
      <c r="D1126" s="11"/>
      <c r="E1126" s="10"/>
      <c r="O1126" s="10"/>
      <c r="V1126" s="10"/>
      <c r="W1126" s="6"/>
    </row>
    <row r="1127" spans="1:23" x14ac:dyDescent="0.2">
      <c r="A1127" s="27"/>
      <c r="B1127" s="25"/>
      <c r="D1127" s="11"/>
      <c r="E1127" s="10"/>
      <c r="O1127" s="10"/>
      <c r="V1127" s="10"/>
      <c r="W1127" s="6"/>
    </row>
    <row r="1128" spans="1:23" x14ac:dyDescent="0.2">
      <c r="A1128" s="27"/>
      <c r="B1128" s="25"/>
      <c r="D1128" s="11"/>
      <c r="E1128" s="10"/>
      <c r="O1128" s="10"/>
      <c r="V1128" s="10"/>
      <c r="W1128" s="6"/>
    </row>
    <row r="1129" spans="1:23" x14ac:dyDescent="0.2">
      <c r="A1129" s="27"/>
      <c r="B1129" s="1"/>
      <c r="D1129" s="11"/>
      <c r="E1129" s="10"/>
      <c r="O1129" s="10"/>
      <c r="V1129" s="10"/>
      <c r="W1129" s="6"/>
    </row>
    <row r="1130" spans="1:23" x14ac:dyDescent="0.2">
      <c r="A1130" s="27"/>
      <c r="B1130" s="25"/>
      <c r="D1130" s="11"/>
      <c r="E1130" s="10"/>
      <c r="O1130" s="10"/>
      <c r="V1130" s="10"/>
      <c r="W1130" s="6"/>
    </row>
    <row r="1131" spans="1:23" x14ac:dyDescent="0.2">
      <c r="A1131" s="27"/>
      <c r="B1131" s="1"/>
      <c r="D1131" s="11"/>
      <c r="E1131" s="10"/>
      <c r="O1131" s="10"/>
      <c r="V1131" s="10"/>
      <c r="W1131" s="6"/>
    </row>
    <row r="1132" spans="1:23" x14ac:dyDescent="0.2">
      <c r="A1132" s="27"/>
      <c r="B1132" s="1"/>
      <c r="D1132" s="11"/>
      <c r="E1132" s="10"/>
      <c r="O1132" s="10"/>
      <c r="V1132" s="10"/>
      <c r="W1132" s="6"/>
    </row>
    <row r="1133" spans="1:23" x14ac:dyDescent="0.2">
      <c r="A1133" s="27"/>
      <c r="B1133" s="25"/>
      <c r="D1133" s="11"/>
      <c r="E1133" s="10"/>
      <c r="O1133" s="10"/>
      <c r="V1133" s="10"/>
      <c r="W1133" s="6"/>
    </row>
    <row r="1134" spans="1:23" x14ac:dyDescent="0.2">
      <c r="A1134" s="27"/>
      <c r="B1134" s="25"/>
      <c r="D1134" s="11"/>
      <c r="E1134" s="10"/>
      <c r="O1134" s="10"/>
      <c r="V1134" s="10"/>
      <c r="W1134" s="6"/>
    </row>
    <row r="1135" spans="1:23" x14ac:dyDescent="0.2">
      <c r="A1135" s="27"/>
      <c r="B1135" s="25"/>
      <c r="D1135" s="11"/>
      <c r="E1135" s="10"/>
      <c r="O1135" s="10"/>
      <c r="V1135" s="10"/>
      <c r="W1135" s="6"/>
    </row>
    <row r="1136" spans="1:23" x14ac:dyDescent="0.2">
      <c r="A1136" s="27"/>
      <c r="B1136" s="25"/>
      <c r="D1136" s="11"/>
      <c r="E1136" s="10"/>
      <c r="O1136" s="10"/>
      <c r="V1136" s="10"/>
      <c r="W1136" s="6"/>
    </row>
    <row r="1137" spans="1:23" x14ac:dyDescent="0.2">
      <c r="A1137" s="27"/>
      <c r="B1137" s="25"/>
      <c r="D1137" s="11"/>
      <c r="E1137" s="10"/>
      <c r="O1137" s="10"/>
      <c r="V1137" s="10"/>
      <c r="W1137" s="6"/>
    </row>
    <row r="1138" spans="1:23" x14ac:dyDescent="0.2">
      <c r="A1138" s="27"/>
      <c r="B1138" s="25"/>
      <c r="D1138" s="11"/>
      <c r="E1138" s="10"/>
      <c r="O1138" s="10"/>
      <c r="V1138" s="10"/>
      <c r="W1138" s="6"/>
    </row>
    <row r="1139" spans="1:23" x14ac:dyDescent="0.2">
      <c r="A1139" s="27"/>
      <c r="B1139" s="25"/>
      <c r="D1139" s="11"/>
      <c r="E1139" s="10"/>
      <c r="O1139" s="10"/>
      <c r="V1139" s="10"/>
      <c r="W1139" s="6"/>
    </row>
    <row r="1140" spans="1:23" x14ac:dyDescent="0.2">
      <c r="A1140" s="27"/>
      <c r="B1140" s="25"/>
      <c r="D1140" s="11"/>
      <c r="E1140" s="10"/>
      <c r="O1140" s="10"/>
      <c r="V1140" s="10"/>
      <c r="W1140" s="6"/>
    </row>
    <row r="1141" spans="1:23" x14ac:dyDescent="0.2">
      <c r="A1141" s="27"/>
      <c r="B1141" s="1"/>
      <c r="D1141" s="11"/>
      <c r="E1141" s="10"/>
      <c r="O1141" s="10"/>
      <c r="V1141" s="10"/>
      <c r="W1141" s="6"/>
    </row>
    <row r="1142" spans="1:23" x14ac:dyDescent="0.2">
      <c r="A1142" s="27"/>
      <c r="B1142" s="1"/>
      <c r="D1142" s="11"/>
      <c r="E1142" s="10"/>
      <c r="O1142" s="10"/>
      <c r="V1142" s="10"/>
      <c r="W1142" s="6"/>
    </row>
    <row r="1143" spans="1:23" x14ac:dyDescent="0.2">
      <c r="A1143" s="27"/>
      <c r="B1143" s="25"/>
      <c r="D1143" s="11"/>
      <c r="E1143" s="10"/>
      <c r="O1143" s="10"/>
      <c r="V1143" s="10"/>
      <c r="W1143" s="6"/>
    </row>
    <row r="1144" spans="1:23" x14ac:dyDescent="0.2">
      <c r="A1144" s="27"/>
      <c r="B1144" s="25"/>
      <c r="D1144" s="11"/>
      <c r="E1144" s="10"/>
      <c r="O1144" s="10"/>
      <c r="V1144" s="10"/>
      <c r="W1144" s="6"/>
    </row>
    <row r="1145" spans="1:23" x14ac:dyDescent="0.2">
      <c r="A1145" s="27"/>
      <c r="B1145" s="25"/>
      <c r="D1145" s="11"/>
      <c r="E1145" s="10"/>
      <c r="O1145" s="10"/>
      <c r="V1145" s="10"/>
      <c r="W1145" s="6"/>
    </row>
    <row r="1146" spans="1:23" x14ac:dyDescent="0.2">
      <c r="A1146" s="27"/>
      <c r="B1146" s="25"/>
      <c r="D1146" s="11"/>
      <c r="E1146" s="10"/>
      <c r="O1146" s="10"/>
      <c r="V1146" s="10"/>
      <c r="W1146" s="6"/>
    </row>
    <row r="1147" spans="1:23" x14ac:dyDescent="0.2">
      <c r="A1147" s="27"/>
      <c r="B1147" s="25"/>
      <c r="D1147" s="11"/>
      <c r="E1147" s="10"/>
      <c r="O1147" s="10"/>
      <c r="V1147" s="10"/>
      <c r="W1147" s="6"/>
    </row>
    <row r="1148" spans="1:23" x14ac:dyDescent="0.2">
      <c r="A1148" s="27"/>
      <c r="B1148" s="25"/>
      <c r="D1148" s="11"/>
      <c r="E1148" s="10"/>
      <c r="O1148" s="10"/>
      <c r="V1148" s="10"/>
      <c r="W1148" s="6"/>
    </row>
    <row r="1149" spans="1:23" x14ac:dyDescent="0.2">
      <c r="A1149" s="27"/>
      <c r="B1149" s="25"/>
      <c r="D1149" s="11"/>
      <c r="E1149" s="10"/>
      <c r="O1149" s="10"/>
      <c r="V1149" s="10"/>
      <c r="W1149" s="6"/>
    </row>
    <row r="1150" spans="1:23" x14ac:dyDescent="0.2">
      <c r="A1150" s="27"/>
      <c r="B1150" s="25"/>
      <c r="D1150" s="11"/>
      <c r="E1150" s="10"/>
      <c r="O1150" s="10"/>
      <c r="V1150" s="10"/>
      <c r="W1150" s="6"/>
    </row>
    <row r="1151" spans="1:23" x14ac:dyDescent="0.2">
      <c r="A1151" s="27"/>
      <c r="B1151" s="25"/>
      <c r="D1151" s="11"/>
      <c r="E1151" s="10"/>
      <c r="O1151" s="10"/>
      <c r="V1151" s="10"/>
      <c r="W1151" s="6"/>
    </row>
    <row r="1152" spans="1:23" x14ac:dyDescent="0.2">
      <c r="A1152" s="27"/>
      <c r="B1152" s="25"/>
      <c r="D1152" s="11"/>
      <c r="E1152" s="10"/>
      <c r="O1152" s="10"/>
      <c r="V1152" s="10"/>
    </row>
    <row r="1153" spans="1:23" x14ac:dyDescent="0.2">
      <c r="A1153" s="27"/>
      <c r="B1153" s="25"/>
      <c r="D1153" s="11"/>
      <c r="E1153" s="10"/>
      <c r="O1153" s="10"/>
      <c r="V1153" s="10"/>
      <c r="W1153" s="6"/>
    </row>
    <row r="1154" spans="1:23" x14ac:dyDescent="0.2">
      <c r="A1154" s="27"/>
      <c r="B1154" s="1"/>
      <c r="D1154" s="11"/>
      <c r="E1154" s="10"/>
      <c r="O1154" s="10"/>
      <c r="V1154" s="10"/>
      <c r="W1154" s="6"/>
    </row>
    <row r="1155" spans="1:23" x14ac:dyDescent="0.2">
      <c r="A1155" s="27"/>
      <c r="B1155" s="25"/>
      <c r="D1155" s="11"/>
      <c r="E1155" s="10"/>
      <c r="O1155" s="10"/>
      <c r="V1155" s="10"/>
      <c r="W1155" s="6"/>
    </row>
    <row r="1156" spans="1:23" x14ac:dyDescent="0.2">
      <c r="A1156" s="27"/>
      <c r="B1156" s="25"/>
      <c r="D1156" s="11"/>
      <c r="E1156" s="10"/>
      <c r="O1156" s="10"/>
      <c r="V1156" s="10"/>
      <c r="W1156" s="6"/>
    </row>
    <row r="1157" spans="1:23" x14ac:dyDescent="0.2">
      <c r="A1157" s="27"/>
      <c r="B1157" s="25"/>
      <c r="D1157" s="11"/>
      <c r="E1157" s="10"/>
      <c r="O1157" s="10"/>
      <c r="V1157" s="10"/>
      <c r="W1157" s="6"/>
    </row>
    <row r="1158" spans="1:23" x14ac:dyDescent="0.2">
      <c r="A1158" s="27"/>
      <c r="B1158" s="25"/>
      <c r="D1158" s="11"/>
      <c r="E1158" s="10"/>
      <c r="O1158" s="10"/>
      <c r="V1158" s="10"/>
      <c r="W1158" s="6"/>
    </row>
    <row r="1159" spans="1:23" x14ac:dyDescent="0.2">
      <c r="A1159" s="27"/>
      <c r="B1159" s="25"/>
      <c r="D1159" s="11"/>
      <c r="E1159" s="10"/>
      <c r="O1159" s="10"/>
      <c r="V1159" s="10"/>
      <c r="W1159" s="6"/>
    </row>
    <row r="1160" spans="1:23" x14ac:dyDescent="0.2">
      <c r="A1160" s="27"/>
      <c r="B1160" s="25"/>
      <c r="D1160" s="11"/>
      <c r="E1160" s="10"/>
      <c r="O1160" s="10"/>
      <c r="V1160" s="10"/>
      <c r="W1160" s="6"/>
    </row>
    <row r="1161" spans="1:23" x14ac:dyDescent="0.2">
      <c r="A1161" s="27"/>
      <c r="B1161" s="25"/>
      <c r="D1161" s="11"/>
      <c r="E1161" s="10"/>
      <c r="O1161" s="10"/>
      <c r="V1161" s="10"/>
      <c r="W1161" s="6"/>
    </row>
    <row r="1162" spans="1:23" x14ac:dyDescent="0.2">
      <c r="A1162" s="27"/>
      <c r="B1162" s="25"/>
      <c r="D1162" s="11"/>
      <c r="E1162" s="10"/>
      <c r="O1162" s="10"/>
      <c r="V1162" s="10"/>
      <c r="W1162" s="6"/>
    </row>
    <row r="1163" spans="1:23" x14ac:dyDescent="0.2">
      <c r="A1163" s="27"/>
      <c r="B1163" s="25"/>
      <c r="D1163" s="11"/>
      <c r="E1163" s="10"/>
      <c r="O1163" s="10"/>
      <c r="V1163" s="10"/>
      <c r="W1163" s="6"/>
    </row>
    <row r="1164" spans="1:23" x14ac:dyDescent="0.2">
      <c r="A1164" s="27"/>
      <c r="B1164" s="25"/>
      <c r="D1164" s="11"/>
      <c r="E1164" s="10"/>
      <c r="O1164" s="10"/>
      <c r="V1164" s="10"/>
      <c r="W1164" s="6"/>
    </row>
    <row r="1165" spans="1:23" x14ac:dyDescent="0.2">
      <c r="A1165" s="27"/>
      <c r="B1165" s="25"/>
      <c r="D1165" s="11"/>
      <c r="E1165" s="10"/>
      <c r="O1165" s="10"/>
      <c r="V1165" s="10"/>
      <c r="W1165" s="6"/>
    </row>
    <row r="1166" spans="1:23" x14ac:dyDescent="0.2">
      <c r="A1166" s="27"/>
      <c r="B1166" s="25"/>
      <c r="D1166" s="11"/>
      <c r="E1166" s="10"/>
      <c r="O1166" s="10"/>
      <c r="V1166" s="10"/>
      <c r="W1166" s="6"/>
    </row>
    <row r="1167" spans="1:23" x14ac:dyDescent="0.2">
      <c r="A1167" s="27"/>
      <c r="B1167" s="25"/>
      <c r="D1167" s="11"/>
      <c r="E1167" s="10"/>
      <c r="O1167" s="10"/>
      <c r="V1167" s="10"/>
      <c r="W1167" s="6"/>
    </row>
    <row r="1168" spans="1:23" x14ac:dyDescent="0.2">
      <c r="A1168" s="27"/>
      <c r="B1168" s="25"/>
      <c r="D1168" s="11"/>
      <c r="E1168" s="10"/>
      <c r="O1168" s="10"/>
      <c r="V1168" s="10"/>
      <c r="W1168" s="6"/>
    </row>
    <row r="1169" spans="1:23" x14ac:dyDescent="0.2">
      <c r="A1169" s="27"/>
      <c r="B1169" s="25"/>
      <c r="D1169" s="11"/>
      <c r="E1169" s="10"/>
      <c r="O1169" s="10"/>
      <c r="V1169" s="10"/>
      <c r="W1169" s="6"/>
    </row>
    <row r="1170" spans="1:23" x14ac:dyDescent="0.2">
      <c r="A1170" s="27"/>
      <c r="B1170" s="25"/>
      <c r="D1170" s="11"/>
      <c r="E1170" s="10"/>
      <c r="O1170" s="10"/>
      <c r="V1170" s="10"/>
      <c r="W1170" s="6"/>
    </row>
    <row r="1171" spans="1:23" x14ac:dyDescent="0.2">
      <c r="A1171" s="27"/>
      <c r="B1171" s="25"/>
      <c r="D1171" s="11"/>
      <c r="E1171" s="10"/>
      <c r="O1171" s="10"/>
      <c r="V1171" s="10"/>
    </row>
    <row r="1172" spans="1:23" x14ac:dyDescent="0.2">
      <c r="A1172" s="27"/>
      <c r="B1172" s="1"/>
      <c r="D1172" s="11"/>
      <c r="E1172" s="10"/>
      <c r="O1172" s="10"/>
      <c r="V1172" s="10"/>
      <c r="W1172" s="6"/>
    </row>
    <row r="1173" spans="1:23" x14ac:dyDescent="0.2">
      <c r="A1173" s="27"/>
      <c r="B1173" s="25"/>
      <c r="D1173" s="11"/>
      <c r="E1173" s="10"/>
      <c r="O1173" s="10"/>
      <c r="V1173" s="10"/>
      <c r="W1173" s="6"/>
    </row>
    <row r="1174" spans="1:23" x14ac:dyDescent="0.2">
      <c r="A1174" s="27"/>
      <c r="B1174" s="25"/>
      <c r="D1174" s="11"/>
      <c r="E1174" s="10"/>
      <c r="O1174" s="10"/>
      <c r="V1174" s="10"/>
      <c r="W1174" s="6"/>
    </row>
    <row r="1175" spans="1:23" x14ac:dyDescent="0.2">
      <c r="A1175" s="27"/>
      <c r="B1175" s="25"/>
      <c r="D1175" s="11"/>
      <c r="E1175" s="10"/>
      <c r="O1175" s="10"/>
      <c r="V1175" s="10"/>
      <c r="W1175" s="6"/>
    </row>
    <row r="1176" spans="1:23" x14ac:dyDescent="0.2">
      <c r="A1176" s="27"/>
      <c r="B1176" s="25"/>
      <c r="D1176" s="11"/>
      <c r="E1176" s="10"/>
      <c r="O1176" s="10"/>
      <c r="V1176" s="10"/>
      <c r="W1176" s="6"/>
    </row>
    <row r="1177" spans="1:23" x14ac:dyDescent="0.2">
      <c r="A1177" s="27"/>
      <c r="B1177" s="25"/>
      <c r="D1177" s="11"/>
      <c r="E1177" s="10"/>
      <c r="O1177" s="10"/>
      <c r="V1177" s="10"/>
      <c r="W1177" s="6"/>
    </row>
    <row r="1178" spans="1:23" x14ac:dyDescent="0.2">
      <c r="A1178" s="27"/>
      <c r="B1178" s="25"/>
      <c r="D1178" s="11"/>
      <c r="E1178" s="10"/>
      <c r="O1178" s="10"/>
      <c r="V1178" s="10"/>
      <c r="W1178" s="6"/>
    </row>
    <row r="1179" spans="1:23" x14ac:dyDescent="0.2">
      <c r="A1179" s="27"/>
      <c r="B1179" s="25"/>
      <c r="D1179" s="11"/>
      <c r="E1179" s="10"/>
      <c r="O1179" s="10"/>
      <c r="V1179" s="10"/>
      <c r="W1179" s="6"/>
    </row>
    <row r="1180" spans="1:23" x14ac:dyDescent="0.2">
      <c r="A1180" s="27"/>
      <c r="B1180" s="25"/>
      <c r="D1180" s="11"/>
      <c r="E1180" s="10"/>
      <c r="O1180" s="10"/>
      <c r="V1180" s="10"/>
      <c r="W1180" s="6"/>
    </row>
    <row r="1181" spans="1:23" x14ac:dyDescent="0.2">
      <c r="A1181" s="27"/>
      <c r="B1181" s="1"/>
      <c r="D1181" s="11"/>
      <c r="E1181" s="10"/>
      <c r="O1181" s="10"/>
      <c r="V1181" s="10"/>
      <c r="W1181" s="6"/>
    </row>
    <row r="1182" spans="1:23" x14ac:dyDescent="0.2">
      <c r="A1182" s="27"/>
      <c r="B1182" s="25"/>
      <c r="D1182" s="11"/>
      <c r="E1182" s="10"/>
      <c r="O1182" s="10"/>
      <c r="V1182" s="10"/>
      <c r="W1182" s="6"/>
    </row>
    <row r="1183" spans="1:23" x14ac:dyDescent="0.2">
      <c r="A1183" s="27"/>
      <c r="B1183" s="25"/>
      <c r="D1183" s="11"/>
      <c r="E1183" s="10"/>
      <c r="O1183" s="10"/>
      <c r="V1183" s="10"/>
      <c r="W1183" s="6"/>
    </row>
    <row r="1184" spans="1:23" x14ac:dyDescent="0.2">
      <c r="A1184" s="27"/>
      <c r="B1184" s="1"/>
      <c r="D1184" s="11"/>
      <c r="E1184" s="10"/>
      <c r="O1184" s="10"/>
      <c r="V1184" s="10"/>
      <c r="W1184" s="6"/>
    </row>
    <row r="1185" spans="1:23" x14ac:dyDescent="0.2">
      <c r="A1185" s="27"/>
      <c r="B1185" s="25"/>
      <c r="D1185" s="11"/>
      <c r="E1185" s="10"/>
      <c r="O1185" s="10"/>
      <c r="V1185" s="10"/>
      <c r="W1185" s="6"/>
    </row>
    <row r="1186" spans="1:23" x14ac:dyDescent="0.2">
      <c r="A1186" s="27"/>
      <c r="B1186" s="25"/>
      <c r="D1186" s="11"/>
      <c r="E1186" s="10"/>
      <c r="O1186" s="10"/>
      <c r="V1186" s="10"/>
      <c r="W1186" s="6"/>
    </row>
    <row r="1187" spans="1:23" x14ac:dyDescent="0.2">
      <c r="A1187" s="27"/>
      <c r="B1187" s="25"/>
      <c r="D1187" s="11"/>
      <c r="E1187" s="10"/>
      <c r="O1187" s="10"/>
      <c r="V1187" s="10"/>
      <c r="W1187" s="6"/>
    </row>
    <row r="1188" spans="1:23" x14ac:dyDescent="0.2">
      <c r="A1188" s="27"/>
      <c r="B1188" s="25"/>
      <c r="D1188" s="11"/>
      <c r="E1188" s="10"/>
      <c r="O1188" s="10"/>
      <c r="V1188" s="10"/>
      <c r="W1188" s="6"/>
    </row>
    <row r="1189" spans="1:23" x14ac:dyDescent="0.2">
      <c r="A1189" s="27"/>
      <c r="B1189" s="25"/>
      <c r="D1189" s="11"/>
      <c r="E1189" s="10"/>
      <c r="O1189" s="10"/>
      <c r="V1189" s="10"/>
      <c r="W1189" s="6"/>
    </row>
    <row r="1190" spans="1:23" x14ac:dyDescent="0.2">
      <c r="A1190" s="27"/>
      <c r="B1190" s="25"/>
      <c r="D1190" s="11"/>
      <c r="E1190" s="10"/>
      <c r="O1190" s="10"/>
      <c r="V1190" s="10"/>
      <c r="W1190" s="6"/>
    </row>
    <row r="1191" spans="1:23" x14ac:dyDescent="0.2">
      <c r="A1191" s="27"/>
      <c r="B1191" s="25"/>
      <c r="D1191" s="11"/>
      <c r="E1191" s="10"/>
      <c r="O1191" s="10"/>
      <c r="V1191" s="10"/>
      <c r="W1191" s="6"/>
    </row>
    <row r="1192" spans="1:23" x14ac:dyDescent="0.2">
      <c r="A1192" s="27"/>
      <c r="B1192" s="25"/>
      <c r="D1192" s="11"/>
      <c r="E1192" s="10"/>
      <c r="O1192" s="10"/>
      <c r="V1192" s="10"/>
      <c r="W1192" s="6"/>
    </row>
    <row r="1193" spans="1:23" x14ac:dyDescent="0.2">
      <c r="A1193" s="27"/>
      <c r="B1193" s="25"/>
      <c r="D1193" s="11"/>
      <c r="E1193" s="10"/>
      <c r="O1193" s="10"/>
      <c r="V1193" s="10"/>
      <c r="W1193" s="6"/>
    </row>
    <row r="1194" spans="1:23" x14ac:dyDescent="0.2">
      <c r="A1194" s="27"/>
      <c r="B1194" s="25"/>
      <c r="D1194" s="11"/>
      <c r="E1194" s="10"/>
      <c r="O1194" s="10"/>
      <c r="V1194" s="10"/>
      <c r="W1194" s="6"/>
    </row>
    <row r="1195" spans="1:23" x14ac:dyDescent="0.2">
      <c r="A1195" s="27"/>
      <c r="B1195" s="25"/>
      <c r="D1195" s="11"/>
      <c r="E1195" s="10"/>
      <c r="O1195" s="10"/>
      <c r="V1195" s="10"/>
      <c r="W1195" s="6"/>
    </row>
    <row r="1196" spans="1:23" x14ac:dyDescent="0.2">
      <c r="A1196" s="27"/>
      <c r="B1196" s="1"/>
      <c r="D1196" s="11"/>
      <c r="E1196" s="10"/>
      <c r="O1196" s="10"/>
      <c r="V1196" s="10"/>
      <c r="W1196" s="6"/>
    </row>
    <row r="1197" spans="1:23" x14ac:dyDescent="0.2">
      <c r="A1197" s="27"/>
      <c r="B1197" s="25"/>
      <c r="D1197" s="11"/>
      <c r="E1197" s="10"/>
      <c r="O1197" s="10"/>
      <c r="V1197" s="10"/>
      <c r="W1197" s="6"/>
    </row>
    <row r="1198" spans="1:23" x14ac:dyDescent="0.2">
      <c r="A1198" s="27"/>
      <c r="B1198" s="25"/>
      <c r="D1198" s="11"/>
      <c r="E1198" s="10"/>
      <c r="O1198" s="10"/>
      <c r="V1198" s="10"/>
      <c r="W1198" s="6"/>
    </row>
    <row r="1199" spans="1:23" x14ac:dyDescent="0.2">
      <c r="A1199" s="27"/>
      <c r="B1199" s="25"/>
      <c r="D1199" s="11"/>
      <c r="E1199" s="10"/>
      <c r="O1199" s="10"/>
      <c r="V1199" s="10"/>
      <c r="W1199" s="6"/>
    </row>
    <row r="1200" spans="1:23" x14ac:dyDescent="0.2">
      <c r="A1200" s="27"/>
      <c r="B1200" s="25"/>
      <c r="D1200" s="11"/>
      <c r="E1200" s="10"/>
      <c r="O1200" s="10"/>
      <c r="V1200" s="10"/>
      <c r="W1200" s="6"/>
    </row>
    <row r="1201" spans="1:23" x14ac:dyDescent="0.2">
      <c r="A1201" s="27"/>
      <c r="B1201" s="1"/>
      <c r="D1201" s="11"/>
      <c r="E1201" s="10"/>
      <c r="O1201" s="10"/>
      <c r="V1201" s="10"/>
      <c r="W1201" s="6"/>
    </row>
    <row r="1202" spans="1:23" x14ac:dyDescent="0.2">
      <c r="A1202" s="27"/>
      <c r="B1202" s="1"/>
      <c r="D1202" s="11"/>
      <c r="E1202" s="10"/>
      <c r="O1202" s="10"/>
      <c r="V1202" s="10"/>
      <c r="W1202" s="6"/>
    </row>
    <row r="1203" spans="1:23" x14ac:dyDescent="0.2">
      <c r="A1203" s="27"/>
      <c r="B1203" s="25"/>
      <c r="D1203" s="11"/>
      <c r="E1203" s="10"/>
      <c r="O1203" s="10"/>
      <c r="V1203" s="10"/>
      <c r="W1203" s="6"/>
    </row>
    <row r="1204" spans="1:23" x14ac:dyDescent="0.2">
      <c r="A1204" s="27"/>
      <c r="B1204" s="25"/>
      <c r="D1204" s="11"/>
      <c r="E1204" s="10"/>
      <c r="O1204" s="10"/>
      <c r="V1204" s="10"/>
      <c r="W1204" s="6"/>
    </row>
    <row r="1205" spans="1:23" x14ac:dyDescent="0.2">
      <c r="A1205" s="27"/>
      <c r="B1205" s="25"/>
      <c r="D1205" s="11"/>
      <c r="E1205" s="10"/>
      <c r="O1205" s="10"/>
      <c r="V1205" s="10"/>
      <c r="W1205" s="6"/>
    </row>
    <row r="1206" spans="1:23" x14ac:dyDescent="0.2">
      <c r="A1206" s="27"/>
      <c r="B1206" s="25"/>
      <c r="D1206" s="11"/>
      <c r="E1206" s="10"/>
      <c r="O1206" s="10"/>
      <c r="V1206" s="10"/>
      <c r="W1206" s="6"/>
    </row>
    <row r="1207" spans="1:23" x14ac:dyDescent="0.2">
      <c r="A1207" s="27"/>
      <c r="B1207" s="1"/>
      <c r="D1207" s="11"/>
      <c r="E1207" s="10"/>
      <c r="O1207" s="10"/>
      <c r="V1207" s="10"/>
      <c r="W1207" s="6"/>
    </row>
    <row r="1208" spans="1:23" x14ac:dyDescent="0.2">
      <c r="A1208" s="27"/>
      <c r="B1208" s="25"/>
      <c r="D1208" s="11"/>
      <c r="E1208" s="10"/>
      <c r="O1208" s="10"/>
      <c r="V1208" s="10"/>
      <c r="W1208" s="6"/>
    </row>
    <row r="1209" spans="1:23" x14ac:dyDescent="0.2">
      <c r="A1209" s="27"/>
      <c r="B1209" s="1"/>
      <c r="D1209" s="11"/>
      <c r="E1209" s="10"/>
      <c r="O1209" s="10"/>
      <c r="V1209" s="10"/>
    </row>
    <row r="1210" spans="1:23" x14ac:dyDescent="0.2">
      <c r="A1210" s="27"/>
      <c r="B1210" s="1"/>
      <c r="D1210" s="11"/>
      <c r="E1210" s="10"/>
      <c r="O1210" s="10"/>
      <c r="V1210" s="10"/>
      <c r="W1210" s="6"/>
    </row>
    <row r="1211" spans="1:23" x14ac:dyDescent="0.2">
      <c r="A1211" s="27"/>
      <c r="B1211" s="1"/>
      <c r="D1211" s="11"/>
      <c r="E1211" s="10"/>
      <c r="O1211" s="10"/>
      <c r="V1211" s="10"/>
      <c r="W1211" s="6"/>
    </row>
    <row r="1212" spans="1:23" x14ac:dyDescent="0.2">
      <c r="A1212" s="27"/>
      <c r="B1212" s="25"/>
      <c r="D1212" s="11"/>
      <c r="E1212" s="10"/>
      <c r="O1212" s="10"/>
      <c r="V1212" s="10"/>
      <c r="W1212" s="6"/>
    </row>
    <row r="1213" spans="1:23" x14ac:dyDescent="0.2">
      <c r="A1213" s="27"/>
      <c r="B1213" s="25"/>
      <c r="D1213" s="11"/>
      <c r="E1213" s="10"/>
      <c r="O1213" s="10"/>
      <c r="V1213" s="10"/>
      <c r="W1213" s="6"/>
    </row>
    <row r="1214" spans="1:23" x14ac:dyDescent="0.2">
      <c r="A1214" s="27"/>
      <c r="B1214" s="25"/>
      <c r="D1214" s="11"/>
      <c r="E1214" s="10"/>
      <c r="O1214" s="10"/>
      <c r="V1214" s="10"/>
      <c r="W1214" s="6"/>
    </row>
    <row r="1215" spans="1:23" x14ac:dyDescent="0.2">
      <c r="A1215" s="27"/>
      <c r="B1215" s="25"/>
      <c r="D1215" s="11"/>
      <c r="E1215" s="10"/>
      <c r="O1215" s="10"/>
      <c r="V1215" s="10"/>
      <c r="W1215" s="6"/>
    </row>
    <row r="1216" spans="1:23" x14ac:dyDescent="0.2">
      <c r="A1216" s="27"/>
      <c r="B1216" s="1"/>
      <c r="D1216" s="11"/>
      <c r="E1216" s="10"/>
      <c r="O1216" s="10"/>
      <c r="V1216" s="10"/>
      <c r="W1216" s="6"/>
    </row>
    <row r="1217" spans="1:23" x14ac:dyDescent="0.2">
      <c r="A1217" s="27"/>
      <c r="B1217" s="25"/>
      <c r="D1217" s="11"/>
      <c r="E1217" s="10"/>
      <c r="O1217" s="10"/>
      <c r="V1217" s="10"/>
      <c r="W1217" s="6"/>
    </row>
    <row r="1218" spans="1:23" x14ac:dyDescent="0.2">
      <c r="A1218" s="27"/>
      <c r="B1218" s="25"/>
      <c r="D1218" s="11"/>
      <c r="E1218" s="10"/>
      <c r="O1218" s="10"/>
      <c r="V1218" s="10"/>
      <c r="W1218" s="6"/>
    </row>
    <row r="1219" spans="1:23" x14ac:dyDescent="0.2">
      <c r="A1219" s="27"/>
      <c r="B1219" s="25"/>
      <c r="D1219" s="11"/>
      <c r="E1219" s="10"/>
      <c r="O1219" s="10"/>
      <c r="V1219" s="10"/>
      <c r="W1219" s="6"/>
    </row>
    <row r="1220" spans="1:23" x14ac:dyDescent="0.2">
      <c r="A1220" s="27"/>
      <c r="B1220" s="1"/>
      <c r="D1220" s="11"/>
      <c r="E1220" s="10"/>
      <c r="O1220" s="10"/>
      <c r="V1220" s="10"/>
      <c r="W1220" s="6"/>
    </row>
    <row r="1221" spans="1:23" x14ac:dyDescent="0.2">
      <c r="A1221" s="27"/>
      <c r="B1221" s="25"/>
      <c r="D1221" s="11"/>
      <c r="E1221" s="10"/>
      <c r="O1221" s="10"/>
      <c r="V1221" s="10"/>
      <c r="W1221" s="6"/>
    </row>
    <row r="1222" spans="1:23" x14ac:dyDescent="0.2">
      <c r="A1222" s="27"/>
      <c r="B1222" s="1"/>
      <c r="D1222" s="11"/>
      <c r="E1222" s="10"/>
      <c r="O1222" s="10"/>
      <c r="V1222" s="10"/>
      <c r="W1222" s="6"/>
    </row>
    <row r="1223" spans="1:23" x14ac:dyDescent="0.2">
      <c r="A1223" s="27"/>
      <c r="B1223" s="1"/>
      <c r="D1223" s="11"/>
      <c r="E1223" s="10"/>
      <c r="O1223" s="10"/>
      <c r="V1223" s="10"/>
      <c r="W1223" s="6"/>
    </row>
    <row r="1224" spans="1:23" x14ac:dyDescent="0.2">
      <c r="A1224" s="27"/>
      <c r="B1224" s="25"/>
      <c r="D1224" s="11"/>
      <c r="E1224" s="10"/>
      <c r="O1224" s="10"/>
      <c r="V1224" s="10"/>
      <c r="W1224" s="6"/>
    </row>
    <row r="1225" spans="1:23" x14ac:dyDescent="0.2">
      <c r="A1225" s="27"/>
      <c r="B1225" s="25"/>
      <c r="D1225" s="11"/>
      <c r="E1225" s="10"/>
      <c r="O1225" s="10"/>
      <c r="V1225" s="10"/>
      <c r="W1225" s="6"/>
    </row>
    <row r="1226" spans="1:23" x14ac:dyDescent="0.2">
      <c r="A1226" s="27"/>
      <c r="B1226" s="25"/>
      <c r="D1226" s="11"/>
      <c r="E1226" s="10"/>
      <c r="O1226" s="10"/>
      <c r="V1226" s="10"/>
      <c r="W1226" s="6"/>
    </row>
    <row r="1227" spans="1:23" x14ac:dyDescent="0.2">
      <c r="A1227" s="27"/>
      <c r="B1227" s="25"/>
      <c r="D1227" s="11"/>
      <c r="E1227" s="10"/>
      <c r="O1227" s="10"/>
      <c r="V1227" s="10"/>
      <c r="W1227" s="6"/>
    </row>
    <row r="1228" spans="1:23" x14ac:dyDescent="0.2">
      <c r="A1228" s="27"/>
      <c r="B1228" s="25"/>
      <c r="D1228" s="11"/>
      <c r="E1228" s="10"/>
      <c r="O1228" s="10"/>
      <c r="V1228" s="10"/>
      <c r="W1228" s="6"/>
    </row>
    <row r="1229" spans="1:23" x14ac:dyDescent="0.2">
      <c r="A1229" s="27"/>
      <c r="B1229" s="25"/>
      <c r="D1229" s="11"/>
      <c r="E1229" s="10"/>
      <c r="O1229" s="10"/>
      <c r="V1229" s="10"/>
      <c r="W1229" s="6"/>
    </row>
    <row r="1230" spans="1:23" x14ac:dyDescent="0.2">
      <c r="A1230" s="27"/>
      <c r="B1230" s="1"/>
      <c r="D1230" s="11"/>
      <c r="E1230" s="10"/>
      <c r="O1230" s="10"/>
      <c r="V1230" s="10"/>
      <c r="W1230" s="6"/>
    </row>
    <row r="1231" spans="1:23" x14ac:dyDescent="0.2">
      <c r="A1231" s="27"/>
      <c r="B1231" s="25"/>
      <c r="D1231" s="11"/>
      <c r="E1231" s="10"/>
      <c r="O1231" s="10"/>
      <c r="V1231" s="10"/>
      <c r="W1231" s="6"/>
    </row>
    <row r="1232" spans="1:23" x14ac:dyDescent="0.2">
      <c r="A1232" s="27"/>
      <c r="B1232" s="25"/>
      <c r="D1232" s="11"/>
      <c r="E1232" s="10"/>
      <c r="O1232" s="10"/>
      <c r="V1232" s="10"/>
      <c r="W1232" s="6"/>
    </row>
    <row r="1233" spans="1:23" x14ac:dyDescent="0.2">
      <c r="A1233" s="27"/>
      <c r="B1233" s="25"/>
      <c r="D1233" s="11"/>
      <c r="E1233" s="10"/>
      <c r="O1233" s="10"/>
      <c r="V1233" s="10"/>
      <c r="W1233" s="6"/>
    </row>
    <row r="1234" spans="1:23" x14ac:dyDescent="0.2">
      <c r="A1234" s="27"/>
      <c r="B1234" s="25"/>
      <c r="D1234" s="11"/>
      <c r="E1234" s="10"/>
      <c r="O1234" s="10"/>
      <c r="V1234" s="10"/>
      <c r="W1234" s="6"/>
    </row>
    <row r="1235" spans="1:23" x14ac:dyDescent="0.2">
      <c r="A1235" s="27"/>
      <c r="B1235" s="25"/>
      <c r="D1235" s="11"/>
      <c r="E1235" s="10"/>
      <c r="O1235" s="10"/>
      <c r="V1235" s="10"/>
      <c r="W1235" s="6"/>
    </row>
    <row r="1236" spans="1:23" x14ac:dyDescent="0.2">
      <c r="A1236" s="27"/>
      <c r="B1236" s="25"/>
      <c r="D1236" s="11"/>
      <c r="E1236" s="10"/>
      <c r="O1236" s="10"/>
      <c r="V1236" s="10"/>
      <c r="W1236" s="6"/>
    </row>
    <row r="1237" spans="1:23" x14ac:dyDescent="0.2">
      <c r="A1237" s="27"/>
      <c r="B1237" s="25"/>
      <c r="D1237" s="11"/>
      <c r="E1237" s="10"/>
      <c r="O1237" s="10"/>
      <c r="V1237" s="10"/>
      <c r="W1237" s="6"/>
    </row>
    <row r="1238" spans="1:23" x14ac:dyDescent="0.2">
      <c r="A1238" s="27"/>
      <c r="B1238" s="25"/>
      <c r="D1238" s="11"/>
      <c r="E1238" s="10"/>
      <c r="O1238" s="10"/>
      <c r="V1238" s="10"/>
      <c r="W1238" s="6"/>
    </row>
    <row r="1239" spans="1:23" x14ac:dyDescent="0.2">
      <c r="A1239" s="27"/>
      <c r="B1239" s="25"/>
      <c r="D1239" s="11"/>
      <c r="E1239" s="10"/>
      <c r="O1239" s="10"/>
      <c r="V1239" s="10"/>
      <c r="W1239" s="6"/>
    </row>
    <row r="1240" spans="1:23" x14ac:dyDescent="0.2">
      <c r="A1240" s="27"/>
      <c r="B1240" s="25"/>
      <c r="D1240" s="11"/>
      <c r="E1240" s="10"/>
      <c r="O1240" s="10"/>
      <c r="V1240" s="10"/>
      <c r="W1240" s="6"/>
    </row>
    <row r="1241" spans="1:23" x14ac:dyDescent="0.2">
      <c r="A1241" s="27"/>
      <c r="B1241" s="25"/>
      <c r="D1241" s="11"/>
      <c r="E1241" s="10"/>
      <c r="O1241" s="10"/>
      <c r="V1241" s="10"/>
      <c r="W1241" s="6"/>
    </row>
    <row r="1242" spans="1:23" x14ac:dyDescent="0.2">
      <c r="A1242" s="27"/>
      <c r="B1242" s="25"/>
      <c r="D1242" s="11"/>
      <c r="E1242" s="10"/>
      <c r="O1242" s="10"/>
      <c r="V1242" s="10"/>
      <c r="W1242" s="6"/>
    </row>
    <row r="1243" spans="1:23" x14ac:dyDescent="0.2">
      <c r="A1243" s="27"/>
      <c r="B1243" s="25"/>
      <c r="D1243" s="11"/>
      <c r="E1243" s="10"/>
      <c r="O1243" s="10"/>
      <c r="V1243" s="10"/>
      <c r="W1243" s="6"/>
    </row>
    <row r="1244" spans="1:23" x14ac:dyDescent="0.2">
      <c r="A1244" s="27"/>
      <c r="B1244" s="1"/>
      <c r="D1244" s="11"/>
      <c r="E1244" s="10"/>
      <c r="O1244" s="10"/>
      <c r="V1244" s="10"/>
      <c r="W1244" s="6"/>
    </row>
    <row r="1245" spans="1:23" x14ac:dyDescent="0.2">
      <c r="A1245" s="27"/>
      <c r="B1245" s="25"/>
      <c r="D1245" s="11"/>
      <c r="E1245" s="10"/>
      <c r="O1245" s="10"/>
      <c r="V1245" s="10"/>
      <c r="W1245" s="6"/>
    </row>
    <row r="1246" spans="1:23" x14ac:dyDescent="0.2">
      <c r="A1246" s="27"/>
      <c r="B1246" s="25"/>
      <c r="D1246" s="11"/>
      <c r="E1246" s="10"/>
      <c r="O1246" s="10"/>
      <c r="V1246" s="10"/>
      <c r="W1246" s="6"/>
    </row>
    <row r="1247" spans="1:23" x14ac:dyDescent="0.2">
      <c r="A1247" s="27"/>
      <c r="B1247" s="25"/>
      <c r="D1247" s="11"/>
      <c r="E1247" s="10"/>
      <c r="O1247" s="10"/>
      <c r="V1247" s="10"/>
      <c r="W1247" s="6"/>
    </row>
    <row r="1248" spans="1:23" x14ac:dyDescent="0.2">
      <c r="A1248" s="27"/>
      <c r="B1248" s="25"/>
      <c r="D1248" s="11"/>
      <c r="E1248" s="10"/>
      <c r="O1248" s="10"/>
      <c r="V1248" s="10"/>
      <c r="W1248" s="6"/>
    </row>
    <row r="1249" spans="1:23" x14ac:dyDescent="0.2">
      <c r="A1249" s="27"/>
      <c r="B1249" s="25"/>
      <c r="D1249" s="11"/>
      <c r="E1249" s="10"/>
      <c r="O1249" s="10"/>
      <c r="V1249" s="10"/>
      <c r="W1249" s="6"/>
    </row>
    <row r="1250" spans="1:23" x14ac:dyDescent="0.2">
      <c r="A1250" s="27"/>
      <c r="B1250" s="25"/>
      <c r="D1250" s="11"/>
      <c r="E1250" s="10"/>
      <c r="O1250" s="10"/>
      <c r="V1250" s="10"/>
      <c r="W1250" s="6"/>
    </row>
    <row r="1251" spans="1:23" x14ac:dyDescent="0.2">
      <c r="A1251" s="27"/>
      <c r="B1251" s="25"/>
      <c r="D1251" s="11"/>
      <c r="E1251" s="10"/>
      <c r="O1251" s="10"/>
      <c r="V1251" s="10"/>
      <c r="W1251" s="6"/>
    </row>
    <row r="1252" spans="1:23" x14ac:dyDescent="0.2">
      <c r="A1252" s="27"/>
      <c r="B1252" s="1"/>
      <c r="D1252" s="11"/>
      <c r="E1252" s="10"/>
      <c r="O1252" s="10"/>
      <c r="V1252" s="10"/>
      <c r="W1252" s="6"/>
    </row>
    <row r="1253" spans="1:23" x14ac:dyDescent="0.2">
      <c r="A1253" s="27"/>
      <c r="B1253" s="1"/>
      <c r="D1253" s="11"/>
      <c r="E1253" s="10"/>
      <c r="O1253" s="10"/>
      <c r="V1253" s="10"/>
      <c r="W1253" s="6"/>
    </row>
    <row r="1254" spans="1:23" x14ac:dyDescent="0.2">
      <c r="A1254" s="27"/>
      <c r="B1254" s="25"/>
      <c r="D1254" s="11"/>
      <c r="E1254" s="10"/>
      <c r="O1254" s="10"/>
      <c r="V1254" s="10"/>
      <c r="W1254" s="6"/>
    </row>
    <row r="1255" spans="1:23" x14ac:dyDescent="0.2">
      <c r="A1255" s="27"/>
      <c r="B1255" s="25"/>
      <c r="D1255" s="11"/>
      <c r="E1255" s="10"/>
      <c r="O1255" s="10"/>
      <c r="V1255" s="10"/>
      <c r="W1255" s="6"/>
    </row>
    <row r="1256" spans="1:23" x14ac:dyDescent="0.2">
      <c r="A1256" s="27"/>
      <c r="B1256" s="25"/>
      <c r="D1256" s="11"/>
      <c r="E1256" s="10"/>
      <c r="O1256" s="10"/>
      <c r="V1256" s="10"/>
      <c r="W1256" s="6"/>
    </row>
    <row r="1257" spans="1:23" x14ac:dyDescent="0.2">
      <c r="A1257" s="27"/>
      <c r="B1257" s="25"/>
      <c r="D1257" s="11"/>
      <c r="E1257" s="10"/>
      <c r="O1257" s="10"/>
      <c r="V1257" s="10"/>
      <c r="W1257" s="6"/>
    </row>
    <row r="1258" spans="1:23" x14ac:dyDescent="0.2">
      <c r="A1258" s="27"/>
      <c r="B1258" s="25"/>
      <c r="D1258" s="11"/>
      <c r="E1258" s="10"/>
      <c r="O1258" s="10"/>
      <c r="V1258" s="10"/>
      <c r="W1258" s="6"/>
    </row>
    <row r="1259" spans="1:23" x14ac:dyDescent="0.2">
      <c r="A1259" s="27"/>
      <c r="B1259" s="25"/>
      <c r="D1259" s="11"/>
      <c r="E1259" s="10"/>
      <c r="O1259" s="10"/>
      <c r="V1259" s="10"/>
      <c r="W1259" s="6"/>
    </row>
    <row r="1260" spans="1:23" x14ac:dyDescent="0.2">
      <c r="A1260" s="27"/>
      <c r="B1260" s="25"/>
      <c r="D1260" s="11"/>
      <c r="E1260" s="10"/>
      <c r="O1260" s="10"/>
      <c r="V1260" s="10"/>
      <c r="W1260" s="6"/>
    </row>
    <row r="1261" spans="1:23" x14ac:dyDescent="0.2">
      <c r="A1261" s="27"/>
      <c r="B1261" s="25"/>
      <c r="D1261" s="11"/>
      <c r="E1261" s="10"/>
      <c r="O1261" s="10"/>
      <c r="V1261" s="10"/>
      <c r="W1261" s="6"/>
    </row>
    <row r="1262" spans="1:23" x14ac:dyDescent="0.2">
      <c r="A1262" s="27"/>
      <c r="B1262" s="1"/>
      <c r="D1262" s="11"/>
      <c r="E1262" s="10"/>
      <c r="O1262" s="10"/>
      <c r="V1262" s="10"/>
      <c r="W1262" s="6"/>
    </row>
    <row r="1263" spans="1:23" x14ac:dyDescent="0.2">
      <c r="A1263" s="27"/>
      <c r="B1263" s="25"/>
      <c r="D1263" s="11"/>
      <c r="E1263" s="10"/>
      <c r="O1263" s="10"/>
      <c r="V1263" s="10"/>
      <c r="W1263" s="6"/>
    </row>
    <row r="1264" spans="1:23" x14ac:dyDescent="0.2">
      <c r="A1264" s="27"/>
      <c r="B1264" s="25"/>
      <c r="D1264" s="11"/>
      <c r="E1264" s="10"/>
      <c r="O1264" s="10"/>
      <c r="V1264" s="10"/>
      <c r="W1264" s="6"/>
    </row>
    <row r="1265" spans="1:23" x14ac:dyDescent="0.2">
      <c r="A1265" s="27"/>
      <c r="B1265" s="1"/>
      <c r="D1265" s="11"/>
      <c r="E1265" s="10"/>
      <c r="O1265" s="10"/>
      <c r="V1265" s="10"/>
      <c r="W1265" s="6"/>
    </row>
    <row r="1266" spans="1:23" x14ac:dyDescent="0.2">
      <c r="A1266" s="27"/>
      <c r="B1266" s="25"/>
      <c r="D1266" s="11"/>
      <c r="E1266" s="10"/>
      <c r="O1266" s="10"/>
      <c r="V1266" s="10"/>
      <c r="W1266" s="6"/>
    </row>
    <row r="1267" spans="1:23" x14ac:dyDescent="0.2">
      <c r="A1267" s="27"/>
      <c r="B1267" s="25"/>
      <c r="D1267" s="11"/>
      <c r="E1267" s="10"/>
      <c r="O1267" s="10"/>
      <c r="V1267" s="10"/>
      <c r="W1267" s="6"/>
    </row>
    <row r="1268" spans="1:23" x14ac:dyDescent="0.2">
      <c r="A1268" s="27"/>
      <c r="B1268" s="25"/>
      <c r="D1268" s="11"/>
      <c r="E1268" s="10"/>
      <c r="O1268" s="10"/>
      <c r="V1268" s="10"/>
      <c r="W1268" s="6"/>
    </row>
    <row r="1269" spans="1:23" x14ac:dyDescent="0.2">
      <c r="A1269" s="27"/>
      <c r="B1269" s="25"/>
      <c r="D1269" s="11"/>
      <c r="E1269" s="10"/>
      <c r="O1269" s="10"/>
      <c r="V1269" s="10"/>
      <c r="W1269" s="6"/>
    </row>
    <row r="1270" spans="1:23" x14ac:dyDescent="0.2">
      <c r="A1270" s="27"/>
      <c r="B1270" s="25"/>
      <c r="D1270" s="11"/>
      <c r="E1270" s="10"/>
      <c r="O1270" s="10"/>
      <c r="V1270" s="10"/>
      <c r="W1270" s="6"/>
    </row>
    <row r="1271" spans="1:23" x14ac:dyDescent="0.2">
      <c r="A1271" s="27"/>
      <c r="B1271" s="25"/>
      <c r="D1271" s="11"/>
      <c r="E1271" s="10"/>
      <c r="O1271" s="10"/>
      <c r="V1271" s="10"/>
      <c r="W1271" s="6"/>
    </row>
    <row r="1272" spans="1:23" x14ac:dyDescent="0.2">
      <c r="A1272" s="27"/>
      <c r="B1272" s="25"/>
      <c r="D1272" s="11"/>
      <c r="E1272" s="10"/>
      <c r="O1272" s="10"/>
      <c r="V1272" s="10"/>
      <c r="W1272" s="6"/>
    </row>
    <row r="1273" spans="1:23" x14ac:dyDescent="0.2">
      <c r="A1273" s="27"/>
      <c r="B1273" s="25"/>
      <c r="D1273" s="11"/>
      <c r="E1273" s="10"/>
      <c r="O1273" s="10"/>
      <c r="V1273" s="10"/>
      <c r="W1273" s="6"/>
    </row>
    <row r="1274" spans="1:23" x14ac:dyDescent="0.2">
      <c r="A1274" s="27"/>
      <c r="B1274" s="25"/>
      <c r="D1274" s="11"/>
      <c r="E1274" s="10"/>
      <c r="O1274" s="10"/>
      <c r="V1274" s="10"/>
      <c r="W1274" s="6"/>
    </row>
    <row r="1275" spans="1:23" x14ac:dyDescent="0.2">
      <c r="A1275" s="27"/>
      <c r="B1275" s="25"/>
      <c r="D1275" s="11"/>
      <c r="E1275" s="10"/>
      <c r="O1275" s="10"/>
      <c r="V1275" s="10"/>
      <c r="W1275" s="6"/>
    </row>
    <row r="1276" spans="1:23" x14ac:dyDescent="0.2">
      <c r="A1276" s="27"/>
      <c r="B1276" s="25"/>
      <c r="D1276" s="11"/>
      <c r="E1276" s="10"/>
      <c r="O1276" s="10"/>
      <c r="V1276" s="10"/>
      <c r="W1276" s="6"/>
    </row>
    <row r="1277" spans="1:23" x14ac:dyDescent="0.2">
      <c r="A1277" s="27"/>
      <c r="B1277" s="25"/>
      <c r="D1277" s="11"/>
      <c r="E1277" s="10"/>
      <c r="O1277" s="10"/>
      <c r="V1277" s="10"/>
      <c r="W1277" s="6"/>
    </row>
    <row r="1278" spans="1:23" x14ac:dyDescent="0.2">
      <c r="A1278" s="27"/>
      <c r="B1278" s="25"/>
      <c r="D1278" s="11"/>
      <c r="E1278" s="10"/>
      <c r="O1278" s="10"/>
      <c r="V1278" s="10"/>
      <c r="W1278" s="6"/>
    </row>
    <row r="1279" spans="1:23" x14ac:dyDescent="0.2">
      <c r="A1279" s="27"/>
      <c r="B1279" s="25"/>
      <c r="D1279" s="11"/>
      <c r="E1279" s="10"/>
      <c r="O1279" s="10"/>
      <c r="V1279" s="10"/>
      <c r="W1279" s="6"/>
    </row>
    <row r="1280" spans="1:23" x14ac:dyDescent="0.2">
      <c r="A1280" s="27"/>
      <c r="B1280" s="1"/>
      <c r="D1280" s="11"/>
      <c r="E1280" s="10"/>
      <c r="O1280" s="10"/>
      <c r="V1280" s="10"/>
      <c r="W1280" s="6"/>
    </row>
    <row r="1281" spans="1:23" x14ac:dyDescent="0.2">
      <c r="A1281" s="27"/>
      <c r="B1281" s="25"/>
      <c r="D1281" s="11"/>
      <c r="E1281" s="10"/>
      <c r="O1281" s="10"/>
      <c r="V1281" s="10"/>
      <c r="W1281" s="6"/>
    </row>
    <row r="1282" spans="1:23" x14ac:dyDescent="0.2">
      <c r="A1282" s="27"/>
      <c r="B1282" s="1"/>
      <c r="D1282" s="11"/>
      <c r="E1282" s="10"/>
      <c r="O1282" s="10"/>
      <c r="V1282" s="10"/>
      <c r="W1282" s="6"/>
    </row>
    <row r="1283" spans="1:23" x14ac:dyDescent="0.2">
      <c r="A1283" s="27"/>
      <c r="B1283" s="1"/>
      <c r="D1283" s="11"/>
      <c r="E1283" s="10"/>
      <c r="O1283" s="10"/>
      <c r="V1283" s="10"/>
      <c r="W1283" s="6"/>
    </row>
    <row r="1284" spans="1:23" x14ac:dyDescent="0.2">
      <c r="A1284" s="27"/>
      <c r="B1284" s="25"/>
      <c r="D1284" s="11"/>
      <c r="E1284" s="10"/>
      <c r="O1284" s="10"/>
      <c r="V1284" s="10"/>
      <c r="W1284" s="6"/>
    </row>
    <row r="1285" spans="1:23" x14ac:dyDescent="0.2">
      <c r="A1285" s="27"/>
      <c r="B1285" s="25"/>
      <c r="D1285" s="11"/>
      <c r="E1285" s="10"/>
      <c r="O1285" s="10"/>
      <c r="V1285" s="10"/>
      <c r="W1285" s="6"/>
    </row>
    <row r="1286" spans="1:23" x14ac:dyDescent="0.2">
      <c r="A1286" s="27"/>
      <c r="B1286" s="25"/>
      <c r="D1286" s="11"/>
      <c r="E1286" s="10"/>
      <c r="O1286" s="10"/>
      <c r="V1286" s="10"/>
      <c r="W1286" s="6"/>
    </row>
    <row r="1287" spans="1:23" x14ac:dyDescent="0.2">
      <c r="A1287" s="27"/>
      <c r="B1287" s="25"/>
      <c r="D1287" s="11"/>
      <c r="E1287" s="10"/>
      <c r="O1287" s="10"/>
      <c r="V1287" s="10"/>
      <c r="W1287" s="6"/>
    </row>
    <row r="1288" spans="1:23" x14ac:dyDescent="0.2">
      <c r="A1288" s="27"/>
      <c r="B1288" s="1"/>
      <c r="D1288" s="11"/>
      <c r="E1288" s="10"/>
      <c r="O1288" s="10"/>
      <c r="V1288" s="10"/>
      <c r="W1288" s="6"/>
    </row>
    <row r="1289" spans="1:23" x14ac:dyDescent="0.2">
      <c r="A1289" s="27"/>
      <c r="B1289" s="25"/>
      <c r="D1289" s="11"/>
      <c r="E1289" s="10"/>
      <c r="O1289" s="10"/>
      <c r="V1289" s="10"/>
      <c r="W1289" s="6"/>
    </row>
    <row r="1290" spans="1:23" x14ac:dyDescent="0.2">
      <c r="A1290" s="27"/>
      <c r="B1290" s="25"/>
      <c r="D1290" s="11"/>
      <c r="E1290" s="10"/>
      <c r="O1290" s="10"/>
      <c r="V1290" s="10"/>
      <c r="W1290" s="6"/>
    </row>
    <row r="1291" spans="1:23" x14ac:dyDescent="0.2">
      <c r="A1291" s="27"/>
      <c r="B1291" s="25"/>
      <c r="D1291" s="11"/>
      <c r="E1291" s="10"/>
      <c r="O1291" s="10"/>
      <c r="V1291" s="10"/>
      <c r="W1291" s="6"/>
    </row>
    <row r="1292" spans="1:23" x14ac:dyDescent="0.2">
      <c r="A1292" s="27"/>
      <c r="B1292" s="1"/>
      <c r="D1292" s="11"/>
      <c r="E1292" s="10"/>
      <c r="O1292" s="10"/>
      <c r="V1292" s="10"/>
      <c r="W1292" s="6"/>
    </row>
    <row r="1293" spans="1:23" x14ac:dyDescent="0.2">
      <c r="A1293" s="27"/>
      <c r="B1293" s="25"/>
      <c r="D1293" s="11"/>
      <c r="E1293" s="10"/>
      <c r="O1293" s="10"/>
      <c r="V1293" s="10"/>
      <c r="W1293" s="6"/>
    </row>
    <row r="1294" spans="1:23" x14ac:dyDescent="0.2">
      <c r="A1294" s="27"/>
      <c r="B1294" s="25"/>
      <c r="D1294" s="11"/>
      <c r="E1294" s="10"/>
      <c r="O1294" s="10"/>
      <c r="V1294" s="10"/>
      <c r="W1294" s="6"/>
    </row>
    <row r="1295" spans="1:23" x14ac:dyDescent="0.2">
      <c r="A1295" s="27"/>
      <c r="B1295" s="25"/>
      <c r="D1295" s="11"/>
      <c r="E1295" s="10"/>
      <c r="O1295" s="10"/>
      <c r="V1295" s="10"/>
      <c r="W1295" s="6"/>
    </row>
    <row r="1296" spans="1:23" x14ac:dyDescent="0.2">
      <c r="A1296" s="27"/>
      <c r="B1296" s="25"/>
      <c r="D1296" s="11"/>
      <c r="E1296" s="10"/>
      <c r="O1296" s="10"/>
      <c r="V1296" s="10"/>
      <c r="W1296" s="6"/>
    </row>
    <row r="1297" spans="1:23" x14ac:dyDescent="0.2">
      <c r="A1297" s="27"/>
      <c r="B1297" s="25"/>
      <c r="D1297" s="11"/>
      <c r="E1297" s="10"/>
      <c r="O1297" s="10"/>
      <c r="V1297" s="10"/>
      <c r="W1297" s="6"/>
    </row>
    <row r="1298" spans="1:23" x14ac:dyDescent="0.2">
      <c r="A1298" s="27"/>
      <c r="B1298" s="25"/>
      <c r="D1298" s="11"/>
      <c r="E1298" s="10"/>
      <c r="O1298" s="10"/>
      <c r="V1298" s="10"/>
      <c r="W1298" s="6"/>
    </row>
    <row r="1299" spans="1:23" x14ac:dyDescent="0.2">
      <c r="A1299" s="27"/>
      <c r="B1299" s="25"/>
      <c r="D1299" s="11"/>
      <c r="E1299" s="10"/>
      <c r="O1299" s="10"/>
      <c r="V1299" s="10"/>
      <c r="W1299" s="6"/>
    </row>
    <row r="1300" spans="1:23" x14ac:dyDescent="0.2">
      <c r="A1300" s="27"/>
      <c r="B1300" s="25"/>
      <c r="D1300" s="11"/>
      <c r="E1300" s="10"/>
      <c r="O1300" s="10"/>
      <c r="V1300" s="10"/>
      <c r="W1300" s="6"/>
    </row>
    <row r="1301" spans="1:23" x14ac:dyDescent="0.2">
      <c r="A1301" s="27"/>
      <c r="B1301" s="25"/>
      <c r="D1301" s="11"/>
      <c r="E1301" s="10"/>
      <c r="O1301" s="10"/>
      <c r="V1301" s="10"/>
      <c r="W1301" s="6"/>
    </row>
    <row r="1302" spans="1:23" x14ac:dyDescent="0.2">
      <c r="A1302" s="27"/>
      <c r="B1302" s="25"/>
      <c r="D1302" s="11"/>
      <c r="E1302" s="10"/>
      <c r="O1302" s="10"/>
      <c r="V1302" s="10"/>
      <c r="W1302" s="6"/>
    </row>
    <row r="1303" spans="1:23" x14ac:dyDescent="0.2">
      <c r="A1303" s="27"/>
      <c r="B1303" s="25"/>
      <c r="D1303" s="11"/>
      <c r="E1303" s="10"/>
      <c r="O1303" s="10"/>
      <c r="V1303" s="10"/>
      <c r="W1303" s="6"/>
    </row>
    <row r="1304" spans="1:23" x14ac:dyDescent="0.2">
      <c r="A1304" s="27"/>
      <c r="B1304" s="1"/>
      <c r="D1304" s="11"/>
      <c r="E1304" s="10"/>
      <c r="O1304" s="10"/>
      <c r="V1304" s="10"/>
      <c r="W1304" s="6"/>
    </row>
    <row r="1305" spans="1:23" x14ac:dyDescent="0.2">
      <c r="A1305" s="27"/>
      <c r="B1305" s="25"/>
      <c r="D1305" s="11"/>
      <c r="E1305" s="10"/>
      <c r="O1305" s="10"/>
      <c r="V1305" s="10"/>
      <c r="W1305" s="6"/>
    </row>
    <row r="1306" spans="1:23" x14ac:dyDescent="0.2">
      <c r="A1306" s="27"/>
      <c r="B1306" s="1"/>
      <c r="D1306" s="11"/>
      <c r="E1306" s="10"/>
      <c r="O1306" s="10"/>
      <c r="V1306" s="10"/>
      <c r="W1306" s="6"/>
    </row>
    <row r="1307" spans="1:23" x14ac:dyDescent="0.2">
      <c r="A1307" s="27"/>
      <c r="B1307" s="25"/>
      <c r="D1307" s="11"/>
      <c r="E1307" s="10"/>
      <c r="O1307" s="10"/>
      <c r="V1307" s="10"/>
      <c r="W1307" s="6"/>
    </row>
    <row r="1308" spans="1:23" x14ac:dyDescent="0.2">
      <c r="A1308" s="27"/>
      <c r="B1308" s="25"/>
      <c r="D1308" s="11"/>
      <c r="E1308" s="10"/>
      <c r="O1308" s="10"/>
      <c r="V1308" s="10"/>
      <c r="W1308" s="6"/>
    </row>
    <row r="1309" spans="1:23" x14ac:dyDescent="0.2">
      <c r="A1309" s="27"/>
      <c r="B1309" s="25"/>
      <c r="D1309" s="11"/>
      <c r="E1309" s="10"/>
      <c r="O1309" s="10"/>
      <c r="V1309" s="10"/>
      <c r="W1309" s="6"/>
    </row>
    <row r="1310" spans="1:23" x14ac:dyDescent="0.2">
      <c r="A1310" s="27"/>
      <c r="B1310" s="25"/>
      <c r="D1310" s="11"/>
      <c r="E1310" s="10"/>
      <c r="O1310" s="10"/>
      <c r="V1310" s="10"/>
      <c r="W1310" s="6"/>
    </row>
    <row r="1311" spans="1:23" x14ac:dyDescent="0.2">
      <c r="A1311" s="27"/>
      <c r="B1311" s="25"/>
      <c r="D1311" s="11"/>
      <c r="E1311" s="10"/>
      <c r="O1311" s="10"/>
      <c r="V1311" s="10"/>
      <c r="W1311" s="6"/>
    </row>
    <row r="1312" spans="1:23" x14ac:dyDescent="0.2">
      <c r="A1312" s="27"/>
      <c r="B1312" s="25"/>
      <c r="D1312" s="11"/>
      <c r="E1312" s="10"/>
      <c r="O1312" s="10"/>
      <c r="V1312" s="10"/>
      <c r="W1312" s="6"/>
    </row>
    <row r="1313" spans="1:23" x14ac:dyDescent="0.2">
      <c r="A1313" s="27"/>
      <c r="B1313" s="1"/>
      <c r="D1313" s="11"/>
      <c r="E1313" s="10"/>
      <c r="O1313" s="10"/>
      <c r="V1313" s="10"/>
      <c r="W1313" s="6"/>
    </row>
    <row r="1314" spans="1:23" x14ac:dyDescent="0.2">
      <c r="A1314" s="27"/>
      <c r="B1314" s="25"/>
      <c r="D1314" s="11"/>
      <c r="E1314" s="10"/>
      <c r="O1314" s="10"/>
      <c r="V1314" s="10"/>
      <c r="W1314" s="6"/>
    </row>
    <row r="1315" spans="1:23" x14ac:dyDescent="0.2">
      <c r="A1315" s="27"/>
      <c r="B1315" s="25"/>
      <c r="D1315" s="11"/>
      <c r="E1315" s="10"/>
      <c r="O1315" s="10"/>
      <c r="V1315" s="10"/>
      <c r="W1315" s="6"/>
    </row>
    <row r="1316" spans="1:23" x14ac:dyDescent="0.2">
      <c r="A1316" s="27"/>
      <c r="B1316" s="1"/>
      <c r="D1316" s="11"/>
      <c r="E1316" s="10"/>
      <c r="O1316" s="10"/>
      <c r="V1316" s="10"/>
      <c r="W1316" s="6"/>
    </row>
    <row r="1317" spans="1:23" x14ac:dyDescent="0.2">
      <c r="A1317" s="27"/>
      <c r="B1317" s="25"/>
      <c r="D1317" s="11"/>
      <c r="E1317" s="10"/>
      <c r="O1317" s="10"/>
      <c r="V1317" s="10"/>
      <c r="W1317" s="6"/>
    </row>
    <row r="1318" spans="1:23" x14ac:dyDescent="0.2">
      <c r="A1318" s="27"/>
      <c r="B1318" s="25"/>
      <c r="D1318" s="11"/>
      <c r="E1318" s="10"/>
      <c r="O1318" s="10"/>
      <c r="V1318" s="10"/>
      <c r="W1318" s="6"/>
    </row>
    <row r="1319" spans="1:23" x14ac:dyDescent="0.2">
      <c r="A1319" s="27"/>
      <c r="B1319" s="25"/>
      <c r="D1319" s="11"/>
      <c r="E1319" s="10"/>
      <c r="O1319" s="10"/>
      <c r="V1319" s="10"/>
      <c r="W1319" s="6"/>
    </row>
    <row r="1320" spans="1:23" x14ac:dyDescent="0.2">
      <c r="A1320" s="27"/>
      <c r="B1320" s="25"/>
      <c r="D1320" s="11"/>
      <c r="E1320" s="10"/>
      <c r="O1320" s="10"/>
      <c r="V1320" s="10"/>
      <c r="W1320" s="6"/>
    </row>
    <row r="1321" spans="1:23" x14ac:dyDescent="0.2">
      <c r="A1321" s="27"/>
      <c r="B1321" s="25"/>
      <c r="D1321" s="11"/>
      <c r="E1321" s="10"/>
      <c r="O1321" s="10"/>
      <c r="V1321" s="10"/>
      <c r="W1321" s="6"/>
    </row>
    <row r="1322" spans="1:23" x14ac:dyDescent="0.2">
      <c r="A1322" s="27"/>
      <c r="B1322" s="1"/>
      <c r="D1322" s="11"/>
      <c r="E1322" s="10"/>
      <c r="O1322" s="10"/>
      <c r="V1322" s="10"/>
      <c r="W1322" s="6"/>
    </row>
    <row r="1323" spans="1:23" x14ac:dyDescent="0.2">
      <c r="A1323" s="27"/>
      <c r="B1323" s="25"/>
      <c r="D1323" s="11"/>
      <c r="E1323" s="10"/>
      <c r="O1323" s="10"/>
      <c r="V1323" s="10"/>
      <c r="W1323" s="6"/>
    </row>
    <row r="1324" spans="1:23" x14ac:dyDescent="0.2">
      <c r="A1324" s="27"/>
      <c r="B1324" s="25"/>
      <c r="D1324" s="11"/>
      <c r="E1324" s="10"/>
      <c r="O1324" s="10"/>
      <c r="V1324" s="10"/>
      <c r="W1324" s="6"/>
    </row>
    <row r="1325" spans="1:23" x14ac:dyDescent="0.2">
      <c r="A1325" s="27"/>
      <c r="B1325" s="25"/>
      <c r="D1325" s="11"/>
      <c r="E1325" s="10"/>
      <c r="O1325" s="10"/>
      <c r="V1325" s="10"/>
      <c r="W1325" s="6"/>
    </row>
    <row r="1326" spans="1:23" x14ac:dyDescent="0.2">
      <c r="A1326" s="27"/>
      <c r="B1326" s="25"/>
      <c r="D1326" s="11"/>
      <c r="E1326" s="10"/>
      <c r="O1326" s="10"/>
      <c r="V1326" s="10"/>
      <c r="W1326" s="6"/>
    </row>
    <row r="1327" spans="1:23" x14ac:dyDescent="0.2">
      <c r="A1327" s="27"/>
      <c r="B1327" s="1"/>
      <c r="D1327" s="11"/>
      <c r="E1327" s="10"/>
      <c r="O1327" s="10"/>
      <c r="V1327" s="10"/>
      <c r="W1327" s="6"/>
    </row>
    <row r="1328" spans="1:23" x14ac:dyDescent="0.2">
      <c r="A1328" s="27"/>
      <c r="B1328" s="25"/>
      <c r="D1328" s="11"/>
      <c r="E1328" s="10"/>
      <c r="O1328" s="10"/>
      <c r="V1328" s="10"/>
      <c r="W1328" s="6"/>
    </row>
    <row r="1329" spans="1:23" x14ac:dyDescent="0.2">
      <c r="A1329" s="27"/>
      <c r="B1329" s="25"/>
      <c r="D1329" s="11"/>
      <c r="E1329" s="10"/>
      <c r="O1329" s="10"/>
      <c r="V1329" s="10"/>
      <c r="W1329" s="6"/>
    </row>
    <row r="1330" spans="1:23" x14ac:dyDescent="0.2">
      <c r="A1330" s="27"/>
      <c r="B1330" s="25"/>
      <c r="D1330" s="11"/>
      <c r="E1330" s="10"/>
      <c r="O1330" s="10"/>
      <c r="V1330" s="10"/>
      <c r="W1330" s="6"/>
    </row>
    <row r="1331" spans="1:23" x14ac:dyDescent="0.2">
      <c r="A1331" s="27"/>
      <c r="B1331" s="25"/>
      <c r="D1331" s="11"/>
      <c r="E1331" s="10"/>
      <c r="O1331" s="10"/>
      <c r="V1331" s="10"/>
      <c r="W1331" s="6"/>
    </row>
    <row r="1332" spans="1:23" x14ac:dyDescent="0.2">
      <c r="A1332" s="27"/>
      <c r="B1332" s="25"/>
      <c r="D1332" s="11"/>
      <c r="E1332" s="10"/>
      <c r="O1332" s="10"/>
      <c r="V1332" s="10"/>
      <c r="W1332" s="6"/>
    </row>
    <row r="1333" spans="1:23" x14ac:dyDescent="0.2">
      <c r="A1333" s="27"/>
      <c r="B1333" s="1"/>
      <c r="D1333" s="11"/>
      <c r="E1333" s="10"/>
      <c r="O1333" s="10"/>
      <c r="V1333" s="10"/>
      <c r="W1333" s="6"/>
    </row>
    <row r="1334" spans="1:23" x14ac:dyDescent="0.2">
      <c r="A1334" s="27"/>
      <c r="B1334" s="25"/>
      <c r="D1334" s="11"/>
      <c r="E1334" s="10"/>
      <c r="O1334" s="10"/>
      <c r="V1334" s="10"/>
      <c r="W1334" s="6"/>
    </row>
    <row r="1335" spans="1:23" x14ac:dyDescent="0.2">
      <c r="A1335" s="27"/>
      <c r="B1335" s="25"/>
      <c r="D1335" s="11"/>
      <c r="E1335" s="10"/>
      <c r="O1335" s="10"/>
      <c r="V1335" s="10"/>
      <c r="W1335" s="6"/>
    </row>
    <row r="1336" spans="1:23" x14ac:dyDescent="0.2">
      <c r="A1336" s="27"/>
      <c r="B1336" s="25"/>
      <c r="D1336" s="11"/>
      <c r="E1336" s="10"/>
      <c r="O1336" s="10"/>
      <c r="V1336" s="10"/>
      <c r="W1336" s="6"/>
    </row>
    <row r="1337" spans="1:23" x14ac:dyDescent="0.2">
      <c r="A1337" s="27"/>
      <c r="B1337" s="25"/>
      <c r="D1337" s="11"/>
      <c r="E1337" s="10"/>
      <c r="O1337" s="10"/>
      <c r="V1337" s="10"/>
      <c r="W1337" s="6"/>
    </row>
    <row r="1338" spans="1:23" x14ac:dyDescent="0.2">
      <c r="A1338" s="27"/>
      <c r="B1338" s="25"/>
      <c r="D1338" s="11"/>
      <c r="E1338" s="10"/>
      <c r="O1338" s="10"/>
      <c r="V1338" s="10"/>
      <c r="W1338" s="6"/>
    </row>
    <row r="1339" spans="1:23" x14ac:dyDescent="0.2">
      <c r="A1339" s="27"/>
      <c r="B1339" s="25"/>
      <c r="D1339" s="11"/>
      <c r="E1339" s="10"/>
      <c r="O1339" s="10"/>
      <c r="V1339" s="10"/>
      <c r="W1339" s="6"/>
    </row>
    <row r="1340" spans="1:23" x14ac:dyDescent="0.2">
      <c r="A1340" s="27"/>
      <c r="B1340" s="25"/>
      <c r="D1340" s="11"/>
      <c r="E1340" s="10"/>
      <c r="O1340" s="10"/>
      <c r="V1340" s="10"/>
      <c r="W1340" s="6"/>
    </row>
    <row r="1341" spans="1:23" x14ac:dyDescent="0.2">
      <c r="A1341" s="27"/>
      <c r="B1341" s="25"/>
      <c r="D1341" s="11"/>
      <c r="E1341" s="10"/>
      <c r="O1341" s="10"/>
      <c r="V1341" s="10"/>
      <c r="W1341" s="6"/>
    </row>
    <row r="1342" spans="1:23" x14ac:dyDescent="0.2">
      <c r="A1342" s="27"/>
      <c r="B1342" s="25"/>
      <c r="D1342" s="11"/>
      <c r="E1342" s="10"/>
      <c r="O1342" s="10"/>
      <c r="V1342" s="10"/>
      <c r="W1342" s="6"/>
    </row>
    <row r="1343" spans="1:23" x14ac:dyDescent="0.2">
      <c r="A1343" s="27"/>
      <c r="B1343" s="25"/>
      <c r="D1343" s="11"/>
      <c r="E1343" s="10"/>
      <c r="O1343" s="10"/>
      <c r="V1343" s="10"/>
      <c r="W1343" s="6"/>
    </row>
    <row r="1344" spans="1:23" x14ac:dyDescent="0.2">
      <c r="A1344" s="27"/>
      <c r="B1344" s="25"/>
      <c r="D1344" s="11"/>
      <c r="E1344" s="10"/>
      <c r="O1344" s="10"/>
      <c r="V1344" s="10"/>
      <c r="W1344" s="6"/>
    </row>
    <row r="1345" spans="1:23" x14ac:dyDescent="0.2">
      <c r="A1345" s="27"/>
      <c r="B1345" s="1"/>
      <c r="D1345" s="11"/>
      <c r="E1345" s="10"/>
      <c r="O1345" s="10"/>
      <c r="V1345" s="10"/>
      <c r="W1345" s="6"/>
    </row>
    <row r="1346" spans="1:23" x14ac:dyDescent="0.2">
      <c r="A1346" s="27"/>
      <c r="B1346" s="1"/>
      <c r="D1346" s="11"/>
      <c r="E1346" s="10"/>
      <c r="O1346" s="10"/>
      <c r="V1346" s="10"/>
      <c r="W1346" s="6"/>
    </row>
    <row r="1347" spans="1:23" x14ac:dyDescent="0.2">
      <c r="A1347" s="27"/>
      <c r="B1347" s="1"/>
      <c r="D1347" s="11"/>
      <c r="E1347" s="10"/>
      <c r="O1347" s="10"/>
      <c r="V1347" s="10"/>
      <c r="W1347" s="6"/>
    </row>
    <row r="1348" spans="1:23" x14ac:dyDescent="0.2">
      <c r="A1348" s="27"/>
      <c r="B1348" s="25"/>
      <c r="D1348" s="11"/>
      <c r="E1348" s="10"/>
      <c r="O1348" s="10"/>
      <c r="V1348" s="10"/>
      <c r="W1348" s="6"/>
    </row>
    <row r="1349" spans="1:23" x14ac:dyDescent="0.2">
      <c r="A1349" s="27"/>
      <c r="B1349" s="25"/>
      <c r="D1349" s="11"/>
      <c r="E1349" s="10"/>
      <c r="O1349" s="10"/>
      <c r="V1349" s="10"/>
      <c r="W1349" s="6"/>
    </row>
    <row r="1350" spans="1:23" x14ac:dyDescent="0.2">
      <c r="A1350" s="27"/>
      <c r="B1350" s="25"/>
      <c r="D1350" s="11"/>
      <c r="E1350" s="10"/>
      <c r="O1350" s="10"/>
      <c r="V1350" s="10"/>
      <c r="W1350" s="6"/>
    </row>
    <row r="1351" spans="1:23" x14ac:dyDescent="0.2">
      <c r="A1351" s="27"/>
      <c r="B1351" s="25"/>
      <c r="D1351" s="11"/>
      <c r="E1351" s="10"/>
      <c r="O1351" s="10"/>
      <c r="V1351" s="10"/>
      <c r="W1351" s="6"/>
    </row>
    <row r="1352" spans="1:23" x14ac:dyDescent="0.2">
      <c r="A1352" s="27"/>
      <c r="B1352" s="25"/>
      <c r="D1352" s="11"/>
      <c r="E1352" s="10"/>
      <c r="O1352" s="10"/>
      <c r="V1352" s="10"/>
      <c r="W1352" s="6"/>
    </row>
    <row r="1353" spans="1:23" x14ac:dyDescent="0.2">
      <c r="A1353" s="27"/>
      <c r="B1353" s="25"/>
      <c r="D1353" s="11"/>
      <c r="E1353" s="10"/>
      <c r="O1353" s="10"/>
      <c r="V1353" s="10"/>
    </row>
    <row r="1354" spans="1:23" x14ac:dyDescent="0.2">
      <c r="A1354" s="27"/>
      <c r="B1354" s="25"/>
      <c r="D1354" s="11"/>
      <c r="E1354" s="10"/>
      <c r="O1354" s="10"/>
      <c r="V1354" s="10"/>
      <c r="W1354" s="6"/>
    </row>
    <row r="1355" spans="1:23" x14ac:dyDescent="0.2">
      <c r="A1355" s="27"/>
      <c r="B1355" s="25"/>
      <c r="D1355" s="11"/>
      <c r="E1355" s="10"/>
      <c r="O1355" s="10"/>
      <c r="V1355" s="10"/>
      <c r="W1355" s="6"/>
    </row>
    <row r="1356" spans="1:23" x14ac:dyDescent="0.2">
      <c r="A1356" s="27"/>
      <c r="B1356" s="25"/>
      <c r="D1356" s="11"/>
      <c r="E1356" s="10"/>
      <c r="O1356" s="10"/>
      <c r="V1356" s="10"/>
      <c r="W1356" s="6"/>
    </row>
    <row r="1357" spans="1:23" x14ac:dyDescent="0.2">
      <c r="A1357" s="27"/>
      <c r="B1357" s="25"/>
      <c r="D1357" s="11"/>
      <c r="E1357" s="10"/>
      <c r="O1357" s="10"/>
      <c r="V1357" s="10"/>
      <c r="W1357" s="6"/>
    </row>
    <row r="1358" spans="1:23" x14ac:dyDescent="0.2">
      <c r="A1358" s="27"/>
      <c r="B1358" s="1"/>
      <c r="D1358" s="11"/>
      <c r="E1358" s="10"/>
      <c r="O1358" s="10"/>
      <c r="V1358" s="10"/>
      <c r="W1358" s="6"/>
    </row>
    <row r="1359" spans="1:23" x14ac:dyDescent="0.2">
      <c r="A1359" s="27"/>
      <c r="B1359" s="1"/>
      <c r="D1359" s="11"/>
      <c r="E1359" s="10"/>
      <c r="O1359" s="10"/>
      <c r="V1359" s="10"/>
      <c r="W1359" s="6"/>
    </row>
    <row r="1360" spans="1:23" x14ac:dyDescent="0.2">
      <c r="A1360" s="27"/>
      <c r="B1360" s="1"/>
      <c r="D1360" s="11"/>
      <c r="E1360" s="10"/>
      <c r="O1360" s="10"/>
      <c r="V1360" s="10"/>
      <c r="W1360" s="6"/>
    </row>
    <row r="1361" spans="1:23" x14ac:dyDescent="0.2">
      <c r="A1361" s="27"/>
      <c r="B1361" s="25"/>
      <c r="D1361" s="11"/>
      <c r="E1361" s="10"/>
      <c r="O1361" s="10"/>
      <c r="V1361" s="10"/>
      <c r="W1361" s="6"/>
    </row>
    <row r="1362" spans="1:23" x14ac:dyDescent="0.2">
      <c r="A1362" s="27"/>
      <c r="B1362" s="25"/>
      <c r="D1362" s="11"/>
      <c r="E1362" s="10"/>
      <c r="O1362" s="10"/>
      <c r="V1362" s="10"/>
      <c r="W1362" s="6"/>
    </row>
    <row r="1363" spans="1:23" x14ac:dyDescent="0.2">
      <c r="A1363" s="27"/>
      <c r="B1363" s="25"/>
      <c r="D1363" s="11"/>
      <c r="E1363" s="10"/>
      <c r="O1363" s="10"/>
      <c r="V1363" s="10"/>
      <c r="W1363" s="6"/>
    </row>
    <row r="1364" spans="1:23" x14ac:dyDescent="0.2">
      <c r="A1364" s="27"/>
      <c r="B1364" s="25"/>
      <c r="D1364" s="11"/>
      <c r="E1364" s="10"/>
      <c r="O1364" s="10"/>
      <c r="V1364" s="10"/>
      <c r="W1364" s="6"/>
    </row>
    <row r="1365" spans="1:23" x14ac:dyDescent="0.2">
      <c r="A1365" s="27"/>
      <c r="B1365" s="25"/>
      <c r="D1365" s="11"/>
      <c r="E1365" s="10"/>
      <c r="O1365" s="10"/>
      <c r="V1365" s="10"/>
      <c r="W1365" s="6"/>
    </row>
    <row r="1366" spans="1:23" x14ac:dyDescent="0.2">
      <c r="A1366" s="27"/>
      <c r="B1366" s="25"/>
      <c r="D1366" s="11"/>
      <c r="E1366" s="10"/>
      <c r="O1366" s="10"/>
      <c r="V1366" s="10"/>
      <c r="W1366" s="6"/>
    </row>
    <row r="1367" spans="1:23" x14ac:dyDescent="0.2">
      <c r="A1367" s="27"/>
      <c r="B1367" s="25"/>
      <c r="D1367" s="11"/>
      <c r="E1367" s="10"/>
      <c r="O1367" s="10"/>
      <c r="V1367" s="10"/>
      <c r="W1367" s="6"/>
    </row>
    <row r="1368" spans="1:23" x14ac:dyDescent="0.2">
      <c r="A1368" s="27"/>
      <c r="B1368" s="1"/>
      <c r="D1368" s="11"/>
      <c r="E1368" s="10"/>
      <c r="O1368" s="10"/>
      <c r="V1368" s="10"/>
      <c r="W1368" s="6"/>
    </row>
    <row r="1369" spans="1:23" x14ac:dyDescent="0.2">
      <c r="A1369" s="27"/>
      <c r="B1369" s="25"/>
      <c r="D1369" s="11"/>
      <c r="E1369" s="10"/>
      <c r="O1369" s="10"/>
      <c r="V1369" s="10"/>
      <c r="W1369" s="6"/>
    </row>
    <row r="1370" spans="1:23" x14ac:dyDescent="0.2">
      <c r="A1370" s="27"/>
      <c r="B1370" s="25"/>
      <c r="D1370" s="11"/>
      <c r="E1370" s="10"/>
      <c r="O1370" s="10"/>
      <c r="V1370" s="10"/>
      <c r="W1370" s="6"/>
    </row>
    <row r="1371" spans="1:23" x14ac:dyDescent="0.2">
      <c r="A1371" s="27"/>
      <c r="B1371" s="25"/>
      <c r="D1371" s="11"/>
      <c r="E1371" s="10"/>
      <c r="O1371" s="10"/>
      <c r="V1371" s="10"/>
      <c r="W1371" s="6"/>
    </row>
    <row r="1372" spans="1:23" x14ac:dyDescent="0.2">
      <c r="A1372" s="27"/>
      <c r="B1372" s="25"/>
      <c r="D1372" s="11"/>
      <c r="E1372" s="10"/>
      <c r="O1372" s="10"/>
      <c r="V1372" s="10"/>
      <c r="W1372" s="6"/>
    </row>
    <row r="1373" spans="1:23" x14ac:dyDescent="0.2">
      <c r="A1373" s="27"/>
      <c r="B1373" s="25"/>
      <c r="D1373" s="11"/>
      <c r="E1373" s="10"/>
      <c r="O1373" s="10"/>
      <c r="V1373" s="10"/>
      <c r="W1373" s="6"/>
    </row>
    <row r="1374" spans="1:23" x14ac:dyDescent="0.2">
      <c r="A1374" s="27"/>
      <c r="B1374" s="25"/>
      <c r="D1374" s="11"/>
      <c r="E1374" s="10"/>
      <c r="O1374" s="10"/>
      <c r="V1374" s="10"/>
      <c r="W1374" s="6"/>
    </row>
    <row r="1375" spans="1:23" x14ac:dyDescent="0.2">
      <c r="A1375" s="27"/>
      <c r="B1375" s="25"/>
      <c r="D1375" s="11"/>
      <c r="E1375" s="10"/>
      <c r="O1375" s="10"/>
      <c r="V1375" s="10"/>
      <c r="W1375" s="6"/>
    </row>
    <row r="1376" spans="1:23" x14ac:dyDescent="0.2">
      <c r="A1376" s="27"/>
      <c r="B1376" s="1"/>
      <c r="D1376" s="11"/>
      <c r="E1376" s="10"/>
      <c r="O1376" s="10"/>
      <c r="V1376" s="10"/>
      <c r="W1376" s="6"/>
    </row>
    <row r="1377" spans="1:23" x14ac:dyDescent="0.2">
      <c r="A1377" s="27"/>
      <c r="B1377" s="25"/>
      <c r="D1377" s="11"/>
      <c r="E1377" s="10"/>
      <c r="O1377" s="10"/>
      <c r="V1377" s="10"/>
      <c r="W1377" s="6"/>
    </row>
    <row r="1378" spans="1:23" x14ac:dyDescent="0.2">
      <c r="A1378" s="27"/>
      <c r="B1378" s="1"/>
      <c r="D1378" s="11"/>
      <c r="E1378" s="10"/>
      <c r="O1378" s="10"/>
      <c r="V1378" s="10"/>
      <c r="W1378" s="6"/>
    </row>
    <row r="1379" spans="1:23" x14ac:dyDescent="0.2">
      <c r="A1379" s="27"/>
      <c r="B1379" s="25"/>
      <c r="D1379" s="11"/>
      <c r="E1379" s="10"/>
      <c r="O1379" s="10"/>
      <c r="V1379" s="10"/>
      <c r="W1379" s="6"/>
    </row>
    <row r="1380" spans="1:23" x14ac:dyDescent="0.2">
      <c r="A1380" s="27"/>
      <c r="B1380" s="1"/>
      <c r="D1380" s="11"/>
      <c r="E1380" s="10"/>
      <c r="O1380" s="10"/>
      <c r="V1380" s="10"/>
      <c r="W1380" s="6"/>
    </row>
    <row r="1381" spans="1:23" x14ac:dyDescent="0.2">
      <c r="A1381" s="27"/>
      <c r="B1381" s="25"/>
      <c r="D1381" s="11"/>
      <c r="E1381" s="10"/>
      <c r="O1381" s="10"/>
      <c r="V1381" s="10"/>
      <c r="W1381" s="6"/>
    </row>
    <row r="1382" spans="1:23" x14ac:dyDescent="0.2">
      <c r="A1382" s="27"/>
      <c r="B1382" s="25"/>
      <c r="D1382" s="11"/>
      <c r="E1382" s="10"/>
      <c r="O1382" s="10"/>
      <c r="V1382" s="10"/>
      <c r="W1382" s="6"/>
    </row>
    <row r="1383" spans="1:23" x14ac:dyDescent="0.2">
      <c r="A1383" s="27"/>
      <c r="B1383" s="25"/>
      <c r="D1383" s="11"/>
      <c r="E1383" s="10"/>
      <c r="O1383" s="10"/>
      <c r="V1383" s="10"/>
      <c r="W1383" s="6"/>
    </row>
    <row r="1384" spans="1:23" x14ac:dyDescent="0.2">
      <c r="A1384" s="27"/>
      <c r="B1384" s="25"/>
      <c r="D1384" s="11"/>
      <c r="E1384" s="10"/>
      <c r="O1384" s="10"/>
      <c r="V1384" s="10"/>
      <c r="W1384" s="6"/>
    </row>
    <row r="1385" spans="1:23" x14ac:dyDescent="0.2">
      <c r="A1385" s="27"/>
      <c r="B1385" s="1"/>
      <c r="D1385" s="11"/>
      <c r="E1385" s="10"/>
      <c r="O1385" s="10"/>
      <c r="V1385" s="10"/>
      <c r="W1385" s="6"/>
    </row>
    <row r="1386" spans="1:23" x14ac:dyDescent="0.2">
      <c r="A1386" s="27"/>
      <c r="B1386" s="25"/>
      <c r="D1386" s="11"/>
      <c r="E1386" s="10"/>
      <c r="O1386" s="10"/>
      <c r="V1386" s="10"/>
      <c r="W1386" s="6"/>
    </row>
    <row r="1387" spans="1:23" x14ac:dyDescent="0.2">
      <c r="A1387" s="27"/>
      <c r="B1387" s="25"/>
      <c r="D1387" s="11"/>
      <c r="E1387" s="10"/>
      <c r="O1387" s="10"/>
      <c r="V1387" s="10"/>
      <c r="W1387" s="6"/>
    </row>
    <row r="1388" spans="1:23" x14ac:dyDescent="0.2">
      <c r="A1388" s="27"/>
      <c r="B1388" s="25"/>
      <c r="D1388" s="11"/>
      <c r="E1388" s="10"/>
      <c r="O1388" s="10"/>
      <c r="V1388" s="10"/>
      <c r="W1388" s="6"/>
    </row>
    <row r="1389" spans="1:23" x14ac:dyDescent="0.2">
      <c r="A1389" s="27"/>
      <c r="B1389" s="25"/>
      <c r="D1389" s="11"/>
      <c r="E1389" s="10"/>
      <c r="O1389" s="10"/>
      <c r="V1389" s="10"/>
      <c r="W1389" s="6"/>
    </row>
    <row r="1390" spans="1:23" x14ac:dyDescent="0.2">
      <c r="A1390" s="27"/>
      <c r="B1390" s="25"/>
      <c r="D1390" s="11"/>
      <c r="E1390" s="10"/>
      <c r="O1390" s="10"/>
      <c r="V1390" s="10"/>
      <c r="W1390" s="6"/>
    </row>
    <row r="1391" spans="1:23" x14ac:dyDescent="0.2">
      <c r="A1391" s="27"/>
      <c r="B1391" s="25"/>
      <c r="D1391" s="11"/>
      <c r="E1391" s="10"/>
      <c r="O1391" s="10"/>
      <c r="V1391" s="10"/>
      <c r="W1391" s="6"/>
    </row>
    <row r="1392" spans="1:23" x14ac:dyDescent="0.2">
      <c r="A1392" s="27"/>
      <c r="B1392" s="25"/>
      <c r="D1392" s="11"/>
      <c r="E1392" s="10"/>
      <c r="O1392" s="10"/>
      <c r="V1392" s="10"/>
      <c r="W1392" s="6"/>
    </row>
    <row r="1393" spans="1:23" x14ac:dyDescent="0.2">
      <c r="A1393" s="27"/>
      <c r="B1393" s="1"/>
      <c r="D1393" s="11"/>
      <c r="E1393" s="10"/>
      <c r="O1393" s="10"/>
      <c r="V1393" s="10"/>
      <c r="W1393" s="6"/>
    </row>
    <row r="1394" spans="1:23" x14ac:dyDescent="0.2">
      <c r="A1394" s="27"/>
      <c r="B1394" s="25"/>
      <c r="D1394" s="11"/>
      <c r="E1394" s="10"/>
      <c r="O1394" s="10"/>
      <c r="V1394" s="10"/>
      <c r="W1394" s="6"/>
    </row>
    <row r="1395" spans="1:23" x14ac:dyDescent="0.2">
      <c r="A1395" s="27"/>
      <c r="B1395" s="1"/>
      <c r="D1395" s="11"/>
      <c r="E1395" s="10"/>
      <c r="O1395" s="10"/>
      <c r="V1395" s="10"/>
      <c r="W1395" s="6"/>
    </row>
    <row r="1396" spans="1:23" x14ac:dyDescent="0.2">
      <c r="A1396" s="27"/>
      <c r="B1396" s="25"/>
      <c r="D1396" s="11"/>
      <c r="E1396" s="10"/>
      <c r="O1396" s="10"/>
      <c r="V1396" s="10"/>
      <c r="W1396" s="6"/>
    </row>
    <row r="1397" spans="1:23" x14ac:dyDescent="0.2">
      <c r="A1397" s="27"/>
      <c r="B1397" s="1"/>
      <c r="D1397" s="11"/>
      <c r="E1397" s="10"/>
      <c r="O1397" s="10"/>
      <c r="V1397" s="10"/>
      <c r="W1397" s="6"/>
    </row>
    <row r="1398" spans="1:23" x14ac:dyDescent="0.2">
      <c r="A1398" s="27"/>
      <c r="B1398" s="25"/>
      <c r="D1398" s="11"/>
      <c r="E1398" s="10"/>
      <c r="O1398" s="10"/>
      <c r="V1398" s="10"/>
      <c r="W1398" s="6"/>
    </row>
    <row r="1399" spans="1:23" x14ac:dyDescent="0.2">
      <c r="A1399" s="27"/>
      <c r="B1399" s="25"/>
      <c r="D1399" s="11"/>
      <c r="E1399" s="10"/>
      <c r="O1399" s="10"/>
      <c r="V1399" s="10"/>
      <c r="W1399" s="6"/>
    </row>
    <row r="1400" spans="1:23" x14ac:dyDescent="0.2">
      <c r="A1400" s="27"/>
      <c r="B1400" s="25"/>
      <c r="D1400" s="11"/>
      <c r="E1400" s="10"/>
      <c r="O1400" s="10"/>
      <c r="V1400" s="10"/>
      <c r="W1400" s="6"/>
    </row>
    <row r="1401" spans="1:23" x14ac:dyDescent="0.2">
      <c r="A1401" s="27"/>
      <c r="B1401" s="25"/>
      <c r="D1401" s="11"/>
      <c r="E1401" s="10"/>
      <c r="O1401" s="10"/>
      <c r="V1401" s="10"/>
      <c r="W1401" s="6"/>
    </row>
    <row r="1402" spans="1:23" x14ac:dyDescent="0.2">
      <c r="A1402" s="27"/>
      <c r="B1402" s="25"/>
      <c r="D1402" s="11"/>
      <c r="E1402" s="10"/>
      <c r="O1402" s="10"/>
      <c r="V1402" s="10"/>
      <c r="W1402" s="6"/>
    </row>
    <row r="1403" spans="1:23" x14ac:dyDescent="0.2">
      <c r="A1403" s="27"/>
      <c r="B1403" s="25"/>
      <c r="D1403" s="11"/>
      <c r="E1403" s="10"/>
      <c r="O1403" s="10"/>
      <c r="V1403" s="10"/>
      <c r="W1403" s="6"/>
    </row>
    <row r="1404" spans="1:23" x14ac:dyDescent="0.2">
      <c r="A1404" s="27"/>
      <c r="B1404" s="25"/>
      <c r="D1404" s="11"/>
      <c r="E1404" s="10"/>
      <c r="O1404" s="10"/>
      <c r="V1404" s="10"/>
      <c r="W1404" s="6"/>
    </row>
    <row r="1405" spans="1:23" x14ac:dyDescent="0.2">
      <c r="A1405" s="27"/>
      <c r="B1405" s="25"/>
      <c r="D1405" s="11"/>
      <c r="E1405" s="10"/>
      <c r="O1405" s="10"/>
      <c r="V1405" s="10"/>
      <c r="W1405" s="6"/>
    </row>
    <row r="1406" spans="1:23" x14ac:dyDescent="0.2">
      <c r="A1406" s="27"/>
      <c r="B1406" s="25"/>
      <c r="D1406" s="11"/>
      <c r="E1406" s="10"/>
      <c r="O1406" s="10"/>
      <c r="V1406" s="10"/>
      <c r="W1406" s="6"/>
    </row>
    <row r="1407" spans="1:23" x14ac:dyDescent="0.2">
      <c r="A1407" s="27"/>
      <c r="B1407" s="25"/>
      <c r="D1407" s="11"/>
      <c r="E1407" s="10"/>
      <c r="O1407" s="10"/>
      <c r="V1407" s="10"/>
      <c r="W1407" s="6"/>
    </row>
    <row r="1408" spans="1:23" x14ac:dyDescent="0.2">
      <c r="A1408" s="27"/>
      <c r="B1408" s="25"/>
      <c r="D1408" s="11"/>
      <c r="E1408" s="10"/>
      <c r="O1408" s="10"/>
      <c r="V1408" s="10"/>
      <c r="W1408" s="6"/>
    </row>
    <row r="1409" spans="1:23" x14ac:dyDescent="0.2">
      <c r="A1409" s="27"/>
      <c r="B1409" s="25"/>
      <c r="D1409" s="11"/>
      <c r="E1409" s="10"/>
      <c r="O1409" s="10"/>
      <c r="V1409" s="10"/>
      <c r="W1409" s="6"/>
    </row>
    <row r="1410" spans="1:23" x14ac:dyDescent="0.2">
      <c r="A1410" s="27"/>
      <c r="B1410" s="25"/>
      <c r="D1410" s="11"/>
      <c r="E1410" s="10"/>
      <c r="O1410" s="10"/>
      <c r="V1410" s="10"/>
      <c r="W1410" s="6"/>
    </row>
    <row r="1411" spans="1:23" x14ac:dyDescent="0.2">
      <c r="A1411" s="27"/>
      <c r="B1411" s="25"/>
      <c r="D1411" s="11"/>
      <c r="E1411" s="10"/>
      <c r="O1411" s="10"/>
      <c r="V1411" s="10"/>
      <c r="W1411" s="6"/>
    </row>
    <row r="1412" spans="1:23" x14ac:dyDescent="0.2">
      <c r="A1412" s="27"/>
      <c r="B1412" s="25"/>
      <c r="D1412" s="11"/>
      <c r="E1412" s="10"/>
      <c r="O1412" s="10"/>
      <c r="V1412" s="10"/>
      <c r="W1412" s="6"/>
    </row>
    <row r="1413" spans="1:23" x14ac:dyDescent="0.2">
      <c r="A1413" s="27"/>
      <c r="B1413" s="1"/>
      <c r="D1413" s="11"/>
      <c r="E1413" s="10"/>
      <c r="O1413" s="10"/>
      <c r="V1413" s="10"/>
      <c r="W1413" s="6"/>
    </row>
    <row r="1414" spans="1:23" x14ac:dyDescent="0.2">
      <c r="A1414" s="27"/>
      <c r="B1414" s="25"/>
      <c r="D1414" s="11"/>
      <c r="E1414" s="10"/>
      <c r="O1414" s="10"/>
      <c r="V1414" s="10"/>
      <c r="W1414" s="6"/>
    </row>
    <row r="1415" spans="1:23" x14ac:dyDescent="0.2">
      <c r="A1415" s="27"/>
      <c r="B1415" s="25"/>
      <c r="D1415" s="11"/>
      <c r="E1415" s="10"/>
      <c r="O1415" s="10"/>
      <c r="V1415" s="10"/>
      <c r="W1415" s="6"/>
    </row>
    <row r="1416" spans="1:23" x14ac:dyDescent="0.2">
      <c r="A1416" s="27"/>
      <c r="B1416" s="25"/>
      <c r="D1416" s="11"/>
      <c r="E1416" s="10"/>
      <c r="O1416" s="10"/>
      <c r="V1416" s="10"/>
      <c r="W1416" s="6"/>
    </row>
    <row r="1417" spans="1:23" x14ac:dyDescent="0.2">
      <c r="A1417" s="27"/>
      <c r="B1417" s="25"/>
      <c r="D1417" s="11"/>
      <c r="E1417" s="10"/>
      <c r="O1417" s="10"/>
      <c r="V1417" s="10"/>
      <c r="W1417" s="6"/>
    </row>
    <row r="1418" spans="1:23" x14ac:dyDescent="0.2">
      <c r="A1418" s="27"/>
      <c r="B1418" s="1"/>
      <c r="D1418" s="11"/>
      <c r="E1418" s="10"/>
      <c r="O1418" s="10"/>
      <c r="V1418" s="10"/>
      <c r="W1418" s="6"/>
    </row>
    <row r="1419" spans="1:23" x14ac:dyDescent="0.2">
      <c r="A1419" s="27"/>
      <c r="B1419" s="25"/>
      <c r="D1419" s="11"/>
      <c r="E1419" s="10"/>
      <c r="O1419" s="10"/>
      <c r="V1419" s="10"/>
      <c r="W1419" s="6"/>
    </row>
    <row r="1420" spans="1:23" x14ac:dyDescent="0.2">
      <c r="A1420" s="27"/>
      <c r="B1420" s="25"/>
      <c r="D1420" s="11"/>
      <c r="E1420" s="10"/>
      <c r="O1420" s="10"/>
      <c r="V1420" s="10"/>
      <c r="W1420" s="6"/>
    </row>
    <row r="1421" spans="1:23" x14ac:dyDescent="0.2">
      <c r="A1421" s="27"/>
      <c r="B1421" s="25"/>
      <c r="D1421" s="11"/>
      <c r="E1421" s="10"/>
      <c r="O1421" s="10"/>
      <c r="V1421" s="10"/>
      <c r="W1421" s="6"/>
    </row>
    <row r="1422" spans="1:23" x14ac:dyDescent="0.2">
      <c r="A1422" s="27"/>
      <c r="B1422" s="25"/>
      <c r="D1422" s="11"/>
      <c r="E1422" s="10"/>
      <c r="O1422" s="10"/>
      <c r="V1422" s="10"/>
      <c r="W1422" s="6"/>
    </row>
    <row r="1423" spans="1:23" x14ac:dyDescent="0.2">
      <c r="A1423" s="27"/>
      <c r="B1423" s="25"/>
      <c r="D1423" s="11"/>
      <c r="E1423" s="10"/>
      <c r="O1423" s="10"/>
      <c r="V1423" s="10"/>
      <c r="W1423" s="6"/>
    </row>
    <row r="1424" spans="1:23" x14ac:dyDescent="0.2">
      <c r="A1424" s="27"/>
      <c r="B1424" s="25"/>
      <c r="D1424" s="11"/>
      <c r="E1424" s="10"/>
      <c r="O1424" s="10"/>
      <c r="V1424" s="10"/>
      <c r="W1424" s="6"/>
    </row>
    <row r="1425" spans="1:23" x14ac:dyDescent="0.2">
      <c r="A1425" s="27"/>
      <c r="B1425" s="25"/>
      <c r="D1425" s="11"/>
      <c r="E1425" s="10"/>
      <c r="O1425" s="10"/>
      <c r="V1425" s="10"/>
      <c r="W1425" s="6"/>
    </row>
    <row r="1426" spans="1:23" x14ac:dyDescent="0.2">
      <c r="A1426" s="27"/>
      <c r="B1426" s="25"/>
      <c r="D1426" s="11"/>
      <c r="E1426" s="10"/>
      <c r="O1426" s="10"/>
      <c r="V1426" s="10"/>
      <c r="W1426" s="6"/>
    </row>
    <row r="1427" spans="1:23" x14ac:dyDescent="0.2">
      <c r="A1427" s="27"/>
      <c r="B1427" s="25"/>
      <c r="D1427" s="11"/>
      <c r="E1427" s="10"/>
      <c r="O1427" s="10"/>
      <c r="V1427" s="10"/>
      <c r="W1427" s="6"/>
    </row>
    <row r="1428" spans="1:23" x14ac:dyDescent="0.2">
      <c r="A1428" s="27"/>
      <c r="B1428" s="25"/>
      <c r="D1428" s="11"/>
      <c r="E1428" s="10"/>
      <c r="O1428" s="10"/>
      <c r="V1428" s="10"/>
      <c r="W1428" s="6"/>
    </row>
    <row r="1429" spans="1:23" x14ac:dyDescent="0.2">
      <c r="A1429" s="27"/>
      <c r="B1429" s="25"/>
      <c r="D1429" s="11"/>
      <c r="E1429" s="10"/>
      <c r="O1429" s="10"/>
      <c r="V1429" s="10"/>
      <c r="W1429" s="6"/>
    </row>
    <row r="1430" spans="1:23" x14ac:dyDescent="0.2">
      <c r="A1430" s="27"/>
      <c r="B1430" s="25"/>
      <c r="D1430" s="11"/>
      <c r="E1430" s="10"/>
      <c r="O1430" s="10"/>
      <c r="V1430" s="10"/>
      <c r="W1430" s="6"/>
    </row>
    <row r="1431" spans="1:23" x14ac:dyDescent="0.2">
      <c r="A1431" s="27"/>
      <c r="B1431" s="25"/>
      <c r="D1431" s="11"/>
      <c r="E1431" s="10"/>
      <c r="O1431" s="10"/>
      <c r="V1431" s="10"/>
      <c r="W1431" s="6"/>
    </row>
    <row r="1432" spans="1:23" x14ac:dyDescent="0.2">
      <c r="A1432" s="27"/>
      <c r="B1432" s="1"/>
      <c r="D1432" s="11"/>
      <c r="E1432" s="10"/>
      <c r="O1432" s="10"/>
      <c r="V1432" s="10"/>
      <c r="W1432" s="6"/>
    </row>
    <row r="1433" spans="1:23" x14ac:dyDescent="0.2">
      <c r="A1433" s="27"/>
      <c r="B1433" s="25"/>
      <c r="D1433" s="11"/>
      <c r="E1433" s="10"/>
      <c r="O1433" s="10"/>
      <c r="V1433" s="10"/>
      <c r="W1433" s="6"/>
    </row>
    <row r="1434" spans="1:23" x14ac:dyDescent="0.2">
      <c r="A1434" s="27"/>
      <c r="B1434" s="25"/>
      <c r="D1434" s="11"/>
      <c r="E1434" s="10"/>
      <c r="O1434" s="10"/>
      <c r="V1434" s="10"/>
      <c r="W1434" s="6"/>
    </row>
    <row r="1435" spans="1:23" x14ac:dyDescent="0.2">
      <c r="A1435" s="27"/>
      <c r="B1435" s="25"/>
      <c r="D1435" s="11"/>
      <c r="E1435" s="10"/>
      <c r="O1435" s="10"/>
      <c r="V1435" s="10"/>
      <c r="W1435" s="6"/>
    </row>
    <row r="1436" spans="1:23" x14ac:dyDescent="0.2">
      <c r="A1436" s="27"/>
      <c r="B1436" s="25"/>
      <c r="D1436" s="11"/>
      <c r="E1436" s="10"/>
      <c r="O1436" s="10"/>
      <c r="V1436" s="10"/>
      <c r="W1436" s="6"/>
    </row>
    <row r="1437" spans="1:23" x14ac:dyDescent="0.2">
      <c r="A1437" s="27"/>
      <c r="B1437" s="25"/>
      <c r="D1437" s="11"/>
      <c r="E1437" s="10"/>
      <c r="O1437" s="10"/>
      <c r="V1437" s="10"/>
    </row>
    <row r="1438" spans="1:23" x14ac:dyDescent="0.2">
      <c r="A1438" s="27"/>
      <c r="B1438" s="25"/>
      <c r="D1438" s="11"/>
      <c r="E1438" s="10"/>
      <c r="O1438" s="10"/>
      <c r="V1438" s="10"/>
      <c r="W1438" s="29"/>
    </row>
    <row r="1439" spans="1:23" x14ac:dyDescent="0.2">
      <c r="A1439" s="27"/>
      <c r="B1439" s="25"/>
      <c r="D1439" s="11"/>
      <c r="E1439" s="10"/>
      <c r="O1439" s="10"/>
      <c r="V1439" s="10"/>
      <c r="W1439" s="6"/>
    </row>
    <row r="1440" spans="1:23" x14ac:dyDescent="0.2">
      <c r="A1440" s="27"/>
      <c r="B1440" s="25"/>
      <c r="D1440" s="11"/>
      <c r="E1440" s="10"/>
      <c r="O1440" s="10"/>
      <c r="V1440" s="10"/>
      <c r="W1440" s="6"/>
    </row>
    <row r="1441" spans="1:23" x14ac:dyDescent="0.2">
      <c r="A1441" s="27"/>
      <c r="B1441" s="25"/>
      <c r="D1441" s="11"/>
      <c r="E1441" s="10"/>
      <c r="O1441" s="10"/>
      <c r="V1441" s="10"/>
      <c r="W1441" s="6"/>
    </row>
    <row r="1442" spans="1:23" x14ac:dyDescent="0.2">
      <c r="A1442" s="27"/>
      <c r="B1442" s="25"/>
      <c r="D1442" s="11"/>
      <c r="E1442" s="10"/>
      <c r="O1442" s="10"/>
      <c r="V1442" s="10"/>
      <c r="W1442" s="6"/>
    </row>
    <row r="1443" spans="1:23" x14ac:dyDescent="0.2">
      <c r="A1443" s="27"/>
      <c r="B1443" s="25"/>
      <c r="D1443" s="11"/>
      <c r="E1443" s="10"/>
      <c r="O1443" s="10"/>
      <c r="V1443" s="10"/>
      <c r="W1443" s="6"/>
    </row>
    <row r="1444" spans="1:23" x14ac:dyDescent="0.2">
      <c r="A1444" s="27"/>
      <c r="B1444" s="25"/>
      <c r="D1444" s="11"/>
      <c r="E1444" s="10"/>
      <c r="O1444" s="10"/>
      <c r="V1444" s="10"/>
      <c r="W1444" s="6"/>
    </row>
    <row r="1445" spans="1:23" x14ac:dyDescent="0.2">
      <c r="A1445" s="27"/>
      <c r="B1445" s="25"/>
      <c r="D1445" s="11"/>
      <c r="E1445" s="10"/>
      <c r="O1445" s="10"/>
      <c r="V1445" s="10"/>
      <c r="W1445" s="6"/>
    </row>
    <row r="1446" spans="1:23" x14ac:dyDescent="0.2">
      <c r="A1446" s="27"/>
      <c r="B1446" s="1"/>
      <c r="D1446" s="11"/>
      <c r="E1446" s="10"/>
      <c r="O1446" s="10"/>
      <c r="V1446" s="10"/>
      <c r="W1446" s="6"/>
    </row>
    <row r="1447" spans="1:23" x14ac:dyDescent="0.2">
      <c r="A1447" s="27"/>
      <c r="B1447" s="25"/>
      <c r="D1447" s="11"/>
      <c r="E1447" s="10"/>
      <c r="O1447" s="10"/>
      <c r="V1447" s="10"/>
      <c r="W1447" s="6"/>
    </row>
    <row r="1448" spans="1:23" x14ac:dyDescent="0.2">
      <c r="A1448" s="27"/>
      <c r="B1448" s="25"/>
      <c r="D1448" s="11"/>
      <c r="E1448" s="10"/>
      <c r="O1448" s="10"/>
      <c r="V1448" s="10"/>
      <c r="W1448" s="6"/>
    </row>
    <row r="1449" spans="1:23" x14ac:dyDescent="0.2">
      <c r="A1449" s="27"/>
      <c r="B1449" s="25"/>
      <c r="D1449" s="11"/>
      <c r="E1449" s="10"/>
      <c r="O1449" s="10"/>
      <c r="V1449" s="10"/>
      <c r="W1449" s="6"/>
    </row>
    <row r="1450" spans="1:23" x14ac:dyDescent="0.2">
      <c r="A1450" s="27"/>
      <c r="B1450" s="1"/>
      <c r="D1450" s="11"/>
      <c r="E1450" s="10"/>
      <c r="O1450" s="10"/>
      <c r="V1450" s="10"/>
      <c r="W1450" s="6"/>
    </row>
    <row r="1451" spans="1:23" x14ac:dyDescent="0.2">
      <c r="A1451" s="27"/>
      <c r="B1451" s="25"/>
      <c r="D1451" s="11"/>
      <c r="E1451" s="10"/>
      <c r="O1451" s="10"/>
      <c r="V1451" s="10"/>
      <c r="W1451" s="6"/>
    </row>
    <row r="1452" spans="1:23" x14ac:dyDescent="0.2">
      <c r="A1452" s="27"/>
      <c r="B1452" s="25"/>
      <c r="D1452" s="11"/>
      <c r="E1452" s="10"/>
      <c r="O1452" s="10"/>
      <c r="V1452" s="10"/>
      <c r="W1452" s="6"/>
    </row>
    <row r="1453" spans="1:23" x14ac:dyDescent="0.2">
      <c r="A1453" s="27"/>
      <c r="B1453" s="25"/>
      <c r="D1453" s="11"/>
      <c r="E1453" s="10"/>
      <c r="O1453" s="10"/>
      <c r="V1453" s="10"/>
      <c r="W1453" s="6"/>
    </row>
    <row r="1454" spans="1:23" x14ac:dyDescent="0.2">
      <c r="A1454" s="27"/>
      <c r="B1454" s="25"/>
      <c r="D1454" s="11"/>
      <c r="E1454" s="10"/>
      <c r="O1454" s="10"/>
      <c r="V1454" s="10"/>
      <c r="W1454" s="6"/>
    </row>
    <row r="1455" spans="1:23" x14ac:dyDescent="0.2">
      <c r="A1455" s="27"/>
      <c r="B1455" s="25"/>
      <c r="D1455" s="11"/>
      <c r="E1455" s="10"/>
      <c r="O1455" s="10"/>
      <c r="V1455" s="10"/>
      <c r="W1455" s="6"/>
    </row>
    <row r="1456" spans="1:23" x14ac:dyDescent="0.2">
      <c r="A1456" s="27"/>
      <c r="B1456" s="25"/>
      <c r="D1456" s="11"/>
      <c r="E1456" s="10"/>
      <c r="O1456" s="10"/>
      <c r="V1456" s="10"/>
      <c r="W1456" s="6"/>
    </row>
    <row r="1457" spans="1:23" x14ac:dyDescent="0.2">
      <c r="A1457" s="27"/>
      <c r="B1457" s="25"/>
      <c r="D1457" s="11"/>
      <c r="E1457" s="10"/>
      <c r="O1457" s="10"/>
      <c r="V1457" s="10"/>
      <c r="W1457" s="6"/>
    </row>
    <row r="1458" spans="1:23" x14ac:dyDescent="0.2">
      <c r="A1458" s="27"/>
      <c r="B1458" s="25"/>
      <c r="D1458" s="11"/>
      <c r="E1458" s="10"/>
      <c r="O1458" s="10"/>
      <c r="V1458" s="10"/>
      <c r="W1458" s="6"/>
    </row>
    <row r="1459" spans="1:23" x14ac:dyDescent="0.2">
      <c r="A1459" s="27"/>
      <c r="B1459" s="25"/>
      <c r="D1459" s="11"/>
      <c r="E1459" s="10"/>
      <c r="O1459" s="10"/>
      <c r="V1459" s="10"/>
      <c r="W1459" s="6"/>
    </row>
    <row r="1460" spans="1:23" x14ac:dyDescent="0.2">
      <c r="A1460" s="27"/>
      <c r="B1460" s="25"/>
      <c r="D1460" s="11"/>
      <c r="E1460" s="10"/>
      <c r="O1460" s="10"/>
      <c r="V1460" s="10"/>
      <c r="W1460" s="6"/>
    </row>
    <row r="1461" spans="1:23" x14ac:dyDescent="0.2">
      <c r="A1461" s="27"/>
      <c r="B1461" s="25"/>
      <c r="D1461" s="11"/>
      <c r="E1461" s="10"/>
      <c r="O1461" s="10"/>
      <c r="V1461" s="10"/>
      <c r="W1461" s="6"/>
    </row>
    <row r="1462" spans="1:23" x14ac:dyDescent="0.2">
      <c r="A1462" s="27"/>
      <c r="B1462" s="25"/>
      <c r="D1462" s="11"/>
      <c r="E1462" s="10"/>
      <c r="O1462" s="10"/>
      <c r="V1462" s="10"/>
      <c r="W1462" s="6"/>
    </row>
    <row r="1463" spans="1:23" x14ac:dyDescent="0.2">
      <c r="A1463" s="27"/>
      <c r="B1463" s="25"/>
      <c r="D1463" s="11"/>
      <c r="E1463" s="10"/>
      <c r="O1463" s="10"/>
      <c r="V1463" s="10"/>
      <c r="W1463" s="6"/>
    </row>
    <row r="1464" spans="1:23" x14ac:dyDescent="0.2">
      <c r="A1464" s="27"/>
      <c r="B1464" s="25"/>
      <c r="D1464" s="11"/>
      <c r="E1464" s="10"/>
      <c r="O1464" s="10"/>
      <c r="V1464" s="10"/>
      <c r="W1464" s="6"/>
    </row>
    <row r="1465" spans="1:23" x14ac:dyDescent="0.2">
      <c r="A1465" s="27"/>
      <c r="B1465" s="25"/>
      <c r="D1465" s="11"/>
      <c r="E1465" s="10"/>
      <c r="O1465" s="10"/>
      <c r="V1465" s="10"/>
      <c r="W1465" s="6"/>
    </row>
    <row r="1466" spans="1:23" x14ac:dyDescent="0.2">
      <c r="A1466" s="27"/>
      <c r="B1466" s="25"/>
      <c r="D1466" s="11"/>
      <c r="E1466" s="10"/>
      <c r="O1466" s="10"/>
      <c r="V1466" s="10"/>
      <c r="W1466" s="6"/>
    </row>
    <row r="1467" spans="1:23" x14ac:dyDescent="0.2">
      <c r="A1467" s="27"/>
      <c r="B1467" s="25"/>
      <c r="D1467" s="11"/>
      <c r="E1467" s="10"/>
      <c r="O1467" s="10"/>
      <c r="V1467" s="10"/>
      <c r="W1467" s="6"/>
    </row>
    <row r="1468" spans="1:23" x14ac:dyDescent="0.2">
      <c r="A1468" s="27"/>
      <c r="B1468" s="25"/>
      <c r="D1468" s="11"/>
      <c r="E1468" s="10"/>
      <c r="O1468" s="10"/>
      <c r="V1468" s="10"/>
      <c r="W1468" s="6"/>
    </row>
    <row r="1469" spans="1:23" x14ac:dyDescent="0.2">
      <c r="A1469" s="27"/>
      <c r="B1469" s="25"/>
      <c r="D1469" s="11"/>
      <c r="E1469" s="10"/>
      <c r="O1469" s="10"/>
      <c r="V1469" s="10"/>
      <c r="W1469" s="6"/>
    </row>
    <row r="1470" spans="1:23" x14ac:dyDescent="0.2">
      <c r="A1470" s="27"/>
      <c r="B1470" s="25"/>
      <c r="D1470" s="11"/>
      <c r="E1470" s="10"/>
      <c r="O1470" s="10"/>
      <c r="V1470" s="10"/>
      <c r="W1470" s="6"/>
    </row>
    <row r="1471" spans="1:23" x14ac:dyDescent="0.2">
      <c r="A1471" s="27"/>
      <c r="B1471" s="25"/>
      <c r="D1471" s="11"/>
      <c r="E1471" s="10"/>
      <c r="O1471" s="10"/>
      <c r="V1471" s="10"/>
      <c r="W1471" s="6"/>
    </row>
    <row r="1472" spans="1:23" x14ac:dyDescent="0.2">
      <c r="A1472" s="27"/>
      <c r="B1472" s="25"/>
      <c r="D1472" s="11"/>
      <c r="E1472" s="10"/>
      <c r="O1472" s="10"/>
      <c r="V1472" s="10"/>
      <c r="W1472" s="6"/>
    </row>
    <row r="1473" spans="1:23" x14ac:dyDescent="0.2">
      <c r="A1473" s="27"/>
      <c r="B1473" s="1"/>
      <c r="D1473" s="11"/>
      <c r="E1473" s="10"/>
      <c r="O1473" s="10"/>
      <c r="V1473" s="10"/>
      <c r="W1473" s="6"/>
    </row>
    <row r="1474" spans="1:23" x14ac:dyDescent="0.2">
      <c r="A1474" s="27"/>
      <c r="B1474" s="25"/>
      <c r="D1474" s="11"/>
      <c r="E1474" s="10"/>
      <c r="O1474" s="10"/>
      <c r="V1474" s="10"/>
      <c r="W1474" s="6"/>
    </row>
    <row r="1475" spans="1:23" x14ac:dyDescent="0.2">
      <c r="A1475" s="27"/>
      <c r="B1475" s="25"/>
      <c r="D1475" s="11"/>
      <c r="E1475" s="10"/>
      <c r="O1475" s="10"/>
      <c r="V1475" s="10"/>
      <c r="W1475" s="6"/>
    </row>
    <row r="1476" spans="1:23" x14ac:dyDescent="0.2">
      <c r="A1476" s="27"/>
      <c r="B1476" s="25"/>
      <c r="D1476" s="11"/>
      <c r="E1476" s="10"/>
      <c r="O1476" s="10"/>
      <c r="V1476" s="10"/>
      <c r="W1476" s="6"/>
    </row>
    <row r="1477" spans="1:23" x14ac:dyDescent="0.2">
      <c r="A1477" s="27"/>
      <c r="B1477" s="25"/>
      <c r="D1477" s="11"/>
      <c r="E1477" s="10"/>
      <c r="O1477" s="10"/>
      <c r="V1477" s="10"/>
      <c r="W1477" s="6"/>
    </row>
    <row r="1478" spans="1:23" x14ac:dyDescent="0.2">
      <c r="A1478" s="27"/>
      <c r="B1478" s="25"/>
      <c r="D1478" s="11"/>
      <c r="E1478" s="10"/>
      <c r="O1478" s="10"/>
      <c r="V1478" s="10"/>
      <c r="W1478" s="6"/>
    </row>
    <row r="1479" spans="1:23" x14ac:dyDescent="0.2">
      <c r="A1479" s="27"/>
      <c r="B1479" s="25"/>
      <c r="D1479" s="11"/>
      <c r="E1479" s="10"/>
      <c r="O1479" s="10"/>
      <c r="V1479" s="10"/>
      <c r="W1479" s="6"/>
    </row>
    <row r="1480" spans="1:23" x14ac:dyDescent="0.2">
      <c r="A1480" s="27"/>
      <c r="B1480" s="25"/>
      <c r="D1480" s="11"/>
      <c r="E1480" s="10"/>
      <c r="O1480" s="10"/>
      <c r="V1480" s="10"/>
      <c r="W1480" s="6"/>
    </row>
    <row r="1481" spans="1:23" x14ac:dyDescent="0.2">
      <c r="A1481" s="27"/>
      <c r="B1481" s="25"/>
      <c r="D1481" s="11"/>
      <c r="E1481" s="10"/>
      <c r="O1481" s="10"/>
      <c r="V1481" s="10"/>
      <c r="W1481" s="6"/>
    </row>
    <row r="1482" spans="1:23" x14ac:dyDescent="0.2">
      <c r="A1482" s="27"/>
      <c r="B1482" s="25"/>
      <c r="D1482" s="11"/>
      <c r="E1482" s="10"/>
      <c r="O1482" s="10"/>
      <c r="V1482" s="10"/>
      <c r="W1482" s="6"/>
    </row>
    <row r="1483" spans="1:23" x14ac:dyDescent="0.2">
      <c r="A1483" s="27"/>
      <c r="B1483" s="25"/>
      <c r="D1483" s="11"/>
      <c r="E1483" s="10"/>
      <c r="O1483" s="10"/>
      <c r="V1483" s="10"/>
      <c r="W1483" s="6"/>
    </row>
    <row r="1484" spans="1:23" x14ac:dyDescent="0.2">
      <c r="A1484" s="27"/>
      <c r="B1484" s="25"/>
      <c r="D1484" s="11"/>
      <c r="E1484" s="10"/>
      <c r="O1484" s="10"/>
      <c r="V1484" s="10"/>
      <c r="W1484" s="6"/>
    </row>
    <row r="1485" spans="1:23" x14ac:dyDescent="0.2">
      <c r="A1485" s="27"/>
      <c r="B1485" s="1"/>
      <c r="D1485" s="11"/>
      <c r="E1485" s="10"/>
      <c r="O1485" s="10"/>
      <c r="V1485" s="10"/>
      <c r="W1485" s="6"/>
    </row>
    <row r="1486" spans="1:23" x14ac:dyDescent="0.2">
      <c r="A1486" s="27"/>
      <c r="B1486" s="25"/>
      <c r="D1486" s="11"/>
      <c r="E1486" s="10"/>
      <c r="O1486" s="10"/>
      <c r="V1486" s="10"/>
      <c r="W1486" s="6"/>
    </row>
    <row r="1487" spans="1:23" x14ac:dyDescent="0.2">
      <c r="A1487" s="27"/>
      <c r="B1487" s="25"/>
      <c r="D1487" s="11"/>
      <c r="E1487" s="10"/>
      <c r="O1487" s="10"/>
      <c r="V1487" s="10"/>
      <c r="W1487" s="6"/>
    </row>
    <row r="1488" spans="1:23" x14ac:dyDescent="0.2">
      <c r="A1488" s="27"/>
      <c r="B1488" s="25"/>
      <c r="D1488" s="11"/>
      <c r="E1488" s="10"/>
      <c r="O1488" s="10"/>
      <c r="V1488" s="10"/>
      <c r="W1488" s="6"/>
    </row>
    <row r="1489" spans="1:23" x14ac:dyDescent="0.2">
      <c r="A1489" s="27"/>
      <c r="B1489" s="25"/>
      <c r="D1489" s="11"/>
      <c r="E1489" s="10"/>
      <c r="O1489" s="10"/>
      <c r="V1489" s="10"/>
      <c r="W1489" s="6"/>
    </row>
    <row r="1490" spans="1:23" x14ac:dyDescent="0.2">
      <c r="A1490" s="27"/>
      <c r="B1490" s="25"/>
      <c r="D1490" s="11"/>
      <c r="E1490" s="10"/>
      <c r="O1490" s="10"/>
      <c r="V1490" s="10"/>
      <c r="W1490" s="6"/>
    </row>
    <row r="1491" spans="1:23" x14ac:dyDescent="0.2">
      <c r="A1491" s="27"/>
      <c r="B1491" s="25"/>
      <c r="D1491" s="11"/>
      <c r="E1491" s="10"/>
      <c r="O1491" s="10"/>
      <c r="V1491" s="10"/>
      <c r="W1491" s="6"/>
    </row>
    <row r="1492" spans="1:23" x14ac:dyDescent="0.2">
      <c r="A1492" s="27"/>
      <c r="B1492" s="1"/>
      <c r="D1492" s="11"/>
      <c r="E1492" s="10"/>
      <c r="O1492" s="10"/>
      <c r="V1492" s="10"/>
      <c r="W1492" s="6"/>
    </row>
    <row r="1493" spans="1:23" x14ac:dyDescent="0.2">
      <c r="A1493" s="27"/>
      <c r="B1493" s="25"/>
      <c r="D1493" s="11"/>
      <c r="E1493" s="10"/>
      <c r="O1493" s="10"/>
      <c r="V1493" s="10"/>
      <c r="W1493" s="6"/>
    </row>
    <row r="1494" spans="1:23" x14ac:dyDescent="0.2">
      <c r="A1494" s="27"/>
      <c r="B1494" s="25"/>
      <c r="D1494" s="11"/>
      <c r="E1494" s="10"/>
      <c r="O1494" s="10"/>
      <c r="V1494" s="10"/>
      <c r="W1494" s="6"/>
    </row>
    <row r="1495" spans="1:23" x14ac:dyDescent="0.2">
      <c r="A1495" s="27"/>
      <c r="B1495" s="1"/>
      <c r="D1495" s="11"/>
      <c r="E1495" s="10"/>
      <c r="O1495" s="10"/>
      <c r="V1495" s="10"/>
      <c r="W1495" s="6"/>
    </row>
    <row r="1496" spans="1:23" x14ac:dyDescent="0.2">
      <c r="A1496" s="27"/>
      <c r="B1496" s="25"/>
      <c r="D1496" s="11"/>
      <c r="E1496" s="10"/>
      <c r="O1496" s="10"/>
      <c r="V1496" s="10"/>
      <c r="W1496" s="6"/>
    </row>
    <row r="1497" spans="1:23" x14ac:dyDescent="0.2">
      <c r="A1497" s="27"/>
      <c r="B1497" s="25"/>
      <c r="D1497" s="11"/>
      <c r="E1497" s="10"/>
      <c r="O1497" s="10"/>
      <c r="V1497" s="10"/>
      <c r="W1497" s="6"/>
    </row>
    <row r="1498" spans="1:23" x14ac:dyDescent="0.2">
      <c r="A1498" s="27"/>
      <c r="B1498" s="25"/>
      <c r="D1498" s="11"/>
      <c r="E1498" s="10"/>
      <c r="O1498" s="10"/>
      <c r="V1498" s="10"/>
      <c r="W1498" s="6"/>
    </row>
    <row r="1499" spans="1:23" x14ac:dyDescent="0.2">
      <c r="A1499" s="27"/>
      <c r="B1499" s="25"/>
      <c r="D1499" s="11"/>
      <c r="E1499" s="10"/>
      <c r="O1499" s="10"/>
      <c r="V1499" s="10"/>
      <c r="W1499" s="6"/>
    </row>
    <row r="1500" spans="1:23" x14ac:dyDescent="0.2">
      <c r="A1500" s="27"/>
      <c r="B1500" s="1"/>
      <c r="D1500" s="11"/>
      <c r="E1500" s="10"/>
      <c r="O1500" s="10"/>
      <c r="V1500" s="10"/>
    </row>
    <row r="1501" spans="1:23" x14ac:dyDescent="0.2">
      <c r="A1501" s="27"/>
      <c r="B1501" s="25"/>
      <c r="D1501" s="11"/>
      <c r="E1501" s="10"/>
      <c r="O1501" s="10"/>
      <c r="V1501" s="10"/>
      <c r="W1501" s="6"/>
    </row>
    <row r="1502" spans="1:23" x14ac:dyDescent="0.2">
      <c r="A1502" s="27"/>
      <c r="B1502" s="25"/>
      <c r="D1502" s="11"/>
      <c r="E1502" s="10"/>
      <c r="O1502" s="10"/>
      <c r="V1502" s="10"/>
      <c r="W1502" s="6"/>
    </row>
    <row r="1503" spans="1:23" x14ac:dyDescent="0.2">
      <c r="A1503" s="27"/>
      <c r="B1503" s="25"/>
      <c r="D1503" s="11"/>
      <c r="E1503" s="10"/>
      <c r="O1503" s="10"/>
      <c r="V1503" s="10"/>
      <c r="W1503" s="6"/>
    </row>
    <row r="1504" spans="1:23" x14ac:dyDescent="0.2">
      <c r="A1504" s="27"/>
      <c r="B1504" s="25"/>
      <c r="D1504" s="11"/>
      <c r="E1504" s="10"/>
      <c r="O1504" s="10"/>
      <c r="V1504" s="10"/>
    </row>
    <row r="1505" spans="1:23" x14ac:dyDescent="0.2">
      <c r="A1505" s="27"/>
      <c r="B1505" s="25"/>
      <c r="D1505" s="11"/>
      <c r="E1505" s="10"/>
      <c r="O1505" s="10"/>
      <c r="V1505" s="10"/>
      <c r="W1505" s="6"/>
    </row>
    <row r="1506" spans="1:23" x14ac:dyDescent="0.2">
      <c r="A1506" s="27"/>
      <c r="B1506" s="25"/>
      <c r="D1506" s="11"/>
      <c r="E1506" s="10"/>
      <c r="O1506" s="10"/>
      <c r="V1506" s="10"/>
      <c r="W1506" s="6"/>
    </row>
    <row r="1507" spans="1:23" x14ac:dyDescent="0.2">
      <c r="A1507" s="27"/>
      <c r="B1507" s="25"/>
      <c r="D1507" s="11"/>
      <c r="E1507" s="10"/>
      <c r="O1507" s="10"/>
      <c r="V1507" s="10"/>
      <c r="W1507" s="6"/>
    </row>
    <row r="1508" spans="1:23" x14ac:dyDescent="0.2">
      <c r="A1508" s="27"/>
      <c r="B1508" s="25"/>
      <c r="D1508" s="11"/>
      <c r="E1508" s="10"/>
      <c r="O1508" s="10"/>
      <c r="V1508" s="10"/>
      <c r="W1508" s="6"/>
    </row>
    <row r="1509" spans="1:23" x14ac:dyDescent="0.2">
      <c r="A1509" s="27"/>
      <c r="B1509" s="25"/>
      <c r="D1509" s="11"/>
      <c r="E1509" s="10"/>
      <c r="O1509" s="10"/>
      <c r="V1509" s="10"/>
      <c r="W1509" s="6"/>
    </row>
    <row r="1510" spans="1:23" x14ac:dyDescent="0.2">
      <c r="A1510" s="27"/>
      <c r="B1510" s="25"/>
      <c r="D1510" s="11"/>
      <c r="E1510" s="10"/>
      <c r="O1510" s="10"/>
      <c r="V1510" s="10"/>
      <c r="W1510" s="6"/>
    </row>
    <row r="1511" spans="1:23" x14ac:dyDescent="0.2">
      <c r="A1511" s="27"/>
      <c r="B1511" s="25"/>
      <c r="D1511" s="11"/>
      <c r="E1511" s="10"/>
      <c r="O1511" s="10"/>
      <c r="V1511" s="10"/>
      <c r="W1511" s="6"/>
    </row>
    <row r="1512" spans="1:23" x14ac:dyDescent="0.2">
      <c r="A1512" s="27"/>
      <c r="B1512" s="25"/>
      <c r="D1512" s="11"/>
      <c r="E1512" s="10"/>
      <c r="O1512" s="10"/>
      <c r="V1512" s="10"/>
      <c r="W1512" s="6"/>
    </row>
    <row r="1513" spans="1:23" x14ac:dyDescent="0.2">
      <c r="A1513" s="27"/>
      <c r="B1513" s="25"/>
      <c r="D1513" s="11"/>
      <c r="E1513" s="10"/>
      <c r="O1513" s="10"/>
      <c r="V1513" s="10"/>
      <c r="W1513" s="6"/>
    </row>
    <row r="1514" spans="1:23" x14ac:dyDescent="0.2">
      <c r="A1514" s="27"/>
      <c r="B1514" s="25"/>
      <c r="D1514" s="11"/>
      <c r="E1514" s="10"/>
      <c r="O1514" s="10"/>
      <c r="V1514" s="10"/>
      <c r="W1514" s="6"/>
    </row>
    <row r="1515" spans="1:23" x14ac:dyDescent="0.2">
      <c r="A1515" s="27"/>
      <c r="B1515" s="25"/>
      <c r="D1515" s="11"/>
      <c r="E1515" s="10"/>
      <c r="O1515" s="10"/>
      <c r="V1515" s="10"/>
      <c r="W1515" s="6"/>
    </row>
    <row r="1516" spans="1:23" x14ac:dyDescent="0.2">
      <c r="A1516" s="27"/>
      <c r="B1516" s="1"/>
      <c r="D1516" s="11"/>
      <c r="E1516" s="10"/>
      <c r="O1516" s="10"/>
      <c r="V1516" s="10"/>
      <c r="W1516" s="6"/>
    </row>
    <row r="1517" spans="1:23" x14ac:dyDescent="0.2">
      <c r="A1517" s="27"/>
      <c r="B1517" s="25"/>
      <c r="D1517" s="11"/>
      <c r="E1517" s="10"/>
      <c r="O1517" s="10"/>
      <c r="V1517" s="10"/>
      <c r="W1517" s="6"/>
    </row>
    <row r="1518" spans="1:23" x14ac:dyDescent="0.2">
      <c r="A1518" s="27"/>
      <c r="B1518" s="25"/>
      <c r="D1518" s="11"/>
      <c r="E1518" s="10"/>
      <c r="O1518" s="10"/>
      <c r="V1518" s="10"/>
      <c r="W1518" s="6"/>
    </row>
    <row r="1519" spans="1:23" x14ac:dyDescent="0.2">
      <c r="A1519" s="27"/>
      <c r="B1519" s="1"/>
      <c r="D1519" s="11"/>
      <c r="E1519" s="10"/>
      <c r="O1519" s="10"/>
      <c r="V1519" s="10"/>
      <c r="W1519" s="6"/>
    </row>
    <row r="1520" spans="1:23" x14ac:dyDescent="0.2">
      <c r="A1520" s="27"/>
      <c r="B1520" s="25"/>
      <c r="D1520" s="11"/>
      <c r="E1520" s="10"/>
      <c r="O1520" s="10"/>
      <c r="V1520" s="10"/>
      <c r="W1520" s="6"/>
    </row>
    <row r="1521" spans="1:23" x14ac:dyDescent="0.2">
      <c r="A1521" s="27"/>
      <c r="B1521" s="25"/>
      <c r="D1521" s="11"/>
      <c r="E1521" s="10"/>
      <c r="O1521" s="10"/>
      <c r="V1521" s="10"/>
      <c r="W1521" s="6"/>
    </row>
    <row r="1522" spans="1:23" x14ac:dyDescent="0.2">
      <c r="A1522" s="27"/>
      <c r="B1522" s="25"/>
      <c r="D1522" s="11"/>
      <c r="E1522" s="10"/>
      <c r="O1522" s="10"/>
      <c r="V1522" s="10"/>
      <c r="W1522" s="6"/>
    </row>
    <row r="1523" spans="1:23" x14ac:dyDescent="0.2">
      <c r="A1523" s="27"/>
      <c r="B1523" s="25"/>
      <c r="D1523" s="11"/>
      <c r="E1523" s="10"/>
      <c r="O1523" s="10"/>
      <c r="V1523" s="10"/>
      <c r="W1523" s="6"/>
    </row>
    <row r="1524" spans="1:23" x14ac:dyDescent="0.2">
      <c r="A1524" s="27"/>
      <c r="B1524" s="25"/>
      <c r="D1524" s="11"/>
      <c r="E1524" s="10"/>
      <c r="O1524" s="10"/>
      <c r="V1524" s="10"/>
      <c r="W1524" s="6"/>
    </row>
    <row r="1525" spans="1:23" x14ac:dyDescent="0.2">
      <c r="A1525" s="27"/>
      <c r="B1525" s="25"/>
      <c r="D1525" s="11"/>
      <c r="E1525" s="10"/>
      <c r="O1525" s="10"/>
      <c r="V1525" s="10"/>
      <c r="W1525" s="6"/>
    </row>
    <row r="1526" spans="1:23" x14ac:dyDescent="0.2">
      <c r="A1526" s="27"/>
      <c r="B1526" s="25"/>
      <c r="D1526" s="11"/>
      <c r="E1526" s="10"/>
      <c r="O1526" s="10"/>
      <c r="V1526" s="10"/>
      <c r="W1526" s="6"/>
    </row>
    <row r="1527" spans="1:23" x14ac:dyDescent="0.2">
      <c r="A1527" s="27"/>
      <c r="B1527" s="25"/>
      <c r="D1527" s="11"/>
      <c r="E1527" s="10"/>
      <c r="O1527" s="10"/>
      <c r="V1527" s="10"/>
      <c r="W1527" s="6"/>
    </row>
    <row r="1528" spans="1:23" x14ac:dyDescent="0.2">
      <c r="A1528" s="27"/>
      <c r="B1528" s="25"/>
      <c r="D1528" s="11"/>
      <c r="E1528" s="10"/>
      <c r="O1528" s="10"/>
      <c r="V1528" s="10"/>
      <c r="W1528" s="6"/>
    </row>
    <row r="1529" spans="1:23" x14ac:dyDescent="0.2">
      <c r="A1529" s="27"/>
      <c r="B1529" s="25"/>
      <c r="D1529" s="11"/>
      <c r="E1529" s="10"/>
      <c r="O1529" s="10"/>
      <c r="V1529" s="10"/>
      <c r="W1529" s="6"/>
    </row>
    <row r="1530" spans="1:23" x14ac:dyDescent="0.2">
      <c r="A1530" s="27"/>
      <c r="B1530" s="25"/>
      <c r="D1530" s="11"/>
      <c r="E1530" s="10"/>
      <c r="O1530" s="10"/>
      <c r="V1530" s="10"/>
      <c r="W1530" s="6"/>
    </row>
    <row r="1531" spans="1:23" x14ac:dyDescent="0.2">
      <c r="A1531" s="27"/>
      <c r="B1531" s="25"/>
      <c r="D1531" s="11"/>
      <c r="E1531" s="10"/>
      <c r="O1531" s="10"/>
      <c r="V1531" s="10"/>
      <c r="W1531" s="6"/>
    </row>
    <row r="1532" spans="1:23" x14ac:dyDescent="0.2">
      <c r="A1532" s="27"/>
      <c r="B1532" s="25"/>
      <c r="D1532" s="11"/>
      <c r="E1532" s="10"/>
      <c r="O1532" s="10"/>
      <c r="V1532" s="10"/>
      <c r="W1532" s="6"/>
    </row>
    <row r="1533" spans="1:23" x14ac:dyDescent="0.2">
      <c r="A1533" s="27"/>
      <c r="B1533" s="25"/>
      <c r="D1533" s="11"/>
      <c r="E1533" s="10"/>
      <c r="O1533" s="10"/>
      <c r="V1533" s="10"/>
      <c r="W1533" s="6"/>
    </row>
    <row r="1534" spans="1:23" x14ac:dyDescent="0.2">
      <c r="A1534" s="27"/>
      <c r="B1534" s="25"/>
      <c r="D1534" s="11"/>
      <c r="E1534" s="10"/>
      <c r="O1534" s="10"/>
      <c r="V1534" s="10"/>
      <c r="W1534" s="6"/>
    </row>
    <row r="1535" spans="1:23" x14ac:dyDescent="0.2">
      <c r="A1535" s="27"/>
      <c r="B1535" s="25"/>
      <c r="D1535" s="11"/>
      <c r="E1535" s="10"/>
      <c r="O1535" s="10"/>
      <c r="V1535" s="10"/>
      <c r="W1535" s="6"/>
    </row>
    <row r="1536" spans="1:23" x14ac:dyDescent="0.2">
      <c r="A1536" s="27"/>
      <c r="B1536" s="25"/>
      <c r="D1536" s="11"/>
      <c r="E1536" s="10"/>
      <c r="O1536" s="10"/>
      <c r="V1536" s="10"/>
      <c r="W1536" s="6"/>
    </row>
    <row r="1537" spans="1:23" x14ac:dyDescent="0.2">
      <c r="A1537" s="27"/>
      <c r="B1537" s="25"/>
      <c r="D1537" s="11"/>
      <c r="E1537" s="10"/>
      <c r="O1537" s="10"/>
      <c r="V1537" s="10"/>
      <c r="W1537" s="6"/>
    </row>
    <row r="1538" spans="1:23" x14ac:dyDescent="0.2">
      <c r="A1538" s="27"/>
      <c r="B1538" s="25"/>
      <c r="D1538" s="11"/>
      <c r="E1538" s="10"/>
      <c r="O1538" s="10"/>
      <c r="V1538" s="10"/>
      <c r="W1538" s="6"/>
    </row>
    <row r="1539" spans="1:23" x14ac:dyDescent="0.2">
      <c r="A1539" s="27"/>
      <c r="B1539" s="25"/>
      <c r="D1539" s="11"/>
      <c r="E1539" s="10"/>
      <c r="O1539" s="10"/>
      <c r="V1539" s="10"/>
      <c r="W1539" s="6"/>
    </row>
    <row r="1540" spans="1:23" x14ac:dyDescent="0.2">
      <c r="A1540" s="27"/>
      <c r="B1540" s="25"/>
      <c r="D1540" s="11"/>
      <c r="E1540" s="10"/>
      <c r="O1540" s="10"/>
      <c r="V1540" s="10"/>
      <c r="W1540" s="6"/>
    </row>
    <row r="1541" spans="1:23" x14ac:dyDescent="0.2">
      <c r="A1541" s="27"/>
      <c r="B1541" s="25"/>
      <c r="D1541" s="11"/>
      <c r="E1541" s="10"/>
      <c r="O1541" s="10"/>
      <c r="V1541" s="10"/>
      <c r="W1541" s="6"/>
    </row>
    <row r="1542" spans="1:23" x14ac:dyDescent="0.2">
      <c r="A1542" s="27"/>
      <c r="B1542" s="25"/>
      <c r="D1542" s="11"/>
      <c r="E1542" s="10"/>
      <c r="O1542" s="10"/>
      <c r="V1542" s="10"/>
      <c r="W1542" s="6"/>
    </row>
    <row r="1543" spans="1:23" x14ac:dyDescent="0.2">
      <c r="A1543" s="27"/>
      <c r="B1543" s="1"/>
      <c r="D1543" s="11"/>
      <c r="E1543" s="10"/>
      <c r="O1543" s="10"/>
      <c r="V1543" s="10"/>
      <c r="W1543" s="6"/>
    </row>
    <row r="1544" spans="1:23" x14ac:dyDescent="0.2">
      <c r="A1544" s="27"/>
      <c r="B1544" s="25"/>
      <c r="D1544" s="11"/>
      <c r="E1544" s="10"/>
      <c r="O1544" s="10"/>
      <c r="V1544" s="10"/>
      <c r="W1544" s="6"/>
    </row>
    <row r="1545" spans="1:23" x14ac:dyDescent="0.2">
      <c r="A1545" s="27"/>
      <c r="B1545" s="1"/>
      <c r="D1545" s="11"/>
      <c r="E1545" s="10"/>
      <c r="O1545" s="10"/>
      <c r="V1545" s="10"/>
      <c r="W1545" s="6"/>
    </row>
    <row r="1546" spans="1:23" x14ac:dyDescent="0.2">
      <c r="A1546" s="27"/>
      <c r="B1546" s="25"/>
      <c r="D1546" s="11"/>
      <c r="E1546" s="10"/>
      <c r="O1546" s="10"/>
      <c r="V1546" s="10"/>
      <c r="W1546" s="6"/>
    </row>
    <row r="1547" spans="1:23" x14ac:dyDescent="0.2">
      <c r="A1547" s="27"/>
      <c r="B1547" s="25"/>
      <c r="D1547" s="11"/>
      <c r="E1547" s="10"/>
      <c r="O1547" s="10"/>
      <c r="V1547" s="10"/>
      <c r="W1547" s="6"/>
    </row>
    <row r="1548" spans="1:23" x14ac:dyDescent="0.2">
      <c r="A1548" s="27"/>
      <c r="B1548" s="25"/>
      <c r="D1548" s="11"/>
      <c r="E1548" s="10"/>
      <c r="O1548" s="10"/>
      <c r="V1548" s="10"/>
      <c r="W1548" s="6"/>
    </row>
    <row r="1549" spans="1:23" x14ac:dyDescent="0.2">
      <c r="A1549" s="27"/>
      <c r="B1549" s="1"/>
      <c r="D1549" s="11"/>
      <c r="E1549" s="10"/>
      <c r="O1549" s="10"/>
      <c r="V1549" s="10"/>
      <c r="W1549" s="6"/>
    </row>
    <row r="1550" spans="1:23" x14ac:dyDescent="0.2">
      <c r="A1550" s="27"/>
      <c r="B1550" s="25"/>
      <c r="D1550" s="11"/>
      <c r="E1550" s="10"/>
      <c r="O1550" s="10"/>
      <c r="V1550" s="10"/>
      <c r="W1550" s="6"/>
    </row>
    <row r="1551" spans="1:23" x14ac:dyDescent="0.2">
      <c r="A1551" s="27"/>
      <c r="B1551" s="25"/>
      <c r="D1551" s="11"/>
      <c r="E1551" s="10"/>
      <c r="O1551" s="10"/>
      <c r="V1551" s="10"/>
      <c r="W1551" s="6"/>
    </row>
    <row r="1552" spans="1:23" x14ac:dyDescent="0.2">
      <c r="A1552" s="27"/>
      <c r="B1552" s="25"/>
      <c r="D1552" s="11"/>
      <c r="E1552" s="10"/>
      <c r="O1552" s="10"/>
      <c r="V1552" s="10"/>
      <c r="W1552" s="6"/>
    </row>
    <row r="1553" spans="1:23" x14ac:dyDescent="0.2">
      <c r="A1553" s="27"/>
      <c r="B1553" s="25"/>
      <c r="D1553" s="11"/>
      <c r="E1553" s="10"/>
      <c r="O1553" s="10"/>
      <c r="V1553" s="10"/>
      <c r="W1553" s="6"/>
    </row>
    <row r="1554" spans="1:23" x14ac:dyDescent="0.2">
      <c r="A1554" s="27"/>
      <c r="B1554" s="25"/>
      <c r="D1554" s="11"/>
      <c r="E1554" s="10"/>
      <c r="O1554" s="10"/>
      <c r="V1554" s="10"/>
      <c r="W1554" s="6"/>
    </row>
    <row r="1555" spans="1:23" x14ac:dyDescent="0.2">
      <c r="A1555" s="27"/>
      <c r="B1555" s="25"/>
      <c r="D1555" s="11"/>
      <c r="E1555" s="10"/>
      <c r="O1555" s="10"/>
      <c r="V1555" s="10"/>
      <c r="W1555" s="6"/>
    </row>
    <row r="1556" spans="1:23" x14ac:dyDescent="0.2">
      <c r="A1556" s="27"/>
      <c r="B1556" s="25"/>
      <c r="D1556" s="11"/>
      <c r="E1556" s="10"/>
      <c r="O1556" s="10"/>
      <c r="V1556" s="10"/>
      <c r="W1556" s="6"/>
    </row>
    <row r="1557" spans="1:23" x14ac:dyDescent="0.2">
      <c r="A1557" s="27"/>
      <c r="B1557" s="1"/>
      <c r="D1557" s="11"/>
      <c r="E1557" s="10"/>
      <c r="O1557" s="10"/>
      <c r="V1557" s="10"/>
      <c r="W1557" s="6"/>
    </row>
    <row r="1558" spans="1:23" x14ac:dyDescent="0.2">
      <c r="A1558" s="27"/>
      <c r="B1558" s="25"/>
      <c r="D1558" s="11"/>
      <c r="E1558" s="10"/>
      <c r="O1558" s="10"/>
      <c r="V1558" s="10"/>
      <c r="W1558" s="6"/>
    </row>
    <row r="1559" spans="1:23" x14ac:dyDescent="0.2">
      <c r="A1559" s="27"/>
      <c r="B1559" s="25"/>
      <c r="D1559" s="11"/>
      <c r="E1559" s="10"/>
      <c r="O1559" s="10"/>
      <c r="V1559" s="10"/>
      <c r="W1559" s="6"/>
    </row>
    <row r="1560" spans="1:23" x14ac:dyDescent="0.2">
      <c r="A1560" s="27"/>
      <c r="B1560" s="25"/>
      <c r="D1560" s="11"/>
      <c r="E1560" s="10"/>
      <c r="O1560" s="10"/>
      <c r="V1560" s="10"/>
      <c r="W1560" s="6"/>
    </row>
    <row r="1561" spans="1:23" x14ac:dyDescent="0.2">
      <c r="A1561" s="27"/>
      <c r="B1561" s="1"/>
      <c r="D1561" s="11"/>
      <c r="E1561" s="10"/>
      <c r="O1561" s="10"/>
      <c r="V1561" s="10"/>
      <c r="W1561" s="6"/>
    </row>
    <row r="1562" spans="1:23" x14ac:dyDescent="0.2">
      <c r="A1562" s="27"/>
      <c r="B1562" s="25"/>
      <c r="D1562" s="11"/>
      <c r="E1562" s="10"/>
      <c r="O1562" s="10"/>
      <c r="V1562" s="10"/>
      <c r="W1562" s="6"/>
    </row>
    <row r="1563" spans="1:23" x14ac:dyDescent="0.2">
      <c r="A1563" s="27"/>
      <c r="B1563" s="25"/>
      <c r="D1563" s="11"/>
      <c r="E1563" s="10"/>
      <c r="O1563" s="10"/>
      <c r="V1563" s="10"/>
      <c r="W1563" s="6"/>
    </row>
    <row r="1564" spans="1:23" x14ac:dyDescent="0.2">
      <c r="A1564" s="27"/>
      <c r="B1564" s="25"/>
      <c r="D1564" s="11"/>
      <c r="E1564" s="10"/>
      <c r="O1564" s="10"/>
      <c r="V1564" s="10"/>
      <c r="W1564" s="6"/>
    </row>
    <row r="1565" spans="1:23" x14ac:dyDescent="0.2">
      <c r="A1565" s="27"/>
      <c r="B1565" s="25"/>
      <c r="D1565" s="11"/>
      <c r="E1565" s="10"/>
      <c r="O1565" s="10"/>
      <c r="V1565" s="10"/>
      <c r="W1565" s="6"/>
    </row>
    <row r="1566" spans="1:23" x14ac:dyDescent="0.2">
      <c r="A1566" s="27"/>
      <c r="B1566" s="1"/>
      <c r="D1566" s="11"/>
      <c r="E1566" s="10"/>
      <c r="O1566" s="10"/>
      <c r="V1566" s="10"/>
      <c r="W1566" s="6"/>
    </row>
    <row r="1567" spans="1:23" x14ac:dyDescent="0.2">
      <c r="A1567" s="27"/>
      <c r="B1567" s="25"/>
      <c r="D1567" s="11"/>
      <c r="E1567" s="10"/>
      <c r="O1567" s="10"/>
      <c r="V1567" s="10"/>
      <c r="W1567" s="6"/>
    </row>
    <row r="1568" spans="1:23" x14ac:dyDescent="0.2">
      <c r="A1568" s="27"/>
      <c r="B1568" s="1"/>
      <c r="D1568" s="11"/>
      <c r="E1568" s="10"/>
      <c r="O1568" s="10"/>
      <c r="V1568" s="10"/>
      <c r="W1568" s="6"/>
    </row>
    <row r="1569" spans="1:23" x14ac:dyDescent="0.2">
      <c r="A1569" s="27"/>
      <c r="B1569" s="1"/>
      <c r="D1569" s="11"/>
      <c r="E1569" s="10"/>
      <c r="O1569" s="10"/>
      <c r="V1569" s="10"/>
      <c r="W1569" s="6"/>
    </row>
    <row r="1570" spans="1:23" x14ac:dyDescent="0.2">
      <c r="A1570" s="27"/>
      <c r="B1570" s="25"/>
      <c r="D1570" s="11"/>
      <c r="E1570" s="10"/>
      <c r="O1570" s="10"/>
      <c r="V1570" s="10"/>
      <c r="W1570" s="6"/>
    </row>
    <row r="1571" spans="1:23" x14ac:dyDescent="0.2">
      <c r="A1571" s="27"/>
      <c r="B1571" s="25"/>
      <c r="D1571" s="11"/>
      <c r="E1571" s="10"/>
      <c r="O1571" s="10"/>
      <c r="V1571" s="10"/>
      <c r="W1571" s="6"/>
    </row>
    <row r="1572" spans="1:23" x14ac:dyDescent="0.2">
      <c r="A1572" s="27"/>
      <c r="B1572" s="25"/>
      <c r="D1572" s="11"/>
      <c r="E1572" s="10"/>
      <c r="O1572" s="10"/>
      <c r="V1572" s="10"/>
      <c r="W1572" s="6"/>
    </row>
    <row r="1573" spans="1:23" x14ac:dyDescent="0.2">
      <c r="A1573" s="27"/>
      <c r="B1573" s="1"/>
      <c r="D1573" s="11"/>
      <c r="E1573" s="10"/>
      <c r="O1573" s="10"/>
      <c r="V1573" s="10"/>
      <c r="W1573" s="6"/>
    </row>
    <row r="1574" spans="1:23" x14ac:dyDescent="0.2">
      <c r="A1574" s="27"/>
      <c r="B1574" s="1"/>
      <c r="D1574" s="11"/>
      <c r="E1574" s="10"/>
      <c r="O1574" s="10"/>
      <c r="V1574" s="10"/>
      <c r="W1574" s="6"/>
    </row>
    <row r="1575" spans="1:23" x14ac:dyDescent="0.2">
      <c r="A1575" s="27"/>
      <c r="B1575" s="25"/>
      <c r="D1575" s="11"/>
      <c r="E1575" s="10"/>
      <c r="O1575" s="10"/>
      <c r="V1575" s="10"/>
      <c r="W1575" s="6"/>
    </row>
    <row r="1576" spans="1:23" x14ac:dyDescent="0.2">
      <c r="A1576" s="27"/>
      <c r="B1576" s="25"/>
      <c r="D1576" s="11"/>
      <c r="E1576" s="10"/>
      <c r="O1576" s="10"/>
      <c r="V1576" s="10"/>
      <c r="W1576" s="6"/>
    </row>
    <row r="1577" spans="1:23" x14ac:dyDescent="0.2">
      <c r="A1577" s="27"/>
      <c r="B1577" s="25"/>
      <c r="D1577" s="11"/>
      <c r="E1577" s="10"/>
      <c r="O1577" s="10"/>
      <c r="V1577" s="10"/>
      <c r="W1577" s="6"/>
    </row>
    <row r="1578" spans="1:23" x14ac:dyDescent="0.2">
      <c r="A1578" s="27"/>
      <c r="B1578" s="25"/>
      <c r="D1578" s="11"/>
      <c r="E1578" s="10"/>
      <c r="O1578" s="10"/>
      <c r="V1578" s="10"/>
      <c r="W1578" s="6"/>
    </row>
    <row r="1579" spans="1:23" x14ac:dyDescent="0.2">
      <c r="A1579" s="27"/>
      <c r="B1579" s="25"/>
      <c r="D1579" s="11"/>
      <c r="E1579" s="10"/>
      <c r="O1579" s="10"/>
      <c r="V1579" s="10"/>
      <c r="W1579" s="6"/>
    </row>
    <row r="1580" spans="1:23" x14ac:dyDescent="0.2">
      <c r="A1580" s="27"/>
      <c r="B1580" s="25"/>
      <c r="D1580" s="11"/>
      <c r="E1580" s="10"/>
      <c r="O1580" s="10"/>
      <c r="V1580" s="10"/>
      <c r="W1580" s="6"/>
    </row>
    <row r="1581" spans="1:23" x14ac:dyDescent="0.2">
      <c r="A1581" s="27"/>
      <c r="B1581" s="1"/>
      <c r="D1581" s="11"/>
      <c r="E1581" s="10"/>
      <c r="O1581" s="10"/>
      <c r="V1581" s="10"/>
      <c r="W1581" s="6"/>
    </row>
    <row r="1582" spans="1:23" x14ac:dyDescent="0.2">
      <c r="A1582" s="27"/>
      <c r="B1582" s="25"/>
      <c r="D1582" s="11"/>
      <c r="E1582" s="10"/>
      <c r="O1582" s="10"/>
      <c r="V1582" s="10"/>
      <c r="W1582" s="6"/>
    </row>
    <row r="1583" spans="1:23" x14ac:dyDescent="0.2">
      <c r="A1583" s="27"/>
      <c r="B1583" s="25"/>
      <c r="D1583" s="11"/>
      <c r="E1583" s="10"/>
      <c r="O1583" s="10"/>
      <c r="V1583" s="10"/>
      <c r="W1583" s="6"/>
    </row>
    <row r="1584" spans="1:23" x14ac:dyDescent="0.2">
      <c r="A1584" s="27"/>
      <c r="B1584" s="25"/>
      <c r="D1584" s="11"/>
      <c r="E1584" s="10"/>
      <c r="O1584" s="10"/>
      <c r="V1584" s="10"/>
      <c r="W1584" s="6"/>
    </row>
    <row r="1585" spans="1:23" x14ac:dyDescent="0.2">
      <c r="A1585" s="27"/>
      <c r="B1585" s="25"/>
      <c r="D1585" s="11"/>
      <c r="E1585" s="10"/>
      <c r="O1585" s="10"/>
      <c r="V1585" s="10"/>
      <c r="W1585" s="6"/>
    </row>
    <row r="1586" spans="1:23" x14ac:dyDescent="0.2">
      <c r="A1586" s="27"/>
      <c r="B1586" s="25"/>
      <c r="D1586" s="11"/>
      <c r="E1586" s="10"/>
      <c r="O1586" s="10"/>
      <c r="V1586" s="10"/>
      <c r="W1586" s="6"/>
    </row>
    <row r="1587" spans="1:23" x14ac:dyDescent="0.2">
      <c r="A1587" s="27"/>
      <c r="B1587" s="25"/>
      <c r="D1587" s="11"/>
      <c r="E1587" s="10"/>
      <c r="O1587" s="10"/>
      <c r="V1587" s="10"/>
      <c r="W1587" s="6"/>
    </row>
    <row r="1588" spans="1:23" x14ac:dyDescent="0.2">
      <c r="A1588" s="27"/>
      <c r="B1588" s="25"/>
      <c r="D1588" s="11"/>
      <c r="E1588" s="10"/>
      <c r="O1588" s="10"/>
      <c r="V1588" s="10"/>
      <c r="W1588" s="6"/>
    </row>
    <row r="1589" spans="1:23" x14ac:dyDescent="0.2">
      <c r="A1589" s="27"/>
      <c r="B1589" s="25"/>
      <c r="D1589" s="11"/>
      <c r="E1589" s="10"/>
      <c r="O1589" s="10"/>
      <c r="V1589" s="10"/>
      <c r="W1589" s="6"/>
    </row>
    <row r="1590" spans="1:23" x14ac:dyDescent="0.2">
      <c r="A1590" s="27"/>
      <c r="B1590" s="25"/>
      <c r="D1590" s="11"/>
      <c r="E1590" s="10"/>
      <c r="O1590" s="10"/>
      <c r="V1590" s="10"/>
      <c r="W1590" s="6"/>
    </row>
    <row r="1591" spans="1:23" x14ac:dyDescent="0.2">
      <c r="A1591" s="27"/>
      <c r="B1591" s="1"/>
      <c r="D1591" s="11"/>
      <c r="E1591" s="10"/>
      <c r="O1591" s="10"/>
      <c r="V1591" s="10"/>
      <c r="W1591" s="6"/>
    </row>
    <row r="1592" spans="1:23" x14ac:dyDescent="0.2">
      <c r="A1592" s="27"/>
      <c r="B1592" s="25"/>
      <c r="D1592" s="11"/>
      <c r="E1592" s="10"/>
      <c r="O1592" s="10"/>
      <c r="V1592" s="10"/>
      <c r="W1592" s="6"/>
    </row>
    <row r="1593" spans="1:23" x14ac:dyDescent="0.2">
      <c r="A1593" s="27"/>
      <c r="B1593" s="25"/>
      <c r="D1593" s="11"/>
      <c r="E1593" s="10"/>
      <c r="O1593" s="10"/>
      <c r="V1593" s="10"/>
      <c r="W1593" s="6"/>
    </row>
    <row r="1594" spans="1:23" x14ac:dyDescent="0.2">
      <c r="A1594" s="27"/>
      <c r="B1594" s="25"/>
      <c r="D1594" s="11"/>
      <c r="E1594" s="10"/>
      <c r="O1594" s="10"/>
      <c r="V1594" s="10"/>
      <c r="W1594" s="6"/>
    </row>
    <row r="1595" spans="1:23" x14ac:dyDescent="0.2">
      <c r="A1595" s="27"/>
      <c r="B1595" s="25"/>
      <c r="D1595" s="11"/>
      <c r="E1595" s="10"/>
      <c r="O1595" s="10"/>
      <c r="V1595" s="10"/>
      <c r="W1595" s="6"/>
    </row>
    <row r="1596" spans="1:23" x14ac:dyDescent="0.2">
      <c r="A1596" s="27"/>
      <c r="B1596" s="25"/>
      <c r="D1596" s="11"/>
      <c r="E1596" s="10"/>
      <c r="O1596" s="10"/>
      <c r="V1596" s="10"/>
      <c r="W1596" s="6"/>
    </row>
    <row r="1597" spans="1:23" x14ac:dyDescent="0.2">
      <c r="A1597" s="27"/>
      <c r="B1597" s="25"/>
      <c r="D1597" s="11"/>
      <c r="E1597" s="10"/>
      <c r="O1597" s="10"/>
      <c r="V1597" s="10"/>
      <c r="W1597" s="6"/>
    </row>
    <row r="1598" spans="1:23" x14ac:dyDescent="0.2">
      <c r="A1598" s="27"/>
      <c r="B1598" s="1"/>
      <c r="D1598" s="11"/>
      <c r="E1598" s="10"/>
      <c r="O1598" s="10"/>
      <c r="V1598" s="10"/>
      <c r="W1598" s="6"/>
    </row>
    <row r="1599" spans="1:23" x14ac:dyDescent="0.2">
      <c r="A1599" s="27"/>
      <c r="B1599" s="1"/>
      <c r="D1599" s="11"/>
      <c r="E1599" s="10"/>
      <c r="O1599" s="10"/>
      <c r="V1599" s="10"/>
      <c r="W1599" s="6"/>
    </row>
    <row r="1600" spans="1:23" x14ac:dyDescent="0.2">
      <c r="A1600" s="27"/>
      <c r="B1600" s="25"/>
      <c r="D1600" s="11"/>
      <c r="E1600" s="10"/>
      <c r="O1600" s="10"/>
      <c r="V1600" s="10"/>
      <c r="W1600" s="6"/>
    </row>
    <row r="1601" spans="1:23" x14ac:dyDescent="0.2">
      <c r="A1601" s="27"/>
      <c r="B1601" s="25"/>
      <c r="D1601" s="11"/>
      <c r="E1601" s="10"/>
      <c r="O1601" s="10"/>
      <c r="V1601" s="10"/>
      <c r="W1601" s="6"/>
    </row>
    <row r="1602" spans="1:23" x14ac:dyDescent="0.2">
      <c r="A1602" s="27"/>
      <c r="B1602" s="25"/>
      <c r="D1602" s="11"/>
      <c r="E1602" s="10"/>
      <c r="O1602" s="10"/>
      <c r="V1602" s="10"/>
      <c r="W1602" s="6"/>
    </row>
    <row r="1603" spans="1:23" x14ac:dyDescent="0.2">
      <c r="A1603" s="27"/>
      <c r="B1603" s="25"/>
      <c r="D1603" s="11"/>
      <c r="E1603" s="10"/>
      <c r="O1603" s="10"/>
      <c r="V1603" s="10"/>
      <c r="W1603" s="6"/>
    </row>
    <row r="1604" spans="1:23" x14ac:dyDescent="0.2">
      <c r="A1604" s="27"/>
      <c r="B1604" s="25"/>
      <c r="D1604" s="11"/>
      <c r="E1604" s="10"/>
      <c r="O1604" s="10"/>
      <c r="V1604" s="10"/>
      <c r="W1604" s="6"/>
    </row>
    <row r="1605" spans="1:23" x14ac:dyDescent="0.2">
      <c r="A1605" s="27"/>
      <c r="B1605" s="25"/>
      <c r="D1605" s="11"/>
      <c r="E1605" s="10"/>
      <c r="O1605" s="10"/>
      <c r="V1605" s="10"/>
      <c r="W1605" s="6"/>
    </row>
    <row r="1606" spans="1:23" x14ac:dyDescent="0.2">
      <c r="A1606" s="27"/>
      <c r="B1606" s="25"/>
      <c r="D1606" s="11"/>
      <c r="E1606" s="10"/>
      <c r="O1606" s="10"/>
      <c r="V1606" s="10"/>
      <c r="W1606" s="6"/>
    </row>
    <row r="1607" spans="1:23" x14ac:dyDescent="0.2">
      <c r="A1607" s="27"/>
      <c r="B1607" s="25"/>
      <c r="D1607" s="11"/>
      <c r="E1607" s="10"/>
      <c r="O1607" s="10"/>
      <c r="V1607" s="10"/>
      <c r="W1607" s="6"/>
    </row>
    <row r="1608" spans="1:23" x14ac:dyDescent="0.2">
      <c r="A1608" s="27"/>
      <c r="B1608" s="25"/>
      <c r="D1608" s="11"/>
      <c r="E1608" s="10"/>
      <c r="O1608" s="10"/>
      <c r="V1608" s="10"/>
      <c r="W1608" s="6"/>
    </row>
    <row r="1609" spans="1:23" x14ac:dyDescent="0.2">
      <c r="A1609" s="27"/>
      <c r="B1609" s="25"/>
      <c r="D1609" s="11"/>
      <c r="E1609" s="10"/>
      <c r="O1609" s="10"/>
      <c r="V1609" s="10"/>
      <c r="W1609" s="6"/>
    </row>
    <row r="1610" spans="1:23" x14ac:dyDescent="0.2">
      <c r="A1610" s="27"/>
      <c r="B1610" s="25"/>
      <c r="D1610" s="11"/>
      <c r="E1610" s="10"/>
      <c r="O1610" s="10"/>
      <c r="V1610" s="10"/>
      <c r="W1610" s="6"/>
    </row>
    <row r="1611" spans="1:23" x14ac:dyDescent="0.2">
      <c r="A1611" s="27"/>
      <c r="B1611" s="25"/>
      <c r="D1611" s="11"/>
      <c r="E1611" s="10"/>
      <c r="O1611" s="10"/>
      <c r="V1611" s="10"/>
      <c r="W1611" s="6"/>
    </row>
    <row r="1612" spans="1:23" x14ac:dyDescent="0.2">
      <c r="A1612" s="27"/>
      <c r="B1612" s="25"/>
      <c r="D1612" s="11"/>
      <c r="E1612" s="10"/>
      <c r="O1612" s="10"/>
      <c r="V1612" s="10"/>
      <c r="W1612" s="6"/>
    </row>
    <row r="1613" spans="1:23" x14ac:dyDescent="0.2">
      <c r="A1613" s="27"/>
      <c r="B1613" s="25"/>
      <c r="D1613" s="11"/>
      <c r="E1613" s="10"/>
      <c r="O1613" s="10"/>
      <c r="V1613" s="10"/>
      <c r="W1613" s="6"/>
    </row>
    <row r="1614" spans="1:23" x14ac:dyDescent="0.2">
      <c r="A1614" s="27"/>
      <c r="B1614" s="25"/>
      <c r="D1614" s="11"/>
      <c r="E1614" s="10"/>
      <c r="O1614" s="10"/>
      <c r="V1614" s="10"/>
      <c r="W1614" s="6"/>
    </row>
    <row r="1615" spans="1:23" x14ac:dyDescent="0.2">
      <c r="A1615" s="27"/>
      <c r="B1615" s="25"/>
      <c r="D1615" s="11"/>
      <c r="E1615" s="10"/>
      <c r="O1615" s="10"/>
      <c r="V1615" s="10"/>
      <c r="W1615" s="6"/>
    </row>
    <row r="1616" spans="1:23" x14ac:dyDescent="0.2">
      <c r="A1616" s="27"/>
      <c r="B1616" s="25"/>
      <c r="D1616" s="11"/>
      <c r="E1616" s="10"/>
      <c r="O1616" s="10"/>
      <c r="V1616" s="10"/>
      <c r="W1616" s="6"/>
    </row>
    <row r="1617" spans="1:23" x14ac:dyDescent="0.2">
      <c r="A1617" s="27"/>
      <c r="B1617" s="25"/>
      <c r="D1617" s="11"/>
      <c r="E1617" s="10"/>
      <c r="O1617" s="10"/>
      <c r="V1617" s="10"/>
      <c r="W1617" s="6"/>
    </row>
    <row r="1618" spans="1:23" x14ac:dyDescent="0.2">
      <c r="A1618" s="27"/>
      <c r="B1618" s="25"/>
      <c r="D1618" s="11"/>
      <c r="E1618" s="10"/>
      <c r="O1618" s="10"/>
      <c r="V1618" s="10"/>
      <c r="W1618" s="6"/>
    </row>
    <row r="1619" spans="1:23" x14ac:dyDescent="0.2">
      <c r="A1619" s="27"/>
      <c r="B1619" s="25"/>
      <c r="D1619" s="11"/>
      <c r="E1619" s="10"/>
      <c r="O1619" s="10"/>
      <c r="V1619" s="10"/>
      <c r="W1619" s="6"/>
    </row>
    <row r="1620" spans="1:23" x14ac:dyDescent="0.2">
      <c r="A1620" s="27"/>
      <c r="B1620" s="25"/>
      <c r="D1620" s="11"/>
      <c r="E1620" s="10"/>
      <c r="O1620" s="10"/>
      <c r="V1620" s="10"/>
      <c r="W1620" s="6"/>
    </row>
    <row r="1621" spans="1:23" x14ac:dyDescent="0.2">
      <c r="A1621" s="27"/>
      <c r="B1621" s="25"/>
      <c r="D1621" s="11"/>
      <c r="E1621" s="10"/>
      <c r="O1621" s="10"/>
      <c r="V1621" s="10"/>
      <c r="W1621" s="6"/>
    </row>
    <row r="1622" spans="1:23" x14ac:dyDescent="0.2">
      <c r="A1622" s="27"/>
      <c r="B1622" s="1"/>
      <c r="D1622" s="11"/>
      <c r="E1622" s="10"/>
      <c r="O1622" s="10"/>
      <c r="V1622" s="10"/>
      <c r="W1622" s="6"/>
    </row>
    <row r="1623" spans="1:23" x14ac:dyDescent="0.2">
      <c r="A1623" s="27"/>
      <c r="B1623" s="25"/>
      <c r="D1623" s="11"/>
      <c r="E1623" s="10"/>
      <c r="O1623" s="10"/>
      <c r="V1623" s="10"/>
      <c r="W1623" s="6"/>
    </row>
    <row r="1624" spans="1:23" x14ac:dyDescent="0.2">
      <c r="A1624" s="27"/>
      <c r="B1624" s="25"/>
      <c r="D1624" s="11"/>
      <c r="E1624" s="10"/>
      <c r="O1624" s="10"/>
      <c r="V1624" s="10"/>
      <c r="W1624" s="6"/>
    </row>
    <row r="1625" spans="1:23" x14ac:dyDescent="0.2">
      <c r="A1625" s="27"/>
      <c r="B1625" s="25"/>
      <c r="D1625" s="11"/>
      <c r="E1625" s="10"/>
      <c r="O1625" s="10"/>
      <c r="V1625" s="10"/>
      <c r="W1625" s="6"/>
    </row>
    <row r="1626" spans="1:23" x14ac:dyDescent="0.2">
      <c r="A1626" s="27"/>
      <c r="B1626" s="25"/>
      <c r="D1626" s="11"/>
      <c r="E1626" s="10"/>
      <c r="O1626" s="10"/>
      <c r="V1626" s="10"/>
      <c r="W1626" s="6"/>
    </row>
    <row r="1627" spans="1:23" x14ac:dyDescent="0.2">
      <c r="A1627" s="27"/>
      <c r="B1627" s="25"/>
      <c r="D1627" s="11"/>
      <c r="E1627" s="10"/>
      <c r="O1627" s="10"/>
      <c r="V1627" s="10"/>
      <c r="W1627" s="6"/>
    </row>
    <row r="1628" spans="1:23" x14ac:dyDescent="0.2">
      <c r="A1628" s="27"/>
      <c r="B1628" s="25"/>
      <c r="D1628" s="11"/>
      <c r="E1628" s="10"/>
      <c r="O1628" s="10"/>
      <c r="V1628" s="10"/>
    </row>
    <row r="1629" spans="1:23" x14ac:dyDescent="0.2">
      <c r="A1629" s="27"/>
      <c r="B1629" s="25"/>
      <c r="D1629" s="11"/>
      <c r="E1629" s="10"/>
      <c r="O1629" s="10"/>
      <c r="V1629" s="10"/>
      <c r="W1629" s="6"/>
    </row>
    <row r="1630" spans="1:23" x14ac:dyDescent="0.2">
      <c r="A1630" s="27"/>
      <c r="B1630" s="25"/>
      <c r="D1630" s="11"/>
      <c r="E1630" s="10"/>
      <c r="O1630" s="10"/>
      <c r="V1630" s="10"/>
      <c r="W1630" s="6"/>
    </row>
    <row r="1631" spans="1:23" x14ac:dyDescent="0.2">
      <c r="A1631" s="27"/>
      <c r="B1631" s="25"/>
      <c r="D1631" s="11"/>
      <c r="E1631" s="10"/>
      <c r="O1631" s="10"/>
      <c r="V1631" s="10"/>
      <c r="W1631" s="6"/>
    </row>
    <row r="1632" spans="1:23" x14ac:dyDescent="0.2">
      <c r="A1632" s="27"/>
      <c r="B1632" s="25"/>
      <c r="D1632" s="11"/>
      <c r="E1632" s="10"/>
      <c r="O1632" s="10"/>
      <c r="V1632" s="10"/>
      <c r="W1632" s="6"/>
    </row>
    <row r="1633" spans="1:23" x14ac:dyDescent="0.2">
      <c r="A1633" s="27"/>
      <c r="B1633" s="1"/>
      <c r="D1633" s="11"/>
      <c r="E1633" s="10"/>
      <c r="O1633" s="10"/>
      <c r="V1633" s="10"/>
      <c r="W1633" s="6"/>
    </row>
    <row r="1634" spans="1:23" x14ac:dyDescent="0.2">
      <c r="A1634" s="27"/>
      <c r="B1634" s="25"/>
      <c r="D1634" s="11"/>
      <c r="E1634" s="10"/>
      <c r="O1634" s="10"/>
      <c r="V1634" s="10"/>
      <c r="W1634" s="6"/>
    </row>
    <row r="1635" spans="1:23" x14ac:dyDescent="0.2">
      <c r="A1635" s="27"/>
      <c r="B1635" s="25"/>
      <c r="D1635" s="11"/>
      <c r="E1635" s="10"/>
      <c r="O1635" s="10"/>
      <c r="V1635" s="10"/>
      <c r="W1635" s="6"/>
    </row>
    <row r="1636" spans="1:23" x14ac:dyDescent="0.2">
      <c r="A1636" s="27"/>
      <c r="B1636" s="25"/>
      <c r="D1636" s="11"/>
      <c r="E1636" s="10"/>
      <c r="O1636" s="10"/>
      <c r="V1636" s="10"/>
      <c r="W1636" s="6"/>
    </row>
    <row r="1637" spans="1:23" x14ac:dyDescent="0.2">
      <c r="A1637" s="27"/>
      <c r="B1637" s="25"/>
      <c r="D1637" s="11"/>
      <c r="E1637" s="10"/>
      <c r="O1637" s="10"/>
      <c r="V1637" s="10"/>
      <c r="W1637" s="6"/>
    </row>
    <row r="1638" spans="1:23" x14ac:dyDescent="0.2">
      <c r="A1638" s="27"/>
      <c r="B1638" s="25"/>
      <c r="D1638" s="11"/>
      <c r="E1638" s="10"/>
      <c r="O1638" s="10"/>
      <c r="V1638" s="10"/>
      <c r="W1638" s="6"/>
    </row>
    <row r="1639" spans="1:23" x14ac:dyDescent="0.2">
      <c r="A1639" s="27"/>
      <c r="B1639" s="25"/>
      <c r="D1639" s="11"/>
      <c r="E1639" s="10"/>
      <c r="O1639" s="10"/>
      <c r="V1639" s="10"/>
      <c r="W1639" s="6"/>
    </row>
    <row r="1640" spans="1:23" x14ac:dyDescent="0.2">
      <c r="A1640" s="27"/>
      <c r="B1640" s="25"/>
      <c r="D1640" s="11"/>
      <c r="E1640" s="10"/>
      <c r="O1640" s="10"/>
      <c r="V1640" s="10"/>
      <c r="W1640" s="6"/>
    </row>
    <row r="1641" spans="1:23" x14ac:dyDescent="0.2">
      <c r="A1641" s="27"/>
      <c r="B1641" s="25"/>
      <c r="D1641" s="11"/>
      <c r="E1641" s="10"/>
      <c r="O1641" s="10"/>
      <c r="V1641" s="10"/>
      <c r="W1641" s="6"/>
    </row>
    <row r="1642" spans="1:23" x14ac:dyDescent="0.2">
      <c r="A1642" s="27"/>
      <c r="B1642" s="25"/>
      <c r="D1642" s="11"/>
      <c r="E1642" s="10"/>
      <c r="O1642" s="10"/>
      <c r="V1642" s="10"/>
      <c r="W1642" s="6"/>
    </row>
    <row r="1643" spans="1:23" x14ac:dyDescent="0.2">
      <c r="A1643" s="27"/>
      <c r="B1643" s="25"/>
      <c r="D1643" s="11"/>
      <c r="E1643" s="10"/>
      <c r="O1643" s="10"/>
      <c r="V1643" s="10"/>
      <c r="W1643" s="6"/>
    </row>
    <row r="1644" spans="1:23" x14ac:dyDescent="0.2">
      <c r="A1644" s="27"/>
      <c r="B1644" s="25"/>
      <c r="D1644" s="11"/>
      <c r="E1644" s="10"/>
      <c r="O1644" s="10"/>
      <c r="V1644" s="10"/>
      <c r="W1644" s="6"/>
    </row>
    <row r="1645" spans="1:23" x14ac:dyDescent="0.2">
      <c r="A1645" s="27"/>
      <c r="B1645" s="25"/>
      <c r="D1645" s="11"/>
      <c r="E1645" s="10"/>
      <c r="O1645" s="10"/>
      <c r="V1645" s="10"/>
      <c r="W1645" s="6"/>
    </row>
    <row r="1646" spans="1:23" x14ac:dyDescent="0.2">
      <c r="A1646" s="27"/>
      <c r="B1646" s="25"/>
      <c r="D1646" s="11"/>
      <c r="E1646" s="10"/>
      <c r="O1646" s="10"/>
      <c r="V1646" s="10"/>
      <c r="W1646" s="6"/>
    </row>
    <row r="1647" spans="1:23" x14ac:dyDescent="0.2">
      <c r="A1647" s="27"/>
      <c r="B1647" s="25"/>
      <c r="D1647" s="11"/>
      <c r="E1647" s="10"/>
      <c r="O1647" s="10"/>
      <c r="V1647" s="10"/>
      <c r="W1647" s="6"/>
    </row>
    <row r="1648" spans="1:23" x14ac:dyDescent="0.2">
      <c r="A1648" s="27"/>
      <c r="B1648" s="25"/>
      <c r="D1648" s="11"/>
      <c r="E1648" s="10"/>
      <c r="O1648" s="10"/>
      <c r="V1648" s="10"/>
      <c r="W1648" s="6"/>
    </row>
    <row r="1649" spans="1:23" x14ac:dyDescent="0.2">
      <c r="A1649" s="27"/>
      <c r="B1649" s="25"/>
      <c r="D1649" s="11"/>
      <c r="E1649" s="10"/>
      <c r="O1649" s="10"/>
      <c r="V1649" s="10"/>
      <c r="W1649" s="6"/>
    </row>
    <row r="1650" spans="1:23" x14ac:dyDescent="0.2">
      <c r="A1650" s="27"/>
      <c r="B1650" s="1"/>
      <c r="D1650" s="11"/>
      <c r="E1650" s="10"/>
      <c r="O1650" s="10"/>
      <c r="V1650" s="10"/>
      <c r="W1650" s="6"/>
    </row>
    <row r="1651" spans="1:23" x14ac:dyDescent="0.2">
      <c r="A1651" s="27"/>
      <c r="B1651" s="25"/>
      <c r="D1651" s="11"/>
      <c r="E1651" s="10"/>
      <c r="O1651" s="10"/>
      <c r="V1651" s="10"/>
      <c r="W1651" s="6"/>
    </row>
    <row r="1652" spans="1:23" x14ac:dyDescent="0.2">
      <c r="A1652" s="27"/>
      <c r="B1652" s="25"/>
      <c r="D1652" s="11"/>
      <c r="E1652" s="10"/>
      <c r="O1652" s="10"/>
      <c r="V1652" s="10"/>
      <c r="W1652" s="6"/>
    </row>
    <row r="1653" spans="1:23" x14ac:dyDescent="0.2">
      <c r="A1653" s="27"/>
      <c r="B1653" s="25"/>
      <c r="D1653" s="11"/>
      <c r="E1653" s="10"/>
      <c r="O1653" s="10"/>
      <c r="V1653" s="10"/>
      <c r="W1653" s="6"/>
    </row>
    <row r="1654" spans="1:23" x14ac:dyDescent="0.2">
      <c r="A1654" s="27"/>
      <c r="B1654" s="25"/>
      <c r="D1654" s="11"/>
      <c r="E1654" s="10"/>
      <c r="O1654" s="10"/>
      <c r="V1654" s="10"/>
      <c r="W1654" s="6"/>
    </row>
    <row r="1655" spans="1:23" x14ac:dyDescent="0.2">
      <c r="A1655" s="27"/>
      <c r="B1655" s="25"/>
      <c r="D1655" s="11"/>
      <c r="E1655" s="10"/>
      <c r="O1655" s="10"/>
      <c r="V1655" s="10"/>
      <c r="W1655" s="6"/>
    </row>
    <row r="1656" spans="1:23" x14ac:dyDescent="0.2">
      <c r="A1656" s="27"/>
      <c r="B1656" s="25"/>
      <c r="D1656" s="11"/>
      <c r="E1656" s="10"/>
      <c r="O1656" s="10"/>
      <c r="V1656" s="10"/>
      <c r="W1656" s="6"/>
    </row>
    <row r="1657" spans="1:23" x14ac:dyDescent="0.2">
      <c r="A1657" s="27"/>
      <c r="B1657" s="25"/>
      <c r="D1657" s="11"/>
      <c r="E1657" s="10"/>
      <c r="O1657" s="10"/>
      <c r="V1657" s="10"/>
      <c r="W1657" s="6"/>
    </row>
    <row r="1658" spans="1:23" x14ac:dyDescent="0.2">
      <c r="A1658" s="27"/>
      <c r="B1658" s="25"/>
      <c r="D1658" s="11"/>
      <c r="E1658" s="10"/>
      <c r="O1658" s="10"/>
      <c r="V1658" s="10"/>
      <c r="W1658" s="6"/>
    </row>
    <row r="1659" spans="1:23" x14ac:dyDescent="0.2">
      <c r="A1659" s="27"/>
      <c r="B1659" s="1"/>
      <c r="D1659" s="11"/>
      <c r="E1659" s="10"/>
      <c r="O1659" s="10"/>
      <c r="V1659" s="10"/>
      <c r="W1659" s="6"/>
    </row>
    <row r="1660" spans="1:23" x14ac:dyDescent="0.2">
      <c r="A1660" s="27"/>
      <c r="B1660" s="25"/>
      <c r="D1660" s="11"/>
      <c r="E1660" s="10"/>
      <c r="O1660" s="10"/>
      <c r="V1660" s="10"/>
      <c r="W1660" s="6"/>
    </row>
    <row r="1661" spans="1:23" x14ac:dyDescent="0.2">
      <c r="A1661" s="27"/>
      <c r="B1661" s="1"/>
      <c r="D1661" s="11"/>
      <c r="E1661" s="10"/>
      <c r="O1661" s="10"/>
      <c r="V1661" s="10"/>
      <c r="W1661" s="6"/>
    </row>
    <row r="1662" spans="1:23" x14ac:dyDescent="0.2">
      <c r="A1662" s="27"/>
      <c r="B1662" s="25"/>
      <c r="D1662" s="11"/>
      <c r="E1662" s="10"/>
      <c r="O1662" s="10"/>
      <c r="V1662" s="10"/>
      <c r="W1662" s="6"/>
    </row>
    <row r="1663" spans="1:23" x14ac:dyDescent="0.2">
      <c r="A1663" s="27"/>
      <c r="B1663" s="25"/>
      <c r="D1663" s="11"/>
      <c r="E1663" s="10"/>
      <c r="O1663" s="10"/>
      <c r="V1663" s="10"/>
      <c r="W1663" s="6"/>
    </row>
    <row r="1664" spans="1:23" x14ac:dyDescent="0.2">
      <c r="A1664" s="27"/>
      <c r="B1664" s="25"/>
      <c r="D1664" s="11"/>
      <c r="E1664" s="10"/>
      <c r="O1664" s="10"/>
      <c r="V1664" s="10"/>
      <c r="W1664" s="6"/>
    </row>
    <row r="1665" spans="1:23" x14ac:dyDescent="0.2">
      <c r="A1665" s="27"/>
      <c r="B1665" s="25"/>
      <c r="D1665" s="11"/>
      <c r="E1665" s="10"/>
      <c r="O1665" s="10"/>
      <c r="V1665" s="10"/>
      <c r="W1665" s="6"/>
    </row>
    <row r="1666" spans="1:23" x14ac:dyDescent="0.2">
      <c r="A1666" s="27"/>
      <c r="B1666" s="25"/>
      <c r="D1666" s="11"/>
      <c r="E1666" s="10"/>
      <c r="O1666" s="10"/>
      <c r="V1666" s="10"/>
      <c r="W1666" s="6"/>
    </row>
    <row r="1667" spans="1:23" x14ac:dyDescent="0.2">
      <c r="A1667" s="27"/>
      <c r="B1667" s="25"/>
      <c r="D1667" s="11"/>
      <c r="E1667" s="10"/>
      <c r="O1667" s="10"/>
      <c r="V1667" s="10"/>
      <c r="W1667" s="6"/>
    </row>
    <row r="1668" spans="1:23" x14ac:dyDescent="0.2">
      <c r="A1668" s="27"/>
      <c r="B1668" s="25"/>
      <c r="D1668" s="11"/>
      <c r="E1668" s="10"/>
      <c r="O1668" s="10"/>
      <c r="V1668" s="10"/>
      <c r="W1668" s="6"/>
    </row>
    <row r="1669" spans="1:23" x14ac:dyDescent="0.2">
      <c r="A1669" s="27"/>
      <c r="B1669" s="25"/>
      <c r="D1669" s="11"/>
      <c r="E1669" s="10"/>
      <c r="O1669" s="10"/>
      <c r="V1669" s="10"/>
      <c r="W1669" s="6"/>
    </row>
    <row r="1670" spans="1:23" x14ac:dyDescent="0.2">
      <c r="A1670" s="27"/>
      <c r="B1670" s="25"/>
      <c r="D1670" s="11"/>
      <c r="E1670" s="10"/>
      <c r="O1670" s="10"/>
      <c r="V1670" s="10"/>
      <c r="W1670" s="6"/>
    </row>
    <row r="1671" spans="1:23" x14ac:dyDescent="0.2">
      <c r="A1671" s="27"/>
      <c r="B1671" s="25"/>
      <c r="D1671" s="11"/>
      <c r="E1671" s="10"/>
      <c r="O1671" s="10"/>
      <c r="V1671" s="10"/>
      <c r="W1671" s="6"/>
    </row>
    <row r="1672" spans="1:23" x14ac:dyDescent="0.2">
      <c r="A1672" s="27"/>
      <c r="B1672" s="25"/>
      <c r="D1672" s="11"/>
      <c r="E1672" s="10"/>
      <c r="O1672" s="10"/>
      <c r="V1672" s="10"/>
      <c r="W1672" s="6"/>
    </row>
    <row r="1673" spans="1:23" x14ac:dyDescent="0.2">
      <c r="A1673" s="27"/>
      <c r="B1673" s="25"/>
      <c r="D1673" s="11"/>
      <c r="E1673" s="10"/>
      <c r="O1673" s="10"/>
      <c r="V1673" s="10"/>
      <c r="W1673" s="6"/>
    </row>
    <row r="1674" spans="1:23" x14ac:dyDescent="0.2">
      <c r="A1674" s="27"/>
      <c r="B1674" s="25"/>
      <c r="D1674" s="11"/>
      <c r="E1674" s="10"/>
      <c r="O1674" s="10"/>
      <c r="V1674" s="10"/>
      <c r="W1674" s="6"/>
    </row>
    <row r="1675" spans="1:23" x14ac:dyDescent="0.2">
      <c r="A1675" s="27"/>
      <c r="B1675" s="25"/>
      <c r="D1675" s="11"/>
      <c r="E1675" s="10"/>
      <c r="O1675" s="10"/>
      <c r="V1675" s="10"/>
      <c r="W1675" s="6"/>
    </row>
    <row r="1676" spans="1:23" x14ac:dyDescent="0.2">
      <c r="A1676" s="27"/>
      <c r="B1676" s="25"/>
      <c r="D1676" s="11"/>
      <c r="E1676" s="10"/>
      <c r="O1676" s="10"/>
      <c r="V1676" s="10"/>
      <c r="W1676" s="6"/>
    </row>
    <row r="1677" spans="1:23" x14ac:dyDescent="0.2">
      <c r="A1677" s="27"/>
      <c r="B1677" s="25"/>
      <c r="D1677" s="11"/>
      <c r="E1677" s="10"/>
      <c r="O1677" s="10"/>
      <c r="V1677" s="10"/>
      <c r="W1677" s="6"/>
    </row>
    <row r="1678" spans="1:23" x14ac:dyDescent="0.2">
      <c r="A1678" s="27"/>
      <c r="B1678" s="25"/>
      <c r="D1678" s="11"/>
      <c r="E1678" s="10"/>
      <c r="O1678" s="10"/>
      <c r="V1678" s="10"/>
      <c r="W1678" s="6"/>
    </row>
    <row r="1679" spans="1:23" x14ac:dyDescent="0.2">
      <c r="A1679" s="27"/>
      <c r="B1679" s="25"/>
      <c r="D1679" s="11"/>
      <c r="E1679" s="10"/>
      <c r="O1679" s="10"/>
      <c r="V1679" s="10"/>
      <c r="W1679" s="6"/>
    </row>
    <row r="1680" spans="1:23" x14ac:dyDescent="0.2">
      <c r="A1680" s="27"/>
      <c r="B1680" s="25"/>
      <c r="D1680" s="11"/>
      <c r="E1680" s="10"/>
      <c r="O1680" s="10"/>
      <c r="V1680" s="10"/>
      <c r="W1680" s="6"/>
    </row>
    <row r="1681" spans="1:23" x14ac:dyDescent="0.2">
      <c r="A1681" s="27"/>
      <c r="B1681" s="25"/>
      <c r="D1681" s="11"/>
      <c r="E1681" s="10"/>
      <c r="O1681" s="10"/>
      <c r="V1681" s="10"/>
      <c r="W1681" s="6"/>
    </row>
    <row r="1682" spans="1:23" x14ac:dyDescent="0.2">
      <c r="A1682" s="27"/>
      <c r="B1682" s="25"/>
      <c r="D1682" s="11"/>
      <c r="E1682" s="10"/>
      <c r="O1682" s="10"/>
      <c r="V1682" s="10"/>
      <c r="W1682" s="6"/>
    </row>
    <row r="1683" spans="1:23" x14ac:dyDescent="0.2">
      <c r="A1683" s="27"/>
      <c r="B1683" s="25"/>
      <c r="D1683" s="11"/>
      <c r="E1683" s="10"/>
      <c r="O1683" s="10"/>
      <c r="V1683" s="10"/>
      <c r="W1683" s="6"/>
    </row>
    <row r="1684" spans="1:23" x14ac:dyDescent="0.2">
      <c r="A1684" s="27"/>
      <c r="B1684" s="25"/>
      <c r="D1684" s="11"/>
      <c r="E1684" s="10"/>
      <c r="O1684" s="10"/>
      <c r="V1684" s="10"/>
      <c r="W1684" s="6"/>
    </row>
    <row r="1685" spans="1:23" x14ac:dyDescent="0.2">
      <c r="A1685" s="27"/>
      <c r="B1685" s="25"/>
      <c r="D1685" s="11"/>
      <c r="E1685" s="10"/>
      <c r="O1685" s="10"/>
      <c r="V1685" s="10"/>
      <c r="W1685" s="6"/>
    </row>
    <row r="1686" spans="1:23" x14ac:dyDescent="0.2">
      <c r="A1686" s="27"/>
      <c r="B1686" s="25"/>
      <c r="D1686" s="11"/>
      <c r="E1686" s="10"/>
      <c r="O1686" s="10"/>
      <c r="V1686" s="10"/>
      <c r="W1686" s="6"/>
    </row>
    <row r="1687" spans="1:23" x14ac:dyDescent="0.2">
      <c r="A1687" s="27"/>
      <c r="B1687" s="25"/>
      <c r="D1687" s="11"/>
      <c r="E1687" s="10"/>
      <c r="O1687" s="10"/>
      <c r="V1687" s="10"/>
      <c r="W1687" s="6"/>
    </row>
    <row r="1688" spans="1:23" x14ac:dyDescent="0.2">
      <c r="A1688" s="27"/>
      <c r="B1688" s="25"/>
      <c r="D1688" s="11"/>
      <c r="E1688" s="10"/>
      <c r="O1688" s="10"/>
      <c r="V1688" s="10"/>
      <c r="W1688" s="6"/>
    </row>
    <row r="1689" spans="1:23" x14ac:dyDescent="0.2">
      <c r="A1689" s="27"/>
      <c r="B1689" s="25"/>
      <c r="D1689" s="11"/>
      <c r="E1689" s="10"/>
      <c r="O1689" s="10"/>
      <c r="V1689" s="10"/>
      <c r="W1689" s="6"/>
    </row>
    <row r="1690" spans="1:23" x14ac:dyDescent="0.2">
      <c r="A1690" s="27"/>
      <c r="B1690" s="25"/>
      <c r="D1690" s="11"/>
      <c r="E1690" s="10"/>
      <c r="O1690" s="10"/>
      <c r="V1690" s="10"/>
      <c r="W1690" s="6"/>
    </row>
    <row r="1691" spans="1:23" x14ac:dyDescent="0.2">
      <c r="A1691" s="27"/>
      <c r="B1691" s="25"/>
      <c r="D1691" s="11"/>
      <c r="E1691" s="10"/>
      <c r="O1691" s="10"/>
      <c r="V1691" s="10"/>
      <c r="W1691" s="6"/>
    </row>
    <row r="1692" spans="1:23" x14ac:dyDescent="0.2">
      <c r="A1692" s="27"/>
      <c r="B1692" s="25"/>
      <c r="D1692" s="11"/>
      <c r="E1692" s="10"/>
      <c r="O1692" s="10"/>
      <c r="V1692" s="10"/>
      <c r="W1692" s="6"/>
    </row>
    <row r="1693" spans="1:23" x14ac:dyDescent="0.2">
      <c r="A1693" s="27"/>
      <c r="B1693" s="25"/>
      <c r="D1693" s="11"/>
      <c r="E1693" s="10"/>
      <c r="O1693" s="10"/>
      <c r="V1693" s="10"/>
      <c r="W1693" s="6"/>
    </row>
    <row r="1694" spans="1:23" x14ac:dyDescent="0.2">
      <c r="A1694" s="27"/>
      <c r="B1694" s="25"/>
      <c r="D1694" s="11"/>
      <c r="E1694" s="10"/>
      <c r="O1694" s="10"/>
      <c r="V1694" s="10"/>
      <c r="W1694" s="6"/>
    </row>
    <row r="1695" spans="1:23" x14ac:dyDescent="0.2">
      <c r="A1695" s="27"/>
      <c r="B1695" s="1"/>
      <c r="D1695" s="11"/>
      <c r="E1695" s="10"/>
      <c r="O1695" s="10"/>
      <c r="V1695" s="10"/>
      <c r="W1695" s="6"/>
    </row>
    <row r="1696" spans="1:23" x14ac:dyDescent="0.2">
      <c r="A1696" s="27"/>
      <c r="B1696" s="25"/>
      <c r="D1696" s="11"/>
      <c r="E1696" s="10"/>
      <c r="O1696" s="10"/>
      <c r="V1696" s="10"/>
      <c r="W1696" s="6"/>
    </row>
    <row r="1697" spans="1:23" x14ac:dyDescent="0.2">
      <c r="A1697" s="27"/>
      <c r="B1697" s="25"/>
      <c r="D1697" s="11"/>
      <c r="E1697" s="10"/>
      <c r="O1697" s="10"/>
      <c r="V1697" s="10"/>
      <c r="W1697" s="6"/>
    </row>
    <row r="1698" spans="1:23" x14ac:dyDescent="0.2">
      <c r="A1698" s="27"/>
      <c r="B1698" s="25"/>
      <c r="D1698" s="11"/>
      <c r="E1698" s="10"/>
      <c r="O1698" s="10"/>
      <c r="V1698" s="10"/>
      <c r="W1698" s="6"/>
    </row>
    <row r="1699" spans="1:23" x14ac:dyDescent="0.2">
      <c r="A1699" s="27"/>
      <c r="B1699" s="25"/>
      <c r="D1699" s="11"/>
      <c r="E1699" s="10"/>
      <c r="O1699" s="10"/>
      <c r="V1699" s="10"/>
      <c r="W1699" s="6"/>
    </row>
    <row r="1700" spans="1:23" x14ac:dyDescent="0.2">
      <c r="A1700" s="27"/>
      <c r="B1700" s="25"/>
      <c r="D1700" s="11"/>
      <c r="E1700" s="10"/>
      <c r="O1700" s="10"/>
      <c r="V1700" s="10"/>
      <c r="W1700" s="6"/>
    </row>
    <row r="1701" spans="1:23" x14ac:dyDescent="0.2">
      <c r="A1701" s="27"/>
      <c r="B1701" s="25"/>
      <c r="D1701" s="11"/>
      <c r="E1701" s="10"/>
      <c r="O1701" s="10"/>
      <c r="V1701" s="10"/>
      <c r="W1701" s="6"/>
    </row>
    <row r="1702" spans="1:23" x14ac:dyDescent="0.2">
      <c r="A1702" s="27"/>
      <c r="B1702" s="1"/>
      <c r="D1702" s="11"/>
      <c r="E1702" s="10"/>
      <c r="O1702" s="10"/>
      <c r="V1702" s="10"/>
      <c r="W1702" s="6"/>
    </row>
    <row r="1703" spans="1:23" x14ac:dyDescent="0.2">
      <c r="A1703" s="27"/>
      <c r="B1703" s="25"/>
      <c r="D1703" s="11"/>
      <c r="E1703" s="10"/>
      <c r="O1703" s="10"/>
      <c r="V1703" s="10"/>
      <c r="W1703" s="6"/>
    </row>
    <row r="1704" spans="1:23" x14ac:dyDescent="0.2">
      <c r="A1704" s="27"/>
      <c r="B1704" s="25"/>
      <c r="D1704" s="11"/>
      <c r="E1704" s="10"/>
      <c r="O1704" s="10"/>
      <c r="V1704" s="10"/>
      <c r="W1704" s="6"/>
    </row>
    <row r="1705" spans="1:23" x14ac:dyDescent="0.2">
      <c r="A1705" s="27"/>
      <c r="B1705" s="25"/>
      <c r="D1705" s="11"/>
      <c r="E1705" s="10"/>
      <c r="O1705" s="10"/>
      <c r="V1705" s="10"/>
      <c r="W1705" s="6"/>
    </row>
    <row r="1706" spans="1:23" x14ac:dyDescent="0.2">
      <c r="A1706" s="27"/>
      <c r="B1706" s="25"/>
      <c r="D1706" s="11"/>
      <c r="E1706" s="10"/>
      <c r="O1706" s="10"/>
      <c r="V1706" s="10"/>
      <c r="W1706" s="6"/>
    </row>
    <row r="1707" spans="1:23" x14ac:dyDescent="0.2">
      <c r="A1707" s="27"/>
      <c r="B1707" s="1"/>
      <c r="D1707" s="11"/>
      <c r="E1707" s="10"/>
      <c r="O1707" s="10"/>
      <c r="V1707" s="10"/>
      <c r="W1707" s="6"/>
    </row>
    <row r="1708" spans="1:23" x14ac:dyDescent="0.2">
      <c r="A1708" s="27"/>
      <c r="B1708" s="1"/>
      <c r="D1708" s="11"/>
      <c r="E1708" s="10"/>
      <c r="O1708" s="10"/>
      <c r="V1708" s="10"/>
      <c r="W1708" s="6"/>
    </row>
    <row r="1709" spans="1:23" x14ac:dyDescent="0.2">
      <c r="A1709" s="27"/>
      <c r="B1709" s="25"/>
      <c r="D1709" s="11"/>
      <c r="E1709" s="10"/>
      <c r="O1709" s="10"/>
      <c r="V1709" s="10"/>
      <c r="W1709" s="6"/>
    </row>
    <row r="1710" spans="1:23" x14ac:dyDescent="0.2">
      <c r="A1710" s="27"/>
      <c r="B1710" s="25"/>
      <c r="D1710" s="11"/>
      <c r="E1710" s="10"/>
      <c r="O1710" s="10"/>
      <c r="V1710" s="10"/>
      <c r="W1710" s="6"/>
    </row>
    <row r="1711" spans="1:23" x14ac:dyDescent="0.2">
      <c r="A1711" s="27"/>
      <c r="B1711" s="25"/>
      <c r="D1711" s="11"/>
      <c r="E1711" s="10"/>
      <c r="O1711" s="10"/>
      <c r="V1711" s="10"/>
      <c r="W1711" s="6"/>
    </row>
    <row r="1712" spans="1:23" x14ac:dyDescent="0.2">
      <c r="A1712" s="27"/>
      <c r="B1712" s="1"/>
      <c r="D1712" s="11"/>
      <c r="E1712" s="10"/>
      <c r="O1712" s="10"/>
      <c r="V1712" s="10"/>
      <c r="W1712" s="6"/>
    </row>
    <row r="1713" spans="1:23" x14ac:dyDescent="0.2">
      <c r="A1713" s="27"/>
      <c r="B1713" s="25"/>
      <c r="D1713" s="11"/>
      <c r="E1713" s="10"/>
      <c r="O1713" s="10"/>
      <c r="V1713" s="10"/>
      <c r="W1713" s="6"/>
    </row>
    <row r="1714" spans="1:23" x14ac:dyDescent="0.2">
      <c r="A1714" s="27"/>
      <c r="B1714" s="25"/>
      <c r="D1714" s="11"/>
      <c r="E1714" s="10"/>
      <c r="O1714" s="10"/>
      <c r="V1714" s="10"/>
      <c r="W1714" s="6"/>
    </row>
    <row r="1715" spans="1:23" x14ac:dyDescent="0.2">
      <c r="A1715" s="27"/>
      <c r="B1715" s="25"/>
      <c r="D1715" s="11"/>
      <c r="E1715" s="10"/>
      <c r="O1715" s="10"/>
      <c r="V1715" s="10"/>
      <c r="W1715" s="6"/>
    </row>
    <row r="1716" spans="1:23" x14ac:dyDescent="0.2">
      <c r="A1716" s="27"/>
      <c r="B1716" s="25"/>
      <c r="D1716" s="11"/>
      <c r="E1716" s="10"/>
      <c r="O1716" s="10"/>
      <c r="V1716" s="10"/>
      <c r="W1716" s="6"/>
    </row>
    <row r="1717" spans="1:23" x14ac:dyDescent="0.2">
      <c r="A1717" s="27"/>
      <c r="B1717" s="25"/>
      <c r="D1717" s="11"/>
      <c r="E1717" s="10"/>
      <c r="O1717" s="10"/>
      <c r="V1717" s="10"/>
      <c r="W1717" s="6"/>
    </row>
    <row r="1718" spans="1:23" x14ac:dyDescent="0.2">
      <c r="A1718" s="27"/>
      <c r="B1718" s="25"/>
      <c r="D1718" s="11"/>
      <c r="E1718" s="10"/>
      <c r="O1718" s="10"/>
      <c r="V1718" s="10"/>
      <c r="W1718" s="6"/>
    </row>
    <row r="1719" spans="1:23" x14ac:dyDescent="0.2">
      <c r="A1719" s="27"/>
      <c r="B1719" s="25"/>
      <c r="D1719" s="11"/>
      <c r="E1719" s="10"/>
      <c r="O1719" s="10"/>
      <c r="V1719" s="10"/>
      <c r="W1719" s="6"/>
    </row>
    <row r="1720" spans="1:23" x14ac:dyDescent="0.2">
      <c r="A1720" s="27"/>
      <c r="B1720" s="25"/>
      <c r="D1720" s="11"/>
      <c r="E1720" s="10"/>
      <c r="O1720" s="10"/>
      <c r="V1720" s="10"/>
      <c r="W1720" s="6"/>
    </row>
    <row r="1721" spans="1:23" x14ac:dyDescent="0.2">
      <c r="A1721" s="27"/>
      <c r="B1721" s="25"/>
      <c r="D1721" s="11"/>
      <c r="E1721" s="10"/>
      <c r="O1721" s="10"/>
      <c r="V1721" s="10"/>
      <c r="W1721" s="6"/>
    </row>
    <row r="1722" spans="1:23" x14ac:dyDescent="0.2">
      <c r="A1722" s="27"/>
      <c r="B1722" s="25"/>
      <c r="D1722" s="11"/>
      <c r="E1722" s="10"/>
      <c r="O1722" s="10"/>
      <c r="V1722" s="10"/>
      <c r="W1722" s="6"/>
    </row>
    <row r="1723" spans="1:23" x14ac:dyDescent="0.2">
      <c r="A1723" s="27"/>
      <c r="B1723" s="25"/>
      <c r="D1723" s="11"/>
      <c r="E1723" s="10"/>
      <c r="O1723" s="10"/>
      <c r="V1723" s="10"/>
      <c r="W1723" s="6"/>
    </row>
    <row r="1724" spans="1:23" x14ac:dyDescent="0.2">
      <c r="A1724" s="27"/>
      <c r="B1724" s="25"/>
      <c r="D1724" s="11"/>
      <c r="E1724" s="10"/>
      <c r="O1724" s="10"/>
      <c r="V1724" s="10"/>
      <c r="W1724" s="6"/>
    </row>
    <row r="1725" spans="1:23" x14ac:dyDescent="0.2">
      <c r="A1725" s="27"/>
      <c r="B1725" s="25"/>
      <c r="D1725" s="11"/>
      <c r="E1725" s="10"/>
      <c r="O1725" s="10"/>
      <c r="V1725" s="10"/>
      <c r="W1725" s="6"/>
    </row>
    <row r="1726" spans="1:23" x14ac:dyDescent="0.2">
      <c r="A1726" s="27"/>
      <c r="B1726" s="25"/>
      <c r="D1726" s="11"/>
      <c r="E1726" s="10"/>
      <c r="O1726" s="10"/>
      <c r="V1726" s="10"/>
      <c r="W1726" s="6"/>
    </row>
    <row r="1727" spans="1:23" x14ac:dyDescent="0.2">
      <c r="A1727" s="27"/>
      <c r="B1727" s="25"/>
      <c r="D1727" s="11"/>
      <c r="E1727" s="10"/>
      <c r="O1727" s="10"/>
      <c r="V1727" s="10"/>
      <c r="W1727" s="6"/>
    </row>
    <row r="1728" spans="1:23" x14ac:dyDescent="0.2">
      <c r="A1728" s="27"/>
      <c r="B1728" s="25"/>
      <c r="D1728" s="11"/>
      <c r="E1728" s="10"/>
      <c r="O1728" s="10"/>
      <c r="V1728" s="10"/>
      <c r="W1728" s="6"/>
    </row>
    <row r="1729" spans="1:23" x14ac:dyDescent="0.2">
      <c r="A1729" s="27"/>
      <c r="B1729" s="25"/>
      <c r="D1729" s="11"/>
      <c r="E1729" s="10"/>
      <c r="O1729" s="10"/>
      <c r="V1729" s="10"/>
      <c r="W1729" s="6"/>
    </row>
    <row r="1730" spans="1:23" x14ac:dyDescent="0.2">
      <c r="A1730" s="27"/>
      <c r="B1730" s="25"/>
      <c r="D1730" s="11"/>
      <c r="E1730" s="10"/>
      <c r="O1730" s="10"/>
      <c r="V1730" s="10"/>
      <c r="W1730" s="6"/>
    </row>
    <row r="1731" spans="1:23" x14ac:dyDescent="0.2">
      <c r="A1731" s="27"/>
      <c r="B1731" s="25"/>
      <c r="D1731" s="11"/>
      <c r="E1731" s="10"/>
      <c r="O1731" s="10"/>
      <c r="V1731" s="10"/>
      <c r="W1731" s="6"/>
    </row>
    <row r="1732" spans="1:23" x14ac:dyDescent="0.2">
      <c r="A1732" s="27"/>
      <c r="B1732" s="1"/>
      <c r="D1732" s="11"/>
      <c r="E1732" s="10"/>
      <c r="O1732" s="10"/>
      <c r="V1732" s="10"/>
      <c r="W1732" s="6"/>
    </row>
    <row r="1733" spans="1:23" x14ac:dyDescent="0.2">
      <c r="A1733" s="27"/>
      <c r="B1733" s="25"/>
      <c r="D1733" s="11"/>
      <c r="E1733" s="10"/>
      <c r="O1733" s="10"/>
      <c r="V1733" s="10"/>
      <c r="W1733" s="6"/>
    </row>
    <row r="1734" spans="1:23" x14ac:dyDescent="0.2">
      <c r="A1734" s="27"/>
      <c r="B1734" s="25"/>
      <c r="D1734" s="11"/>
      <c r="E1734" s="10"/>
      <c r="O1734" s="10"/>
      <c r="V1734" s="10"/>
      <c r="W1734" s="6"/>
    </row>
    <row r="1735" spans="1:23" x14ac:dyDescent="0.2">
      <c r="A1735" s="27"/>
      <c r="B1735" s="25"/>
      <c r="D1735" s="11"/>
      <c r="E1735" s="10"/>
      <c r="O1735" s="10"/>
      <c r="V1735" s="10"/>
      <c r="W1735" s="6"/>
    </row>
    <row r="1736" spans="1:23" x14ac:dyDescent="0.2">
      <c r="A1736" s="27"/>
      <c r="B1736" s="25"/>
      <c r="D1736" s="11"/>
      <c r="E1736" s="10"/>
      <c r="O1736" s="10"/>
      <c r="V1736" s="10"/>
      <c r="W1736" s="6"/>
    </row>
    <row r="1737" spans="1:23" x14ac:dyDescent="0.2">
      <c r="A1737" s="27"/>
      <c r="B1737" s="25"/>
      <c r="D1737" s="11"/>
      <c r="E1737" s="10"/>
      <c r="O1737" s="10"/>
      <c r="V1737" s="10"/>
      <c r="W1737" s="6"/>
    </row>
    <row r="1738" spans="1:23" x14ac:dyDescent="0.2">
      <c r="A1738" s="27"/>
      <c r="B1738" s="25"/>
      <c r="D1738" s="11"/>
      <c r="E1738" s="10"/>
      <c r="O1738" s="10"/>
      <c r="V1738" s="10"/>
      <c r="W1738" s="6"/>
    </row>
    <row r="1739" spans="1:23" x14ac:dyDescent="0.2">
      <c r="A1739" s="27"/>
      <c r="B1739" s="25"/>
      <c r="D1739" s="11"/>
      <c r="E1739" s="10"/>
      <c r="O1739" s="10"/>
      <c r="V1739" s="10"/>
      <c r="W1739" s="6"/>
    </row>
    <row r="1740" spans="1:23" x14ac:dyDescent="0.2">
      <c r="A1740" s="27"/>
      <c r="B1740" s="1"/>
      <c r="D1740" s="11"/>
      <c r="E1740" s="10"/>
      <c r="O1740" s="10"/>
      <c r="V1740" s="10"/>
      <c r="W1740" s="6"/>
    </row>
    <row r="1741" spans="1:23" x14ac:dyDescent="0.2">
      <c r="A1741" s="27"/>
      <c r="B1741" s="25"/>
      <c r="D1741" s="11"/>
      <c r="E1741" s="10"/>
      <c r="O1741" s="10"/>
      <c r="V1741" s="10"/>
      <c r="W1741" s="6"/>
    </row>
    <row r="1742" spans="1:23" x14ac:dyDescent="0.2">
      <c r="A1742" s="27"/>
      <c r="B1742" s="25"/>
      <c r="D1742" s="11"/>
      <c r="E1742" s="10"/>
      <c r="O1742" s="10"/>
      <c r="V1742" s="10"/>
      <c r="W1742" s="6"/>
    </row>
    <row r="1743" spans="1:23" x14ac:dyDescent="0.2">
      <c r="A1743" s="27"/>
      <c r="B1743" s="25"/>
      <c r="D1743" s="11"/>
      <c r="E1743" s="10"/>
      <c r="O1743" s="10"/>
      <c r="V1743" s="10"/>
      <c r="W1743" s="6"/>
    </row>
    <row r="1744" spans="1:23" x14ac:dyDescent="0.2">
      <c r="A1744" s="27"/>
      <c r="B1744" s="25"/>
      <c r="D1744" s="11"/>
      <c r="E1744" s="10"/>
      <c r="O1744" s="10"/>
      <c r="V1744" s="10"/>
      <c r="W1744" s="6"/>
    </row>
    <row r="1745" spans="1:23" x14ac:dyDescent="0.2">
      <c r="A1745" s="27"/>
      <c r="B1745" s="25"/>
      <c r="D1745" s="11"/>
      <c r="E1745" s="10"/>
      <c r="O1745" s="10"/>
      <c r="V1745" s="10"/>
      <c r="W1745" s="6"/>
    </row>
    <row r="1746" spans="1:23" x14ac:dyDescent="0.2">
      <c r="A1746" s="27"/>
      <c r="B1746" s="25"/>
      <c r="D1746" s="11"/>
      <c r="E1746" s="10"/>
      <c r="O1746" s="10"/>
      <c r="V1746" s="10"/>
      <c r="W1746" s="6"/>
    </row>
    <row r="1747" spans="1:23" x14ac:dyDescent="0.2">
      <c r="A1747" s="27"/>
      <c r="B1747" s="25"/>
      <c r="D1747" s="11"/>
      <c r="E1747" s="10"/>
      <c r="O1747" s="10"/>
      <c r="V1747" s="10"/>
      <c r="W1747" s="6"/>
    </row>
    <row r="1748" spans="1:23" x14ac:dyDescent="0.2">
      <c r="A1748" s="27"/>
      <c r="B1748" s="25"/>
      <c r="D1748" s="11"/>
      <c r="E1748" s="10"/>
      <c r="O1748" s="10"/>
      <c r="V1748" s="10"/>
      <c r="W1748" s="6"/>
    </row>
    <row r="1749" spans="1:23" x14ac:dyDescent="0.2">
      <c r="A1749" s="27"/>
      <c r="B1749" s="25"/>
      <c r="D1749" s="11"/>
      <c r="E1749" s="10"/>
      <c r="O1749" s="10"/>
      <c r="V1749" s="10"/>
      <c r="W1749" s="6"/>
    </row>
    <row r="1750" spans="1:23" x14ac:dyDescent="0.2">
      <c r="A1750" s="27"/>
      <c r="B1750" s="25"/>
      <c r="D1750" s="11"/>
      <c r="E1750" s="10"/>
      <c r="O1750" s="10"/>
      <c r="V1750" s="10"/>
      <c r="W1750" s="6"/>
    </row>
    <row r="1751" spans="1:23" x14ac:dyDescent="0.2">
      <c r="A1751" s="27"/>
      <c r="B1751" s="1"/>
      <c r="D1751" s="11"/>
      <c r="E1751" s="10"/>
      <c r="O1751" s="10"/>
      <c r="V1751" s="10"/>
      <c r="W1751" s="6"/>
    </row>
    <row r="1752" spans="1:23" x14ac:dyDescent="0.2">
      <c r="A1752" s="27"/>
      <c r="B1752" s="25"/>
      <c r="D1752" s="11"/>
      <c r="E1752" s="10"/>
      <c r="O1752" s="10"/>
      <c r="V1752" s="10"/>
      <c r="W1752" s="6"/>
    </row>
    <row r="1753" spans="1:23" x14ac:dyDescent="0.2">
      <c r="A1753" s="27"/>
      <c r="B1753" s="25"/>
      <c r="D1753" s="11"/>
      <c r="E1753" s="10"/>
      <c r="O1753" s="10"/>
      <c r="V1753" s="10"/>
      <c r="W1753" s="6"/>
    </row>
    <row r="1754" spans="1:23" x14ac:dyDescent="0.2">
      <c r="A1754" s="27"/>
      <c r="B1754" s="25"/>
      <c r="D1754" s="11"/>
      <c r="E1754" s="10"/>
      <c r="O1754" s="10"/>
      <c r="V1754" s="10"/>
      <c r="W1754" s="6"/>
    </row>
    <row r="1755" spans="1:23" x14ac:dyDescent="0.2">
      <c r="A1755" s="27"/>
      <c r="B1755" s="25"/>
      <c r="D1755" s="11"/>
      <c r="E1755" s="10"/>
      <c r="O1755" s="10"/>
      <c r="V1755" s="10"/>
      <c r="W1755" s="6"/>
    </row>
    <row r="1756" spans="1:23" x14ac:dyDescent="0.2">
      <c r="A1756" s="27"/>
      <c r="B1756" s="25"/>
      <c r="D1756" s="11"/>
      <c r="E1756" s="10"/>
      <c r="O1756" s="10"/>
      <c r="V1756" s="10"/>
      <c r="W1756" s="6"/>
    </row>
    <row r="1757" spans="1:23" x14ac:dyDescent="0.2">
      <c r="A1757" s="27"/>
      <c r="B1757" s="1"/>
      <c r="D1757" s="11"/>
      <c r="E1757" s="10"/>
      <c r="O1757" s="10"/>
      <c r="V1757" s="10"/>
      <c r="W1757" s="6"/>
    </row>
    <row r="1758" spans="1:23" x14ac:dyDescent="0.2">
      <c r="A1758" s="27"/>
      <c r="B1758" s="25"/>
      <c r="D1758" s="11"/>
      <c r="E1758" s="10"/>
      <c r="O1758" s="10"/>
      <c r="V1758" s="10"/>
      <c r="W1758" s="6"/>
    </row>
    <row r="1759" spans="1:23" x14ac:dyDescent="0.2">
      <c r="A1759" s="27"/>
      <c r="B1759" s="1"/>
      <c r="D1759" s="11"/>
      <c r="E1759" s="10"/>
      <c r="O1759" s="10"/>
      <c r="V1759" s="10"/>
      <c r="W1759" s="6"/>
    </row>
    <row r="1760" spans="1:23" x14ac:dyDescent="0.2">
      <c r="A1760" s="27"/>
      <c r="B1760" s="25"/>
      <c r="D1760" s="11"/>
      <c r="E1760" s="10"/>
      <c r="O1760" s="10"/>
      <c r="V1760" s="10"/>
      <c r="W1760" s="6"/>
    </row>
    <row r="1761" spans="1:23" x14ac:dyDescent="0.2">
      <c r="A1761" s="27"/>
      <c r="B1761" s="25"/>
      <c r="D1761" s="11"/>
      <c r="E1761" s="10"/>
      <c r="O1761" s="10"/>
      <c r="V1761" s="10"/>
      <c r="W1761" s="6"/>
    </row>
    <row r="1762" spans="1:23" x14ac:dyDescent="0.2">
      <c r="A1762" s="27"/>
      <c r="B1762" s="1"/>
      <c r="D1762" s="11"/>
      <c r="E1762" s="10"/>
      <c r="O1762" s="10"/>
      <c r="V1762" s="10"/>
      <c r="W1762" s="6"/>
    </row>
    <row r="1763" spans="1:23" x14ac:dyDescent="0.2">
      <c r="A1763" s="27"/>
      <c r="B1763" s="25"/>
      <c r="D1763" s="11"/>
      <c r="E1763" s="10"/>
      <c r="O1763" s="10"/>
      <c r="V1763" s="10"/>
      <c r="W1763" s="6"/>
    </row>
    <row r="1764" spans="1:23" x14ac:dyDescent="0.2">
      <c r="A1764" s="27"/>
      <c r="B1764" s="25"/>
      <c r="D1764" s="11"/>
      <c r="E1764" s="10"/>
      <c r="O1764" s="10"/>
      <c r="V1764" s="10"/>
      <c r="W1764" s="6"/>
    </row>
    <row r="1765" spans="1:23" x14ac:dyDescent="0.2">
      <c r="A1765" s="27"/>
      <c r="B1765" s="25"/>
      <c r="D1765" s="11"/>
      <c r="E1765" s="10"/>
      <c r="O1765" s="10"/>
      <c r="V1765" s="10"/>
      <c r="W1765" s="6"/>
    </row>
    <row r="1766" spans="1:23" x14ac:dyDescent="0.2">
      <c r="A1766" s="27"/>
      <c r="B1766" s="25"/>
      <c r="D1766" s="11"/>
      <c r="E1766" s="10"/>
      <c r="O1766" s="10"/>
      <c r="V1766" s="10"/>
      <c r="W1766" s="6"/>
    </row>
    <row r="1767" spans="1:23" x14ac:dyDescent="0.2">
      <c r="A1767" s="27"/>
      <c r="B1767" s="25"/>
      <c r="D1767" s="11"/>
      <c r="E1767" s="10"/>
      <c r="O1767" s="10"/>
      <c r="V1767" s="10"/>
      <c r="W1767" s="6"/>
    </row>
    <row r="1768" spans="1:23" x14ac:dyDescent="0.2">
      <c r="A1768" s="27"/>
      <c r="B1768" s="1"/>
      <c r="D1768" s="11"/>
      <c r="E1768" s="10"/>
      <c r="O1768" s="10"/>
      <c r="V1768" s="10"/>
      <c r="W1768" s="6"/>
    </row>
    <row r="1769" spans="1:23" x14ac:dyDescent="0.2">
      <c r="A1769" s="27"/>
      <c r="B1769" s="25"/>
      <c r="D1769" s="11"/>
      <c r="E1769" s="10"/>
      <c r="O1769" s="10"/>
      <c r="V1769" s="10"/>
      <c r="W1769" s="6"/>
    </row>
    <row r="1770" spans="1:23" x14ac:dyDescent="0.2">
      <c r="A1770" s="27"/>
      <c r="B1770" s="25"/>
      <c r="D1770" s="11"/>
      <c r="E1770" s="10"/>
      <c r="O1770" s="10"/>
      <c r="V1770" s="10"/>
      <c r="W1770" s="6"/>
    </row>
    <row r="1771" spans="1:23" x14ac:dyDescent="0.2">
      <c r="A1771" s="27"/>
      <c r="B1771" s="25"/>
      <c r="D1771" s="11"/>
      <c r="E1771" s="10"/>
      <c r="O1771" s="10"/>
      <c r="V1771" s="10"/>
      <c r="W1771" s="6"/>
    </row>
    <row r="1772" spans="1:23" x14ac:dyDescent="0.2">
      <c r="A1772" s="27"/>
      <c r="B1772" s="1"/>
      <c r="D1772" s="11"/>
      <c r="E1772" s="10"/>
      <c r="O1772" s="10"/>
      <c r="V1772" s="10"/>
      <c r="W1772" s="6"/>
    </row>
    <row r="1773" spans="1:23" x14ac:dyDescent="0.2">
      <c r="A1773" s="27"/>
      <c r="B1773" s="25"/>
      <c r="D1773" s="11"/>
      <c r="E1773" s="10"/>
      <c r="O1773" s="10"/>
      <c r="V1773" s="10"/>
      <c r="W1773" s="6"/>
    </row>
    <row r="1774" spans="1:23" x14ac:dyDescent="0.2">
      <c r="A1774" s="27"/>
      <c r="B1774" s="1"/>
      <c r="D1774" s="11"/>
      <c r="E1774" s="10"/>
      <c r="O1774" s="10"/>
      <c r="V1774" s="10"/>
      <c r="W1774" s="6"/>
    </row>
    <row r="1775" spans="1:23" x14ac:dyDescent="0.2">
      <c r="A1775" s="27"/>
      <c r="B1775" s="25"/>
      <c r="D1775" s="11"/>
      <c r="E1775" s="10"/>
      <c r="O1775" s="10"/>
      <c r="V1775" s="10"/>
      <c r="W1775" s="6"/>
    </row>
    <row r="1776" spans="1:23" x14ac:dyDescent="0.2">
      <c r="A1776" s="27"/>
      <c r="B1776" s="25"/>
      <c r="D1776" s="11"/>
      <c r="E1776" s="10"/>
      <c r="O1776" s="10"/>
      <c r="V1776" s="10"/>
      <c r="W1776" s="6"/>
    </row>
    <row r="1777" spans="1:23" x14ac:dyDescent="0.2">
      <c r="A1777" s="27"/>
      <c r="B1777" s="25"/>
      <c r="D1777" s="11"/>
      <c r="E1777" s="10"/>
      <c r="O1777" s="10"/>
      <c r="V1777" s="10"/>
      <c r="W1777" s="6"/>
    </row>
    <row r="1778" spans="1:23" x14ac:dyDescent="0.2">
      <c r="A1778" s="27"/>
      <c r="B1778" s="25"/>
      <c r="D1778" s="11"/>
      <c r="E1778" s="10"/>
      <c r="O1778" s="10"/>
      <c r="V1778" s="10"/>
      <c r="W1778" s="6"/>
    </row>
    <row r="1779" spans="1:23" x14ac:dyDescent="0.2">
      <c r="A1779" s="27"/>
      <c r="B1779" s="25"/>
      <c r="D1779" s="11"/>
      <c r="E1779" s="10"/>
      <c r="O1779" s="10"/>
      <c r="V1779" s="10"/>
      <c r="W1779" s="6"/>
    </row>
    <row r="1780" spans="1:23" x14ac:dyDescent="0.2">
      <c r="A1780" s="27"/>
      <c r="B1780" s="25"/>
      <c r="D1780" s="11"/>
      <c r="E1780" s="10"/>
      <c r="O1780" s="10"/>
      <c r="V1780" s="10"/>
      <c r="W1780" s="6"/>
    </row>
    <row r="1781" spans="1:23" x14ac:dyDescent="0.2">
      <c r="A1781" s="27"/>
      <c r="B1781" s="25"/>
      <c r="D1781" s="11"/>
      <c r="E1781" s="10"/>
      <c r="O1781" s="10"/>
      <c r="V1781" s="10"/>
      <c r="W1781" s="6"/>
    </row>
    <row r="1782" spans="1:23" x14ac:dyDescent="0.2">
      <c r="A1782" s="27"/>
      <c r="B1782" s="25"/>
      <c r="D1782" s="11"/>
      <c r="E1782" s="10"/>
      <c r="O1782" s="10"/>
      <c r="V1782" s="10"/>
      <c r="W1782" s="6"/>
    </row>
    <row r="1783" spans="1:23" x14ac:dyDescent="0.2">
      <c r="A1783" s="27"/>
      <c r="B1783" s="25"/>
      <c r="D1783" s="11"/>
      <c r="E1783" s="10"/>
      <c r="O1783" s="10"/>
      <c r="V1783" s="10"/>
      <c r="W1783" s="6"/>
    </row>
    <row r="1784" spans="1:23" x14ac:dyDescent="0.2">
      <c r="A1784" s="27"/>
      <c r="B1784" s="25"/>
      <c r="D1784" s="11"/>
      <c r="E1784" s="10"/>
      <c r="O1784" s="10"/>
      <c r="V1784" s="10"/>
      <c r="W1784" s="6"/>
    </row>
    <row r="1785" spans="1:23" x14ac:dyDescent="0.2">
      <c r="A1785" s="27"/>
      <c r="B1785" s="25"/>
      <c r="D1785" s="11"/>
      <c r="E1785" s="10"/>
      <c r="O1785" s="10"/>
      <c r="V1785" s="10"/>
      <c r="W1785" s="6"/>
    </row>
    <row r="1786" spans="1:23" x14ac:dyDescent="0.2">
      <c r="A1786" s="27"/>
      <c r="B1786" s="25"/>
      <c r="D1786" s="11"/>
      <c r="E1786" s="10"/>
      <c r="O1786" s="10"/>
      <c r="V1786" s="10"/>
      <c r="W1786" s="6"/>
    </row>
    <row r="1787" spans="1:23" x14ac:dyDescent="0.2">
      <c r="A1787" s="27"/>
      <c r="B1787" s="25"/>
      <c r="D1787" s="11"/>
      <c r="E1787" s="10"/>
      <c r="O1787" s="10"/>
      <c r="V1787" s="10"/>
      <c r="W1787" s="6"/>
    </row>
    <row r="1788" spans="1:23" x14ac:dyDescent="0.2">
      <c r="A1788" s="27"/>
      <c r="B1788" s="25"/>
      <c r="D1788" s="11"/>
      <c r="E1788" s="10"/>
      <c r="O1788" s="10"/>
      <c r="V1788" s="10"/>
      <c r="W1788" s="6"/>
    </row>
    <row r="1789" spans="1:23" x14ac:dyDescent="0.2">
      <c r="A1789" s="27"/>
      <c r="B1789" s="25"/>
      <c r="D1789" s="11"/>
      <c r="E1789" s="10"/>
      <c r="O1789" s="10"/>
      <c r="V1789" s="10"/>
      <c r="W1789" s="6"/>
    </row>
    <row r="1790" spans="1:23" x14ac:dyDescent="0.2">
      <c r="A1790" s="27"/>
      <c r="B1790" s="25"/>
      <c r="D1790" s="11"/>
      <c r="E1790" s="10"/>
      <c r="O1790" s="10"/>
      <c r="V1790" s="10"/>
      <c r="W1790" s="6"/>
    </row>
    <row r="1791" spans="1:23" x14ac:dyDescent="0.2">
      <c r="A1791" s="27"/>
      <c r="B1791" s="25"/>
      <c r="D1791" s="11"/>
      <c r="E1791" s="10"/>
      <c r="O1791" s="10"/>
      <c r="V1791" s="10"/>
      <c r="W1791" s="6"/>
    </row>
    <row r="1792" spans="1:23" x14ac:dyDescent="0.2">
      <c r="A1792" s="27"/>
      <c r="B1792" s="25"/>
      <c r="D1792" s="11"/>
      <c r="E1792" s="10"/>
      <c r="O1792" s="10"/>
      <c r="V1792" s="10"/>
      <c r="W1792" s="6"/>
    </row>
    <row r="1793" spans="1:23" x14ac:dyDescent="0.2">
      <c r="A1793" s="27"/>
      <c r="B1793" s="25"/>
      <c r="D1793" s="11"/>
      <c r="E1793" s="10"/>
      <c r="O1793" s="10"/>
      <c r="V1793" s="10"/>
      <c r="W1793" s="6"/>
    </row>
    <row r="1794" spans="1:23" x14ac:dyDescent="0.2">
      <c r="A1794" s="27"/>
      <c r="B1794" s="25"/>
      <c r="D1794" s="11"/>
      <c r="E1794" s="10"/>
      <c r="O1794" s="10"/>
      <c r="V1794" s="10"/>
      <c r="W1794" s="6"/>
    </row>
    <row r="1795" spans="1:23" x14ac:dyDescent="0.2">
      <c r="A1795" s="27"/>
      <c r="B1795" s="1"/>
      <c r="D1795" s="11"/>
      <c r="E1795" s="10"/>
      <c r="O1795" s="10"/>
      <c r="V1795" s="10"/>
      <c r="W1795" s="6"/>
    </row>
    <row r="1796" spans="1:23" x14ac:dyDescent="0.2">
      <c r="A1796" s="27"/>
      <c r="B1796" s="1"/>
      <c r="D1796" s="11"/>
      <c r="E1796" s="10"/>
      <c r="O1796" s="10"/>
      <c r="V1796" s="10"/>
      <c r="W1796" s="6"/>
    </row>
    <row r="1797" spans="1:23" x14ac:dyDescent="0.2">
      <c r="A1797" s="27"/>
      <c r="B1797" s="1"/>
      <c r="D1797" s="11"/>
      <c r="E1797" s="10"/>
      <c r="O1797" s="10"/>
      <c r="V1797" s="10"/>
      <c r="W1797" s="6"/>
    </row>
    <row r="1798" spans="1:23" x14ac:dyDescent="0.2">
      <c r="A1798" s="27"/>
      <c r="B1798" s="1"/>
      <c r="D1798" s="11"/>
      <c r="E1798" s="10"/>
      <c r="O1798" s="10"/>
      <c r="V1798" s="10"/>
      <c r="W1798" s="6"/>
    </row>
    <row r="1799" spans="1:23" x14ac:dyDescent="0.2">
      <c r="A1799" s="27"/>
      <c r="B1799" s="25"/>
      <c r="D1799" s="11"/>
      <c r="E1799" s="10"/>
      <c r="O1799" s="10"/>
      <c r="V1799" s="10"/>
      <c r="W1799" s="6"/>
    </row>
    <row r="1800" spans="1:23" x14ac:dyDescent="0.2">
      <c r="A1800" s="27"/>
      <c r="B1800" s="25"/>
      <c r="D1800" s="11"/>
      <c r="E1800" s="10"/>
      <c r="O1800" s="10"/>
      <c r="V1800" s="10"/>
      <c r="W1800" s="6"/>
    </row>
    <row r="1801" spans="1:23" x14ac:dyDescent="0.2">
      <c r="A1801" s="27"/>
      <c r="B1801" s="25"/>
      <c r="D1801" s="11"/>
      <c r="E1801" s="10"/>
      <c r="O1801" s="10"/>
      <c r="V1801" s="10"/>
      <c r="W1801" s="6"/>
    </row>
    <row r="1802" spans="1:23" x14ac:dyDescent="0.2">
      <c r="A1802" s="27"/>
      <c r="B1802" s="1"/>
      <c r="D1802" s="11"/>
      <c r="E1802" s="10"/>
      <c r="O1802" s="10"/>
      <c r="V1802" s="10"/>
      <c r="W1802" s="6"/>
    </row>
    <row r="1803" spans="1:23" x14ac:dyDescent="0.2">
      <c r="A1803" s="27"/>
      <c r="B1803" s="25"/>
      <c r="D1803" s="11"/>
      <c r="E1803" s="10"/>
      <c r="O1803" s="10"/>
      <c r="V1803" s="10"/>
      <c r="W1803" s="6"/>
    </row>
    <row r="1804" spans="1:23" x14ac:dyDescent="0.2">
      <c r="A1804" s="27"/>
      <c r="B1804" s="25"/>
      <c r="D1804" s="11"/>
      <c r="E1804" s="10"/>
      <c r="O1804" s="10"/>
      <c r="V1804" s="10"/>
      <c r="W1804" s="6"/>
    </row>
    <row r="1805" spans="1:23" x14ac:dyDescent="0.2">
      <c r="A1805" s="27"/>
      <c r="B1805" s="25"/>
      <c r="D1805" s="11"/>
      <c r="E1805" s="10"/>
      <c r="O1805" s="10"/>
      <c r="V1805" s="10"/>
      <c r="W1805" s="6"/>
    </row>
    <row r="1806" spans="1:23" x14ac:dyDescent="0.2">
      <c r="A1806" s="27"/>
      <c r="B1806" s="25"/>
      <c r="D1806" s="11"/>
      <c r="E1806" s="10"/>
      <c r="O1806" s="10"/>
      <c r="V1806" s="10"/>
      <c r="W1806" s="6"/>
    </row>
    <row r="1807" spans="1:23" x14ac:dyDescent="0.2">
      <c r="A1807" s="27"/>
      <c r="B1807" s="25"/>
      <c r="D1807" s="11"/>
      <c r="E1807" s="10"/>
      <c r="O1807" s="10"/>
      <c r="V1807" s="10"/>
      <c r="W1807" s="6"/>
    </row>
    <row r="1808" spans="1:23" x14ac:dyDescent="0.2">
      <c r="A1808" s="27"/>
      <c r="B1808" s="25"/>
      <c r="D1808" s="11"/>
      <c r="E1808" s="10"/>
      <c r="O1808" s="10"/>
      <c r="V1808" s="10"/>
      <c r="W1808" s="6"/>
    </row>
    <row r="1809" spans="1:23" x14ac:dyDescent="0.2">
      <c r="A1809" s="27"/>
      <c r="B1809" s="25"/>
      <c r="D1809" s="11"/>
      <c r="E1809" s="10"/>
      <c r="O1809" s="10"/>
      <c r="V1809" s="10"/>
      <c r="W1809" s="6"/>
    </row>
    <row r="1810" spans="1:23" x14ac:dyDescent="0.2">
      <c r="A1810" s="27"/>
      <c r="B1810" s="25"/>
      <c r="D1810" s="11"/>
      <c r="E1810" s="10"/>
      <c r="O1810" s="10"/>
      <c r="V1810" s="10"/>
      <c r="W1810" s="6"/>
    </row>
    <row r="1811" spans="1:23" x14ac:dyDescent="0.2">
      <c r="A1811" s="27"/>
      <c r="B1811" s="25"/>
      <c r="D1811" s="11"/>
      <c r="E1811" s="10"/>
      <c r="O1811" s="10"/>
      <c r="V1811" s="10"/>
      <c r="W1811" s="6"/>
    </row>
    <row r="1812" spans="1:23" x14ac:dyDescent="0.2">
      <c r="A1812" s="27"/>
      <c r="B1812" s="25"/>
      <c r="D1812" s="11"/>
      <c r="E1812" s="10"/>
      <c r="O1812" s="10"/>
      <c r="V1812" s="10"/>
      <c r="W1812" s="6"/>
    </row>
    <row r="1813" spans="1:23" x14ac:dyDescent="0.2">
      <c r="A1813" s="27"/>
      <c r="B1813" s="25"/>
      <c r="D1813" s="11"/>
      <c r="E1813" s="10"/>
      <c r="O1813" s="10"/>
      <c r="V1813" s="10"/>
      <c r="W1813" s="6"/>
    </row>
    <row r="1814" spans="1:23" x14ac:dyDescent="0.2">
      <c r="A1814" s="27"/>
      <c r="B1814" s="25"/>
      <c r="D1814" s="11"/>
      <c r="E1814" s="10"/>
      <c r="O1814" s="10"/>
      <c r="V1814" s="10"/>
      <c r="W1814" s="6"/>
    </row>
    <row r="1815" spans="1:23" x14ac:dyDescent="0.2">
      <c r="A1815" s="27"/>
      <c r="B1815" s="25"/>
      <c r="D1815" s="11"/>
      <c r="E1815" s="10"/>
      <c r="O1815" s="10"/>
      <c r="V1815" s="10"/>
      <c r="W1815" s="6"/>
    </row>
    <row r="1816" spans="1:23" x14ac:dyDescent="0.2">
      <c r="A1816" s="27"/>
      <c r="B1816" s="1"/>
      <c r="D1816" s="11"/>
      <c r="E1816" s="10"/>
      <c r="O1816" s="10"/>
      <c r="V1816" s="10"/>
      <c r="W1816" s="6"/>
    </row>
    <row r="1817" spans="1:23" x14ac:dyDescent="0.2">
      <c r="A1817" s="27"/>
      <c r="B1817" s="1"/>
      <c r="D1817" s="11"/>
      <c r="E1817" s="10"/>
      <c r="O1817" s="10"/>
      <c r="V1817" s="10"/>
      <c r="W1817" s="6"/>
    </row>
    <row r="1818" spans="1:23" x14ac:dyDescent="0.2">
      <c r="A1818" s="27"/>
      <c r="B1818" s="1"/>
      <c r="D1818" s="11"/>
      <c r="E1818" s="10"/>
      <c r="O1818" s="10"/>
      <c r="V1818" s="10"/>
      <c r="W1818" s="6"/>
    </row>
    <row r="1819" spans="1:23" x14ac:dyDescent="0.2">
      <c r="A1819" s="27"/>
      <c r="B1819" s="25"/>
      <c r="D1819" s="11"/>
      <c r="E1819" s="10"/>
      <c r="O1819" s="10"/>
      <c r="V1819" s="10"/>
      <c r="W1819" s="6"/>
    </row>
    <row r="1820" spans="1:23" x14ac:dyDescent="0.2">
      <c r="A1820" s="27"/>
      <c r="B1820" s="25"/>
      <c r="D1820" s="11"/>
      <c r="E1820" s="10"/>
      <c r="O1820" s="10"/>
      <c r="V1820" s="10"/>
      <c r="W1820" s="6"/>
    </row>
    <row r="1821" spans="1:23" x14ac:dyDescent="0.2">
      <c r="A1821" s="27"/>
      <c r="B1821" s="25"/>
      <c r="D1821" s="11"/>
      <c r="E1821" s="10"/>
      <c r="O1821" s="10"/>
      <c r="V1821" s="10"/>
      <c r="W1821" s="6"/>
    </row>
    <row r="1822" spans="1:23" x14ac:dyDescent="0.2">
      <c r="A1822" s="27"/>
      <c r="B1822" s="25"/>
      <c r="D1822" s="11"/>
      <c r="E1822" s="10"/>
      <c r="O1822" s="10"/>
      <c r="V1822" s="10"/>
      <c r="W1822" s="6"/>
    </row>
    <row r="1823" spans="1:23" x14ac:dyDescent="0.2">
      <c r="A1823" s="27"/>
      <c r="B1823" s="25"/>
      <c r="D1823" s="11"/>
      <c r="E1823" s="10"/>
      <c r="O1823" s="10"/>
      <c r="V1823" s="10"/>
      <c r="W1823" s="6"/>
    </row>
    <row r="1824" spans="1:23" x14ac:dyDescent="0.2">
      <c r="A1824" s="27"/>
      <c r="B1824" s="1"/>
      <c r="D1824" s="11"/>
      <c r="E1824" s="10"/>
      <c r="O1824" s="10"/>
      <c r="V1824" s="10"/>
      <c r="W1824" s="6"/>
    </row>
    <row r="1825" spans="1:23" x14ac:dyDescent="0.2">
      <c r="A1825" s="27"/>
      <c r="B1825" s="25"/>
      <c r="D1825" s="11"/>
      <c r="E1825" s="10"/>
      <c r="O1825" s="10"/>
      <c r="V1825" s="10"/>
      <c r="W1825" s="6"/>
    </row>
    <row r="1826" spans="1:23" x14ac:dyDescent="0.2">
      <c r="A1826" s="27"/>
      <c r="B1826" s="25"/>
      <c r="D1826" s="11"/>
      <c r="E1826" s="10"/>
      <c r="O1826" s="10"/>
      <c r="V1826" s="10"/>
      <c r="W1826" s="6"/>
    </row>
    <row r="1827" spans="1:23" x14ac:dyDescent="0.2">
      <c r="A1827" s="27"/>
      <c r="B1827" s="25"/>
      <c r="D1827" s="11"/>
      <c r="E1827" s="10"/>
      <c r="O1827" s="10"/>
      <c r="V1827" s="10"/>
      <c r="W1827" s="6"/>
    </row>
    <row r="1828" spans="1:23" x14ac:dyDescent="0.2">
      <c r="A1828" s="27"/>
      <c r="B1828" s="25"/>
      <c r="D1828" s="11"/>
      <c r="E1828" s="10"/>
      <c r="O1828" s="10"/>
      <c r="V1828" s="10"/>
      <c r="W1828" s="6"/>
    </row>
    <row r="1829" spans="1:23" x14ac:dyDescent="0.2">
      <c r="A1829" s="27"/>
      <c r="B1829" s="25"/>
      <c r="D1829" s="11"/>
      <c r="E1829" s="10"/>
      <c r="O1829" s="10"/>
      <c r="V1829" s="10"/>
      <c r="W1829" s="6"/>
    </row>
    <row r="1830" spans="1:23" x14ac:dyDescent="0.2">
      <c r="A1830" s="27"/>
      <c r="B1830" s="25"/>
      <c r="D1830" s="11"/>
      <c r="E1830" s="10"/>
      <c r="O1830" s="10"/>
      <c r="V1830" s="10"/>
      <c r="W1830" s="6"/>
    </row>
    <row r="1831" spans="1:23" x14ac:dyDescent="0.2">
      <c r="A1831" s="27"/>
      <c r="B1831" s="25"/>
      <c r="D1831" s="11"/>
      <c r="E1831" s="10"/>
      <c r="O1831" s="10"/>
      <c r="V1831" s="10"/>
      <c r="W1831" s="6"/>
    </row>
    <row r="1832" spans="1:23" x14ac:dyDescent="0.2">
      <c r="A1832" s="27"/>
      <c r="B1832" s="1"/>
      <c r="D1832" s="11"/>
      <c r="E1832" s="10"/>
      <c r="O1832" s="10"/>
      <c r="V1832" s="10"/>
      <c r="W1832" s="6"/>
    </row>
    <row r="1833" spans="1:23" x14ac:dyDescent="0.2">
      <c r="A1833" s="27"/>
      <c r="B1833" s="25"/>
      <c r="D1833" s="11"/>
      <c r="E1833" s="10"/>
      <c r="O1833" s="10"/>
      <c r="V1833" s="10"/>
      <c r="W1833" s="6"/>
    </row>
    <row r="1834" spans="1:23" x14ac:dyDescent="0.2">
      <c r="A1834" s="27"/>
      <c r="B1834" s="25"/>
      <c r="D1834" s="11"/>
      <c r="E1834" s="10"/>
      <c r="O1834" s="10"/>
      <c r="V1834" s="10"/>
      <c r="W1834" s="6"/>
    </row>
    <row r="1835" spans="1:23" x14ac:dyDescent="0.2">
      <c r="A1835" s="27"/>
      <c r="B1835" s="25"/>
      <c r="D1835" s="11"/>
      <c r="E1835" s="10"/>
      <c r="O1835" s="10"/>
      <c r="V1835" s="10"/>
      <c r="W1835" s="6"/>
    </row>
    <row r="1836" spans="1:23" x14ac:dyDescent="0.2">
      <c r="A1836" s="27"/>
      <c r="B1836" s="25"/>
      <c r="D1836" s="11"/>
      <c r="E1836" s="10"/>
      <c r="O1836" s="10"/>
      <c r="V1836" s="10"/>
      <c r="W1836" s="6"/>
    </row>
    <row r="1837" spans="1:23" x14ac:dyDescent="0.2">
      <c r="A1837" s="27"/>
      <c r="B1837" s="25"/>
      <c r="D1837" s="11"/>
      <c r="E1837" s="10"/>
      <c r="O1837" s="10"/>
      <c r="V1837" s="10"/>
      <c r="W1837" s="6"/>
    </row>
    <row r="1838" spans="1:23" x14ac:dyDescent="0.2">
      <c r="A1838" s="27"/>
      <c r="B1838" s="25"/>
      <c r="D1838" s="11"/>
      <c r="E1838" s="10"/>
      <c r="O1838" s="10"/>
      <c r="V1838" s="10"/>
      <c r="W1838" s="6"/>
    </row>
    <row r="1839" spans="1:23" x14ac:dyDescent="0.2">
      <c r="A1839" s="27"/>
      <c r="B1839" s="25"/>
      <c r="D1839" s="11"/>
      <c r="E1839" s="10"/>
      <c r="O1839" s="10"/>
      <c r="V1839" s="10"/>
      <c r="W1839" s="6"/>
    </row>
    <row r="1840" spans="1:23" x14ac:dyDescent="0.2">
      <c r="A1840" s="27"/>
      <c r="B1840" s="1"/>
      <c r="D1840" s="11"/>
      <c r="E1840" s="10"/>
      <c r="O1840" s="10"/>
      <c r="V1840" s="10"/>
      <c r="W1840" s="6"/>
    </row>
    <row r="1841" spans="1:23" x14ac:dyDescent="0.2">
      <c r="A1841" s="27"/>
      <c r="B1841" s="25"/>
      <c r="D1841" s="11"/>
      <c r="E1841" s="10"/>
      <c r="O1841" s="10"/>
      <c r="V1841" s="10"/>
      <c r="W1841" s="6"/>
    </row>
    <row r="1842" spans="1:23" x14ac:dyDescent="0.2">
      <c r="A1842" s="27"/>
      <c r="B1842" s="1"/>
      <c r="D1842" s="11"/>
      <c r="E1842" s="10"/>
      <c r="O1842" s="10"/>
      <c r="V1842" s="10"/>
      <c r="W1842" s="6"/>
    </row>
    <row r="1843" spans="1:23" x14ac:dyDescent="0.2">
      <c r="A1843" s="27"/>
      <c r="B1843" s="1"/>
      <c r="D1843" s="11"/>
      <c r="E1843" s="10"/>
      <c r="O1843" s="10"/>
      <c r="V1843" s="10"/>
      <c r="W1843" s="6"/>
    </row>
    <row r="1844" spans="1:23" x14ac:dyDescent="0.2">
      <c r="A1844" s="27"/>
      <c r="B1844" s="25"/>
      <c r="D1844" s="11"/>
      <c r="E1844" s="10"/>
      <c r="O1844" s="10"/>
      <c r="V1844" s="10"/>
    </row>
    <row r="1845" spans="1:23" x14ac:dyDescent="0.2">
      <c r="A1845" s="27"/>
      <c r="B1845" s="25"/>
      <c r="D1845" s="11"/>
      <c r="E1845" s="10"/>
      <c r="O1845" s="10"/>
      <c r="V1845" s="10"/>
      <c r="W1845" s="6"/>
    </row>
    <row r="1846" spans="1:23" x14ac:dyDescent="0.2">
      <c r="A1846" s="27"/>
      <c r="B1846" s="25"/>
      <c r="D1846" s="11"/>
      <c r="E1846" s="10"/>
      <c r="O1846" s="10"/>
      <c r="V1846" s="10"/>
      <c r="W1846" s="6"/>
    </row>
    <row r="1847" spans="1:23" x14ac:dyDescent="0.2">
      <c r="A1847" s="27"/>
      <c r="B1847" s="1"/>
      <c r="D1847" s="11"/>
      <c r="E1847" s="10"/>
      <c r="O1847" s="10"/>
      <c r="V1847" s="10"/>
      <c r="W1847" s="6"/>
    </row>
    <row r="1848" spans="1:23" x14ac:dyDescent="0.2">
      <c r="A1848" s="27"/>
      <c r="B1848" s="1"/>
      <c r="D1848" s="11"/>
      <c r="E1848" s="10"/>
      <c r="O1848" s="10"/>
      <c r="V1848" s="10"/>
      <c r="W1848" s="6"/>
    </row>
    <row r="1849" spans="1:23" x14ac:dyDescent="0.2">
      <c r="A1849" s="27"/>
      <c r="B1849" s="25"/>
      <c r="D1849" s="11"/>
      <c r="E1849" s="10"/>
      <c r="O1849" s="10"/>
      <c r="V1849" s="10"/>
      <c r="W1849" s="6"/>
    </row>
    <row r="1850" spans="1:23" x14ac:dyDescent="0.2">
      <c r="A1850" s="27"/>
      <c r="B1850" s="25"/>
      <c r="D1850" s="11"/>
      <c r="E1850" s="10"/>
      <c r="O1850" s="10"/>
      <c r="V1850" s="10"/>
      <c r="W1850" s="6"/>
    </row>
    <row r="1851" spans="1:23" x14ac:dyDescent="0.2">
      <c r="A1851" s="27"/>
      <c r="B1851" s="25"/>
      <c r="D1851" s="11"/>
      <c r="E1851" s="10"/>
      <c r="O1851" s="10"/>
      <c r="V1851" s="10"/>
      <c r="W1851" s="6"/>
    </row>
    <row r="1852" spans="1:23" x14ac:dyDescent="0.2">
      <c r="A1852" s="27"/>
      <c r="B1852" s="25"/>
      <c r="D1852" s="11"/>
      <c r="E1852" s="10"/>
      <c r="O1852" s="10"/>
      <c r="V1852" s="10"/>
      <c r="W1852" s="6"/>
    </row>
    <row r="1853" spans="1:23" x14ac:dyDescent="0.2">
      <c r="A1853" s="27"/>
      <c r="B1853" s="25"/>
      <c r="D1853" s="11"/>
      <c r="E1853" s="10"/>
      <c r="O1853" s="10"/>
      <c r="V1853" s="10"/>
    </row>
    <row r="1854" spans="1:23" x14ac:dyDescent="0.2">
      <c r="A1854" s="27"/>
      <c r="B1854" s="25"/>
      <c r="D1854" s="11"/>
      <c r="E1854" s="10"/>
      <c r="O1854" s="10"/>
      <c r="V1854" s="10"/>
      <c r="W1854" s="6"/>
    </row>
    <row r="1855" spans="1:23" x14ac:dyDescent="0.2">
      <c r="A1855" s="27"/>
      <c r="B1855" s="25"/>
      <c r="D1855" s="11"/>
      <c r="E1855" s="10"/>
      <c r="O1855" s="10"/>
      <c r="V1855" s="10"/>
      <c r="W1855" s="6"/>
    </row>
    <row r="1856" spans="1:23" x14ac:dyDescent="0.2">
      <c r="A1856" s="27"/>
      <c r="B1856" s="25"/>
      <c r="D1856" s="11"/>
      <c r="E1856" s="10"/>
      <c r="O1856" s="10"/>
      <c r="V1856" s="10"/>
      <c r="W1856" s="6"/>
    </row>
    <row r="1857" spans="1:23" x14ac:dyDescent="0.2">
      <c r="A1857" s="27"/>
      <c r="B1857" s="25"/>
      <c r="D1857" s="11"/>
      <c r="E1857" s="10"/>
      <c r="O1857" s="10"/>
      <c r="V1857" s="10"/>
      <c r="W1857" s="6"/>
    </row>
    <row r="1858" spans="1:23" x14ac:dyDescent="0.2">
      <c r="A1858" s="27"/>
      <c r="B1858" s="25"/>
      <c r="D1858" s="11"/>
      <c r="E1858" s="10"/>
      <c r="O1858" s="10"/>
      <c r="V1858" s="10"/>
      <c r="W1858" s="6"/>
    </row>
    <row r="1859" spans="1:23" x14ac:dyDescent="0.2">
      <c r="A1859" s="27"/>
      <c r="B1859" s="25"/>
      <c r="D1859" s="11"/>
      <c r="E1859" s="10"/>
      <c r="O1859" s="10"/>
      <c r="V1859" s="10"/>
      <c r="W1859" s="6"/>
    </row>
    <row r="1860" spans="1:23" x14ac:dyDescent="0.2">
      <c r="A1860" s="27"/>
      <c r="B1860" s="25"/>
      <c r="D1860" s="11"/>
      <c r="E1860" s="10"/>
      <c r="O1860" s="10"/>
      <c r="V1860" s="10"/>
      <c r="W1860" s="6"/>
    </row>
    <row r="1861" spans="1:23" x14ac:dyDescent="0.2">
      <c r="A1861" s="27"/>
      <c r="B1861" s="25"/>
      <c r="D1861" s="11"/>
      <c r="E1861" s="10"/>
      <c r="O1861" s="10"/>
      <c r="V1861" s="10"/>
      <c r="W1861" s="6"/>
    </row>
    <row r="1862" spans="1:23" x14ac:dyDescent="0.2">
      <c r="A1862" s="27"/>
      <c r="B1862" s="1"/>
      <c r="D1862" s="11"/>
      <c r="E1862" s="10"/>
      <c r="O1862" s="10"/>
      <c r="V1862" s="10"/>
      <c r="W1862" s="6"/>
    </row>
    <row r="1863" spans="1:23" x14ac:dyDescent="0.2">
      <c r="A1863" s="27"/>
      <c r="B1863" s="1"/>
      <c r="D1863" s="11"/>
      <c r="E1863" s="10"/>
      <c r="O1863" s="10"/>
      <c r="V1863" s="10"/>
      <c r="W1863" s="6"/>
    </row>
    <row r="1864" spans="1:23" x14ac:dyDescent="0.2">
      <c r="A1864" s="27"/>
      <c r="B1864" s="25"/>
      <c r="D1864" s="11"/>
      <c r="E1864" s="10"/>
      <c r="O1864" s="10"/>
      <c r="V1864" s="10"/>
      <c r="W1864" s="6"/>
    </row>
    <row r="1865" spans="1:23" x14ac:dyDescent="0.2">
      <c r="A1865" s="27"/>
      <c r="B1865" s="25"/>
      <c r="D1865" s="11"/>
      <c r="E1865" s="10"/>
      <c r="O1865" s="10"/>
      <c r="V1865" s="10"/>
      <c r="W1865" s="6"/>
    </row>
    <row r="1866" spans="1:23" x14ac:dyDescent="0.2">
      <c r="A1866" s="27"/>
      <c r="B1866" s="25"/>
      <c r="D1866" s="11"/>
      <c r="E1866" s="10"/>
      <c r="O1866" s="10"/>
      <c r="V1866" s="10"/>
      <c r="W1866" s="6"/>
    </row>
    <row r="1867" spans="1:23" x14ac:dyDescent="0.2">
      <c r="A1867" s="27"/>
      <c r="B1867" s="1"/>
      <c r="D1867" s="11"/>
      <c r="E1867" s="10"/>
      <c r="O1867" s="10"/>
      <c r="V1867" s="10"/>
      <c r="W1867" s="6"/>
    </row>
    <row r="1868" spans="1:23" x14ac:dyDescent="0.2">
      <c r="A1868" s="27"/>
      <c r="B1868" s="25"/>
      <c r="D1868" s="11"/>
      <c r="E1868" s="10"/>
      <c r="O1868" s="10"/>
      <c r="V1868" s="10"/>
      <c r="W1868" s="6"/>
    </row>
    <row r="1869" spans="1:23" x14ac:dyDescent="0.2">
      <c r="A1869" s="27"/>
      <c r="B1869" s="1"/>
      <c r="D1869" s="11"/>
      <c r="E1869" s="10"/>
      <c r="O1869" s="10"/>
      <c r="V1869" s="10"/>
      <c r="W1869" s="6"/>
    </row>
    <row r="1870" spans="1:23" x14ac:dyDescent="0.2">
      <c r="A1870" s="27"/>
      <c r="B1870" s="25"/>
      <c r="D1870" s="11"/>
      <c r="E1870" s="10"/>
      <c r="O1870" s="10"/>
      <c r="V1870" s="10"/>
      <c r="W1870" s="6"/>
    </row>
    <row r="1871" spans="1:23" x14ac:dyDescent="0.2">
      <c r="A1871" s="27"/>
      <c r="B1871" s="25"/>
      <c r="D1871" s="11"/>
      <c r="E1871" s="10"/>
      <c r="O1871" s="10"/>
      <c r="V1871" s="10"/>
      <c r="W1871" s="6"/>
    </row>
    <row r="1872" spans="1:23" x14ac:dyDescent="0.2">
      <c r="A1872" s="27"/>
      <c r="B1872" s="25"/>
      <c r="D1872" s="11"/>
      <c r="E1872" s="10"/>
      <c r="O1872" s="10"/>
      <c r="V1872" s="10"/>
      <c r="W1872" s="6"/>
    </row>
    <row r="1873" spans="1:23" x14ac:dyDescent="0.2">
      <c r="A1873" s="27"/>
      <c r="B1873" s="25"/>
      <c r="D1873" s="11"/>
      <c r="E1873" s="10"/>
      <c r="O1873" s="10"/>
      <c r="V1873" s="10"/>
      <c r="W1873" s="6"/>
    </row>
    <row r="1874" spans="1:23" x14ac:dyDescent="0.2">
      <c r="A1874" s="27"/>
      <c r="B1874" s="25"/>
      <c r="D1874" s="11"/>
      <c r="E1874" s="10"/>
      <c r="O1874" s="10"/>
      <c r="V1874" s="10"/>
      <c r="W1874" s="6"/>
    </row>
    <row r="1875" spans="1:23" x14ac:dyDescent="0.2">
      <c r="A1875" s="27"/>
      <c r="B1875" s="25"/>
      <c r="D1875" s="11"/>
      <c r="E1875" s="10"/>
      <c r="O1875" s="10"/>
      <c r="V1875" s="10"/>
      <c r="W1875" s="6"/>
    </row>
    <row r="1876" spans="1:23" x14ac:dyDescent="0.2">
      <c r="A1876" s="27"/>
      <c r="B1876" s="1"/>
      <c r="D1876" s="11"/>
      <c r="E1876" s="10"/>
      <c r="O1876" s="10"/>
      <c r="V1876" s="10"/>
      <c r="W1876" s="6"/>
    </row>
    <row r="1877" spans="1:23" x14ac:dyDescent="0.2">
      <c r="A1877" s="27"/>
      <c r="B1877" s="25"/>
      <c r="D1877" s="11"/>
      <c r="E1877" s="10"/>
      <c r="O1877" s="10"/>
      <c r="V1877" s="10"/>
      <c r="W1877" s="6"/>
    </row>
    <row r="1878" spans="1:23" x14ac:dyDescent="0.2">
      <c r="A1878" s="27"/>
      <c r="B1878" s="1"/>
      <c r="D1878" s="11"/>
      <c r="E1878" s="10"/>
      <c r="O1878" s="10"/>
      <c r="V1878" s="10"/>
      <c r="W1878" s="6"/>
    </row>
    <row r="1879" spans="1:23" x14ac:dyDescent="0.2">
      <c r="A1879" s="27"/>
      <c r="B1879" s="25"/>
      <c r="D1879" s="11"/>
      <c r="E1879" s="10"/>
      <c r="O1879" s="10"/>
      <c r="V1879" s="10"/>
      <c r="W1879" s="6"/>
    </row>
    <row r="1880" spans="1:23" x14ac:dyDescent="0.2">
      <c r="A1880" s="27"/>
      <c r="B1880" s="25"/>
      <c r="D1880" s="11"/>
      <c r="E1880" s="10"/>
      <c r="O1880" s="10"/>
      <c r="V1880" s="10"/>
      <c r="W1880" s="6"/>
    </row>
    <row r="1881" spans="1:23" x14ac:dyDescent="0.2">
      <c r="A1881" s="27"/>
      <c r="B1881" s="25"/>
      <c r="D1881" s="11"/>
      <c r="E1881" s="10"/>
      <c r="O1881" s="10"/>
      <c r="V1881" s="10"/>
      <c r="W1881" s="6"/>
    </row>
    <row r="1882" spans="1:23" x14ac:dyDescent="0.2">
      <c r="A1882" s="27"/>
      <c r="B1882" s="25"/>
      <c r="D1882" s="11"/>
      <c r="E1882" s="10"/>
      <c r="O1882" s="10"/>
      <c r="V1882" s="10"/>
      <c r="W1882" s="6"/>
    </row>
    <row r="1883" spans="1:23" x14ac:dyDescent="0.2">
      <c r="A1883" s="27"/>
      <c r="B1883" s="25"/>
      <c r="D1883" s="11"/>
      <c r="E1883" s="10"/>
      <c r="O1883" s="10"/>
      <c r="V1883" s="10"/>
      <c r="W1883" s="6"/>
    </row>
    <row r="1884" spans="1:23" x14ac:dyDescent="0.2">
      <c r="A1884" s="27"/>
      <c r="B1884" s="25"/>
      <c r="D1884" s="11"/>
      <c r="E1884" s="10"/>
      <c r="O1884" s="10"/>
      <c r="V1884" s="10"/>
      <c r="W1884" s="6"/>
    </row>
    <row r="1885" spans="1:23" x14ac:dyDescent="0.2">
      <c r="A1885" s="27"/>
      <c r="B1885" s="25"/>
      <c r="D1885" s="11"/>
      <c r="E1885" s="10"/>
      <c r="O1885" s="10"/>
      <c r="V1885" s="10"/>
      <c r="W1885" s="6"/>
    </row>
    <row r="1886" spans="1:23" x14ac:dyDescent="0.2">
      <c r="A1886" s="27"/>
      <c r="B1886" s="25"/>
      <c r="D1886" s="11"/>
      <c r="E1886" s="10"/>
      <c r="O1886" s="10"/>
      <c r="V1886" s="10"/>
      <c r="W1886" s="6"/>
    </row>
    <row r="1887" spans="1:23" x14ac:dyDescent="0.2">
      <c r="A1887" s="27"/>
      <c r="B1887" s="25"/>
      <c r="D1887" s="11"/>
      <c r="E1887" s="10"/>
      <c r="O1887" s="10"/>
      <c r="V1887" s="10"/>
      <c r="W1887" s="6"/>
    </row>
    <row r="1888" spans="1:23" x14ac:dyDescent="0.2">
      <c r="A1888" s="27"/>
      <c r="B1888" s="25"/>
      <c r="D1888" s="11"/>
      <c r="E1888" s="10"/>
      <c r="O1888" s="10"/>
      <c r="V1888" s="10"/>
      <c r="W1888" s="6"/>
    </row>
    <row r="1889" spans="1:23" x14ac:dyDescent="0.2">
      <c r="A1889" s="27"/>
      <c r="B1889" s="1"/>
      <c r="D1889" s="11"/>
      <c r="E1889" s="10"/>
      <c r="O1889" s="10"/>
      <c r="V1889" s="10"/>
      <c r="W1889" s="6"/>
    </row>
    <row r="1890" spans="1:23" x14ac:dyDescent="0.2">
      <c r="A1890" s="27"/>
      <c r="B1890" s="25"/>
      <c r="D1890" s="11"/>
      <c r="E1890" s="10"/>
      <c r="O1890" s="10"/>
      <c r="V1890" s="10"/>
      <c r="W1890" s="6"/>
    </row>
    <row r="1891" spans="1:23" x14ac:dyDescent="0.2">
      <c r="A1891" s="27"/>
      <c r="B1891" s="25"/>
      <c r="D1891" s="11"/>
      <c r="E1891" s="10"/>
      <c r="O1891" s="10"/>
      <c r="V1891" s="10"/>
      <c r="W1891" s="6"/>
    </row>
    <row r="1892" spans="1:23" x14ac:dyDescent="0.2">
      <c r="A1892" s="27"/>
      <c r="B1892" s="25"/>
      <c r="D1892" s="11"/>
      <c r="E1892" s="10"/>
      <c r="O1892" s="10"/>
      <c r="V1892" s="10"/>
      <c r="W1892" s="6"/>
    </row>
    <row r="1893" spans="1:23" x14ac:dyDescent="0.2">
      <c r="A1893" s="27"/>
      <c r="B1893" s="25"/>
      <c r="D1893" s="11"/>
      <c r="E1893" s="10"/>
      <c r="O1893" s="10"/>
      <c r="V1893" s="10"/>
      <c r="W1893" s="6"/>
    </row>
    <row r="1894" spans="1:23" x14ac:dyDescent="0.2">
      <c r="A1894" s="27"/>
      <c r="B1894" s="25"/>
      <c r="D1894" s="11"/>
      <c r="E1894" s="10"/>
      <c r="O1894" s="10"/>
      <c r="V1894" s="10"/>
      <c r="W1894" s="6"/>
    </row>
    <row r="1895" spans="1:23" x14ac:dyDescent="0.2">
      <c r="A1895" s="27"/>
      <c r="B1895" s="25"/>
      <c r="D1895" s="11"/>
      <c r="E1895" s="10"/>
      <c r="O1895" s="10"/>
      <c r="V1895" s="10"/>
      <c r="W1895" s="6"/>
    </row>
    <row r="1896" spans="1:23" x14ac:dyDescent="0.2">
      <c r="A1896" s="27"/>
      <c r="B1896" s="25"/>
      <c r="D1896" s="11"/>
      <c r="E1896" s="10"/>
      <c r="O1896" s="10"/>
      <c r="V1896" s="10"/>
      <c r="W1896" s="6"/>
    </row>
    <row r="1897" spans="1:23" x14ac:dyDescent="0.2">
      <c r="A1897" s="27"/>
      <c r="B1897" s="25"/>
      <c r="D1897" s="11"/>
      <c r="E1897" s="10"/>
      <c r="O1897" s="10"/>
      <c r="V1897" s="10"/>
      <c r="W1897" s="6"/>
    </row>
    <row r="1898" spans="1:23" x14ac:dyDescent="0.2">
      <c r="A1898" s="27"/>
      <c r="B1898" s="25"/>
      <c r="D1898" s="11"/>
      <c r="E1898" s="10"/>
      <c r="O1898" s="10"/>
      <c r="V1898" s="10"/>
      <c r="W1898" s="6"/>
    </row>
    <row r="1899" spans="1:23" x14ac:dyDescent="0.2">
      <c r="A1899" s="27"/>
      <c r="B1899" s="25"/>
      <c r="D1899" s="11"/>
      <c r="E1899" s="10"/>
      <c r="O1899" s="10"/>
      <c r="V1899" s="10"/>
      <c r="W1899" s="6"/>
    </row>
    <row r="1900" spans="1:23" x14ac:dyDescent="0.2">
      <c r="A1900" s="27"/>
      <c r="B1900" s="25"/>
      <c r="D1900" s="11"/>
      <c r="E1900" s="10"/>
      <c r="O1900" s="10"/>
      <c r="V1900" s="10"/>
      <c r="W1900" s="6"/>
    </row>
    <row r="1901" spans="1:23" x14ac:dyDescent="0.2">
      <c r="A1901" s="27"/>
      <c r="B1901" s="25"/>
      <c r="D1901" s="11"/>
      <c r="E1901" s="10"/>
      <c r="O1901" s="10"/>
      <c r="V1901" s="10"/>
      <c r="W1901" s="6"/>
    </row>
    <row r="1902" spans="1:23" x14ac:dyDescent="0.2">
      <c r="A1902" s="27"/>
      <c r="B1902" s="1"/>
      <c r="D1902" s="11"/>
      <c r="E1902" s="10"/>
      <c r="O1902" s="10"/>
      <c r="V1902" s="10"/>
      <c r="W1902" s="6"/>
    </row>
    <row r="1903" spans="1:23" x14ac:dyDescent="0.2">
      <c r="A1903" s="27"/>
      <c r="B1903" s="25"/>
      <c r="D1903" s="11"/>
      <c r="E1903" s="10"/>
      <c r="O1903" s="10"/>
      <c r="V1903" s="10"/>
      <c r="W1903" s="6"/>
    </row>
    <row r="1904" spans="1:23" x14ac:dyDescent="0.2">
      <c r="A1904" s="27"/>
      <c r="B1904" s="25"/>
      <c r="D1904" s="11"/>
      <c r="E1904" s="10"/>
      <c r="O1904" s="10"/>
      <c r="V1904" s="10"/>
      <c r="W1904" s="6"/>
    </row>
    <row r="1905" spans="1:23" x14ac:dyDescent="0.2">
      <c r="A1905" s="27"/>
      <c r="B1905" s="25"/>
      <c r="D1905" s="11"/>
      <c r="E1905" s="10"/>
      <c r="O1905" s="10"/>
      <c r="V1905" s="10"/>
      <c r="W1905" s="6"/>
    </row>
    <row r="1906" spans="1:23" x14ac:dyDescent="0.2">
      <c r="A1906" s="27"/>
      <c r="B1906" s="25"/>
      <c r="D1906" s="11"/>
      <c r="E1906" s="10"/>
      <c r="O1906" s="10"/>
      <c r="V1906" s="10"/>
      <c r="W1906" s="6"/>
    </row>
    <row r="1907" spans="1:23" x14ac:dyDescent="0.2">
      <c r="A1907" s="27"/>
      <c r="B1907" s="25"/>
      <c r="D1907" s="11"/>
      <c r="E1907" s="10"/>
      <c r="O1907" s="10"/>
      <c r="V1907" s="10"/>
      <c r="W1907" s="6"/>
    </row>
    <row r="1908" spans="1:23" x14ac:dyDescent="0.2">
      <c r="A1908" s="27"/>
      <c r="B1908" s="1"/>
      <c r="D1908" s="11"/>
      <c r="E1908" s="10"/>
      <c r="O1908" s="10"/>
      <c r="V1908" s="10"/>
      <c r="W1908" s="6"/>
    </row>
    <row r="1909" spans="1:23" x14ac:dyDescent="0.2">
      <c r="A1909" s="27"/>
      <c r="B1909" s="25"/>
      <c r="D1909" s="11"/>
      <c r="E1909" s="10"/>
      <c r="O1909" s="10"/>
      <c r="V1909" s="10"/>
      <c r="W1909" s="6"/>
    </row>
    <row r="1910" spans="1:23" x14ac:dyDescent="0.2">
      <c r="A1910" s="27"/>
      <c r="B1910" s="1"/>
      <c r="D1910" s="11"/>
      <c r="E1910" s="10"/>
      <c r="O1910" s="10"/>
      <c r="V1910" s="10"/>
      <c r="W1910" s="6"/>
    </row>
    <row r="1911" spans="1:23" x14ac:dyDescent="0.2">
      <c r="A1911" s="27"/>
      <c r="B1911" s="25"/>
      <c r="D1911" s="11"/>
      <c r="E1911" s="10"/>
      <c r="O1911" s="10"/>
      <c r="V1911" s="10"/>
      <c r="W1911" s="6"/>
    </row>
    <row r="1912" spans="1:23" x14ac:dyDescent="0.2">
      <c r="A1912" s="27"/>
      <c r="B1912" s="25"/>
      <c r="D1912" s="11"/>
      <c r="E1912" s="10"/>
      <c r="O1912" s="10"/>
      <c r="V1912" s="10"/>
      <c r="W1912" s="6"/>
    </row>
    <row r="1913" spans="1:23" x14ac:dyDescent="0.2">
      <c r="A1913" s="27"/>
      <c r="B1913" s="25"/>
      <c r="D1913" s="11"/>
      <c r="E1913" s="10"/>
      <c r="O1913" s="10"/>
      <c r="V1913" s="10"/>
      <c r="W1913" s="6"/>
    </row>
    <row r="1914" spans="1:23" x14ac:dyDescent="0.2">
      <c r="A1914" s="27"/>
      <c r="B1914" s="25"/>
      <c r="D1914" s="11"/>
      <c r="E1914" s="10"/>
      <c r="O1914" s="10"/>
      <c r="V1914" s="10"/>
      <c r="W1914" s="6"/>
    </row>
    <row r="1915" spans="1:23" x14ac:dyDescent="0.2">
      <c r="A1915" s="27"/>
      <c r="B1915" s="25"/>
      <c r="D1915" s="11"/>
      <c r="E1915" s="10"/>
      <c r="O1915" s="10"/>
      <c r="V1915" s="10"/>
      <c r="W1915" s="6"/>
    </row>
    <row r="1916" spans="1:23" x14ac:dyDescent="0.2">
      <c r="A1916" s="27"/>
      <c r="B1916" s="25"/>
      <c r="D1916" s="11"/>
      <c r="E1916" s="10"/>
      <c r="O1916" s="10"/>
      <c r="V1916" s="10"/>
      <c r="W1916" s="6"/>
    </row>
    <row r="1917" spans="1:23" x14ac:dyDescent="0.2">
      <c r="A1917" s="27"/>
      <c r="B1917" s="25"/>
      <c r="D1917" s="11"/>
      <c r="E1917" s="10"/>
      <c r="O1917" s="10"/>
      <c r="V1917" s="10"/>
      <c r="W1917" s="6"/>
    </row>
    <row r="1918" spans="1:23" x14ac:dyDescent="0.2">
      <c r="A1918" s="27"/>
      <c r="B1918" s="25"/>
      <c r="D1918" s="11"/>
      <c r="E1918" s="10"/>
      <c r="O1918" s="10"/>
      <c r="V1918" s="10"/>
      <c r="W1918" s="6"/>
    </row>
    <row r="1919" spans="1:23" x14ac:dyDescent="0.2">
      <c r="A1919" s="27"/>
      <c r="B1919" s="25"/>
      <c r="D1919" s="11"/>
      <c r="E1919" s="10"/>
      <c r="O1919" s="10"/>
      <c r="V1919" s="10"/>
      <c r="W1919" s="6"/>
    </row>
    <row r="1920" spans="1:23" x14ac:dyDescent="0.2">
      <c r="A1920" s="27"/>
      <c r="B1920" s="25"/>
      <c r="D1920" s="11"/>
      <c r="E1920" s="10"/>
      <c r="O1920" s="10"/>
      <c r="V1920" s="10"/>
      <c r="W1920" s="6"/>
    </row>
    <row r="1921" spans="1:23" x14ac:dyDescent="0.2">
      <c r="A1921" s="27"/>
      <c r="B1921" s="25"/>
      <c r="D1921" s="11"/>
      <c r="E1921" s="10"/>
      <c r="O1921" s="10"/>
      <c r="V1921" s="10"/>
      <c r="W1921" s="6"/>
    </row>
    <row r="1922" spans="1:23" x14ac:dyDescent="0.2">
      <c r="A1922" s="27"/>
      <c r="B1922" s="1"/>
      <c r="D1922" s="11"/>
      <c r="E1922" s="10"/>
      <c r="O1922" s="10"/>
      <c r="V1922" s="10"/>
      <c r="W1922" s="6"/>
    </row>
    <row r="1923" spans="1:23" x14ac:dyDescent="0.2">
      <c r="A1923" s="27"/>
      <c r="B1923" s="1"/>
      <c r="D1923" s="11"/>
      <c r="E1923" s="10"/>
      <c r="O1923" s="10"/>
      <c r="V1923" s="10"/>
      <c r="W1923" s="6"/>
    </row>
    <row r="1924" spans="1:23" x14ac:dyDescent="0.2">
      <c r="A1924" s="27"/>
      <c r="B1924" s="25"/>
      <c r="D1924" s="11"/>
      <c r="E1924" s="10"/>
      <c r="O1924" s="10"/>
      <c r="V1924" s="10"/>
      <c r="W1924" s="6"/>
    </row>
    <row r="1925" spans="1:23" x14ac:dyDescent="0.2">
      <c r="A1925" s="27"/>
      <c r="B1925" s="25"/>
      <c r="D1925" s="11"/>
      <c r="E1925" s="10"/>
      <c r="O1925" s="10"/>
      <c r="V1925" s="10"/>
      <c r="W1925" s="6"/>
    </row>
    <row r="1926" spans="1:23" x14ac:dyDescent="0.2">
      <c r="A1926" s="27"/>
      <c r="B1926" s="25"/>
      <c r="D1926" s="11"/>
      <c r="E1926" s="10"/>
      <c r="O1926" s="10"/>
      <c r="V1926" s="10"/>
      <c r="W1926" s="6"/>
    </row>
    <row r="1927" spans="1:23" x14ac:dyDescent="0.2">
      <c r="A1927" s="27"/>
      <c r="B1927" s="25"/>
      <c r="D1927" s="11"/>
      <c r="E1927" s="10"/>
      <c r="O1927" s="10"/>
      <c r="V1927" s="10"/>
      <c r="W1927" s="6"/>
    </row>
    <row r="1928" spans="1:23" x14ac:dyDescent="0.2">
      <c r="A1928" s="27"/>
      <c r="B1928" s="25"/>
      <c r="D1928" s="11"/>
      <c r="E1928" s="10"/>
      <c r="O1928" s="10"/>
      <c r="V1928" s="10"/>
      <c r="W1928" s="6"/>
    </row>
    <row r="1929" spans="1:23" x14ac:dyDescent="0.2">
      <c r="A1929" s="27"/>
      <c r="B1929" s="25"/>
      <c r="D1929" s="11"/>
      <c r="E1929" s="10"/>
      <c r="O1929" s="10"/>
      <c r="V1929" s="10"/>
      <c r="W1929" s="6"/>
    </row>
    <row r="1930" spans="1:23" x14ac:dyDescent="0.2">
      <c r="A1930" s="27"/>
      <c r="B1930" s="25"/>
      <c r="D1930" s="11"/>
      <c r="E1930" s="10"/>
      <c r="O1930" s="10"/>
      <c r="V1930" s="10"/>
      <c r="W1930" s="6"/>
    </row>
    <row r="1931" spans="1:23" x14ac:dyDescent="0.2">
      <c r="A1931" s="27"/>
      <c r="B1931" s="25"/>
      <c r="D1931" s="11"/>
      <c r="E1931" s="10"/>
      <c r="O1931" s="10"/>
      <c r="V1931" s="10"/>
      <c r="W1931" s="6"/>
    </row>
    <row r="1932" spans="1:23" x14ac:dyDescent="0.2">
      <c r="A1932" s="27"/>
      <c r="B1932" s="25"/>
      <c r="D1932" s="11"/>
      <c r="E1932" s="10"/>
      <c r="O1932" s="10"/>
      <c r="V1932" s="10"/>
      <c r="W1932" s="6"/>
    </row>
    <row r="1933" spans="1:23" x14ac:dyDescent="0.2">
      <c r="A1933" s="27"/>
      <c r="B1933" s="25"/>
      <c r="D1933" s="11"/>
      <c r="E1933" s="10"/>
      <c r="O1933" s="10"/>
      <c r="V1933" s="10"/>
      <c r="W1933" s="6"/>
    </row>
    <row r="1934" spans="1:23" x14ac:dyDescent="0.2">
      <c r="A1934" s="27"/>
      <c r="B1934" s="25"/>
      <c r="D1934" s="11"/>
      <c r="E1934" s="10"/>
      <c r="O1934" s="10"/>
      <c r="V1934" s="10"/>
      <c r="W1934" s="6"/>
    </row>
    <row r="1935" spans="1:23" x14ac:dyDescent="0.2">
      <c r="A1935" s="27"/>
      <c r="B1935" s="25"/>
      <c r="D1935" s="11"/>
      <c r="E1935" s="10"/>
      <c r="O1935" s="10"/>
      <c r="V1935" s="10"/>
      <c r="W1935" s="6"/>
    </row>
    <row r="1936" spans="1:23" x14ac:dyDescent="0.2">
      <c r="A1936" s="27"/>
      <c r="B1936" s="1"/>
      <c r="D1936" s="11"/>
      <c r="E1936" s="10"/>
      <c r="O1936" s="10"/>
      <c r="V1936" s="10"/>
      <c r="W1936" s="6"/>
    </row>
    <row r="1937" spans="1:23" x14ac:dyDescent="0.2">
      <c r="A1937" s="27"/>
      <c r="B1937" s="25"/>
      <c r="D1937" s="11"/>
      <c r="E1937" s="10"/>
      <c r="O1937" s="10"/>
      <c r="V1937" s="10"/>
      <c r="W1937" s="6"/>
    </row>
    <row r="1938" spans="1:23" x14ac:dyDescent="0.2">
      <c r="A1938" s="27"/>
      <c r="B1938" s="25"/>
      <c r="D1938" s="11"/>
      <c r="E1938" s="10"/>
      <c r="O1938" s="10"/>
      <c r="V1938" s="10"/>
      <c r="W1938" s="6"/>
    </row>
    <row r="1939" spans="1:23" x14ac:dyDescent="0.2">
      <c r="A1939" s="27"/>
      <c r="B1939" s="25"/>
      <c r="D1939" s="11"/>
      <c r="E1939" s="10"/>
      <c r="O1939" s="10"/>
      <c r="V1939" s="10"/>
      <c r="W1939" s="6"/>
    </row>
    <row r="1940" spans="1:23" x14ac:dyDescent="0.2">
      <c r="A1940" s="27"/>
      <c r="B1940" s="25"/>
      <c r="D1940" s="11"/>
      <c r="E1940" s="10"/>
      <c r="O1940" s="10"/>
      <c r="V1940" s="10"/>
      <c r="W1940" s="6"/>
    </row>
    <row r="1941" spans="1:23" x14ac:dyDescent="0.2">
      <c r="A1941" s="27"/>
      <c r="B1941" s="25"/>
      <c r="D1941" s="11"/>
      <c r="E1941" s="10"/>
      <c r="O1941" s="10"/>
      <c r="V1941" s="10"/>
      <c r="W1941" s="6"/>
    </row>
    <row r="1942" spans="1:23" x14ac:dyDescent="0.2">
      <c r="A1942" s="27"/>
      <c r="B1942" s="1"/>
      <c r="D1942" s="11"/>
      <c r="E1942" s="10"/>
      <c r="O1942" s="10"/>
      <c r="V1942" s="10"/>
      <c r="W1942" s="6"/>
    </row>
    <row r="1943" spans="1:23" x14ac:dyDescent="0.2">
      <c r="A1943" s="27"/>
      <c r="B1943" s="25"/>
      <c r="D1943" s="11"/>
      <c r="E1943" s="10"/>
      <c r="O1943" s="10"/>
      <c r="V1943" s="10"/>
      <c r="W1943" s="6"/>
    </row>
    <row r="1944" spans="1:23" x14ac:dyDescent="0.2">
      <c r="A1944" s="27"/>
      <c r="B1944" s="25"/>
      <c r="D1944" s="11"/>
      <c r="E1944" s="10"/>
      <c r="O1944" s="10"/>
      <c r="V1944" s="10"/>
      <c r="W1944" s="6"/>
    </row>
    <row r="1945" spans="1:23" x14ac:dyDescent="0.2">
      <c r="A1945" s="27"/>
      <c r="B1945" s="25"/>
      <c r="D1945" s="11"/>
      <c r="E1945" s="10"/>
      <c r="O1945" s="10"/>
      <c r="V1945" s="10"/>
      <c r="W1945" s="6"/>
    </row>
    <row r="1946" spans="1:23" x14ac:dyDescent="0.2">
      <c r="A1946" s="27"/>
      <c r="B1946" s="25"/>
      <c r="D1946" s="11"/>
      <c r="E1946" s="10"/>
      <c r="O1946" s="10"/>
      <c r="V1946" s="10"/>
      <c r="W1946" s="6"/>
    </row>
    <row r="1947" spans="1:23" x14ac:dyDescent="0.2">
      <c r="A1947" s="27"/>
      <c r="B1947" s="25"/>
      <c r="D1947" s="11"/>
      <c r="E1947" s="10"/>
      <c r="O1947" s="10"/>
      <c r="V1947" s="10"/>
      <c r="W1947" s="6"/>
    </row>
    <row r="1948" spans="1:23" x14ac:dyDescent="0.2">
      <c r="A1948" s="27"/>
      <c r="B1948" s="25"/>
      <c r="D1948" s="11"/>
      <c r="E1948" s="10"/>
      <c r="O1948" s="10"/>
      <c r="V1948" s="10"/>
      <c r="W1948" s="6"/>
    </row>
    <row r="1949" spans="1:23" x14ac:dyDescent="0.2">
      <c r="A1949" s="27"/>
      <c r="B1949" s="1"/>
      <c r="D1949" s="11"/>
      <c r="E1949" s="10"/>
      <c r="O1949" s="10"/>
      <c r="V1949" s="10"/>
      <c r="W1949" s="6"/>
    </row>
    <row r="1950" spans="1:23" x14ac:dyDescent="0.2">
      <c r="A1950" s="27"/>
      <c r="B1950" s="25"/>
      <c r="D1950" s="11"/>
      <c r="E1950" s="10"/>
      <c r="O1950" s="10"/>
      <c r="V1950" s="10"/>
      <c r="W1950" s="6"/>
    </row>
    <row r="1951" spans="1:23" x14ac:dyDescent="0.2">
      <c r="A1951" s="27"/>
      <c r="B1951" s="25"/>
      <c r="D1951" s="11"/>
      <c r="E1951" s="10"/>
      <c r="O1951" s="10"/>
      <c r="V1951" s="10"/>
      <c r="W1951" s="6"/>
    </row>
    <row r="1952" spans="1:23" x14ac:dyDescent="0.2">
      <c r="A1952" s="27"/>
      <c r="B1952" s="25"/>
      <c r="D1952" s="11"/>
      <c r="E1952" s="10"/>
      <c r="O1952" s="10"/>
      <c r="V1952" s="10"/>
      <c r="W1952" s="6"/>
    </row>
    <row r="1953" spans="1:23" x14ac:dyDescent="0.2">
      <c r="A1953" s="27"/>
      <c r="B1953" s="1"/>
      <c r="D1953" s="11"/>
      <c r="E1953" s="10"/>
      <c r="O1953" s="10"/>
      <c r="V1953" s="10"/>
      <c r="W1953" s="6"/>
    </row>
    <row r="1954" spans="1:23" x14ac:dyDescent="0.2">
      <c r="A1954" s="27"/>
      <c r="B1954" s="25"/>
      <c r="D1954" s="11"/>
      <c r="E1954" s="10"/>
      <c r="O1954" s="10"/>
      <c r="V1954" s="10"/>
      <c r="W1954" s="6"/>
    </row>
    <row r="1955" spans="1:23" x14ac:dyDescent="0.2">
      <c r="A1955" s="27"/>
      <c r="B1955" s="25"/>
      <c r="D1955" s="11"/>
      <c r="E1955" s="10"/>
      <c r="O1955" s="10"/>
      <c r="V1955" s="10"/>
      <c r="W1955" s="6"/>
    </row>
    <row r="1956" spans="1:23" x14ac:dyDescent="0.2">
      <c r="A1956" s="27"/>
      <c r="B1956" s="25"/>
      <c r="D1956" s="11"/>
      <c r="E1956" s="10"/>
      <c r="O1956" s="10"/>
      <c r="V1956" s="10"/>
      <c r="W1956" s="6"/>
    </row>
    <row r="1957" spans="1:23" x14ac:dyDescent="0.2">
      <c r="A1957" s="27"/>
      <c r="B1957" s="25"/>
      <c r="D1957" s="11"/>
      <c r="E1957" s="10"/>
      <c r="O1957" s="10"/>
      <c r="V1957" s="10"/>
      <c r="W1957" s="6"/>
    </row>
    <row r="1958" spans="1:23" x14ac:dyDescent="0.2">
      <c r="A1958" s="27"/>
      <c r="B1958" s="25"/>
      <c r="D1958" s="11"/>
      <c r="E1958" s="10"/>
      <c r="O1958" s="10"/>
      <c r="V1958" s="10"/>
      <c r="W1958" s="6"/>
    </row>
    <row r="1959" spans="1:23" x14ac:dyDescent="0.2">
      <c r="A1959" s="27"/>
      <c r="B1959" s="25"/>
      <c r="D1959" s="11"/>
      <c r="E1959" s="10"/>
      <c r="O1959" s="10"/>
      <c r="V1959" s="10"/>
      <c r="W1959" s="6"/>
    </row>
    <row r="1960" spans="1:23" x14ac:dyDescent="0.2">
      <c r="A1960" s="27"/>
      <c r="B1960" s="25"/>
      <c r="D1960" s="11"/>
      <c r="E1960" s="10"/>
      <c r="O1960" s="10"/>
      <c r="V1960" s="10"/>
      <c r="W1960" s="6"/>
    </row>
    <row r="1961" spans="1:23" x14ac:dyDescent="0.2">
      <c r="A1961" s="27"/>
      <c r="B1961" s="25"/>
      <c r="D1961" s="11"/>
      <c r="E1961" s="10"/>
      <c r="O1961" s="10"/>
      <c r="V1961" s="10"/>
      <c r="W1961" s="6"/>
    </row>
    <row r="1962" spans="1:23" x14ac:dyDescent="0.2">
      <c r="A1962" s="27"/>
      <c r="B1962" s="1"/>
      <c r="D1962" s="11"/>
      <c r="E1962" s="10"/>
      <c r="O1962" s="10"/>
      <c r="V1962" s="10"/>
      <c r="W1962" s="6"/>
    </row>
    <row r="1963" spans="1:23" x14ac:dyDescent="0.2">
      <c r="A1963" s="27"/>
      <c r="B1963" s="25"/>
      <c r="D1963" s="11"/>
      <c r="E1963" s="10"/>
      <c r="O1963" s="10"/>
      <c r="V1963" s="10"/>
      <c r="W1963" s="6"/>
    </row>
    <row r="1964" spans="1:23" x14ac:dyDescent="0.2">
      <c r="A1964" s="27"/>
      <c r="B1964" s="25"/>
      <c r="D1964" s="11"/>
      <c r="E1964" s="10"/>
      <c r="O1964" s="10"/>
      <c r="V1964" s="10"/>
      <c r="W1964" s="6"/>
    </row>
    <row r="1965" spans="1:23" x14ac:dyDescent="0.2">
      <c r="A1965" s="27"/>
      <c r="B1965" s="25"/>
      <c r="D1965" s="11"/>
      <c r="E1965" s="10"/>
      <c r="O1965" s="10"/>
      <c r="V1965" s="10"/>
      <c r="W1965" s="6"/>
    </row>
    <row r="1966" spans="1:23" x14ac:dyDescent="0.2">
      <c r="A1966" s="27"/>
      <c r="B1966" s="25"/>
      <c r="D1966" s="11"/>
      <c r="E1966" s="10"/>
      <c r="O1966" s="10"/>
      <c r="V1966" s="10"/>
      <c r="W1966" s="6"/>
    </row>
    <row r="1967" spans="1:23" x14ac:dyDescent="0.2">
      <c r="A1967" s="27"/>
      <c r="B1967" s="25"/>
      <c r="D1967" s="11"/>
      <c r="E1967" s="10"/>
      <c r="O1967" s="10"/>
      <c r="V1967" s="10"/>
      <c r="W1967" s="6"/>
    </row>
    <row r="1968" spans="1:23" x14ac:dyDescent="0.2">
      <c r="A1968" s="27"/>
      <c r="B1968" s="25"/>
      <c r="D1968" s="11"/>
      <c r="E1968" s="10"/>
      <c r="O1968" s="10"/>
      <c r="V1968" s="10"/>
      <c r="W1968" s="6"/>
    </row>
    <row r="1969" spans="1:23" x14ac:dyDescent="0.2">
      <c r="A1969" s="27"/>
      <c r="B1969" s="1"/>
      <c r="D1969" s="11"/>
      <c r="E1969" s="10"/>
      <c r="O1969" s="10"/>
      <c r="V1969" s="10"/>
      <c r="W1969" s="6"/>
    </row>
    <row r="1970" spans="1:23" x14ac:dyDescent="0.2">
      <c r="A1970" s="27"/>
      <c r="B1970" s="25"/>
      <c r="D1970" s="11"/>
      <c r="E1970" s="10"/>
      <c r="O1970" s="10"/>
      <c r="V1970" s="10"/>
      <c r="W1970" s="6"/>
    </row>
    <row r="1971" spans="1:23" x14ac:dyDescent="0.2">
      <c r="A1971" s="27"/>
      <c r="B1971" s="25"/>
      <c r="D1971" s="11"/>
      <c r="E1971" s="10"/>
      <c r="O1971" s="10"/>
      <c r="V1971" s="10"/>
      <c r="W1971" s="6"/>
    </row>
    <row r="1972" spans="1:23" x14ac:dyDescent="0.2">
      <c r="A1972" s="27"/>
      <c r="B1972" s="25"/>
      <c r="D1972" s="11"/>
      <c r="E1972" s="10"/>
      <c r="O1972" s="10"/>
      <c r="V1972" s="10"/>
      <c r="W1972" s="6"/>
    </row>
    <row r="1973" spans="1:23" x14ac:dyDescent="0.2">
      <c r="A1973" s="27"/>
      <c r="B1973" s="25"/>
      <c r="D1973" s="11"/>
      <c r="E1973" s="10"/>
      <c r="O1973" s="10"/>
      <c r="V1973" s="10"/>
      <c r="W1973" s="6"/>
    </row>
    <row r="1974" spans="1:23" x14ac:dyDescent="0.2">
      <c r="A1974" s="27"/>
      <c r="B1974" s="25"/>
      <c r="D1974" s="11"/>
      <c r="E1974" s="10"/>
      <c r="O1974" s="10"/>
      <c r="V1974" s="10"/>
      <c r="W1974" s="6"/>
    </row>
    <row r="1975" spans="1:23" x14ac:dyDescent="0.2">
      <c r="A1975" s="27"/>
      <c r="B1975" s="25"/>
      <c r="D1975" s="11"/>
      <c r="E1975" s="10"/>
      <c r="O1975" s="10"/>
      <c r="V1975" s="10"/>
      <c r="W1975" s="6"/>
    </row>
    <row r="1976" spans="1:23" x14ac:dyDescent="0.2">
      <c r="A1976" s="27"/>
      <c r="B1976" s="25"/>
      <c r="D1976" s="11"/>
      <c r="E1976" s="10"/>
      <c r="O1976" s="10"/>
      <c r="V1976" s="10"/>
      <c r="W1976" s="6"/>
    </row>
    <row r="1977" spans="1:23" x14ac:dyDescent="0.2">
      <c r="A1977" s="27"/>
      <c r="B1977" s="25"/>
      <c r="D1977" s="11"/>
      <c r="E1977" s="10"/>
      <c r="O1977" s="10"/>
      <c r="V1977" s="10"/>
      <c r="W1977" s="6"/>
    </row>
    <row r="1978" spans="1:23" x14ac:dyDescent="0.2">
      <c r="A1978" s="27"/>
      <c r="B1978" s="25"/>
      <c r="D1978" s="11"/>
      <c r="E1978" s="10"/>
      <c r="O1978" s="10"/>
      <c r="V1978" s="10"/>
      <c r="W1978" s="6"/>
    </row>
    <row r="1979" spans="1:23" x14ac:dyDescent="0.2">
      <c r="A1979" s="27"/>
      <c r="B1979" s="25"/>
      <c r="D1979" s="11"/>
      <c r="E1979" s="10"/>
      <c r="O1979" s="10"/>
      <c r="V1979" s="10"/>
      <c r="W1979" s="6"/>
    </row>
    <row r="1980" spans="1:23" x14ac:dyDescent="0.2">
      <c r="A1980" s="27"/>
      <c r="B1980" s="1"/>
      <c r="D1980" s="11"/>
      <c r="E1980" s="10"/>
      <c r="O1980" s="10"/>
      <c r="V1980" s="10"/>
      <c r="W1980" s="6"/>
    </row>
    <row r="1981" spans="1:23" x14ac:dyDescent="0.2">
      <c r="A1981" s="27"/>
      <c r="B1981" s="25"/>
      <c r="D1981" s="11"/>
      <c r="E1981" s="10"/>
      <c r="O1981" s="10"/>
      <c r="V1981" s="10"/>
      <c r="W1981" s="6"/>
    </row>
    <row r="1982" spans="1:23" x14ac:dyDescent="0.2">
      <c r="A1982" s="27"/>
      <c r="B1982" s="25"/>
      <c r="D1982" s="11"/>
      <c r="E1982" s="10"/>
      <c r="O1982" s="10"/>
      <c r="V1982" s="10"/>
      <c r="W1982" s="6"/>
    </row>
    <row r="1983" spans="1:23" x14ac:dyDescent="0.2">
      <c r="A1983" s="27"/>
      <c r="B1983" s="25"/>
      <c r="D1983" s="11"/>
      <c r="E1983" s="10"/>
      <c r="O1983" s="10"/>
      <c r="V1983" s="10"/>
      <c r="W1983" s="6"/>
    </row>
    <row r="1984" spans="1:23" x14ac:dyDescent="0.2">
      <c r="A1984" s="27"/>
      <c r="B1984" s="25"/>
      <c r="D1984" s="11"/>
      <c r="E1984" s="10"/>
      <c r="O1984" s="10"/>
      <c r="V1984" s="10"/>
      <c r="W1984" s="6"/>
    </row>
    <row r="1985" spans="1:23" x14ac:dyDescent="0.2">
      <c r="A1985" s="27"/>
      <c r="B1985" s="25"/>
      <c r="D1985" s="11"/>
      <c r="E1985" s="10"/>
      <c r="O1985" s="10"/>
      <c r="V1985" s="10"/>
      <c r="W1985" s="6"/>
    </row>
    <row r="1986" spans="1:23" x14ac:dyDescent="0.2">
      <c r="A1986" s="27"/>
      <c r="B1986" s="25"/>
      <c r="D1986" s="11"/>
      <c r="E1986" s="10"/>
      <c r="O1986" s="10"/>
      <c r="V1986" s="10"/>
      <c r="W1986" s="6"/>
    </row>
    <row r="1987" spans="1:23" x14ac:dyDescent="0.2">
      <c r="A1987" s="27"/>
      <c r="B1987" s="25"/>
      <c r="D1987" s="11"/>
      <c r="E1987" s="10"/>
      <c r="O1987" s="10"/>
      <c r="V1987" s="10"/>
      <c r="W1987" s="6"/>
    </row>
    <row r="1988" spans="1:23" x14ac:dyDescent="0.2">
      <c r="A1988" s="27"/>
      <c r="B1988" s="25"/>
      <c r="D1988" s="11"/>
      <c r="E1988" s="10"/>
      <c r="O1988" s="10"/>
      <c r="V1988" s="10"/>
      <c r="W1988" s="6"/>
    </row>
    <row r="1989" spans="1:23" x14ac:dyDescent="0.2">
      <c r="A1989" s="27"/>
      <c r="B1989" s="25"/>
      <c r="D1989" s="11"/>
      <c r="E1989" s="10"/>
      <c r="O1989" s="10"/>
      <c r="V1989" s="10"/>
      <c r="W1989" s="6"/>
    </row>
    <row r="1990" spans="1:23" x14ac:dyDescent="0.2">
      <c r="A1990" s="27"/>
      <c r="B1990" s="25"/>
      <c r="D1990" s="11"/>
      <c r="E1990" s="10"/>
      <c r="O1990" s="10"/>
      <c r="V1990" s="10"/>
      <c r="W1990" s="6"/>
    </row>
    <row r="1991" spans="1:23" x14ac:dyDescent="0.2">
      <c r="A1991" s="27"/>
      <c r="B1991" s="1"/>
      <c r="D1991" s="11"/>
      <c r="E1991" s="10"/>
      <c r="O1991" s="10"/>
      <c r="V1991" s="10"/>
      <c r="W1991" s="6"/>
    </row>
    <row r="1992" spans="1:23" x14ac:dyDescent="0.2">
      <c r="A1992" s="27"/>
      <c r="B1992" s="25"/>
      <c r="D1992" s="11"/>
      <c r="E1992" s="10"/>
      <c r="O1992" s="10"/>
      <c r="V1992" s="10"/>
      <c r="W1992" s="6"/>
    </row>
    <row r="1993" spans="1:23" x14ac:dyDescent="0.2">
      <c r="A1993" s="27"/>
      <c r="B1993" s="1"/>
      <c r="D1993" s="11"/>
      <c r="E1993" s="10"/>
      <c r="O1993" s="10"/>
      <c r="V1993" s="10"/>
      <c r="W1993" s="6"/>
    </row>
    <row r="1994" spans="1:23" x14ac:dyDescent="0.2">
      <c r="A1994" s="27"/>
      <c r="B1994" s="1"/>
      <c r="D1994" s="11"/>
      <c r="E1994" s="10"/>
      <c r="O1994" s="10"/>
      <c r="V1994" s="10"/>
      <c r="W1994" s="6"/>
    </row>
    <row r="1995" spans="1:23" x14ac:dyDescent="0.2">
      <c r="A1995" s="27"/>
      <c r="B1995" s="25"/>
      <c r="D1995" s="11"/>
      <c r="E1995" s="10"/>
      <c r="O1995" s="10"/>
      <c r="V1995" s="10"/>
      <c r="W1995" s="6"/>
    </row>
    <row r="1996" spans="1:23" x14ac:dyDescent="0.2">
      <c r="A1996" s="27"/>
      <c r="B1996" s="25"/>
      <c r="D1996" s="11"/>
      <c r="E1996" s="10"/>
      <c r="O1996" s="10"/>
      <c r="V1996" s="10"/>
      <c r="W1996" s="6"/>
    </row>
    <row r="1997" spans="1:23" x14ac:dyDescent="0.2">
      <c r="A1997" s="27"/>
      <c r="B1997" s="1"/>
      <c r="D1997" s="11"/>
      <c r="E1997" s="10"/>
      <c r="O1997" s="10"/>
      <c r="V1997" s="10"/>
      <c r="W1997" s="6"/>
    </row>
    <row r="1998" spans="1:23" x14ac:dyDescent="0.2">
      <c r="A1998" s="27"/>
      <c r="B1998" s="25"/>
      <c r="D1998" s="11"/>
      <c r="E1998" s="10"/>
      <c r="O1998" s="10"/>
      <c r="V1998" s="10"/>
      <c r="W1998" s="6"/>
    </row>
    <row r="1999" spans="1:23" x14ac:dyDescent="0.2">
      <c r="A1999" s="27"/>
      <c r="B1999" s="25"/>
      <c r="D1999" s="11"/>
      <c r="E1999" s="10"/>
      <c r="O1999" s="10"/>
      <c r="V1999" s="10"/>
    </row>
    <row r="2000" spans="1:23" x14ac:dyDescent="0.2">
      <c r="A2000" s="27"/>
      <c r="B2000" s="25"/>
      <c r="D2000" s="11"/>
      <c r="E2000" s="10"/>
      <c r="O2000" s="10"/>
      <c r="V2000" s="10"/>
      <c r="W2000" s="6"/>
    </row>
    <row r="2001" spans="1:23" x14ac:dyDescent="0.2">
      <c r="A2001" s="27"/>
      <c r="B2001" s="25"/>
      <c r="D2001" s="11"/>
      <c r="E2001" s="10"/>
      <c r="O2001" s="10"/>
      <c r="V2001" s="10"/>
      <c r="W2001" s="6"/>
    </row>
    <row r="2002" spans="1:23" x14ac:dyDescent="0.2">
      <c r="A2002" s="27"/>
      <c r="B2002" s="25"/>
      <c r="D2002" s="11"/>
      <c r="E2002" s="10"/>
      <c r="O2002" s="10"/>
      <c r="V2002" s="10"/>
      <c r="W2002" s="6"/>
    </row>
    <row r="2003" spans="1:23" x14ac:dyDescent="0.2">
      <c r="A2003" s="27"/>
      <c r="B2003" s="25"/>
      <c r="D2003" s="11"/>
      <c r="E2003" s="10"/>
      <c r="O2003" s="10"/>
      <c r="V2003" s="10"/>
      <c r="W2003" s="6"/>
    </row>
    <row r="2004" spans="1:23" x14ac:dyDescent="0.2">
      <c r="A2004" s="27"/>
      <c r="B2004" s="25"/>
      <c r="D2004" s="11"/>
      <c r="E2004" s="10"/>
      <c r="O2004" s="10"/>
      <c r="V2004" s="10"/>
      <c r="W2004" s="6"/>
    </row>
    <row r="2005" spans="1:23" x14ac:dyDescent="0.2">
      <c r="A2005" s="27"/>
      <c r="B2005" s="25"/>
      <c r="D2005" s="11"/>
      <c r="E2005" s="10"/>
      <c r="O2005" s="10"/>
      <c r="V2005" s="10"/>
      <c r="W2005" s="6"/>
    </row>
    <row r="2006" spans="1:23" x14ac:dyDescent="0.2">
      <c r="A2006" s="27"/>
      <c r="B2006" s="25"/>
      <c r="D2006" s="11"/>
      <c r="E2006" s="10"/>
      <c r="O2006" s="10"/>
      <c r="V2006" s="10"/>
      <c r="W2006" s="6"/>
    </row>
    <row r="2007" spans="1:23" x14ac:dyDescent="0.2">
      <c r="A2007" s="27"/>
      <c r="B2007" s="25"/>
      <c r="D2007" s="11"/>
      <c r="E2007" s="10"/>
      <c r="O2007" s="10"/>
      <c r="V2007" s="10"/>
      <c r="W2007" s="6"/>
    </row>
    <row r="2008" spans="1:23" x14ac:dyDescent="0.2">
      <c r="A2008" s="27"/>
      <c r="B2008" s="25"/>
      <c r="D2008" s="11"/>
      <c r="E2008" s="10"/>
      <c r="O2008" s="10"/>
      <c r="V2008" s="10"/>
      <c r="W2008" s="6"/>
    </row>
    <row r="2009" spans="1:23" x14ac:dyDescent="0.2">
      <c r="A2009" s="27"/>
      <c r="B2009" s="25"/>
      <c r="D2009" s="11"/>
      <c r="E2009" s="10"/>
      <c r="O2009" s="10"/>
      <c r="V2009" s="10"/>
      <c r="W2009" s="6"/>
    </row>
    <row r="2010" spans="1:23" x14ac:dyDescent="0.2">
      <c r="A2010" s="27"/>
      <c r="B2010" s="1"/>
      <c r="D2010" s="11"/>
      <c r="E2010" s="10"/>
      <c r="O2010" s="10"/>
      <c r="V2010" s="10"/>
      <c r="W2010" s="6"/>
    </row>
    <row r="2011" spans="1:23" x14ac:dyDescent="0.2">
      <c r="A2011" s="27"/>
      <c r="B2011" s="25"/>
      <c r="D2011" s="11"/>
      <c r="E2011" s="10"/>
      <c r="O2011" s="10"/>
      <c r="V2011" s="10"/>
      <c r="W2011" s="6"/>
    </row>
    <row r="2012" spans="1:23" x14ac:dyDescent="0.2">
      <c r="A2012" s="27"/>
      <c r="B2012" s="1"/>
      <c r="D2012" s="11"/>
      <c r="E2012" s="10"/>
      <c r="O2012" s="10"/>
      <c r="V2012" s="10"/>
      <c r="W2012" s="6"/>
    </row>
    <row r="2013" spans="1:23" x14ac:dyDescent="0.2">
      <c r="A2013" s="27"/>
      <c r="B2013" s="1"/>
      <c r="D2013" s="11"/>
      <c r="E2013" s="10"/>
      <c r="O2013" s="10"/>
      <c r="V2013" s="10"/>
      <c r="W2013" s="6"/>
    </row>
    <row r="2014" spans="1:23" x14ac:dyDescent="0.2">
      <c r="A2014" s="27"/>
      <c r="B2014" s="25"/>
      <c r="D2014" s="11"/>
      <c r="E2014" s="10"/>
      <c r="O2014" s="10"/>
      <c r="V2014" s="10"/>
      <c r="W2014" s="6"/>
    </row>
    <row r="2015" spans="1:23" x14ac:dyDescent="0.2">
      <c r="A2015" s="27"/>
      <c r="B2015" s="25"/>
      <c r="D2015" s="11"/>
      <c r="E2015" s="10"/>
      <c r="O2015" s="10"/>
      <c r="V2015" s="10"/>
      <c r="W2015" s="6"/>
    </row>
    <row r="2016" spans="1:23" x14ac:dyDescent="0.2">
      <c r="A2016" s="27"/>
      <c r="B2016" s="25"/>
      <c r="D2016" s="11"/>
      <c r="E2016" s="10"/>
      <c r="O2016" s="10"/>
      <c r="V2016" s="10"/>
      <c r="W2016" s="6"/>
    </row>
    <row r="2017" spans="1:23" x14ac:dyDescent="0.2">
      <c r="A2017" s="27"/>
      <c r="B2017" s="25"/>
      <c r="D2017" s="11"/>
      <c r="E2017" s="10"/>
      <c r="O2017" s="10"/>
      <c r="V2017" s="10"/>
      <c r="W2017" s="6"/>
    </row>
    <row r="2018" spans="1:23" x14ac:dyDescent="0.2">
      <c r="A2018" s="27"/>
      <c r="B2018" s="25"/>
      <c r="D2018" s="11"/>
      <c r="E2018" s="10"/>
      <c r="O2018" s="10"/>
      <c r="V2018" s="10"/>
      <c r="W2018" s="6"/>
    </row>
    <row r="2019" spans="1:23" x14ac:dyDescent="0.2">
      <c r="A2019" s="27"/>
      <c r="B2019" s="1"/>
      <c r="D2019" s="11"/>
      <c r="E2019" s="10"/>
      <c r="O2019" s="10"/>
      <c r="V2019" s="10"/>
      <c r="W2019" s="6"/>
    </row>
    <row r="2020" spans="1:23" x14ac:dyDescent="0.2">
      <c r="A2020" s="27"/>
      <c r="B2020" s="25"/>
      <c r="D2020" s="11"/>
      <c r="E2020" s="10"/>
      <c r="O2020" s="10"/>
      <c r="V2020" s="10"/>
      <c r="W2020" s="6"/>
    </row>
    <row r="2021" spans="1:23" x14ac:dyDescent="0.2">
      <c r="A2021" s="27"/>
      <c r="B2021" s="25"/>
      <c r="D2021" s="11"/>
      <c r="E2021" s="10"/>
      <c r="O2021" s="10"/>
      <c r="V2021" s="10"/>
      <c r="W2021" s="6"/>
    </row>
    <row r="2022" spans="1:23" x14ac:dyDescent="0.2">
      <c r="A2022" s="27"/>
      <c r="B2022" s="25"/>
      <c r="D2022" s="11"/>
      <c r="E2022" s="10"/>
      <c r="O2022" s="10"/>
      <c r="V2022" s="10"/>
      <c r="W2022" s="6"/>
    </row>
    <row r="2023" spans="1:23" x14ac:dyDescent="0.2">
      <c r="A2023" s="27"/>
      <c r="B2023" s="25"/>
      <c r="D2023" s="11"/>
      <c r="E2023" s="10"/>
      <c r="O2023" s="10"/>
      <c r="V2023" s="10"/>
      <c r="W2023" s="6"/>
    </row>
    <row r="2024" spans="1:23" x14ac:dyDescent="0.2">
      <c r="A2024" s="27"/>
      <c r="B2024" s="25"/>
      <c r="D2024" s="11"/>
      <c r="E2024" s="10"/>
      <c r="O2024" s="10"/>
      <c r="V2024" s="10"/>
      <c r="W2024" s="6"/>
    </row>
    <row r="2025" spans="1:23" x14ac:dyDescent="0.2">
      <c r="A2025" s="27"/>
      <c r="B2025" s="25"/>
      <c r="D2025" s="11"/>
      <c r="E2025" s="10"/>
      <c r="O2025" s="10"/>
      <c r="V2025" s="10"/>
      <c r="W2025" s="6"/>
    </row>
    <row r="2026" spans="1:23" x14ac:dyDescent="0.2">
      <c r="A2026" s="27"/>
      <c r="B2026" s="25"/>
      <c r="D2026" s="11"/>
      <c r="E2026" s="10"/>
      <c r="O2026" s="10"/>
      <c r="V2026" s="10"/>
      <c r="W2026" s="6"/>
    </row>
    <row r="2027" spans="1:23" x14ac:dyDescent="0.2">
      <c r="A2027" s="27"/>
      <c r="B2027" s="25"/>
      <c r="D2027" s="11"/>
      <c r="E2027" s="10"/>
      <c r="O2027" s="10"/>
      <c r="V2027" s="10"/>
      <c r="W2027" s="6"/>
    </row>
    <row r="2028" spans="1:23" x14ac:dyDescent="0.2">
      <c r="A2028" s="27"/>
      <c r="B2028" s="1"/>
      <c r="D2028" s="11"/>
      <c r="E2028" s="10"/>
      <c r="O2028" s="10"/>
      <c r="V2028" s="10"/>
      <c r="W2028" s="6"/>
    </row>
    <row r="2029" spans="1:23" x14ac:dyDescent="0.2">
      <c r="A2029" s="27"/>
      <c r="B2029" s="25"/>
      <c r="D2029" s="11"/>
      <c r="E2029" s="10"/>
      <c r="O2029" s="10"/>
      <c r="V2029" s="10"/>
      <c r="W2029" s="6"/>
    </row>
    <row r="2030" spans="1:23" x14ac:dyDescent="0.2">
      <c r="A2030" s="27"/>
      <c r="B2030" s="25"/>
      <c r="D2030" s="11"/>
      <c r="E2030" s="10"/>
      <c r="O2030" s="10"/>
      <c r="V2030" s="10"/>
      <c r="W2030" s="6"/>
    </row>
    <row r="2031" spans="1:23" x14ac:dyDescent="0.2">
      <c r="A2031" s="27"/>
      <c r="B2031" s="1"/>
      <c r="D2031" s="11"/>
      <c r="E2031" s="10"/>
      <c r="O2031" s="10"/>
      <c r="V2031" s="10"/>
      <c r="W2031" s="6"/>
    </row>
    <row r="2032" spans="1:23" x14ac:dyDescent="0.2">
      <c r="A2032" s="27"/>
      <c r="B2032" s="25"/>
      <c r="D2032" s="11"/>
      <c r="E2032" s="10"/>
      <c r="O2032" s="10"/>
      <c r="V2032" s="10"/>
      <c r="W2032" s="6"/>
    </row>
    <row r="2033" spans="1:23" x14ac:dyDescent="0.2">
      <c r="A2033" s="27"/>
      <c r="B2033" s="25"/>
      <c r="D2033" s="11"/>
      <c r="E2033" s="10"/>
      <c r="O2033" s="10"/>
      <c r="V2033" s="10"/>
      <c r="W2033" s="6"/>
    </row>
    <row r="2034" spans="1:23" x14ac:dyDescent="0.2">
      <c r="A2034" s="27"/>
      <c r="B2034" s="25"/>
      <c r="D2034" s="11"/>
      <c r="E2034" s="10"/>
      <c r="O2034" s="10"/>
      <c r="V2034" s="10"/>
      <c r="W2034" s="6"/>
    </row>
    <row r="2035" spans="1:23" x14ac:dyDescent="0.2">
      <c r="A2035" s="27"/>
      <c r="B2035" s="25"/>
      <c r="D2035" s="11"/>
      <c r="E2035" s="10"/>
      <c r="O2035" s="10"/>
      <c r="V2035" s="10"/>
      <c r="W2035" s="6"/>
    </row>
    <row r="2036" spans="1:23" x14ac:dyDescent="0.2">
      <c r="A2036" s="27"/>
      <c r="B2036" s="25"/>
      <c r="D2036" s="11"/>
      <c r="E2036" s="10"/>
      <c r="O2036" s="10"/>
      <c r="V2036" s="10"/>
      <c r="W2036" s="6"/>
    </row>
    <row r="2037" spans="1:23" x14ac:dyDescent="0.2">
      <c r="A2037" s="27"/>
      <c r="B2037" s="1"/>
      <c r="D2037" s="11"/>
      <c r="E2037" s="10"/>
      <c r="O2037" s="10"/>
      <c r="V2037" s="10"/>
      <c r="W2037" s="6"/>
    </row>
    <row r="2038" spans="1:23" x14ac:dyDescent="0.2">
      <c r="A2038" s="27"/>
      <c r="B2038" s="25"/>
      <c r="D2038" s="11"/>
      <c r="E2038" s="10"/>
      <c r="O2038" s="10"/>
      <c r="V2038" s="10"/>
      <c r="W2038" s="6"/>
    </row>
    <row r="2039" spans="1:23" x14ac:dyDescent="0.2">
      <c r="A2039" s="27"/>
      <c r="B2039" s="25"/>
      <c r="D2039" s="11"/>
      <c r="E2039" s="10"/>
      <c r="O2039" s="10"/>
      <c r="V2039" s="10"/>
      <c r="W2039" s="6"/>
    </row>
    <row r="2040" spans="1:23" x14ac:dyDescent="0.2">
      <c r="A2040" s="27"/>
      <c r="B2040" s="1"/>
      <c r="D2040" s="11"/>
      <c r="E2040" s="10"/>
      <c r="O2040" s="10"/>
      <c r="V2040" s="10"/>
      <c r="W2040" s="6"/>
    </row>
    <row r="2041" spans="1:23" x14ac:dyDescent="0.2">
      <c r="A2041" s="27"/>
      <c r="B2041" s="25"/>
      <c r="D2041" s="11"/>
      <c r="E2041" s="10"/>
      <c r="O2041" s="10"/>
      <c r="V2041" s="10"/>
      <c r="W2041" s="6"/>
    </row>
    <row r="2042" spans="1:23" x14ac:dyDescent="0.2">
      <c r="A2042" s="27"/>
      <c r="B2042" s="1"/>
      <c r="D2042" s="11"/>
      <c r="E2042" s="10"/>
      <c r="O2042" s="10"/>
      <c r="V2042" s="10"/>
      <c r="W2042" s="6"/>
    </row>
    <row r="2043" spans="1:23" x14ac:dyDescent="0.2">
      <c r="A2043" s="27"/>
      <c r="B2043" s="1"/>
      <c r="D2043" s="11"/>
      <c r="E2043" s="10"/>
      <c r="O2043" s="10"/>
      <c r="V2043" s="10"/>
      <c r="W2043" s="6"/>
    </row>
    <row r="2044" spans="1:23" x14ac:dyDescent="0.2">
      <c r="A2044" s="27"/>
      <c r="B2044" s="1"/>
      <c r="D2044" s="11"/>
      <c r="E2044" s="10"/>
      <c r="O2044" s="10"/>
      <c r="V2044" s="10"/>
      <c r="W2044" s="6"/>
    </row>
    <row r="2045" spans="1:23" x14ac:dyDescent="0.2">
      <c r="A2045" s="27"/>
      <c r="B2045" s="25"/>
      <c r="D2045" s="11"/>
      <c r="E2045" s="10"/>
      <c r="O2045" s="10"/>
      <c r="V2045" s="10"/>
      <c r="W2045" s="6"/>
    </row>
    <row r="2046" spans="1:23" x14ac:dyDescent="0.2">
      <c r="A2046" s="27"/>
      <c r="B2046" s="25"/>
      <c r="D2046" s="11"/>
      <c r="E2046" s="10"/>
      <c r="O2046" s="10"/>
      <c r="V2046" s="10"/>
      <c r="W2046" s="6"/>
    </row>
    <row r="2047" spans="1:23" x14ac:dyDescent="0.2">
      <c r="A2047" s="27"/>
      <c r="B2047" s="1"/>
      <c r="D2047" s="11"/>
      <c r="E2047" s="10"/>
      <c r="O2047" s="10"/>
      <c r="V2047" s="10"/>
      <c r="W2047" s="6"/>
    </row>
    <row r="2048" spans="1:23" x14ac:dyDescent="0.2">
      <c r="A2048" s="27"/>
      <c r="B2048" s="25"/>
      <c r="D2048" s="11"/>
      <c r="E2048" s="10"/>
      <c r="O2048" s="10"/>
      <c r="V2048" s="10"/>
      <c r="W2048" s="6"/>
    </row>
    <row r="2049" spans="1:23" x14ac:dyDescent="0.2">
      <c r="A2049" s="27"/>
      <c r="B2049" s="25"/>
      <c r="D2049" s="11"/>
      <c r="E2049" s="10"/>
      <c r="O2049" s="10"/>
      <c r="V2049" s="10"/>
      <c r="W2049" s="6"/>
    </row>
    <row r="2050" spans="1:23" x14ac:dyDescent="0.2">
      <c r="A2050" s="27"/>
      <c r="B2050" s="25"/>
      <c r="D2050" s="11"/>
      <c r="E2050" s="10"/>
      <c r="O2050" s="10"/>
      <c r="V2050" s="10"/>
      <c r="W2050" s="6"/>
    </row>
    <row r="2051" spans="1:23" x14ac:dyDescent="0.2">
      <c r="A2051" s="27"/>
      <c r="B2051" s="1"/>
      <c r="D2051" s="11"/>
      <c r="E2051" s="10"/>
      <c r="O2051" s="10"/>
      <c r="V2051" s="10"/>
      <c r="W2051" s="6"/>
    </row>
    <row r="2052" spans="1:23" x14ac:dyDescent="0.2">
      <c r="A2052" s="27"/>
      <c r="B2052" s="1"/>
      <c r="D2052" s="11"/>
      <c r="E2052" s="10"/>
      <c r="O2052" s="10"/>
      <c r="V2052" s="10"/>
      <c r="W2052" s="6"/>
    </row>
    <row r="2053" spans="1:23" x14ac:dyDescent="0.2">
      <c r="A2053" s="27"/>
      <c r="B2053" s="25"/>
      <c r="D2053" s="11"/>
      <c r="E2053" s="10"/>
      <c r="O2053" s="10"/>
      <c r="V2053" s="10"/>
      <c r="W2053" s="6"/>
    </row>
    <row r="2054" spans="1:23" x14ac:dyDescent="0.2">
      <c r="A2054" s="27"/>
      <c r="B2054" s="25"/>
      <c r="D2054" s="11"/>
      <c r="E2054" s="10"/>
      <c r="O2054" s="10"/>
      <c r="V2054" s="10"/>
      <c r="W2054" s="6"/>
    </row>
    <row r="2055" spans="1:23" x14ac:dyDescent="0.2">
      <c r="A2055" s="27"/>
      <c r="B2055" s="25"/>
      <c r="D2055" s="11"/>
      <c r="E2055" s="10"/>
      <c r="O2055" s="10"/>
      <c r="V2055" s="10"/>
      <c r="W2055" s="6"/>
    </row>
    <row r="2056" spans="1:23" x14ac:dyDescent="0.2">
      <c r="A2056" s="27"/>
      <c r="B2056" s="25"/>
      <c r="D2056" s="11"/>
      <c r="E2056" s="10"/>
      <c r="O2056" s="10"/>
      <c r="V2056" s="10"/>
      <c r="W2056" s="6"/>
    </row>
    <row r="2057" spans="1:23" x14ac:dyDescent="0.2">
      <c r="A2057" s="27"/>
      <c r="B2057" s="25"/>
      <c r="D2057" s="11"/>
      <c r="E2057" s="10"/>
      <c r="O2057" s="10"/>
      <c r="V2057" s="10"/>
      <c r="W2057" s="6"/>
    </row>
    <row r="2058" spans="1:23" x14ac:dyDescent="0.2">
      <c r="A2058" s="27"/>
      <c r="B2058" s="25"/>
      <c r="D2058" s="11"/>
      <c r="E2058" s="10"/>
      <c r="O2058" s="10"/>
      <c r="V2058" s="10"/>
      <c r="W2058" s="6"/>
    </row>
    <row r="2059" spans="1:23" x14ac:dyDescent="0.2">
      <c r="A2059" s="27"/>
      <c r="B2059" s="25"/>
      <c r="D2059" s="11"/>
      <c r="E2059" s="10"/>
      <c r="O2059" s="10"/>
      <c r="V2059" s="10"/>
      <c r="W2059" s="6"/>
    </row>
    <row r="2060" spans="1:23" x14ac:dyDescent="0.2">
      <c r="A2060" s="27"/>
      <c r="B2060" s="25"/>
      <c r="D2060" s="11"/>
      <c r="E2060" s="10"/>
      <c r="O2060" s="10"/>
      <c r="V2060" s="10"/>
      <c r="W2060" s="6"/>
    </row>
    <row r="2061" spans="1:23" x14ac:dyDescent="0.2">
      <c r="A2061" s="27"/>
      <c r="B2061" s="25"/>
      <c r="D2061" s="11"/>
      <c r="E2061" s="10"/>
      <c r="O2061" s="10"/>
      <c r="V2061" s="10"/>
      <c r="W2061" s="6"/>
    </row>
    <row r="2062" spans="1:23" x14ac:dyDescent="0.2">
      <c r="A2062" s="27"/>
      <c r="B2062" s="25"/>
      <c r="D2062" s="11"/>
      <c r="E2062" s="10"/>
      <c r="O2062" s="10"/>
      <c r="V2062" s="10"/>
      <c r="W2062" s="6"/>
    </row>
    <row r="2063" spans="1:23" x14ac:dyDescent="0.2">
      <c r="A2063" s="27"/>
      <c r="B2063" s="25"/>
      <c r="D2063" s="11"/>
      <c r="E2063" s="10"/>
      <c r="O2063" s="10"/>
      <c r="V2063" s="10"/>
      <c r="W2063" s="6"/>
    </row>
    <row r="2064" spans="1:23" x14ac:dyDescent="0.2">
      <c r="A2064" s="27"/>
      <c r="B2064" s="25"/>
      <c r="D2064" s="11"/>
      <c r="E2064" s="10"/>
      <c r="O2064" s="10"/>
      <c r="V2064" s="10"/>
      <c r="W2064" s="6"/>
    </row>
    <row r="2065" spans="1:23" x14ac:dyDescent="0.2">
      <c r="A2065" s="27"/>
      <c r="B2065" s="25"/>
      <c r="D2065" s="11"/>
      <c r="E2065" s="10"/>
      <c r="O2065" s="10"/>
      <c r="V2065" s="10"/>
      <c r="W2065" s="6"/>
    </row>
    <row r="2066" spans="1:23" x14ac:dyDescent="0.2">
      <c r="A2066" s="27"/>
      <c r="B2066" s="25"/>
      <c r="D2066" s="11"/>
      <c r="E2066" s="10"/>
      <c r="O2066" s="10"/>
      <c r="V2066" s="10"/>
      <c r="W2066" s="6"/>
    </row>
    <row r="2067" spans="1:23" x14ac:dyDescent="0.2">
      <c r="A2067" s="27"/>
      <c r="B2067" s="25"/>
      <c r="D2067" s="11"/>
      <c r="E2067" s="10"/>
      <c r="O2067" s="10"/>
      <c r="V2067" s="10"/>
      <c r="W2067" s="6"/>
    </row>
    <row r="2068" spans="1:23" x14ac:dyDescent="0.2">
      <c r="A2068" s="27"/>
      <c r="B2068" s="25"/>
      <c r="D2068" s="11"/>
      <c r="E2068" s="10"/>
      <c r="O2068" s="10"/>
      <c r="V2068" s="10"/>
      <c r="W2068" s="6"/>
    </row>
    <row r="2069" spans="1:23" x14ac:dyDescent="0.2">
      <c r="A2069" s="27"/>
      <c r="B2069" s="25"/>
      <c r="D2069" s="11"/>
      <c r="E2069" s="10"/>
      <c r="O2069" s="10"/>
      <c r="V2069" s="10"/>
      <c r="W2069" s="6"/>
    </row>
    <row r="2070" spans="1:23" x14ac:dyDescent="0.2">
      <c r="A2070" s="27"/>
      <c r="B2070" s="25"/>
      <c r="D2070" s="11"/>
      <c r="E2070" s="10"/>
      <c r="O2070" s="10"/>
      <c r="V2070" s="10"/>
      <c r="W2070" s="6"/>
    </row>
    <row r="2071" spans="1:23" x14ac:dyDescent="0.2">
      <c r="A2071" s="27"/>
      <c r="B2071" s="1"/>
      <c r="D2071" s="11"/>
      <c r="E2071" s="10"/>
      <c r="O2071" s="10"/>
      <c r="V2071" s="10"/>
      <c r="W2071" s="6"/>
    </row>
    <row r="2072" spans="1:23" x14ac:dyDescent="0.2">
      <c r="A2072" s="27"/>
      <c r="B2072" s="25"/>
      <c r="D2072" s="11"/>
      <c r="E2072" s="10"/>
      <c r="O2072" s="10"/>
      <c r="V2072" s="10"/>
      <c r="W2072" s="6"/>
    </row>
    <row r="2073" spans="1:23" x14ac:dyDescent="0.2">
      <c r="A2073" s="27"/>
      <c r="B2073" s="25"/>
      <c r="D2073" s="11"/>
      <c r="E2073" s="10"/>
      <c r="O2073" s="10"/>
      <c r="V2073" s="10"/>
      <c r="W2073" s="6"/>
    </row>
    <row r="2074" spans="1:23" x14ac:dyDescent="0.2">
      <c r="A2074" s="27"/>
      <c r="B2074" s="25"/>
      <c r="D2074" s="11"/>
      <c r="E2074" s="10"/>
      <c r="O2074" s="10"/>
      <c r="V2074" s="10"/>
      <c r="W2074" s="6"/>
    </row>
    <row r="2075" spans="1:23" x14ac:dyDescent="0.2">
      <c r="A2075" s="27"/>
      <c r="B2075" s="25"/>
      <c r="D2075" s="11"/>
      <c r="E2075" s="10"/>
      <c r="O2075" s="10"/>
      <c r="V2075" s="10"/>
      <c r="W2075" s="6"/>
    </row>
    <row r="2076" spans="1:23" x14ac:dyDescent="0.2">
      <c r="A2076" s="27"/>
      <c r="B2076" s="25"/>
      <c r="D2076" s="11"/>
      <c r="E2076" s="10"/>
      <c r="O2076" s="10"/>
      <c r="V2076" s="10"/>
      <c r="W2076" s="6"/>
    </row>
    <row r="2077" spans="1:23" x14ac:dyDescent="0.2">
      <c r="A2077" s="27"/>
      <c r="B2077" s="25"/>
      <c r="D2077" s="11"/>
      <c r="E2077" s="10"/>
      <c r="O2077" s="10"/>
      <c r="V2077" s="10"/>
      <c r="W2077" s="6"/>
    </row>
    <row r="2078" spans="1:23" x14ac:dyDescent="0.2">
      <c r="A2078" s="27"/>
      <c r="B2078" s="25"/>
      <c r="D2078" s="11"/>
      <c r="E2078" s="10"/>
      <c r="O2078" s="10"/>
      <c r="V2078" s="10"/>
      <c r="W2078" s="6"/>
    </row>
    <row r="2079" spans="1:23" x14ac:dyDescent="0.2">
      <c r="A2079" s="27"/>
      <c r="B2079" s="25"/>
      <c r="D2079" s="11"/>
      <c r="E2079" s="10"/>
      <c r="O2079" s="10"/>
      <c r="V2079" s="10"/>
      <c r="W2079" s="6"/>
    </row>
    <row r="2080" spans="1:23" x14ac:dyDescent="0.2">
      <c r="A2080" s="27"/>
      <c r="B2080" s="25"/>
      <c r="D2080" s="11"/>
      <c r="E2080" s="10"/>
      <c r="O2080" s="10"/>
      <c r="V2080" s="10"/>
      <c r="W2080" s="6"/>
    </row>
    <row r="2081" spans="1:23" x14ac:dyDescent="0.2">
      <c r="A2081" s="27"/>
      <c r="B2081" s="25"/>
      <c r="D2081" s="11"/>
      <c r="E2081" s="10"/>
      <c r="O2081" s="10"/>
      <c r="V2081" s="10"/>
      <c r="W2081" s="6"/>
    </row>
    <row r="2082" spans="1:23" x14ac:dyDescent="0.2">
      <c r="A2082" s="27"/>
      <c r="B2082" s="1"/>
      <c r="D2082" s="11"/>
      <c r="E2082" s="10"/>
      <c r="O2082" s="10"/>
      <c r="V2082" s="10"/>
      <c r="W2082" s="6"/>
    </row>
    <row r="2083" spans="1:23" x14ac:dyDescent="0.2">
      <c r="A2083" s="27"/>
      <c r="B2083" s="1"/>
      <c r="D2083" s="11"/>
      <c r="E2083" s="10"/>
      <c r="O2083" s="10"/>
      <c r="V2083" s="10"/>
      <c r="W2083" s="6"/>
    </row>
    <row r="2084" spans="1:23" x14ac:dyDescent="0.2">
      <c r="A2084" s="27"/>
      <c r="B2084" s="25"/>
      <c r="D2084" s="11"/>
      <c r="E2084" s="10"/>
      <c r="O2084" s="10"/>
      <c r="V2084" s="10"/>
      <c r="W2084" s="6"/>
    </row>
    <row r="2085" spans="1:23" x14ac:dyDescent="0.2">
      <c r="A2085" s="27"/>
      <c r="B2085" s="25"/>
      <c r="D2085" s="11"/>
      <c r="E2085" s="10"/>
      <c r="O2085" s="10"/>
      <c r="V2085" s="10"/>
      <c r="W2085" s="6"/>
    </row>
    <row r="2086" spans="1:23" x14ac:dyDescent="0.2">
      <c r="A2086" s="27"/>
      <c r="B2086" s="25"/>
      <c r="D2086" s="11"/>
      <c r="E2086" s="10"/>
      <c r="O2086" s="10"/>
      <c r="V2086" s="10"/>
      <c r="W2086" s="6"/>
    </row>
    <row r="2087" spans="1:23" x14ac:dyDescent="0.2">
      <c r="A2087" s="27"/>
      <c r="B2087" s="25"/>
      <c r="D2087" s="11"/>
      <c r="E2087" s="10"/>
      <c r="O2087" s="10"/>
      <c r="V2087" s="10"/>
      <c r="W2087" s="6"/>
    </row>
    <row r="2088" spans="1:23" x14ac:dyDescent="0.2">
      <c r="A2088" s="27"/>
      <c r="B2088" s="25"/>
      <c r="D2088" s="11"/>
      <c r="E2088" s="10"/>
      <c r="O2088" s="10"/>
      <c r="V2088" s="10"/>
      <c r="W2088" s="6"/>
    </row>
    <row r="2089" spans="1:23" x14ac:dyDescent="0.2">
      <c r="A2089" s="27"/>
      <c r="B2089" s="25"/>
      <c r="D2089" s="11"/>
      <c r="E2089" s="10"/>
      <c r="O2089" s="10"/>
      <c r="V2089" s="10"/>
      <c r="W2089" s="6"/>
    </row>
    <row r="2090" spans="1:23" x14ac:dyDescent="0.2">
      <c r="A2090" s="27"/>
      <c r="B2090" s="25"/>
      <c r="D2090" s="11"/>
      <c r="E2090" s="10"/>
      <c r="O2090" s="10"/>
      <c r="V2090" s="10"/>
      <c r="W2090" s="6"/>
    </row>
    <row r="2091" spans="1:23" x14ac:dyDescent="0.2">
      <c r="A2091" s="27"/>
      <c r="B2091" s="1"/>
      <c r="D2091" s="11"/>
      <c r="E2091" s="10"/>
      <c r="O2091" s="10"/>
      <c r="V2091" s="10"/>
      <c r="W2091" s="6"/>
    </row>
    <row r="2092" spans="1:23" x14ac:dyDescent="0.2">
      <c r="A2092" s="27"/>
      <c r="B2092" s="25"/>
      <c r="D2092" s="11"/>
      <c r="E2092" s="10"/>
      <c r="O2092" s="10"/>
      <c r="V2092" s="10"/>
      <c r="W2092" s="6"/>
    </row>
    <row r="2093" spans="1:23" x14ac:dyDescent="0.2">
      <c r="A2093" s="27"/>
      <c r="B2093" s="25"/>
      <c r="D2093" s="11"/>
      <c r="E2093" s="10"/>
      <c r="O2093" s="10"/>
      <c r="V2093" s="10"/>
      <c r="W2093" s="6"/>
    </row>
    <row r="2094" spans="1:23" x14ac:dyDescent="0.2">
      <c r="A2094" s="27"/>
      <c r="B2094" s="25"/>
      <c r="D2094" s="11"/>
      <c r="E2094" s="10"/>
      <c r="O2094" s="10"/>
      <c r="V2094" s="10"/>
      <c r="W2094" s="6"/>
    </row>
    <row r="2095" spans="1:23" x14ac:dyDescent="0.2">
      <c r="A2095" s="27"/>
      <c r="B2095" s="25"/>
      <c r="D2095" s="11"/>
      <c r="E2095" s="10"/>
      <c r="O2095" s="10"/>
      <c r="V2095" s="10"/>
      <c r="W2095" s="6"/>
    </row>
    <row r="2096" spans="1:23" x14ac:dyDescent="0.2">
      <c r="A2096" s="27"/>
      <c r="B2096" s="25"/>
      <c r="D2096" s="11"/>
      <c r="E2096" s="10"/>
      <c r="O2096" s="10"/>
      <c r="V2096" s="10"/>
      <c r="W2096" s="6"/>
    </row>
    <row r="2097" spans="1:23" x14ac:dyDescent="0.2">
      <c r="A2097" s="27"/>
      <c r="B2097" s="25"/>
      <c r="D2097" s="11"/>
      <c r="E2097" s="10"/>
      <c r="O2097" s="10"/>
      <c r="V2097" s="10"/>
      <c r="W2097" s="6"/>
    </row>
    <row r="2098" spans="1:23" x14ac:dyDescent="0.2">
      <c r="A2098" s="27"/>
      <c r="B2098" s="1"/>
      <c r="D2098" s="11"/>
      <c r="E2098" s="10"/>
      <c r="O2098" s="10"/>
      <c r="V2098" s="10"/>
      <c r="W2098" s="6"/>
    </row>
    <row r="2099" spans="1:23" x14ac:dyDescent="0.2">
      <c r="A2099" s="27"/>
      <c r="B2099" s="25"/>
      <c r="D2099" s="11"/>
      <c r="E2099" s="10"/>
      <c r="O2099" s="10"/>
      <c r="V2099" s="10"/>
      <c r="W2099" s="6"/>
    </row>
    <row r="2100" spans="1:23" x14ac:dyDescent="0.2">
      <c r="A2100" s="27"/>
      <c r="B2100" s="25"/>
      <c r="D2100" s="11"/>
      <c r="E2100" s="10"/>
      <c r="O2100" s="10"/>
      <c r="V2100" s="10"/>
      <c r="W2100" s="6"/>
    </row>
    <row r="2101" spans="1:23" x14ac:dyDescent="0.2">
      <c r="A2101" s="27"/>
      <c r="B2101" s="25"/>
      <c r="D2101" s="11"/>
      <c r="E2101" s="10"/>
      <c r="O2101" s="10"/>
      <c r="V2101" s="10"/>
      <c r="W2101" s="6"/>
    </row>
    <row r="2102" spans="1:23" x14ac:dyDescent="0.2">
      <c r="A2102" s="27"/>
      <c r="B2102" s="25"/>
      <c r="D2102" s="11"/>
      <c r="E2102" s="10"/>
      <c r="O2102" s="10"/>
      <c r="V2102" s="10"/>
      <c r="W2102" s="6"/>
    </row>
    <row r="2103" spans="1:23" x14ac:dyDescent="0.2">
      <c r="A2103" s="27"/>
      <c r="B2103" s="25"/>
      <c r="D2103" s="11"/>
      <c r="E2103" s="10"/>
      <c r="O2103" s="10"/>
      <c r="V2103" s="10"/>
      <c r="W2103" s="6"/>
    </row>
    <row r="2104" spans="1:23" x14ac:dyDescent="0.2">
      <c r="A2104" s="27"/>
      <c r="B2104" s="25"/>
      <c r="D2104" s="11"/>
      <c r="E2104" s="10"/>
      <c r="O2104" s="10"/>
      <c r="V2104" s="10"/>
      <c r="W2104" s="6"/>
    </row>
    <row r="2105" spans="1:23" x14ac:dyDescent="0.2">
      <c r="A2105" s="27"/>
      <c r="B2105" s="25"/>
      <c r="D2105" s="11"/>
      <c r="E2105" s="10"/>
      <c r="O2105" s="10"/>
      <c r="V2105" s="10"/>
      <c r="W2105" s="6"/>
    </row>
    <row r="2106" spans="1:23" x14ac:dyDescent="0.2">
      <c r="A2106" s="27"/>
      <c r="B2106" s="25"/>
      <c r="D2106" s="11"/>
      <c r="E2106" s="10"/>
      <c r="O2106" s="10"/>
      <c r="V2106" s="10"/>
      <c r="W2106" s="6"/>
    </row>
    <row r="2107" spans="1:23" x14ac:dyDescent="0.2">
      <c r="A2107" s="27"/>
      <c r="B2107" s="25"/>
      <c r="D2107" s="11"/>
      <c r="E2107" s="10"/>
      <c r="O2107" s="10"/>
      <c r="V2107" s="10"/>
      <c r="W2107" s="6"/>
    </row>
    <row r="2108" spans="1:23" x14ac:dyDescent="0.2">
      <c r="A2108" s="27"/>
      <c r="B2108" s="25"/>
      <c r="D2108" s="11"/>
      <c r="E2108" s="10"/>
      <c r="O2108" s="10"/>
      <c r="V2108" s="10"/>
      <c r="W2108" s="6"/>
    </row>
    <row r="2109" spans="1:23" x14ac:dyDescent="0.2">
      <c r="A2109" s="27"/>
      <c r="B2109" s="25"/>
      <c r="D2109" s="11"/>
      <c r="E2109" s="10"/>
      <c r="O2109" s="10"/>
      <c r="V2109" s="10"/>
      <c r="W2109" s="6"/>
    </row>
    <row r="2110" spans="1:23" x14ac:dyDescent="0.2">
      <c r="A2110" s="27"/>
      <c r="B2110" s="25"/>
      <c r="D2110" s="11"/>
      <c r="E2110" s="10"/>
      <c r="O2110" s="10"/>
      <c r="V2110" s="10"/>
      <c r="W2110" s="6"/>
    </row>
    <row r="2111" spans="1:23" x14ac:dyDescent="0.2">
      <c r="A2111" s="27"/>
      <c r="B2111" s="1"/>
      <c r="D2111" s="11"/>
      <c r="E2111" s="10"/>
      <c r="O2111" s="10"/>
      <c r="V2111" s="10"/>
      <c r="W2111" s="6"/>
    </row>
    <row r="2112" spans="1:23" x14ac:dyDescent="0.2">
      <c r="A2112" s="27"/>
      <c r="B2112" s="25"/>
      <c r="D2112" s="11"/>
      <c r="E2112" s="10"/>
      <c r="O2112" s="10"/>
      <c r="V2112" s="10"/>
      <c r="W2112" s="6"/>
    </row>
    <row r="2113" spans="1:23" x14ac:dyDescent="0.2">
      <c r="A2113" s="27"/>
      <c r="B2113" s="25"/>
      <c r="D2113" s="11"/>
      <c r="E2113" s="10"/>
      <c r="O2113" s="10"/>
      <c r="V2113" s="10"/>
      <c r="W2113" s="6"/>
    </row>
    <row r="2114" spans="1:23" x14ac:dyDescent="0.2">
      <c r="A2114" s="27"/>
      <c r="B2114" s="1"/>
      <c r="D2114" s="11"/>
      <c r="E2114" s="10"/>
      <c r="O2114" s="10"/>
      <c r="V2114" s="10"/>
      <c r="W2114" s="6"/>
    </row>
    <row r="2115" spans="1:23" x14ac:dyDescent="0.2">
      <c r="A2115" s="27"/>
      <c r="B2115" s="25"/>
      <c r="D2115" s="11"/>
      <c r="E2115" s="10"/>
      <c r="O2115" s="10"/>
      <c r="V2115" s="10"/>
      <c r="W2115" s="6"/>
    </row>
    <row r="2116" spans="1:23" x14ac:dyDescent="0.2">
      <c r="A2116" s="27"/>
      <c r="B2116" s="25"/>
      <c r="D2116" s="11"/>
      <c r="E2116" s="10"/>
      <c r="O2116" s="10"/>
      <c r="V2116" s="10"/>
      <c r="W2116" s="6"/>
    </row>
    <row r="2117" spans="1:23" x14ac:dyDescent="0.2">
      <c r="A2117" s="27"/>
      <c r="B2117" s="25"/>
      <c r="D2117" s="11"/>
      <c r="E2117" s="10"/>
      <c r="O2117" s="10"/>
      <c r="V2117" s="10"/>
      <c r="W2117" s="6"/>
    </row>
    <row r="2118" spans="1:23" x14ac:dyDescent="0.2">
      <c r="A2118" s="27"/>
      <c r="B2118" s="25"/>
      <c r="D2118" s="11"/>
      <c r="E2118" s="10"/>
      <c r="O2118" s="10"/>
      <c r="V2118" s="10"/>
      <c r="W2118" s="6"/>
    </row>
    <row r="2119" spans="1:23" x14ac:dyDescent="0.2">
      <c r="A2119" s="27"/>
      <c r="B2119" s="25"/>
      <c r="D2119" s="11"/>
      <c r="E2119" s="10"/>
      <c r="O2119" s="10"/>
      <c r="V2119" s="10"/>
      <c r="W2119" s="6"/>
    </row>
    <row r="2120" spans="1:23" x14ac:dyDescent="0.2">
      <c r="A2120" s="27"/>
      <c r="B2120" s="25"/>
      <c r="D2120" s="11"/>
      <c r="E2120" s="10"/>
      <c r="O2120" s="10"/>
      <c r="V2120" s="10"/>
      <c r="W2120" s="6"/>
    </row>
    <row r="2121" spans="1:23" x14ac:dyDescent="0.2">
      <c r="A2121" s="27"/>
      <c r="B2121" s="25"/>
      <c r="D2121" s="11"/>
      <c r="E2121" s="10"/>
      <c r="O2121" s="10"/>
      <c r="V2121" s="10"/>
      <c r="W2121" s="6"/>
    </row>
    <row r="2122" spans="1:23" x14ac:dyDescent="0.2">
      <c r="A2122" s="27"/>
      <c r="B2122" s="25"/>
      <c r="D2122" s="11"/>
      <c r="E2122" s="10"/>
      <c r="O2122" s="10"/>
      <c r="V2122" s="10"/>
      <c r="W2122" s="6"/>
    </row>
    <row r="2123" spans="1:23" x14ac:dyDescent="0.2">
      <c r="A2123" s="27"/>
      <c r="B2123" s="25"/>
      <c r="D2123" s="11"/>
      <c r="E2123" s="10"/>
      <c r="O2123" s="10"/>
      <c r="V2123" s="10"/>
      <c r="W2123" s="6"/>
    </row>
    <row r="2124" spans="1:23" x14ac:dyDescent="0.2">
      <c r="A2124" s="27"/>
      <c r="B2124" s="25"/>
      <c r="D2124" s="11"/>
      <c r="E2124" s="10"/>
      <c r="O2124" s="10"/>
      <c r="V2124" s="10"/>
      <c r="W2124" s="6"/>
    </row>
    <row r="2125" spans="1:23" x14ac:dyDescent="0.2">
      <c r="A2125" s="27"/>
      <c r="B2125" s="25"/>
      <c r="D2125" s="11"/>
      <c r="E2125" s="10"/>
      <c r="O2125" s="10"/>
      <c r="V2125" s="10"/>
      <c r="W2125" s="6"/>
    </row>
    <row r="2126" spans="1:23" x14ac:dyDescent="0.2">
      <c r="A2126" s="27"/>
      <c r="B2126" s="25"/>
      <c r="D2126" s="11"/>
      <c r="E2126" s="10"/>
      <c r="O2126" s="10"/>
      <c r="V2126" s="10"/>
      <c r="W2126" s="6"/>
    </row>
    <row r="2127" spans="1:23" x14ac:dyDescent="0.2">
      <c r="A2127" s="27"/>
      <c r="B2127" s="25"/>
      <c r="D2127" s="11"/>
      <c r="E2127" s="10"/>
      <c r="O2127" s="10"/>
      <c r="V2127" s="10"/>
      <c r="W2127" s="6"/>
    </row>
    <row r="2128" spans="1:23" x14ac:dyDescent="0.2">
      <c r="A2128" s="27"/>
      <c r="B2128" s="25"/>
      <c r="D2128" s="11"/>
      <c r="E2128" s="10"/>
      <c r="O2128" s="10"/>
      <c r="V2128" s="10"/>
      <c r="W2128" s="6"/>
    </row>
    <row r="2129" spans="1:23" x14ac:dyDescent="0.2">
      <c r="A2129" s="27"/>
      <c r="B2129" s="25"/>
      <c r="D2129" s="11"/>
      <c r="E2129" s="10"/>
      <c r="O2129" s="10"/>
      <c r="V2129" s="10"/>
      <c r="W2129" s="6"/>
    </row>
    <row r="2130" spans="1:23" x14ac:dyDescent="0.2">
      <c r="A2130" s="27"/>
      <c r="B2130" s="1"/>
      <c r="D2130" s="11"/>
      <c r="E2130" s="10"/>
      <c r="O2130" s="10"/>
      <c r="V2130" s="10"/>
      <c r="W2130" s="6"/>
    </row>
    <row r="2131" spans="1:23" x14ac:dyDescent="0.2">
      <c r="A2131" s="27"/>
      <c r="B2131" s="25"/>
      <c r="D2131" s="11"/>
      <c r="E2131" s="10"/>
      <c r="O2131" s="10"/>
      <c r="V2131" s="10"/>
      <c r="W2131" s="6"/>
    </row>
    <row r="2132" spans="1:23" x14ac:dyDescent="0.2">
      <c r="A2132" s="27"/>
      <c r="B2132" s="25"/>
      <c r="D2132" s="11"/>
      <c r="E2132" s="10"/>
      <c r="O2132" s="10"/>
      <c r="V2132" s="10"/>
      <c r="W2132" s="6"/>
    </row>
    <row r="2133" spans="1:23" x14ac:dyDescent="0.2">
      <c r="A2133" s="27"/>
      <c r="B2133" s="1"/>
      <c r="D2133" s="11"/>
      <c r="E2133" s="10"/>
      <c r="O2133" s="10"/>
      <c r="V2133" s="10"/>
      <c r="W2133" s="6"/>
    </row>
    <row r="2134" spans="1:23" x14ac:dyDescent="0.2">
      <c r="A2134" s="27"/>
      <c r="B2134" s="1"/>
      <c r="D2134" s="11"/>
      <c r="E2134" s="10"/>
      <c r="O2134" s="10"/>
      <c r="V2134" s="10"/>
      <c r="W2134" s="6"/>
    </row>
    <row r="2135" spans="1:23" x14ac:dyDescent="0.2">
      <c r="A2135" s="27"/>
      <c r="B2135" s="25"/>
      <c r="D2135" s="11"/>
      <c r="E2135" s="10"/>
      <c r="O2135" s="10"/>
      <c r="V2135" s="10"/>
      <c r="W2135" s="6"/>
    </row>
    <row r="2136" spans="1:23" x14ac:dyDescent="0.2">
      <c r="A2136" s="27"/>
      <c r="B2136" s="25"/>
      <c r="D2136" s="11"/>
      <c r="E2136" s="10"/>
      <c r="O2136" s="10"/>
      <c r="V2136" s="10"/>
      <c r="W2136" s="6"/>
    </row>
    <row r="2137" spans="1:23" x14ac:dyDescent="0.2">
      <c r="A2137" s="27"/>
      <c r="B2137" s="25"/>
      <c r="D2137" s="11"/>
      <c r="E2137" s="10"/>
      <c r="O2137" s="10"/>
      <c r="V2137" s="10"/>
      <c r="W2137" s="6"/>
    </row>
    <row r="2138" spans="1:23" x14ac:dyDescent="0.2">
      <c r="A2138" s="27"/>
      <c r="B2138" s="25"/>
      <c r="D2138" s="11"/>
      <c r="E2138" s="10"/>
      <c r="O2138" s="10"/>
      <c r="V2138" s="10"/>
      <c r="W2138" s="6"/>
    </row>
    <row r="2139" spans="1:23" x14ac:dyDescent="0.2">
      <c r="A2139" s="27"/>
      <c r="B2139" s="25"/>
      <c r="D2139" s="11"/>
      <c r="E2139" s="10"/>
      <c r="O2139" s="10"/>
      <c r="V2139" s="10"/>
      <c r="W2139" s="6"/>
    </row>
    <row r="2140" spans="1:23" x14ac:dyDescent="0.2">
      <c r="A2140" s="27"/>
      <c r="B2140" s="25"/>
      <c r="D2140" s="11"/>
      <c r="E2140" s="10"/>
      <c r="O2140" s="10"/>
      <c r="V2140" s="10"/>
      <c r="W2140" s="6"/>
    </row>
    <row r="2141" spans="1:23" x14ac:dyDescent="0.2">
      <c r="A2141" s="27"/>
      <c r="B2141" s="25"/>
      <c r="D2141" s="11"/>
      <c r="E2141" s="10"/>
      <c r="O2141" s="10"/>
      <c r="V2141" s="10"/>
      <c r="W2141" s="6"/>
    </row>
    <row r="2142" spans="1:23" x14ac:dyDescent="0.2">
      <c r="A2142" s="27"/>
      <c r="B2142" s="25"/>
      <c r="D2142" s="11"/>
      <c r="E2142" s="10"/>
      <c r="O2142" s="10"/>
      <c r="V2142" s="10"/>
      <c r="W2142" s="6"/>
    </row>
    <row r="2143" spans="1:23" x14ac:dyDescent="0.2">
      <c r="A2143" s="27"/>
      <c r="B2143" s="25"/>
      <c r="D2143" s="11"/>
      <c r="E2143" s="10"/>
      <c r="O2143" s="10"/>
      <c r="V2143" s="10"/>
    </row>
    <row r="2144" spans="1:23" x14ac:dyDescent="0.2">
      <c r="A2144" s="27"/>
      <c r="B2144" s="25"/>
      <c r="D2144" s="11"/>
      <c r="E2144" s="10"/>
      <c r="O2144" s="10"/>
      <c r="V2144" s="10"/>
      <c r="W2144" s="6"/>
    </row>
    <row r="2145" spans="1:23" x14ac:dyDescent="0.2">
      <c r="A2145" s="27"/>
      <c r="B2145" s="25"/>
      <c r="D2145" s="11"/>
      <c r="E2145" s="10"/>
      <c r="O2145" s="10"/>
      <c r="V2145" s="10"/>
      <c r="W2145" s="6"/>
    </row>
    <row r="2146" spans="1:23" x14ac:dyDescent="0.2">
      <c r="A2146" s="27"/>
      <c r="B2146" s="1"/>
      <c r="D2146" s="11"/>
      <c r="E2146" s="10"/>
      <c r="O2146" s="10"/>
      <c r="V2146" s="10"/>
      <c r="W2146" s="6"/>
    </row>
    <row r="2147" spans="1:23" x14ac:dyDescent="0.2">
      <c r="A2147" s="27"/>
      <c r="B2147" s="1"/>
      <c r="D2147" s="11"/>
      <c r="E2147" s="10"/>
      <c r="O2147" s="10"/>
      <c r="V2147" s="10"/>
      <c r="W2147" s="6"/>
    </row>
    <row r="2148" spans="1:23" x14ac:dyDescent="0.2">
      <c r="A2148" s="27"/>
      <c r="B2148" s="1"/>
      <c r="D2148" s="11"/>
      <c r="E2148" s="10"/>
      <c r="O2148" s="10"/>
      <c r="V2148" s="10"/>
      <c r="W2148" s="6"/>
    </row>
    <row r="2149" spans="1:23" x14ac:dyDescent="0.2">
      <c r="A2149" s="27"/>
      <c r="B2149" s="25"/>
      <c r="D2149" s="11"/>
      <c r="E2149" s="10"/>
      <c r="O2149" s="10"/>
      <c r="V2149" s="10"/>
      <c r="W2149" s="6"/>
    </row>
    <row r="2150" spans="1:23" x14ac:dyDescent="0.2">
      <c r="A2150" s="27"/>
      <c r="B2150" s="25"/>
      <c r="D2150" s="11"/>
      <c r="E2150" s="10"/>
      <c r="O2150" s="10"/>
      <c r="V2150" s="10"/>
      <c r="W2150" s="6"/>
    </row>
    <row r="2151" spans="1:23" x14ac:dyDescent="0.2">
      <c r="A2151" s="27"/>
      <c r="B2151" s="1"/>
      <c r="D2151" s="11"/>
      <c r="E2151" s="10"/>
      <c r="O2151" s="10"/>
      <c r="V2151" s="10"/>
      <c r="W2151" s="6"/>
    </row>
    <row r="2152" spans="1:23" x14ac:dyDescent="0.2">
      <c r="A2152" s="27"/>
      <c r="B2152" s="1"/>
      <c r="D2152" s="11"/>
      <c r="E2152" s="10"/>
      <c r="O2152" s="10"/>
      <c r="V2152" s="10"/>
      <c r="W2152" s="6"/>
    </row>
    <row r="2153" spans="1:23" x14ac:dyDescent="0.2">
      <c r="A2153" s="27"/>
      <c r="B2153" s="25"/>
      <c r="D2153" s="11"/>
      <c r="E2153" s="10"/>
      <c r="O2153" s="10"/>
      <c r="V2153" s="10"/>
      <c r="W2153" s="6"/>
    </row>
    <row r="2154" spans="1:23" x14ac:dyDescent="0.2">
      <c r="A2154" s="27"/>
      <c r="B2154" s="25"/>
      <c r="D2154" s="11"/>
      <c r="E2154" s="10"/>
      <c r="O2154" s="10"/>
      <c r="V2154" s="10"/>
      <c r="W2154" s="6"/>
    </row>
    <row r="2155" spans="1:23" x14ac:dyDescent="0.2">
      <c r="A2155" s="27"/>
      <c r="B2155" s="1"/>
      <c r="D2155" s="11"/>
      <c r="E2155" s="10"/>
      <c r="O2155" s="10"/>
      <c r="V2155" s="10"/>
      <c r="W2155" s="6"/>
    </row>
    <row r="2156" spans="1:23" x14ac:dyDescent="0.2">
      <c r="A2156" s="27"/>
      <c r="B2156" s="25"/>
      <c r="D2156" s="11"/>
      <c r="E2156" s="10"/>
      <c r="O2156" s="10"/>
      <c r="V2156" s="10"/>
      <c r="W2156" s="6"/>
    </row>
    <row r="2157" spans="1:23" x14ac:dyDescent="0.2">
      <c r="A2157" s="27"/>
      <c r="B2157" s="25"/>
      <c r="D2157" s="11"/>
      <c r="E2157" s="10"/>
      <c r="O2157" s="10"/>
      <c r="V2157" s="10"/>
      <c r="W2157" s="6"/>
    </row>
    <row r="2158" spans="1:23" x14ac:dyDescent="0.2">
      <c r="A2158" s="27"/>
      <c r="B2158" s="25"/>
      <c r="D2158" s="11"/>
      <c r="E2158" s="10"/>
      <c r="O2158" s="10"/>
      <c r="V2158" s="10"/>
      <c r="W2158" s="6"/>
    </row>
    <row r="2159" spans="1:23" x14ac:dyDescent="0.2">
      <c r="A2159" s="27"/>
      <c r="B2159" s="25"/>
      <c r="D2159" s="11"/>
      <c r="E2159" s="10"/>
      <c r="O2159" s="10"/>
      <c r="V2159" s="10"/>
      <c r="W2159" s="6"/>
    </row>
    <row r="2160" spans="1:23" x14ac:dyDescent="0.2">
      <c r="A2160" s="27"/>
      <c r="B2160" s="25"/>
      <c r="D2160" s="11"/>
      <c r="E2160" s="10"/>
      <c r="O2160" s="10"/>
      <c r="V2160" s="10"/>
      <c r="W2160" s="6"/>
    </row>
    <row r="2161" spans="1:23" x14ac:dyDescent="0.2">
      <c r="A2161" s="27"/>
      <c r="B2161" s="25"/>
      <c r="D2161" s="11"/>
      <c r="E2161" s="10"/>
      <c r="O2161" s="10"/>
      <c r="V2161" s="10"/>
      <c r="W2161" s="6"/>
    </row>
    <row r="2162" spans="1:23" x14ac:dyDescent="0.2">
      <c r="A2162" s="27"/>
      <c r="B2162" s="25"/>
      <c r="D2162" s="11"/>
      <c r="E2162" s="10"/>
      <c r="O2162" s="10"/>
      <c r="V2162" s="10"/>
      <c r="W2162" s="6"/>
    </row>
    <row r="2163" spans="1:23" x14ac:dyDescent="0.2">
      <c r="A2163" s="27"/>
      <c r="B2163" s="25"/>
      <c r="D2163" s="11"/>
      <c r="E2163" s="10"/>
      <c r="O2163" s="10"/>
      <c r="V2163" s="10"/>
      <c r="W2163" s="6"/>
    </row>
    <row r="2164" spans="1:23" x14ac:dyDescent="0.2">
      <c r="A2164" s="27"/>
      <c r="B2164" s="1"/>
      <c r="D2164" s="11"/>
      <c r="E2164" s="10"/>
      <c r="O2164" s="10"/>
      <c r="V2164" s="10"/>
      <c r="W2164" s="6"/>
    </row>
    <row r="2165" spans="1:23" x14ac:dyDescent="0.2">
      <c r="A2165" s="27"/>
      <c r="B2165" s="25"/>
      <c r="D2165" s="11"/>
      <c r="E2165" s="10"/>
      <c r="O2165" s="10"/>
      <c r="V2165" s="10"/>
      <c r="W2165" s="6"/>
    </row>
    <row r="2166" spans="1:23" x14ac:dyDescent="0.2">
      <c r="A2166" s="27"/>
      <c r="B2166" s="25"/>
      <c r="D2166" s="11"/>
      <c r="E2166" s="10"/>
      <c r="O2166" s="10"/>
      <c r="V2166" s="10"/>
      <c r="W2166" s="6"/>
    </row>
    <row r="2167" spans="1:23" x14ac:dyDescent="0.2">
      <c r="A2167" s="27"/>
      <c r="B2167" s="25"/>
      <c r="D2167" s="11"/>
      <c r="E2167" s="10"/>
      <c r="O2167" s="10"/>
      <c r="V2167" s="10"/>
      <c r="W2167" s="6"/>
    </row>
    <row r="2168" spans="1:23" x14ac:dyDescent="0.2">
      <c r="A2168" s="27"/>
      <c r="B2168" s="25"/>
      <c r="D2168" s="11"/>
      <c r="E2168" s="10"/>
      <c r="O2168" s="10"/>
      <c r="V2168" s="10"/>
      <c r="W2168" s="6"/>
    </row>
    <row r="2169" spans="1:23" x14ac:dyDescent="0.2">
      <c r="A2169" s="27"/>
      <c r="B2169" s="25"/>
      <c r="D2169" s="11"/>
      <c r="E2169" s="10"/>
      <c r="O2169" s="10"/>
      <c r="V2169" s="10"/>
      <c r="W2169" s="6"/>
    </row>
    <row r="2170" spans="1:23" x14ac:dyDescent="0.2">
      <c r="A2170" s="27"/>
      <c r="B2170" s="25"/>
      <c r="D2170" s="11"/>
      <c r="E2170" s="10"/>
      <c r="O2170" s="10"/>
      <c r="V2170" s="10"/>
      <c r="W2170" s="6"/>
    </row>
    <row r="2171" spans="1:23" x14ac:dyDescent="0.2">
      <c r="A2171" s="27"/>
      <c r="B2171" s="1"/>
      <c r="D2171" s="11"/>
      <c r="E2171" s="10"/>
      <c r="O2171" s="10"/>
      <c r="V2171" s="10"/>
      <c r="W2171" s="6"/>
    </row>
    <row r="2172" spans="1:23" x14ac:dyDescent="0.2">
      <c r="A2172" s="27"/>
      <c r="B2172" s="25"/>
      <c r="D2172" s="11"/>
      <c r="E2172" s="10"/>
      <c r="O2172" s="10"/>
      <c r="V2172" s="10"/>
      <c r="W2172" s="6"/>
    </row>
    <row r="2173" spans="1:23" x14ac:dyDescent="0.2">
      <c r="A2173" s="27"/>
      <c r="B2173" s="25"/>
      <c r="D2173" s="11"/>
      <c r="E2173" s="10"/>
      <c r="O2173" s="10"/>
      <c r="V2173" s="10"/>
      <c r="W2173" s="6"/>
    </row>
    <row r="2174" spans="1:23" x14ac:dyDescent="0.2">
      <c r="A2174" s="27"/>
      <c r="B2174" s="25"/>
      <c r="D2174" s="11"/>
      <c r="E2174" s="10"/>
      <c r="O2174" s="10"/>
      <c r="V2174" s="10"/>
      <c r="W2174" s="6"/>
    </row>
    <row r="2175" spans="1:23" x14ac:dyDescent="0.2">
      <c r="A2175" s="27"/>
      <c r="B2175" s="25"/>
      <c r="D2175" s="11"/>
      <c r="E2175" s="10"/>
      <c r="O2175" s="10"/>
      <c r="V2175" s="10"/>
      <c r="W2175" s="6"/>
    </row>
    <row r="2176" spans="1:23" x14ac:dyDescent="0.2">
      <c r="A2176" s="27"/>
      <c r="B2176" s="25"/>
      <c r="D2176" s="11"/>
      <c r="E2176" s="10"/>
      <c r="O2176" s="10"/>
      <c r="V2176" s="10"/>
      <c r="W2176" s="6"/>
    </row>
    <row r="2177" spans="1:23" x14ac:dyDescent="0.2">
      <c r="A2177" s="27"/>
      <c r="B2177" s="25"/>
      <c r="D2177" s="11"/>
      <c r="E2177" s="10"/>
      <c r="O2177" s="10"/>
      <c r="V2177" s="10"/>
      <c r="W2177" s="6"/>
    </row>
    <row r="2178" spans="1:23" x14ac:dyDescent="0.2">
      <c r="A2178" s="27"/>
      <c r="B2178" s="25"/>
      <c r="D2178" s="11"/>
      <c r="E2178" s="10"/>
      <c r="O2178" s="10"/>
      <c r="V2178" s="10"/>
      <c r="W2178" s="6"/>
    </row>
    <row r="2179" spans="1:23" x14ac:dyDescent="0.2">
      <c r="A2179" s="27"/>
      <c r="B2179" s="25"/>
      <c r="D2179" s="11"/>
      <c r="E2179" s="10"/>
      <c r="O2179" s="10"/>
      <c r="V2179" s="10"/>
      <c r="W2179" s="6"/>
    </row>
    <row r="2180" spans="1:23" x14ac:dyDescent="0.2">
      <c r="A2180" s="27"/>
      <c r="B2180" s="25"/>
      <c r="D2180" s="11"/>
      <c r="E2180" s="10"/>
      <c r="O2180" s="10"/>
      <c r="V2180" s="10"/>
      <c r="W2180" s="6"/>
    </row>
    <row r="2181" spans="1:23" x14ac:dyDescent="0.2">
      <c r="A2181" s="27"/>
      <c r="B2181" s="25"/>
      <c r="D2181" s="11"/>
      <c r="E2181" s="10"/>
      <c r="O2181" s="10"/>
      <c r="V2181" s="10"/>
      <c r="W2181" s="6"/>
    </row>
    <row r="2182" spans="1:23" x14ac:dyDescent="0.2">
      <c r="A2182" s="27"/>
      <c r="B2182" s="25"/>
      <c r="D2182" s="11"/>
      <c r="E2182" s="10"/>
      <c r="O2182" s="10"/>
      <c r="V2182" s="10"/>
      <c r="W2182" s="6"/>
    </row>
    <row r="2183" spans="1:23" x14ac:dyDescent="0.2">
      <c r="A2183" s="27"/>
      <c r="B2183" s="25"/>
      <c r="D2183" s="11"/>
      <c r="E2183" s="10"/>
      <c r="O2183" s="10"/>
      <c r="V2183" s="10"/>
      <c r="W2183" s="6"/>
    </row>
    <row r="2184" spans="1:23" x14ac:dyDescent="0.2">
      <c r="A2184" s="27"/>
      <c r="B2184" s="25"/>
      <c r="D2184" s="11"/>
      <c r="E2184" s="10"/>
      <c r="O2184" s="10"/>
      <c r="V2184" s="10"/>
      <c r="W2184" s="6"/>
    </row>
    <row r="2185" spans="1:23" x14ac:dyDescent="0.2">
      <c r="A2185" s="27"/>
      <c r="B2185" s="25"/>
      <c r="D2185" s="11"/>
      <c r="E2185" s="10"/>
      <c r="O2185" s="10"/>
      <c r="V2185" s="10"/>
      <c r="W2185" s="6"/>
    </row>
    <row r="2186" spans="1:23" x14ac:dyDescent="0.2">
      <c r="A2186" s="27"/>
      <c r="B2186" s="25"/>
      <c r="D2186" s="11"/>
      <c r="E2186" s="10"/>
      <c r="O2186" s="10"/>
      <c r="V2186" s="10"/>
      <c r="W2186" s="6"/>
    </row>
    <row r="2187" spans="1:23" x14ac:dyDescent="0.2">
      <c r="A2187" s="27"/>
      <c r="B2187" s="25"/>
      <c r="D2187" s="11"/>
      <c r="E2187" s="10"/>
      <c r="O2187" s="10"/>
      <c r="V2187" s="10"/>
      <c r="W2187" s="6"/>
    </row>
    <row r="2188" spans="1:23" x14ac:dyDescent="0.2">
      <c r="A2188" s="27"/>
      <c r="B2188" s="25"/>
      <c r="D2188" s="11"/>
      <c r="E2188" s="10"/>
      <c r="O2188" s="10"/>
      <c r="V2188" s="10"/>
      <c r="W2188" s="6"/>
    </row>
    <row r="2189" spans="1:23" x14ac:dyDescent="0.2">
      <c r="A2189" s="27"/>
      <c r="B2189" s="25"/>
      <c r="D2189" s="11"/>
      <c r="E2189" s="10"/>
      <c r="O2189" s="10"/>
      <c r="V2189" s="10"/>
      <c r="W2189" s="6"/>
    </row>
    <row r="2190" spans="1:23" x14ac:dyDescent="0.2">
      <c r="A2190" s="27"/>
      <c r="B2190" s="25"/>
      <c r="D2190" s="11"/>
      <c r="E2190" s="10"/>
      <c r="O2190" s="10"/>
      <c r="V2190" s="10"/>
      <c r="W2190" s="6"/>
    </row>
    <row r="2191" spans="1:23" x14ac:dyDescent="0.2">
      <c r="A2191" s="27"/>
      <c r="B2191" s="25"/>
      <c r="D2191" s="11"/>
      <c r="E2191" s="10"/>
      <c r="O2191" s="10"/>
      <c r="V2191" s="10"/>
      <c r="W2191" s="6"/>
    </row>
    <row r="2192" spans="1:23" x14ac:dyDescent="0.2">
      <c r="A2192" s="27"/>
      <c r="B2192" s="25"/>
      <c r="D2192" s="11"/>
      <c r="E2192" s="10"/>
      <c r="O2192" s="10"/>
      <c r="V2192" s="10"/>
      <c r="W2192" s="6"/>
    </row>
    <row r="2193" spans="1:23" x14ac:dyDescent="0.2">
      <c r="A2193" s="27"/>
      <c r="B2193" s="25"/>
      <c r="D2193" s="11"/>
      <c r="E2193" s="10"/>
      <c r="O2193" s="10"/>
      <c r="V2193" s="10"/>
      <c r="W2193" s="6"/>
    </row>
    <row r="2194" spans="1:23" x14ac:dyDescent="0.2">
      <c r="A2194" s="27"/>
      <c r="B2194" s="25"/>
      <c r="D2194" s="11"/>
      <c r="E2194" s="10"/>
      <c r="O2194" s="10"/>
      <c r="V2194" s="10"/>
      <c r="W2194" s="6"/>
    </row>
    <row r="2195" spans="1:23" x14ac:dyDescent="0.2">
      <c r="A2195" s="27"/>
      <c r="B2195" s="1"/>
      <c r="D2195" s="11"/>
      <c r="E2195" s="10"/>
      <c r="O2195" s="10"/>
      <c r="V2195" s="10"/>
      <c r="W2195" s="6"/>
    </row>
    <row r="2196" spans="1:23" x14ac:dyDescent="0.2">
      <c r="A2196" s="27"/>
      <c r="B2196" s="1"/>
      <c r="D2196" s="11"/>
      <c r="E2196" s="10"/>
      <c r="O2196" s="10"/>
      <c r="V2196" s="10"/>
      <c r="W2196" s="6"/>
    </row>
    <row r="2197" spans="1:23" x14ac:dyDescent="0.2">
      <c r="A2197" s="27"/>
      <c r="B2197" s="1"/>
      <c r="D2197" s="11"/>
      <c r="E2197" s="10"/>
      <c r="O2197" s="10"/>
      <c r="V2197" s="10"/>
      <c r="W2197" s="6"/>
    </row>
    <row r="2198" spans="1:23" x14ac:dyDescent="0.2">
      <c r="A2198" s="27"/>
      <c r="B2198" s="25"/>
      <c r="D2198" s="11"/>
      <c r="E2198" s="10"/>
      <c r="O2198" s="10"/>
      <c r="V2198" s="10"/>
      <c r="W2198" s="6"/>
    </row>
    <row r="2199" spans="1:23" x14ac:dyDescent="0.2">
      <c r="A2199" s="27"/>
      <c r="B2199" s="25"/>
      <c r="D2199" s="11"/>
      <c r="E2199" s="10"/>
      <c r="O2199" s="10"/>
      <c r="V2199" s="10"/>
      <c r="W2199" s="6"/>
    </row>
    <row r="2200" spans="1:23" x14ac:dyDescent="0.2">
      <c r="A2200" s="27"/>
      <c r="B2200" s="25"/>
      <c r="D2200" s="11"/>
      <c r="E2200" s="10"/>
      <c r="O2200" s="10"/>
      <c r="V2200" s="10"/>
      <c r="W2200" s="6"/>
    </row>
    <row r="2201" spans="1:23" x14ac:dyDescent="0.2">
      <c r="A2201" s="27"/>
      <c r="B2201" s="25"/>
      <c r="D2201" s="11"/>
      <c r="E2201" s="10"/>
      <c r="O2201" s="10"/>
      <c r="V2201" s="10"/>
      <c r="W2201" s="6"/>
    </row>
    <row r="2202" spans="1:23" x14ac:dyDescent="0.2">
      <c r="A2202" s="27"/>
      <c r="B2202" s="25"/>
      <c r="D2202" s="11"/>
      <c r="E2202" s="10"/>
      <c r="O2202" s="10"/>
      <c r="V2202" s="10"/>
      <c r="W2202" s="6"/>
    </row>
    <row r="2203" spans="1:23" x14ac:dyDescent="0.2">
      <c r="A2203" s="27"/>
      <c r="B2203" s="25"/>
      <c r="D2203" s="11"/>
      <c r="E2203" s="10"/>
      <c r="O2203" s="10"/>
      <c r="V2203" s="10"/>
      <c r="W2203" s="6"/>
    </row>
    <row r="2204" spans="1:23" x14ac:dyDescent="0.2">
      <c r="A2204" s="27"/>
      <c r="B2204" s="25"/>
      <c r="D2204" s="11"/>
      <c r="E2204" s="10"/>
      <c r="O2204" s="10"/>
      <c r="V2204" s="10"/>
      <c r="W2204" s="6"/>
    </row>
    <row r="2205" spans="1:23" x14ac:dyDescent="0.2">
      <c r="A2205" s="27"/>
      <c r="B2205" s="25"/>
      <c r="D2205" s="11"/>
      <c r="E2205" s="10"/>
      <c r="O2205" s="10"/>
      <c r="V2205" s="10"/>
      <c r="W2205" s="6"/>
    </row>
    <row r="2206" spans="1:23" x14ac:dyDescent="0.2">
      <c r="A2206" s="27"/>
      <c r="B2206" s="25"/>
      <c r="D2206" s="11"/>
      <c r="E2206" s="10"/>
      <c r="O2206" s="10"/>
      <c r="V2206" s="10"/>
      <c r="W2206" s="6"/>
    </row>
    <row r="2207" spans="1:23" x14ac:dyDescent="0.2">
      <c r="A2207" s="27"/>
      <c r="B2207" s="25"/>
      <c r="D2207" s="11"/>
      <c r="E2207" s="10"/>
      <c r="O2207" s="10"/>
      <c r="V2207" s="10"/>
      <c r="W2207" s="6"/>
    </row>
    <row r="2208" spans="1:23" x14ac:dyDescent="0.2">
      <c r="A2208" s="27"/>
      <c r="B2208" s="25"/>
      <c r="D2208" s="11"/>
      <c r="E2208" s="10"/>
      <c r="O2208" s="10"/>
      <c r="V2208" s="10"/>
      <c r="W2208" s="6"/>
    </row>
    <row r="2209" spans="1:23" x14ac:dyDescent="0.2">
      <c r="A2209" s="27"/>
      <c r="B2209" s="25"/>
      <c r="D2209" s="11"/>
      <c r="E2209" s="10"/>
      <c r="O2209" s="10"/>
      <c r="V2209" s="10"/>
      <c r="W2209" s="6"/>
    </row>
    <row r="2210" spans="1:23" x14ac:dyDescent="0.2">
      <c r="A2210" s="27"/>
      <c r="B2210" s="25"/>
      <c r="D2210" s="11"/>
      <c r="E2210" s="10"/>
      <c r="O2210" s="10"/>
      <c r="V2210" s="10"/>
      <c r="W2210" s="6"/>
    </row>
    <row r="2211" spans="1:23" x14ac:dyDescent="0.2">
      <c r="A2211" s="27"/>
      <c r="B2211" s="25"/>
      <c r="D2211" s="11"/>
      <c r="E2211" s="10"/>
      <c r="O2211" s="10"/>
      <c r="V2211" s="10"/>
      <c r="W2211" s="6"/>
    </row>
    <row r="2212" spans="1:23" x14ac:dyDescent="0.2">
      <c r="A2212" s="27"/>
      <c r="B2212" s="25"/>
      <c r="D2212" s="11"/>
      <c r="E2212" s="10"/>
      <c r="O2212" s="10"/>
      <c r="V2212" s="10"/>
      <c r="W2212" s="6"/>
    </row>
    <row r="2213" spans="1:23" x14ac:dyDescent="0.2">
      <c r="A2213" s="27"/>
      <c r="B2213" s="1"/>
      <c r="D2213" s="11"/>
      <c r="E2213" s="10"/>
      <c r="O2213" s="10"/>
      <c r="V2213" s="10"/>
      <c r="W2213" s="6"/>
    </row>
    <row r="2214" spans="1:23" x14ac:dyDescent="0.2">
      <c r="A2214" s="27"/>
      <c r="B2214" s="25"/>
      <c r="D2214" s="11"/>
      <c r="E2214" s="10"/>
      <c r="O2214" s="10"/>
      <c r="V2214" s="10"/>
      <c r="W2214" s="6"/>
    </row>
    <row r="2215" spans="1:23" x14ac:dyDescent="0.2">
      <c r="A2215" s="27"/>
      <c r="B2215" s="25"/>
      <c r="D2215" s="11"/>
      <c r="E2215" s="10"/>
      <c r="O2215" s="10"/>
      <c r="V2215" s="10"/>
      <c r="W2215" s="6"/>
    </row>
    <row r="2216" spans="1:23" x14ac:dyDescent="0.2">
      <c r="A2216" s="27"/>
      <c r="B2216" s="25"/>
      <c r="D2216" s="11"/>
      <c r="E2216" s="10"/>
      <c r="O2216" s="10"/>
      <c r="V2216" s="10"/>
      <c r="W2216" s="6"/>
    </row>
    <row r="2217" spans="1:23" x14ac:dyDescent="0.2">
      <c r="A2217" s="27"/>
      <c r="B2217" s="25"/>
      <c r="D2217" s="11"/>
      <c r="E2217" s="10"/>
      <c r="O2217" s="10"/>
      <c r="V2217" s="10"/>
      <c r="W2217" s="6"/>
    </row>
    <row r="2218" spans="1:23" x14ac:dyDescent="0.2">
      <c r="A2218" s="27"/>
      <c r="B2218" s="25"/>
      <c r="D2218" s="11"/>
      <c r="E2218" s="10"/>
      <c r="O2218" s="10"/>
      <c r="V2218" s="10"/>
      <c r="W2218" s="6"/>
    </row>
    <row r="2219" spans="1:23" x14ac:dyDescent="0.2">
      <c r="A2219" s="27"/>
      <c r="B2219" s="25"/>
      <c r="D2219" s="11"/>
      <c r="E2219" s="10"/>
      <c r="O2219" s="10"/>
      <c r="V2219" s="10"/>
      <c r="W2219" s="6"/>
    </row>
    <row r="2220" spans="1:23" x14ac:dyDescent="0.2">
      <c r="A2220" s="27"/>
      <c r="B2220" s="25"/>
      <c r="D2220" s="11"/>
      <c r="E2220" s="10"/>
      <c r="O2220" s="10"/>
      <c r="V2220" s="10"/>
      <c r="W2220" s="6"/>
    </row>
    <row r="2221" spans="1:23" x14ac:dyDescent="0.2">
      <c r="A2221" s="27"/>
      <c r="B2221" s="25"/>
      <c r="D2221" s="11"/>
      <c r="E2221" s="10"/>
      <c r="O2221" s="10"/>
      <c r="V2221" s="10"/>
      <c r="W2221" s="6"/>
    </row>
    <row r="2222" spans="1:23" x14ac:dyDescent="0.2">
      <c r="A2222" s="27"/>
      <c r="B2222" s="25"/>
      <c r="D2222" s="11"/>
      <c r="E2222" s="10"/>
      <c r="O2222" s="10"/>
      <c r="V2222" s="10"/>
      <c r="W2222" s="6"/>
    </row>
    <row r="2223" spans="1:23" x14ac:dyDescent="0.2">
      <c r="A2223" s="27"/>
      <c r="B2223" s="1"/>
      <c r="D2223" s="11"/>
      <c r="E2223" s="10"/>
      <c r="O2223" s="10"/>
      <c r="V2223" s="10"/>
      <c r="W2223" s="6"/>
    </row>
    <row r="2224" spans="1:23" x14ac:dyDescent="0.2">
      <c r="A2224" s="27"/>
      <c r="B2224" s="1"/>
      <c r="D2224" s="11"/>
      <c r="E2224" s="10"/>
      <c r="O2224" s="10"/>
      <c r="V2224" s="10"/>
      <c r="W2224" s="6"/>
    </row>
    <row r="2225" spans="1:23" x14ac:dyDescent="0.2">
      <c r="A2225" s="27"/>
      <c r="B2225" s="1"/>
      <c r="D2225" s="11"/>
      <c r="E2225" s="10"/>
      <c r="O2225" s="10"/>
      <c r="V2225" s="10"/>
      <c r="W2225" s="6"/>
    </row>
    <row r="2226" spans="1:23" x14ac:dyDescent="0.2">
      <c r="A2226" s="27"/>
      <c r="B2226" s="25"/>
      <c r="D2226" s="11"/>
      <c r="E2226" s="10"/>
      <c r="O2226" s="10"/>
      <c r="V2226" s="10"/>
      <c r="W2226" s="6"/>
    </row>
    <row r="2227" spans="1:23" x14ac:dyDescent="0.2">
      <c r="A2227" s="27"/>
      <c r="B2227" s="25"/>
      <c r="D2227" s="11"/>
      <c r="E2227" s="10"/>
      <c r="O2227" s="10"/>
      <c r="V2227" s="10"/>
      <c r="W2227" s="6"/>
    </row>
    <row r="2228" spans="1:23" x14ac:dyDescent="0.2">
      <c r="A2228" s="27"/>
      <c r="B2228" s="1"/>
      <c r="D2228" s="11"/>
      <c r="E2228" s="10"/>
      <c r="O2228" s="10"/>
      <c r="V2228" s="10"/>
      <c r="W2228" s="6"/>
    </row>
    <row r="2229" spans="1:23" x14ac:dyDescent="0.2">
      <c r="A2229" s="27"/>
      <c r="B2229" s="25"/>
      <c r="D2229" s="11"/>
      <c r="E2229" s="10"/>
      <c r="O2229" s="10"/>
      <c r="V2229" s="10"/>
      <c r="W2229" s="6"/>
    </row>
    <row r="2230" spans="1:23" x14ac:dyDescent="0.2">
      <c r="A2230" s="27"/>
      <c r="B2230" s="25"/>
      <c r="D2230" s="11"/>
      <c r="E2230" s="10"/>
      <c r="O2230" s="10"/>
      <c r="V2230" s="10"/>
      <c r="W2230" s="6"/>
    </row>
    <row r="2231" spans="1:23" x14ac:dyDescent="0.2">
      <c r="A2231" s="27"/>
      <c r="B2231" s="25"/>
      <c r="D2231" s="11"/>
      <c r="E2231" s="10"/>
      <c r="O2231" s="10"/>
      <c r="V2231" s="10"/>
      <c r="W2231" s="6"/>
    </row>
    <row r="2232" spans="1:23" x14ac:dyDescent="0.2">
      <c r="A2232" s="27"/>
      <c r="B2232" s="25"/>
      <c r="D2232" s="11"/>
      <c r="E2232" s="10"/>
      <c r="O2232" s="10"/>
      <c r="V2232" s="10"/>
      <c r="W2232" s="6"/>
    </row>
    <row r="2233" spans="1:23" x14ac:dyDescent="0.2">
      <c r="A2233" s="27"/>
      <c r="B2233" s="25"/>
      <c r="D2233" s="11"/>
      <c r="E2233" s="10"/>
      <c r="O2233" s="10"/>
      <c r="V2233" s="10"/>
      <c r="W2233" s="6"/>
    </row>
    <row r="2234" spans="1:23" x14ac:dyDescent="0.2">
      <c r="A2234" s="27"/>
      <c r="B2234" s="25"/>
      <c r="D2234" s="11"/>
      <c r="E2234" s="10"/>
      <c r="O2234" s="10"/>
      <c r="V2234" s="10"/>
      <c r="W2234" s="6"/>
    </row>
    <row r="2235" spans="1:23" x14ac:dyDescent="0.2">
      <c r="A2235" s="27"/>
      <c r="B2235" s="25"/>
      <c r="D2235" s="11"/>
      <c r="E2235" s="10"/>
      <c r="O2235" s="10"/>
      <c r="V2235" s="10"/>
      <c r="W2235" s="6"/>
    </row>
    <row r="2236" spans="1:23" x14ac:dyDescent="0.2">
      <c r="A2236" s="27"/>
      <c r="B2236" s="25"/>
      <c r="D2236" s="11"/>
      <c r="E2236" s="10"/>
      <c r="O2236" s="10"/>
      <c r="V2236" s="10"/>
      <c r="W2236" s="6"/>
    </row>
    <row r="2237" spans="1:23" x14ac:dyDescent="0.2">
      <c r="A2237" s="27"/>
      <c r="B2237" s="25"/>
      <c r="D2237" s="11"/>
      <c r="E2237" s="10"/>
      <c r="O2237" s="10"/>
      <c r="V2237" s="10"/>
      <c r="W2237" s="6"/>
    </row>
    <row r="2238" spans="1:23" x14ac:dyDescent="0.2">
      <c r="A2238" s="27"/>
      <c r="B2238" s="25"/>
      <c r="D2238" s="11"/>
      <c r="E2238" s="10"/>
      <c r="O2238" s="10"/>
      <c r="V2238" s="10"/>
      <c r="W2238" s="6"/>
    </row>
    <row r="2239" spans="1:23" x14ac:dyDescent="0.2">
      <c r="A2239" s="27"/>
      <c r="B2239" s="25"/>
      <c r="D2239" s="11"/>
      <c r="E2239" s="10"/>
      <c r="O2239" s="10"/>
      <c r="V2239" s="10"/>
      <c r="W2239" s="6"/>
    </row>
    <row r="2240" spans="1:23" x14ac:dyDescent="0.2">
      <c r="A2240" s="27"/>
      <c r="B2240" s="25"/>
      <c r="D2240" s="11"/>
      <c r="E2240" s="10"/>
      <c r="O2240" s="10"/>
      <c r="V2240" s="10"/>
      <c r="W2240" s="6"/>
    </row>
    <row r="2241" spans="1:23" x14ac:dyDescent="0.2">
      <c r="A2241" s="27"/>
      <c r="B2241" s="1"/>
      <c r="D2241" s="11"/>
      <c r="E2241" s="10"/>
      <c r="O2241" s="10"/>
      <c r="V2241" s="10"/>
      <c r="W2241" s="6"/>
    </row>
    <row r="2242" spans="1:23" x14ac:dyDescent="0.2">
      <c r="A2242" s="27"/>
      <c r="B2242" s="25"/>
      <c r="D2242" s="11"/>
      <c r="E2242" s="10"/>
      <c r="O2242" s="10"/>
      <c r="V2242" s="10"/>
      <c r="W2242" s="6"/>
    </row>
    <row r="2243" spans="1:23" x14ac:dyDescent="0.2">
      <c r="A2243" s="27"/>
      <c r="B2243" s="25"/>
      <c r="D2243" s="11"/>
      <c r="E2243" s="10"/>
      <c r="O2243" s="10"/>
      <c r="V2243" s="10"/>
      <c r="W2243" s="6"/>
    </row>
    <row r="2244" spans="1:23" x14ac:dyDescent="0.2">
      <c r="A2244" s="27"/>
      <c r="B2244" s="25"/>
      <c r="D2244" s="11"/>
      <c r="E2244" s="10"/>
      <c r="O2244" s="10"/>
      <c r="V2244" s="10"/>
      <c r="W2244" s="6"/>
    </row>
    <row r="2245" spans="1:23" x14ac:dyDescent="0.2">
      <c r="A2245" s="27"/>
      <c r="B2245" s="1"/>
      <c r="D2245" s="11"/>
      <c r="E2245" s="10"/>
      <c r="O2245" s="10"/>
      <c r="V2245" s="10"/>
      <c r="W2245" s="6"/>
    </row>
    <row r="2246" spans="1:23" x14ac:dyDescent="0.2">
      <c r="A2246" s="27"/>
      <c r="B2246" s="25"/>
      <c r="D2246" s="11"/>
      <c r="E2246" s="10"/>
      <c r="O2246" s="10"/>
      <c r="V2246" s="10"/>
      <c r="W2246" s="6"/>
    </row>
    <row r="2247" spans="1:23" x14ac:dyDescent="0.2">
      <c r="A2247" s="27"/>
      <c r="B2247" s="25"/>
      <c r="D2247" s="11"/>
      <c r="E2247" s="10"/>
      <c r="O2247" s="10"/>
      <c r="V2247" s="10"/>
      <c r="W2247" s="6"/>
    </row>
    <row r="2248" spans="1:23" x14ac:dyDescent="0.2">
      <c r="A2248" s="27"/>
      <c r="B2248" s="1"/>
      <c r="D2248" s="11"/>
      <c r="E2248" s="10"/>
      <c r="O2248" s="10"/>
      <c r="V2248" s="10"/>
      <c r="W2248" s="6"/>
    </row>
    <row r="2249" spans="1:23" x14ac:dyDescent="0.2">
      <c r="A2249" s="27"/>
      <c r="B2249" s="25"/>
      <c r="D2249" s="11"/>
      <c r="E2249" s="10"/>
      <c r="O2249" s="10"/>
      <c r="V2249" s="10"/>
      <c r="W2249" s="6"/>
    </row>
    <row r="2250" spans="1:23" x14ac:dyDescent="0.2">
      <c r="A2250" s="27"/>
      <c r="B2250" s="25"/>
      <c r="D2250" s="11"/>
      <c r="E2250" s="10"/>
      <c r="O2250" s="10"/>
      <c r="V2250" s="10"/>
      <c r="W2250" s="6"/>
    </row>
    <row r="2251" spans="1:23" x14ac:dyDescent="0.2">
      <c r="A2251" s="27"/>
      <c r="B2251" s="25"/>
      <c r="D2251" s="11"/>
      <c r="E2251" s="10"/>
      <c r="O2251" s="10"/>
      <c r="V2251" s="10"/>
      <c r="W2251" s="6"/>
    </row>
    <row r="2252" spans="1:23" x14ac:dyDescent="0.2">
      <c r="A2252" s="27"/>
      <c r="B2252" s="25"/>
      <c r="D2252" s="11"/>
      <c r="E2252" s="10"/>
      <c r="O2252" s="10"/>
      <c r="V2252" s="10"/>
      <c r="W2252" s="6"/>
    </row>
    <row r="2253" spans="1:23" x14ac:dyDescent="0.2">
      <c r="A2253" s="27"/>
      <c r="B2253" s="1"/>
      <c r="D2253" s="11"/>
      <c r="E2253" s="10"/>
      <c r="O2253" s="10"/>
      <c r="V2253" s="10"/>
      <c r="W2253" s="6"/>
    </row>
    <row r="2254" spans="1:23" x14ac:dyDescent="0.2">
      <c r="A2254" s="27"/>
      <c r="B2254" s="25"/>
      <c r="D2254" s="11"/>
      <c r="E2254" s="10"/>
      <c r="O2254" s="10"/>
      <c r="V2254" s="10"/>
      <c r="W2254" s="6"/>
    </row>
    <row r="2255" spans="1:23" x14ac:dyDescent="0.2">
      <c r="A2255" s="27"/>
      <c r="B2255" s="25"/>
      <c r="D2255" s="11"/>
      <c r="E2255" s="10"/>
      <c r="O2255" s="10"/>
      <c r="V2255" s="10"/>
      <c r="W2255" s="6"/>
    </row>
    <row r="2256" spans="1:23" x14ac:dyDescent="0.2">
      <c r="A2256" s="27"/>
      <c r="B2256" s="25"/>
      <c r="D2256" s="11"/>
      <c r="E2256" s="10"/>
      <c r="O2256" s="10"/>
      <c r="V2256" s="10"/>
      <c r="W2256" s="6"/>
    </row>
    <row r="2257" spans="1:23" x14ac:dyDescent="0.2">
      <c r="A2257" s="27"/>
      <c r="B2257" s="25"/>
      <c r="D2257" s="11"/>
      <c r="E2257" s="10"/>
      <c r="O2257" s="10"/>
      <c r="V2257" s="10"/>
      <c r="W2257" s="6"/>
    </row>
    <row r="2258" spans="1:23" x14ac:dyDescent="0.2">
      <c r="A2258" s="27"/>
      <c r="B2258" s="25"/>
      <c r="D2258" s="11"/>
      <c r="E2258" s="10"/>
      <c r="O2258" s="10"/>
      <c r="V2258" s="10"/>
      <c r="W2258" s="6"/>
    </row>
    <row r="2259" spans="1:23" x14ac:dyDescent="0.2">
      <c r="A2259" s="27"/>
      <c r="B2259" s="25"/>
      <c r="D2259" s="11"/>
      <c r="E2259" s="10"/>
      <c r="O2259" s="10"/>
      <c r="V2259" s="10"/>
      <c r="W2259" s="6"/>
    </row>
    <row r="2260" spans="1:23" x14ac:dyDescent="0.2">
      <c r="A2260" s="27"/>
      <c r="B2260" s="25"/>
      <c r="D2260" s="11"/>
      <c r="E2260" s="10"/>
      <c r="O2260" s="10"/>
      <c r="V2260" s="10"/>
      <c r="W2260" s="6"/>
    </row>
    <row r="2261" spans="1:23" x14ac:dyDescent="0.2">
      <c r="A2261" s="27"/>
      <c r="B2261" s="25"/>
      <c r="D2261" s="11"/>
      <c r="E2261" s="10"/>
      <c r="O2261" s="10"/>
      <c r="V2261" s="10"/>
      <c r="W2261" s="6"/>
    </row>
    <row r="2262" spans="1:23" x14ac:dyDescent="0.2">
      <c r="A2262" s="27"/>
      <c r="B2262" s="25"/>
      <c r="D2262" s="11"/>
      <c r="E2262" s="10"/>
      <c r="O2262" s="10"/>
      <c r="V2262" s="10"/>
      <c r="W2262" s="6"/>
    </row>
    <row r="2263" spans="1:23" x14ac:dyDescent="0.2">
      <c r="A2263" s="27"/>
      <c r="B2263" s="25"/>
      <c r="D2263" s="11"/>
      <c r="E2263" s="10"/>
      <c r="O2263" s="10"/>
      <c r="V2263" s="10"/>
      <c r="W2263" s="6"/>
    </row>
    <row r="2264" spans="1:23" x14ac:dyDescent="0.2">
      <c r="A2264" s="27"/>
      <c r="B2264" s="25"/>
      <c r="D2264" s="11"/>
      <c r="E2264" s="10"/>
      <c r="O2264" s="10"/>
      <c r="V2264" s="10"/>
      <c r="W2264" s="6"/>
    </row>
    <row r="2265" spans="1:23" x14ac:dyDescent="0.2">
      <c r="A2265" s="27"/>
      <c r="B2265" s="25"/>
      <c r="D2265" s="11"/>
      <c r="E2265" s="10"/>
      <c r="O2265" s="10"/>
      <c r="V2265" s="10"/>
      <c r="W2265" s="6"/>
    </row>
    <row r="2266" spans="1:23" x14ac:dyDescent="0.2">
      <c r="A2266" s="27"/>
      <c r="B2266" s="25"/>
      <c r="D2266" s="11"/>
      <c r="E2266" s="10"/>
      <c r="O2266" s="10"/>
      <c r="V2266" s="10"/>
      <c r="W2266" s="6"/>
    </row>
    <row r="2267" spans="1:23" x14ac:dyDescent="0.2">
      <c r="A2267" s="27"/>
      <c r="B2267" s="25"/>
      <c r="D2267" s="11"/>
      <c r="E2267" s="10"/>
      <c r="O2267" s="10"/>
      <c r="V2267" s="10"/>
      <c r="W2267" s="6"/>
    </row>
    <row r="2268" spans="1:23" x14ac:dyDescent="0.2">
      <c r="A2268" s="27"/>
      <c r="B2268" s="1"/>
      <c r="D2268" s="11"/>
      <c r="E2268" s="10"/>
      <c r="O2268" s="10"/>
      <c r="V2268" s="10"/>
      <c r="W2268" s="6"/>
    </row>
    <row r="2269" spans="1:23" x14ac:dyDescent="0.2">
      <c r="A2269" s="27"/>
      <c r="B2269" s="1"/>
      <c r="D2269" s="11"/>
      <c r="E2269" s="10"/>
      <c r="O2269" s="10"/>
      <c r="V2269" s="10"/>
      <c r="W2269" s="6"/>
    </row>
    <row r="2270" spans="1:23" x14ac:dyDescent="0.2">
      <c r="A2270" s="27"/>
      <c r="B2270" s="1"/>
      <c r="D2270" s="11"/>
      <c r="E2270" s="10"/>
      <c r="O2270" s="10"/>
      <c r="V2270" s="10"/>
      <c r="W2270" s="6"/>
    </row>
    <row r="2271" spans="1:23" x14ac:dyDescent="0.2">
      <c r="A2271" s="27"/>
      <c r="B2271" s="1"/>
      <c r="D2271" s="11"/>
      <c r="E2271" s="10"/>
      <c r="O2271" s="10"/>
      <c r="V2271" s="10"/>
      <c r="W2271" s="6"/>
    </row>
    <row r="2272" spans="1:23" x14ac:dyDescent="0.2">
      <c r="A2272" s="27"/>
      <c r="B2272" s="1"/>
      <c r="D2272" s="11"/>
      <c r="E2272" s="10"/>
      <c r="O2272" s="10"/>
      <c r="V2272" s="10"/>
      <c r="W2272" s="6"/>
    </row>
    <row r="2273" spans="1:23" x14ac:dyDescent="0.2">
      <c r="A2273" s="27"/>
      <c r="B2273" s="1"/>
      <c r="D2273" s="11"/>
      <c r="E2273" s="10"/>
      <c r="O2273" s="10"/>
      <c r="V2273" s="10"/>
      <c r="W2273" s="6"/>
    </row>
    <row r="2274" spans="1:23" x14ac:dyDescent="0.2">
      <c r="A2274" s="27"/>
      <c r="B2274" s="1"/>
      <c r="D2274" s="11"/>
      <c r="E2274" s="10"/>
      <c r="O2274" s="10"/>
      <c r="V2274" s="10"/>
      <c r="W2274" s="6"/>
    </row>
    <row r="2275" spans="1:23" x14ac:dyDescent="0.2">
      <c r="A2275" s="27"/>
      <c r="B2275" s="1"/>
      <c r="D2275" s="11"/>
      <c r="E2275" s="10"/>
      <c r="O2275" s="10"/>
      <c r="V2275" s="10"/>
    </row>
    <row r="2276" spans="1:23" x14ac:dyDescent="0.2">
      <c r="A2276" s="27"/>
      <c r="B2276" s="1"/>
      <c r="D2276" s="11"/>
      <c r="E2276" s="10"/>
      <c r="O2276" s="10"/>
      <c r="V2276" s="10"/>
      <c r="W2276" s="6"/>
    </row>
    <row r="2277" spans="1:23" x14ac:dyDescent="0.2">
      <c r="A2277" s="27"/>
      <c r="B2277" s="1"/>
      <c r="D2277" s="11"/>
      <c r="E2277" s="10"/>
      <c r="O2277" s="10"/>
      <c r="V2277" s="10"/>
      <c r="W2277" s="6"/>
    </row>
    <row r="2278" spans="1:23" x14ac:dyDescent="0.2">
      <c r="A2278" s="27"/>
      <c r="B2278" s="1"/>
      <c r="D2278" s="11"/>
      <c r="E2278" s="10"/>
      <c r="O2278" s="10"/>
      <c r="V2278" s="10"/>
      <c r="W2278" s="6"/>
    </row>
    <row r="2279" spans="1:23" x14ac:dyDescent="0.2">
      <c r="A2279" s="27"/>
      <c r="B2279" s="1"/>
      <c r="D2279" s="11"/>
      <c r="E2279" s="10"/>
      <c r="O2279" s="10"/>
      <c r="V2279" s="10"/>
      <c r="W2279" s="6"/>
    </row>
    <row r="2280" spans="1:23" x14ac:dyDescent="0.2">
      <c r="A2280" s="27"/>
      <c r="B2280" s="1"/>
      <c r="D2280" s="11"/>
      <c r="E2280" s="10"/>
      <c r="O2280" s="10"/>
      <c r="V2280" s="10"/>
      <c r="W2280" s="6"/>
    </row>
    <row r="2281" spans="1:23" x14ac:dyDescent="0.2">
      <c r="A2281" s="27"/>
      <c r="B2281" s="1"/>
      <c r="D2281" s="11"/>
      <c r="E2281" s="10"/>
      <c r="O2281" s="10"/>
      <c r="V2281" s="10"/>
      <c r="W2281" s="6"/>
    </row>
    <row r="2282" spans="1:23" x14ac:dyDescent="0.2">
      <c r="A2282" s="27"/>
      <c r="B2282" s="1"/>
      <c r="D2282" s="11"/>
      <c r="E2282" s="10"/>
      <c r="O2282" s="10"/>
      <c r="V2282" s="10"/>
      <c r="W2282" s="6"/>
    </row>
    <row r="2283" spans="1:23" x14ac:dyDescent="0.2">
      <c r="A2283" s="27"/>
      <c r="B2283" s="1"/>
      <c r="D2283" s="11"/>
      <c r="E2283" s="10"/>
      <c r="O2283" s="10"/>
      <c r="V2283" s="10"/>
      <c r="W2283" s="6"/>
    </row>
    <row r="2284" spans="1:23" x14ac:dyDescent="0.2">
      <c r="A2284" s="27"/>
      <c r="B2284" s="1"/>
      <c r="D2284" s="11"/>
      <c r="E2284" s="10"/>
      <c r="O2284" s="10"/>
      <c r="V2284" s="10"/>
      <c r="W2284" s="6"/>
    </row>
    <row r="2285" spans="1:23" x14ac:dyDescent="0.2">
      <c r="A2285" s="27"/>
      <c r="B2285" s="1"/>
      <c r="D2285" s="11"/>
      <c r="E2285" s="10"/>
      <c r="O2285" s="10"/>
      <c r="V2285" s="10"/>
      <c r="W2285" s="6"/>
    </row>
    <row r="2286" spans="1:23" x14ac:dyDescent="0.2">
      <c r="A2286" s="27"/>
      <c r="B2286" s="1"/>
      <c r="D2286" s="11"/>
      <c r="E2286" s="10"/>
      <c r="O2286" s="10"/>
      <c r="V2286" s="10"/>
      <c r="W2286" s="6"/>
    </row>
    <row r="2287" spans="1:23" x14ac:dyDescent="0.2">
      <c r="A2287" s="27"/>
      <c r="B2287" s="1"/>
      <c r="D2287" s="11"/>
      <c r="E2287" s="10"/>
      <c r="O2287" s="10"/>
      <c r="V2287" s="10"/>
      <c r="W2287" s="6"/>
    </row>
    <row r="2288" spans="1:23" x14ac:dyDescent="0.2">
      <c r="A2288" s="27"/>
      <c r="B2288" s="1"/>
      <c r="D2288" s="11"/>
      <c r="E2288" s="10"/>
      <c r="O2288" s="10"/>
      <c r="V2288" s="10"/>
      <c r="W2288" s="6"/>
    </row>
    <row r="2289" spans="1:23" x14ac:dyDescent="0.2">
      <c r="A2289" s="27"/>
      <c r="B2289" s="1"/>
      <c r="D2289" s="11"/>
      <c r="E2289" s="10"/>
      <c r="O2289" s="10"/>
      <c r="V2289" s="10"/>
      <c r="W2289" s="6"/>
    </row>
    <row r="2290" spans="1:23" x14ac:dyDescent="0.2">
      <c r="A2290" s="27"/>
      <c r="B2290" s="1"/>
      <c r="D2290" s="11"/>
      <c r="E2290" s="10"/>
      <c r="O2290" s="10"/>
      <c r="V2290" s="10"/>
      <c r="W2290" s="6"/>
    </row>
    <row r="2291" spans="1:23" x14ac:dyDescent="0.2">
      <c r="A2291" s="27"/>
      <c r="B2291" s="1"/>
      <c r="D2291" s="11"/>
      <c r="E2291" s="10"/>
      <c r="O2291" s="10"/>
      <c r="V2291" s="10"/>
      <c r="W2291" s="6"/>
    </row>
    <row r="2292" spans="1:23" x14ac:dyDescent="0.2">
      <c r="A2292" s="27"/>
      <c r="B2292" s="1"/>
      <c r="D2292" s="11"/>
      <c r="E2292" s="10"/>
      <c r="O2292" s="10"/>
      <c r="V2292" s="10"/>
      <c r="W2292" s="6"/>
    </row>
    <row r="2293" spans="1:23" x14ac:dyDescent="0.2">
      <c r="A2293" s="27"/>
      <c r="B2293" s="1"/>
      <c r="D2293" s="11"/>
      <c r="E2293" s="10"/>
      <c r="O2293" s="10"/>
      <c r="V2293" s="10"/>
      <c r="W2293" s="6"/>
    </row>
    <row r="2294" spans="1:23" x14ac:dyDescent="0.2">
      <c r="A2294" s="27"/>
      <c r="B2294" s="1"/>
      <c r="D2294" s="11"/>
      <c r="E2294" s="10"/>
      <c r="O2294" s="10"/>
      <c r="V2294" s="10"/>
      <c r="W2294" s="6"/>
    </row>
    <row r="2295" spans="1:23" x14ac:dyDescent="0.2">
      <c r="A2295" s="27"/>
      <c r="B2295" s="1"/>
      <c r="D2295" s="11"/>
      <c r="E2295" s="10"/>
      <c r="O2295" s="10"/>
      <c r="V2295" s="10"/>
      <c r="W2295" s="6"/>
    </row>
    <row r="2296" spans="1:23" x14ac:dyDescent="0.2">
      <c r="A2296" s="27"/>
      <c r="B2296" s="1"/>
      <c r="D2296" s="11"/>
      <c r="E2296" s="10"/>
      <c r="O2296" s="10"/>
      <c r="V2296" s="10"/>
      <c r="W2296" s="6"/>
    </row>
    <row r="2297" spans="1:23" x14ac:dyDescent="0.2">
      <c r="A2297" s="27"/>
      <c r="B2297" s="1"/>
      <c r="D2297" s="11"/>
      <c r="E2297" s="10"/>
      <c r="O2297" s="10"/>
      <c r="V2297" s="10"/>
      <c r="W2297" s="6"/>
    </row>
    <row r="2298" spans="1:23" x14ac:dyDescent="0.2">
      <c r="A2298" s="27"/>
      <c r="B2298" s="1"/>
      <c r="D2298" s="11"/>
      <c r="E2298" s="10"/>
      <c r="O2298" s="10"/>
      <c r="V2298" s="10"/>
      <c r="W2298" s="6"/>
    </row>
    <row r="2299" spans="1:23" x14ac:dyDescent="0.2">
      <c r="A2299" s="27"/>
      <c r="B2299" s="1"/>
      <c r="D2299" s="11"/>
      <c r="E2299" s="10"/>
      <c r="O2299" s="10"/>
      <c r="V2299" s="10"/>
      <c r="W2299" s="6"/>
    </row>
    <row r="2300" spans="1:23" x14ac:dyDescent="0.2">
      <c r="A2300" s="27"/>
      <c r="B2300" s="1"/>
      <c r="D2300" s="11"/>
      <c r="E2300" s="10"/>
      <c r="O2300" s="10"/>
      <c r="V2300" s="10"/>
      <c r="W2300" s="6"/>
    </row>
    <row r="2301" spans="1:23" x14ac:dyDescent="0.2">
      <c r="A2301" s="27"/>
      <c r="B2301" s="1"/>
      <c r="D2301" s="11"/>
      <c r="E2301" s="10"/>
      <c r="O2301" s="10"/>
      <c r="V2301" s="10"/>
      <c r="W2301" s="6"/>
    </row>
    <row r="2302" spans="1:23" x14ac:dyDescent="0.2">
      <c r="A2302" s="27"/>
      <c r="B2302" s="1"/>
      <c r="D2302" s="11"/>
      <c r="E2302" s="10"/>
      <c r="O2302" s="10"/>
      <c r="V2302" s="10"/>
      <c r="W2302" s="6"/>
    </row>
    <row r="2303" spans="1:23" x14ac:dyDescent="0.2">
      <c r="A2303" s="27"/>
      <c r="B2303" s="1"/>
      <c r="D2303" s="11"/>
      <c r="E2303" s="10"/>
      <c r="O2303" s="10"/>
      <c r="V2303" s="10"/>
      <c r="W2303" s="6"/>
    </row>
    <row r="2304" spans="1:23" x14ac:dyDescent="0.2">
      <c r="A2304" s="27"/>
      <c r="B2304" s="1"/>
      <c r="D2304" s="11"/>
      <c r="E2304" s="10"/>
      <c r="O2304" s="10"/>
      <c r="V2304" s="10"/>
      <c r="W2304" s="6"/>
    </row>
    <row r="2305" spans="1:23" x14ac:dyDescent="0.2">
      <c r="A2305" s="27"/>
      <c r="B2305" s="1"/>
      <c r="D2305" s="11"/>
      <c r="E2305" s="10"/>
      <c r="O2305" s="10"/>
      <c r="V2305" s="10"/>
      <c r="W2305" s="6"/>
    </row>
    <row r="2306" spans="1:23" x14ac:dyDescent="0.2">
      <c r="A2306" s="27"/>
      <c r="B2306" s="1"/>
      <c r="D2306" s="11"/>
      <c r="E2306" s="10"/>
      <c r="O2306" s="10"/>
      <c r="V2306" s="10"/>
      <c r="W2306" s="6"/>
    </row>
    <row r="2307" spans="1:23" x14ac:dyDescent="0.2">
      <c r="A2307" s="27"/>
      <c r="B2307" s="1"/>
      <c r="D2307" s="11"/>
      <c r="E2307" s="10"/>
      <c r="O2307" s="10"/>
      <c r="V2307" s="10"/>
      <c r="W2307" s="6"/>
    </row>
    <row r="2308" spans="1:23" x14ac:dyDescent="0.2">
      <c r="A2308" s="27"/>
      <c r="B2308" s="1"/>
      <c r="D2308" s="11"/>
      <c r="E2308" s="10"/>
      <c r="O2308" s="10"/>
      <c r="V2308" s="10"/>
      <c r="W2308" s="6"/>
    </row>
    <row r="2309" spans="1:23" x14ac:dyDescent="0.2">
      <c r="A2309" s="27"/>
      <c r="B2309" s="1"/>
      <c r="D2309" s="11"/>
      <c r="E2309" s="10"/>
      <c r="O2309" s="10"/>
      <c r="V2309" s="10"/>
      <c r="W2309" s="6"/>
    </row>
    <row r="2310" spans="1:23" x14ac:dyDescent="0.2">
      <c r="A2310" s="27"/>
      <c r="B2310" s="1"/>
      <c r="D2310" s="11"/>
      <c r="E2310" s="10"/>
      <c r="O2310" s="10"/>
      <c r="V2310" s="10"/>
      <c r="W2310" s="6"/>
    </row>
    <row r="2311" spans="1:23" x14ac:dyDescent="0.2">
      <c r="A2311" s="27"/>
      <c r="B2311" s="1"/>
      <c r="D2311" s="11"/>
      <c r="E2311" s="10"/>
      <c r="O2311" s="10"/>
      <c r="V2311" s="10"/>
      <c r="W2311" s="6"/>
    </row>
    <row r="2312" spans="1:23" x14ac:dyDescent="0.2">
      <c r="A2312" s="27"/>
      <c r="B2312" s="1"/>
      <c r="D2312" s="11"/>
      <c r="E2312" s="10"/>
      <c r="O2312" s="10"/>
      <c r="V2312" s="10"/>
      <c r="W2312" s="6"/>
    </row>
    <row r="2313" spans="1:23" x14ac:dyDescent="0.2">
      <c r="A2313" s="27"/>
      <c r="B2313" s="1"/>
      <c r="D2313" s="11"/>
      <c r="E2313" s="10"/>
      <c r="O2313" s="10"/>
      <c r="V2313" s="10"/>
      <c r="W2313" s="6"/>
    </row>
    <row r="2314" spans="1:23" x14ac:dyDescent="0.2">
      <c r="A2314" s="27"/>
      <c r="B2314" s="1"/>
      <c r="D2314" s="11"/>
      <c r="E2314" s="10"/>
      <c r="O2314" s="10"/>
      <c r="V2314" s="10"/>
      <c r="W2314" s="6"/>
    </row>
    <row r="2315" spans="1:23" x14ac:dyDescent="0.2">
      <c r="A2315" s="27"/>
      <c r="B2315" s="1"/>
      <c r="D2315" s="11"/>
      <c r="E2315" s="10"/>
      <c r="O2315" s="10"/>
      <c r="V2315" s="10"/>
      <c r="W2315" s="6"/>
    </row>
    <row r="2316" spans="1:23" x14ac:dyDescent="0.2">
      <c r="A2316" s="27"/>
      <c r="B2316" s="1"/>
      <c r="D2316" s="11"/>
      <c r="E2316" s="10"/>
      <c r="O2316" s="10"/>
      <c r="V2316" s="10"/>
      <c r="W2316" s="6"/>
    </row>
    <row r="2317" spans="1:23" x14ac:dyDescent="0.2">
      <c r="A2317" s="27"/>
      <c r="B2317" s="1"/>
      <c r="D2317" s="11"/>
      <c r="E2317" s="10"/>
      <c r="O2317" s="10"/>
      <c r="V2317" s="10"/>
      <c r="W2317" s="6"/>
    </row>
    <row r="2318" spans="1:23" x14ac:dyDescent="0.2">
      <c r="A2318" s="27"/>
      <c r="B2318" s="1"/>
      <c r="D2318" s="11"/>
      <c r="E2318" s="10"/>
      <c r="O2318" s="10"/>
      <c r="V2318" s="10"/>
      <c r="W2318" s="6"/>
    </row>
    <row r="2319" spans="1:23" x14ac:dyDescent="0.2">
      <c r="A2319" s="27"/>
      <c r="B2319" s="1"/>
      <c r="D2319" s="11"/>
      <c r="E2319" s="10"/>
      <c r="O2319" s="10"/>
      <c r="V2319" s="10"/>
      <c r="W2319" s="6"/>
    </row>
    <row r="2320" spans="1:23" x14ac:dyDescent="0.2">
      <c r="A2320" s="27"/>
      <c r="B2320" s="1"/>
      <c r="D2320" s="11"/>
      <c r="E2320" s="10"/>
      <c r="O2320" s="10"/>
      <c r="V2320" s="10"/>
      <c r="W2320" s="6"/>
    </row>
    <row r="2321" spans="1:23" x14ac:dyDescent="0.2">
      <c r="A2321" s="27"/>
      <c r="B2321" s="1"/>
      <c r="D2321" s="11"/>
      <c r="E2321" s="10"/>
      <c r="O2321" s="10"/>
      <c r="V2321" s="10"/>
      <c r="W2321" s="6"/>
    </row>
    <row r="2322" spans="1:23" x14ac:dyDescent="0.2">
      <c r="A2322" s="27"/>
      <c r="B2322" s="1"/>
      <c r="D2322" s="11"/>
      <c r="E2322" s="10"/>
      <c r="O2322" s="10"/>
      <c r="V2322" s="10"/>
      <c r="W2322" s="6"/>
    </row>
    <row r="2323" spans="1:23" x14ac:dyDescent="0.2">
      <c r="A2323" s="27"/>
      <c r="B2323" s="1"/>
      <c r="D2323" s="11"/>
      <c r="E2323" s="10"/>
      <c r="O2323" s="10"/>
      <c r="V2323" s="10"/>
      <c r="W2323" s="6"/>
    </row>
    <row r="2324" spans="1:23" x14ac:dyDescent="0.2">
      <c r="A2324" s="27"/>
      <c r="B2324" s="1"/>
      <c r="D2324" s="11"/>
      <c r="E2324" s="10"/>
      <c r="O2324" s="10"/>
      <c r="V2324" s="10"/>
      <c r="W2324" s="6"/>
    </row>
    <row r="2325" spans="1:23" x14ac:dyDescent="0.2">
      <c r="A2325" s="27"/>
      <c r="B2325" s="1"/>
      <c r="D2325" s="11"/>
      <c r="E2325" s="10"/>
      <c r="O2325" s="10"/>
      <c r="V2325" s="10"/>
      <c r="W2325" s="6"/>
    </row>
    <row r="2326" spans="1:23" x14ac:dyDescent="0.2">
      <c r="A2326" s="27"/>
      <c r="B2326" s="1"/>
      <c r="D2326" s="11"/>
      <c r="E2326" s="10"/>
      <c r="O2326" s="10"/>
      <c r="V2326" s="10"/>
      <c r="W2326" s="6"/>
    </row>
    <row r="2327" spans="1:23" x14ac:dyDescent="0.2">
      <c r="A2327" s="27"/>
      <c r="B2327" s="1"/>
      <c r="D2327" s="11"/>
      <c r="E2327" s="10"/>
      <c r="O2327" s="10"/>
      <c r="V2327" s="10"/>
      <c r="W2327" s="6"/>
    </row>
    <row r="2328" spans="1:23" x14ac:dyDescent="0.2">
      <c r="A2328" s="27"/>
      <c r="B2328" s="1"/>
      <c r="D2328" s="11"/>
      <c r="E2328" s="10"/>
      <c r="O2328" s="10"/>
      <c r="V2328" s="10"/>
      <c r="W2328" s="6"/>
    </row>
    <row r="2329" spans="1:23" x14ac:dyDescent="0.2">
      <c r="A2329" s="27"/>
      <c r="B2329" s="1"/>
      <c r="D2329" s="11"/>
      <c r="E2329" s="10"/>
      <c r="O2329" s="10"/>
      <c r="V2329" s="10"/>
      <c r="W2329" s="6"/>
    </row>
    <row r="2330" spans="1:23" x14ac:dyDescent="0.2">
      <c r="A2330" s="27"/>
      <c r="B2330" s="1"/>
      <c r="D2330" s="11"/>
      <c r="E2330" s="10"/>
      <c r="O2330" s="10"/>
      <c r="V2330" s="10"/>
      <c r="W2330" s="6"/>
    </row>
    <row r="2331" spans="1:23" x14ac:dyDescent="0.2">
      <c r="A2331" s="27"/>
      <c r="B2331" s="1"/>
      <c r="D2331" s="11"/>
      <c r="E2331" s="10"/>
      <c r="O2331" s="10"/>
      <c r="V2331" s="10"/>
      <c r="W2331" s="6"/>
    </row>
    <row r="2332" spans="1:23" x14ac:dyDescent="0.2">
      <c r="A2332" s="27"/>
      <c r="B2332" s="1"/>
      <c r="D2332" s="11"/>
      <c r="E2332" s="10"/>
      <c r="O2332" s="10"/>
      <c r="V2332" s="10"/>
      <c r="W2332" s="6"/>
    </row>
    <row r="2333" spans="1:23" x14ac:dyDescent="0.2">
      <c r="A2333" s="27"/>
      <c r="B2333" s="1"/>
      <c r="D2333" s="11"/>
      <c r="E2333" s="10"/>
      <c r="O2333" s="10"/>
      <c r="V2333" s="10"/>
      <c r="W2333" s="6"/>
    </row>
    <row r="2334" spans="1:23" x14ac:dyDescent="0.2">
      <c r="A2334" s="27"/>
      <c r="B2334" s="1"/>
      <c r="D2334" s="11"/>
      <c r="E2334" s="10"/>
      <c r="O2334" s="10"/>
      <c r="V2334" s="10"/>
      <c r="W2334" s="6"/>
    </row>
    <row r="2335" spans="1:23" x14ac:dyDescent="0.2">
      <c r="A2335" s="27"/>
      <c r="B2335" s="1"/>
      <c r="D2335" s="11"/>
      <c r="E2335" s="10"/>
      <c r="O2335" s="10"/>
      <c r="V2335" s="10"/>
      <c r="W2335" s="6"/>
    </row>
    <row r="2336" spans="1:23" x14ac:dyDescent="0.2">
      <c r="A2336" s="27"/>
      <c r="B2336" s="1"/>
      <c r="D2336" s="11"/>
      <c r="E2336" s="10"/>
      <c r="O2336" s="10"/>
      <c r="V2336" s="10"/>
      <c r="W2336" s="6"/>
    </row>
    <row r="2337" spans="1:23" x14ac:dyDescent="0.2">
      <c r="A2337" s="27"/>
      <c r="B2337" s="1"/>
      <c r="D2337" s="11"/>
      <c r="E2337" s="10"/>
      <c r="O2337" s="10"/>
      <c r="V2337" s="10"/>
      <c r="W2337" s="6"/>
    </row>
    <row r="2338" spans="1:23" x14ac:dyDescent="0.2">
      <c r="A2338" s="27"/>
      <c r="B2338" s="1"/>
      <c r="D2338" s="11"/>
      <c r="E2338" s="10"/>
      <c r="O2338" s="10"/>
      <c r="V2338" s="10"/>
      <c r="W2338" s="6"/>
    </row>
    <row r="2339" spans="1:23" x14ac:dyDescent="0.2">
      <c r="A2339" s="27"/>
      <c r="B2339" s="1"/>
      <c r="D2339" s="11"/>
      <c r="E2339" s="10"/>
      <c r="O2339" s="10"/>
      <c r="V2339" s="10"/>
      <c r="W2339" s="6"/>
    </row>
    <row r="2340" spans="1:23" x14ac:dyDescent="0.2">
      <c r="A2340" s="27"/>
      <c r="B2340" s="1"/>
      <c r="D2340" s="11"/>
      <c r="E2340" s="10"/>
      <c r="O2340" s="10"/>
      <c r="V2340" s="10"/>
      <c r="W2340" s="6"/>
    </row>
    <row r="2341" spans="1:23" x14ac:dyDescent="0.2">
      <c r="A2341" s="27"/>
      <c r="B2341" s="1"/>
      <c r="D2341" s="11"/>
      <c r="E2341" s="10"/>
      <c r="O2341" s="10"/>
      <c r="V2341" s="10"/>
      <c r="W2341" s="6"/>
    </row>
    <row r="2342" spans="1:23" x14ac:dyDescent="0.2">
      <c r="A2342" s="27"/>
      <c r="B2342" s="1"/>
      <c r="D2342" s="11"/>
      <c r="E2342" s="10"/>
      <c r="O2342" s="10"/>
      <c r="V2342" s="10"/>
      <c r="W2342" s="6"/>
    </row>
    <row r="2343" spans="1:23" x14ac:dyDescent="0.2">
      <c r="A2343" s="27"/>
      <c r="B2343" s="1"/>
      <c r="D2343" s="11"/>
      <c r="E2343" s="10"/>
      <c r="O2343" s="10"/>
      <c r="V2343" s="10"/>
      <c r="W2343" s="6"/>
    </row>
    <row r="2344" spans="1:23" x14ac:dyDescent="0.2">
      <c r="A2344" s="27"/>
      <c r="B2344" s="1"/>
      <c r="D2344" s="11"/>
      <c r="E2344" s="10"/>
      <c r="O2344" s="10"/>
      <c r="V2344" s="10"/>
      <c r="W2344" s="6"/>
    </row>
    <row r="2345" spans="1:23" x14ac:dyDescent="0.2">
      <c r="A2345" s="27"/>
      <c r="B2345" s="1"/>
      <c r="D2345" s="11"/>
      <c r="E2345" s="10"/>
      <c r="O2345" s="10"/>
      <c r="V2345" s="10"/>
      <c r="W2345" s="6"/>
    </row>
    <row r="2346" spans="1:23" x14ac:dyDescent="0.2">
      <c r="A2346" s="27"/>
      <c r="B2346" s="1"/>
      <c r="D2346" s="11"/>
      <c r="E2346" s="10"/>
      <c r="O2346" s="10"/>
      <c r="V2346" s="10"/>
      <c r="W2346" s="6"/>
    </row>
    <row r="2347" spans="1:23" x14ac:dyDescent="0.2">
      <c r="A2347" s="27"/>
      <c r="B2347" s="1"/>
      <c r="D2347" s="11"/>
      <c r="E2347" s="10"/>
      <c r="O2347" s="10"/>
      <c r="V2347" s="10"/>
      <c r="W2347" s="6"/>
    </row>
    <row r="2348" spans="1:23" x14ac:dyDescent="0.2">
      <c r="A2348" s="27"/>
      <c r="B2348" s="1"/>
      <c r="D2348" s="11"/>
      <c r="E2348" s="10"/>
      <c r="O2348" s="10"/>
      <c r="V2348" s="10"/>
      <c r="W2348" s="6"/>
    </row>
    <row r="2349" spans="1:23" x14ac:dyDescent="0.2">
      <c r="A2349" s="27"/>
      <c r="B2349" s="1"/>
      <c r="D2349" s="11"/>
      <c r="E2349" s="10"/>
      <c r="O2349" s="10"/>
      <c r="V2349" s="10"/>
      <c r="W2349" s="6"/>
    </row>
    <row r="2350" spans="1:23" x14ac:dyDescent="0.2">
      <c r="A2350" s="27"/>
      <c r="B2350" s="1"/>
      <c r="D2350" s="11"/>
      <c r="E2350" s="10"/>
      <c r="O2350" s="10"/>
      <c r="V2350" s="10"/>
      <c r="W2350" s="6"/>
    </row>
    <row r="2351" spans="1:23" x14ac:dyDescent="0.2">
      <c r="A2351" s="27"/>
      <c r="B2351" s="1"/>
      <c r="D2351" s="11"/>
      <c r="E2351" s="10"/>
      <c r="O2351" s="10"/>
      <c r="V2351" s="10"/>
      <c r="W2351" s="6"/>
    </row>
    <row r="2352" spans="1:23" x14ac:dyDescent="0.2">
      <c r="A2352" s="27"/>
      <c r="B2352" s="1"/>
      <c r="D2352" s="11"/>
      <c r="E2352" s="10"/>
      <c r="O2352" s="10"/>
      <c r="V2352" s="10"/>
      <c r="W2352" s="6"/>
    </row>
    <row r="2353" spans="1:23" x14ac:dyDescent="0.2">
      <c r="A2353" s="27"/>
      <c r="B2353" s="1"/>
      <c r="D2353" s="11"/>
      <c r="E2353" s="10"/>
      <c r="O2353" s="10"/>
      <c r="V2353" s="10"/>
      <c r="W2353" s="6"/>
    </row>
    <row r="2354" spans="1:23" x14ac:dyDescent="0.2">
      <c r="A2354" s="27"/>
      <c r="B2354" s="1"/>
      <c r="D2354" s="11"/>
      <c r="E2354" s="10"/>
      <c r="O2354" s="10"/>
      <c r="V2354" s="10"/>
      <c r="W2354" s="6"/>
    </row>
    <row r="2355" spans="1:23" x14ac:dyDescent="0.2">
      <c r="A2355" s="27"/>
      <c r="B2355" s="1"/>
      <c r="D2355" s="11"/>
      <c r="E2355" s="10"/>
      <c r="O2355" s="10"/>
      <c r="V2355" s="10"/>
      <c r="W2355" s="6"/>
    </row>
    <row r="2356" spans="1:23" x14ac:dyDescent="0.2">
      <c r="A2356" s="27"/>
      <c r="B2356" s="1"/>
      <c r="D2356" s="11"/>
      <c r="E2356" s="10"/>
      <c r="O2356" s="10"/>
      <c r="V2356" s="10"/>
      <c r="W2356" s="6"/>
    </row>
    <row r="2357" spans="1:23" x14ac:dyDescent="0.2">
      <c r="A2357" s="27"/>
      <c r="B2357" s="1"/>
      <c r="D2357" s="11"/>
      <c r="E2357" s="10"/>
      <c r="O2357" s="10"/>
      <c r="V2357" s="10"/>
      <c r="W2357" s="6"/>
    </row>
    <row r="2358" spans="1:23" x14ac:dyDescent="0.2">
      <c r="A2358" s="27"/>
      <c r="B2358" s="1"/>
      <c r="D2358" s="11"/>
      <c r="E2358" s="10"/>
      <c r="O2358" s="10"/>
      <c r="V2358" s="10"/>
      <c r="W2358" s="6"/>
    </row>
    <row r="2359" spans="1:23" x14ac:dyDescent="0.2">
      <c r="A2359" s="27"/>
      <c r="B2359" s="1"/>
      <c r="D2359" s="11"/>
      <c r="E2359" s="10"/>
      <c r="O2359" s="10"/>
      <c r="V2359" s="10"/>
      <c r="W2359" s="6"/>
    </row>
    <row r="2360" spans="1:23" x14ac:dyDescent="0.2">
      <c r="A2360" s="27"/>
      <c r="B2360" s="1"/>
      <c r="D2360" s="11"/>
      <c r="E2360" s="10"/>
      <c r="O2360" s="10"/>
      <c r="V2360" s="10"/>
      <c r="W2360" s="6"/>
    </row>
    <row r="2361" spans="1:23" x14ac:dyDescent="0.2">
      <c r="A2361" s="27"/>
      <c r="B2361" s="1"/>
      <c r="D2361" s="11"/>
      <c r="E2361" s="10"/>
      <c r="O2361" s="10"/>
      <c r="V2361" s="10"/>
      <c r="W2361" s="6"/>
    </row>
    <row r="2362" spans="1:23" x14ac:dyDescent="0.2">
      <c r="A2362" s="27"/>
      <c r="B2362" s="1"/>
      <c r="D2362" s="11"/>
      <c r="E2362" s="10"/>
      <c r="O2362" s="10"/>
      <c r="V2362" s="10"/>
      <c r="W2362" s="6"/>
    </row>
    <row r="2363" spans="1:23" x14ac:dyDescent="0.2">
      <c r="A2363" s="27"/>
      <c r="B2363" s="1"/>
      <c r="D2363" s="11"/>
      <c r="E2363" s="10"/>
      <c r="O2363" s="10"/>
      <c r="V2363" s="10"/>
      <c r="W2363" s="6"/>
    </row>
    <row r="2364" spans="1:23" x14ac:dyDescent="0.2">
      <c r="A2364" s="27"/>
      <c r="B2364" s="25"/>
      <c r="E2364" s="10"/>
      <c r="O2364" s="10"/>
      <c r="V2364" s="10"/>
    </row>
    <row r="2365" spans="1:23" x14ac:dyDescent="0.2">
      <c r="A2365" s="27"/>
      <c r="B2365" s="25"/>
      <c r="E2365" s="10"/>
      <c r="O2365" s="10"/>
      <c r="V2365" s="10"/>
    </row>
    <row r="2366" spans="1:23" x14ac:dyDescent="0.2">
      <c r="A2366" s="27"/>
      <c r="B2366" s="25"/>
      <c r="E2366" s="10"/>
      <c r="O2366" s="10"/>
      <c r="V2366" s="10"/>
    </row>
    <row r="2367" spans="1:23" x14ac:dyDescent="0.2">
      <c r="A2367" s="27"/>
      <c r="B2367" s="25"/>
      <c r="E2367" s="10"/>
      <c r="O2367" s="10"/>
      <c r="V2367" s="10"/>
    </row>
    <row r="2368" spans="1:23" x14ac:dyDescent="0.2">
      <c r="A2368" s="27"/>
      <c r="B2368" s="25"/>
      <c r="E2368" s="10"/>
      <c r="O2368" s="10"/>
      <c r="V2368" s="10"/>
    </row>
    <row r="2369" spans="1:22" x14ac:dyDescent="0.2">
      <c r="A2369" s="27"/>
      <c r="B2369" s="25"/>
      <c r="E2369" s="10"/>
      <c r="O2369" s="10"/>
      <c r="V2369" s="10"/>
    </row>
    <row r="2370" spans="1:22" x14ac:dyDescent="0.2">
      <c r="A2370" s="27"/>
      <c r="B2370" s="25"/>
      <c r="E2370" s="10"/>
      <c r="O2370" s="10"/>
      <c r="V2370" s="10"/>
    </row>
    <row r="2371" spans="1:22" x14ac:dyDescent="0.2">
      <c r="A2371" s="27"/>
      <c r="B2371" s="25"/>
      <c r="E2371" s="10"/>
      <c r="O2371" s="10"/>
      <c r="V2371" s="10"/>
    </row>
    <row r="2372" spans="1:22" x14ac:dyDescent="0.2">
      <c r="A2372" s="27"/>
      <c r="B2372" s="25"/>
      <c r="E2372" s="10"/>
      <c r="O2372" s="10"/>
      <c r="V2372" s="10"/>
    </row>
    <row r="2373" spans="1:22" x14ac:dyDescent="0.2">
      <c r="A2373" s="27"/>
      <c r="B2373" s="25"/>
      <c r="E2373" s="10"/>
      <c r="O2373" s="10"/>
      <c r="V2373" s="10"/>
    </row>
    <row r="2374" spans="1:22" x14ac:dyDescent="0.2">
      <c r="A2374" s="27"/>
      <c r="B2374" s="25"/>
      <c r="E2374" s="10"/>
      <c r="O2374" s="10"/>
      <c r="V2374" s="10"/>
    </row>
    <row r="2375" spans="1:22" x14ac:dyDescent="0.2">
      <c r="A2375" s="27"/>
      <c r="B2375" s="25"/>
      <c r="E2375" s="10"/>
      <c r="O2375" s="10"/>
      <c r="V2375" s="10"/>
    </row>
    <row r="2376" spans="1:22" x14ac:dyDescent="0.2">
      <c r="A2376" s="27"/>
      <c r="B2376" s="25"/>
      <c r="E2376" s="10"/>
      <c r="O2376" s="10"/>
      <c r="V2376" s="10"/>
    </row>
    <row r="2377" spans="1:22" x14ac:dyDescent="0.2">
      <c r="A2377" s="27"/>
      <c r="B2377" s="25"/>
      <c r="E2377" s="10"/>
      <c r="O2377" s="10"/>
      <c r="V2377" s="10"/>
    </row>
    <row r="2378" spans="1:22" x14ac:dyDescent="0.2">
      <c r="A2378" s="27"/>
      <c r="B2378" s="25"/>
      <c r="E2378" s="10"/>
      <c r="O2378" s="10"/>
      <c r="V2378" s="10"/>
    </row>
    <row r="2379" spans="1:22" x14ac:dyDescent="0.2">
      <c r="A2379" s="27"/>
      <c r="B2379" s="25"/>
      <c r="E2379" s="10"/>
      <c r="O2379" s="10"/>
      <c r="V2379" s="10"/>
    </row>
    <row r="2380" spans="1:22" x14ac:dyDescent="0.2">
      <c r="A2380" s="27"/>
      <c r="B2380" s="25"/>
      <c r="E2380" s="10"/>
      <c r="O2380" s="10"/>
      <c r="V2380" s="10"/>
    </row>
    <row r="2381" spans="1:22" x14ac:dyDescent="0.2">
      <c r="A2381" s="27"/>
      <c r="B2381" s="25"/>
      <c r="E2381" s="10"/>
      <c r="O2381" s="10"/>
      <c r="V2381" s="10"/>
    </row>
    <row r="2382" spans="1:22" x14ac:dyDescent="0.2">
      <c r="A2382" s="27"/>
      <c r="B2382" s="25"/>
      <c r="E2382" s="10"/>
      <c r="O2382" s="10"/>
      <c r="V2382" s="10"/>
    </row>
    <row r="2383" spans="1:22" x14ac:dyDescent="0.2">
      <c r="A2383" s="27"/>
      <c r="B2383" s="25"/>
      <c r="E2383" s="10"/>
      <c r="O2383" s="10"/>
      <c r="V2383" s="10"/>
    </row>
    <row r="2384" spans="1:22" x14ac:dyDescent="0.2">
      <c r="A2384" s="27"/>
      <c r="B2384" s="25"/>
      <c r="E2384" s="10"/>
      <c r="O2384" s="10"/>
      <c r="V2384" s="10"/>
    </row>
    <row r="2385" spans="1:22" x14ac:dyDescent="0.2">
      <c r="A2385" s="27"/>
      <c r="B2385" s="25"/>
      <c r="E2385" s="10"/>
      <c r="O2385" s="10"/>
      <c r="V2385" s="10"/>
    </row>
    <row r="2386" spans="1:22" x14ac:dyDescent="0.2">
      <c r="A2386" s="27"/>
      <c r="B2386" s="25"/>
      <c r="E2386" s="10"/>
      <c r="O2386" s="10"/>
      <c r="V2386" s="10"/>
    </row>
    <row r="2387" spans="1:22" x14ac:dyDescent="0.2">
      <c r="A2387" s="27"/>
      <c r="B2387" s="25"/>
      <c r="E2387" s="10"/>
      <c r="O2387" s="10"/>
      <c r="V2387" s="10"/>
    </row>
    <row r="2388" spans="1:22" x14ac:dyDescent="0.2">
      <c r="A2388" s="27"/>
      <c r="B2388" s="25"/>
      <c r="E2388" s="10"/>
      <c r="O2388" s="10"/>
      <c r="V2388" s="10"/>
    </row>
    <row r="2389" spans="1:22" x14ac:dyDescent="0.2">
      <c r="A2389" s="27"/>
      <c r="B2389" s="25"/>
      <c r="E2389" s="10"/>
      <c r="O2389" s="10"/>
      <c r="V2389" s="10"/>
    </row>
    <row r="2390" spans="1:22" x14ac:dyDescent="0.2">
      <c r="A2390" s="27"/>
      <c r="B2390" s="25"/>
      <c r="E2390" s="10"/>
      <c r="O2390" s="10"/>
      <c r="V2390" s="10"/>
    </row>
    <row r="2391" spans="1:22" x14ac:dyDescent="0.2">
      <c r="A2391" s="27"/>
      <c r="B2391" s="25"/>
      <c r="E2391" s="10"/>
      <c r="O2391" s="10"/>
      <c r="V2391" s="10"/>
    </row>
    <row r="2392" spans="1:22" x14ac:dyDescent="0.2">
      <c r="A2392" s="27"/>
      <c r="B2392" s="25"/>
      <c r="E2392" s="10"/>
      <c r="O2392" s="10"/>
      <c r="V2392" s="10"/>
    </row>
    <row r="2393" spans="1:22" x14ac:dyDescent="0.2">
      <c r="A2393" s="27"/>
      <c r="B2393" s="25"/>
      <c r="E2393" s="10"/>
      <c r="O2393" s="10"/>
      <c r="V2393" s="10"/>
    </row>
    <row r="2394" spans="1:22" x14ac:dyDescent="0.2">
      <c r="A2394" s="27"/>
      <c r="B2394" s="25"/>
      <c r="E2394" s="10"/>
      <c r="O2394" s="10"/>
      <c r="V2394" s="10"/>
    </row>
    <row r="2395" spans="1:22" x14ac:dyDescent="0.2">
      <c r="A2395" s="27"/>
      <c r="B2395" s="25"/>
      <c r="E2395" s="10"/>
      <c r="O2395" s="10"/>
      <c r="V2395" s="10"/>
    </row>
    <row r="2396" spans="1:22" x14ac:dyDescent="0.2">
      <c r="A2396" s="27"/>
      <c r="B2396" s="25"/>
      <c r="E2396" s="10"/>
      <c r="O2396" s="10"/>
      <c r="V2396" s="10"/>
    </row>
    <row r="2397" spans="1:22" x14ac:dyDescent="0.2">
      <c r="A2397" s="27"/>
      <c r="B2397" s="25"/>
      <c r="E2397" s="10"/>
      <c r="O2397" s="10"/>
      <c r="V2397" s="10"/>
    </row>
    <row r="2398" spans="1:22" x14ac:dyDescent="0.2">
      <c r="A2398" s="27"/>
      <c r="B2398" s="25"/>
      <c r="E2398" s="10"/>
      <c r="O2398" s="10"/>
      <c r="V2398" s="10"/>
    </row>
    <row r="2399" spans="1:22" x14ac:dyDescent="0.2">
      <c r="A2399" s="27"/>
      <c r="B2399" s="25"/>
      <c r="E2399" s="10"/>
      <c r="O2399" s="10"/>
      <c r="V2399" s="10"/>
    </row>
    <row r="2400" spans="1:22" x14ac:dyDescent="0.2">
      <c r="A2400" s="27"/>
      <c r="B2400" s="25"/>
      <c r="E2400" s="10"/>
      <c r="O2400" s="10"/>
      <c r="V2400" s="10"/>
    </row>
    <row r="2401" spans="1:22" x14ac:dyDescent="0.2">
      <c r="A2401" s="27"/>
      <c r="B2401" s="25"/>
      <c r="E2401" s="10"/>
      <c r="O2401" s="10"/>
      <c r="V2401" s="10"/>
    </row>
    <row r="2402" spans="1:22" x14ac:dyDescent="0.2">
      <c r="A2402" s="27"/>
      <c r="B2402" s="25"/>
      <c r="E2402" s="10"/>
      <c r="O2402" s="10"/>
      <c r="V2402" s="10"/>
    </row>
    <row r="2403" spans="1:22" x14ac:dyDescent="0.2">
      <c r="A2403" s="27"/>
      <c r="B2403" s="25"/>
      <c r="E2403" s="10"/>
      <c r="O2403" s="10"/>
      <c r="V2403" s="10"/>
    </row>
    <row r="2404" spans="1:22" x14ac:dyDescent="0.2">
      <c r="A2404" s="27"/>
      <c r="B2404" s="25"/>
      <c r="E2404" s="10"/>
      <c r="O2404" s="10"/>
      <c r="V2404" s="10"/>
    </row>
    <row r="2405" spans="1:22" x14ac:dyDescent="0.2">
      <c r="A2405" s="27"/>
      <c r="B2405" s="25"/>
      <c r="E2405" s="10"/>
      <c r="O2405" s="10"/>
      <c r="V2405" s="10"/>
    </row>
    <row r="2406" spans="1:22" x14ac:dyDescent="0.2">
      <c r="A2406" s="27"/>
      <c r="B2406" s="25"/>
      <c r="E2406" s="10"/>
      <c r="O2406" s="10"/>
      <c r="V2406" s="10"/>
    </row>
    <row r="2407" spans="1:22" x14ac:dyDescent="0.2">
      <c r="A2407" s="27"/>
      <c r="B2407" s="25"/>
      <c r="E2407" s="10"/>
      <c r="O2407" s="10"/>
      <c r="V2407" s="10"/>
    </row>
    <row r="2408" spans="1:22" x14ac:dyDescent="0.2">
      <c r="A2408" s="27"/>
      <c r="B2408" s="25"/>
      <c r="E2408" s="10"/>
      <c r="O2408" s="10"/>
      <c r="V2408" s="10"/>
    </row>
    <row r="2409" spans="1:22" x14ac:dyDescent="0.2">
      <c r="A2409" s="27"/>
      <c r="B2409" s="25"/>
      <c r="E2409" s="10"/>
      <c r="O2409" s="10"/>
      <c r="V2409" s="10"/>
    </row>
    <row r="2410" spans="1:22" x14ac:dyDescent="0.2">
      <c r="A2410" s="27"/>
      <c r="B2410" s="25"/>
      <c r="E2410" s="10"/>
      <c r="O2410" s="10"/>
      <c r="V2410" s="10"/>
    </row>
    <row r="2411" spans="1:22" x14ac:dyDescent="0.2">
      <c r="A2411" s="27"/>
      <c r="B2411" s="25"/>
      <c r="E2411" s="10"/>
      <c r="O2411" s="10"/>
      <c r="V2411" s="10"/>
    </row>
    <row r="2412" spans="1:22" x14ac:dyDescent="0.2">
      <c r="A2412" s="27"/>
      <c r="B2412" s="25"/>
      <c r="E2412" s="10"/>
      <c r="O2412" s="10"/>
      <c r="V2412" s="10"/>
    </row>
    <row r="2413" spans="1:22" x14ac:dyDescent="0.2">
      <c r="A2413" s="27"/>
      <c r="B2413" s="25"/>
      <c r="E2413" s="10"/>
      <c r="O2413" s="10"/>
      <c r="V2413" s="10"/>
    </row>
    <row r="2414" spans="1:22" x14ac:dyDescent="0.2">
      <c r="A2414" s="27"/>
      <c r="B2414" s="25"/>
      <c r="E2414" s="10"/>
      <c r="O2414" s="10"/>
      <c r="V2414" s="10"/>
    </row>
    <row r="2415" spans="1:22" x14ac:dyDescent="0.2">
      <c r="A2415" s="27"/>
      <c r="B2415" s="25"/>
      <c r="E2415" s="10"/>
      <c r="O2415" s="10"/>
      <c r="V2415" s="10"/>
    </row>
    <row r="2416" spans="1:22" x14ac:dyDescent="0.2">
      <c r="A2416" s="27"/>
      <c r="B2416" s="25"/>
      <c r="E2416" s="10"/>
      <c r="O2416" s="10"/>
      <c r="V2416" s="10"/>
    </row>
    <row r="2417" spans="1:22" x14ac:dyDescent="0.2">
      <c r="A2417" s="27"/>
      <c r="B2417" s="25"/>
      <c r="E2417" s="10"/>
      <c r="O2417" s="10"/>
      <c r="V2417" s="10"/>
    </row>
    <row r="2418" spans="1:22" x14ac:dyDescent="0.2">
      <c r="A2418" s="27"/>
      <c r="B2418" s="25"/>
      <c r="E2418" s="10"/>
      <c r="O2418" s="10"/>
      <c r="V2418" s="10"/>
    </row>
    <row r="2419" spans="1:22" x14ac:dyDescent="0.2">
      <c r="A2419" s="27"/>
      <c r="B2419" s="25"/>
      <c r="E2419" s="10"/>
      <c r="O2419" s="10"/>
      <c r="V2419" s="10"/>
    </row>
    <row r="2420" spans="1:22" x14ac:dyDescent="0.2">
      <c r="A2420" s="27"/>
      <c r="B2420" s="25"/>
      <c r="E2420" s="10"/>
      <c r="O2420" s="10"/>
      <c r="V2420" s="10"/>
    </row>
    <row r="2421" spans="1:22" x14ac:dyDescent="0.2">
      <c r="A2421" s="27"/>
      <c r="B2421" s="25"/>
      <c r="E2421" s="10"/>
      <c r="O2421" s="10"/>
      <c r="V2421" s="10"/>
    </row>
    <row r="2422" spans="1:22" x14ac:dyDescent="0.2">
      <c r="A2422" s="27"/>
      <c r="B2422" s="25"/>
      <c r="E2422" s="10"/>
      <c r="O2422" s="10"/>
      <c r="V2422" s="10"/>
    </row>
    <row r="2423" spans="1:22" x14ac:dyDescent="0.2">
      <c r="A2423" s="27"/>
      <c r="B2423" s="25"/>
      <c r="E2423" s="10"/>
      <c r="O2423" s="10"/>
      <c r="V2423" s="10"/>
    </row>
    <row r="2424" spans="1:22" x14ac:dyDescent="0.2">
      <c r="A2424" s="27"/>
      <c r="B2424" s="25"/>
      <c r="E2424" s="10"/>
      <c r="O2424" s="10"/>
      <c r="V2424" s="10"/>
    </row>
    <row r="2425" spans="1:22" x14ac:dyDescent="0.2">
      <c r="A2425" s="27"/>
      <c r="B2425" s="25"/>
      <c r="E2425" s="10"/>
      <c r="O2425" s="10"/>
      <c r="V2425" s="10"/>
    </row>
    <row r="2426" spans="1:22" x14ac:dyDescent="0.2">
      <c r="A2426" s="27"/>
      <c r="B2426" s="25"/>
      <c r="E2426" s="10"/>
      <c r="O2426" s="10"/>
      <c r="V2426" s="10"/>
    </row>
    <row r="2427" spans="1:22" x14ac:dyDescent="0.2">
      <c r="A2427" s="27"/>
      <c r="B2427" s="25"/>
      <c r="E2427" s="10"/>
      <c r="O2427" s="10"/>
      <c r="V2427" s="10"/>
    </row>
    <row r="2428" spans="1:22" x14ac:dyDescent="0.2">
      <c r="A2428" s="27"/>
      <c r="B2428" s="25"/>
      <c r="E2428" s="10"/>
      <c r="O2428" s="10"/>
      <c r="V2428" s="10"/>
    </row>
    <row r="2429" spans="1:22" x14ac:dyDescent="0.2">
      <c r="A2429" s="27"/>
      <c r="B2429" s="25"/>
      <c r="E2429" s="10"/>
      <c r="O2429" s="10"/>
      <c r="V2429" s="10"/>
    </row>
    <row r="2430" spans="1:22" x14ac:dyDescent="0.2">
      <c r="A2430" s="27"/>
      <c r="B2430" s="25"/>
      <c r="E2430" s="10"/>
      <c r="O2430" s="10"/>
      <c r="V2430" s="10"/>
    </row>
    <row r="2431" spans="1:22" x14ac:dyDescent="0.2">
      <c r="A2431" s="27"/>
      <c r="B2431" s="25"/>
      <c r="E2431" s="10"/>
      <c r="O2431" s="10"/>
      <c r="V2431" s="10"/>
    </row>
    <row r="2432" spans="1:22" x14ac:dyDescent="0.2">
      <c r="A2432" s="27"/>
      <c r="B2432" s="25"/>
      <c r="E2432" s="10"/>
      <c r="O2432" s="10"/>
      <c r="V2432" s="10"/>
    </row>
    <row r="2433" spans="1:22" x14ac:dyDescent="0.2">
      <c r="A2433" s="27"/>
      <c r="B2433" s="25"/>
      <c r="E2433" s="10"/>
      <c r="O2433" s="10"/>
      <c r="V2433" s="10"/>
    </row>
    <row r="2434" spans="1:22" x14ac:dyDescent="0.2">
      <c r="A2434" s="27"/>
      <c r="B2434" s="25"/>
      <c r="E2434" s="10"/>
      <c r="O2434" s="10"/>
      <c r="V2434" s="10"/>
    </row>
    <row r="2435" spans="1:22" x14ac:dyDescent="0.2">
      <c r="A2435" s="27"/>
      <c r="B2435" s="25"/>
      <c r="E2435" s="10"/>
      <c r="O2435" s="10"/>
      <c r="V2435" s="10"/>
    </row>
    <row r="2436" spans="1:22" x14ac:dyDescent="0.2">
      <c r="A2436" s="27"/>
      <c r="B2436" s="25"/>
      <c r="E2436" s="10"/>
      <c r="O2436" s="10"/>
      <c r="V2436" s="10"/>
    </row>
    <row r="2437" spans="1:22" x14ac:dyDescent="0.2">
      <c r="A2437" s="27"/>
      <c r="B2437" s="25"/>
      <c r="E2437" s="10"/>
      <c r="O2437" s="10"/>
      <c r="V2437" s="10"/>
    </row>
    <row r="2438" spans="1:22" x14ac:dyDescent="0.2">
      <c r="A2438" s="27"/>
      <c r="B2438" s="25"/>
      <c r="E2438" s="10"/>
      <c r="O2438" s="10"/>
      <c r="V2438" s="10"/>
    </row>
    <row r="2439" spans="1:22" x14ac:dyDescent="0.2">
      <c r="A2439" s="27"/>
      <c r="B2439" s="25"/>
      <c r="E2439" s="10"/>
      <c r="O2439" s="10"/>
      <c r="V2439" s="10"/>
    </row>
    <row r="2440" spans="1:22" x14ac:dyDescent="0.2">
      <c r="A2440" s="27"/>
      <c r="B2440" s="25"/>
      <c r="E2440" s="10"/>
      <c r="O2440" s="10"/>
      <c r="V2440" s="10"/>
    </row>
    <row r="2441" spans="1:22" x14ac:dyDescent="0.2">
      <c r="A2441" s="27"/>
      <c r="B2441" s="25"/>
      <c r="E2441" s="10"/>
      <c r="O2441" s="10"/>
      <c r="V2441" s="10"/>
    </row>
    <row r="2442" spans="1:22" x14ac:dyDescent="0.2">
      <c r="A2442" s="27"/>
      <c r="B2442" s="25"/>
      <c r="E2442" s="10"/>
      <c r="O2442" s="10"/>
      <c r="V2442" s="10"/>
    </row>
    <row r="2443" spans="1:22" x14ac:dyDescent="0.2">
      <c r="A2443" s="27"/>
      <c r="B2443" s="25"/>
      <c r="E2443" s="10"/>
      <c r="O2443" s="10"/>
      <c r="V2443" s="10"/>
    </row>
    <row r="2444" spans="1:22" x14ac:dyDescent="0.2">
      <c r="A2444" s="27"/>
      <c r="B2444" s="25"/>
      <c r="E2444" s="10"/>
      <c r="O2444" s="10"/>
      <c r="V2444" s="10"/>
    </row>
    <row r="2445" spans="1:22" x14ac:dyDescent="0.2">
      <c r="A2445" s="27"/>
      <c r="B2445" s="25"/>
      <c r="E2445" s="10"/>
      <c r="O2445" s="10"/>
      <c r="V2445" s="10"/>
    </row>
    <row r="2446" spans="1:22" x14ac:dyDescent="0.2">
      <c r="A2446" s="27"/>
      <c r="B2446" s="25"/>
      <c r="E2446" s="10"/>
      <c r="O2446" s="10"/>
      <c r="V2446" s="10"/>
    </row>
    <row r="2447" spans="1:22" x14ac:dyDescent="0.2">
      <c r="A2447" s="27"/>
      <c r="B2447" s="25"/>
      <c r="E2447" s="10"/>
      <c r="O2447" s="10"/>
      <c r="V2447" s="10"/>
    </row>
    <row r="2448" spans="1:22" x14ac:dyDescent="0.2">
      <c r="A2448" s="27"/>
      <c r="B2448" s="25"/>
      <c r="E2448" s="10"/>
      <c r="O2448" s="10"/>
      <c r="V2448" s="10"/>
    </row>
    <row r="2449" spans="1:22" x14ac:dyDescent="0.2">
      <c r="A2449" s="27"/>
      <c r="B2449" s="25"/>
      <c r="E2449" s="10"/>
      <c r="O2449" s="10"/>
      <c r="V2449" s="10"/>
    </row>
    <row r="2450" spans="1:22" x14ac:dyDescent="0.2">
      <c r="A2450" s="27"/>
      <c r="B2450" s="25"/>
      <c r="E2450" s="10"/>
      <c r="O2450" s="10"/>
      <c r="V2450" s="10"/>
    </row>
    <row r="2451" spans="1:22" x14ac:dyDescent="0.2">
      <c r="A2451" s="27"/>
      <c r="B2451" s="25"/>
      <c r="E2451" s="10"/>
      <c r="O2451" s="10"/>
      <c r="V2451" s="10"/>
    </row>
    <row r="2452" spans="1:22" x14ac:dyDescent="0.2">
      <c r="A2452" s="27"/>
      <c r="B2452" s="25"/>
      <c r="E2452" s="10"/>
      <c r="O2452" s="10"/>
      <c r="V2452" s="10"/>
    </row>
    <row r="2453" spans="1:22" x14ac:dyDescent="0.2">
      <c r="A2453" s="27"/>
      <c r="B2453" s="25"/>
      <c r="E2453" s="10"/>
      <c r="O2453" s="10"/>
      <c r="V2453" s="10"/>
    </row>
    <row r="2454" spans="1:22" x14ac:dyDescent="0.2">
      <c r="A2454" s="27"/>
      <c r="B2454" s="25"/>
      <c r="E2454" s="10"/>
      <c r="O2454" s="10"/>
      <c r="V2454" s="10"/>
    </row>
    <row r="2455" spans="1:22" x14ac:dyDescent="0.2">
      <c r="A2455" s="27"/>
      <c r="B2455" s="25"/>
      <c r="E2455" s="10"/>
      <c r="O2455" s="10"/>
      <c r="V2455" s="10"/>
    </row>
    <row r="2456" spans="1:22" x14ac:dyDescent="0.2">
      <c r="A2456" s="27"/>
      <c r="B2456" s="25"/>
      <c r="E2456" s="10"/>
      <c r="O2456" s="10"/>
      <c r="V2456" s="10"/>
    </row>
    <row r="2457" spans="1:22" x14ac:dyDescent="0.2">
      <c r="A2457" s="27"/>
      <c r="B2457" s="25"/>
      <c r="E2457" s="10"/>
      <c r="O2457" s="10"/>
      <c r="V2457" s="10"/>
    </row>
    <row r="2458" spans="1:22" x14ac:dyDescent="0.2">
      <c r="A2458" s="27"/>
      <c r="B2458" s="25"/>
      <c r="E2458" s="10"/>
      <c r="O2458" s="10"/>
      <c r="V2458" s="10"/>
    </row>
    <row r="2459" spans="1:22" x14ac:dyDescent="0.2">
      <c r="A2459" s="27"/>
      <c r="B2459" s="25"/>
      <c r="E2459" s="10"/>
      <c r="O2459" s="10"/>
      <c r="V2459" s="10"/>
    </row>
    <row r="2460" spans="1:22" x14ac:dyDescent="0.2">
      <c r="A2460" s="27"/>
      <c r="B2460" s="25"/>
      <c r="E2460" s="10"/>
      <c r="O2460" s="10"/>
      <c r="V2460" s="10"/>
    </row>
    <row r="2461" spans="1:22" x14ac:dyDescent="0.2">
      <c r="A2461" s="27"/>
      <c r="B2461" s="25"/>
      <c r="E2461" s="10"/>
      <c r="O2461" s="10"/>
      <c r="V2461" s="10"/>
    </row>
    <row r="2462" spans="1:22" x14ac:dyDescent="0.2">
      <c r="A2462" s="27"/>
      <c r="B2462" s="25"/>
      <c r="E2462" s="10"/>
      <c r="O2462" s="10"/>
      <c r="V2462" s="10"/>
    </row>
    <row r="2463" spans="1:22" x14ac:dyDescent="0.2">
      <c r="A2463" s="27"/>
      <c r="B2463" s="25"/>
      <c r="E2463" s="10"/>
      <c r="O2463" s="10"/>
      <c r="V2463" s="10"/>
    </row>
    <row r="2464" spans="1:22" x14ac:dyDescent="0.2">
      <c r="A2464" s="27"/>
      <c r="B2464" s="25"/>
      <c r="E2464" s="10"/>
      <c r="O2464" s="10"/>
      <c r="V2464" s="10"/>
    </row>
    <row r="2465" spans="1:22" x14ac:dyDescent="0.2">
      <c r="A2465" s="27"/>
      <c r="B2465" s="25"/>
      <c r="E2465" s="10"/>
      <c r="O2465" s="10"/>
      <c r="V2465" s="10"/>
    </row>
    <row r="2466" spans="1:22" x14ac:dyDescent="0.2">
      <c r="A2466" s="27"/>
      <c r="B2466" s="25"/>
      <c r="E2466" s="10"/>
      <c r="O2466" s="10"/>
      <c r="V2466" s="10"/>
    </row>
    <row r="2467" spans="1:22" x14ac:dyDescent="0.2">
      <c r="A2467" s="27"/>
      <c r="B2467" s="25"/>
      <c r="E2467" s="10"/>
      <c r="O2467" s="10"/>
      <c r="V2467" s="10"/>
    </row>
    <row r="2468" spans="1:22" x14ac:dyDescent="0.2">
      <c r="A2468" s="27"/>
      <c r="B2468" s="25"/>
      <c r="E2468" s="10"/>
      <c r="O2468" s="10"/>
      <c r="V2468" s="10"/>
    </row>
    <row r="2469" spans="1:22" x14ac:dyDescent="0.2">
      <c r="A2469" s="27"/>
      <c r="B2469" s="25"/>
      <c r="E2469" s="10"/>
      <c r="O2469" s="10"/>
      <c r="V2469" s="10"/>
    </row>
    <row r="2470" spans="1:22" x14ac:dyDescent="0.2">
      <c r="A2470" s="27"/>
      <c r="B2470" s="25"/>
      <c r="E2470" s="10"/>
      <c r="O2470" s="10"/>
      <c r="V2470" s="10"/>
    </row>
    <row r="2471" spans="1:22" x14ac:dyDescent="0.2">
      <c r="A2471" s="27"/>
      <c r="B2471" s="25"/>
      <c r="E2471" s="10"/>
      <c r="O2471" s="10"/>
      <c r="V2471" s="10"/>
    </row>
    <row r="2472" spans="1:22" x14ac:dyDescent="0.2">
      <c r="A2472" s="27"/>
      <c r="B2472" s="25"/>
      <c r="E2472" s="10"/>
      <c r="O2472" s="10"/>
      <c r="V2472" s="10"/>
    </row>
    <row r="2473" spans="1:22" x14ac:dyDescent="0.2">
      <c r="A2473" s="27"/>
      <c r="B2473" s="25"/>
      <c r="E2473" s="10"/>
      <c r="O2473" s="10"/>
      <c r="V2473" s="10"/>
    </row>
    <row r="2474" spans="1:22" x14ac:dyDescent="0.2">
      <c r="A2474" s="27"/>
      <c r="B2474" s="25"/>
      <c r="E2474" s="10"/>
      <c r="O2474" s="10"/>
      <c r="V2474" s="10"/>
    </row>
    <row r="2475" spans="1:22" x14ac:dyDescent="0.2">
      <c r="A2475" s="27"/>
      <c r="B2475" s="25"/>
      <c r="E2475" s="10"/>
      <c r="O2475" s="10"/>
      <c r="V2475" s="10"/>
    </row>
    <row r="2476" spans="1:22" x14ac:dyDescent="0.2">
      <c r="A2476" s="27"/>
      <c r="B2476" s="25"/>
      <c r="E2476" s="10"/>
      <c r="O2476" s="10"/>
      <c r="V2476" s="10"/>
    </row>
    <row r="2477" spans="1:22" x14ac:dyDescent="0.2">
      <c r="A2477" s="27"/>
      <c r="B2477" s="25"/>
      <c r="E2477" s="10"/>
      <c r="O2477" s="10"/>
      <c r="V2477" s="10"/>
    </row>
    <row r="2478" spans="1:22" x14ac:dyDescent="0.2">
      <c r="A2478" s="27"/>
      <c r="B2478" s="25"/>
      <c r="E2478" s="10"/>
      <c r="O2478" s="10"/>
      <c r="V2478" s="10"/>
    </row>
    <row r="2479" spans="1:22" x14ac:dyDescent="0.2">
      <c r="A2479" s="27"/>
      <c r="B2479" s="25"/>
      <c r="E2479" s="10"/>
      <c r="O2479" s="10"/>
      <c r="V2479" s="10"/>
    </row>
    <row r="2480" spans="1:22" x14ac:dyDescent="0.2">
      <c r="A2480" s="27"/>
      <c r="B2480" s="25"/>
      <c r="E2480" s="10"/>
      <c r="O2480" s="10"/>
      <c r="V2480" s="10"/>
    </row>
    <row r="2481" spans="1:22" x14ac:dyDescent="0.2">
      <c r="A2481" s="27"/>
      <c r="B2481" s="25"/>
      <c r="E2481" s="10"/>
      <c r="O2481" s="10"/>
      <c r="V2481" s="10"/>
    </row>
    <row r="2482" spans="1:22" x14ac:dyDescent="0.2">
      <c r="A2482" s="27"/>
      <c r="B2482" s="25"/>
      <c r="E2482" s="10"/>
      <c r="O2482" s="10"/>
      <c r="V2482" s="10"/>
    </row>
    <row r="2483" spans="1:22" x14ac:dyDescent="0.2">
      <c r="A2483" s="27"/>
      <c r="B2483" s="25"/>
      <c r="E2483" s="10"/>
      <c r="O2483" s="10"/>
      <c r="V2483" s="10"/>
    </row>
    <row r="2484" spans="1:22" x14ac:dyDescent="0.2">
      <c r="A2484" s="27"/>
      <c r="B2484" s="25"/>
      <c r="E2484" s="10"/>
      <c r="O2484" s="10"/>
      <c r="V2484" s="10"/>
    </row>
    <row r="2485" spans="1:22" x14ac:dyDescent="0.2">
      <c r="A2485" s="27"/>
      <c r="B2485" s="25"/>
      <c r="E2485" s="10"/>
      <c r="O2485" s="10"/>
      <c r="V2485" s="10"/>
    </row>
    <row r="2486" spans="1:22" x14ac:dyDescent="0.2">
      <c r="A2486" s="27"/>
      <c r="B2486" s="25"/>
      <c r="E2486" s="10"/>
      <c r="O2486" s="10"/>
      <c r="V2486" s="10"/>
    </row>
    <row r="2487" spans="1:22" x14ac:dyDescent="0.2">
      <c r="A2487" s="27"/>
      <c r="B2487" s="25"/>
      <c r="E2487" s="10"/>
      <c r="O2487" s="10"/>
      <c r="V2487" s="10"/>
    </row>
    <row r="2488" spans="1:22" x14ac:dyDescent="0.2">
      <c r="A2488" s="27"/>
      <c r="B2488" s="25"/>
      <c r="E2488" s="10"/>
      <c r="O2488" s="10"/>
      <c r="V2488" s="10"/>
    </row>
    <row r="2489" spans="1:22" x14ac:dyDescent="0.2">
      <c r="A2489" s="27"/>
      <c r="B2489" s="25"/>
      <c r="E2489" s="10"/>
      <c r="O2489" s="10"/>
      <c r="V2489" s="10"/>
    </row>
    <row r="2490" spans="1:22" x14ac:dyDescent="0.2">
      <c r="A2490" s="27"/>
      <c r="B2490" s="25"/>
      <c r="E2490" s="10"/>
      <c r="O2490" s="10"/>
      <c r="V2490" s="10"/>
    </row>
    <row r="2491" spans="1:22" x14ac:dyDescent="0.2">
      <c r="A2491" s="27"/>
      <c r="B2491" s="25"/>
      <c r="E2491" s="10"/>
      <c r="O2491" s="10"/>
      <c r="V2491" s="10"/>
    </row>
    <row r="2492" spans="1:22" x14ac:dyDescent="0.2">
      <c r="A2492" s="27"/>
      <c r="B2492" s="25"/>
      <c r="E2492" s="10"/>
      <c r="O2492" s="10"/>
      <c r="V2492" s="10"/>
    </row>
    <row r="2493" spans="1:22" x14ac:dyDescent="0.2">
      <c r="A2493" s="27"/>
      <c r="B2493" s="25"/>
      <c r="E2493" s="10"/>
      <c r="O2493" s="10"/>
      <c r="V2493" s="10"/>
    </row>
    <row r="2494" spans="1:22" x14ac:dyDescent="0.2">
      <c r="A2494" s="27"/>
      <c r="B2494" s="25"/>
      <c r="E2494" s="10"/>
      <c r="O2494" s="10"/>
      <c r="V2494" s="10"/>
    </row>
    <row r="2495" spans="1:22" x14ac:dyDescent="0.2">
      <c r="A2495" s="27"/>
      <c r="B2495" s="25"/>
      <c r="E2495" s="10"/>
      <c r="O2495" s="10"/>
      <c r="V2495" s="10"/>
    </row>
    <row r="2496" spans="1:22" x14ac:dyDescent="0.2">
      <c r="A2496" s="27"/>
      <c r="B2496" s="25"/>
      <c r="E2496" s="10"/>
      <c r="O2496" s="10"/>
      <c r="V2496" s="10"/>
    </row>
    <row r="2497" spans="1:22" x14ac:dyDescent="0.2">
      <c r="A2497" s="27"/>
      <c r="B2497" s="25"/>
      <c r="E2497" s="10"/>
      <c r="O2497" s="10"/>
      <c r="V2497" s="10"/>
    </row>
    <row r="2498" spans="1:22" x14ac:dyDescent="0.2">
      <c r="A2498" s="27"/>
      <c r="B2498" s="25"/>
      <c r="E2498" s="10"/>
      <c r="O2498" s="10"/>
      <c r="V2498" s="10"/>
    </row>
    <row r="2499" spans="1:22" x14ac:dyDescent="0.2">
      <c r="A2499" s="27"/>
      <c r="B2499" s="25"/>
      <c r="E2499" s="10"/>
      <c r="O2499" s="10"/>
      <c r="V2499" s="10"/>
    </row>
    <row r="2500" spans="1:22" x14ac:dyDescent="0.2">
      <c r="A2500" s="27"/>
      <c r="B2500" s="25"/>
      <c r="E2500" s="10"/>
      <c r="O2500" s="10"/>
      <c r="V2500" s="10"/>
    </row>
    <row r="2501" spans="1:22" x14ac:dyDescent="0.2">
      <c r="A2501" s="27"/>
      <c r="B2501" s="25"/>
      <c r="E2501" s="10"/>
      <c r="O2501" s="10"/>
      <c r="V2501" s="10"/>
    </row>
    <row r="2502" spans="1:22" x14ac:dyDescent="0.2">
      <c r="A2502" s="27"/>
      <c r="B2502" s="25"/>
      <c r="E2502" s="10"/>
      <c r="O2502" s="10"/>
      <c r="V2502" s="10"/>
    </row>
    <row r="2503" spans="1:22" x14ac:dyDescent="0.2">
      <c r="A2503" s="27"/>
      <c r="B2503" s="25"/>
      <c r="E2503" s="10"/>
      <c r="O2503" s="10"/>
      <c r="V2503" s="10"/>
    </row>
    <row r="2504" spans="1:22" x14ac:dyDescent="0.2">
      <c r="A2504" s="27"/>
      <c r="B2504" s="25"/>
      <c r="E2504" s="10"/>
      <c r="O2504" s="10"/>
      <c r="V2504" s="10"/>
    </row>
    <row r="2505" spans="1:22" x14ac:dyDescent="0.2">
      <c r="A2505" s="27"/>
      <c r="B2505" s="25"/>
      <c r="E2505" s="10"/>
      <c r="O2505" s="10"/>
      <c r="V2505" s="10"/>
    </row>
    <row r="2506" spans="1:22" x14ac:dyDescent="0.2">
      <c r="A2506" s="27"/>
      <c r="B2506" s="25"/>
      <c r="E2506" s="10"/>
      <c r="O2506" s="10"/>
      <c r="V2506" s="10"/>
    </row>
    <row r="2507" spans="1:22" x14ac:dyDescent="0.2">
      <c r="A2507" s="27"/>
      <c r="B2507" s="25"/>
      <c r="E2507" s="10"/>
      <c r="O2507" s="10"/>
      <c r="V2507" s="10"/>
    </row>
    <row r="2508" spans="1:22" x14ac:dyDescent="0.2">
      <c r="A2508" s="27"/>
      <c r="B2508" s="25"/>
      <c r="E2508" s="10"/>
      <c r="O2508" s="10"/>
      <c r="V2508" s="10"/>
    </row>
    <row r="2509" spans="1:22" x14ac:dyDescent="0.2">
      <c r="A2509" s="27"/>
      <c r="B2509" s="25"/>
      <c r="E2509" s="10"/>
      <c r="O2509" s="10"/>
      <c r="V2509" s="10"/>
    </row>
    <row r="2510" spans="1:22" x14ac:dyDescent="0.2">
      <c r="A2510" s="27"/>
      <c r="B2510" s="25"/>
      <c r="E2510" s="10"/>
      <c r="O2510" s="10"/>
      <c r="V2510" s="10"/>
    </row>
    <row r="2511" spans="1:22" x14ac:dyDescent="0.2">
      <c r="A2511" s="27"/>
      <c r="B2511" s="25"/>
      <c r="E2511" s="10"/>
      <c r="O2511" s="10"/>
      <c r="V2511" s="10"/>
    </row>
    <row r="2512" spans="1:22" x14ac:dyDescent="0.2">
      <c r="A2512" s="27"/>
      <c r="B2512" s="25"/>
      <c r="E2512" s="10"/>
      <c r="O2512" s="10"/>
      <c r="V2512" s="10"/>
    </row>
    <row r="2513" spans="1:22" x14ac:dyDescent="0.2">
      <c r="A2513" s="27"/>
      <c r="B2513" s="25"/>
      <c r="E2513" s="10"/>
      <c r="O2513" s="10"/>
      <c r="V2513" s="10"/>
    </row>
    <row r="2514" spans="1:22" x14ac:dyDescent="0.2">
      <c r="A2514" s="27"/>
      <c r="B2514" s="25"/>
      <c r="E2514" s="10"/>
      <c r="O2514" s="10"/>
      <c r="V2514" s="10"/>
    </row>
    <row r="2515" spans="1:22" x14ac:dyDescent="0.2">
      <c r="A2515" s="27"/>
      <c r="B2515" s="25"/>
      <c r="E2515" s="10"/>
      <c r="O2515" s="10"/>
      <c r="V2515" s="10"/>
    </row>
    <row r="2516" spans="1:22" x14ac:dyDescent="0.2">
      <c r="A2516" s="27"/>
      <c r="B2516" s="25"/>
      <c r="E2516" s="10"/>
      <c r="O2516" s="10"/>
      <c r="V2516" s="10"/>
    </row>
    <row r="2517" spans="1:22" x14ac:dyDescent="0.2">
      <c r="A2517" s="27"/>
      <c r="B2517" s="25"/>
      <c r="E2517" s="10"/>
      <c r="O2517" s="10"/>
      <c r="V2517" s="10"/>
    </row>
    <row r="2518" spans="1:22" x14ac:dyDescent="0.2">
      <c r="A2518" s="27"/>
      <c r="B2518" s="25"/>
      <c r="E2518" s="10"/>
      <c r="O2518" s="10"/>
      <c r="V2518" s="10"/>
    </row>
    <row r="2519" spans="1:22" x14ac:dyDescent="0.2">
      <c r="A2519" s="27"/>
      <c r="B2519" s="25"/>
      <c r="E2519" s="10"/>
      <c r="O2519" s="10"/>
      <c r="V2519" s="10"/>
    </row>
    <row r="2520" spans="1:22" x14ac:dyDescent="0.2">
      <c r="A2520" s="27"/>
      <c r="B2520" s="25"/>
      <c r="E2520" s="10"/>
      <c r="O2520" s="10"/>
      <c r="V2520" s="10"/>
    </row>
    <row r="2521" spans="1:22" x14ac:dyDescent="0.2">
      <c r="A2521" s="27"/>
      <c r="B2521" s="25"/>
      <c r="E2521" s="10"/>
      <c r="O2521" s="10"/>
      <c r="V2521" s="10"/>
    </row>
    <row r="2522" spans="1:22" x14ac:dyDescent="0.2">
      <c r="A2522" s="27"/>
      <c r="B2522" s="25"/>
      <c r="E2522" s="10"/>
      <c r="O2522" s="10"/>
      <c r="V2522" s="10"/>
    </row>
    <row r="2523" spans="1:22" x14ac:dyDescent="0.2">
      <c r="A2523" s="27"/>
      <c r="B2523" s="25"/>
      <c r="E2523" s="10"/>
      <c r="O2523" s="10"/>
      <c r="V2523" s="10"/>
    </row>
    <row r="2524" spans="1:22" x14ac:dyDescent="0.2">
      <c r="A2524" s="27"/>
      <c r="B2524" s="25"/>
      <c r="E2524" s="10"/>
      <c r="O2524" s="10"/>
      <c r="V2524" s="10"/>
    </row>
    <row r="2525" spans="1:22" x14ac:dyDescent="0.2">
      <c r="A2525" s="27"/>
      <c r="B2525" s="25"/>
      <c r="E2525" s="10"/>
      <c r="O2525" s="10"/>
      <c r="V2525" s="10"/>
    </row>
    <row r="2526" spans="1:22" x14ac:dyDescent="0.2">
      <c r="A2526" s="27"/>
      <c r="B2526" s="25"/>
      <c r="E2526" s="10"/>
      <c r="O2526" s="10"/>
      <c r="V2526" s="10"/>
    </row>
    <row r="2527" spans="1:22" x14ac:dyDescent="0.2">
      <c r="A2527" s="27"/>
      <c r="B2527" s="25"/>
      <c r="E2527" s="10"/>
      <c r="O2527" s="10"/>
      <c r="V2527" s="10"/>
    </row>
    <row r="2528" spans="1:22" x14ac:dyDescent="0.2">
      <c r="A2528" s="27"/>
      <c r="B2528" s="25"/>
      <c r="E2528" s="10"/>
      <c r="O2528" s="10"/>
      <c r="V2528" s="10"/>
    </row>
    <row r="2529" spans="1:22" x14ac:dyDescent="0.2">
      <c r="A2529" s="27"/>
      <c r="B2529" s="25"/>
      <c r="E2529" s="10"/>
      <c r="O2529" s="10"/>
      <c r="V2529" s="10"/>
    </row>
    <row r="2530" spans="1:22" x14ac:dyDescent="0.2">
      <c r="A2530" s="27"/>
      <c r="B2530" s="25"/>
      <c r="E2530" s="10"/>
      <c r="O2530" s="10"/>
      <c r="V2530" s="10"/>
    </row>
    <row r="2531" spans="1:22" x14ac:dyDescent="0.2">
      <c r="A2531" s="27"/>
      <c r="B2531" s="25"/>
      <c r="E2531" s="10"/>
      <c r="O2531" s="10"/>
      <c r="V2531" s="10"/>
    </row>
    <row r="2532" spans="1:22" x14ac:dyDescent="0.2">
      <c r="A2532" s="27"/>
      <c r="B2532" s="25"/>
      <c r="E2532" s="10"/>
      <c r="O2532" s="10"/>
      <c r="V2532" s="10"/>
    </row>
    <row r="2533" spans="1:22" x14ac:dyDescent="0.2">
      <c r="A2533" s="27"/>
      <c r="B2533" s="25"/>
      <c r="E2533" s="10"/>
      <c r="O2533" s="10"/>
      <c r="V2533" s="10"/>
    </row>
    <row r="2534" spans="1:22" x14ac:dyDescent="0.2">
      <c r="A2534" s="27"/>
      <c r="B2534" s="25"/>
      <c r="E2534" s="10"/>
      <c r="O2534" s="10"/>
      <c r="V2534" s="10"/>
    </row>
    <row r="2535" spans="1:22" x14ac:dyDescent="0.2">
      <c r="A2535" s="27"/>
      <c r="B2535" s="25"/>
      <c r="E2535" s="10"/>
      <c r="O2535" s="10"/>
      <c r="V2535" s="10"/>
    </row>
    <row r="2536" spans="1:22" x14ac:dyDescent="0.2">
      <c r="A2536" s="27"/>
      <c r="B2536" s="25"/>
      <c r="E2536" s="10"/>
      <c r="O2536" s="10"/>
      <c r="V2536" s="10"/>
    </row>
    <row r="2537" spans="1:22" x14ac:dyDescent="0.2">
      <c r="A2537" s="27"/>
      <c r="B2537" s="25"/>
      <c r="E2537" s="10"/>
      <c r="O2537" s="10"/>
      <c r="V2537" s="10"/>
    </row>
    <row r="2538" spans="1:22" x14ac:dyDescent="0.2">
      <c r="A2538" s="27"/>
      <c r="B2538" s="25"/>
      <c r="E2538" s="10"/>
      <c r="O2538" s="10"/>
      <c r="V2538" s="10"/>
    </row>
    <row r="2539" spans="1:22" x14ac:dyDescent="0.2">
      <c r="A2539" s="27"/>
      <c r="B2539" s="25"/>
      <c r="E2539" s="10"/>
      <c r="O2539" s="10"/>
      <c r="V2539" s="10"/>
    </row>
    <row r="2540" spans="1:22" x14ac:dyDescent="0.2">
      <c r="A2540" s="27"/>
      <c r="B2540" s="25"/>
      <c r="E2540" s="10"/>
      <c r="O2540" s="10"/>
      <c r="V2540" s="10"/>
    </row>
    <row r="2541" spans="1:22" x14ac:dyDescent="0.2">
      <c r="A2541" s="27"/>
      <c r="B2541" s="25"/>
      <c r="E2541" s="10"/>
      <c r="O2541" s="10"/>
      <c r="V2541" s="10"/>
    </row>
    <row r="2542" spans="1:22" x14ac:dyDescent="0.2">
      <c r="A2542" s="27"/>
      <c r="B2542" s="25"/>
      <c r="E2542" s="10"/>
      <c r="O2542" s="10"/>
      <c r="V2542" s="10"/>
    </row>
    <row r="2543" spans="1:22" x14ac:dyDescent="0.2">
      <c r="A2543" s="27"/>
      <c r="B2543" s="25"/>
      <c r="E2543" s="10"/>
      <c r="O2543" s="10"/>
      <c r="V2543" s="10"/>
    </row>
    <row r="2544" spans="1:22" x14ac:dyDescent="0.2">
      <c r="A2544" s="27"/>
      <c r="B2544" s="25"/>
      <c r="E2544" s="10"/>
      <c r="O2544" s="10"/>
      <c r="V2544" s="10"/>
    </row>
    <row r="2545" spans="1:22" x14ac:dyDescent="0.2">
      <c r="A2545" s="27"/>
      <c r="B2545" s="25"/>
      <c r="E2545" s="10"/>
      <c r="O2545" s="10"/>
      <c r="V2545" s="10"/>
    </row>
    <row r="2546" spans="1:22" x14ac:dyDescent="0.2">
      <c r="A2546" s="27"/>
      <c r="B2546" s="25"/>
      <c r="E2546" s="10"/>
      <c r="O2546" s="10"/>
      <c r="V2546" s="10"/>
    </row>
    <row r="2547" spans="1:22" x14ac:dyDescent="0.2">
      <c r="A2547" s="27"/>
      <c r="B2547" s="25"/>
      <c r="E2547" s="10"/>
      <c r="O2547" s="10"/>
      <c r="V2547" s="10"/>
    </row>
    <row r="2548" spans="1:22" x14ac:dyDescent="0.2">
      <c r="A2548" s="27"/>
      <c r="B2548" s="25"/>
      <c r="E2548" s="10"/>
      <c r="O2548" s="10"/>
      <c r="V2548" s="10"/>
    </row>
    <row r="2549" spans="1:22" x14ac:dyDescent="0.2">
      <c r="A2549" s="27"/>
      <c r="B2549" s="25"/>
      <c r="E2549" s="10"/>
      <c r="O2549" s="10"/>
      <c r="V2549" s="10"/>
    </row>
    <row r="2550" spans="1:22" x14ac:dyDescent="0.2">
      <c r="A2550" s="27"/>
      <c r="B2550" s="25"/>
      <c r="E2550" s="10"/>
      <c r="O2550" s="10"/>
      <c r="V2550" s="10"/>
    </row>
    <row r="2551" spans="1:22" x14ac:dyDescent="0.2">
      <c r="A2551" s="27"/>
      <c r="B2551" s="25"/>
      <c r="E2551" s="10"/>
      <c r="O2551" s="10"/>
      <c r="V2551" s="10"/>
    </row>
    <row r="2552" spans="1:22" x14ac:dyDescent="0.2">
      <c r="A2552" s="27"/>
      <c r="B2552" s="25"/>
      <c r="E2552" s="10"/>
      <c r="O2552" s="10"/>
      <c r="V2552" s="10"/>
    </row>
    <row r="2553" spans="1:22" x14ac:dyDescent="0.2">
      <c r="A2553" s="27"/>
      <c r="B2553" s="25"/>
      <c r="E2553" s="10"/>
      <c r="O2553" s="10"/>
      <c r="V2553" s="10"/>
    </row>
    <row r="2554" spans="1:22" x14ac:dyDescent="0.2">
      <c r="A2554" s="27"/>
      <c r="B2554" s="25"/>
      <c r="E2554" s="10"/>
      <c r="O2554" s="10"/>
      <c r="V2554" s="10"/>
    </row>
    <row r="2555" spans="1:22" x14ac:dyDescent="0.2">
      <c r="A2555" s="27"/>
      <c r="B2555" s="25"/>
      <c r="E2555" s="10"/>
      <c r="O2555" s="10"/>
      <c r="V2555" s="10"/>
    </row>
    <row r="2556" spans="1:22" x14ac:dyDescent="0.2">
      <c r="A2556" s="27"/>
      <c r="B2556" s="25"/>
      <c r="E2556" s="10"/>
      <c r="O2556" s="10"/>
      <c r="V2556" s="10"/>
    </row>
    <row r="2557" spans="1:22" x14ac:dyDescent="0.2">
      <c r="A2557" s="27"/>
      <c r="B2557" s="25"/>
      <c r="E2557" s="10"/>
      <c r="O2557" s="10"/>
      <c r="V2557" s="10"/>
    </row>
    <row r="2558" spans="1:22" x14ac:dyDescent="0.2">
      <c r="A2558" s="27"/>
      <c r="B2558" s="25"/>
      <c r="E2558" s="10"/>
      <c r="O2558" s="10"/>
      <c r="V2558" s="10"/>
    </row>
    <row r="2559" spans="1:22" x14ac:dyDescent="0.2">
      <c r="A2559" s="27"/>
      <c r="B2559" s="25"/>
      <c r="E2559" s="10"/>
      <c r="O2559" s="10"/>
      <c r="V2559" s="10"/>
    </row>
    <row r="2560" spans="1:22" x14ac:dyDescent="0.2">
      <c r="A2560" s="27"/>
      <c r="B2560" s="25"/>
      <c r="E2560" s="10"/>
      <c r="O2560" s="10"/>
      <c r="V2560" s="10"/>
    </row>
    <row r="2561" spans="1:22" x14ac:dyDescent="0.2">
      <c r="A2561" s="27"/>
      <c r="B2561" s="25"/>
      <c r="E2561" s="10"/>
      <c r="O2561" s="10"/>
      <c r="V2561" s="10"/>
    </row>
    <row r="2562" spans="1:22" x14ac:dyDescent="0.2">
      <c r="A2562" s="27"/>
      <c r="B2562" s="25"/>
      <c r="E2562" s="10"/>
      <c r="O2562" s="10"/>
      <c r="V2562" s="10"/>
    </row>
    <row r="2563" spans="1:22" x14ac:dyDescent="0.2">
      <c r="A2563" s="27"/>
      <c r="B2563" s="25"/>
      <c r="E2563" s="10"/>
      <c r="O2563" s="10"/>
      <c r="V2563" s="10"/>
    </row>
    <row r="2564" spans="1:22" x14ac:dyDescent="0.2">
      <c r="A2564" s="27"/>
      <c r="B2564" s="25"/>
      <c r="E2564" s="10"/>
      <c r="O2564" s="10"/>
      <c r="V2564" s="10"/>
    </row>
    <row r="2565" spans="1:22" x14ac:dyDescent="0.2">
      <c r="A2565" s="27"/>
      <c r="B2565" s="25"/>
      <c r="E2565" s="10"/>
      <c r="O2565" s="10"/>
      <c r="V2565" s="10"/>
    </row>
    <row r="2566" spans="1:22" x14ac:dyDescent="0.2">
      <c r="A2566" s="27"/>
      <c r="B2566" s="25"/>
      <c r="E2566" s="10"/>
      <c r="O2566" s="10"/>
      <c r="V2566" s="10"/>
    </row>
    <row r="2567" spans="1:22" x14ac:dyDescent="0.2">
      <c r="A2567" s="27"/>
      <c r="B2567" s="25"/>
      <c r="E2567" s="10"/>
      <c r="O2567" s="10"/>
      <c r="V2567" s="10"/>
    </row>
    <row r="2568" spans="1:22" x14ac:dyDescent="0.2">
      <c r="A2568" s="27"/>
      <c r="B2568" s="25"/>
      <c r="E2568" s="10"/>
      <c r="O2568" s="10"/>
      <c r="V2568" s="10"/>
    </row>
    <row r="2569" spans="1:22" x14ac:dyDescent="0.2">
      <c r="A2569" s="27"/>
      <c r="B2569" s="25"/>
      <c r="E2569" s="10"/>
      <c r="O2569" s="10"/>
      <c r="V2569" s="10"/>
    </row>
    <row r="2570" spans="1:22" x14ac:dyDescent="0.2">
      <c r="A2570" s="27"/>
      <c r="B2570" s="25"/>
      <c r="E2570" s="10"/>
      <c r="O2570" s="10"/>
      <c r="V2570" s="10"/>
    </row>
    <row r="2571" spans="1:22" x14ac:dyDescent="0.2">
      <c r="A2571" s="27"/>
      <c r="B2571" s="25"/>
      <c r="E2571" s="10"/>
      <c r="O2571" s="10"/>
      <c r="V2571" s="10"/>
    </row>
    <row r="2572" spans="1:22" x14ac:dyDescent="0.2">
      <c r="A2572" s="27"/>
      <c r="B2572" s="25"/>
      <c r="E2572" s="10"/>
      <c r="O2572" s="10"/>
      <c r="V2572" s="10"/>
    </row>
    <row r="2573" spans="1:22" x14ac:dyDescent="0.2">
      <c r="A2573" s="27"/>
      <c r="B2573" s="25"/>
      <c r="E2573" s="10"/>
      <c r="O2573" s="10"/>
      <c r="V2573" s="10"/>
    </row>
    <row r="2574" spans="1:22" x14ac:dyDescent="0.2">
      <c r="A2574" s="27"/>
      <c r="B2574" s="25"/>
      <c r="E2574" s="10"/>
      <c r="O2574" s="10"/>
      <c r="V2574" s="10"/>
    </row>
    <row r="2575" spans="1:22" x14ac:dyDescent="0.2">
      <c r="A2575" s="27"/>
      <c r="B2575" s="25"/>
      <c r="E2575" s="10"/>
      <c r="O2575" s="10"/>
      <c r="V2575" s="10"/>
    </row>
    <row r="2576" spans="1:22" x14ac:dyDescent="0.2">
      <c r="A2576" s="27"/>
      <c r="B2576" s="25"/>
      <c r="E2576" s="10"/>
      <c r="O2576" s="10"/>
      <c r="V2576" s="10"/>
    </row>
    <row r="2577" spans="1:22" x14ac:dyDescent="0.2">
      <c r="A2577" s="27"/>
      <c r="B2577" s="25"/>
      <c r="E2577" s="10"/>
      <c r="O2577" s="10"/>
      <c r="V2577" s="10"/>
    </row>
    <row r="2578" spans="1:22" x14ac:dyDescent="0.2">
      <c r="A2578" s="27"/>
      <c r="B2578" s="25"/>
      <c r="E2578" s="10"/>
      <c r="O2578" s="10"/>
      <c r="V2578" s="10"/>
    </row>
    <row r="2579" spans="1:22" x14ac:dyDescent="0.2">
      <c r="A2579" s="27"/>
      <c r="B2579" s="25"/>
      <c r="E2579" s="10"/>
      <c r="O2579" s="10"/>
      <c r="V2579" s="10"/>
    </row>
    <row r="2580" spans="1:22" x14ac:dyDescent="0.2">
      <c r="A2580" s="27"/>
      <c r="B2580" s="25"/>
      <c r="E2580" s="10"/>
      <c r="O2580" s="10"/>
      <c r="V2580" s="10"/>
    </row>
    <row r="2581" spans="1:22" x14ac:dyDescent="0.2">
      <c r="A2581" s="27"/>
      <c r="B2581" s="25"/>
      <c r="E2581" s="10"/>
      <c r="O2581" s="10"/>
      <c r="V2581" s="10"/>
    </row>
    <row r="2582" spans="1:22" x14ac:dyDescent="0.2">
      <c r="A2582" s="27"/>
      <c r="B2582" s="25"/>
      <c r="E2582" s="10"/>
      <c r="O2582" s="10"/>
      <c r="V2582" s="10"/>
    </row>
    <row r="2583" spans="1:22" x14ac:dyDescent="0.2">
      <c r="A2583" s="27"/>
      <c r="B2583" s="25"/>
      <c r="E2583" s="10"/>
      <c r="O2583" s="10"/>
      <c r="V2583" s="10"/>
    </row>
    <row r="2584" spans="1:22" x14ac:dyDescent="0.2">
      <c r="A2584" s="27"/>
      <c r="B2584" s="25"/>
      <c r="E2584" s="10"/>
      <c r="O2584" s="10"/>
      <c r="V2584" s="10"/>
    </row>
    <row r="2585" spans="1:22" x14ac:dyDescent="0.2">
      <c r="A2585" s="27"/>
      <c r="B2585" s="25"/>
      <c r="E2585" s="10"/>
      <c r="O2585" s="10"/>
      <c r="V2585" s="10"/>
    </row>
    <row r="2586" spans="1:22" x14ac:dyDescent="0.2">
      <c r="A2586" s="27"/>
      <c r="B2586" s="25"/>
      <c r="E2586" s="10"/>
      <c r="O2586" s="10"/>
      <c r="V2586" s="10"/>
    </row>
    <row r="2587" spans="1:22" x14ac:dyDescent="0.2">
      <c r="A2587" s="27"/>
      <c r="B2587" s="25"/>
      <c r="E2587" s="10"/>
      <c r="O2587" s="10"/>
      <c r="V2587" s="10"/>
    </row>
    <row r="2588" spans="1:22" x14ac:dyDescent="0.2">
      <c r="A2588" s="27"/>
      <c r="B2588" s="25"/>
      <c r="E2588" s="10"/>
      <c r="O2588" s="10"/>
      <c r="V2588" s="10"/>
    </row>
    <row r="2589" spans="1:22" x14ac:dyDescent="0.2">
      <c r="A2589" s="27"/>
      <c r="B2589" s="25"/>
      <c r="E2589" s="10"/>
      <c r="O2589" s="10"/>
      <c r="V2589" s="10"/>
    </row>
    <row r="2590" spans="1:22" x14ac:dyDescent="0.2">
      <c r="A2590" s="27"/>
      <c r="B2590" s="25"/>
      <c r="E2590" s="10"/>
      <c r="O2590" s="10"/>
      <c r="V2590" s="10"/>
    </row>
    <row r="2591" spans="1:22" x14ac:dyDescent="0.2">
      <c r="A2591" s="27"/>
      <c r="B2591" s="25"/>
      <c r="E2591" s="10"/>
      <c r="O2591" s="10"/>
      <c r="V2591" s="10"/>
    </row>
    <row r="2592" spans="1:22" x14ac:dyDescent="0.2">
      <c r="A2592" s="27"/>
      <c r="B2592" s="25"/>
      <c r="E2592" s="10"/>
      <c r="O2592" s="10"/>
      <c r="V2592" s="10"/>
    </row>
    <row r="2593" spans="1:22" x14ac:dyDescent="0.2">
      <c r="A2593" s="27"/>
      <c r="B2593" s="25"/>
      <c r="E2593" s="10"/>
      <c r="O2593" s="10"/>
      <c r="V2593" s="10"/>
    </row>
    <row r="2594" spans="1:22" x14ac:dyDescent="0.2">
      <c r="A2594" s="27"/>
      <c r="B2594" s="25"/>
      <c r="E2594" s="10"/>
      <c r="O2594" s="10"/>
      <c r="V2594" s="10"/>
    </row>
    <row r="2595" spans="1:22" x14ac:dyDescent="0.2">
      <c r="A2595" s="27"/>
      <c r="B2595" s="25"/>
      <c r="E2595" s="10"/>
      <c r="O2595" s="10"/>
      <c r="V2595" s="10"/>
    </row>
    <row r="2596" spans="1:22" x14ac:dyDescent="0.2">
      <c r="A2596" s="27"/>
      <c r="B2596" s="25"/>
      <c r="E2596" s="10"/>
      <c r="O2596" s="10"/>
      <c r="V2596" s="10"/>
    </row>
    <row r="2597" spans="1:22" x14ac:dyDescent="0.2">
      <c r="A2597" s="27"/>
      <c r="B2597" s="25"/>
      <c r="E2597" s="10"/>
      <c r="O2597" s="10"/>
      <c r="V2597" s="10"/>
    </row>
    <row r="2598" spans="1:22" x14ac:dyDescent="0.2">
      <c r="A2598" s="27"/>
      <c r="B2598" s="25"/>
      <c r="E2598" s="10"/>
      <c r="O2598" s="10"/>
      <c r="V2598" s="10"/>
    </row>
    <row r="2599" spans="1:22" x14ac:dyDescent="0.2">
      <c r="A2599" s="27"/>
      <c r="B2599" s="25"/>
      <c r="E2599" s="10"/>
      <c r="O2599" s="10"/>
      <c r="V2599" s="10"/>
    </row>
    <row r="2600" spans="1:22" x14ac:dyDescent="0.2">
      <c r="A2600" s="27"/>
      <c r="B2600" s="25"/>
      <c r="E2600" s="10"/>
      <c r="O2600" s="10"/>
      <c r="V2600" s="10"/>
    </row>
    <row r="2601" spans="1:22" x14ac:dyDescent="0.2">
      <c r="A2601" s="27"/>
      <c r="B2601" s="25"/>
      <c r="E2601" s="10"/>
      <c r="O2601" s="10"/>
      <c r="V2601" s="10"/>
    </row>
    <row r="2602" spans="1:22" x14ac:dyDescent="0.2">
      <c r="A2602" s="27"/>
      <c r="B2602" s="25"/>
      <c r="E2602" s="10"/>
      <c r="O2602" s="10"/>
      <c r="V2602" s="10"/>
    </row>
    <row r="2603" spans="1:22" x14ac:dyDescent="0.2">
      <c r="A2603" s="27"/>
      <c r="B2603" s="25"/>
      <c r="E2603" s="10"/>
      <c r="O2603" s="10"/>
      <c r="V2603" s="10"/>
    </row>
    <row r="2604" spans="1:22" x14ac:dyDescent="0.2">
      <c r="A2604" s="27"/>
      <c r="B2604" s="25"/>
      <c r="E2604" s="10"/>
      <c r="O2604" s="10"/>
      <c r="V2604" s="10"/>
    </row>
    <row r="2605" spans="1:22" x14ac:dyDescent="0.2">
      <c r="A2605" s="27"/>
      <c r="B2605" s="25"/>
      <c r="E2605" s="10"/>
      <c r="O2605" s="10"/>
      <c r="V2605" s="10"/>
    </row>
    <row r="2606" spans="1:22" x14ac:dyDescent="0.2">
      <c r="A2606" s="27"/>
      <c r="B2606" s="25"/>
      <c r="E2606" s="10"/>
      <c r="O2606" s="10"/>
      <c r="V2606" s="10"/>
    </row>
    <row r="2607" spans="1:22" x14ac:dyDescent="0.2">
      <c r="A2607" s="27"/>
      <c r="B2607" s="25"/>
      <c r="E2607" s="10"/>
      <c r="O2607" s="10"/>
      <c r="V2607" s="10"/>
    </row>
    <row r="2608" spans="1:22" x14ac:dyDescent="0.2">
      <c r="A2608" s="27"/>
      <c r="B2608" s="25"/>
      <c r="E2608" s="10"/>
      <c r="O2608" s="10"/>
      <c r="V2608" s="10"/>
    </row>
    <row r="2609" spans="1:22" x14ac:dyDescent="0.2">
      <c r="A2609" s="27"/>
      <c r="B2609" s="25"/>
      <c r="E2609" s="10"/>
      <c r="O2609" s="10"/>
      <c r="V2609" s="10"/>
    </row>
    <row r="2610" spans="1:22" x14ac:dyDescent="0.2">
      <c r="A2610" s="27"/>
      <c r="B2610" s="25"/>
      <c r="E2610" s="10"/>
      <c r="O2610" s="10"/>
      <c r="V2610" s="10"/>
    </row>
    <row r="2611" spans="1:22" x14ac:dyDescent="0.2">
      <c r="A2611" s="27"/>
      <c r="B2611" s="25"/>
      <c r="E2611" s="10"/>
      <c r="O2611" s="10"/>
      <c r="V2611" s="10"/>
    </row>
    <row r="2612" spans="1:22" x14ac:dyDescent="0.2">
      <c r="A2612" s="27"/>
      <c r="B2612" s="25"/>
      <c r="E2612" s="10"/>
      <c r="O2612" s="10"/>
      <c r="V2612" s="10"/>
    </row>
    <row r="2613" spans="1:22" x14ac:dyDescent="0.2">
      <c r="A2613" s="27"/>
      <c r="B2613" s="25"/>
      <c r="E2613" s="10"/>
      <c r="O2613" s="10"/>
      <c r="V2613" s="10"/>
    </row>
    <row r="2614" spans="1:22" x14ac:dyDescent="0.2">
      <c r="A2614" s="27"/>
      <c r="B2614" s="25"/>
      <c r="E2614" s="10"/>
      <c r="O2614" s="10"/>
      <c r="V2614" s="10"/>
    </row>
    <row r="2615" spans="1:22" x14ac:dyDescent="0.2">
      <c r="A2615" s="27"/>
      <c r="B2615" s="25"/>
      <c r="E2615" s="10"/>
      <c r="O2615" s="10"/>
      <c r="V2615" s="10"/>
    </row>
    <row r="2616" spans="1:22" x14ac:dyDescent="0.2">
      <c r="A2616" s="27"/>
      <c r="B2616" s="25"/>
      <c r="E2616" s="10"/>
      <c r="O2616" s="10"/>
      <c r="V2616" s="10"/>
    </row>
    <row r="2617" spans="1:22" x14ac:dyDescent="0.2">
      <c r="A2617" s="27"/>
      <c r="B2617" s="25"/>
      <c r="E2617" s="10"/>
      <c r="O2617" s="10"/>
      <c r="V2617" s="10"/>
    </row>
    <row r="2618" spans="1:22" x14ac:dyDescent="0.2">
      <c r="A2618" s="27"/>
      <c r="B2618" s="25"/>
      <c r="E2618" s="10"/>
      <c r="O2618" s="10"/>
      <c r="V2618" s="10"/>
    </row>
    <row r="2619" spans="1:22" x14ac:dyDescent="0.2">
      <c r="A2619" s="27"/>
      <c r="B2619" s="25"/>
      <c r="E2619" s="10"/>
      <c r="O2619" s="10"/>
      <c r="V2619" s="10"/>
    </row>
    <row r="2620" spans="1:22" x14ac:dyDescent="0.2">
      <c r="A2620" s="27"/>
      <c r="B2620" s="25"/>
      <c r="E2620" s="10"/>
      <c r="O2620" s="10"/>
      <c r="V2620" s="10"/>
    </row>
    <row r="2621" spans="1:22" x14ac:dyDescent="0.2">
      <c r="A2621" s="27"/>
      <c r="B2621" s="25"/>
      <c r="E2621" s="10"/>
      <c r="O2621" s="10"/>
      <c r="V2621" s="10"/>
    </row>
    <row r="2622" spans="1:22" x14ac:dyDescent="0.2">
      <c r="A2622" s="27"/>
      <c r="B2622" s="25"/>
      <c r="E2622" s="10"/>
      <c r="O2622" s="10"/>
      <c r="V2622" s="10"/>
    </row>
    <row r="2623" spans="1:22" x14ac:dyDescent="0.2">
      <c r="A2623" s="27"/>
      <c r="B2623" s="25"/>
      <c r="E2623" s="10"/>
      <c r="O2623" s="10"/>
      <c r="V2623" s="10"/>
    </row>
    <row r="2624" spans="1:22" x14ac:dyDescent="0.2">
      <c r="A2624" s="27"/>
      <c r="B2624" s="25"/>
      <c r="E2624" s="10"/>
      <c r="O2624" s="10"/>
      <c r="V2624" s="10"/>
    </row>
    <row r="2625" spans="1:22" x14ac:dyDescent="0.2">
      <c r="A2625" s="27"/>
      <c r="B2625" s="25"/>
      <c r="E2625" s="10"/>
      <c r="O2625" s="10"/>
      <c r="V2625" s="10"/>
    </row>
    <row r="2626" spans="1:22" x14ac:dyDescent="0.2">
      <c r="A2626" s="27"/>
      <c r="B2626" s="25"/>
      <c r="E2626" s="10"/>
      <c r="O2626" s="10"/>
      <c r="V2626" s="10"/>
    </row>
    <row r="2627" spans="1:22" x14ac:dyDescent="0.2">
      <c r="A2627" s="27"/>
      <c r="B2627" s="25"/>
      <c r="E2627" s="10"/>
      <c r="O2627" s="10"/>
      <c r="V2627" s="10"/>
    </row>
    <row r="2628" spans="1:22" x14ac:dyDescent="0.2">
      <c r="A2628" s="27"/>
      <c r="B2628" s="25"/>
      <c r="E2628" s="10"/>
      <c r="O2628" s="10"/>
      <c r="V2628" s="10"/>
    </row>
    <row r="2629" spans="1:22" x14ac:dyDescent="0.2">
      <c r="A2629" s="27"/>
      <c r="B2629" s="25"/>
      <c r="E2629" s="10"/>
      <c r="O2629" s="10"/>
      <c r="V2629" s="10"/>
    </row>
    <row r="2630" spans="1:22" x14ac:dyDescent="0.2">
      <c r="A2630" s="27"/>
      <c r="B2630" s="25"/>
      <c r="E2630" s="10"/>
      <c r="O2630" s="10"/>
      <c r="V2630" s="10"/>
    </row>
    <row r="2631" spans="1:22" x14ac:dyDescent="0.2">
      <c r="A2631" s="27"/>
      <c r="B2631" s="25"/>
      <c r="E2631" s="10"/>
      <c r="O2631" s="10"/>
      <c r="V2631" s="10"/>
    </row>
    <row r="2632" spans="1:22" x14ac:dyDescent="0.2">
      <c r="A2632" s="27"/>
      <c r="B2632" s="25"/>
      <c r="E2632" s="10"/>
      <c r="O2632" s="10"/>
      <c r="V2632" s="10"/>
    </row>
    <row r="2633" spans="1:22" x14ac:dyDescent="0.2">
      <c r="A2633" s="27"/>
      <c r="B2633" s="25"/>
      <c r="E2633" s="10"/>
      <c r="O2633" s="10"/>
      <c r="V2633" s="10"/>
    </row>
    <row r="2634" spans="1:22" x14ac:dyDescent="0.2">
      <c r="A2634" s="27"/>
      <c r="B2634" s="25"/>
      <c r="E2634" s="10"/>
      <c r="O2634" s="10"/>
      <c r="V2634" s="10"/>
    </row>
    <row r="2635" spans="1:22" x14ac:dyDescent="0.2">
      <c r="A2635" s="27"/>
      <c r="B2635" s="25"/>
      <c r="E2635" s="10"/>
      <c r="O2635" s="10"/>
      <c r="V2635" s="10"/>
    </row>
    <row r="2636" spans="1:22" x14ac:dyDescent="0.2">
      <c r="A2636" s="27"/>
      <c r="B2636" s="25"/>
      <c r="E2636" s="10"/>
      <c r="O2636" s="10"/>
      <c r="V2636" s="10"/>
    </row>
    <row r="2637" spans="1:22" x14ac:dyDescent="0.2">
      <c r="A2637" s="27"/>
      <c r="B2637" s="25"/>
      <c r="E2637" s="10"/>
      <c r="O2637" s="10"/>
      <c r="V2637" s="10"/>
    </row>
    <row r="2638" spans="1:22" x14ac:dyDescent="0.2">
      <c r="A2638" s="27"/>
      <c r="B2638" s="25"/>
      <c r="E2638" s="10"/>
      <c r="O2638" s="10"/>
      <c r="V2638" s="10"/>
    </row>
    <row r="2639" spans="1:22" x14ac:dyDescent="0.2">
      <c r="A2639" s="27"/>
      <c r="B2639" s="25"/>
      <c r="E2639" s="10"/>
      <c r="O2639" s="10"/>
      <c r="V2639" s="10"/>
    </row>
    <row r="2640" spans="1:22" x14ac:dyDescent="0.2">
      <c r="A2640" s="27"/>
      <c r="B2640" s="25"/>
      <c r="E2640" s="10"/>
      <c r="O2640" s="10"/>
      <c r="V2640" s="10"/>
    </row>
    <row r="2641" spans="1:22" x14ac:dyDescent="0.2">
      <c r="A2641" s="27"/>
      <c r="B2641" s="25"/>
      <c r="E2641" s="10"/>
      <c r="O2641" s="10"/>
      <c r="V2641" s="10"/>
    </row>
    <row r="2642" spans="1:22" x14ac:dyDescent="0.2">
      <c r="A2642" s="27"/>
      <c r="B2642" s="25"/>
      <c r="E2642" s="10"/>
      <c r="O2642" s="10"/>
      <c r="V2642" s="10"/>
    </row>
    <row r="2643" spans="1:22" x14ac:dyDescent="0.2">
      <c r="A2643" s="27"/>
      <c r="B2643" s="25"/>
      <c r="E2643" s="10"/>
      <c r="O2643" s="10"/>
      <c r="V2643" s="10"/>
    </row>
    <row r="2644" spans="1:22" x14ac:dyDescent="0.2">
      <c r="A2644" s="27"/>
      <c r="B2644" s="25"/>
      <c r="E2644" s="10"/>
      <c r="O2644" s="10"/>
      <c r="V2644" s="10"/>
    </row>
    <row r="2645" spans="1:22" x14ac:dyDescent="0.2">
      <c r="A2645" s="27"/>
      <c r="B2645" s="25"/>
      <c r="E2645" s="10"/>
      <c r="O2645" s="10"/>
      <c r="V2645" s="10"/>
    </row>
    <row r="2646" spans="1:22" x14ac:dyDescent="0.2">
      <c r="A2646" s="27"/>
      <c r="B2646" s="25"/>
      <c r="E2646" s="10"/>
      <c r="O2646" s="10"/>
      <c r="V2646" s="10"/>
    </row>
    <row r="2647" spans="1:22" x14ac:dyDescent="0.2">
      <c r="A2647" s="27"/>
      <c r="B2647" s="25"/>
      <c r="E2647" s="10"/>
      <c r="O2647" s="10"/>
      <c r="V2647" s="10"/>
    </row>
    <row r="2648" spans="1:22" x14ac:dyDescent="0.2">
      <c r="A2648" s="27"/>
      <c r="B2648" s="25"/>
      <c r="E2648" s="10"/>
      <c r="O2648" s="10"/>
      <c r="V2648" s="10"/>
    </row>
    <row r="2649" spans="1:22" x14ac:dyDescent="0.2">
      <c r="A2649" s="27"/>
      <c r="B2649" s="25"/>
      <c r="E2649" s="10"/>
      <c r="O2649" s="10"/>
      <c r="V2649" s="10"/>
    </row>
    <row r="2650" spans="1:22" x14ac:dyDescent="0.2">
      <c r="A2650" s="27"/>
      <c r="B2650" s="25"/>
      <c r="E2650" s="10"/>
      <c r="O2650" s="10"/>
      <c r="V2650" s="10"/>
    </row>
    <row r="2651" spans="1:22" x14ac:dyDescent="0.2">
      <c r="A2651" s="27"/>
      <c r="B2651" s="25"/>
      <c r="E2651" s="10"/>
      <c r="O2651" s="10"/>
      <c r="V2651" s="10"/>
    </row>
    <row r="2652" spans="1:22" x14ac:dyDescent="0.2">
      <c r="A2652" s="27"/>
      <c r="B2652" s="25"/>
      <c r="E2652" s="10"/>
      <c r="O2652" s="10"/>
      <c r="V2652" s="10"/>
    </row>
    <row r="2653" spans="1:22" x14ac:dyDescent="0.2">
      <c r="A2653" s="27"/>
      <c r="B2653" s="25"/>
      <c r="E2653" s="10"/>
      <c r="O2653" s="10"/>
      <c r="V2653" s="10"/>
    </row>
    <row r="2654" spans="1:22" x14ac:dyDescent="0.2">
      <c r="A2654" s="27"/>
      <c r="B2654" s="25"/>
      <c r="E2654" s="10"/>
      <c r="O2654" s="10"/>
      <c r="V2654" s="10"/>
    </row>
    <row r="2655" spans="1:22" x14ac:dyDescent="0.2">
      <c r="A2655" s="27"/>
      <c r="B2655" s="25"/>
      <c r="E2655" s="10"/>
      <c r="O2655" s="10"/>
      <c r="V2655" s="10"/>
    </row>
    <row r="2656" spans="1:22" x14ac:dyDescent="0.2">
      <c r="A2656" s="27"/>
      <c r="B2656" s="25"/>
      <c r="E2656" s="10"/>
      <c r="O2656" s="10"/>
      <c r="V2656" s="10"/>
    </row>
    <row r="2657" spans="1:22" x14ac:dyDescent="0.2">
      <c r="A2657" s="27"/>
      <c r="B2657" s="25"/>
      <c r="E2657" s="10"/>
      <c r="O2657" s="10"/>
      <c r="V2657" s="10"/>
    </row>
    <row r="2658" spans="1:22" x14ac:dyDescent="0.2">
      <c r="A2658" s="27"/>
      <c r="B2658" s="25"/>
      <c r="E2658" s="10"/>
      <c r="O2658" s="10"/>
      <c r="V2658" s="10"/>
    </row>
    <row r="2659" spans="1:22" x14ac:dyDescent="0.2">
      <c r="A2659" s="27"/>
      <c r="B2659" s="25"/>
      <c r="E2659" s="10"/>
      <c r="O2659" s="10"/>
      <c r="V2659" s="10"/>
    </row>
    <row r="2660" spans="1:22" x14ac:dyDescent="0.2">
      <c r="A2660" s="27"/>
      <c r="B2660" s="25"/>
      <c r="E2660" s="10"/>
      <c r="O2660" s="10"/>
      <c r="V2660" s="10"/>
    </row>
    <row r="2661" spans="1:22" x14ac:dyDescent="0.2">
      <c r="A2661" s="27"/>
      <c r="B2661" s="25"/>
      <c r="E2661" s="10"/>
      <c r="O2661" s="10"/>
      <c r="V2661" s="10"/>
    </row>
    <row r="2662" spans="1:22" x14ac:dyDescent="0.2">
      <c r="A2662" s="27"/>
      <c r="B2662" s="25"/>
      <c r="E2662" s="10"/>
      <c r="O2662" s="10"/>
      <c r="V2662" s="10"/>
    </row>
    <row r="2663" spans="1:22" x14ac:dyDescent="0.2">
      <c r="A2663" s="27"/>
      <c r="B2663" s="25"/>
      <c r="E2663" s="10"/>
      <c r="O2663" s="10"/>
      <c r="V2663" s="10"/>
    </row>
    <row r="2664" spans="1:22" x14ac:dyDescent="0.2">
      <c r="A2664" s="27"/>
      <c r="B2664" s="25"/>
      <c r="E2664" s="10"/>
      <c r="O2664" s="10"/>
      <c r="V2664" s="10"/>
    </row>
    <row r="2665" spans="1:22" x14ac:dyDescent="0.2">
      <c r="A2665" s="27"/>
      <c r="B2665" s="25"/>
      <c r="E2665" s="10"/>
      <c r="O2665" s="10"/>
      <c r="V2665" s="10"/>
    </row>
    <row r="2666" spans="1:22" x14ac:dyDescent="0.2">
      <c r="A2666" s="27"/>
      <c r="B2666" s="25"/>
      <c r="E2666" s="10"/>
      <c r="O2666" s="10"/>
      <c r="V2666" s="10"/>
    </row>
    <row r="2667" spans="1:22" x14ac:dyDescent="0.2">
      <c r="A2667" s="27"/>
      <c r="B2667" s="25"/>
      <c r="E2667" s="10"/>
      <c r="O2667" s="10"/>
      <c r="V2667" s="10"/>
    </row>
    <row r="2668" spans="1:22" x14ac:dyDescent="0.2">
      <c r="A2668" s="27"/>
      <c r="B2668" s="25"/>
      <c r="E2668" s="10"/>
      <c r="O2668" s="10"/>
      <c r="V2668" s="10"/>
    </row>
    <row r="2669" spans="1:22" x14ac:dyDescent="0.2">
      <c r="A2669" s="27"/>
      <c r="B2669" s="25"/>
      <c r="E2669" s="10"/>
      <c r="O2669" s="10"/>
      <c r="V2669" s="10"/>
    </row>
    <row r="2670" spans="1:22" x14ac:dyDescent="0.2">
      <c r="A2670" s="27"/>
      <c r="B2670" s="25"/>
      <c r="E2670" s="10"/>
      <c r="O2670" s="10"/>
      <c r="V2670" s="10"/>
    </row>
    <row r="2671" spans="1:22" x14ac:dyDescent="0.2">
      <c r="A2671" s="27"/>
      <c r="B2671" s="25"/>
      <c r="E2671" s="10"/>
      <c r="O2671" s="10"/>
      <c r="V2671" s="10"/>
    </row>
    <row r="2672" spans="1:22" x14ac:dyDescent="0.2">
      <c r="A2672" s="27"/>
      <c r="B2672" s="25"/>
      <c r="E2672" s="10"/>
      <c r="O2672" s="10"/>
      <c r="V2672" s="10"/>
    </row>
    <row r="2673" spans="1:22" x14ac:dyDescent="0.2">
      <c r="A2673" s="27"/>
      <c r="B2673" s="25"/>
      <c r="E2673" s="10"/>
      <c r="O2673" s="10"/>
      <c r="V2673" s="10"/>
    </row>
    <row r="2674" spans="1:22" x14ac:dyDescent="0.2">
      <c r="A2674" s="27"/>
      <c r="B2674" s="25"/>
      <c r="E2674" s="10"/>
      <c r="O2674" s="10"/>
      <c r="V2674" s="10"/>
    </row>
    <row r="2675" spans="1:22" x14ac:dyDescent="0.2">
      <c r="A2675" s="27"/>
      <c r="B2675" s="25"/>
      <c r="E2675" s="10"/>
      <c r="O2675" s="10"/>
      <c r="V2675" s="10"/>
    </row>
    <row r="2676" spans="1:22" x14ac:dyDescent="0.2">
      <c r="A2676" s="27"/>
      <c r="B2676" s="25"/>
      <c r="E2676" s="10"/>
      <c r="O2676" s="10"/>
      <c r="V2676" s="10"/>
    </row>
    <row r="2677" spans="1:22" x14ac:dyDescent="0.2">
      <c r="A2677" s="27"/>
      <c r="B2677" s="25"/>
      <c r="E2677" s="10"/>
      <c r="O2677" s="10"/>
      <c r="V2677" s="10"/>
    </row>
    <row r="2678" spans="1:22" x14ac:dyDescent="0.2">
      <c r="A2678" s="27"/>
      <c r="B2678" s="25"/>
      <c r="E2678" s="10"/>
      <c r="O2678" s="10"/>
      <c r="V2678" s="10"/>
    </row>
    <row r="2679" spans="1:22" x14ac:dyDescent="0.2">
      <c r="A2679" s="27"/>
      <c r="B2679" s="25"/>
      <c r="E2679" s="10"/>
      <c r="O2679" s="10"/>
      <c r="V2679" s="10"/>
    </row>
    <row r="2680" spans="1:22" x14ac:dyDescent="0.2">
      <c r="A2680" s="27"/>
      <c r="B2680" s="25"/>
      <c r="E2680" s="10"/>
      <c r="O2680" s="10"/>
      <c r="V2680" s="10"/>
    </row>
    <row r="2681" spans="1:22" x14ac:dyDescent="0.2">
      <c r="A2681" s="27"/>
      <c r="B2681" s="25"/>
      <c r="E2681" s="10"/>
      <c r="O2681" s="10"/>
      <c r="V2681" s="10"/>
    </row>
    <row r="2682" spans="1:22" x14ac:dyDescent="0.2">
      <c r="A2682" s="27"/>
      <c r="B2682" s="25"/>
      <c r="E2682" s="10"/>
      <c r="O2682" s="10"/>
      <c r="V2682" s="10"/>
    </row>
    <row r="2683" spans="1:22" x14ac:dyDescent="0.2">
      <c r="A2683" s="27"/>
      <c r="B2683" s="25"/>
      <c r="E2683" s="10"/>
      <c r="O2683" s="10"/>
      <c r="V2683" s="10"/>
    </row>
    <row r="2684" spans="1:22" x14ac:dyDescent="0.2">
      <c r="A2684" s="27"/>
      <c r="B2684" s="25"/>
      <c r="E2684" s="10"/>
      <c r="O2684" s="10"/>
      <c r="V2684" s="10"/>
    </row>
    <row r="2685" spans="1:22" x14ac:dyDescent="0.2">
      <c r="A2685" s="27"/>
      <c r="B2685" s="25"/>
      <c r="E2685" s="10"/>
      <c r="O2685" s="10"/>
      <c r="V2685" s="10"/>
    </row>
    <row r="2686" spans="1:22" x14ac:dyDescent="0.2">
      <c r="A2686" s="27"/>
      <c r="B2686" s="25"/>
      <c r="E2686" s="10"/>
      <c r="O2686" s="10"/>
      <c r="V2686" s="10"/>
    </row>
    <row r="2687" spans="1:22" x14ac:dyDescent="0.2">
      <c r="A2687" s="27"/>
      <c r="B2687" s="25"/>
      <c r="E2687" s="10"/>
      <c r="O2687" s="10"/>
      <c r="V2687" s="10"/>
    </row>
    <row r="2688" spans="1:22" x14ac:dyDescent="0.2">
      <c r="A2688" s="27"/>
      <c r="B2688" s="25"/>
      <c r="E2688" s="10"/>
      <c r="O2688" s="10"/>
      <c r="V2688" s="10"/>
    </row>
    <row r="2689" spans="1:22" x14ac:dyDescent="0.2">
      <c r="A2689" s="27"/>
      <c r="B2689" s="25"/>
      <c r="E2689" s="10"/>
      <c r="O2689" s="10"/>
      <c r="V2689" s="10"/>
    </row>
    <row r="2690" spans="1:22" x14ac:dyDescent="0.2">
      <c r="A2690" s="27"/>
      <c r="B2690" s="25"/>
      <c r="E2690" s="10"/>
      <c r="O2690" s="10"/>
      <c r="V2690" s="10"/>
    </row>
    <row r="2691" spans="1:22" x14ac:dyDescent="0.2">
      <c r="A2691" s="27"/>
      <c r="B2691" s="25"/>
      <c r="E2691" s="10"/>
      <c r="O2691" s="10"/>
      <c r="V2691" s="10"/>
    </row>
    <row r="2692" spans="1:22" x14ac:dyDescent="0.2">
      <c r="A2692" s="27"/>
      <c r="B2692" s="25"/>
      <c r="E2692" s="10"/>
      <c r="O2692" s="10"/>
      <c r="V2692" s="10"/>
    </row>
    <row r="2693" spans="1:22" x14ac:dyDescent="0.2">
      <c r="A2693" s="27"/>
      <c r="B2693" s="25"/>
      <c r="E2693" s="10"/>
      <c r="O2693" s="10"/>
      <c r="V2693" s="10"/>
    </row>
    <row r="2694" spans="1:22" x14ac:dyDescent="0.2">
      <c r="A2694" s="27"/>
      <c r="B2694" s="25"/>
      <c r="E2694" s="10"/>
      <c r="O2694" s="10"/>
      <c r="V2694" s="10"/>
    </row>
    <row r="2695" spans="1:22" x14ac:dyDescent="0.2">
      <c r="A2695" s="27"/>
      <c r="B2695" s="25"/>
      <c r="E2695" s="10"/>
      <c r="O2695" s="10"/>
      <c r="V2695" s="10"/>
    </row>
    <row r="2696" spans="1:22" x14ac:dyDescent="0.2">
      <c r="A2696" s="27"/>
      <c r="B2696" s="25"/>
      <c r="E2696" s="10"/>
      <c r="O2696" s="10"/>
      <c r="V2696" s="10"/>
    </row>
    <row r="2697" spans="1:22" x14ac:dyDescent="0.2">
      <c r="A2697" s="27"/>
      <c r="B2697" s="25"/>
      <c r="E2697" s="10"/>
      <c r="O2697" s="10"/>
      <c r="V2697" s="10"/>
    </row>
    <row r="2698" spans="1:22" x14ac:dyDescent="0.2">
      <c r="A2698" s="27"/>
      <c r="B2698" s="25"/>
      <c r="E2698" s="10"/>
      <c r="O2698" s="10"/>
      <c r="V2698" s="10"/>
    </row>
    <row r="2699" spans="1:22" x14ac:dyDescent="0.2">
      <c r="A2699" s="27"/>
      <c r="B2699" s="25"/>
      <c r="E2699" s="10"/>
      <c r="O2699" s="10"/>
      <c r="V2699" s="10"/>
    </row>
    <row r="2700" spans="1:22" x14ac:dyDescent="0.2">
      <c r="A2700" s="27"/>
      <c r="B2700" s="25"/>
      <c r="E2700" s="10"/>
      <c r="O2700" s="10"/>
      <c r="V2700" s="10"/>
    </row>
    <row r="2701" spans="1:22" x14ac:dyDescent="0.2">
      <c r="A2701" s="27"/>
      <c r="B2701" s="25"/>
      <c r="E2701" s="10"/>
      <c r="O2701" s="10"/>
      <c r="V2701" s="10"/>
    </row>
    <row r="2702" spans="1:22" x14ac:dyDescent="0.2">
      <c r="A2702" s="27"/>
      <c r="B2702" s="25"/>
      <c r="E2702" s="10"/>
      <c r="O2702" s="10"/>
      <c r="V2702" s="10"/>
    </row>
    <row r="2703" spans="1:22" x14ac:dyDescent="0.2">
      <c r="A2703" s="27"/>
      <c r="B2703" s="25"/>
      <c r="E2703" s="10"/>
      <c r="O2703" s="10"/>
      <c r="V2703" s="10"/>
    </row>
    <row r="2704" spans="1:22" x14ac:dyDescent="0.2">
      <c r="A2704" s="27"/>
      <c r="B2704" s="25"/>
      <c r="E2704" s="10"/>
      <c r="O2704" s="10"/>
      <c r="V2704" s="10"/>
    </row>
    <row r="2705" spans="1:22" x14ac:dyDescent="0.2">
      <c r="A2705" s="27"/>
      <c r="B2705" s="25"/>
      <c r="E2705" s="10"/>
      <c r="O2705" s="10"/>
      <c r="V2705" s="10"/>
    </row>
    <row r="2706" spans="1:22" x14ac:dyDescent="0.2">
      <c r="A2706" s="27"/>
      <c r="B2706" s="25"/>
      <c r="E2706" s="10"/>
      <c r="O2706" s="10"/>
      <c r="V2706" s="10"/>
    </row>
    <row r="2707" spans="1:22" x14ac:dyDescent="0.2">
      <c r="A2707" s="27"/>
      <c r="B2707" s="25"/>
      <c r="E2707" s="10"/>
      <c r="O2707" s="10"/>
      <c r="V2707" s="10"/>
    </row>
    <row r="2708" spans="1:22" x14ac:dyDescent="0.2">
      <c r="A2708" s="27"/>
      <c r="B2708" s="25"/>
      <c r="E2708" s="10"/>
      <c r="O2708" s="10"/>
      <c r="V2708" s="10"/>
    </row>
    <row r="2709" spans="1:22" x14ac:dyDescent="0.2">
      <c r="A2709" s="27"/>
      <c r="B2709" s="25"/>
      <c r="E2709" s="10"/>
      <c r="O2709" s="10"/>
      <c r="V2709" s="10"/>
    </row>
    <row r="2710" spans="1:22" x14ac:dyDescent="0.2">
      <c r="A2710" s="27"/>
      <c r="B2710" s="25"/>
      <c r="E2710" s="10"/>
      <c r="O2710" s="10"/>
      <c r="V2710" s="10"/>
    </row>
    <row r="2711" spans="1:22" x14ac:dyDescent="0.2">
      <c r="A2711" s="27"/>
      <c r="B2711" s="25"/>
      <c r="E2711" s="10"/>
      <c r="O2711" s="10"/>
      <c r="V2711" s="10"/>
    </row>
    <row r="2712" spans="1:22" x14ac:dyDescent="0.2">
      <c r="A2712" s="27"/>
      <c r="B2712" s="25"/>
      <c r="E2712" s="10"/>
      <c r="O2712" s="10"/>
      <c r="V2712" s="10"/>
    </row>
    <row r="2713" spans="1:22" x14ac:dyDescent="0.2">
      <c r="A2713" s="27"/>
      <c r="B2713" s="25"/>
      <c r="E2713" s="10"/>
      <c r="O2713" s="10"/>
      <c r="V2713" s="10"/>
    </row>
    <row r="2714" spans="1:22" x14ac:dyDescent="0.2">
      <c r="A2714" s="27"/>
      <c r="B2714" s="25"/>
      <c r="E2714" s="10"/>
      <c r="O2714" s="10"/>
      <c r="V2714" s="10"/>
    </row>
    <row r="2715" spans="1:22" x14ac:dyDescent="0.2">
      <c r="A2715" s="27"/>
      <c r="B2715" s="25"/>
      <c r="E2715" s="10"/>
      <c r="O2715" s="10"/>
      <c r="V2715" s="10"/>
    </row>
    <row r="2716" spans="1:22" x14ac:dyDescent="0.2">
      <c r="A2716" s="27"/>
      <c r="B2716" s="25"/>
      <c r="E2716" s="10"/>
      <c r="O2716" s="10"/>
      <c r="V2716" s="10"/>
    </row>
    <row r="2717" spans="1:22" x14ac:dyDescent="0.2">
      <c r="A2717" s="27"/>
      <c r="B2717" s="25"/>
      <c r="E2717" s="10"/>
      <c r="O2717" s="10"/>
      <c r="V2717" s="10"/>
    </row>
    <row r="2718" spans="1:22" x14ac:dyDescent="0.2">
      <c r="A2718" s="27"/>
      <c r="B2718" s="25"/>
      <c r="E2718" s="10"/>
      <c r="O2718" s="10"/>
      <c r="V2718" s="10"/>
    </row>
    <row r="2719" spans="1:22" x14ac:dyDescent="0.2">
      <c r="A2719" s="27"/>
      <c r="B2719" s="25"/>
      <c r="E2719" s="10"/>
      <c r="O2719" s="10"/>
      <c r="V2719" s="10"/>
    </row>
    <row r="2720" spans="1:22" x14ac:dyDescent="0.2">
      <c r="A2720" s="27"/>
      <c r="B2720" s="25"/>
      <c r="E2720" s="10"/>
      <c r="O2720" s="10"/>
      <c r="V2720" s="10"/>
    </row>
    <row r="2721" spans="1:22" x14ac:dyDescent="0.2">
      <c r="A2721" s="27"/>
      <c r="B2721" s="25"/>
      <c r="E2721" s="10"/>
      <c r="O2721" s="10"/>
      <c r="V2721" s="10"/>
    </row>
    <row r="2722" spans="1:22" x14ac:dyDescent="0.2">
      <c r="A2722" s="27"/>
      <c r="B2722" s="25"/>
      <c r="E2722" s="10"/>
      <c r="O2722" s="10"/>
      <c r="V2722" s="10"/>
    </row>
    <row r="2723" spans="1:22" x14ac:dyDescent="0.2">
      <c r="A2723" s="27"/>
      <c r="B2723" s="25"/>
      <c r="E2723" s="10"/>
      <c r="O2723" s="10"/>
      <c r="V2723" s="10"/>
    </row>
    <row r="2724" spans="1:22" x14ac:dyDescent="0.2">
      <c r="A2724" s="27"/>
      <c r="B2724" s="25"/>
      <c r="E2724" s="10"/>
      <c r="O2724" s="10"/>
      <c r="V2724" s="10"/>
    </row>
    <row r="2725" spans="1:22" x14ac:dyDescent="0.2">
      <c r="A2725" s="27"/>
      <c r="B2725" s="25"/>
      <c r="E2725" s="10"/>
      <c r="O2725" s="10"/>
      <c r="V2725" s="10"/>
    </row>
    <row r="2726" spans="1:22" x14ac:dyDescent="0.2">
      <c r="A2726" s="27"/>
      <c r="B2726" s="25"/>
      <c r="E2726" s="10"/>
      <c r="O2726" s="10"/>
      <c r="V2726" s="10"/>
    </row>
    <row r="2727" spans="1:22" x14ac:dyDescent="0.2">
      <c r="A2727" s="27"/>
      <c r="B2727" s="25"/>
      <c r="E2727" s="10"/>
      <c r="O2727" s="10"/>
      <c r="V2727" s="10"/>
    </row>
    <row r="2728" spans="1:22" x14ac:dyDescent="0.2">
      <c r="A2728" s="27"/>
      <c r="B2728" s="25"/>
      <c r="E2728" s="10"/>
      <c r="O2728" s="10"/>
      <c r="V2728" s="10"/>
    </row>
    <row r="2729" spans="1:22" x14ac:dyDescent="0.2">
      <c r="A2729" s="27"/>
      <c r="B2729" s="25"/>
      <c r="E2729" s="10"/>
      <c r="O2729" s="10"/>
      <c r="V2729" s="10"/>
    </row>
    <row r="2730" spans="1:22" x14ac:dyDescent="0.2">
      <c r="A2730" s="27"/>
      <c r="B2730" s="25"/>
      <c r="E2730" s="10"/>
      <c r="O2730" s="10"/>
      <c r="V2730" s="10"/>
    </row>
    <row r="2731" spans="1:22" x14ac:dyDescent="0.2">
      <c r="A2731" s="27"/>
      <c r="B2731" s="25"/>
      <c r="E2731" s="10"/>
      <c r="O2731" s="10"/>
      <c r="V2731" s="10"/>
    </row>
    <row r="2732" spans="1:22" x14ac:dyDescent="0.2">
      <c r="A2732" s="27"/>
      <c r="B2732" s="25"/>
      <c r="E2732" s="10"/>
      <c r="O2732" s="10"/>
      <c r="V2732" s="10"/>
    </row>
    <row r="2733" spans="1:22" x14ac:dyDescent="0.2">
      <c r="A2733" s="27"/>
      <c r="B2733" s="25"/>
      <c r="E2733" s="10"/>
      <c r="O2733" s="10"/>
      <c r="V2733" s="10"/>
    </row>
    <row r="2734" spans="1:22" x14ac:dyDescent="0.2">
      <c r="A2734" s="27"/>
      <c r="B2734" s="25"/>
      <c r="E2734" s="10"/>
      <c r="O2734" s="10"/>
      <c r="V2734" s="10"/>
    </row>
    <row r="2735" spans="1:22" x14ac:dyDescent="0.2">
      <c r="A2735" s="27"/>
      <c r="B2735" s="25"/>
      <c r="E2735" s="10"/>
      <c r="O2735" s="10"/>
      <c r="V2735" s="10"/>
    </row>
    <row r="2736" spans="1:22" x14ac:dyDescent="0.2">
      <c r="A2736" s="27"/>
      <c r="B2736" s="25"/>
      <c r="E2736" s="10"/>
      <c r="O2736" s="10"/>
      <c r="V2736" s="10"/>
    </row>
    <row r="2737" spans="1:22" x14ac:dyDescent="0.2">
      <c r="A2737" s="27"/>
      <c r="B2737" s="25"/>
      <c r="E2737" s="10"/>
      <c r="O2737" s="10"/>
      <c r="V2737" s="10"/>
    </row>
    <row r="2738" spans="1:22" x14ac:dyDescent="0.2">
      <c r="A2738" s="27"/>
      <c r="B2738" s="25"/>
      <c r="E2738" s="10"/>
      <c r="O2738" s="10"/>
      <c r="V2738" s="10"/>
    </row>
    <row r="2739" spans="1:22" x14ac:dyDescent="0.2">
      <c r="A2739" s="27"/>
      <c r="B2739" s="25"/>
      <c r="E2739" s="10"/>
      <c r="O2739" s="10"/>
      <c r="V2739" s="10"/>
    </row>
    <row r="2740" spans="1:22" x14ac:dyDescent="0.2">
      <c r="A2740" s="27"/>
      <c r="B2740" s="25"/>
      <c r="E2740" s="10"/>
      <c r="O2740" s="10"/>
      <c r="V2740" s="10"/>
    </row>
    <row r="2741" spans="1:22" x14ac:dyDescent="0.2">
      <c r="A2741" s="27"/>
      <c r="B2741" s="25"/>
      <c r="E2741" s="10"/>
      <c r="O2741" s="10"/>
      <c r="V2741" s="10"/>
    </row>
    <row r="2742" spans="1:22" x14ac:dyDescent="0.2">
      <c r="A2742" s="27"/>
      <c r="B2742" s="25"/>
      <c r="E2742" s="10"/>
      <c r="O2742" s="10"/>
      <c r="V2742" s="10"/>
    </row>
    <row r="2743" spans="1:22" x14ac:dyDescent="0.2">
      <c r="A2743" s="27"/>
      <c r="B2743" s="25"/>
      <c r="E2743" s="10"/>
      <c r="O2743" s="10"/>
      <c r="V2743" s="10"/>
    </row>
    <row r="2744" spans="1:22" x14ac:dyDescent="0.2">
      <c r="A2744" s="27"/>
      <c r="B2744" s="25"/>
      <c r="E2744" s="10"/>
      <c r="O2744" s="10"/>
      <c r="V2744" s="10"/>
    </row>
    <row r="2745" spans="1:22" x14ac:dyDescent="0.2">
      <c r="A2745" s="27"/>
      <c r="B2745" s="25"/>
      <c r="E2745" s="10"/>
      <c r="O2745" s="10"/>
      <c r="V2745" s="10"/>
    </row>
    <row r="2746" spans="1:22" x14ac:dyDescent="0.2">
      <c r="A2746" s="27"/>
      <c r="B2746" s="25"/>
      <c r="E2746" s="10"/>
      <c r="O2746" s="10"/>
      <c r="V2746" s="10"/>
    </row>
    <row r="2747" spans="1:22" x14ac:dyDescent="0.2">
      <c r="A2747" s="27"/>
      <c r="B2747" s="25"/>
      <c r="E2747" s="10"/>
      <c r="O2747" s="10"/>
      <c r="V2747" s="10"/>
    </row>
    <row r="2748" spans="1:22" x14ac:dyDescent="0.2">
      <c r="A2748" s="27"/>
      <c r="B2748" s="25"/>
      <c r="E2748" s="10"/>
      <c r="O2748" s="10"/>
      <c r="V2748" s="10"/>
    </row>
    <row r="2749" spans="1:22" x14ac:dyDescent="0.2">
      <c r="A2749" s="27"/>
      <c r="B2749" s="25"/>
      <c r="E2749" s="10"/>
      <c r="O2749" s="10"/>
      <c r="V2749" s="10"/>
    </row>
    <row r="2750" spans="1:22" x14ac:dyDescent="0.2">
      <c r="A2750" s="27"/>
      <c r="B2750" s="25"/>
      <c r="E2750" s="10"/>
      <c r="O2750" s="10"/>
      <c r="V2750" s="10"/>
    </row>
    <row r="2751" spans="1:22" x14ac:dyDescent="0.2">
      <c r="A2751" s="27"/>
      <c r="B2751" s="25"/>
      <c r="E2751" s="10"/>
      <c r="O2751" s="10"/>
      <c r="V2751" s="10"/>
    </row>
    <row r="2752" spans="1:22" x14ac:dyDescent="0.2">
      <c r="A2752" s="27"/>
      <c r="B2752" s="25"/>
      <c r="E2752" s="10"/>
      <c r="O2752" s="10"/>
      <c r="V2752" s="10"/>
    </row>
    <row r="2753" spans="1:22" x14ac:dyDescent="0.2">
      <c r="A2753" s="27"/>
      <c r="B2753" s="25"/>
      <c r="E2753" s="10"/>
      <c r="O2753" s="10"/>
      <c r="V2753" s="10"/>
    </row>
    <row r="2754" spans="1:22" x14ac:dyDescent="0.2">
      <c r="A2754" s="27"/>
      <c r="B2754" s="25"/>
      <c r="E2754" s="10"/>
      <c r="O2754" s="10"/>
      <c r="V2754" s="10"/>
    </row>
    <row r="2755" spans="1:22" x14ac:dyDescent="0.2">
      <c r="A2755" s="27"/>
      <c r="B2755" s="25"/>
      <c r="E2755" s="10"/>
      <c r="O2755" s="10"/>
      <c r="V2755" s="10"/>
    </row>
    <row r="2756" spans="1:22" x14ac:dyDescent="0.2">
      <c r="A2756" s="27"/>
      <c r="B2756" s="25"/>
      <c r="E2756" s="10"/>
      <c r="O2756" s="10"/>
      <c r="V2756" s="10"/>
    </row>
    <row r="2757" spans="1:22" x14ac:dyDescent="0.2">
      <c r="A2757" s="27"/>
      <c r="B2757" s="25"/>
      <c r="E2757" s="10"/>
      <c r="O2757" s="10"/>
      <c r="V2757" s="10"/>
    </row>
    <row r="2758" spans="1:22" x14ac:dyDescent="0.2">
      <c r="A2758" s="27"/>
      <c r="B2758" s="25"/>
      <c r="E2758" s="10"/>
      <c r="O2758" s="10"/>
      <c r="V2758" s="10"/>
    </row>
    <row r="2759" spans="1:22" x14ac:dyDescent="0.2">
      <c r="A2759" s="27"/>
      <c r="B2759" s="25"/>
      <c r="E2759" s="10"/>
      <c r="O2759" s="10"/>
      <c r="V2759" s="10"/>
    </row>
    <row r="2760" spans="1:22" x14ac:dyDescent="0.2">
      <c r="A2760" s="27"/>
      <c r="B2760" s="25"/>
      <c r="E2760" s="10"/>
      <c r="O2760" s="10"/>
      <c r="V2760" s="10"/>
    </row>
    <row r="2761" spans="1:22" x14ac:dyDescent="0.2">
      <c r="A2761" s="27"/>
      <c r="B2761" s="25"/>
      <c r="E2761" s="10"/>
      <c r="O2761" s="10"/>
      <c r="V2761" s="10"/>
    </row>
    <row r="2762" spans="1:22" x14ac:dyDescent="0.2">
      <c r="A2762" s="27"/>
      <c r="B2762" s="25"/>
      <c r="E2762" s="10"/>
      <c r="O2762" s="10"/>
      <c r="V2762" s="10"/>
    </row>
    <row r="2763" spans="1:22" x14ac:dyDescent="0.2">
      <c r="A2763" s="27"/>
      <c r="B2763" s="25"/>
      <c r="E2763" s="10"/>
      <c r="O2763" s="10"/>
      <c r="V2763" s="10"/>
    </row>
    <row r="2764" spans="1:22" x14ac:dyDescent="0.2">
      <c r="A2764" s="27"/>
      <c r="B2764" s="25"/>
      <c r="E2764" s="10"/>
      <c r="O2764" s="10"/>
      <c r="V2764" s="10"/>
    </row>
    <row r="2765" spans="1:22" x14ac:dyDescent="0.2">
      <c r="A2765" s="27"/>
      <c r="B2765" s="25"/>
      <c r="E2765" s="10"/>
      <c r="O2765" s="10"/>
      <c r="V2765" s="10"/>
    </row>
    <row r="2766" spans="1:22" x14ac:dyDescent="0.2">
      <c r="A2766" s="27"/>
      <c r="B2766" s="25"/>
      <c r="E2766" s="10"/>
      <c r="O2766" s="10"/>
      <c r="V2766" s="10"/>
    </row>
    <row r="2767" spans="1:22" x14ac:dyDescent="0.2">
      <c r="A2767" s="27"/>
      <c r="B2767" s="25"/>
      <c r="E2767" s="10"/>
      <c r="O2767" s="10"/>
      <c r="V2767" s="10"/>
    </row>
    <row r="2768" spans="1:22" x14ac:dyDescent="0.2">
      <c r="A2768" s="27"/>
      <c r="B2768" s="25"/>
      <c r="E2768" s="10"/>
      <c r="O2768" s="10"/>
      <c r="V2768" s="10"/>
    </row>
    <row r="2769" spans="1:22" x14ac:dyDescent="0.2">
      <c r="A2769" s="27"/>
      <c r="B2769" s="25"/>
      <c r="E2769" s="10"/>
      <c r="O2769" s="10"/>
      <c r="V2769" s="10"/>
    </row>
    <row r="2770" spans="1:22" x14ac:dyDescent="0.2">
      <c r="A2770" s="27"/>
      <c r="B2770" s="25"/>
      <c r="E2770" s="10"/>
      <c r="O2770" s="10"/>
      <c r="V2770" s="10"/>
    </row>
    <row r="2771" spans="1:22" x14ac:dyDescent="0.2">
      <c r="A2771" s="27"/>
      <c r="B2771" s="25"/>
      <c r="E2771" s="10"/>
      <c r="O2771" s="10"/>
      <c r="V2771" s="10"/>
    </row>
    <row r="2772" spans="1:22" x14ac:dyDescent="0.2">
      <c r="A2772" s="27"/>
      <c r="B2772" s="25"/>
      <c r="E2772" s="10"/>
      <c r="O2772" s="10"/>
      <c r="V2772" s="10"/>
    </row>
    <row r="2773" spans="1:22" x14ac:dyDescent="0.2">
      <c r="A2773" s="27"/>
      <c r="B2773" s="25"/>
      <c r="E2773" s="10"/>
      <c r="O2773" s="10"/>
      <c r="V2773" s="10"/>
    </row>
    <row r="2774" spans="1:22" x14ac:dyDescent="0.2">
      <c r="A2774" s="27"/>
      <c r="B2774" s="25"/>
      <c r="E2774" s="10"/>
      <c r="O2774" s="10"/>
      <c r="V2774" s="10"/>
    </row>
    <row r="2775" spans="1:22" x14ac:dyDescent="0.2">
      <c r="A2775" s="27"/>
      <c r="B2775" s="25"/>
      <c r="E2775" s="10"/>
      <c r="O2775" s="10"/>
      <c r="V2775" s="10"/>
    </row>
    <row r="2776" spans="1:22" x14ac:dyDescent="0.2">
      <c r="A2776" s="27"/>
      <c r="B2776" s="25"/>
      <c r="E2776" s="10"/>
      <c r="O2776" s="10"/>
      <c r="V2776" s="10"/>
    </row>
    <row r="2777" spans="1:22" x14ac:dyDescent="0.2">
      <c r="A2777" s="27"/>
      <c r="B2777" s="25"/>
      <c r="E2777" s="10"/>
      <c r="O2777" s="10"/>
      <c r="V2777" s="10"/>
    </row>
    <row r="2778" spans="1:22" x14ac:dyDescent="0.2">
      <c r="A2778" s="27"/>
      <c r="B2778" s="25"/>
      <c r="E2778" s="10"/>
      <c r="O2778" s="10"/>
      <c r="V2778" s="10"/>
    </row>
    <row r="2779" spans="1:22" x14ac:dyDescent="0.2">
      <c r="A2779" s="27"/>
      <c r="B2779" s="25"/>
      <c r="E2779" s="10"/>
      <c r="O2779" s="10"/>
      <c r="V2779" s="10"/>
    </row>
    <row r="2780" spans="1:22" x14ac:dyDescent="0.2">
      <c r="A2780" s="27"/>
      <c r="B2780" s="25"/>
      <c r="E2780" s="10"/>
      <c r="O2780" s="10"/>
      <c r="V2780" s="10"/>
    </row>
    <row r="2781" spans="1:22" x14ac:dyDescent="0.2">
      <c r="A2781" s="27"/>
      <c r="B2781" s="25"/>
      <c r="E2781" s="10"/>
      <c r="O2781" s="10"/>
      <c r="V2781" s="10"/>
    </row>
    <row r="2782" spans="1:22" x14ac:dyDescent="0.2">
      <c r="A2782" s="27"/>
      <c r="B2782" s="25"/>
      <c r="E2782" s="10"/>
      <c r="O2782" s="10"/>
      <c r="V2782" s="10"/>
    </row>
    <row r="2783" spans="1:22" x14ac:dyDescent="0.2">
      <c r="A2783" s="27"/>
      <c r="B2783" s="25"/>
      <c r="E2783" s="10"/>
      <c r="O2783" s="10"/>
      <c r="V2783" s="10"/>
    </row>
    <row r="2784" spans="1:22" x14ac:dyDescent="0.2">
      <c r="A2784" s="27"/>
      <c r="B2784" s="25"/>
      <c r="E2784" s="10"/>
      <c r="O2784" s="10"/>
      <c r="V2784" s="10"/>
    </row>
    <row r="2785" spans="1:22" x14ac:dyDescent="0.2">
      <c r="A2785" s="27"/>
      <c r="B2785" s="25"/>
      <c r="E2785" s="10"/>
      <c r="O2785" s="10"/>
      <c r="V2785" s="10"/>
    </row>
    <row r="2786" spans="1:22" x14ac:dyDescent="0.2">
      <c r="A2786" s="27"/>
      <c r="B2786" s="25"/>
      <c r="E2786" s="10"/>
      <c r="O2786" s="10"/>
      <c r="V2786" s="10"/>
    </row>
    <row r="2787" spans="1:22" x14ac:dyDescent="0.2">
      <c r="A2787" s="27"/>
      <c r="B2787" s="25"/>
      <c r="E2787" s="10"/>
      <c r="O2787" s="10"/>
      <c r="V2787" s="10"/>
    </row>
    <row r="2788" spans="1:22" x14ac:dyDescent="0.2">
      <c r="A2788" s="27"/>
      <c r="B2788" s="25"/>
      <c r="E2788" s="10"/>
      <c r="O2788" s="10"/>
      <c r="V2788" s="10"/>
    </row>
    <row r="2789" spans="1:22" x14ac:dyDescent="0.2">
      <c r="A2789" s="27"/>
      <c r="B2789" s="25"/>
      <c r="E2789" s="10"/>
      <c r="O2789" s="10"/>
      <c r="V2789" s="10"/>
    </row>
    <row r="2790" spans="1:22" x14ac:dyDescent="0.2">
      <c r="A2790" s="27"/>
      <c r="B2790" s="25"/>
      <c r="E2790" s="10"/>
      <c r="O2790" s="10"/>
      <c r="V2790" s="10"/>
    </row>
    <row r="2791" spans="1:22" x14ac:dyDescent="0.2">
      <c r="A2791" s="27"/>
      <c r="B2791" s="25"/>
      <c r="E2791" s="10"/>
      <c r="O2791" s="10"/>
      <c r="V2791" s="10"/>
    </row>
    <row r="2792" spans="1:22" x14ac:dyDescent="0.2">
      <c r="A2792" s="27"/>
      <c r="B2792" s="25"/>
      <c r="E2792" s="10"/>
      <c r="O2792" s="10"/>
      <c r="V2792" s="10"/>
    </row>
    <row r="2793" spans="1:22" x14ac:dyDescent="0.2">
      <c r="A2793" s="27"/>
      <c r="B2793" s="25"/>
      <c r="E2793" s="10"/>
      <c r="O2793" s="10"/>
      <c r="V2793" s="10"/>
    </row>
    <row r="2794" spans="1:22" x14ac:dyDescent="0.2">
      <c r="A2794" s="27"/>
      <c r="B2794" s="25"/>
      <c r="E2794" s="10"/>
      <c r="O2794" s="10"/>
      <c r="V2794" s="10"/>
    </row>
    <row r="2795" spans="1:22" x14ac:dyDescent="0.2">
      <c r="A2795" s="27"/>
      <c r="B2795" s="25"/>
      <c r="E2795" s="10"/>
      <c r="O2795" s="10"/>
      <c r="V2795" s="10"/>
    </row>
    <row r="2796" spans="1:22" x14ac:dyDescent="0.2">
      <c r="A2796" s="27"/>
      <c r="B2796" s="25"/>
      <c r="E2796" s="10"/>
      <c r="O2796" s="10"/>
      <c r="V2796" s="10"/>
    </row>
    <row r="2797" spans="1:22" x14ac:dyDescent="0.2">
      <c r="A2797" s="27"/>
      <c r="B2797" s="25"/>
      <c r="E2797" s="10"/>
      <c r="O2797" s="10"/>
      <c r="V2797" s="10"/>
    </row>
    <row r="2798" spans="1:22" x14ac:dyDescent="0.2">
      <c r="A2798" s="27"/>
      <c r="B2798" s="25"/>
      <c r="E2798" s="10"/>
      <c r="O2798" s="10"/>
      <c r="V2798" s="10"/>
    </row>
    <row r="2799" spans="1:22" x14ac:dyDescent="0.2">
      <c r="A2799" s="27"/>
      <c r="B2799" s="25"/>
      <c r="E2799" s="10"/>
      <c r="O2799" s="10"/>
      <c r="V2799" s="10"/>
    </row>
    <row r="2800" spans="1:22" x14ac:dyDescent="0.2">
      <c r="A2800" s="27"/>
      <c r="B2800" s="25"/>
      <c r="E2800" s="10"/>
      <c r="O2800" s="10"/>
      <c r="V2800" s="10"/>
    </row>
    <row r="2801" spans="1:22" x14ac:dyDescent="0.2">
      <c r="A2801" s="27"/>
      <c r="B2801" s="25"/>
      <c r="E2801" s="10"/>
      <c r="O2801" s="10"/>
      <c r="V2801" s="10"/>
    </row>
    <row r="2802" spans="1:22" x14ac:dyDescent="0.2">
      <c r="A2802" s="27"/>
      <c r="B2802" s="25"/>
      <c r="E2802" s="10"/>
      <c r="O2802" s="10"/>
      <c r="V2802" s="10"/>
    </row>
    <row r="2803" spans="1:22" x14ac:dyDescent="0.2">
      <c r="A2803" s="27"/>
      <c r="B2803" s="25"/>
      <c r="E2803" s="10"/>
      <c r="O2803" s="10"/>
      <c r="V2803" s="10"/>
    </row>
    <row r="2804" spans="1:22" x14ac:dyDescent="0.2">
      <c r="A2804" s="27"/>
      <c r="B2804" s="25"/>
      <c r="E2804" s="10"/>
      <c r="O2804" s="10"/>
      <c r="V2804" s="10"/>
    </row>
    <row r="2805" spans="1:22" x14ac:dyDescent="0.2">
      <c r="A2805" s="27"/>
      <c r="B2805" s="25"/>
      <c r="E2805" s="10"/>
      <c r="O2805" s="10"/>
      <c r="V2805" s="10"/>
    </row>
    <row r="2806" spans="1:22" x14ac:dyDescent="0.2">
      <c r="A2806" s="27"/>
      <c r="B2806" s="25"/>
      <c r="E2806" s="10"/>
      <c r="O2806" s="10"/>
      <c r="V2806" s="10"/>
    </row>
    <row r="2807" spans="1:22" x14ac:dyDescent="0.2">
      <c r="A2807" s="27"/>
      <c r="B2807" s="25"/>
      <c r="E2807" s="10"/>
      <c r="O2807" s="10"/>
      <c r="V2807" s="10"/>
    </row>
    <row r="2808" spans="1:22" x14ac:dyDescent="0.2">
      <c r="A2808" s="27"/>
      <c r="B2808" s="25"/>
      <c r="E2808" s="10"/>
      <c r="O2808" s="10"/>
      <c r="V2808" s="10"/>
    </row>
    <row r="2809" spans="1:22" x14ac:dyDescent="0.2">
      <c r="A2809" s="27"/>
      <c r="B2809" s="25"/>
      <c r="E2809" s="10"/>
      <c r="O2809" s="10"/>
      <c r="V2809" s="10"/>
    </row>
    <row r="2810" spans="1:22" x14ac:dyDescent="0.2">
      <c r="A2810" s="27"/>
      <c r="B2810" s="25"/>
      <c r="E2810" s="10"/>
      <c r="O2810" s="10"/>
      <c r="V2810" s="10"/>
    </row>
    <row r="2811" spans="1:22" x14ac:dyDescent="0.2">
      <c r="A2811" s="27"/>
      <c r="B2811" s="25"/>
      <c r="E2811" s="10"/>
      <c r="O2811" s="10"/>
      <c r="V2811" s="10"/>
    </row>
    <row r="2812" spans="1:22" x14ac:dyDescent="0.2">
      <c r="A2812" s="27"/>
      <c r="B2812" s="25"/>
      <c r="E2812" s="10"/>
      <c r="O2812" s="10"/>
      <c r="V2812" s="10"/>
    </row>
    <row r="2813" spans="1:22" x14ac:dyDescent="0.2">
      <c r="A2813" s="27"/>
      <c r="B2813" s="25"/>
      <c r="E2813" s="10"/>
      <c r="O2813" s="10"/>
      <c r="V2813" s="10"/>
    </row>
    <row r="2814" spans="1:22" x14ac:dyDescent="0.2">
      <c r="A2814" s="27"/>
      <c r="B2814" s="25"/>
      <c r="E2814" s="10"/>
      <c r="O2814" s="10"/>
      <c r="V2814" s="10"/>
    </row>
    <row r="2815" spans="1:22" x14ac:dyDescent="0.2">
      <c r="A2815" s="27"/>
      <c r="B2815" s="25"/>
      <c r="E2815" s="10"/>
      <c r="O2815" s="10"/>
      <c r="V2815" s="10"/>
    </row>
    <row r="2816" spans="1:22" x14ac:dyDescent="0.2">
      <c r="A2816" s="27"/>
      <c r="B2816" s="25"/>
      <c r="E2816" s="10"/>
      <c r="O2816" s="10"/>
      <c r="V2816" s="10"/>
    </row>
    <row r="2817" spans="1:22" x14ac:dyDescent="0.2">
      <c r="A2817" s="27"/>
      <c r="B2817" s="25"/>
      <c r="E2817" s="10"/>
      <c r="O2817" s="10"/>
      <c r="V2817" s="10"/>
    </row>
    <row r="2818" spans="1:22" x14ac:dyDescent="0.2">
      <c r="A2818" s="27"/>
      <c r="B2818" s="25"/>
      <c r="E2818" s="10"/>
      <c r="O2818" s="10"/>
      <c r="V2818" s="10"/>
    </row>
    <row r="2819" spans="1:22" x14ac:dyDescent="0.2">
      <c r="A2819" s="27"/>
      <c r="B2819" s="25"/>
      <c r="E2819" s="10"/>
      <c r="O2819" s="10"/>
      <c r="V2819" s="10"/>
    </row>
    <row r="2820" spans="1:22" x14ac:dyDescent="0.2">
      <c r="A2820" s="27"/>
      <c r="B2820" s="25"/>
      <c r="E2820" s="10"/>
      <c r="O2820" s="10"/>
      <c r="V2820" s="10"/>
    </row>
    <row r="2821" spans="1:22" x14ac:dyDescent="0.2">
      <c r="A2821" s="27"/>
      <c r="B2821" s="25"/>
      <c r="E2821" s="10"/>
      <c r="O2821" s="10"/>
      <c r="V2821" s="10"/>
    </row>
    <row r="2822" spans="1:22" x14ac:dyDescent="0.2">
      <c r="A2822" s="27"/>
      <c r="B2822" s="25"/>
      <c r="E2822" s="10"/>
      <c r="O2822" s="10"/>
      <c r="V2822" s="10"/>
    </row>
    <row r="2823" spans="1:22" x14ac:dyDescent="0.2">
      <c r="A2823" s="27"/>
      <c r="B2823" s="25"/>
      <c r="E2823" s="10"/>
      <c r="O2823" s="10"/>
      <c r="V2823" s="10"/>
    </row>
    <row r="2824" spans="1:22" x14ac:dyDescent="0.2">
      <c r="A2824" s="27"/>
      <c r="B2824" s="25"/>
      <c r="E2824" s="10"/>
      <c r="O2824" s="10"/>
      <c r="V2824" s="10"/>
    </row>
    <row r="2825" spans="1:22" x14ac:dyDescent="0.2">
      <c r="A2825" s="27"/>
      <c r="B2825" s="25"/>
      <c r="E2825" s="10"/>
      <c r="O2825" s="10"/>
      <c r="V2825" s="10"/>
    </row>
    <row r="2826" spans="1:22" x14ac:dyDescent="0.2">
      <c r="A2826" s="27"/>
      <c r="B2826" s="25"/>
      <c r="E2826" s="10"/>
      <c r="O2826" s="10"/>
      <c r="V2826" s="10"/>
    </row>
    <row r="2827" spans="1:22" x14ac:dyDescent="0.2">
      <c r="A2827" s="27"/>
      <c r="B2827" s="25"/>
      <c r="E2827" s="10"/>
      <c r="O2827" s="10"/>
      <c r="V2827" s="10"/>
    </row>
    <row r="2828" spans="1:22" x14ac:dyDescent="0.2">
      <c r="A2828" s="27"/>
      <c r="B2828" s="25"/>
      <c r="E2828" s="10"/>
      <c r="O2828" s="10"/>
      <c r="V2828" s="10"/>
    </row>
    <row r="2829" spans="1:22" x14ac:dyDescent="0.2">
      <c r="A2829" s="27"/>
      <c r="B2829" s="25"/>
      <c r="E2829" s="10"/>
      <c r="O2829" s="10"/>
      <c r="V2829" s="10"/>
    </row>
    <row r="2830" spans="1:22" x14ac:dyDescent="0.2">
      <c r="A2830" s="27"/>
      <c r="B2830" s="25"/>
      <c r="E2830" s="10"/>
      <c r="O2830" s="10"/>
      <c r="V2830" s="10"/>
    </row>
    <row r="2831" spans="1:22" x14ac:dyDescent="0.2">
      <c r="A2831" s="27"/>
      <c r="B2831" s="25"/>
      <c r="E2831" s="10"/>
      <c r="O2831" s="10"/>
      <c r="V2831" s="10"/>
    </row>
    <row r="2832" spans="1:22" x14ac:dyDescent="0.2">
      <c r="A2832" s="27"/>
      <c r="B2832" s="25"/>
      <c r="E2832" s="10"/>
      <c r="O2832" s="10"/>
      <c r="V2832" s="10"/>
    </row>
    <row r="2833" spans="1:22" x14ac:dyDescent="0.2">
      <c r="A2833" s="27"/>
      <c r="B2833" s="25"/>
      <c r="E2833" s="10"/>
      <c r="O2833" s="10"/>
      <c r="V2833" s="10"/>
    </row>
    <row r="2834" spans="1:22" x14ac:dyDescent="0.2">
      <c r="A2834" s="27"/>
      <c r="B2834" s="25"/>
      <c r="E2834" s="10"/>
      <c r="O2834" s="10"/>
      <c r="V2834" s="10"/>
    </row>
    <row r="2835" spans="1:22" x14ac:dyDescent="0.2">
      <c r="A2835" s="27"/>
      <c r="B2835" s="25"/>
      <c r="E2835" s="10"/>
      <c r="O2835" s="10"/>
      <c r="V2835" s="10"/>
    </row>
    <row r="2836" spans="1:22" x14ac:dyDescent="0.2">
      <c r="A2836" s="27"/>
      <c r="B2836" s="25"/>
      <c r="E2836" s="10"/>
      <c r="O2836" s="10"/>
      <c r="V2836" s="10"/>
    </row>
    <row r="2837" spans="1:22" x14ac:dyDescent="0.2">
      <c r="A2837" s="27"/>
      <c r="B2837" s="25"/>
      <c r="E2837" s="10"/>
      <c r="O2837" s="10"/>
      <c r="V2837" s="10"/>
    </row>
    <row r="2838" spans="1:22" x14ac:dyDescent="0.2">
      <c r="A2838" s="27"/>
      <c r="B2838" s="25"/>
      <c r="E2838" s="10"/>
      <c r="O2838" s="10"/>
      <c r="V2838" s="10"/>
    </row>
    <row r="2839" spans="1:22" x14ac:dyDescent="0.2">
      <c r="A2839" s="27"/>
      <c r="B2839" s="25"/>
      <c r="E2839" s="10"/>
      <c r="O2839" s="10"/>
      <c r="V2839" s="10"/>
    </row>
    <row r="2840" spans="1:22" x14ac:dyDescent="0.2">
      <c r="A2840" s="27"/>
      <c r="B2840" s="25"/>
      <c r="E2840" s="10"/>
      <c r="O2840" s="10"/>
      <c r="V2840" s="10"/>
    </row>
    <row r="2841" spans="1:22" x14ac:dyDescent="0.2">
      <c r="A2841" s="27"/>
      <c r="B2841" s="25"/>
      <c r="E2841" s="10"/>
      <c r="O2841" s="10"/>
      <c r="V2841" s="10"/>
    </row>
    <row r="2842" spans="1:22" x14ac:dyDescent="0.2">
      <c r="A2842" s="27"/>
      <c r="B2842" s="25"/>
      <c r="E2842" s="10"/>
      <c r="O2842" s="10"/>
      <c r="V2842" s="10"/>
    </row>
    <row r="2843" spans="1:22" x14ac:dyDescent="0.2">
      <c r="A2843" s="27"/>
      <c r="B2843" s="25"/>
      <c r="E2843" s="10"/>
      <c r="O2843" s="10"/>
      <c r="V2843" s="10"/>
    </row>
    <row r="2844" spans="1:22" x14ac:dyDescent="0.2">
      <c r="A2844" s="27"/>
      <c r="B2844" s="25"/>
      <c r="E2844" s="10"/>
      <c r="O2844" s="10"/>
      <c r="V2844" s="10"/>
    </row>
    <row r="2845" spans="1:22" x14ac:dyDescent="0.2">
      <c r="A2845" s="27"/>
      <c r="B2845" s="25"/>
      <c r="E2845" s="10"/>
      <c r="O2845" s="10"/>
      <c r="V2845" s="10"/>
    </row>
    <row r="2846" spans="1:22" x14ac:dyDescent="0.2">
      <c r="A2846" s="27"/>
      <c r="B2846" s="25"/>
      <c r="E2846" s="10"/>
      <c r="O2846" s="10"/>
      <c r="V2846" s="10"/>
    </row>
    <row r="2847" spans="1:22" x14ac:dyDescent="0.2">
      <c r="A2847" s="27"/>
      <c r="B2847" s="25"/>
      <c r="E2847" s="10"/>
      <c r="O2847" s="10"/>
      <c r="V2847" s="10"/>
    </row>
    <row r="2848" spans="1:22" x14ac:dyDescent="0.2">
      <c r="A2848" s="27"/>
      <c r="B2848" s="25"/>
      <c r="E2848" s="10"/>
      <c r="O2848" s="10"/>
      <c r="V2848" s="10"/>
    </row>
    <row r="2849" spans="1:22" x14ac:dyDescent="0.2">
      <c r="A2849" s="27"/>
      <c r="B2849" s="25"/>
      <c r="E2849" s="10"/>
      <c r="O2849" s="10"/>
      <c r="V2849" s="10"/>
    </row>
    <row r="2850" spans="1:22" x14ac:dyDescent="0.2">
      <c r="A2850" s="27"/>
      <c r="B2850" s="25"/>
      <c r="E2850" s="10"/>
      <c r="O2850" s="10"/>
      <c r="V2850" s="10"/>
    </row>
    <row r="2851" spans="1:22" x14ac:dyDescent="0.2">
      <c r="A2851" s="27"/>
      <c r="B2851" s="25"/>
      <c r="E2851" s="10"/>
      <c r="O2851" s="10"/>
      <c r="V2851" s="10"/>
    </row>
    <row r="2852" spans="1:22" x14ac:dyDescent="0.2">
      <c r="A2852" s="27"/>
      <c r="B2852" s="25"/>
      <c r="E2852" s="10"/>
      <c r="O2852" s="10"/>
      <c r="V2852" s="10"/>
    </row>
    <row r="2853" spans="1:22" x14ac:dyDescent="0.2">
      <c r="A2853" s="27"/>
      <c r="B2853" s="25"/>
      <c r="E2853" s="10"/>
      <c r="O2853" s="10"/>
      <c r="V2853" s="10"/>
    </row>
    <row r="2854" spans="1:22" x14ac:dyDescent="0.2">
      <c r="A2854" s="27"/>
      <c r="B2854" s="25"/>
      <c r="E2854" s="10"/>
      <c r="O2854" s="10"/>
      <c r="V2854" s="10"/>
    </row>
    <row r="2855" spans="1:22" x14ac:dyDescent="0.2">
      <c r="A2855" s="27"/>
      <c r="B2855" s="25"/>
      <c r="E2855" s="10"/>
      <c r="O2855" s="10"/>
      <c r="V2855" s="10"/>
    </row>
    <row r="2856" spans="1:22" x14ac:dyDescent="0.2">
      <c r="A2856" s="27"/>
      <c r="B2856" s="25"/>
      <c r="E2856" s="10"/>
      <c r="O2856" s="10"/>
      <c r="V2856" s="10"/>
    </row>
    <row r="2857" spans="1:22" x14ac:dyDescent="0.2">
      <c r="A2857" s="27"/>
      <c r="B2857" s="25"/>
      <c r="E2857" s="10"/>
      <c r="O2857" s="10"/>
      <c r="V2857" s="10"/>
    </row>
    <row r="2858" spans="1:22" x14ac:dyDescent="0.2">
      <c r="A2858" s="27"/>
      <c r="B2858" s="25"/>
      <c r="E2858" s="10"/>
      <c r="O2858" s="10"/>
      <c r="V2858" s="10"/>
    </row>
    <row r="2859" spans="1:22" x14ac:dyDescent="0.2">
      <c r="A2859" s="27"/>
      <c r="B2859" s="25"/>
      <c r="E2859" s="10"/>
      <c r="O2859" s="10"/>
      <c r="V2859" s="10"/>
    </row>
    <row r="2860" spans="1:22" x14ac:dyDescent="0.2">
      <c r="A2860" s="27"/>
      <c r="B2860" s="25"/>
      <c r="E2860" s="10"/>
      <c r="O2860" s="10"/>
      <c r="V2860" s="10"/>
    </row>
    <row r="2861" spans="1:22" x14ac:dyDescent="0.2">
      <c r="A2861" s="27"/>
      <c r="B2861" s="25"/>
      <c r="E2861" s="10"/>
      <c r="O2861" s="10"/>
      <c r="V2861" s="10"/>
    </row>
    <row r="2862" spans="1:22" x14ac:dyDescent="0.2">
      <c r="A2862" s="27"/>
      <c r="B2862" s="25"/>
      <c r="E2862" s="10"/>
      <c r="O2862" s="10"/>
      <c r="V2862" s="10"/>
    </row>
    <row r="2863" spans="1:22" x14ac:dyDescent="0.2">
      <c r="A2863" s="27"/>
      <c r="B2863" s="25"/>
      <c r="E2863" s="10"/>
      <c r="O2863" s="10"/>
      <c r="V2863" s="10"/>
    </row>
    <row r="2864" spans="1:22" x14ac:dyDescent="0.2">
      <c r="A2864" s="27"/>
      <c r="B2864" s="25"/>
      <c r="E2864" s="10"/>
      <c r="O2864" s="10"/>
      <c r="V2864" s="10"/>
    </row>
    <row r="2865" spans="1:22" x14ac:dyDescent="0.2">
      <c r="A2865" s="27"/>
      <c r="B2865" s="25"/>
      <c r="E2865" s="10"/>
      <c r="O2865" s="10"/>
      <c r="V2865" s="10"/>
    </row>
    <row r="2866" spans="1:22" x14ac:dyDescent="0.2">
      <c r="A2866" s="27"/>
      <c r="B2866" s="25"/>
      <c r="E2866" s="10"/>
      <c r="O2866" s="10"/>
      <c r="V2866" s="10"/>
    </row>
    <row r="2867" spans="1:22" x14ac:dyDescent="0.2">
      <c r="A2867" s="27"/>
      <c r="B2867" s="25"/>
      <c r="E2867" s="10"/>
      <c r="O2867" s="10"/>
      <c r="V2867" s="10"/>
    </row>
    <row r="2868" spans="1:22" x14ac:dyDescent="0.2">
      <c r="A2868" s="27"/>
      <c r="B2868" s="25"/>
      <c r="E2868" s="10"/>
      <c r="O2868" s="10"/>
      <c r="V2868" s="10"/>
    </row>
    <row r="2869" spans="1:22" x14ac:dyDescent="0.2">
      <c r="A2869" s="27"/>
      <c r="B2869" s="25"/>
      <c r="E2869" s="10"/>
      <c r="O2869" s="10"/>
      <c r="V2869" s="10"/>
    </row>
    <row r="2870" spans="1:22" x14ac:dyDescent="0.2">
      <c r="A2870" s="27"/>
      <c r="B2870" s="25"/>
      <c r="E2870" s="10"/>
      <c r="O2870" s="10"/>
      <c r="V2870" s="10"/>
    </row>
    <row r="2871" spans="1:22" x14ac:dyDescent="0.2">
      <c r="A2871" s="27"/>
      <c r="B2871" s="25"/>
      <c r="E2871" s="10"/>
      <c r="O2871" s="10"/>
      <c r="V2871" s="10"/>
    </row>
    <row r="2872" spans="1:22" x14ac:dyDescent="0.2">
      <c r="A2872" s="27"/>
      <c r="B2872" s="25"/>
      <c r="E2872" s="10"/>
      <c r="O2872" s="10"/>
      <c r="V2872" s="10"/>
    </row>
    <row r="2873" spans="1:22" x14ac:dyDescent="0.2">
      <c r="A2873" s="27"/>
      <c r="B2873" s="25"/>
      <c r="E2873" s="10"/>
      <c r="O2873" s="10"/>
      <c r="V2873" s="10"/>
    </row>
    <row r="2874" spans="1:22" x14ac:dyDescent="0.2">
      <c r="A2874" s="27"/>
      <c r="B2874" s="25"/>
      <c r="E2874" s="10"/>
      <c r="O2874" s="10"/>
      <c r="V2874" s="10"/>
    </row>
    <row r="2875" spans="1:22" x14ac:dyDescent="0.2">
      <c r="A2875" s="27"/>
      <c r="B2875" s="25"/>
      <c r="E2875" s="10"/>
      <c r="O2875" s="10"/>
      <c r="V2875" s="10"/>
    </row>
    <row r="2876" spans="1:22" x14ac:dyDescent="0.2">
      <c r="A2876" s="27"/>
      <c r="B2876" s="25"/>
      <c r="E2876" s="10"/>
      <c r="O2876" s="10"/>
      <c r="V2876" s="10"/>
    </row>
    <row r="2877" spans="1:22" x14ac:dyDescent="0.2">
      <c r="A2877" s="27"/>
      <c r="B2877" s="25"/>
      <c r="E2877" s="10"/>
      <c r="O2877" s="10"/>
      <c r="V2877" s="10"/>
    </row>
    <row r="2878" spans="1:22" x14ac:dyDescent="0.2">
      <c r="A2878" s="27"/>
      <c r="B2878" s="25"/>
      <c r="E2878" s="10"/>
      <c r="O2878" s="10"/>
      <c r="V2878" s="10"/>
    </row>
    <row r="2879" spans="1:22" x14ac:dyDescent="0.2">
      <c r="A2879" s="27"/>
      <c r="B2879" s="25"/>
      <c r="E2879" s="10"/>
      <c r="O2879" s="10"/>
      <c r="V2879" s="10"/>
    </row>
    <row r="2880" spans="1:22" x14ac:dyDescent="0.2">
      <c r="A2880" s="27"/>
      <c r="B2880" s="25"/>
      <c r="E2880" s="10"/>
      <c r="O2880" s="10"/>
      <c r="V2880" s="10"/>
    </row>
    <row r="2881" spans="1:22" x14ac:dyDescent="0.2">
      <c r="A2881" s="27"/>
      <c r="B2881" s="25"/>
      <c r="E2881" s="10"/>
      <c r="O2881" s="10"/>
      <c r="V2881" s="10"/>
    </row>
    <row r="2882" spans="1:22" x14ac:dyDescent="0.2">
      <c r="A2882" s="27"/>
      <c r="B2882" s="25"/>
      <c r="E2882" s="10"/>
      <c r="O2882" s="10"/>
      <c r="V2882" s="10"/>
    </row>
    <row r="2883" spans="1:22" x14ac:dyDescent="0.2">
      <c r="A2883" s="27"/>
      <c r="B2883" s="25"/>
      <c r="E2883" s="10"/>
      <c r="O2883" s="10"/>
      <c r="V2883" s="10"/>
    </row>
    <row r="2884" spans="1:22" x14ac:dyDescent="0.2">
      <c r="A2884" s="27"/>
      <c r="B2884" s="25"/>
      <c r="E2884" s="10"/>
      <c r="O2884" s="10"/>
      <c r="V2884" s="10"/>
    </row>
    <row r="2885" spans="1:22" x14ac:dyDescent="0.2">
      <c r="A2885" s="27"/>
      <c r="B2885" s="25"/>
      <c r="E2885" s="10"/>
      <c r="O2885" s="10"/>
      <c r="V2885" s="10"/>
    </row>
    <row r="2886" spans="1:22" x14ac:dyDescent="0.2">
      <c r="A2886" s="27"/>
      <c r="B2886" s="25"/>
      <c r="E2886" s="10"/>
      <c r="O2886" s="10"/>
      <c r="V2886" s="10"/>
    </row>
    <row r="2887" spans="1:22" x14ac:dyDescent="0.2">
      <c r="A2887" s="27"/>
      <c r="B2887" s="25"/>
      <c r="E2887" s="10"/>
      <c r="O2887" s="10"/>
      <c r="V2887" s="10"/>
    </row>
    <row r="2888" spans="1:22" x14ac:dyDescent="0.2">
      <c r="A2888" s="27"/>
      <c r="B2888" s="25"/>
      <c r="E2888" s="10"/>
      <c r="O2888" s="10"/>
      <c r="V2888" s="10"/>
    </row>
    <row r="2889" spans="1:22" x14ac:dyDescent="0.2">
      <c r="A2889" s="27"/>
      <c r="B2889" s="25"/>
      <c r="E2889" s="10"/>
      <c r="O2889" s="10"/>
      <c r="V2889" s="10"/>
    </row>
    <row r="2890" spans="1:22" x14ac:dyDescent="0.2">
      <c r="A2890" s="27"/>
      <c r="B2890" s="25"/>
      <c r="E2890" s="10"/>
      <c r="O2890" s="10"/>
      <c r="V2890" s="10"/>
    </row>
    <row r="2891" spans="1:22" x14ac:dyDescent="0.2">
      <c r="A2891" s="27"/>
      <c r="B2891" s="25"/>
      <c r="E2891" s="10"/>
      <c r="O2891" s="10"/>
      <c r="V2891" s="10"/>
    </row>
    <row r="2892" spans="1:22" x14ac:dyDescent="0.2">
      <c r="A2892" s="27"/>
      <c r="B2892" s="25"/>
      <c r="E2892" s="10"/>
      <c r="O2892" s="10"/>
      <c r="V2892" s="10"/>
    </row>
    <row r="2893" spans="1:22" x14ac:dyDescent="0.2">
      <c r="A2893" s="27"/>
      <c r="B2893" s="25"/>
      <c r="E2893" s="10"/>
      <c r="O2893" s="10"/>
      <c r="V2893" s="10"/>
    </row>
    <row r="2894" spans="1:22" x14ac:dyDescent="0.2">
      <c r="A2894" s="27"/>
      <c r="B2894" s="25"/>
      <c r="E2894" s="10"/>
      <c r="O2894" s="10"/>
      <c r="V2894" s="10"/>
    </row>
    <row r="2895" spans="1:22" x14ac:dyDescent="0.2">
      <c r="A2895" s="27"/>
      <c r="B2895" s="25"/>
      <c r="E2895" s="10"/>
      <c r="O2895" s="10"/>
      <c r="V2895" s="10"/>
    </row>
    <row r="2896" spans="1:22" x14ac:dyDescent="0.2">
      <c r="A2896" s="27"/>
      <c r="B2896" s="25"/>
      <c r="E2896" s="10"/>
      <c r="O2896" s="10"/>
      <c r="V2896" s="10"/>
    </row>
    <row r="2897" spans="1:22" x14ac:dyDescent="0.2">
      <c r="A2897" s="27"/>
      <c r="B2897" s="25"/>
      <c r="E2897" s="10"/>
      <c r="O2897" s="10"/>
      <c r="V2897" s="10"/>
    </row>
    <row r="2898" spans="1:22" x14ac:dyDescent="0.2">
      <c r="A2898" s="27"/>
      <c r="B2898" s="25"/>
      <c r="E2898" s="10"/>
      <c r="O2898" s="10"/>
      <c r="V2898" s="10"/>
    </row>
    <row r="2899" spans="1:22" x14ac:dyDescent="0.2">
      <c r="A2899" s="27"/>
      <c r="B2899" s="25"/>
      <c r="E2899" s="10"/>
      <c r="O2899" s="10"/>
      <c r="V2899" s="10"/>
    </row>
    <row r="2900" spans="1:22" x14ac:dyDescent="0.2">
      <c r="A2900" s="27"/>
      <c r="B2900" s="25"/>
      <c r="E2900" s="10"/>
      <c r="O2900" s="10"/>
      <c r="V2900" s="10"/>
    </row>
    <row r="2901" spans="1:22" x14ac:dyDescent="0.2">
      <c r="A2901" s="27"/>
      <c r="B2901" s="25"/>
      <c r="E2901" s="10"/>
      <c r="O2901" s="10"/>
      <c r="V2901" s="10"/>
    </row>
    <row r="2902" spans="1:22" x14ac:dyDescent="0.2">
      <c r="A2902" s="27"/>
      <c r="B2902" s="25"/>
      <c r="E2902" s="10"/>
      <c r="O2902" s="10"/>
      <c r="V2902" s="10"/>
    </row>
    <row r="2903" spans="1:22" x14ac:dyDescent="0.2">
      <c r="A2903" s="27"/>
      <c r="B2903" s="25"/>
      <c r="E2903" s="10"/>
      <c r="O2903" s="10"/>
      <c r="V2903" s="10"/>
    </row>
    <row r="2904" spans="1:22" x14ac:dyDescent="0.2">
      <c r="A2904" s="27"/>
      <c r="B2904" s="25"/>
      <c r="E2904" s="10"/>
      <c r="O2904" s="10"/>
      <c r="V2904" s="10"/>
    </row>
    <row r="2905" spans="1:22" x14ac:dyDescent="0.2">
      <c r="A2905" s="27"/>
      <c r="B2905" s="25"/>
      <c r="E2905" s="10"/>
      <c r="O2905" s="10"/>
      <c r="V2905" s="10"/>
    </row>
    <row r="2906" spans="1:22" x14ac:dyDescent="0.2">
      <c r="A2906" s="27"/>
      <c r="B2906" s="25"/>
      <c r="E2906" s="10"/>
      <c r="O2906" s="10"/>
      <c r="V2906" s="10"/>
    </row>
    <row r="2907" spans="1:22" x14ac:dyDescent="0.2">
      <c r="A2907" s="27"/>
      <c r="B2907" s="25"/>
      <c r="E2907" s="10"/>
      <c r="O2907" s="10"/>
      <c r="V2907" s="10"/>
    </row>
    <row r="2908" spans="1:22" x14ac:dyDescent="0.2">
      <c r="A2908" s="27"/>
      <c r="B2908" s="25"/>
      <c r="E2908" s="10"/>
      <c r="O2908" s="10"/>
      <c r="V2908" s="10"/>
    </row>
    <row r="2909" spans="1:22" x14ac:dyDescent="0.2">
      <c r="A2909" s="27"/>
      <c r="B2909" s="25"/>
      <c r="E2909" s="10"/>
      <c r="O2909" s="10"/>
      <c r="V2909" s="10"/>
    </row>
    <row r="2910" spans="1:22" x14ac:dyDescent="0.2">
      <c r="A2910" s="27"/>
      <c r="B2910" s="25"/>
      <c r="E2910" s="10"/>
      <c r="O2910" s="10"/>
      <c r="V2910" s="10"/>
    </row>
    <row r="2911" spans="1:22" x14ac:dyDescent="0.2">
      <c r="A2911" s="27"/>
      <c r="B2911" s="25"/>
      <c r="E2911" s="10"/>
      <c r="O2911" s="10"/>
      <c r="V2911" s="10"/>
    </row>
    <row r="2912" spans="1:22" x14ac:dyDescent="0.2">
      <c r="A2912" s="27"/>
      <c r="B2912" s="25"/>
      <c r="E2912" s="10"/>
      <c r="O2912" s="10"/>
      <c r="V2912" s="10"/>
    </row>
    <row r="2913" spans="1:22" x14ac:dyDescent="0.2">
      <c r="A2913" s="27"/>
      <c r="B2913" s="25"/>
      <c r="E2913" s="10"/>
      <c r="O2913" s="10"/>
      <c r="V2913" s="10"/>
    </row>
    <row r="2914" spans="1:22" x14ac:dyDescent="0.2">
      <c r="A2914" s="27"/>
      <c r="B2914" s="25"/>
      <c r="E2914" s="10"/>
      <c r="O2914" s="10"/>
      <c r="V2914" s="10"/>
    </row>
    <row r="2915" spans="1:22" x14ac:dyDescent="0.2">
      <c r="A2915" s="27"/>
      <c r="B2915" s="25"/>
      <c r="E2915" s="10"/>
      <c r="O2915" s="10"/>
      <c r="V2915" s="10"/>
    </row>
    <row r="2916" spans="1:22" x14ac:dyDescent="0.2">
      <c r="A2916" s="27"/>
      <c r="B2916" s="25"/>
      <c r="E2916" s="10"/>
      <c r="O2916" s="10"/>
      <c r="V2916" s="10"/>
    </row>
    <row r="2917" spans="1:22" x14ac:dyDescent="0.2">
      <c r="A2917" s="27"/>
      <c r="B2917" s="25"/>
      <c r="E2917" s="10"/>
      <c r="O2917" s="10"/>
      <c r="V2917" s="10"/>
    </row>
    <row r="2918" spans="1:22" x14ac:dyDescent="0.2">
      <c r="A2918" s="27"/>
      <c r="B2918" s="25"/>
      <c r="E2918" s="10"/>
      <c r="O2918" s="10"/>
      <c r="V2918" s="10"/>
    </row>
    <row r="2919" spans="1:22" x14ac:dyDescent="0.2">
      <c r="A2919" s="27"/>
      <c r="B2919" s="25"/>
      <c r="E2919" s="10"/>
      <c r="O2919" s="10"/>
      <c r="V2919" s="10"/>
    </row>
    <row r="2920" spans="1:22" x14ac:dyDescent="0.2">
      <c r="A2920" s="27"/>
      <c r="B2920" s="25"/>
      <c r="E2920" s="10"/>
      <c r="O2920" s="10"/>
      <c r="V2920" s="10"/>
    </row>
    <row r="2921" spans="1:22" x14ac:dyDescent="0.2">
      <c r="A2921" s="27"/>
      <c r="B2921" s="25"/>
      <c r="E2921" s="10"/>
      <c r="O2921" s="10"/>
      <c r="V2921" s="10"/>
    </row>
    <row r="2922" spans="1:22" x14ac:dyDescent="0.2">
      <c r="A2922" s="27"/>
      <c r="B2922" s="25"/>
      <c r="E2922" s="10"/>
      <c r="O2922" s="10"/>
      <c r="V2922" s="10"/>
    </row>
    <row r="2923" spans="1:22" x14ac:dyDescent="0.2">
      <c r="A2923" s="27"/>
      <c r="B2923" s="25"/>
      <c r="E2923" s="10"/>
      <c r="O2923" s="10"/>
      <c r="V2923" s="10"/>
    </row>
    <row r="2924" spans="1:22" x14ac:dyDescent="0.2">
      <c r="A2924" s="27"/>
      <c r="B2924" s="25"/>
      <c r="E2924" s="10"/>
      <c r="O2924" s="10"/>
      <c r="V2924" s="10"/>
    </row>
    <row r="2925" spans="1:22" x14ac:dyDescent="0.2">
      <c r="A2925" s="27"/>
      <c r="B2925" s="25"/>
      <c r="E2925" s="10"/>
      <c r="O2925" s="10"/>
      <c r="V2925" s="10"/>
    </row>
    <row r="2926" spans="1:22" x14ac:dyDescent="0.2">
      <c r="A2926" s="27"/>
      <c r="B2926" s="25"/>
      <c r="E2926" s="10"/>
      <c r="O2926" s="10"/>
      <c r="V2926" s="10"/>
    </row>
    <row r="2927" spans="1:22" x14ac:dyDescent="0.2">
      <c r="A2927" s="27"/>
      <c r="B2927" s="25"/>
      <c r="E2927" s="10"/>
      <c r="O2927" s="10"/>
      <c r="V2927" s="10"/>
    </row>
    <row r="2928" spans="1:22" x14ac:dyDescent="0.2">
      <c r="A2928" s="27"/>
      <c r="B2928" s="25"/>
      <c r="E2928" s="10"/>
      <c r="O2928" s="10"/>
      <c r="V2928" s="10"/>
    </row>
    <row r="2929" spans="1:22" x14ac:dyDescent="0.2">
      <c r="A2929" s="27"/>
      <c r="B2929" s="25"/>
      <c r="E2929" s="10"/>
      <c r="O2929" s="10"/>
      <c r="V2929" s="10"/>
    </row>
    <row r="2930" spans="1:22" x14ac:dyDescent="0.2">
      <c r="A2930" s="27"/>
      <c r="B2930" s="25"/>
      <c r="E2930" s="10"/>
      <c r="O2930" s="10"/>
      <c r="V2930" s="10"/>
    </row>
    <row r="2931" spans="1:22" x14ac:dyDescent="0.2">
      <c r="A2931" s="27"/>
      <c r="B2931" s="25"/>
      <c r="E2931" s="10"/>
      <c r="O2931" s="10"/>
      <c r="V2931" s="10"/>
    </row>
    <row r="2932" spans="1:22" x14ac:dyDescent="0.2">
      <c r="A2932" s="27"/>
      <c r="B2932" s="25"/>
      <c r="E2932" s="10"/>
      <c r="O2932" s="10"/>
      <c r="V2932" s="10"/>
    </row>
    <row r="2933" spans="1:22" x14ac:dyDescent="0.2">
      <c r="A2933" s="27"/>
      <c r="B2933" s="25"/>
      <c r="E2933" s="10"/>
      <c r="O2933" s="10"/>
      <c r="V2933" s="10"/>
    </row>
    <row r="2934" spans="1:22" x14ac:dyDescent="0.2">
      <c r="A2934" s="27"/>
      <c r="B2934" s="25"/>
      <c r="E2934" s="10"/>
      <c r="O2934" s="10"/>
      <c r="V2934" s="10"/>
    </row>
    <row r="2935" spans="1:22" x14ac:dyDescent="0.2">
      <c r="A2935" s="27"/>
      <c r="B2935" s="25"/>
      <c r="E2935" s="10"/>
      <c r="O2935" s="10"/>
      <c r="V2935" s="10"/>
    </row>
    <row r="2936" spans="1:22" x14ac:dyDescent="0.2">
      <c r="A2936" s="27"/>
      <c r="B2936" s="25"/>
      <c r="E2936" s="10"/>
      <c r="O2936" s="10"/>
      <c r="V2936" s="10"/>
    </row>
    <row r="2937" spans="1:22" x14ac:dyDescent="0.2">
      <c r="A2937" s="27"/>
      <c r="B2937" s="25"/>
      <c r="E2937" s="10"/>
      <c r="O2937" s="10"/>
      <c r="V2937" s="10"/>
    </row>
    <row r="2938" spans="1:22" x14ac:dyDescent="0.2">
      <c r="A2938" s="27"/>
      <c r="B2938" s="25"/>
      <c r="E2938" s="10"/>
      <c r="O2938" s="10"/>
      <c r="V2938" s="10"/>
    </row>
    <row r="2939" spans="1:22" x14ac:dyDescent="0.2">
      <c r="A2939" s="27"/>
      <c r="B2939" s="25"/>
      <c r="E2939" s="10"/>
      <c r="O2939" s="10"/>
      <c r="V2939" s="10"/>
    </row>
    <row r="2940" spans="1:22" x14ac:dyDescent="0.2">
      <c r="A2940" s="27"/>
      <c r="B2940" s="25"/>
      <c r="E2940" s="10"/>
      <c r="O2940" s="10"/>
      <c r="V2940" s="10"/>
    </row>
    <row r="2941" spans="1:22" x14ac:dyDescent="0.2">
      <c r="A2941" s="27"/>
      <c r="B2941" s="25"/>
      <c r="E2941" s="10"/>
      <c r="O2941" s="10"/>
      <c r="V2941" s="10"/>
    </row>
    <row r="2942" spans="1:22" x14ac:dyDescent="0.2">
      <c r="A2942" s="27"/>
      <c r="B2942" s="25"/>
      <c r="E2942" s="10"/>
      <c r="O2942" s="10"/>
      <c r="V2942" s="10"/>
    </row>
    <row r="2943" spans="1:22" x14ac:dyDescent="0.2">
      <c r="A2943" s="27"/>
      <c r="B2943" s="25"/>
      <c r="E2943" s="10"/>
      <c r="O2943" s="10"/>
      <c r="V2943" s="10"/>
    </row>
    <row r="2944" spans="1:22" x14ac:dyDescent="0.2">
      <c r="A2944" s="27"/>
      <c r="B2944" s="25"/>
      <c r="E2944" s="10"/>
      <c r="O2944" s="10"/>
      <c r="V2944" s="10"/>
    </row>
    <row r="2945" spans="1:22" x14ac:dyDescent="0.2">
      <c r="A2945" s="27"/>
      <c r="B2945" s="25"/>
      <c r="E2945" s="10"/>
      <c r="O2945" s="10"/>
      <c r="V2945" s="10"/>
    </row>
    <row r="2946" spans="1:22" x14ac:dyDescent="0.2">
      <c r="A2946" s="27"/>
      <c r="B2946" s="25"/>
      <c r="E2946" s="10"/>
      <c r="O2946" s="10"/>
      <c r="V2946" s="10"/>
    </row>
    <row r="2947" spans="1:22" x14ac:dyDescent="0.2">
      <c r="A2947" s="27"/>
      <c r="B2947" s="25"/>
      <c r="E2947" s="10"/>
      <c r="O2947" s="10"/>
      <c r="V2947" s="10"/>
    </row>
    <row r="2948" spans="1:22" x14ac:dyDescent="0.2">
      <c r="A2948" s="27"/>
      <c r="B2948" s="25"/>
      <c r="E2948" s="10"/>
      <c r="O2948" s="10"/>
      <c r="V2948" s="10"/>
    </row>
    <row r="2949" spans="1:22" x14ac:dyDescent="0.2">
      <c r="A2949" s="27"/>
      <c r="B2949" s="25"/>
      <c r="E2949" s="10"/>
      <c r="O2949" s="10"/>
      <c r="V2949" s="10"/>
    </row>
    <row r="2950" spans="1:22" x14ac:dyDescent="0.2">
      <c r="A2950" s="27"/>
      <c r="B2950" s="25"/>
      <c r="E2950" s="10"/>
      <c r="O2950" s="10"/>
      <c r="V2950" s="10"/>
    </row>
    <row r="2951" spans="1:22" x14ac:dyDescent="0.2">
      <c r="A2951" s="27"/>
      <c r="B2951" s="25"/>
      <c r="E2951" s="10"/>
      <c r="O2951" s="10"/>
      <c r="V2951" s="10"/>
    </row>
    <row r="2952" spans="1:22" x14ac:dyDescent="0.2">
      <c r="A2952" s="27"/>
      <c r="B2952" s="25"/>
      <c r="E2952" s="10"/>
      <c r="O2952" s="10"/>
      <c r="V2952" s="10"/>
    </row>
    <row r="2953" spans="1:22" x14ac:dyDescent="0.2">
      <c r="A2953" s="27"/>
      <c r="B2953" s="25"/>
      <c r="E2953" s="10"/>
      <c r="O2953" s="10"/>
      <c r="V2953" s="10"/>
    </row>
    <row r="2954" spans="1:22" x14ac:dyDescent="0.2">
      <c r="A2954" s="27"/>
      <c r="B2954" s="25"/>
      <c r="E2954" s="10"/>
      <c r="O2954" s="10"/>
      <c r="V2954" s="10"/>
    </row>
    <row r="2955" spans="1:22" x14ac:dyDescent="0.2">
      <c r="A2955" s="27"/>
      <c r="B2955" s="25"/>
      <c r="E2955" s="10"/>
      <c r="O2955" s="10"/>
      <c r="V2955" s="10"/>
    </row>
    <row r="2956" spans="1:22" x14ac:dyDescent="0.2">
      <c r="A2956" s="27"/>
      <c r="B2956" s="25"/>
      <c r="E2956" s="10"/>
      <c r="O2956" s="10"/>
      <c r="V2956" s="10"/>
    </row>
    <row r="2957" spans="1:22" x14ac:dyDescent="0.2">
      <c r="A2957" s="27"/>
      <c r="B2957" s="25"/>
      <c r="E2957" s="10"/>
      <c r="O2957" s="10"/>
      <c r="V2957" s="10"/>
    </row>
    <row r="2958" spans="1:22" x14ac:dyDescent="0.2">
      <c r="A2958" s="27"/>
      <c r="B2958" s="25"/>
      <c r="E2958" s="10"/>
      <c r="O2958" s="10"/>
      <c r="V2958" s="10"/>
    </row>
    <row r="2959" spans="1:22" x14ac:dyDescent="0.2">
      <c r="A2959" s="27"/>
      <c r="B2959" s="25"/>
      <c r="E2959" s="10"/>
      <c r="O2959" s="10"/>
      <c r="V2959" s="10"/>
    </row>
    <row r="2960" spans="1:22" x14ac:dyDescent="0.2">
      <c r="A2960" s="27"/>
      <c r="B2960" s="25"/>
      <c r="E2960" s="10"/>
      <c r="O2960" s="10"/>
      <c r="V2960" s="10"/>
    </row>
    <row r="2961" spans="1:22" x14ac:dyDescent="0.2">
      <c r="A2961" s="27"/>
      <c r="B2961" s="25"/>
      <c r="E2961" s="10"/>
      <c r="O2961" s="10"/>
      <c r="V2961" s="10"/>
    </row>
    <row r="2962" spans="1:22" x14ac:dyDescent="0.2">
      <c r="A2962" s="27"/>
      <c r="B2962" s="25"/>
      <c r="E2962" s="10"/>
      <c r="O2962" s="10"/>
      <c r="V2962" s="10"/>
    </row>
    <row r="2963" spans="1:22" x14ac:dyDescent="0.2">
      <c r="A2963" s="27"/>
      <c r="B2963" s="25"/>
      <c r="E2963" s="10"/>
      <c r="O2963" s="10"/>
      <c r="V2963" s="10"/>
    </row>
    <row r="2964" spans="1:22" x14ac:dyDescent="0.2">
      <c r="A2964" s="27"/>
      <c r="B2964" s="25"/>
      <c r="E2964" s="10"/>
      <c r="O2964" s="10"/>
      <c r="V2964" s="10"/>
    </row>
    <row r="2965" spans="1:22" x14ac:dyDescent="0.2">
      <c r="A2965" s="27"/>
      <c r="B2965" s="25"/>
      <c r="E2965" s="10"/>
      <c r="O2965" s="10"/>
      <c r="V2965" s="10"/>
    </row>
    <row r="2966" spans="1:22" x14ac:dyDescent="0.2">
      <c r="A2966" s="27"/>
      <c r="B2966" s="25"/>
      <c r="E2966" s="10"/>
      <c r="O2966" s="10"/>
      <c r="V2966" s="10"/>
    </row>
    <row r="2967" spans="1:22" x14ac:dyDescent="0.2">
      <c r="A2967" s="27"/>
      <c r="B2967" s="25"/>
      <c r="E2967" s="10"/>
      <c r="O2967" s="10"/>
      <c r="V2967" s="10"/>
    </row>
    <row r="2968" spans="1:22" x14ac:dyDescent="0.2">
      <c r="A2968" s="27"/>
      <c r="B2968" s="25"/>
      <c r="E2968" s="10"/>
      <c r="O2968" s="10"/>
      <c r="V2968" s="10"/>
    </row>
    <row r="2969" spans="1:22" x14ac:dyDescent="0.2">
      <c r="A2969" s="27"/>
      <c r="B2969" s="25"/>
      <c r="E2969" s="10"/>
      <c r="O2969" s="10"/>
      <c r="V2969" s="10"/>
    </row>
    <row r="2970" spans="1:22" x14ac:dyDescent="0.2">
      <c r="A2970" s="27"/>
      <c r="B2970" s="25"/>
      <c r="E2970" s="10"/>
      <c r="O2970" s="10"/>
      <c r="V2970" s="10"/>
    </row>
    <row r="2971" spans="1:22" x14ac:dyDescent="0.2">
      <c r="A2971" s="27"/>
      <c r="B2971" s="25"/>
      <c r="E2971" s="10"/>
      <c r="O2971" s="10"/>
      <c r="V2971" s="10"/>
    </row>
    <row r="2972" spans="1:22" x14ac:dyDescent="0.2">
      <c r="A2972" s="27"/>
      <c r="B2972" s="25"/>
      <c r="E2972" s="10"/>
      <c r="O2972" s="10"/>
      <c r="V2972" s="10"/>
    </row>
    <row r="2973" spans="1:22" x14ac:dyDescent="0.2">
      <c r="A2973" s="27"/>
      <c r="B2973" s="25"/>
      <c r="E2973" s="10"/>
      <c r="O2973" s="10"/>
      <c r="V2973" s="10"/>
    </row>
    <row r="2974" spans="1:22" x14ac:dyDescent="0.2">
      <c r="A2974" s="27"/>
      <c r="B2974" s="25"/>
      <c r="E2974" s="10"/>
      <c r="O2974" s="10"/>
      <c r="V2974" s="10"/>
    </row>
    <row r="2975" spans="1:22" x14ac:dyDescent="0.2">
      <c r="A2975" s="27"/>
      <c r="B2975" s="25"/>
      <c r="E2975" s="10"/>
      <c r="O2975" s="10"/>
      <c r="V2975" s="10"/>
    </row>
    <row r="2976" spans="1:22" x14ac:dyDescent="0.2">
      <c r="A2976" s="27"/>
      <c r="B2976" s="25"/>
      <c r="E2976" s="10"/>
      <c r="O2976" s="10"/>
      <c r="V2976" s="10"/>
    </row>
    <row r="2977" spans="1:22" x14ac:dyDescent="0.2">
      <c r="A2977" s="27"/>
      <c r="B2977" s="25"/>
      <c r="E2977" s="10"/>
      <c r="O2977" s="10"/>
      <c r="V2977" s="10"/>
    </row>
    <row r="2978" spans="1:22" x14ac:dyDescent="0.2">
      <c r="A2978" s="27"/>
      <c r="B2978" s="25"/>
      <c r="E2978" s="10"/>
      <c r="O2978" s="10"/>
      <c r="V2978" s="10"/>
    </row>
    <row r="2979" spans="1:22" x14ac:dyDescent="0.2">
      <c r="A2979" s="27"/>
      <c r="B2979" s="25"/>
      <c r="E2979" s="10"/>
      <c r="O2979" s="10"/>
      <c r="V2979" s="10"/>
    </row>
    <row r="2980" spans="1:22" x14ac:dyDescent="0.2">
      <c r="A2980" s="27"/>
      <c r="B2980" s="25"/>
      <c r="E2980" s="10"/>
      <c r="O2980" s="10"/>
      <c r="V2980" s="10"/>
    </row>
    <row r="2981" spans="1:22" x14ac:dyDescent="0.2">
      <c r="A2981" s="27"/>
      <c r="B2981" s="25"/>
      <c r="E2981" s="10"/>
      <c r="O2981" s="10"/>
      <c r="V2981" s="10"/>
    </row>
    <row r="2982" spans="1:22" x14ac:dyDescent="0.2">
      <c r="A2982" s="27"/>
      <c r="B2982" s="25"/>
      <c r="E2982" s="10"/>
      <c r="O2982" s="10"/>
      <c r="V2982" s="10"/>
    </row>
    <row r="2983" spans="1:22" x14ac:dyDescent="0.2">
      <c r="A2983" s="27"/>
      <c r="B2983" s="25"/>
      <c r="E2983" s="10"/>
      <c r="O2983" s="10"/>
      <c r="V2983" s="10"/>
    </row>
    <row r="2984" spans="1:22" x14ac:dyDescent="0.2">
      <c r="A2984" s="27"/>
      <c r="B2984" s="25"/>
      <c r="E2984" s="10"/>
      <c r="O2984" s="10"/>
      <c r="V2984" s="10"/>
    </row>
    <row r="2985" spans="1:22" x14ac:dyDescent="0.2">
      <c r="A2985" s="27"/>
      <c r="B2985" s="25"/>
      <c r="E2985" s="10"/>
      <c r="O2985" s="10"/>
      <c r="V2985" s="10"/>
    </row>
    <row r="2986" spans="1:22" x14ac:dyDescent="0.2">
      <c r="A2986" s="27"/>
      <c r="B2986" s="25"/>
      <c r="E2986" s="10"/>
      <c r="O2986" s="10"/>
      <c r="V2986" s="10"/>
    </row>
    <row r="2987" spans="1:22" x14ac:dyDescent="0.2">
      <c r="A2987" s="27"/>
      <c r="B2987" s="25"/>
      <c r="E2987" s="10"/>
      <c r="O2987" s="10"/>
      <c r="V2987" s="10"/>
    </row>
    <row r="2988" spans="1:22" x14ac:dyDescent="0.2">
      <c r="A2988" s="27"/>
      <c r="B2988" s="25"/>
      <c r="E2988" s="10"/>
      <c r="O2988" s="10"/>
      <c r="V2988" s="10"/>
    </row>
    <row r="2989" spans="1:22" x14ac:dyDescent="0.2">
      <c r="A2989" s="27"/>
      <c r="B2989" s="25"/>
      <c r="E2989" s="10"/>
      <c r="O2989" s="10"/>
      <c r="V2989" s="10"/>
    </row>
    <row r="2990" spans="1:22" x14ac:dyDescent="0.2">
      <c r="A2990" s="27"/>
      <c r="B2990" s="25"/>
      <c r="E2990" s="10"/>
      <c r="O2990" s="10"/>
      <c r="V2990" s="10"/>
    </row>
    <row r="2991" spans="1:22" x14ac:dyDescent="0.2">
      <c r="A2991" s="27"/>
      <c r="B2991" s="25"/>
      <c r="E2991" s="10"/>
      <c r="O2991" s="10"/>
      <c r="V2991" s="10"/>
    </row>
    <row r="2992" spans="1:22" x14ac:dyDescent="0.2">
      <c r="A2992" s="27"/>
      <c r="B2992" s="25"/>
      <c r="E2992" s="10"/>
      <c r="O2992" s="10"/>
      <c r="V2992" s="10"/>
    </row>
    <row r="2993" spans="1:22" x14ac:dyDescent="0.2">
      <c r="A2993" s="27"/>
      <c r="B2993" s="25"/>
      <c r="E2993" s="10"/>
      <c r="O2993" s="10"/>
      <c r="V2993" s="10"/>
    </row>
    <row r="2994" spans="1:22" x14ac:dyDescent="0.2">
      <c r="A2994" s="27"/>
      <c r="B2994" s="25"/>
      <c r="E2994" s="10"/>
      <c r="O2994" s="10"/>
      <c r="V2994" s="10"/>
    </row>
    <row r="2995" spans="1:22" x14ac:dyDescent="0.2">
      <c r="A2995" s="27"/>
      <c r="B2995" s="25"/>
      <c r="E2995" s="10"/>
      <c r="O2995" s="10"/>
      <c r="V2995" s="10"/>
    </row>
    <row r="2996" spans="1:22" x14ac:dyDescent="0.2">
      <c r="A2996" s="27"/>
      <c r="B2996" s="25"/>
      <c r="E2996" s="10"/>
      <c r="O2996" s="10"/>
      <c r="V2996" s="10"/>
    </row>
    <row r="2997" spans="1:22" x14ac:dyDescent="0.2">
      <c r="A2997" s="27"/>
      <c r="B2997" s="25"/>
      <c r="E2997" s="10"/>
      <c r="O2997" s="10"/>
      <c r="V2997" s="10"/>
    </row>
    <row r="2998" spans="1:22" x14ac:dyDescent="0.2">
      <c r="A2998" s="27"/>
      <c r="B2998" s="25"/>
      <c r="E2998" s="10"/>
      <c r="O2998" s="10"/>
      <c r="V2998" s="10"/>
    </row>
    <row r="2999" spans="1:22" x14ac:dyDescent="0.2">
      <c r="A2999" s="27"/>
      <c r="B2999" s="25"/>
      <c r="E2999" s="10"/>
      <c r="O2999" s="10"/>
      <c r="V2999" s="10"/>
    </row>
    <row r="3000" spans="1:22" x14ac:dyDescent="0.2">
      <c r="A3000" s="27"/>
      <c r="B3000" s="25"/>
      <c r="E3000" s="10"/>
      <c r="O3000" s="10"/>
      <c r="V3000" s="10"/>
    </row>
    <row r="3001" spans="1:22" x14ac:dyDescent="0.2">
      <c r="A3001" s="27"/>
      <c r="B3001" s="25"/>
      <c r="E3001" s="10"/>
      <c r="O3001" s="10"/>
      <c r="V3001" s="10"/>
    </row>
    <row r="3002" spans="1:22" x14ac:dyDescent="0.2">
      <c r="A3002" s="27"/>
      <c r="B3002" s="25"/>
      <c r="E3002" s="10"/>
      <c r="O3002" s="10"/>
      <c r="V3002" s="10"/>
    </row>
    <row r="3003" spans="1:22" x14ac:dyDescent="0.2">
      <c r="A3003" s="27"/>
      <c r="B3003" s="25"/>
      <c r="E3003" s="10"/>
      <c r="O3003" s="10"/>
      <c r="V3003" s="10"/>
    </row>
    <row r="3004" spans="1:22" x14ac:dyDescent="0.2">
      <c r="A3004" s="27"/>
      <c r="B3004" s="25"/>
      <c r="E3004" s="10"/>
      <c r="O3004" s="10"/>
      <c r="V3004" s="10"/>
    </row>
    <row r="3005" spans="1:22" x14ac:dyDescent="0.2">
      <c r="A3005" s="27"/>
      <c r="B3005" s="25"/>
      <c r="E3005" s="10"/>
      <c r="O3005" s="10"/>
      <c r="V3005" s="10"/>
    </row>
    <row r="3006" spans="1:22" x14ac:dyDescent="0.2">
      <c r="A3006" s="27"/>
      <c r="B3006" s="25"/>
      <c r="E3006" s="10"/>
      <c r="O3006" s="10"/>
      <c r="V3006" s="10"/>
    </row>
    <row r="3007" spans="1:22" x14ac:dyDescent="0.2">
      <c r="A3007" s="27"/>
      <c r="B3007" s="25"/>
      <c r="E3007" s="10"/>
      <c r="O3007" s="10"/>
      <c r="V3007" s="10"/>
    </row>
    <row r="3008" spans="1:22" x14ac:dyDescent="0.2">
      <c r="A3008" s="27"/>
      <c r="B3008" s="25"/>
      <c r="E3008" s="10"/>
      <c r="O3008" s="10"/>
      <c r="V3008" s="10"/>
    </row>
    <row r="3009" spans="1:22" x14ac:dyDescent="0.2">
      <c r="A3009" s="27"/>
      <c r="B3009" s="25"/>
      <c r="E3009" s="10"/>
      <c r="O3009" s="10"/>
      <c r="V3009" s="10"/>
    </row>
    <row r="3010" spans="1:22" x14ac:dyDescent="0.2">
      <c r="A3010" s="27"/>
      <c r="B3010" s="25"/>
      <c r="E3010" s="10"/>
      <c r="O3010" s="10"/>
      <c r="V3010" s="10"/>
    </row>
    <row r="3011" spans="1:22" x14ac:dyDescent="0.2">
      <c r="A3011" s="27"/>
      <c r="B3011" s="25"/>
      <c r="E3011" s="10"/>
      <c r="O3011" s="10"/>
      <c r="V3011" s="10"/>
    </row>
    <row r="3012" spans="1:22" x14ac:dyDescent="0.2">
      <c r="A3012" s="27"/>
      <c r="B3012" s="25"/>
      <c r="E3012" s="10"/>
      <c r="O3012" s="10"/>
      <c r="V3012" s="10"/>
    </row>
    <row r="3013" spans="1:22" x14ac:dyDescent="0.2">
      <c r="A3013" s="27"/>
      <c r="B3013" s="25"/>
      <c r="E3013" s="10"/>
      <c r="O3013" s="10"/>
      <c r="V3013" s="10"/>
    </row>
    <row r="3014" spans="1:22" x14ac:dyDescent="0.2">
      <c r="A3014" s="27"/>
      <c r="B3014" s="25"/>
      <c r="E3014" s="10"/>
      <c r="O3014" s="10"/>
      <c r="V3014" s="10"/>
    </row>
    <row r="3015" spans="1:22" x14ac:dyDescent="0.2">
      <c r="A3015" s="27"/>
      <c r="B3015" s="25"/>
      <c r="E3015" s="10"/>
      <c r="O3015" s="10"/>
      <c r="V3015" s="10"/>
    </row>
    <row r="3016" spans="1:22" x14ac:dyDescent="0.2">
      <c r="A3016" s="27"/>
      <c r="B3016" s="25"/>
      <c r="E3016" s="10"/>
      <c r="O3016" s="10"/>
      <c r="V3016" s="10"/>
    </row>
    <row r="3017" spans="1:22" x14ac:dyDescent="0.2">
      <c r="A3017" s="27"/>
      <c r="B3017" s="25"/>
      <c r="E3017" s="10"/>
      <c r="O3017" s="10"/>
      <c r="V3017" s="10"/>
    </row>
    <row r="3018" spans="1:22" x14ac:dyDescent="0.2">
      <c r="A3018" s="27"/>
      <c r="B3018" s="25"/>
      <c r="E3018" s="10"/>
      <c r="O3018" s="10"/>
      <c r="V3018" s="10"/>
    </row>
    <row r="3019" spans="1:22" x14ac:dyDescent="0.2">
      <c r="A3019" s="27"/>
      <c r="B3019" s="25"/>
      <c r="E3019" s="10"/>
      <c r="O3019" s="10"/>
      <c r="V3019" s="10"/>
    </row>
    <row r="3020" spans="1:22" x14ac:dyDescent="0.2">
      <c r="A3020" s="27"/>
      <c r="B3020" s="25"/>
      <c r="E3020" s="10"/>
      <c r="O3020" s="10"/>
      <c r="V3020" s="10"/>
    </row>
    <row r="3021" spans="1:22" x14ac:dyDescent="0.2">
      <c r="A3021" s="27"/>
      <c r="B3021" s="25"/>
      <c r="E3021" s="10"/>
      <c r="O3021" s="10"/>
      <c r="V3021" s="10"/>
    </row>
    <row r="3022" spans="1:22" x14ac:dyDescent="0.2">
      <c r="A3022" s="27"/>
      <c r="B3022" s="25"/>
      <c r="E3022" s="10"/>
      <c r="O3022" s="10"/>
      <c r="V3022" s="10"/>
    </row>
    <row r="3023" spans="1:22" x14ac:dyDescent="0.2">
      <c r="A3023" s="27"/>
      <c r="B3023" s="25"/>
      <c r="E3023" s="10"/>
      <c r="O3023" s="10"/>
      <c r="V3023" s="10"/>
    </row>
    <row r="3024" spans="1:22" x14ac:dyDescent="0.2">
      <c r="A3024" s="27"/>
      <c r="B3024" s="25"/>
      <c r="E3024" s="10"/>
      <c r="O3024" s="10"/>
      <c r="V3024" s="10"/>
    </row>
    <row r="3025" spans="1:22" x14ac:dyDescent="0.2">
      <c r="A3025" s="27"/>
      <c r="B3025" s="25"/>
      <c r="E3025" s="10"/>
      <c r="O3025" s="10"/>
      <c r="V3025" s="10"/>
    </row>
    <row r="3026" spans="1:22" x14ac:dyDescent="0.2">
      <c r="A3026" s="27"/>
      <c r="B3026" s="25"/>
      <c r="E3026" s="10"/>
      <c r="O3026" s="10"/>
      <c r="V3026" s="10"/>
    </row>
    <row r="3027" spans="1:22" x14ac:dyDescent="0.2">
      <c r="A3027" s="27"/>
      <c r="B3027" s="25"/>
      <c r="E3027" s="10"/>
      <c r="O3027" s="10"/>
      <c r="V3027" s="10"/>
    </row>
    <row r="3028" spans="1:22" x14ac:dyDescent="0.2">
      <c r="A3028" s="27"/>
      <c r="B3028" s="25"/>
      <c r="E3028" s="10"/>
      <c r="O3028" s="10"/>
      <c r="V3028" s="10"/>
    </row>
    <row r="3029" spans="1:22" x14ac:dyDescent="0.2">
      <c r="A3029" s="27"/>
      <c r="B3029" s="25"/>
      <c r="E3029" s="10"/>
      <c r="O3029" s="10"/>
      <c r="V3029" s="10"/>
    </row>
    <row r="3030" spans="1:22" x14ac:dyDescent="0.2">
      <c r="A3030" s="27"/>
      <c r="B3030" s="25"/>
      <c r="E3030" s="10"/>
      <c r="O3030" s="10"/>
      <c r="V3030" s="10"/>
    </row>
    <row r="3031" spans="1:22" x14ac:dyDescent="0.2">
      <c r="A3031" s="27"/>
      <c r="B3031" s="25"/>
      <c r="E3031" s="10"/>
      <c r="O3031" s="10"/>
      <c r="V3031" s="10"/>
    </row>
    <row r="3032" spans="1:22" x14ac:dyDescent="0.2">
      <c r="A3032" s="27"/>
      <c r="B3032" s="25"/>
      <c r="E3032" s="10"/>
      <c r="O3032" s="10"/>
      <c r="V3032" s="10"/>
    </row>
    <row r="3033" spans="1:22" x14ac:dyDescent="0.2">
      <c r="A3033" s="27"/>
      <c r="B3033" s="25"/>
      <c r="E3033" s="10"/>
      <c r="O3033" s="10"/>
      <c r="V3033" s="10"/>
    </row>
    <row r="3034" spans="1:22" x14ac:dyDescent="0.2">
      <c r="A3034" s="27"/>
      <c r="B3034" s="25"/>
      <c r="E3034" s="10"/>
      <c r="O3034" s="10"/>
      <c r="V3034" s="10"/>
    </row>
    <row r="3035" spans="1:22" x14ac:dyDescent="0.2">
      <c r="A3035" s="27"/>
      <c r="B3035" s="25"/>
      <c r="E3035" s="10"/>
      <c r="O3035" s="10"/>
      <c r="V3035" s="10"/>
    </row>
    <row r="3036" spans="1:22" x14ac:dyDescent="0.2">
      <c r="A3036" s="27"/>
      <c r="B3036" s="25"/>
      <c r="E3036" s="10"/>
      <c r="O3036" s="10"/>
      <c r="V3036" s="10"/>
    </row>
    <row r="3037" spans="1:22" x14ac:dyDescent="0.2">
      <c r="A3037" s="27"/>
      <c r="B3037" s="25"/>
      <c r="E3037" s="10"/>
      <c r="O3037" s="10"/>
      <c r="V3037" s="10"/>
    </row>
    <row r="3038" spans="1:22" x14ac:dyDescent="0.2">
      <c r="A3038" s="27"/>
      <c r="B3038" s="25"/>
      <c r="E3038" s="10"/>
      <c r="O3038" s="10"/>
      <c r="V3038" s="10"/>
    </row>
    <row r="3039" spans="1:22" x14ac:dyDescent="0.2">
      <c r="A3039" s="27"/>
      <c r="B3039" s="25"/>
      <c r="E3039" s="10"/>
      <c r="O3039" s="10"/>
      <c r="V3039" s="10"/>
    </row>
    <row r="3040" spans="1:22" x14ac:dyDescent="0.2">
      <c r="A3040" s="27"/>
      <c r="B3040" s="25"/>
      <c r="E3040" s="10"/>
      <c r="O3040" s="10"/>
      <c r="V3040" s="10"/>
    </row>
    <row r="3041" spans="1:22" x14ac:dyDescent="0.2">
      <c r="A3041" s="27"/>
      <c r="B3041" s="25"/>
      <c r="E3041" s="10"/>
      <c r="O3041" s="10"/>
      <c r="V3041" s="10"/>
    </row>
    <row r="3042" spans="1:22" x14ac:dyDescent="0.2">
      <c r="A3042" s="27"/>
      <c r="B3042" s="25"/>
      <c r="E3042" s="10"/>
      <c r="O3042" s="10"/>
      <c r="V3042" s="10"/>
    </row>
    <row r="3043" spans="1:22" x14ac:dyDescent="0.2">
      <c r="A3043" s="27"/>
      <c r="B3043" s="25"/>
      <c r="E3043" s="10"/>
      <c r="O3043" s="10"/>
      <c r="V3043" s="10"/>
    </row>
    <row r="3044" spans="1:22" x14ac:dyDescent="0.2">
      <c r="A3044" s="27"/>
      <c r="B3044" s="25"/>
      <c r="E3044" s="10"/>
      <c r="O3044" s="10"/>
      <c r="V3044" s="10"/>
    </row>
    <row r="3045" spans="1:22" x14ac:dyDescent="0.2">
      <c r="A3045" s="27"/>
      <c r="B3045" s="25"/>
      <c r="E3045" s="10"/>
      <c r="O3045" s="10"/>
      <c r="V3045" s="10"/>
    </row>
    <row r="3046" spans="1:22" x14ac:dyDescent="0.2">
      <c r="A3046" s="27"/>
      <c r="B3046" s="25"/>
      <c r="E3046" s="10"/>
      <c r="O3046" s="10"/>
      <c r="V3046" s="10"/>
    </row>
    <row r="3047" spans="1:22" x14ac:dyDescent="0.2">
      <c r="A3047" s="27"/>
      <c r="B3047" s="25"/>
      <c r="E3047" s="10"/>
      <c r="O3047" s="10"/>
      <c r="V3047" s="10"/>
    </row>
    <row r="3048" spans="1:22" x14ac:dyDescent="0.2">
      <c r="A3048" s="27"/>
      <c r="B3048" s="25"/>
      <c r="E3048" s="10"/>
      <c r="O3048" s="10"/>
      <c r="V3048" s="10"/>
    </row>
    <row r="3049" spans="1:22" x14ac:dyDescent="0.2">
      <c r="A3049" s="27"/>
      <c r="B3049" s="25"/>
      <c r="E3049" s="10"/>
      <c r="O3049" s="10"/>
      <c r="V3049" s="10"/>
    </row>
    <row r="3050" spans="1:22" x14ac:dyDescent="0.2">
      <c r="A3050" s="27"/>
      <c r="B3050" s="25"/>
      <c r="E3050" s="10"/>
      <c r="O3050" s="10"/>
      <c r="V3050" s="10"/>
    </row>
    <row r="3051" spans="1:22" x14ac:dyDescent="0.2">
      <c r="A3051" s="27"/>
      <c r="B3051" s="25"/>
      <c r="E3051" s="10"/>
      <c r="O3051" s="10"/>
      <c r="V3051" s="10"/>
    </row>
    <row r="3052" spans="1:22" x14ac:dyDescent="0.2">
      <c r="A3052" s="27"/>
      <c r="B3052" s="25"/>
      <c r="E3052" s="10"/>
      <c r="O3052" s="10"/>
      <c r="V3052" s="10"/>
    </row>
    <row r="3053" spans="1:22" x14ac:dyDescent="0.2">
      <c r="A3053" s="27"/>
      <c r="B3053" s="25"/>
      <c r="E3053" s="10"/>
      <c r="O3053" s="10"/>
      <c r="V3053" s="10"/>
    </row>
    <row r="3054" spans="1:22" x14ac:dyDescent="0.2">
      <c r="A3054" s="27"/>
      <c r="B3054" s="25"/>
      <c r="E3054" s="10"/>
      <c r="O3054" s="10"/>
      <c r="V3054" s="10"/>
    </row>
    <row r="3055" spans="1:22" x14ac:dyDescent="0.2">
      <c r="A3055" s="27"/>
      <c r="B3055" s="25"/>
      <c r="E3055" s="10"/>
      <c r="O3055" s="10"/>
      <c r="V3055" s="10"/>
    </row>
    <row r="3056" spans="1:22" x14ac:dyDescent="0.2">
      <c r="A3056" s="27"/>
      <c r="B3056" s="25"/>
      <c r="E3056" s="10"/>
      <c r="O3056" s="10"/>
      <c r="V3056" s="10"/>
    </row>
    <row r="3057" spans="1:22" x14ac:dyDescent="0.2">
      <c r="A3057" s="27"/>
      <c r="B3057" s="25"/>
      <c r="E3057" s="10"/>
      <c r="O3057" s="10"/>
      <c r="V3057" s="10"/>
    </row>
    <row r="3058" spans="1:22" x14ac:dyDescent="0.2">
      <c r="A3058" s="27"/>
      <c r="B3058" s="25"/>
      <c r="E3058" s="10"/>
      <c r="O3058" s="10"/>
      <c r="V3058" s="10"/>
    </row>
    <row r="3059" spans="1:22" x14ac:dyDescent="0.2">
      <c r="A3059" s="27"/>
      <c r="B3059" s="25"/>
      <c r="E3059" s="10"/>
      <c r="O3059" s="10"/>
      <c r="V3059" s="10"/>
    </row>
    <row r="3060" spans="1:22" x14ac:dyDescent="0.2">
      <c r="A3060" s="27"/>
      <c r="B3060" s="25"/>
      <c r="E3060" s="10"/>
      <c r="O3060" s="10"/>
      <c r="V3060" s="10"/>
    </row>
    <row r="3061" spans="1:22" x14ac:dyDescent="0.2">
      <c r="A3061" s="27"/>
      <c r="B3061" s="25"/>
      <c r="E3061" s="10"/>
      <c r="O3061" s="10"/>
      <c r="V3061" s="10"/>
    </row>
    <row r="3062" spans="1:22" x14ac:dyDescent="0.2">
      <c r="A3062" s="27"/>
      <c r="B3062" s="25"/>
      <c r="E3062" s="10"/>
      <c r="O3062" s="10"/>
      <c r="V3062" s="10"/>
    </row>
    <row r="3063" spans="1:22" x14ac:dyDescent="0.2">
      <c r="A3063" s="27"/>
      <c r="B3063" s="25"/>
      <c r="E3063" s="10"/>
      <c r="O3063" s="10"/>
      <c r="V3063" s="10"/>
    </row>
    <row r="3064" spans="1:22" x14ac:dyDescent="0.2">
      <c r="A3064" s="27"/>
      <c r="B3064" s="25"/>
      <c r="E3064" s="10"/>
      <c r="O3064" s="10"/>
      <c r="V3064" s="10"/>
    </row>
    <row r="3065" spans="1:22" x14ac:dyDescent="0.2">
      <c r="A3065" s="27"/>
      <c r="B3065" s="25"/>
      <c r="E3065" s="10"/>
      <c r="O3065" s="10"/>
      <c r="V3065" s="10"/>
    </row>
    <row r="3066" spans="1:22" x14ac:dyDescent="0.2">
      <c r="A3066" s="27"/>
      <c r="B3066" s="25"/>
      <c r="E3066" s="10"/>
      <c r="O3066" s="10"/>
      <c r="V3066" s="10"/>
    </row>
    <row r="3067" spans="1:22" x14ac:dyDescent="0.2">
      <c r="A3067" s="27"/>
      <c r="B3067" s="25"/>
      <c r="E3067" s="10"/>
      <c r="O3067" s="10"/>
      <c r="V3067" s="10"/>
    </row>
    <row r="3068" spans="1:22" x14ac:dyDescent="0.2">
      <c r="A3068" s="27"/>
      <c r="B3068" s="25"/>
      <c r="E3068" s="10"/>
      <c r="O3068" s="10"/>
      <c r="V3068" s="10"/>
    </row>
    <row r="3069" spans="1:22" x14ac:dyDescent="0.2">
      <c r="A3069" s="27"/>
      <c r="B3069" s="25"/>
      <c r="E3069" s="10"/>
      <c r="O3069" s="10"/>
      <c r="V3069" s="10"/>
    </row>
    <row r="3070" spans="1:22" x14ac:dyDescent="0.2">
      <c r="A3070" s="27"/>
      <c r="B3070" s="25"/>
      <c r="E3070" s="10"/>
      <c r="O3070" s="10"/>
      <c r="V3070" s="10"/>
    </row>
    <row r="3071" spans="1:22" x14ac:dyDescent="0.2">
      <c r="A3071" s="27"/>
      <c r="B3071" s="25"/>
      <c r="E3071" s="10"/>
      <c r="O3071" s="10"/>
      <c r="V3071" s="10"/>
    </row>
    <row r="3072" spans="1:22" x14ac:dyDescent="0.2">
      <c r="A3072" s="27"/>
      <c r="B3072" s="25"/>
      <c r="E3072" s="10"/>
      <c r="O3072" s="10"/>
      <c r="V3072" s="10"/>
    </row>
    <row r="3073" spans="1:22" x14ac:dyDescent="0.2">
      <c r="A3073" s="27"/>
      <c r="B3073" s="25"/>
      <c r="E3073" s="10"/>
      <c r="O3073" s="10"/>
      <c r="V3073" s="10"/>
    </row>
    <row r="3074" spans="1:22" x14ac:dyDescent="0.2">
      <c r="A3074" s="27"/>
      <c r="B3074" s="25"/>
      <c r="E3074" s="10"/>
      <c r="O3074" s="10"/>
      <c r="V3074" s="10"/>
    </row>
    <row r="3075" spans="1:22" x14ac:dyDescent="0.2">
      <c r="A3075" s="27"/>
      <c r="B3075" s="25"/>
      <c r="E3075" s="10"/>
      <c r="O3075" s="10"/>
      <c r="V3075" s="10"/>
    </row>
    <row r="3076" spans="1:22" x14ac:dyDescent="0.2">
      <c r="A3076" s="27"/>
      <c r="B3076" s="25"/>
      <c r="E3076" s="10"/>
      <c r="O3076" s="10"/>
      <c r="V3076" s="10"/>
    </row>
    <row r="3077" spans="1:22" x14ac:dyDescent="0.2">
      <c r="A3077" s="27"/>
      <c r="B3077" s="25"/>
      <c r="E3077" s="10"/>
      <c r="O3077" s="10"/>
      <c r="V3077" s="10"/>
    </row>
    <row r="3078" spans="1:22" x14ac:dyDescent="0.2">
      <c r="A3078" s="27"/>
      <c r="B3078" s="25"/>
      <c r="E3078" s="10"/>
      <c r="O3078" s="10"/>
      <c r="V3078" s="10"/>
    </row>
    <row r="3079" spans="1:22" x14ac:dyDescent="0.2">
      <c r="A3079" s="27"/>
      <c r="B3079" s="25"/>
      <c r="E3079" s="10"/>
      <c r="O3079" s="10"/>
      <c r="V3079" s="10"/>
    </row>
    <row r="3080" spans="1:22" x14ac:dyDescent="0.2">
      <c r="A3080" s="27"/>
      <c r="B3080" s="25"/>
      <c r="E3080" s="10"/>
      <c r="O3080" s="10"/>
      <c r="V3080" s="10"/>
    </row>
    <row r="3081" spans="1:22" x14ac:dyDescent="0.2">
      <c r="A3081" s="27"/>
      <c r="B3081" s="25"/>
      <c r="E3081" s="10"/>
      <c r="O3081" s="10"/>
      <c r="V3081" s="10"/>
    </row>
    <row r="3082" spans="1:22" x14ac:dyDescent="0.2">
      <c r="A3082" s="27"/>
      <c r="B3082" s="25"/>
      <c r="E3082" s="10"/>
      <c r="O3082" s="10"/>
      <c r="V3082" s="10"/>
    </row>
    <row r="3083" spans="1:22" x14ac:dyDescent="0.2">
      <c r="A3083" s="27"/>
      <c r="B3083" s="25"/>
      <c r="E3083" s="10"/>
      <c r="O3083" s="10"/>
      <c r="V3083" s="10"/>
    </row>
    <row r="3084" spans="1:22" x14ac:dyDescent="0.2">
      <c r="A3084" s="27"/>
      <c r="B3084" s="25"/>
      <c r="E3084" s="10"/>
      <c r="O3084" s="10"/>
      <c r="V3084" s="10"/>
    </row>
    <row r="3085" spans="1:22" x14ac:dyDescent="0.2">
      <c r="A3085" s="27"/>
      <c r="B3085" s="25"/>
      <c r="E3085" s="10"/>
      <c r="O3085" s="10"/>
      <c r="V3085" s="10"/>
    </row>
    <row r="3086" spans="1:22" x14ac:dyDescent="0.2">
      <c r="A3086" s="27"/>
      <c r="B3086" s="25"/>
      <c r="E3086" s="10"/>
      <c r="O3086" s="10"/>
      <c r="V3086" s="10"/>
    </row>
    <row r="3087" spans="1:22" x14ac:dyDescent="0.2">
      <c r="A3087" s="27"/>
      <c r="B3087" s="25"/>
      <c r="E3087" s="10"/>
      <c r="O3087" s="10"/>
      <c r="V3087" s="10"/>
    </row>
    <row r="3088" spans="1:22" x14ac:dyDescent="0.2">
      <c r="A3088" s="27"/>
      <c r="B3088" s="25"/>
      <c r="E3088" s="10"/>
      <c r="O3088" s="10"/>
      <c r="V3088" s="10"/>
    </row>
    <row r="3089" spans="1:22" x14ac:dyDescent="0.2">
      <c r="A3089" s="27"/>
      <c r="B3089" s="25"/>
      <c r="E3089" s="10"/>
      <c r="O3089" s="10"/>
      <c r="V3089" s="10"/>
    </row>
    <row r="3090" spans="1:22" x14ac:dyDescent="0.2">
      <c r="A3090" s="27"/>
      <c r="B3090" s="25"/>
      <c r="E3090" s="10"/>
      <c r="O3090" s="10"/>
      <c r="V3090" s="10"/>
    </row>
    <row r="3091" spans="1:22" x14ac:dyDescent="0.2">
      <c r="A3091" s="27"/>
      <c r="B3091" s="25"/>
      <c r="E3091" s="10"/>
      <c r="O3091" s="10"/>
      <c r="V3091" s="10"/>
    </row>
    <row r="3092" spans="1:22" x14ac:dyDescent="0.2">
      <c r="A3092" s="27"/>
      <c r="B3092" s="25"/>
      <c r="E3092" s="10"/>
      <c r="O3092" s="10"/>
      <c r="V3092" s="10"/>
    </row>
    <row r="3093" spans="1:22" x14ac:dyDescent="0.2">
      <c r="A3093" s="27"/>
      <c r="B3093" s="25"/>
      <c r="E3093" s="10"/>
      <c r="O3093" s="10"/>
      <c r="V3093" s="10"/>
    </row>
    <row r="3094" spans="1:22" x14ac:dyDescent="0.2">
      <c r="A3094" s="27"/>
      <c r="B3094" s="25"/>
      <c r="E3094" s="10"/>
      <c r="O3094" s="10"/>
      <c r="V3094" s="10"/>
    </row>
    <row r="3095" spans="1:22" x14ac:dyDescent="0.2">
      <c r="A3095" s="27"/>
      <c r="B3095" s="25"/>
      <c r="E3095" s="10"/>
      <c r="O3095" s="10"/>
      <c r="V3095" s="10"/>
    </row>
    <row r="3096" spans="1:22" x14ac:dyDescent="0.2">
      <c r="A3096" s="27"/>
      <c r="B3096" s="25"/>
      <c r="E3096" s="10"/>
      <c r="O3096" s="10"/>
      <c r="V3096" s="10"/>
    </row>
    <row r="3097" spans="1:22" x14ac:dyDescent="0.2">
      <c r="A3097" s="27"/>
      <c r="B3097" s="25"/>
      <c r="E3097" s="10"/>
      <c r="O3097" s="10"/>
      <c r="V3097" s="10"/>
    </row>
    <row r="3098" spans="1:22" x14ac:dyDescent="0.2">
      <c r="A3098" s="27"/>
      <c r="B3098" s="25"/>
      <c r="E3098" s="10"/>
      <c r="O3098" s="10"/>
      <c r="V3098" s="10"/>
    </row>
    <row r="3099" spans="1:22" x14ac:dyDescent="0.2">
      <c r="A3099" s="27"/>
      <c r="B3099" s="25"/>
      <c r="E3099" s="10"/>
      <c r="O3099" s="10"/>
      <c r="V3099" s="10"/>
    </row>
    <row r="3100" spans="1:22" x14ac:dyDescent="0.2">
      <c r="A3100" s="27"/>
      <c r="B3100" s="25"/>
      <c r="E3100" s="10"/>
      <c r="O3100" s="10"/>
      <c r="V3100" s="10"/>
    </row>
    <row r="3101" spans="1:22" x14ac:dyDescent="0.2">
      <c r="A3101" s="27"/>
      <c r="B3101" s="25"/>
      <c r="E3101" s="10"/>
      <c r="O3101" s="10"/>
      <c r="V3101" s="10"/>
    </row>
    <row r="3102" spans="1:22" x14ac:dyDescent="0.2">
      <c r="A3102" s="27"/>
      <c r="B3102" s="25"/>
      <c r="E3102" s="10"/>
      <c r="O3102" s="10"/>
      <c r="V3102" s="10"/>
    </row>
    <row r="3103" spans="1:22" x14ac:dyDescent="0.2">
      <c r="A3103" s="27"/>
      <c r="B3103" s="25"/>
      <c r="E3103" s="10"/>
      <c r="O3103" s="10"/>
      <c r="V3103" s="10"/>
    </row>
    <row r="3104" spans="1:22" x14ac:dyDescent="0.2">
      <c r="A3104" s="27"/>
      <c r="B3104" s="25"/>
      <c r="E3104" s="10"/>
      <c r="O3104" s="10"/>
      <c r="V3104" s="10"/>
    </row>
    <row r="3105" spans="1:22" x14ac:dyDescent="0.2">
      <c r="A3105" s="27"/>
      <c r="B3105" s="25"/>
      <c r="E3105" s="10"/>
      <c r="O3105" s="10"/>
      <c r="V3105" s="10"/>
    </row>
    <row r="3106" spans="1:22" x14ac:dyDescent="0.2">
      <c r="A3106" s="27"/>
      <c r="B3106" s="25"/>
      <c r="E3106" s="10"/>
      <c r="O3106" s="10"/>
      <c r="V3106" s="10"/>
    </row>
    <row r="3107" spans="1:22" x14ac:dyDescent="0.2">
      <c r="A3107" s="27"/>
      <c r="B3107" s="25"/>
      <c r="E3107" s="10"/>
      <c r="O3107" s="10"/>
      <c r="V3107" s="10"/>
    </row>
    <row r="3108" spans="1:22" x14ac:dyDescent="0.2">
      <c r="A3108" s="27"/>
      <c r="B3108" s="25"/>
      <c r="E3108" s="10"/>
      <c r="O3108" s="10"/>
      <c r="V3108" s="10"/>
    </row>
    <row r="3109" spans="1:22" x14ac:dyDescent="0.2">
      <c r="A3109" s="27"/>
      <c r="B3109" s="25"/>
      <c r="E3109" s="10"/>
      <c r="O3109" s="10"/>
      <c r="V3109" s="10"/>
    </row>
    <row r="3110" spans="1:22" x14ac:dyDescent="0.2">
      <c r="A3110" s="27"/>
      <c r="B3110" s="25"/>
      <c r="E3110" s="10"/>
      <c r="O3110" s="10"/>
      <c r="V3110" s="10"/>
    </row>
    <row r="3111" spans="1:22" x14ac:dyDescent="0.2">
      <c r="A3111" s="27"/>
      <c r="B3111" s="25"/>
      <c r="E3111" s="10"/>
      <c r="O3111" s="10"/>
      <c r="V3111" s="10"/>
    </row>
    <row r="3112" spans="1:22" x14ac:dyDescent="0.2">
      <c r="A3112" s="27"/>
      <c r="B3112" s="25"/>
      <c r="E3112" s="10"/>
      <c r="O3112" s="10"/>
      <c r="V3112" s="10"/>
    </row>
    <row r="3113" spans="1:22" x14ac:dyDescent="0.2">
      <c r="A3113" s="27"/>
      <c r="B3113" s="25"/>
      <c r="E3113" s="10"/>
      <c r="O3113" s="10"/>
      <c r="V3113" s="10"/>
    </row>
    <row r="3114" spans="1:22" x14ac:dyDescent="0.2">
      <c r="A3114" s="27"/>
      <c r="B3114" s="25"/>
      <c r="E3114" s="10"/>
      <c r="O3114" s="10"/>
      <c r="V3114" s="10"/>
    </row>
    <row r="3115" spans="1:22" x14ac:dyDescent="0.2">
      <c r="A3115" s="27"/>
      <c r="B3115" s="25"/>
      <c r="E3115" s="10"/>
      <c r="O3115" s="10"/>
      <c r="V3115" s="10"/>
    </row>
    <row r="3116" spans="1:22" x14ac:dyDescent="0.2">
      <c r="A3116" s="27"/>
      <c r="B3116" s="25"/>
      <c r="E3116" s="10"/>
      <c r="O3116" s="10"/>
      <c r="V3116" s="10"/>
    </row>
    <row r="3117" spans="1:22" x14ac:dyDescent="0.2">
      <c r="A3117" s="27"/>
      <c r="B3117" s="25"/>
      <c r="E3117" s="10"/>
      <c r="O3117" s="10"/>
      <c r="V3117" s="10"/>
    </row>
    <row r="3118" spans="1:22" x14ac:dyDescent="0.2">
      <c r="A3118" s="27"/>
      <c r="B3118" s="25"/>
      <c r="E3118" s="10"/>
      <c r="O3118" s="10"/>
      <c r="V3118" s="10"/>
    </row>
    <row r="3119" spans="1:22" x14ac:dyDescent="0.2">
      <c r="A3119" s="27"/>
      <c r="B3119" s="25"/>
      <c r="E3119" s="10"/>
      <c r="O3119" s="10"/>
      <c r="V3119" s="10"/>
    </row>
    <row r="3120" spans="1:22" x14ac:dyDescent="0.2">
      <c r="A3120" s="27"/>
      <c r="B3120" s="25"/>
      <c r="E3120" s="10"/>
      <c r="O3120" s="10"/>
      <c r="V3120" s="10"/>
    </row>
    <row r="3121" spans="1:22" x14ac:dyDescent="0.2">
      <c r="A3121" s="27"/>
      <c r="B3121" s="25"/>
      <c r="E3121" s="10"/>
      <c r="O3121" s="10"/>
      <c r="V3121" s="10"/>
    </row>
    <row r="3122" spans="1:22" x14ac:dyDescent="0.2">
      <c r="A3122" s="27"/>
      <c r="B3122" s="25"/>
      <c r="E3122" s="10"/>
      <c r="O3122" s="10"/>
      <c r="V3122" s="10"/>
    </row>
    <row r="3123" spans="1:22" x14ac:dyDescent="0.2">
      <c r="A3123" s="27"/>
      <c r="B3123" s="25"/>
      <c r="E3123" s="10"/>
      <c r="O3123" s="10"/>
      <c r="V3123" s="10"/>
    </row>
    <row r="3124" spans="1:22" x14ac:dyDescent="0.2">
      <c r="A3124" s="27"/>
      <c r="B3124" s="25"/>
      <c r="E3124" s="10"/>
      <c r="O3124" s="10"/>
      <c r="V3124" s="10"/>
    </row>
    <row r="3125" spans="1:22" x14ac:dyDescent="0.2">
      <c r="A3125" s="27"/>
      <c r="B3125" s="25"/>
      <c r="E3125" s="10"/>
      <c r="O3125" s="10"/>
      <c r="V3125" s="10"/>
    </row>
    <row r="3126" spans="1:22" x14ac:dyDescent="0.2">
      <c r="A3126" s="27"/>
      <c r="B3126" s="25"/>
      <c r="E3126" s="10"/>
      <c r="O3126" s="10"/>
      <c r="V3126" s="10"/>
    </row>
    <row r="3127" spans="1:22" x14ac:dyDescent="0.2">
      <c r="A3127" s="27"/>
      <c r="B3127" s="25"/>
      <c r="E3127" s="10"/>
      <c r="O3127" s="10"/>
      <c r="V3127" s="10"/>
    </row>
    <row r="3128" spans="1:22" x14ac:dyDescent="0.2">
      <c r="A3128" s="27"/>
      <c r="B3128" s="25"/>
      <c r="E3128" s="10"/>
      <c r="O3128" s="10"/>
      <c r="V3128" s="10"/>
    </row>
    <row r="3129" spans="1:22" x14ac:dyDescent="0.2">
      <c r="A3129" s="27"/>
      <c r="B3129" s="25"/>
      <c r="E3129" s="10"/>
      <c r="O3129" s="10"/>
      <c r="V3129" s="10"/>
    </row>
    <row r="3130" spans="1:22" x14ac:dyDescent="0.2">
      <c r="A3130" s="27"/>
      <c r="B3130" s="25"/>
      <c r="E3130" s="10"/>
      <c r="O3130" s="10"/>
      <c r="V3130" s="10"/>
    </row>
    <row r="3131" spans="1:22" x14ac:dyDescent="0.2">
      <c r="A3131" s="27"/>
      <c r="B3131" s="25"/>
      <c r="E3131" s="10"/>
      <c r="O3131" s="10"/>
      <c r="V3131" s="10"/>
    </row>
    <row r="3132" spans="1:22" x14ac:dyDescent="0.2">
      <c r="A3132" s="27"/>
      <c r="B3132" s="25"/>
      <c r="E3132" s="10"/>
      <c r="O3132" s="10"/>
      <c r="V3132" s="10"/>
    </row>
    <row r="3133" spans="1:22" x14ac:dyDescent="0.2">
      <c r="A3133" s="27"/>
      <c r="B3133" s="25"/>
      <c r="E3133" s="10"/>
      <c r="O3133" s="10"/>
      <c r="V3133" s="10"/>
    </row>
    <row r="3134" spans="1:22" x14ac:dyDescent="0.2">
      <c r="A3134" s="27"/>
      <c r="B3134" s="25"/>
      <c r="E3134" s="10"/>
      <c r="O3134" s="10"/>
      <c r="V3134" s="10"/>
    </row>
    <row r="3135" spans="1:22" x14ac:dyDescent="0.2">
      <c r="A3135" s="27"/>
      <c r="B3135" s="25"/>
      <c r="E3135" s="10"/>
      <c r="O3135" s="10"/>
      <c r="V3135" s="10"/>
    </row>
    <row r="3136" spans="1:22" x14ac:dyDescent="0.2">
      <c r="A3136" s="27"/>
      <c r="B3136" s="25"/>
      <c r="E3136" s="10"/>
      <c r="O3136" s="10"/>
      <c r="V3136" s="10"/>
    </row>
    <row r="3137" spans="1:22" x14ac:dyDescent="0.2">
      <c r="A3137" s="27"/>
      <c r="B3137" s="25"/>
      <c r="E3137" s="10"/>
      <c r="O3137" s="10"/>
      <c r="V3137" s="10"/>
    </row>
    <row r="3138" spans="1:22" x14ac:dyDescent="0.2">
      <c r="A3138" s="27"/>
      <c r="B3138" s="25"/>
      <c r="E3138" s="10"/>
      <c r="O3138" s="10"/>
      <c r="V3138" s="10"/>
    </row>
    <row r="3139" spans="1:22" x14ac:dyDescent="0.2">
      <c r="A3139" s="27"/>
      <c r="B3139" s="25"/>
      <c r="E3139" s="10"/>
      <c r="O3139" s="10"/>
      <c r="V3139" s="10"/>
    </row>
    <row r="3140" spans="1:22" x14ac:dyDescent="0.2">
      <c r="A3140" s="27"/>
      <c r="B3140" s="25"/>
      <c r="E3140" s="10"/>
      <c r="O3140" s="10"/>
      <c r="V3140" s="10"/>
    </row>
    <row r="3141" spans="1:22" x14ac:dyDescent="0.2">
      <c r="A3141" s="27"/>
      <c r="B3141" s="25"/>
      <c r="E3141" s="10"/>
      <c r="O3141" s="10"/>
      <c r="V3141" s="10"/>
    </row>
    <row r="3142" spans="1:22" x14ac:dyDescent="0.2">
      <c r="A3142" s="27"/>
      <c r="B3142" s="25"/>
      <c r="E3142" s="10"/>
      <c r="O3142" s="10"/>
      <c r="V3142" s="10"/>
    </row>
    <row r="3143" spans="1:22" x14ac:dyDescent="0.2">
      <c r="A3143" s="27"/>
      <c r="B3143" s="25"/>
      <c r="E3143" s="10"/>
      <c r="O3143" s="10"/>
      <c r="V3143" s="10"/>
    </row>
    <row r="3144" spans="1:22" x14ac:dyDescent="0.2">
      <c r="A3144" s="27"/>
      <c r="B3144" s="25"/>
      <c r="E3144" s="10"/>
      <c r="O3144" s="10"/>
      <c r="V3144" s="10"/>
    </row>
    <row r="3145" spans="1:22" x14ac:dyDescent="0.2">
      <c r="A3145" s="27"/>
      <c r="B3145" s="25"/>
      <c r="E3145" s="10"/>
      <c r="O3145" s="10"/>
      <c r="V3145" s="10"/>
    </row>
    <row r="3146" spans="1:22" x14ac:dyDescent="0.2">
      <c r="A3146" s="27"/>
      <c r="B3146" s="25"/>
      <c r="E3146" s="10"/>
      <c r="O3146" s="10"/>
      <c r="V3146" s="10"/>
    </row>
    <row r="3147" spans="1:22" x14ac:dyDescent="0.2">
      <c r="A3147" s="27"/>
      <c r="B3147" s="25"/>
      <c r="E3147" s="10"/>
      <c r="O3147" s="10"/>
      <c r="V3147" s="10"/>
    </row>
    <row r="3148" spans="1:22" x14ac:dyDescent="0.2">
      <c r="A3148" s="27"/>
      <c r="B3148" s="25"/>
      <c r="E3148" s="10"/>
      <c r="O3148" s="10"/>
      <c r="V3148" s="10"/>
    </row>
    <row r="3149" spans="1:22" x14ac:dyDescent="0.2">
      <c r="A3149" s="27"/>
      <c r="B3149" s="25"/>
      <c r="E3149" s="10"/>
      <c r="O3149" s="10"/>
      <c r="V3149" s="10"/>
    </row>
    <row r="3150" spans="1:22" x14ac:dyDescent="0.2">
      <c r="A3150" s="27"/>
      <c r="B3150" s="25"/>
      <c r="E3150" s="10"/>
      <c r="O3150" s="10"/>
      <c r="V3150" s="10"/>
    </row>
    <row r="3151" spans="1:22" x14ac:dyDescent="0.2">
      <c r="A3151" s="27"/>
      <c r="B3151" s="25"/>
      <c r="E3151" s="10"/>
      <c r="O3151" s="10"/>
      <c r="V3151" s="10"/>
    </row>
    <row r="3152" spans="1:22" x14ac:dyDescent="0.2">
      <c r="A3152" s="27"/>
      <c r="B3152" s="25"/>
      <c r="E3152" s="10"/>
      <c r="O3152" s="10"/>
      <c r="V3152" s="10"/>
    </row>
    <row r="3153" spans="1:22" x14ac:dyDescent="0.2">
      <c r="A3153" s="27"/>
      <c r="B3153" s="25"/>
      <c r="E3153" s="10"/>
      <c r="O3153" s="10"/>
      <c r="V3153" s="10"/>
    </row>
    <row r="3154" spans="1:22" x14ac:dyDescent="0.2">
      <c r="A3154" s="27"/>
      <c r="B3154" s="25"/>
      <c r="E3154" s="10"/>
      <c r="O3154" s="10"/>
      <c r="V3154" s="10"/>
    </row>
    <row r="3155" spans="1:22" x14ac:dyDescent="0.2">
      <c r="A3155" s="27"/>
      <c r="B3155" s="25"/>
      <c r="E3155" s="10"/>
      <c r="O3155" s="10"/>
      <c r="V3155" s="10"/>
    </row>
    <row r="3156" spans="1:22" x14ac:dyDescent="0.2">
      <c r="A3156" s="27"/>
      <c r="B3156" s="25"/>
      <c r="E3156" s="10"/>
      <c r="O3156" s="10"/>
      <c r="V3156" s="10"/>
    </row>
    <row r="3157" spans="1:22" x14ac:dyDescent="0.2">
      <c r="A3157" s="27"/>
      <c r="B3157" s="25"/>
      <c r="E3157" s="10"/>
      <c r="O3157" s="10"/>
      <c r="V3157" s="10"/>
    </row>
    <row r="3158" spans="1:22" x14ac:dyDescent="0.2">
      <c r="A3158" s="27"/>
      <c r="B3158" s="25"/>
      <c r="E3158" s="10"/>
      <c r="O3158" s="10"/>
      <c r="V3158" s="10"/>
    </row>
    <row r="3159" spans="1:22" x14ac:dyDescent="0.2">
      <c r="A3159" s="27"/>
      <c r="B3159" s="25"/>
      <c r="E3159" s="10"/>
      <c r="O3159" s="10"/>
      <c r="V3159" s="10"/>
    </row>
    <row r="3160" spans="1:22" x14ac:dyDescent="0.2">
      <c r="A3160" s="27"/>
      <c r="B3160" s="25"/>
      <c r="E3160" s="10"/>
      <c r="O3160" s="10"/>
      <c r="V3160" s="10"/>
    </row>
    <row r="3161" spans="1:22" x14ac:dyDescent="0.2">
      <c r="A3161" s="27"/>
      <c r="B3161" s="25"/>
      <c r="E3161" s="10"/>
      <c r="O3161" s="10"/>
      <c r="V3161" s="10"/>
    </row>
    <row r="3162" spans="1:22" x14ac:dyDescent="0.2">
      <c r="A3162" s="27"/>
      <c r="B3162" s="25"/>
      <c r="E3162" s="10"/>
      <c r="O3162" s="10"/>
      <c r="V3162" s="10"/>
    </row>
    <row r="3163" spans="1:22" x14ac:dyDescent="0.2">
      <c r="A3163" s="27"/>
      <c r="B3163" s="25"/>
      <c r="E3163" s="10"/>
      <c r="O3163" s="10"/>
      <c r="V3163" s="10"/>
    </row>
    <row r="3164" spans="1:22" x14ac:dyDescent="0.2">
      <c r="A3164" s="27"/>
      <c r="B3164" s="25"/>
      <c r="E3164" s="10"/>
      <c r="O3164" s="10"/>
      <c r="V3164" s="10"/>
    </row>
    <row r="3165" spans="1:22" x14ac:dyDescent="0.2">
      <c r="A3165" s="27"/>
      <c r="B3165" s="25"/>
      <c r="E3165" s="10"/>
      <c r="O3165" s="10"/>
      <c r="V3165" s="10"/>
    </row>
    <row r="3166" spans="1:22" x14ac:dyDescent="0.2">
      <c r="A3166" s="27"/>
      <c r="B3166" s="25"/>
      <c r="E3166" s="10"/>
      <c r="O3166" s="10"/>
      <c r="V3166" s="10"/>
    </row>
    <row r="3167" spans="1:22" x14ac:dyDescent="0.2">
      <c r="A3167" s="27"/>
      <c r="B3167" s="25"/>
      <c r="E3167" s="10"/>
      <c r="O3167" s="10"/>
      <c r="V3167" s="10"/>
    </row>
    <row r="3168" spans="1:22" x14ac:dyDescent="0.2">
      <c r="A3168" s="27"/>
      <c r="B3168" s="25"/>
      <c r="E3168" s="10"/>
      <c r="O3168" s="10"/>
      <c r="V3168" s="10"/>
    </row>
    <row r="3169" spans="1:22" x14ac:dyDescent="0.2">
      <c r="A3169" s="27"/>
      <c r="B3169" s="25"/>
      <c r="E3169" s="10"/>
      <c r="O3169" s="10"/>
      <c r="V3169" s="10"/>
    </row>
    <row r="3170" spans="1:22" x14ac:dyDescent="0.2">
      <c r="A3170" s="27"/>
      <c r="B3170" s="25"/>
      <c r="E3170" s="10"/>
      <c r="O3170" s="10"/>
      <c r="V3170" s="10"/>
    </row>
    <row r="3171" spans="1:22" x14ac:dyDescent="0.2">
      <c r="A3171" s="27"/>
      <c r="B3171" s="25"/>
      <c r="E3171" s="10"/>
      <c r="O3171" s="10"/>
      <c r="V3171" s="10"/>
    </row>
    <row r="3172" spans="1:22" x14ac:dyDescent="0.2">
      <c r="A3172" s="27"/>
      <c r="B3172" s="25"/>
      <c r="E3172" s="10"/>
      <c r="O3172" s="10"/>
      <c r="V3172" s="10"/>
    </row>
    <row r="3173" spans="1:22" x14ac:dyDescent="0.2">
      <c r="A3173" s="27"/>
      <c r="B3173" s="25"/>
      <c r="E3173" s="10"/>
      <c r="O3173" s="10"/>
      <c r="V3173" s="10"/>
    </row>
    <row r="3174" spans="1:22" x14ac:dyDescent="0.2">
      <c r="A3174" s="27"/>
      <c r="B3174" s="25"/>
      <c r="E3174" s="10"/>
      <c r="O3174" s="10"/>
      <c r="V3174" s="10"/>
    </row>
    <row r="3175" spans="1:22" x14ac:dyDescent="0.2">
      <c r="A3175" s="27"/>
      <c r="B3175" s="25"/>
      <c r="E3175" s="10"/>
      <c r="O3175" s="10"/>
      <c r="V3175" s="10"/>
    </row>
    <row r="3176" spans="1:22" x14ac:dyDescent="0.2">
      <c r="A3176" s="27"/>
      <c r="B3176" s="25"/>
      <c r="E3176" s="10"/>
      <c r="O3176" s="10"/>
      <c r="V3176" s="10"/>
    </row>
    <row r="3177" spans="1:22" x14ac:dyDescent="0.2">
      <c r="A3177" s="27"/>
      <c r="B3177" s="25"/>
      <c r="E3177" s="10"/>
      <c r="O3177" s="10"/>
      <c r="V3177" s="10"/>
    </row>
    <row r="3178" spans="1:22" x14ac:dyDescent="0.2">
      <c r="A3178" s="27"/>
      <c r="B3178" s="25"/>
      <c r="E3178" s="10"/>
      <c r="O3178" s="10"/>
      <c r="V3178" s="10"/>
    </row>
    <row r="3179" spans="1:22" x14ac:dyDescent="0.2">
      <c r="A3179" s="27"/>
      <c r="B3179" s="25"/>
      <c r="E3179" s="10"/>
      <c r="O3179" s="10"/>
      <c r="V3179" s="10"/>
    </row>
    <row r="3180" spans="1:22" x14ac:dyDescent="0.2">
      <c r="A3180" s="27"/>
      <c r="B3180" s="25"/>
      <c r="E3180" s="10"/>
      <c r="O3180" s="10"/>
      <c r="V3180" s="10"/>
    </row>
    <row r="3181" spans="1:22" x14ac:dyDescent="0.2">
      <c r="A3181" s="27"/>
      <c r="B3181" s="25"/>
      <c r="E3181" s="10"/>
      <c r="O3181" s="10"/>
      <c r="V3181" s="10"/>
    </row>
    <row r="3182" spans="1:22" x14ac:dyDescent="0.2">
      <c r="A3182" s="27"/>
      <c r="B3182" s="25"/>
      <c r="E3182" s="10"/>
      <c r="O3182" s="10"/>
      <c r="V3182" s="10"/>
    </row>
    <row r="3183" spans="1:22" x14ac:dyDescent="0.2">
      <c r="A3183" s="27"/>
      <c r="B3183" s="25"/>
      <c r="E3183" s="10"/>
      <c r="O3183" s="10"/>
      <c r="V3183" s="10"/>
    </row>
    <row r="3184" spans="1:22" x14ac:dyDescent="0.2">
      <c r="A3184" s="27"/>
      <c r="B3184" s="25"/>
      <c r="E3184" s="10"/>
      <c r="O3184" s="10"/>
      <c r="V3184" s="10"/>
    </row>
    <row r="3185" spans="1:22" x14ac:dyDescent="0.2">
      <c r="A3185" s="27"/>
      <c r="B3185" s="25"/>
      <c r="E3185" s="10"/>
      <c r="O3185" s="10"/>
      <c r="V3185" s="10"/>
    </row>
    <row r="3186" spans="1:22" x14ac:dyDescent="0.2">
      <c r="A3186" s="27"/>
      <c r="B3186" s="25"/>
      <c r="E3186" s="10"/>
      <c r="O3186" s="10"/>
      <c r="V3186" s="10"/>
    </row>
    <row r="3187" spans="1:22" x14ac:dyDescent="0.2">
      <c r="A3187" s="27"/>
      <c r="B3187" s="25"/>
      <c r="E3187" s="10"/>
      <c r="O3187" s="10"/>
      <c r="V3187" s="10"/>
    </row>
    <row r="3188" spans="1:22" x14ac:dyDescent="0.2">
      <c r="A3188" s="27"/>
      <c r="B3188" s="25"/>
      <c r="E3188" s="10"/>
      <c r="O3188" s="10"/>
      <c r="V3188" s="10"/>
    </row>
    <row r="3189" spans="1:22" x14ac:dyDescent="0.2">
      <c r="A3189" s="27"/>
      <c r="B3189" s="25"/>
      <c r="E3189" s="10"/>
      <c r="O3189" s="10"/>
      <c r="V3189" s="10"/>
    </row>
    <row r="3190" spans="1:22" x14ac:dyDescent="0.2">
      <c r="A3190" s="27"/>
      <c r="B3190" s="25"/>
      <c r="E3190" s="10"/>
      <c r="O3190" s="10"/>
      <c r="V3190" s="10"/>
    </row>
    <row r="3191" spans="1:22" x14ac:dyDescent="0.2">
      <c r="A3191" s="27"/>
      <c r="B3191" s="25"/>
      <c r="E3191" s="10"/>
      <c r="O3191" s="10"/>
      <c r="V3191" s="10"/>
    </row>
    <row r="3192" spans="1:22" x14ac:dyDescent="0.2">
      <c r="A3192" s="27"/>
      <c r="B3192" s="25"/>
      <c r="E3192" s="10"/>
      <c r="O3192" s="10"/>
      <c r="V3192" s="10"/>
    </row>
    <row r="3193" spans="1:22" x14ac:dyDescent="0.2">
      <c r="A3193" s="27"/>
      <c r="B3193" s="25"/>
      <c r="E3193" s="10"/>
      <c r="O3193" s="10"/>
      <c r="V3193" s="10"/>
    </row>
    <row r="3194" spans="1:22" x14ac:dyDescent="0.2">
      <c r="A3194" s="27"/>
      <c r="B3194" s="25"/>
      <c r="E3194" s="10"/>
      <c r="O3194" s="10"/>
      <c r="V3194" s="10"/>
    </row>
    <row r="3195" spans="1:22" x14ac:dyDescent="0.2">
      <c r="A3195" s="27"/>
      <c r="B3195" s="25"/>
      <c r="E3195" s="10"/>
      <c r="O3195" s="10"/>
      <c r="V3195" s="10"/>
    </row>
    <row r="3196" spans="1:22" x14ac:dyDescent="0.2">
      <c r="A3196" s="27"/>
      <c r="B3196" s="25"/>
      <c r="E3196" s="10"/>
      <c r="O3196" s="10"/>
      <c r="V3196" s="10"/>
    </row>
    <row r="3197" spans="1:22" x14ac:dyDescent="0.2">
      <c r="A3197" s="27"/>
      <c r="B3197" s="25"/>
      <c r="E3197" s="10"/>
      <c r="O3197" s="10"/>
      <c r="V3197" s="10"/>
    </row>
    <row r="3198" spans="1:22" x14ac:dyDescent="0.2">
      <c r="A3198" s="27"/>
      <c r="B3198" s="25"/>
      <c r="E3198" s="10"/>
      <c r="O3198" s="10"/>
      <c r="V3198" s="10"/>
    </row>
    <row r="3199" spans="1:22" x14ac:dyDescent="0.2">
      <c r="A3199" s="27"/>
      <c r="B3199" s="25"/>
      <c r="E3199" s="10"/>
      <c r="O3199" s="10"/>
      <c r="V3199" s="10"/>
    </row>
    <row r="3200" spans="1:22" x14ac:dyDescent="0.2">
      <c r="A3200" s="27"/>
      <c r="B3200" s="25"/>
      <c r="E3200" s="10"/>
      <c r="O3200" s="10"/>
      <c r="V3200" s="10"/>
    </row>
    <row r="3201" spans="1:22" x14ac:dyDescent="0.2">
      <c r="A3201" s="27"/>
      <c r="B3201" s="25"/>
      <c r="E3201" s="10"/>
      <c r="O3201" s="10"/>
      <c r="V3201" s="10"/>
    </row>
    <row r="3202" spans="1:22" x14ac:dyDescent="0.2">
      <c r="A3202" s="27"/>
      <c r="B3202" s="25"/>
      <c r="E3202" s="10"/>
      <c r="O3202" s="10"/>
      <c r="V3202" s="10"/>
    </row>
    <row r="3203" spans="1:22" x14ac:dyDescent="0.2">
      <c r="A3203" s="27"/>
      <c r="B3203" s="25"/>
      <c r="E3203" s="10"/>
      <c r="O3203" s="10"/>
      <c r="V3203" s="10"/>
    </row>
    <row r="3204" spans="1:22" x14ac:dyDescent="0.2">
      <c r="A3204" s="27"/>
      <c r="B3204" s="25"/>
      <c r="E3204" s="10"/>
      <c r="O3204" s="10"/>
      <c r="V3204" s="10"/>
    </row>
    <row r="3205" spans="1:22" x14ac:dyDescent="0.2">
      <c r="A3205" s="27"/>
      <c r="B3205" s="25"/>
      <c r="E3205" s="10"/>
      <c r="O3205" s="10"/>
      <c r="V3205" s="10"/>
    </row>
    <row r="3206" spans="1:22" x14ac:dyDescent="0.2">
      <c r="A3206" s="27"/>
      <c r="B3206" s="25"/>
      <c r="E3206" s="10"/>
      <c r="O3206" s="10"/>
      <c r="V3206" s="10"/>
    </row>
    <row r="3207" spans="1:22" x14ac:dyDescent="0.2">
      <c r="A3207" s="27"/>
      <c r="B3207" s="25"/>
      <c r="E3207" s="10"/>
      <c r="O3207" s="10"/>
      <c r="V3207" s="10"/>
    </row>
    <row r="3208" spans="1:22" x14ac:dyDescent="0.2">
      <c r="A3208" s="27"/>
      <c r="B3208" s="25"/>
      <c r="E3208" s="10"/>
      <c r="O3208" s="10"/>
      <c r="V3208" s="10"/>
    </row>
    <row r="3209" spans="1:22" x14ac:dyDescent="0.2">
      <c r="A3209" s="27"/>
      <c r="B3209" s="25"/>
      <c r="E3209" s="10"/>
      <c r="O3209" s="10"/>
      <c r="V3209" s="10"/>
    </row>
    <row r="3210" spans="1:22" x14ac:dyDescent="0.2">
      <c r="A3210" s="27"/>
      <c r="B3210" s="25"/>
      <c r="E3210" s="10"/>
      <c r="O3210" s="10"/>
      <c r="V3210" s="10"/>
    </row>
    <row r="3211" spans="1:22" x14ac:dyDescent="0.2">
      <c r="A3211" s="27"/>
      <c r="B3211" s="25"/>
      <c r="E3211" s="10"/>
      <c r="O3211" s="10"/>
      <c r="V3211" s="10"/>
    </row>
    <row r="3212" spans="1:22" x14ac:dyDescent="0.2">
      <c r="A3212" s="27"/>
      <c r="B3212" s="25"/>
      <c r="E3212" s="10"/>
      <c r="O3212" s="10"/>
      <c r="V3212" s="10"/>
    </row>
    <row r="3213" spans="1:22" x14ac:dyDescent="0.2">
      <c r="A3213" s="27"/>
      <c r="B3213" s="25"/>
      <c r="E3213" s="10"/>
      <c r="O3213" s="10"/>
      <c r="V3213" s="10"/>
    </row>
    <row r="3214" spans="1:22" x14ac:dyDescent="0.2">
      <c r="A3214" s="27"/>
      <c r="B3214" s="25"/>
      <c r="E3214" s="10"/>
      <c r="O3214" s="10"/>
      <c r="V3214" s="10"/>
    </row>
    <row r="3215" spans="1:22" x14ac:dyDescent="0.2">
      <c r="A3215" s="27"/>
      <c r="B3215" s="25"/>
      <c r="E3215" s="10"/>
      <c r="O3215" s="10"/>
      <c r="V3215" s="10"/>
    </row>
    <row r="3216" spans="1:22" x14ac:dyDescent="0.2">
      <c r="A3216" s="27"/>
      <c r="B3216" s="25"/>
      <c r="E3216" s="10"/>
      <c r="O3216" s="10"/>
      <c r="V3216" s="10"/>
    </row>
    <row r="3217" spans="1:22" x14ac:dyDescent="0.2">
      <c r="A3217" s="27"/>
      <c r="B3217" s="25"/>
      <c r="E3217" s="10"/>
      <c r="O3217" s="10"/>
      <c r="V3217" s="10"/>
    </row>
    <row r="3218" spans="1:22" x14ac:dyDescent="0.2">
      <c r="A3218" s="27"/>
      <c r="B3218" s="25"/>
      <c r="E3218" s="10"/>
      <c r="O3218" s="10"/>
      <c r="V3218" s="10"/>
    </row>
    <row r="3219" spans="1:22" x14ac:dyDescent="0.2">
      <c r="A3219" s="27"/>
      <c r="B3219" s="25"/>
      <c r="E3219" s="10"/>
      <c r="O3219" s="10"/>
      <c r="V3219" s="10"/>
    </row>
    <row r="3220" spans="1:22" x14ac:dyDescent="0.2">
      <c r="A3220" s="27"/>
      <c r="B3220" s="25"/>
      <c r="E3220" s="10"/>
      <c r="O3220" s="10"/>
      <c r="V3220" s="10"/>
    </row>
    <row r="3221" spans="1:22" x14ac:dyDescent="0.2">
      <c r="A3221" s="27"/>
      <c r="B3221" s="25"/>
      <c r="E3221" s="10"/>
      <c r="O3221" s="10"/>
      <c r="V3221" s="10"/>
    </row>
    <row r="3222" spans="1:22" x14ac:dyDescent="0.2">
      <c r="A3222" s="27"/>
      <c r="B3222" s="25"/>
      <c r="E3222" s="10"/>
      <c r="O3222" s="10"/>
      <c r="V3222" s="10"/>
    </row>
    <row r="3223" spans="1:22" x14ac:dyDescent="0.2">
      <c r="A3223" s="27"/>
      <c r="B3223" s="25"/>
      <c r="E3223" s="10"/>
      <c r="O3223" s="10"/>
      <c r="V3223" s="10"/>
    </row>
    <row r="3224" spans="1:22" x14ac:dyDescent="0.2">
      <c r="A3224" s="27"/>
      <c r="B3224" s="25"/>
      <c r="E3224" s="10"/>
      <c r="O3224" s="10"/>
      <c r="V3224" s="10"/>
    </row>
    <row r="3225" spans="1:22" x14ac:dyDescent="0.2">
      <c r="A3225" s="27"/>
      <c r="B3225" s="25"/>
      <c r="E3225" s="10"/>
      <c r="O3225" s="10"/>
      <c r="V3225" s="10"/>
    </row>
    <row r="3226" spans="1:22" x14ac:dyDescent="0.2">
      <c r="A3226" s="27"/>
      <c r="B3226" s="25"/>
      <c r="E3226" s="10"/>
      <c r="O3226" s="10"/>
      <c r="V3226" s="10"/>
    </row>
    <row r="3227" spans="1:22" x14ac:dyDescent="0.2">
      <c r="A3227" s="27"/>
      <c r="B3227" s="25"/>
      <c r="E3227" s="10"/>
      <c r="O3227" s="10"/>
      <c r="V3227" s="10"/>
    </row>
    <row r="3228" spans="1:22" x14ac:dyDescent="0.2">
      <c r="A3228" s="27"/>
      <c r="B3228" s="25"/>
      <c r="E3228" s="10"/>
      <c r="O3228" s="10"/>
      <c r="V3228" s="10"/>
    </row>
    <row r="3229" spans="1:22" x14ac:dyDescent="0.2">
      <c r="A3229" s="27"/>
      <c r="B3229" s="25"/>
      <c r="E3229" s="10"/>
      <c r="O3229" s="10"/>
      <c r="V3229" s="10"/>
    </row>
    <row r="3230" spans="1:22" x14ac:dyDescent="0.2">
      <c r="A3230" s="27"/>
      <c r="B3230" s="25"/>
      <c r="E3230" s="10"/>
      <c r="O3230" s="10"/>
      <c r="V3230" s="10"/>
    </row>
    <row r="3231" spans="1:22" x14ac:dyDescent="0.2">
      <c r="A3231" s="27"/>
      <c r="B3231" s="25"/>
      <c r="E3231" s="10"/>
      <c r="O3231" s="10"/>
      <c r="V3231" s="10"/>
    </row>
    <row r="3232" spans="1:22" x14ac:dyDescent="0.2">
      <c r="A3232" s="27"/>
      <c r="B3232" s="25"/>
      <c r="E3232" s="10"/>
      <c r="O3232" s="10"/>
      <c r="V3232" s="10"/>
    </row>
    <row r="3233" spans="1:22" x14ac:dyDescent="0.2">
      <c r="A3233" s="27"/>
      <c r="B3233" s="25"/>
      <c r="E3233" s="10"/>
      <c r="O3233" s="10"/>
      <c r="V3233" s="10"/>
    </row>
    <row r="3234" spans="1:22" x14ac:dyDescent="0.2">
      <c r="A3234" s="27"/>
      <c r="B3234" s="25"/>
      <c r="E3234" s="10"/>
      <c r="O3234" s="10"/>
      <c r="V3234" s="10"/>
    </row>
    <row r="3235" spans="1:22" x14ac:dyDescent="0.2">
      <c r="A3235" s="27"/>
      <c r="B3235" s="25"/>
      <c r="E3235" s="10"/>
      <c r="O3235" s="10"/>
      <c r="V3235" s="10"/>
    </row>
    <row r="3236" spans="1:22" x14ac:dyDescent="0.2">
      <c r="A3236" s="27"/>
      <c r="B3236" s="25"/>
      <c r="E3236" s="10"/>
      <c r="O3236" s="10"/>
      <c r="V3236" s="10"/>
    </row>
    <row r="3237" spans="1:22" x14ac:dyDescent="0.2">
      <c r="A3237" s="27"/>
      <c r="B3237" s="25"/>
      <c r="E3237" s="10"/>
      <c r="O3237" s="10"/>
      <c r="V3237" s="10"/>
    </row>
    <row r="3238" spans="1:22" x14ac:dyDescent="0.2">
      <c r="A3238" s="27"/>
      <c r="B3238" s="25"/>
      <c r="E3238" s="10"/>
      <c r="O3238" s="10"/>
      <c r="V3238" s="10"/>
    </row>
    <row r="3239" spans="1:22" x14ac:dyDescent="0.2">
      <c r="A3239" s="27"/>
      <c r="B3239" s="25"/>
      <c r="E3239" s="10"/>
      <c r="O3239" s="10"/>
      <c r="V3239" s="10"/>
    </row>
    <row r="3240" spans="1:22" x14ac:dyDescent="0.2">
      <c r="A3240" s="27"/>
      <c r="B3240" s="25"/>
      <c r="E3240" s="10"/>
      <c r="O3240" s="10"/>
      <c r="V3240" s="10"/>
    </row>
    <row r="3241" spans="1:22" x14ac:dyDescent="0.2">
      <c r="A3241" s="27"/>
      <c r="B3241" s="25"/>
      <c r="E3241" s="10"/>
      <c r="O3241" s="10"/>
      <c r="V3241" s="10"/>
    </row>
    <row r="3242" spans="1:22" x14ac:dyDescent="0.2">
      <c r="A3242" s="27"/>
      <c r="B3242" s="25"/>
      <c r="E3242" s="10"/>
      <c r="O3242" s="10"/>
      <c r="V3242" s="10"/>
    </row>
    <row r="3243" spans="1:22" x14ac:dyDescent="0.2">
      <c r="A3243" s="27"/>
      <c r="B3243" s="25"/>
      <c r="E3243" s="10"/>
      <c r="O3243" s="10"/>
      <c r="V3243" s="10"/>
    </row>
    <row r="3244" spans="1:22" x14ac:dyDescent="0.2">
      <c r="A3244" s="27"/>
      <c r="B3244" s="25"/>
      <c r="E3244" s="10"/>
      <c r="O3244" s="10"/>
      <c r="V3244" s="10"/>
    </row>
    <row r="3245" spans="1:22" x14ac:dyDescent="0.2">
      <c r="A3245" s="27"/>
      <c r="B3245" s="25"/>
      <c r="E3245" s="10"/>
      <c r="O3245" s="10"/>
      <c r="V3245" s="10"/>
    </row>
    <row r="3246" spans="1:22" x14ac:dyDescent="0.2">
      <c r="A3246" s="27"/>
      <c r="B3246" s="25"/>
      <c r="E3246" s="10"/>
      <c r="O3246" s="10"/>
      <c r="V3246" s="10"/>
    </row>
    <row r="3247" spans="1:22" x14ac:dyDescent="0.2">
      <c r="A3247" s="27"/>
      <c r="B3247" s="25"/>
      <c r="E3247" s="10"/>
      <c r="O3247" s="10"/>
      <c r="V3247" s="10"/>
    </row>
    <row r="3248" spans="1:22" x14ac:dyDescent="0.2">
      <c r="A3248" s="27"/>
      <c r="B3248" s="25"/>
      <c r="E3248" s="10"/>
      <c r="O3248" s="10"/>
      <c r="V3248" s="10"/>
    </row>
    <row r="3249" spans="1:22" x14ac:dyDescent="0.2">
      <c r="A3249" s="27"/>
      <c r="B3249" s="25"/>
      <c r="E3249" s="10"/>
      <c r="O3249" s="10"/>
      <c r="V3249" s="10"/>
    </row>
    <row r="3250" spans="1:22" x14ac:dyDescent="0.2">
      <c r="A3250" s="27"/>
      <c r="B3250" s="25"/>
      <c r="E3250" s="10"/>
      <c r="O3250" s="10"/>
      <c r="V3250" s="10"/>
    </row>
    <row r="3251" spans="1:22" x14ac:dyDescent="0.2">
      <c r="A3251" s="27"/>
      <c r="B3251" s="25"/>
      <c r="E3251" s="10"/>
      <c r="O3251" s="10"/>
      <c r="V3251" s="10"/>
    </row>
    <row r="3252" spans="1:22" x14ac:dyDescent="0.2">
      <c r="A3252" s="27"/>
      <c r="B3252" s="25"/>
      <c r="E3252" s="10"/>
      <c r="O3252" s="10"/>
      <c r="V3252" s="10"/>
    </row>
    <row r="3253" spans="1:22" x14ac:dyDescent="0.2">
      <c r="A3253" s="27"/>
      <c r="B3253" s="25"/>
      <c r="E3253" s="10"/>
      <c r="O3253" s="10"/>
      <c r="V3253" s="10"/>
    </row>
    <row r="3254" spans="1:22" x14ac:dyDescent="0.2">
      <c r="A3254" s="27"/>
      <c r="B3254" s="25"/>
      <c r="E3254" s="10"/>
      <c r="O3254" s="10"/>
      <c r="V3254" s="10"/>
    </row>
    <row r="3255" spans="1:22" x14ac:dyDescent="0.2">
      <c r="A3255" s="27"/>
      <c r="B3255" s="25"/>
      <c r="E3255" s="10"/>
      <c r="O3255" s="10"/>
      <c r="V3255" s="10"/>
    </row>
    <row r="3256" spans="1:22" x14ac:dyDescent="0.2">
      <c r="A3256" s="27"/>
      <c r="B3256" s="25"/>
      <c r="E3256" s="10"/>
      <c r="O3256" s="10"/>
      <c r="V3256" s="10"/>
    </row>
    <row r="3257" spans="1:22" x14ac:dyDescent="0.2">
      <c r="A3257" s="27"/>
      <c r="B3257" s="25"/>
      <c r="E3257" s="10"/>
      <c r="O3257" s="10"/>
      <c r="V3257" s="10"/>
    </row>
    <row r="3258" spans="1:22" x14ac:dyDescent="0.2">
      <c r="A3258" s="27"/>
      <c r="B3258" s="25"/>
      <c r="E3258" s="10"/>
      <c r="O3258" s="10"/>
      <c r="V3258" s="10"/>
    </row>
    <row r="3259" spans="1:22" x14ac:dyDescent="0.2">
      <c r="A3259" s="27"/>
      <c r="B3259" s="25"/>
      <c r="E3259" s="10"/>
      <c r="O3259" s="10"/>
      <c r="V3259" s="10"/>
    </row>
    <row r="3260" spans="1:22" x14ac:dyDescent="0.2">
      <c r="A3260" s="27"/>
      <c r="B3260" s="25"/>
      <c r="E3260" s="10"/>
      <c r="O3260" s="10"/>
      <c r="V3260" s="10"/>
    </row>
    <row r="3261" spans="1:22" x14ac:dyDescent="0.2">
      <c r="A3261" s="27"/>
      <c r="B3261" s="25"/>
      <c r="E3261" s="10"/>
      <c r="O3261" s="10"/>
      <c r="V3261" s="10"/>
    </row>
    <row r="3262" spans="1:22" x14ac:dyDescent="0.2">
      <c r="A3262" s="27"/>
      <c r="B3262" s="25"/>
      <c r="E3262" s="10"/>
      <c r="O3262" s="10"/>
      <c r="V3262" s="10"/>
    </row>
    <row r="3263" spans="1:22" x14ac:dyDescent="0.2">
      <c r="A3263" s="27"/>
      <c r="B3263" s="25"/>
      <c r="E3263" s="10"/>
      <c r="O3263" s="10"/>
      <c r="V3263" s="10"/>
    </row>
    <row r="3264" spans="1:22" x14ac:dyDescent="0.2">
      <c r="A3264" s="27"/>
      <c r="B3264" s="25"/>
      <c r="E3264" s="10"/>
      <c r="O3264" s="10"/>
      <c r="V3264" s="10"/>
    </row>
    <row r="3265" spans="1:22" x14ac:dyDescent="0.2">
      <c r="A3265" s="27"/>
      <c r="B3265" s="25"/>
      <c r="E3265" s="10"/>
      <c r="O3265" s="10"/>
      <c r="V3265" s="10"/>
    </row>
    <row r="3266" spans="1:22" x14ac:dyDescent="0.2">
      <c r="A3266" s="27"/>
      <c r="B3266" s="25"/>
      <c r="E3266" s="10"/>
      <c r="O3266" s="10"/>
      <c r="V3266" s="10"/>
    </row>
    <row r="3267" spans="1:22" x14ac:dyDescent="0.2">
      <c r="A3267" s="27"/>
      <c r="B3267" s="25"/>
      <c r="E3267" s="10"/>
      <c r="O3267" s="10"/>
      <c r="V3267" s="10"/>
    </row>
    <row r="3268" spans="1:22" x14ac:dyDescent="0.2">
      <c r="A3268" s="27"/>
      <c r="B3268" s="25"/>
      <c r="E3268" s="10"/>
      <c r="O3268" s="10"/>
      <c r="V3268" s="10"/>
    </row>
    <row r="3269" spans="1:22" x14ac:dyDescent="0.2">
      <c r="A3269" s="27"/>
      <c r="B3269" s="25"/>
      <c r="E3269" s="10"/>
      <c r="O3269" s="10"/>
      <c r="V3269" s="10"/>
    </row>
    <row r="3270" spans="1:22" x14ac:dyDescent="0.2">
      <c r="A3270" s="27"/>
      <c r="B3270" s="25"/>
      <c r="E3270" s="10"/>
      <c r="O3270" s="10"/>
      <c r="V3270" s="10"/>
    </row>
    <row r="3271" spans="1:22" x14ac:dyDescent="0.2">
      <c r="A3271" s="27"/>
      <c r="B3271" s="25"/>
      <c r="E3271" s="10"/>
      <c r="O3271" s="10"/>
      <c r="V3271" s="10"/>
    </row>
    <row r="3272" spans="1:22" x14ac:dyDescent="0.2">
      <c r="A3272" s="27"/>
      <c r="B3272" s="25"/>
      <c r="E3272" s="10"/>
      <c r="O3272" s="10"/>
      <c r="V3272" s="10"/>
    </row>
    <row r="3273" spans="1:22" x14ac:dyDescent="0.2">
      <c r="A3273" s="27"/>
      <c r="B3273" s="25"/>
      <c r="E3273" s="10"/>
      <c r="O3273" s="10"/>
      <c r="V3273" s="10"/>
    </row>
    <row r="3274" spans="1:22" x14ac:dyDescent="0.2">
      <c r="A3274" s="27"/>
      <c r="B3274" s="25"/>
      <c r="E3274" s="10"/>
      <c r="O3274" s="10"/>
      <c r="V3274" s="10"/>
    </row>
    <row r="3275" spans="1:22" x14ac:dyDescent="0.2">
      <c r="A3275" s="27"/>
      <c r="B3275" s="25"/>
      <c r="E3275" s="10"/>
      <c r="O3275" s="10"/>
      <c r="V3275" s="10"/>
    </row>
    <row r="3276" spans="1:22" x14ac:dyDescent="0.2">
      <c r="A3276" s="27"/>
      <c r="B3276" s="25"/>
      <c r="E3276" s="10"/>
      <c r="O3276" s="10"/>
      <c r="V3276" s="10"/>
    </row>
    <row r="3277" spans="1:22" x14ac:dyDescent="0.2">
      <c r="A3277" s="27"/>
      <c r="B3277" s="25"/>
      <c r="E3277" s="10"/>
      <c r="O3277" s="10"/>
      <c r="V3277" s="10"/>
    </row>
    <row r="3278" spans="1:22" x14ac:dyDescent="0.2">
      <c r="A3278" s="27"/>
      <c r="B3278" s="25"/>
      <c r="E3278" s="10"/>
      <c r="O3278" s="10"/>
      <c r="V3278" s="10"/>
    </row>
    <row r="3279" spans="1:22" x14ac:dyDescent="0.2">
      <c r="A3279" s="27"/>
      <c r="B3279" s="25"/>
      <c r="E3279" s="10"/>
      <c r="O3279" s="10"/>
      <c r="V3279" s="10"/>
    </row>
    <row r="3280" spans="1:22" x14ac:dyDescent="0.2">
      <c r="A3280" s="27"/>
      <c r="B3280" s="25"/>
      <c r="E3280" s="10"/>
      <c r="O3280" s="10"/>
      <c r="V3280" s="10"/>
    </row>
    <row r="3281" spans="1:22" x14ac:dyDescent="0.2">
      <c r="A3281" s="27"/>
      <c r="B3281" s="25"/>
      <c r="E3281" s="10"/>
      <c r="O3281" s="10"/>
      <c r="V3281" s="10"/>
    </row>
    <row r="3282" spans="1:22" x14ac:dyDescent="0.2">
      <c r="A3282" s="27"/>
      <c r="B3282" s="25"/>
      <c r="E3282" s="10"/>
      <c r="O3282" s="10"/>
      <c r="V3282" s="10"/>
    </row>
    <row r="3283" spans="1:22" x14ac:dyDescent="0.2">
      <c r="A3283" s="27"/>
      <c r="B3283" s="25"/>
      <c r="E3283" s="10"/>
      <c r="O3283" s="10"/>
      <c r="V3283" s="10"/>
    </row>
    <row r="3284" spans="1:22" x14ac:dyDescent="0.2">
      <c r="A3284" s="27"/>
      <c r="B3284" s="25"/>
      <c r="E3284" s="10"/>
      <c r="O3284" s="10"/>
      <c r="V3284" s="10"/>
    </row>
    <row r="3285" spans="1:22" x14ac:dyDescent="0.2">
      <c r="A3285" s="27"/>
      <c r="B3285" s="25"/>
      <c r="E3285" s="10"/>
      <c r="O3285" s="10"/>
      <c r="V3285" s="10"/>
    </row>
    <row r="3286" spans="1:22" x14ac:dyDescent="0.2">
      <c r="A3286" s="27"/>
      <c r="B3286" s="25"/>
      <c r="E3286" s="10"/>
      <c r="O3286" s="10"/>
      <c r="V3286" s="10"/>
    </row>
    <row r="3287" spans="1:22" x14ac:dyDescent="0.2">
      <c r="A3287" s="27"/>
      <c r="B3287" s="25"/>
      <c r="E3287" s="10"/>
      <c r="O3287" s="10"/>
      <c r="V3287" s="10"/>
    </row>
    <row r="3288" spans="1:22" x14ac:dyDescent="0.2">
      <c r="A3288" s="27"/>
      <c r="B3288" s="25"/>
      <c r="E3288" s="10"/>
      <c r="O3288" s="10"/>
      <c r="V3288" s="10"/>
    </row>
    <row r="3289" spans="1:22" x14ac:dyDescent="0.2">
      <c r="A3289" s="27"/>
      <c r="B3289" s="25"/>
      <c r="E3289" s="10"/>
      <c r="O3289" s="10"/>
      <c r="V3289" s="10"/>
    </row>
    <row r="3290" spans="1:22" x14ac:dyDescent="0.2">
      <c r="A3290" s="27"/>
      <c r="B3290" s="25"/>
      <c r="E3290" s="10"/>
      <c r="O3290" s="10"/>
      <c r="V3290" s="10"/>
    </row>
    <row r="3291" spans="1:22" x14ac:dyDescent="0.2">
      <c r="A3291" s="27"/>
      <c r="B3291" s="25"/>
      <c r="E3291" s="10"/>
      <c r="O3291" s="10"/>
      <c r="V3291" s="10"/>
    </row>
    <row r="3292" spans="1:22" x14ac:dyDescent="0.2">
      <c r="A3292" s="27"/>
      <c r="B3292" s="25"/>
      <c r="E3292" s="10"/>
      <c r="O3292" s="10"/>
      <c r="V3292" s="10"/>
    </row>
    <row r="3293" spans="1:22" x14ac:dyDescent="0.2">
      <c r="A3293" s="27"/>
      <c r="B3293" s="25"/>
      <c r="E3293" s="10"/>
      <c r="O3293" s="10"/>
      <c r="V3293" s="10"/>
    </row>
    <row r="3294" spans="1:22" x14ac:dyDescent="0.2">
      <c r="A3294" s="27"/>
      <c r="B3294" s="25"/>
      <c r="E3294" s="10"/>
      <c r="O3294" s="10"/>
      <c r="V3294" s="10"/>
    </row>
    <row r="3295" spans="1:22" x14ac:dyDescent="0.2">
      <c r="A3295" s="27"/>
      <c r="B3295" s="25"/>
      <c r="E3295" s="10"/>
      <c r="O3295" s="10"/>
      <c r="V3295" s="10"/>
    </row>
    <row r="3296" spans="1:22" x14ac:dyDescent="0.2">
      <c r="A3296" s="27"/>
      <c r="B3296" s="25"/>
      <c r="E3296" s="10"/>
      <c r="O3296" s="10"/>
      <c r="V3296" s="10"/>
    </row>
    <row r="3297" spans="1:22" x14ac:dyDescent="0.2">
      <c r="A3297" s="27"/>
      <c r="B3297" s="25"/>
      <c r="E3297" s="10"/>
      <c r="O3297" s="10"/>
      <c r="V3297" s="10"/>
    </row>
    <row r="3298" spans="1:22" x14ac:dyDescent="0.2">
      <c r="A3298" s="27"/>
      <c r="B3298" s="25"/>
      <c r="E3298" s="10"/>
      <c r="O3298" s="10"/>
      <c r="V3298" s="10"/>
    </row>
    <row r="3299" spans="1:22" x14ac:dyDescent="0.2">
      <c r="A3299" s="27"/>
      <c r="B3299" s="25"/>
      <c r="E3299" s="10"/>
      <c r="O3299" s="10"/>
      <c r="V3299" s="10"/>
    </row>
    <row r="3300" spans="1:22" x14ac:dyDescent="0.2">
      <c r="A3300" s="27"/>
      <c r="B3300" s="25"/>
      <c r="E3300" s="10"/>
      <c r="O3300" s="10"/>
      <c r="V3300" s="10"/>
    </row>
    <row r="3301" spans="1:22" x14ac:dyDescent="0.2">
      <c r="A3301" s="27"/>
      <c r="B3301" s="25"/>
      <c r="E3301" s="10"/>
      <c r="O3301" s="10"/>
      <c r="V3301" s="10"/>
    </row>
    <row r="3302" spans="1:22" x14ac:dyDescent="0.2">
      <c r="A3302" s="27"/>
      <c r="B3302" s="25"/>
      <c r="E3302" s="10"/>
      <c r="O3302" s="10"/>
      <c r="V3302" s="10"/>
    </row>
    <row r="3303" spans="1:22" x14ac:dyDescent="0.2">
      <c r="A3303" s="27"/>
      <c r="B3303" s="25"/>
      <c r="E3303" s="10"/>
      <c r="O3303" s="10"/>
      <c r="V3303" s="10"/>
    </row>
    <row r="3304" spans="1:22" x14ac:dyDescent="0.2">
      <c r="A3304" s="27"/>
      <c r="B3304" s="25"/>
      <c r="E3304" s="10"/>
      <c r="O3304" s="10"/>
      <c r="V3304" s="10"/>
    </row>
    <row r="3305" spans="1:22" x14ac:dyDescent="0.2">
      <c r="A3305" s="27"/>
      <c r="B3305" s="25"/>
      <c r="E3305" s="10"/>
      <c r="O3305" s="10"/>
      <c r="V3305" s="10"/>
    </row>
    <row r="3306" spans="1:22" x14ac:dyDescent="0.2">
      <c r="A3306" s="27"/>
      <c r="B3306" s="25"/>
      <c r="E3306" s="10"/>
      <c r="O3306" s="10"/>
      <c r="V3306" s="10"/>
    </row>
    <row r="3307" spans="1:22" x14ac:dyDescent="0.2">
      <c r="A3307" s="27"/>
      <c r="B3307" s="25"/>
      <c r="E3307" s="10"/>
      <c r="O3307" s="10"/>
      <c r="V3307" s="10"/>
    </row>
    <row r="3308" spans="1:22" x14ac:dyDescent="0.2">
      <c r="A3308" s="27"/>
      <c r="B3308" s="25"/>
      <c r="E3308" s="10"/>
      <c r="O3308" s="10"/>
      <c r="V3308" s="10"/>
    </row>
    <row r="3309" spans="1:22" x14ac:dyDescent="0.2">
      <c r="A3309" s="27"/>
      <c r="B3309" s="25"/>
      <c r="E3309" s="10"/>
      <c r="O3309" s="10"/>
      <c r="V3309" s="10"/>
    </row>
    <row r="3310" spans="1:22" x14ac:dyDescent="0.2">
      <c r="A3310" s="27"/>
      <c r="B3310" s="25"/>
      <c r="E3310" s="10"/>
      <c r="O3310" s="10"/>
      <c r="V3310" s="10"/>
    </row>
    <row r="3311" spans="1:22" x14ac:dyDescent="0.2">
      <c r="A3311" s="27"/>
      <c r="B3311" s="25"/>
      <c r="E3311" s="10"/>
      <c r="O3311" s="10"/>
      <c r="V3311" s="10"/>
    </row>
    <row r="3312" spans="1:22" x14ac:dyDescent="0.2">
      <c r="A3312" s="27"/>
      <c r="B3312" s="25"/>
      <c r="E3312" s="10"/>
      <c r="O3312" s="10"/>
      <c r="V3312" s="10"/>
    </row>
    <row r="3313" spans="1:22" x14ac:dyDescent="0.2">
      <c r="A3313" s="27"/>
      <c r="B3313" s="25"/>
      <c r="E3313" s="10"/>
      <c r="O3313" s="10"/>
      <c r="V3313" s="10"/>
    </row>
    <row r="3314" spans="1:22" x14ac:dyDescent="0.2">
      <c r="A3314" s="27"/>
      <c r="B3314" s="25"/>
      <c r="E3314" s="10"/>
      <c r="O3314" s="10"/>
      <c r="V3314" s="10"/>
    </row>
    <row r="3315" spans="1:22" x14ac:dyDescent="0.2">
      <c r="A3315" s="27"/>
      <c r="B3315" s="25"/>
      <c r="E3315" s="10"/>
      <c r="O3315" s="10"/>
      <c r="V3315" s="10"/>
    </row>
    <row r="3316" spans="1:22" x14ac:dyDescent="0.2">
      <c r="A3316" s="27"/>
      <c r="B3316" s="25"/>
      <c r="E3316" s="10"/>
      <c r="O3316" s="10"/>
      <c r="V3316" s="10"/>
    </row>
    <row r="3317" spans="1:22" x14ac:dyDescent="0.2">
      <c r="A3317" s="27"/>
      <c r="B3317" s="25"/>
      <c r="E3317" s="10"/>
      <c r="O3317" s="10"/>
      <c r="V3317" s="10"/>
    </row>
    <row r="3318" spans="1:22" x14ac:dyDescent="0.2">
      <c r="A3318" s="27"/>
      <c r="B3318" s="25"/>
      <c r="E3318" s="10"/>
      <c r="O3318" s="10"/>
      <c r="V3318" s="10"/>
    </row>
    <row r="3319" spans="1:22" x14ac:dyDescent="0.2">
      <c r="A3319" s="27"/>
      <c r="B3319" s="25"/>
      <c r="E3319" s="10"/>
      <c r="O3319" s="10"/>
      <c r="V3319" s="10"/>
    </row>
    <row r="3320" spans="1:22" x14ac:dyDescent="0.2">
      <c r="A3320" s="27"/>
      <c r="B3320" s="25"/>
      <c r="E3320" s="10"/>
      <c r="O3320" s="10"/>
      <c r="V3320" s="10"/>
    </row>
    <row r="3321" spans="1:22" x14ac:dyDescent="0.2">
      <c r="A3321" s="27"/>
      <c r="B3321" s="25"/>
      <c r="E3321" s="10"/>
      <c r="O3321" s="10"/>
      <c r="V3321" s="10"/>
    </row>
    <row r="3322" spans="1:22" x14ac:dyDescent="0.2">
      <c r="A3322" s="27"/>
      <c r="B3322" s="25"/>
      <c r="E3322" s="10"/>
      <c r="O3322" s="10"/>
      <c r="V3322" s="10"/>
    </row>
    <row r="3323" spans="1:22" x14ac:dyDescent="0.2">
      <c r="A3323" s="27"/>
      <c r="B3323" s="25"/>
      <c r="E3323" s="10"/>
      <c r="O3323" s="10"/>
      <c r="V3323" s="10"/>
    </row>
    <row r="3324" spans="1:22" x14ac:dyDescent="0.2">
      <c r="A3324" s="27"/>
      <c r="B3324" s="25"/>
      <c r="E3324" s="10"/>
      <c r="O3324" s="10"/>
      <c r="V3324" s="10"/>
    </row>
    <row r="3325" spans="1:22" x14ac:dyDescent="0.2">
      <c r="A3325" s="27"/>
      <c r="B3325" s="25"/>
      <c r="E3325" s="10"/>
      <c r="O3325" s="10"/>
      <c r="V3325" s="10"/>
    </row>
    <row r="3326" spans="1:22" x14ac:dyDescent="0.2">
      <c r="A3326" s="27"/>
      <c r="B3326" s="25"/>
      <c r="E3326" s="10"/>
      <c r="O3326" s="10"/>
      <c r="V3326" s="10"/>
    </row>
    <row r="3327" spans="1:22" x14ac:dyDescent="0.2">
      <c r="A3327" s="27"/>
      <c r="B3327" s="25"/>
      <c r="E3327" s="10"/>
      <c r="O3327" s="10"/>
      <c r="V3327" s="10"/>
    </row>
    <row r="3328" spans="1:22" x14ac:dyDescent="0.2">
      <c r="A3328" s="27"/>
      <c r="B3328" s="25"/>
      <c r="E3328" s="10"/>
      <c r="O3328" s="10"/>
      <c r="V3328" s="10"/>
    </row>
    <row r="3329" spans="1:22" x14ac:dyDescent="0.2">
      <c r="A3329" s="27"/>
      <c r="B3329" s="25"/>
      <c r="E3329" s="10"/>
      <c r="O3329" s="10"/>
      <c r="V3329" s="10"/>
    </row>
    <row r="3330" spans="1:22" x14ac:dyDescent="0.2">
      <c r="A3330" s="27"/>
      <c r="B3330" s="25"/>
      <c r="E3330" s="10"/>
      <c r="O3330" s="10"/>
      <c r="V3330" s="10"/>
    </row>
    <row r="3331" spans="1:22" x14ac:dyDescent="0.2">
      <c r="A3331" s="27"/>
      <c r="B3331" s="25"/>
      <c r="E3331" s="10"/>
      <c r="O3331" s="10"/>
      <c r="V3331" s="10"/>
    </row>
    <row r="3332" spans="1:22" x14ac:dyDescent="0.2">
      <c r="A3332" s="27"/>
      <c r="B3332" s="25"/>
      <c r="E3332" s="10"/>
      <c r="O3332" s="10"/>
      <c r="V3332" s="10"/>
    </row>
    <row r="3333" spans="1:22" x14ac:dyDescent="0.2">
      <c r="A3333" s="27"/>
      <c r="B3333" s="25"/>
      <c r="E3333" s="10"/>
      <c r="O3333" s="10"/>
      <c r="V3333" s="10"/>
    </row>
    <row r="3334" spans="1:22" x14ac:dyDescent="0.2">
      <c r="A3334" s="27"/>
      <c r="B3334" s="25"/>
      <c r="E3334" s="10"/>
      <c r="O3334" s="10"/>
      <c r="V3334" s="10"/>
    </row>
    <row r="3335" spans="1:22" x14ac:dyDescent="0.2">
      <c r="A3335" s="27"/>
      <c r="B3335" s="25"/>
      <c r="E3335" s="10"/>
      <c r="O3335" s="10"/>
      <c r="V3335" s="10"/>
    </row>
    <row r="3336" spans="1:22" x14ac:dyDescent="0.2">
      <c r="A3336" s="27"/>
      <c r="B3336" s="25"/>
      <c r="E3336" s="10"/>
      <c r="O3336" s="10"/>
      <c r="V3336" s="10"/>
    </row>
    <row r="3337" spans="1:22" x14ac:dyDescent="0.2">
      <c r="A3337" s="27"/>
      <c r="B3337" s="25"/>
      <c r="E3337" s="10"/>
      <c r="O3337" s="10"/>
      <c r="V3337" s="10"/>
    </row>
    <row r="3338" spans="1:22" x14ac:dyDescent="0.2">
      <c r="A3338" s="27"/>
      <c r="B3338" s="25"/>
      <c r="E3338" s="10"/>
      <c r="O3338" s="10"/>
      <c r="V3338" s="10"/>
    </row>
    <row r="3339" spans="1:22" x14ac:dyDescent="0.2">
      <c r="A3339" s="27"/>
      <c r="B3339" s="25"/>
      <c r="E3339" s="10"/>
      <c r="O3339" s="10"/>
      <c r="V3339" s="10"/>
    </row>
    <row r="3340" spans="1:22" x14ac:dyDescent="0.2">
      <c r="A3340" s="27"/>
      <c r="B3340" s="25"/>
      <c r="E3340" s="10"/>
      <c r="O3340" s="10"/>
      <c r="V3340" s="10"/>
    </row>
    <row r="3341" spans="1:22" x14ac:dyDescent="0.2">
      <c r="A3341" s="27"/>
      <c r="B3341" s="25"/>
      <c r="E3341" s="10"/>
      <c r="O3341" s="10"/>
      <c r="V3341" s="10"/>
    </row>
    <row r="3342" spans="1:22" x14ac:dyDescent="0.2">
      <c r="A3342" s="27"/>
      <c r="B3342" s="25"/>
      <c r="E3342" s="10"/>
      <c r="O3342" s="10"/>
      <c r="V3342" s="10"/>
    </row>
    <row r="3343" spans="1:22" x14ac:dyDescent="0.2">
      <c r="A3343" s="27"/>
      <c r="B3343" s="25"/>
      <c r="E3343" s="10"/>
      <c r="O3343" s="10"/>
      <c r="V3343" s="10"/>
    </row>
    <row r="3344" spans="1:22" x14ac:dyDescent="0.2">
      <c r="A3344" s="27"/>
      <c r="B3344" s="25"/>
      <c r="E3344" s="10"/>
      <c r="O3344" s="10"/>
      <c r="V3344" s="10"/>
    </row>
    <row r="3345" spans="1:22" x14ac:dyDescent="0.2">
      <c r="A3345" s="27"/>
      <c r="B3345" s="25"/>
      <c r="E3345" s="10"/>
      <c r="O3345" s="10"/>
      <c r="V3345" s="10"/>
    </row>
    <row r="3346" spans="1:22" x14ac:dyDescent="0.2">
      <c r="A3346" s="27"/>
      <c r="B3346" s="25"/>
      <c r="E3346" s="10"/>
      <c r="O3346" s="10"/>
      <c r="V3346" s="10"/>
    </row>
    <row r="3347" spans="1:22" x14ac:dyDescent="0.2">
      <c r="A3347" s="27"/>
      <c r="B3347" s="25"/>
      <c r="E3347" s="10"/>
      <c r="O3347" s="10"/>
      <c r="V3347" s="10"/>
    </row>
    <row r="3348" spans="1:22" x14ac:dyDescent="0.2">
      <c r="A3348" s="27"/>
      <c r="B3348" s="25"/>
      <c r="E3348" s="10"/>
      <c r="O3348" s="10"/>
      <c r="V3348" s="10"/>
    </row>
    <row r="3349" spans="1:22" x14ac:dyDescent="0.2">
      <c r="A3349" s="27"/>
      <c r="B3349" s="25"/>
      <c r="E3349" s="10"/>
      <c r="O3349" s="10"/>
      <c r="V3349" s="10"/>
    </row>
    <row r="3350" spans="1:22" x14ac:dyDescent="0.2">
      <c r="A3350" s="27"/>
      <c r="B3350" s="25"/>
      <c r="E3350" s="10"/>
      <c r="O3350" s="10"/>
      <c r="V3350" s="10"/>
    </row>
    <row r="3351" spans="1:22" x14ac:dyDescent="0.2">
      <c r="A3351" s="27"/>
      <c r="B3351" s="25"/>
      <c r="E3351" s="10"/>
      <c r="O3351" s="10"/>
      <c r="V3351" s="10"/>
    </row>
    <row r="3352" spans="1:22" x14ac:dyDescent="0.2">
      <c r="A3352" s="27"/>
      <c r="B3352" s="25"/>
      <c r="E3352" s="10"/>
      <c r="O3352" s="10"/>
      <c r="V3352" s="10"/>
    </row>
    <row r="3353" spans="1:22" x14ac:dyDescent="0.2">
      <c r="A3353" s="27"/>
      <c r="B3353" s="25"/>
      <c r="E3353" s="10"/>
      <c r="O3353" s="10"/>
      <c r="V3353" s="10"/>
    </row>
    <row r="3354" spans="1:22" x14ac:dyDescent="0.2">
      <c r="A3354" s="27"/>
      <c r="B3354" s="25"/>
      <c r="E3354" s="10"/>
      <c r="O3354" s="10"/>
      <c r="V3354" s="10"/>
    </row>
    <row r="3355" spans="1:22" x14ac:dyDescent="0.2">
      <c r="A3355" s="27"/>
      <c r="B3355" s="25"/>
      <c r="E3355" s="10"/>
      <c r="O3355" s="10"/>
      <c r="V3355" s="10"/>
    </row>
    <row r="3356" spans="1:22" x14ac:dyDescent="0.2">
      <c r="A3356" s="27"/>
      <c r="B3356" s="25"/>
      <c r="E3356" s="10"/>
      <c r="O3356" s="10"/>
      <c r="V3356" s="10"/>
    </row>
    <row r="3357" spans="1:22" x14ac:dyDescent="0.2">
      <c r="A3357" s="27"/>
      <c r="B3357" s="25"/>
      <c r="E3357" s="10"/>
      <c r="O3357" s="10"/>
      <c r="V3357" s="10"/>
    </row>
    <row r="3358" spans="1:22" x14ac:dyDescent="0.2">
      <c r="A3358" s="27"/>
      <c r="B3358" s="25"/>
      <c r="E3358" s="10"/>
      <c r="O3358" s="10"/>
      <c r="V3358" s="10"/>
    </row>
    <row r="3359" spans="1:22" x14ac:dyDescent="0.2">
      <c r="A3359" s="27"/>
      <c r="B3359" s="25"/>
      <c r="E3359" s="10"/>
      <c r="O3359" s="10"/>
      <c r="V3359" s="10"/>
    </row>
    <row r="3360" spans="1:22" x14ac:dyDescent="0.2">
      <c r="A3360" s="27"/>
      <c r="B3360" s="25"/>
      <c r="E3360" s="10"/>
      <c r="O3360" s="10"/>
      <c r="V3360" s="10"/>
    </row>
    <row r="3361" spans="1:22" x14ac:dyDescent="0.2">
      <c r="A3361" s="27"/>
      <c r="B3361" s="25"/>
      <c r="E3361" s="10"/>
      <c r="O3361" s="10"/>
      <c r="V3361" s="10"/>
    </row>
    <row r="3362" spans="1:22" x14ac:dyDescent="0.2">
      <c r="A3362" s="27"/>
      <c r="B3362" s="25"/>
      <c r="E3362" s="10"/>
      <c r="O3362" s="10"/>
      <c r="V3362" s="10"/>
    </row>
    <row r="3363" spans="1:22" x14ac:dyDescent="0.2">
      <c r="A3363" s="27"/>
      <c r="B3363" s="25"/>
      <c r="E3363" s="10"/>
      <c r="O3363" s="10"/>
      <c r="V3363" s="10"/>
    </row>
    <row r="3364" spans="1:22" x14ac:dyDescent="0.2">
      <c r="A3364" s="27"/>
      <c r="B3364" s="25"/>
      <c r="E3364" s="10"/>
      <c r="O3364" s="10"/>
      <c r="V3364" s="10"/>
    </row>
    <row r="3365" spans="1:22" x14ac:dyDescent="0.2">
      <c r="A3365" s="27"/>
      <c r="B3365" s="25"/>
      <c r="E3365" s="10"/>
      <c r="O3365" s="10"/>
      <c r="V3365" s="10"/>
    </row>
    <row r="3366" spans="1:22" x14ac:dyDescent="0.2">
      <c r="A3366" s="27"/>
      <c r="B3366" s="25"/>
      <c r="E3366" s="10"/>
      <c r="O3366" s="10"/>
      <c r="V3366" s="10"/>
    </row>
    <row r="3367" spans="1:22" x14ac:dyDescent="0.2">
      <c r="A3367" s="27"/>
      <c r="B3367" s="25"/>
      <c r="E3367" s="10"/>
      <c r="O3367" s="10"/>
      <c r="V3367" s="10"/>
    </row>
    <row r="3368" spans="1:22" x14ac:dyDescent="0.2">
      <c r="A3368" s="27"/>
      <c r="B3368" s="25"/>
      <c r="E3368" s="10"/>
      <c r="O3368" s="10"/>
      <c r="V3368" s="10"/>
    </row>
    <row r="3369" spans="1:22" x14ac:dyDescent="0.2">
      <c r="A3369" s="27"/>
      <c r="B3369" s="25"/>
      <c r="E3369" s="10"/>
      <c r="O3369" s="10"/>
      <c r="V3369" s="10"/>
    </row>
    <row r="3370" spans="1:22" x14ac:dyDescent="0.2">
      <c r="A3370" s="27"/>
      <c r="B3370" s="25"/>
      <c r="E3370" s="10"/>
      <c r="O3370" s="10"/>
      <c r="V3370" s="10"/>
    </row>
    <row r="3371" spans="1:22" x14ac:dyDescent="0.2">
      <c r="A3371" s="27"/>
      <c r="B3371" s="25"/>
      <c r="E3371" s="10"/>
      <c r="O3371" s="10"/>
      <c r="V3371" s="10"/>
    </row>
    <row r="3372" spans="1:22" x14ac:dyDescent="0.2">
      <c r="A3372" s="27"/>
      <c r="B3372" s="25"/>
      <c r="E3372" s="10"/>
      <c r="O3372" s="10"/>
      <c r="V3372" s="10"/>
    </row>
    <row r="3373" spans="1:22" x14ac:dyDescent="0.2">
      <c r="A3373" s="27"/>
      <c r="B3373" s="25"/>
      <c r="E3373" s="10"/>
      <c r="O3373" s="10"/>
      <c r="V3373" s="10"/>
    </row>
    <row r="3374" spans="1:22" x14ac:dyDescent="0.2">
      <c r="A3374" s="27"/>
      <c r="B3374" s="25"/>
      <c r="E3374" s="10"/>
      <c r="O3374" s="10"/>
      <c r="V3374" s="10"/>
    </row>
    <row r="3375" spans="1:22" x14ac:dyDescent="0.2">
      <c r="A3375" s="27"/>
      <c r="B3375" s="25"/>
      <c r="E3375" s="10"/>
      <c r="O3375" s="10"/>
      <c r="V3375" s="10"/>
    </row>
    <row r="3376" spans="1:22" x14ac:dyDescent="0.2">
      <c r="A3376" s="27"/>
      <c r="B3376" s="25"/>
      <c r="E3376" s="10"/>
      <c r="O3376" s="10"/>
      <c r="V3376" s="10"/>
    </row>
    <row r="3377" spans="1:22" x14ac:dyDescent="0.2">
      <c r="A3377" s="27"/>
      <c r="B3377" s="25"/>
      <c r="E3377" s="10"/>
      <c r="O3377" s="10"/>
      <c r="V3377" s="10"/>
    </row>
    <row r="3378" spans="1:22" x14ac:dyDescent="0.2">
      <c r="A3378" s="27"/>
      <c r="B3378" s="25"/>
      <c r="E3378" s="10"/>
      <c r="O3378" s="10"/>
      <c r="V3378" s="10"/>
    </row>
    <row r="3379" spans="1:22" x14ac:dyDescent="0.2">
      <c r="A3379" s="27"/>
      <c r="B3379" s="25"/>
      <c r="E3379" s="10"/>
      <c r="O3379" s="10"/>
      <c r="V3379" s="10"/>
    </row>
    <row r="3380" spans="1:22" x14ac:dyDescent="0.2">
      <c r="A3380" s="27"/>
      <c r="B3380" s="25"/>
      <c r="E3380" s="10"/>
      <c r="O3380" s="10"/>
      <c r="V3380" s="10"/>
    </row>
    <row r="3381" spans="1:22" x14ac:dyDescent="0.2">
      <c r="A3381" s="27"/>
      <c r="B3381" s="25"/>
      <c r="E3381" s="10"/>
      <c r="O3381" s="10"/>
      <c r="V3381" s="10"/>
    </row>
    <row r="3382" spans="1:22" x14ac:dyDescent="0.2">
      <c r="A3382" s="27"/>
      <c r="B3382" s="25"/>
      <c r="E3382" s="10"/>
      <c r="O3382" s="10"/>
      <c r="V3382" s="10"/>
    </row>
    <row r="3383" spans="1:22" x14ac:dyDescent="0.2">
      <c r="A3383" s="27"/>
      <c r="B3383" s="25"/>
      <c r="E3383" s="10"/>
      <c r="O3383" s="10"/>
      <c r="V3383" s="10"/>
    </row>
    <row r="3384" spans="1:22" x14ac:dyDescent="0.2">
      <c r="A3384" s="27"/>
      <c r="B3384" s="25"/>
      <c r="E3384" s="10"/>
      <c r="O3384" s="10"/>
      <c r="V3384" s="10"/>
    </row>
    <row r="3385" spans="1:22" x14ac:dyDescent="0.2">
      <c r="A3385" s="27"/>
      <c r="B3385" s="25"/>
      <c r="E3385" s="10"/>
      <c r="O3385" s="10"/>
      <c r="V3385" s="10"/>
    </row>
    <row r="3386" spans="1:22" x14ac:dyDescent="0.2">
      <c r="A3386" s="27"/>
      <c r="B3386" s="25"/>
      <c r="E3386" s="10"/>
      <c r="O3386" s="10"/>
      <c r="V3386" s="10"/>
    </row>
    <row r="3387" spans="1:22" x14ac:dyDescent="0.2">
      <c r="A3387" s="27"/>
      <c r="B3387" s="25"/>
      <c r="E3387" s="10"/>
      <c r="O3387" s="10"/>
      <c r="V3387" s="10"/>
    </row>
    <row r="3388" spans="1:22" x14ac:dyDescent="0.2">
      <c r="A3388" s="27"/>
      <c r="B3388" s="25"/>
      <c r="E3388" s="10"/>
      <c r="O3388" s="10"/>
      <c r="V3388" s="10"/>
    </row>
    <row r="3389" spans="1:22" x14ac:dyDescent="0.2">
      <c r="A3389" s="27"/>
      <c r="B3389" s="25"/>
      <c r="E3389" s="10"/>
      <c r="O3389" s="10"/>
      <c r="V3389" s="10"/>
    </row>
    <row r="3390" spans="1:22" x14ac:dyDescent="0.2">
      <c r="A3390" s="27"/>
      <c r="B3390" s="25"/>
      <c r="E3390" s="10"/>
      <c r="O3390" s="10"/>
      <c r="V3390" s="10"/>
    </row>
    <row r="3391" spans="1:22" x14ac:dyDescent="0.2">
      <c r="A3391" s="27"/>
      <c r="B3391" s="25"/>
      <c r="E3391" s="10"/>
      <c r="O3391" s="10"/>
      <c r="V3391" s="10"/>
    </row>
    <row r="3392" spans="1:22" x14ac:dyDescent="0.2">
      <c r="A3392" s="27"/>
      <c r="B3392" s="25"/>
      <c r="E3392" s="10"/>
      <c r="O3392" s="10"/>
      <c r="V3392" s="10"/>
    </row>
    <row r="3393" spans="1:22" x14ac:dyDescent="0.2">
      <c r="A3393" s="27"/>
      <c r="B3393" s="25"/>
      <c r="E3393" s="10"/>
      <c r="O3393" s="10"/>
      <c r="V3393" s="10"/>
    </row>
    <row r="3394" spans="1:22" x14ac:dyDescent="0.2">
      <c r="A3394" s="27"/>
      <c r="B3394" s="25"/>
      <c r="E3394" s="10"/>
      <c r="O3394" s="10"/>
      <c r="V3394" s="10"/>
    </row>
    <row r="3395" spans="1:22" x14ac:dyDescent="0.2">
      <c r="A3395" s="27"/>
      <c r="B3395" s="25"/>
      <c r="E3395" s="10"/>
      <c r="O3395" s="10"/>
      <c r="V3395" s="10"/>
    </row>
    <row r="3396" spans="1:22" x14ac:dyDescent="0.2">
      <c r="A3396" s="27"/>
      <c r="B3396" s="25"/>
      <c r="E3396" s="10"/>
      <c r="O3396" s="10"/>
      <c r="V3396" s="10"/>
    </row>
    <row r="3397" spans="1:22" x14ac:dyDescent="0.2">
      <c r="A3397" s="27"/>
      <c r="B3397" s="25"/>
      <c r="E3397" s="10"/>
      <c r="O3397" s="10"/>
      <c r="V3397" s="10"/>
    </row>
    <row r="3398" spans="1:22" x14ac:dyDescent="0.2">
      <c r="A3398" s="27"/>
      <c r="B3398" s="25"/>
      <c r="E3398" s="10"/>
      <c r="O3398" s="10"/>
      <c r="V3398" s="10"/>
    </row>
    <row r="3399" spans="1:22" x14ac:dyDescent="0.2">
      <c r="A3399" s="27"/>
      <c r="B3399" s="25"/>
      <c r="E3399" s="10"/>
      <c r="O3399" s="10"/>
      <c r="V3399" s="10"/>
    </row>
    <row r="3400" spans="1:22" x14ac:dyDescent="0.2">
      <c r="A3400" s="27"/>
      <c r="B3400" s="25"/>
      <c r="E3400" s="10"/>
      <c r="O3400" s="10"/>
      <c r="V3400" s="10"/>
    </row>
    <row r="3401" spans="1:22" x14ac:dyDescent="0.2">
      <c r="A3401" s="27"/>
      <c r="B3401" s="25"/>
      <c r="E3401" s="10"/>
      <c r="O3401" s="10"/>
      <c r="V3401" s="10"/>
    </row>
    <row r="3402" spans="1:22" x14ac:dyDescent="0.2">
      <c r="A3402" s="27"/>
      <c r="B3402" s="25"/>
      <c r="E3402" s="10"/>
      <c r="O3402" s="10"/>
      <c r="V3402" s="10"/>
    </row>
    <row r="3403" spans="1:22" x14ac:dyDescent="0.2">
      <c r="A3403" s="27"/>
      <c r="B3403" s="25"/>
      <c r="E3403" s="10"/>
      <c r="O3403" s="10"/>
      <c r="V3403" s="10"/>
    </row>
    <row r="3404" spans="1:22" x14ac:dyDescent="0.2">
      <c r="A3404" s="27"/>
      <c r="B3404" s="25"/>
      <c r="E3404" s="10"/>
      <c r="O3404" s="10"/>
      <c r="V3404" s="10"/>
    </row>
    <row r="3405" spans="1:22" x14ac:dyDescent="0.2">
      <c r="A3405" s="27"/>
      <c r="B3405" s="25"/>
      <c r="E3405" s="10"/>
      <c r="O3405" s="10"/>
      <c r="V3405" s="10"/>
    </row>
    <row r="3406" spans="1:22" x14ac:dyDescent="0.2">
      <c r="A3406" s="27"/>
      <c r="B3406" s="25"/>
      <c r="E3406" s="10"/>
      <c r="O3406" s="10"/>
      <c r="V3406" s="10"/>
    </row>
    <row r="3407" spans="1:22" x14ac:dyDescent="0.2">
      <c r="A3407" s="27"/>
      <c r="B3407" s="25"/>
      <c r="E3407" s="10"/>
      <c r="O3407" s="10"/>
      <c r="V3407" s="10"/>
    </row>
    <row r="3408" spans="1:22" x14ac:dyDescent="0.2">
      <c r="A3408" s="27"/>
      <c r="B3408" s="25"/>
      <c r="E3408" s="10"/>
      <c r="O3408" s="10"/>
      <c r="V3408" s="10"/>
    </row>
    <row r="3409" spans="1:22" x14ac:dyDescent="0.2">
      <c r="A3409" s="27"/>
      <c r="B3409" s="25"/>
      <c r="E3409" s="10"/>
      <c r="O3409" s="10"/>
      <c r="V3409" s="10"/>
    </row>
    <row r="3410" spans="1:22" x14ac:dyDescent="0.2">
      <c r="A3410" s="27"/>
      <c r="B3410" s="25"/>
      <c r="E3410" s="10"/>
      <c r="O3410" s="10"/>
      <c r="V3410" s="10"/>
    </row>
    <row r="3411" spans="1:22" x14ac:dyDescent="0.2">
      <c r="A3411" s="27"/>
      <c r="B3411" s="25"/>
      <c r="E3411" s="10"/>
      <c r="O3411" s="10"/>
      <c r="V3411" s="10"/>
    </row>
    <row r="3412" spans="1:22" x14ac:dyDescent="0.2">
      <c r="A3412" s="27"/>
      <c r="B3412" s="25"/>
      <c r="E3412" s="10"/>
      <c r="O3412" s="10"/>
      <c r="V3412" s="10"/>
    </row>
    <row r="3413" spans="1:22" x14ac:dyDescent="0.2">
      <c r="A3413" s="27"/>
      <c r="B3413" s="25"/>
      <c r="E3413" s="10"/>
      <c r="O3413" s="10"/>
      <c r="V3413" s="10"/>
    </row>
    <row r="3414" spans="1:22" x14ac:dyDescent="0.2">
      <c r="A3414" s="27"/>
      <c r="B3414" s="25"/>
      <c r="E3414" s="10"/>
      <c r="O3414" s="10"/>
      <c r="V3414" s="10"/>
    </row>
    <row r="3415" spans="1:22" x14ac:dyDescent="0.2">
      <c r="A3415" s="27"/>
      <c r="B3415" s="25"/>
      <c r="E3415" s="10"/>
      <c r="O3415" s="10"/>
      <c r="V3415" s="10"/>
    </row>
    <row r="3416" spans="1:22" x14ac:dyDescent="0.2">
      <c r="A3416" s="27"/>
      <c r="B3416" s="25"/>
      <c r="E3416" s="10"/>
      <c r="O3416" s="10"/>
      <c r="V3416" s="10"/>
    </row>
    <row r="3417" spans="1:22" x14ac:dyDescent="0.2">
      <c r="A3417" s="27"/>
      <c r="B3417" s="25"/>
      <c r="E3417" s="10"/>
      <c r="O3417" s="10"/>
      <c r="V3417" s="10"/>
    </row>
    <row r="3418" spans="1:22" x14ac:dyDescent="0.2">
      <c r="A3418" s="27"/>
      <c r="B3418" s="25"/>
      <c r="E3418" s="10"/>
      <c r="O3418" s="10"/>
      <c r="V3418" s="10"/>
    </row>
    <row r="3419" spans="1:22" x14ac:dyDescent="0.2">
      <c r="A3419" s="27"/>
      <c r="B3419" s="25"/>
      <c r="E3419" s="10"/>
      <c r="O3419" s="10"/>
      <c r="V3419" s="10"/>
    </row>
    <row r="3420" spans="1:22" x14ac:dyDescent="0.2">
      <c r="A3420" s="27"/>
      <c r="B3420" s="25"/>
      <c r="E3420" s="10"/>
      <c r="O3420" s="10"/>
      <c r="V3420" s="10"/>
    </row>
    <row r="3421" spans="1:22" x14ac:dyDescent="0.2">
      <c r="A3421" s="27"/>
      <c r="B3421" s="25"/>
      <c r="E3421" s="10"/>
      <c r="O3421" s="10"/>
      <c r="V3421" s="10"/>
    </row>
    <row r="3422" spans="1:22" x14ac:dyDescent="0.2">
      <c r="A3422" s="27"/>
      <c r="B3422" s="25"/>
      <c r="E3422" s="10"/>
      <c r="O3422" s="10"/>
      <c r="V3422" s="10"/>
    </row>
    <row r="3423" spans="1:22" x14ac:dyDescent="0.2">
      <c r="A3423" s="27"/>
      <c r="B3423" s="25"/>
      <c r="E3423" s="10"/>
      <c r="O3423" s="10"/>
      <c r="V3423" s="10"/>
    </row>
    <row r="3424" spans="1:22" x14ac:dyDescent="0.2">
      <c r="A3424" s="27"/>
      <c r="B3424" s="25"/>
      <c r="E3424" s="10"/>
      <c r="O3424" s="10"/>
      <c r="V3424" s="10"/>
    </row>
    <row r="3425" spans="1:22" x14ac:dyDescent="0.2">
      <c r="A3425" s="27"/>
      <c r="B3425" s="25"/>
      <c r="E3425" s="10"/>
      <c r="O3425" s="10"/>
      <c r="V3425" s="10"/>
    </row>
    <row r="3426" spans="1:22" x14ac:dyDescent="0.2">
      <c r="A3426" s="27"/>
      <c r="B3426" s="25"/>
      <c r="E3426" s="10"/>
      <c r="O3426" s="10"/>
      <c r="V3426" s="10"/>
    </row>
    <row r="3427" spans="1:22" x14ac:dyDescent="0.2">
      <c r="A3427" s="27"/>
      <c r="B3427" s="25"/>
      <c r="E3427" s="10"/>
      <c r="O3427" s="10"/>
      <c r="V3427" s="10"/>
    </row>
    <row r="3428" spans="1:22" x14ac:dyDescent="0.2">
      <c r="A3428" s="27"/>
      <c r="B3428" s="25"/>
      <c r="E3428" s="10"/>
      <c r="O3428" s="10"/>
      <c r="V3428" s="10"/>
    </row>
    <row r="3429" spans="1:22" x14ac:dyDescent="0.2">
      <c r="A3429" s="27"/>
      <c r="B3429" s="25"/>
      <c r="E3429" s="10"/>
      <c r="O3429" s="10"/>
      <c r="V3429" s="10"/>
    </row>
    <row r="3430" spans="1:22" x14ac:dyDescent="0.2">
      <c r="A3430" s="27"/>
      <c r="B3430" s="25"/>
      <c r="E3430" s="10"/>
      <c r="O3430" s="10"/>
      <c r="V3430" s="10"/>
    </row>
    <row r="3431" spans="1:22" x14ac:dyDescent="0.2">
      <c r="A3431" s="27"/>
      <c r="B3431" s="25"/>
      <c r="E3431" s="10"/>
      <c r="O3431" s="10"/>
      <c r="V3431" s="10"/>
    </row>
    <row r="3432" spans="1:22" x14ac:dyDescent="0.2">
      <c r="A3432" s="27"/>
      <c r="B3432" s="25"/>
      <c r="E3432" s="10"/>
      <c r="O3432" s="10"/>
      <c r="V3432" s="10"/>
    </row>
    <row r="3433" spans="1:22" x14ac:dyDescent="0.2">
      <c r="A3433" s="27"/>
      <c r="B3433" s="25"/>
      <c r="E3433" s="10"/>
      <c r="O3433" s="10"/>
      <c r="V3433" s="10"/>
    </row>
    <row r="3434" spans="1:22" x14ac:dyDescent="0.2">
      <c r="A3434" s="27"/>
      <c r="B3434" s="25"/>
      <c r="E3434" s="10"/>
      <c r="O3434" s="10"/>
      <c r="V3434" s="10"/>
    </row>
    <row r="3435" spans="1:22" x14ac:dyDescent="0.2">
      <c r="A3435" s="27"/>
      <c r="B3435" s="25"/>
      <c r="E3435" s="10"/>
      <c r="O3435" s="10"/>
      <c r="V3435" s="10"/>
    </row>
    <row r="3436" spans="1:22" x14ac:dyDescent="0.2">
      <c r="A3436" s="27"/>
      <c r="B3436" s="25"/>
      <c r="E3436" s="10"/>
      <c r="O3436" s="10"/>
      <c r="V3436" s="10"/>
    </row>
    <row r="3437" spans="1:22" x14ac:dyDescent="0.2">
      <c r="A3437" s="27"/>
      <c r="B3437" s="25"/>
      <c r="E3437" s="10"/>
      <c r="O3437" s="10"/>
      <c r="V3437" s="10"/>
    </row>
    <row r="3438" spans="1:22" x14ac:dyDescent="0.2">
      <c r="A3438" s="27"/>
      <c r="B3438" s="25"/>
      <c r="E3438" s="10"/>
      <c r="O3438" s="10"/>
      <c r="V3438" s="10"/>
    </row>
    <row r="3439" spans="1:22" x14ac:dyDescent="0.2">
      <c r="A3439" s="27"/>
      <c r="B3439" s="25"/>
      <c r="E3439" s="10"/>
      <c r="O3439" s="10"/>
      <c r="V3439" s="10"/>
    </row>
    <row r="3440" spans="1:22" x14ac:dyDescent="0.2">
      <c r="A3440" s="27"/>
      <c r="B3440" s="25"/>
      <c r="E3440" s="10"/>
      <c r="O3440" s="10"/>
      <c r="V3440" s="10"/>
    </row>
    <row r="3441" spans="1:22" x14ac:dyDescent="0.2">
      <c r="A3441" s="27"/>
      <c r="B3441" s="25"/>
      <c r="E3441" s="10"/>
      <c r="O3441" s="10"/>
      <c r="V3441" s="10"/>
    </row>
    <row r="3442" spans="1:22" x14ac:dyDescent="0.2">
      <c r="A3442" s="27"/>
      <c r="B3442" s="25"/>
      <c r="E3442" s="10"/>
      <c r="O3442" s="10"/>
      <c r="V3442" s="10"/>
    </row>
    <row r="3443" spans="1:22" x14ac:dyDescent="0.2">
      <c r="A3443" s="27"/>
      <c r="B3443" s="25"/>
      <c r="E3443" s="10"/>
      <c r="O3443" s="10"/>
      <c r="V3443" s="10"/>
    </row>
    <row r="3444" spans="1:22" x14ac:dyDescent="0.2">
      <c r="A3444" s="27"/>
      <c r="B3444" s="25"/>
      <c r="E3444" s="10"/>
      <c r="O3444" s="10"/>
      <c r="V3444" s="10"/>
    </row>
    <row r="3445" spans="1:22" x14ac:dyDescent="0.2">
      <c r="A3445" s="27"/>
      <c r="B3445" s="25"/>
      <c r="E3445" s="10"/>
      <c r="O3445" s="10"/>
      <c r="V3445" s="10"/>
    </row>
    <row r="3446" spans="1:22" x14ac:dyDescent="0.2">
      <c r="A3446" s="27"/>
      <c r="B3446" s="25"/>
      <c r="E3446" s="10"/>
      <c r="O3446" s="10"/>
      <c r="V3446" s="10"/>
    </row>
    <row r="3447" spans="1:22" x14ac:dyDescent="0.2">
      <c r="A3447" s="27"/>
      <c r="B3447" s="25"/>
      <c r="E3447" s="10"/>
      <c r="O3447" s="10"/>
      <c r="V3447" s="10"/>
    </row>
    <row r="3448" spans="1:22" x14ac:dyDescent="0.2">
      <c r="A3448" s="27"/>
      <c r="B3448" s="25"/>
      <c r="E3448" s="10"/>
      <c r="O3448" s="10"/>
      <c r="V3448" s="10"/>
    </row>
    <row r="3449" spans="1:22" x14ac:dyDescent="0.2">
      <c r="A3449" s="27"/>
      <c r="B3449" s="25"/>
      <c r="E3449" s="10"/>
      <c r="O3449" s="10"/>
      <c r="V3449" s="10"/>
    </row>
    <row r="3450" spans="1:22" x14ac:dyDescent="0.2">
      <c r="A3450" s="27"/>
      <c r="B3450" s="25"/>
      <c r="E3450" s="10"/>
      <c r="O3450" s="10"/>
      <c r="V3450" s="10"/>
    </row>
    <row r="3451" spans="1:22" x14ac:dyDescent="0.2">
      <c r="A3451" s="27"/>
      <c r="B3451" s="25"/>
      <c r="E3451" s="10"/>
      <c r="O3451" s="10"/>
      <c r="V3451" s="10"/>
    </row>
    <row r="3452" spans="1:22" x14ac:dyDescent="0.2">
      <c r="A3452" s="27"/>
      <c r="B3452" s="25"/>
      <c r="E3452" s="10"/>
      <c r="O3452" s="10"/>
      <c r="V3452" s="10"/>
    </row>
    <row r="3453" spans="1:22" x14ac:dyDescent="0.2">
      <c r="A3453" s="27"/>
      <c r="B3453" s="25"/>
      <c r="E3453" s="10"/>
      <c r="O3453" s="10"/>
      <c r="V3453" s="10"/>
    </row>
    <row r="3454" spans="1:22" x14ac:dyDescent="0.2">
      <c r="A3454" s="27"/>
      <c r="B3454" s="25"/>
      <c r="E3454" s="10"/>
      <c r="O3454" s="10"/>
      <c r="V3454" s="10"/>
    </row>
    <row r="3455" spans="1:22" x14ac:dyDescent="0.2">
      <c r="A3455" s="27"/>
      <c r="B3455" s="25"/>
      <c r="E3455" s="10"/>
      <c r="O3455" s="10"/>
      <c r="V3455" s="10"/>
    </row>
    <row r="3456" spans="1:22" x14ac:dyDescent="0.2">
      <c r="A3456" s="27"/>
      <c r="B3456" s="25"/>
      <c r="E3456" s="10"/>
      <c r="O3456" s="10"/>
      <c r="V3456" s="10"/>
    </row>
    <row r="3457" spans="1:22" x14ac:dyDescent="0.2">
      <c r="A3457" s="27"/>
      <c r="B3457" s="25"/>
      <c r="E3457" s="10"/>
      <c r="O3457" s="10"/>
      <c r="V3457" s="10"/>
    </row>
    <row r="3458" spans="1:22" x14ac:dyDescent="0.2">
      <c r="A3458" s="27"/>
      <c r="B3458" s="25"/>
      <c r="E3458" s="10"/>
      <c r="O3458" s="10"/>
      <c r="V3458" s="10"/>
    </row>
    <row r="3459" spans="1:22" x14ac:dyDescent="0.2">
      <c r="A3459" s="27"/>
      <c r="B3459" s="25"/>
      <c r="E3459" s="10"/>
      <c r="O3459" s="10"/>
      <c r="V3459" s="10"/>
    </row>
    <row r="3460" spans="1:22" x14ac:dyDescent="0.2">
      <c r="A3460" s="27"/>
      <c r="B3460" s="25"/>
      <c r="E3460" s="10"/>
      <c r="O3460" s="10"/>
      <c r="V3460" s="10"/>
    </row>
    <row r="3461" spans="1:22" x14ac:dyDescent="0.2">
      <c r="A3461" s="27"/>
      <c r="B3461" s="25"/>
      <c r="E3461" s="10"/>
      <c r="O3461" s="10"/>
      <c r="V3461" s="10"/>
    </row>
    <row r="3462" spans="1:22" x14ac:dyDescent="0.2">
      <c r="A3462" s="27"/>
      <c r="B3462" s="25"/>
      <c r="E3462" s="10"/>
      <c r="O3462" s="10"/>
      <c r="V3462" s="10"/>
    </row>
    <row r="3463" spans="1:22" x14ac:dyDescent="0.2">
      <c r="A3463" s="27"/>
      <c r="B3463" s="25"/>
      <c r="E3463" s="10"/>
      <c r="O3463" s="10"/>
      <c r="V3463" s="10"/>
    </row>
    <row r="3464" spans="1:22" x14ac:dyDescent="0.2">
      <c r="A3464" s="27"/>
      <c r="B3464" s="25"/>
      <c r="E3464" s="10"/>
      <c r="O3464" s="10"/>
      <c r="V3464" s="10"/>
    </row>
    <row r="3465" spans="1:22" x14ac:dyDescent="0.2">
      <c r="A3465" s="27"/>
      <c r="B3465" s="25"/>
      <c r="E3465" s="10"/>
      <c r="O3465" s="10"/>
      <c r="V3465" s="10"/>
    </row>
    <row r="3466" spans="1:22" x14ac:dyDescent="0.2">
      <c r="A3466" s="27"/>
      <c r="B3466" s="25"/>
      <c r="E3466" s="10"/>
      <c r="O3466" s="10"/>
      <c r="V3466" s="10"/>
    </row>
    <row r="3467" spans="1:22" x14ac:dyDescent="0.2">
      <c r="A3467" s="27"/>
      <c r="B3467" s="25"/>
      <c r="E3467" s="10"/>
      <c r="O3467" s="10"/>
      <c r="V3467" s="10"/>
    </row>
    <row r="3468" spans="1:22" x14ac:dyDescent="0.2">
      <c r="A3468" s="27"/>
      <c r="B3468" s="25"/>
      <c r="E3468" s="10"/>
      <c r="O3468" s="10"/>
      <c r="V3468" s="10"/>
    </row>
    <row r="3469" spans="1:22" x14ac:dyDescent="0.2">
      <c r="A3469" s="27"/>
      <c r="B3469" s="25"/>
      <c r="E3469" s="10"/>
      <c r="O3469" s="10"/>
      <c r="V3469" s="10"/>
    </row>
    <row r="3470" spans="1:22" x14ac:dyDescent="0.2">
      <c r="A3470" s="27"/>
      <c r="B3470" s="25"/>
      <c r="E3470" s="10"/>
      <c r="O3470" s="10"/>
      <c r="V3470" s="10"/>
    </row>
    <row r="3471" spans="1:22" x14ac:dyDescent="0.2">
      <c r="A3471" s="27"/>
      <c r="B3471" s="25"/>
      <c r="E3471" s="10"/>
      <c r="O3471" s="10"/>
      <c r="V3471" s="10"/>
    </row>
    <row r="3472" spans="1:22" x14ac:dyDescent="0.2">
      <c r="A3472" s="27"/>
      <c r="B3472" s="25"/>
      <c r="E3472" s="10"/>
      <c r="O3472" s="10"/>
      <c r="V3472" s="10"/>
    </row>
    <row r="3473" spans="1:22" x14ac:dyDescent="0.2">
      <c r="A3473" s="27"/>
      <c r="B3473" s="25"/>
      <c r="E3473" s="10"/>
      <c r="O3473" s="10"/>
      <c r="V3473" s="10"/>
    </row>
    <row r="3474" spans="1:22" x14ac:dyDescent="0.2">
      <c r="A3474" s="27"/>
      <c r="B3474" s="25"/>
      <c r="E3474" s="10"/>
      <c r="O3474" s="10"/>
      <c r="V3474" s="10"/>
    </row>
    <row r="3475" spans="1:22" x14ac:dyDescent="0.2">
      <c r="A3475" s="27"/>
      <c r="B3475" s="25"/>
      <c r="E3475" s="10"/>
      <c r="O3475" s="10"/>
      <c r="V3475" s="10"/>
    </row>
    <row r="3476" spans="1:22" x14ac:dyDescent="0.2">
      <c r="A3476" s="27"/>
      <c r="B3476" s="25"/>
      <c r="E3476" s="10"/>
      <c r="O3476" s="10"/>
      <c r="V3476" s="10"/>
    </row>
    <row r="3477" spans="1:22" x14ac:dyDescent="0.2">
      <c r="A3477" s="27"/>
      <c r="B3477" s="25"/>
      <c r="E3477" s="10"/>
      <c r="O3477" s="10"/>
      <c r="V3477" s="10"/>
    </row>
    <row r="3478" spans="1:22" x14ac:dyDescent="0.2">
      <c r="A3478" s="27"/>
      <c r="B3478" s="25"/>
      <c r="E3478" s="10"/>
      <c r="O3478" s="10"/>
      <c r="V3478" s="10"/>
    </row>
    <row r="3479" spans="1:22" x14ac:dyDescent="0.2">
      <c r="A3479" s="27"/>
      <c r="B3479" s="25"/>
      <c r="E3479" s="10"/>
      <c r="O3479" s="10"/>
      <c r="V3479" s="10"/>
    </row>
    <row r="3480" spans="1:22" x14ac:dyDescent="0.2">
      <c r="A3480" s="27"/>
      <c r="B3480" s="25"/>
      <c r="E3480" s="10"/>
      <c r="O3480" s="10"/>
      <c r="V3480" s="10"/>
    </row>
    <row r="3481" spans="1:22" x14ac:dyDescent="0.2">
      <c r="A3481" s="27"/>
      <c r="B3481" s="25"/>
      <c r="E3481" s="10"/>
      <c r="O3481" s="10"/>
      <c r="V3481" s="10"/>
    </row>
    <row r="3482" spans="1:22" x14ac:dyDescent="0.2">
      <c r="A3482" s="27"/>
      <c r="B3482" s="25"/>
      <c r="E3482" s="10"/>
      <c r="O3482" s="10"/>
      <c r="V3482" s="10"/>
    </row>
    <row r="3483" spans="1:22" x14ac:dyDescent="0.2">
      <c r="A3483" s="27"/>
      <c r="B3483" s="25"/>
      <c r="E3483" s="10"/>
      <c r="O3483" s="10"/>
      <c r="V3483" s="10"/>
    </row>
    <row r="3484" spans="1:22" x14ac:dyDescent="0.2">
      <c r="A3484" s="27"/>
      <c r="B3484" s="25"/>
      <c r="E3484" s="10"/>
      <c r="O3484" s="10"/>
      <c r="V3484" s="10"/>
    </row>
    <row r="3485" spans="1:22" x14ac:dyDescent="0.2">
      <c r="A3485" s="27"/>
      <c r="B3485" s="25"/>
      <c r="E3485" s="10"/>
      <c r="O3485" s="10"/>
      <c r="V3485" s="10"/>
    </row>
    <row r="3486" spans="1:22" x14ac:dyDescent="0.2">
      <c r="A3486" s="27"/>
      <c r="B3486" s="25"/>
      <c r="E3486" s="10"/>
      <c r="O3486" s="10"/>
      <c r="V3486" s="10"/>
    </row>
    <row r="3487" spans="1:22" x14ac:dyDescent="0.2">
      <c r="A3487" s="27"/>
      <c r="B3487" s="25"/>
      <c r="E3487" s="10"/>
      <c r="O3487" s="10"/>
      <c r="V3487" s="10"/>
    </row>
    <row r="3488" spans="1:22" x14ac:dyDescent="0.2">
      <c r="A3488" s="27"/>
      <c r="B3488" s="25"/>
      <c r="E3488" s="10"/>
      <c r="O3488" s="10"/>
      <c r="V3488" s="10"/>
    </row>
    <row r="3489" spans="1:22" x14ac:dyDescent="0.2">
      <c r="A3489" s="27"/>
      <c r="B3489" s="25"/>
      <c r="E3489" s="10"/>
      <c r="O3489" s="10"/>
      <c r="V3489" s="10"/>
    </row>
    <row r="3490" spans="1:22" x14ac:dyDescent="0.2">
      <c r="A3490" s="27"/>
      <c r="B3490" s="25"/>
      <c r="E3490" s="10"/>
      <c r="O3490" s="10"/>
      <c r="V3490" s="10"/>
    </row>
    <row r="3491" spans="1:22" x14ac:dyDescent="0.2">
      <c r="A3491" s="27"/>
      <c r="B3491" s="25"/>
      <c r="E3491" s="10"/>
      <c r="O3491" s="10"/>
      <c r="V3491" s="10"/>
    </row>
    <row r="3492" spans="1:22" x14ac:dyDescent="0.2">
      <c r="A3492" s="27"/>
      <c r="B3492" s="25"/>
      <c r="E3492" s="10"/>
      <c r="O3492" s="10"/>
      <c r="V3492" s="10"/>
    </row>
    <row r="3493" spans="1:22" x14ac:dyDescent="0.2">
      <c r="A3493" s="27"/>
      <c r="B3493" s="25"/>
      <c r="E3493" s="10"/>
      <c r="O3493" s="10"/>
      <c r="V3493" s="10"/>
    </row>
    <row r="3494" spans="1:22" x14ac:dyDescent="0.2">
      <c r="A3494" s="27"/>
      <c r="B3494" s="25"/>
      <c r="E3494" s="10"/>
      <c r="O3494" s="10"/>
      <c r="V3494" s="10"/>
    </row>
    <row r="3495" spans="1:22" x14ac:dyDescent="0.2">
      <c r="A3495" s="27"/>
      <c r="B3495" s="25"/>
      <c r="E3495" s="10"/>
      <c r="O3495" s="10"/>
      <c r="V3495" s="10"/>
    </row>
    <row r="3496" spans="1:22" x14ac:dyDescent="0.2">
      <c r="A3496" s="27"/>
      <c r="B3496" s="25"/>
      <c r="E3496" s="10"/>
      <c r="O3496" s="10"/>
      <c r="V3496" s="10"/>
    </row>
    <row r="3497" spans="1:22" x14ac:dyDescent="0.2">
      <c r="A3497" s="27"/>
      <c r="B3497" s="25"/>
      <c r="E3497" s="10"/>
      <c r="O3497" s="10"/>
      <c r="V3497" s="10"/>
    </row>
    <row r="3498" spans="1:22" x14ac:dyDescent="0.2">
      <c r="A3498" s="27"/>
      <c r="B3498" s="25"/>
      <c r="E3498" s="10"/>
      <c r="O3498" s="10"/>
      <c r="V3498" s="10"/>
    </row>
    <row r="3499" spans="1:22" x14ac:dyDescent="0.2">
      <c r="A3499" s="27"/>
      <c r="B3499" s="25"/>
      <c r="E3499" s="10"/>
      <c r="O3499" s="10"/>
      <c r="V3499" s="10"/>
    </row>
    <row r="3500" spans="1:22" x14ac:dyDescent="0.2">
      <c r="A3500" s="27"/>
      <c r="B3500" s="25"/>
      <c r="E3500" s="10"/>
      <c r="O3500" s="10"/>
      <c r="V3500" s="10"/>
    </row>
    <row r="3501" spans="1:22" x14ac:dyDescent="0.2">
      <c r="A3501" s="27"/>
      <c r="B3501" s="25"/>
      <c r="E3501" s="10"/>
      <c r="O3501" s="10"/>
      <c r="V3501" s="10"/>
    </row>
    <row r="3502" spans="1:22" x14ac:dyDescent="0.2">
      <c r="A3502" s="27"/>
      <c r="B3502" s="25"/>
      <c r="E3502" s="10"/>
      <c r="O3502" s="10"/>
      <c r="V3502" s="10"/>
    </row>
    <row r="3503" spans="1:22" x14ac:dyDescent="0.2">
      <c r="A3503" s="27"/>
      <c r="B3503" s="25"/>
      <c r="E3503" s="10"/>
      <c r="O3503" s="10"/>
      <c r="V3503" s="10"/>
    </row>
    <row r="3504" spans="1:22" x14ac:dyDescent="0.2">
      <c r="A3504" s="27"/>
      <c r="B3504" s="25"/>
      <c r="E3504" s="10"/>
      <c r="O3504" s="10"/>
      <c r="V3504" s="10"/>
    </row>
    <row r="3505" spans="1:22" x14ac:dyDescent="0.2">
      <c r="A3505" s="27"/>
      <c r="B3505" s="25"/>
      <c r="E3505" s="10"/>
      <c r="O3505" s="10"/>
      <c r="V3505" s="10"/>
    </row>
    <row r="3506" spans="1:22" x14ac:dyDescent="0.2">
      <c r="A3506" s="27"/>
      <c r="B3506" s="25"/>
      <c r="E3506" s="10"/>
      <c r="O3506" s="10"/>
      <c r="V3506" s="10"/>
    </row>
    <row r="3507" spans="1:22" x14ac:dyDescent="0.2">
      <c r="A3507" s="27"/>
      <c r="B3507" s="25"/>
      <c r="E3507" s="10"/>
      <c r="O3507" s="10"/>
      <c r="V3507" s="10"/>
    </row>
    <row r="3508" spans="1:22" x14ac:dyDescent="0.2">
      <c r="A3508" s="27"/>
      <c r="B3508" s="25"/>
      <c r="E3508" s="10"/>
      <c r="O3508" s="10"/>
      <c r="V3508" s="10"/>
    </row>
    <row r="3509" spans="1:22" x14ac:dyDescent="0.2">
      <c r="A3509" s="27"/>
      <c r="B3509" s="25"/>
      <c r="E3509" s="10"/>
      <c r="O3509" s="10"/>
      <c r="V3509" s="10"/>
    </row>
    <row r="3510" spans="1:22" x14ac:dyDescent="0.2">
      <c r="A3510" s="27"/>
      <c r="B3510" s="25"/>
      <c r="E3510" s="10"/>
      <c r="O3510" s="10"/>
      <c r="V3510" s="10"/>
    </row>
    <row r="3511" spans="1:22" x14ac:dyDescent="0.2">
      <c r="A3511" s="27"/>
      <c r="B3511" s="25"/>
      <c r="E3511" s="10"/>
      <c r="O3511" s="10"/>
      <c r="V3511" s="10"/>
    </row>
    <row r="3512" spans="1:22" x14ac:dyDescent="0.2">
      <c r="A3512" s="27"/>
      <c r="B3512" s="25"/>
      <c r="E3512" s="10"/>
      <c r="O3512" s="10"/>
      <c r="V3512" s="10"/>
    </row>
    <row r="3513" spans="1:22" x14ac:dyDescent="0.2">
      <c r="A3513" s="27"/>
      <c r="B3513" s="25"/>
      <c r="E3513" s="10"/>
      <c r="O3513" s="10"/>
      <c r="V3513" s="10"/>
    </row>
    <row r="3514" spans="1:22" x14ac:dyDescent="0.2">
      <c r="A3514" s="27"/>
      <c r="B3514" s="25"/>
      <c r="E3514" s="10"/>
      <c r="O3514" s="10"/>
      <c r="V3514" s="10"/>
    </row>
    <row r="3515" spans="1:22" x14ac:dyDescent="0.2">
      <c r="A3515" s="27"/>
      <c r="B3515" s="25"/>
      <c r="E3515" s="10"/>
      <c r="O3515" s="10"/>
      <c r="V3515" s="10"/>
    </row>
    <row r="3516" spans="1:22" x14ac:dyDescent="0.2">
      <c r="A3516" s="27"/>
      <c r="B3516" s="25"/>
      <c r="E3516" s="10"/>
      <c r="O3516" s="10"/>
      <c r="V3516" s="10"/>
    </row>
    <row r="3517" spans="1:22" x14ac:dyDescent="0.2">
      <c r="A3517" s="27"/>
      <c r="B3517" s="25"/>
      <c r="E3517" s="10"/>
      <c r="O3517" s="10"/>
      <c r="V3517" s="10"/>
    </row>
    <row r="3518" spans="1:22" x14ac:dyDescent="0.2">
      <c r="A3518" s="27"/>
      <c r="B3518" s="25"/>
      <c r="E3518" s="10"/>
      <c r="O3518" s="10"/>
      <c r="V3518" s="10"/>
    </row>
    <row r="3519" spans="1:22" x14ac:dyDescent="0.2">
      <c r="A3519" s="27"/>
      <c r="B3519" s="25"/>
      <c r="E3519" s="10"/>
      <c r="O3519" s="10"/>
      <c r="V3519" s="10"/>
    </row>
    <row r="3520" spans="1:22" x14ac:dyDescent="0.2">
      <c r="A3520" s="27"/>
      <c r="B3520" s="25"/>
      <c r="E3520" s="10"/>
      <c r="O3520" s="10"/>
      <c r="V3520" s="10"/>
    </row>
    <row r="3521" spans="1:22" x14ac:dyDescent="0.2">
      <c r="A3521" s="27"/>
      <c r="B3521" s="25"/>
      <c r="E3521" s="10"/>
      <c r="O3521" s="10"/>
      <c r="V3521" s="10"/>
    </row>
    <row r="3522" spans="1:22" x14ac:dyDescent="0.2">
      <c r="A3522" s="27"/>
      <c r="B3522" s="25"/>
      <c r="E3522" s="10"/>
      <c r="O3522" s="10"/>
      <c r="V3522" s="10"/>
    </row>
    <row r="3523" spans="1:22" x14ac:dyDescent="0.2">
      <c r="A3523" s="27"/>
      <c r="B3523" s="25"/>
      <c r="E3523" s="10"/>
      <c r="O3523" s="10"/>
      <c r="V3523" s="10"/>
    </row>
    <row r="3524" spans="1:22" x14ac:dyDescent="0.2">
      <c r="A3524" s="27"/>
      <c r="B3524" s="25"/>
      <c r="E3524" s="10"/>
      <c r="O3524" s="10"/>
      <c r="V3524" s="10"/>
    </row>
    <row r="3525" spans="1:22" x14ac:dyDescent="0.2">
      <c r="A3525" s="27"/>
      <c r="B3525" s="25"/>
      <c r="E3525" s="10"/>
      <c r="O3525" s="10"/>
      <c r="V3525" s="10"/>
    </row>
    <row r="3526" spans="1:22" x14ac:dyDescent="0.2">
      <c r="A3526" s="27"/>
      <c r="B3526" s="25"/>
      <c r="E3526" s="10"/>
      <c r="O3526" s="10"/>
      <c r="V3526" s="10"/>
    </row>
    <row r="3527" spans="1:22" x14ac:dyDescent="0.2">
      <c r="A3527" s="27"/>
      <c r="B3527" s="25"/>
      <c r="E3527" s="10"/>
      <c r="O3527" s="10"/>
      <c r="V3527" s="10"/>
    </row>
    <row r="3528" spans="1:22" x14ac:dyDescent="0.2">
      <c r="A3528" s="27"/>
      <c r="B3528" s="25"/>
      <c r="E3528" s="10"/>
      <c r="O3528" s="10"/>
      <c r="V3528" s="10"/>
    </row>
    <row r="3529" spans="1:22" x14ac:dyDescent="0.2">
      <c r="A3529" s="27"/>
      <c r="B3529" s="25"/>
      <c r="E3529" s="10"/>
      <c r="O3529" s="10"/>
      <c r="V3529" s="10"/>
    </row>
    <row r="3530" spans="1:22" x14ac:dyDescent="0.2">
      <c r="A3530" s="27"/>
      <c r="B3530" s="25"/>
      <c r="E3530" s="10"/>
      <c r="O3530" s="10"/>
      <c r="V3530" s="10"/>
    </row>
    <row r="3531" spans="1:22" x14ac:dyDescent="0.2">
      <c r="A3531" s="27"/>
      <c r="B3531" s="25"/>
      <c r="E3531" s="10"/>
      <c r="O3531" s="10"/>
      <c r="V3531" s="10"/>
    </row>
    <row r="3532" spans="1:22" x14ac:dyDescent="0.2">
      <c r="A3532" s="27"/>
      <c r="B3532" s="25"/>
      <c r="E3532" s="10"/>
      <c r="O3532" s="10"/>
      <c r="V3532" s="10"/>
    </row>
    <row r="3533" spans="1:22" x14ac:dyDescent="0.2">
      <c r="A3533" s="27"/>
      <c r="B3533" s="25"/>
      <c r="E3533" s="10"/>
      <c r="O3533" s="10"/>
      <c r="V3533" s="10"/>
    </row>
    <row r="3534" spans="1:22" x14ac:dyDescent="0.2">
      <c r="A3534" s="27"/>
      <c r="B3534" s="25"/>
      <c r="E3534" s="10"/>
      <c r="O3534" s="10"/>
      <c r="V3534" s="10"/>
    </row>
    <row r="3535" spans="1:22" x14ac:dyDescent="0.2">
      <c r="A3535" s="27"/>
      <c r="B3535" s="25"/>
      <c r="E3535" s="10"/>
      <c r="O3535" s="10"/>
      <c r="V3535" s="10"/>
    </row>
    <row r="3536" spans="1:22" x14ac:dyDescent="0.2">
      <c r="A3536" s="27"/>
      <c r="B3536" s="25"/>
      <c r="E3536" s="10"/>
      <c r="O3536" s="10"/>
      <c r="V3536" s="10"/>
    </row>
    <row r="3537" spans="1:22" x14ac:dyDescent="0.2">
      <c r="A3537" s="27"/>
      <c r="B3537" s="25"/>
      <c r="E3537" s="10"/>
      <c r="O3537" s="10"/>
      <c r="V3537" s="10"/>
    </row>
    <row r="3538" spans="1:22" x14ac:dyDescent="0.2">
      <c r="A3538" s="27"/>
      <c r="B3538" s="25"/>
      <c r="E3538" s="10"/>
      <c r="O3538" s="10"/>
      <c r="V3538" s="10"/>
    </row>
    <row r="3539" spans="1:22" x14ac:dyDescent="0.2">
      <c r="A3539" s="27"/>
      <c r="B3539" s="25"/>
      <c r="E3539" s="10"/>
      <c r="O3539" s="10"/>
      <c r="V3539" s="10"/>
    </row>
    <row r="3540" spans="1:22" x14ac:dyDescent="0.2">
      <c r="A3540" s="27"/>
      <c r="B3540" s="25"/>
      <c r="E3540" s="10"/>
      <c r="O3540" s="10"/>
      <c r="V3540" s="10"/>
    </row>
    <row r="3541" spans="1:22" x14ac:dyDescent="0.2">
      <c r="A3541" s="27"/>
      <c r="B3541" s="25"/>
      <c r="E3541" s="10"/>
      <c r="O3541" s="10"/>
      <c r="V3541" s="10"/>
    </row>
    <row r="3542" spans="1:22" x14ac:dyDescent="0.2">
      <c r="A3542" s="27"/>
      <c r="B3542" s="25"/>
      <c r="E3542" s="10"/>
      <c r="O3542" s="10"/>
      <c r="V3542" s="10"/>
    </row>
    <row r="3543" spans="1:22" x14ac:dyDescent="0.2">
      <c r="A3543" s="27"/>
      <c r="B3543" s="25"/>
      <c r="E3543" s="10"/>
      <c r="O3543" s="10"/>
      <c r="V3543" s="10"/>
    </row>
    <row r="3544" spans="1:22" x14ac:dyDescent="0.2">
      <c r="A3544" s="27"/>
      <c r="B3544" s="25"/>
      <c r="E3544" s="10"/>
      <c r="O3544" s="10"/>
      <c r="V3544" s="10"/>
    </row>
    <row r="3545" spans="1:22" x14ac:dyDescent="0.2">
      <c r="A3545" s="27"/>
      <c r="B3545" s="25"/>
      <c r="E3545" s="10"/>
      <c r="O3545" s="10"/>
      <c r="V3545" s="10"/>
    </row>
    <row r="3546" spans="1:22" x14ac:dyDescent="0.2">
      <c r="A3546" s="27"/>
      <c r="B3546" s="25"/>
      <c r="E3546" s="10"/>
      <c r="O3546" s="10"/>
      <c r="V3546" s="10"/>
    </row>
    <row r="3547" spans="1:22" x14ac:dyDescent="0.2">
      <c r="A3547" s="27"/>
      <c r="B3547" s="25"/>
      <c r="E3547" s="10"/>
      <c r="O3547" s="10"/>
      <c r="V3547" s="10"/>
    </row>
    <row r="3548" spans="1:22" x14ac:dyDescent="0.2">
      <c r="A3548" s="27"/>
      <c r="B3548" s="25"/>
      <c r="E3548" s="10"/>
      <c r="O3548" s="10"/>
      <c r="V3548" s="10"/>
    </row>
    <row r="3549" spans="1:22" x14ac:dyDescent="0.2">
      <c r="A3549" s="27"/>
      <c r="B3549" s="25"/>
      <c r="E3549" s="10"/>
      <c r="O3549" s="10"/>
      <c r="V3549" s="10"/>
    </row>
    <row r="3550" spans="1:22" x14ac:dyDescent="0.2">
      <c r="A3550" s="27"/>
      <c r="B3550" s="25"/>
      <c r="E3550" s="10"/>
      <c r="O3550" s="10"/>
      <c r="V3550" s="10"/>
    </row>
    <row r="3551" spans="1:22" x14ac:dyDescent="0.2">
      <c r="A3551" s="27"/>
      <c r="B3551" s="25"/>
      <c r="E3551" s="10"/>
      <c r="O3551" s="10"/>
      <c r="V3551" s="10"/>
    </row>
    <row r="3552" spans="1:22" x14ac:dyDescent="0.2">
      <c r="A3552" s="27"/>
      <c r="B3552" s="25"/>
      <c r="E3552" s="10"/>
      <c r="O3552" s="10"/>
      <c r="V3552" s="10"/>
    </row>
    <row r="3553" spans="1:22" x14ac:dyDescent="0.2">
      <c r="A3553" s="27"/>
      <c r="B3553" s="25"/>
      <c r="E3553" s="10"/>
      <c r="O3553" s="10"/>
      <c r="V3553" s="10"/>
    </row>
    <row r="3554" spans="1:22" x14ac:dyDescent="0.2">
      <c r="A3554" s="27"/>
      <c r="B3554" s="25"/>
      <c r="E3554" s="10"/>
      <c r="O3554" s="10"/>
      <c r="V3554" s="10"/>
    </row>
    <row r="3555" spans="1:22" x14ac:dyDescent="0.2">
      <c r="A3555" s="27"/>
      <c r="B3555" s="25"/>
      <c r="E3555" s="10"/>
      <c r="O3555" s="10"/>
      <c r="V3555" s="10"/>
    </row>
    <row r="3556" spans="1:22" x14ac:dyDescent="0.2">
      <c r="A3556" s="27"/>
      <c r="B3556" s="25"/>
      <c r="E3556" s="10"/>
      <c r="O3556" s="10"/>
      <c r="V3556" s="10"/>
    </row>
    <row r="3557" spans="1:22" x14ac:dyDescent="0.2">
      <c r="A3557" s="27"/>
      <c r="B3557" s="25"/>
      <c r="E3557" s="10"/>
      <c r="O3557" s="10"/>
      <c r="V3557" s="10"/>
    </row>
    <row r="3558" spans="1:22" x14ac:dyDescent="0.2">
      <c r="A3558" s="27"/>
      <c r="B3558" s="25"/>
      <c r="E3558" s="10"/>
      <c r="O3558" s="10"/>
      <c r="V3558" s="10"/>
    </row>
    <row r="3559" spans="1:22" x14ac:dyDescent="0.2">
      <c r="A3559" s="27"/>
      <c r="B3559" s="25"/>
      <c r="E3559" s="10"/>
      <c r="O3559" s="10"/>
      <c r="V3559" s="10"/>
    </row>
    <row r="3560" spans="1:22" x14ac:dyDescent="0.2">
      <c r="A3560" s="27"/>
      <c r="B3560" s="25"/>
      <c r="E3560" s="10"/>
      <c r="O3560" s="10"/>
      <c r="V3560" s="10"/>
    </row>
    <row r="3561" spans="1:22" x14ac:dyDescent="0.2">
      <c r="A3561" s="27"/>
      <c r="B3561" s="25"/>
      <c r="E3561" s="10"/>
      <c r="O3561" s="10"/>
      <c r="V3561" s="10"/>
    </row>
    <row r="3562" spans="1:22" x14ac:dyDescent="0.2">
      <c r="A3562" s="27"/>
      <c r="B3562" s="25"/>
      <c r="E3562" s="10"/>
      <c r="O3562" s="10"/>
      <c r="V3562" s="10"/>
    </row>
    <row r="3563" spans="1:22" x14ac:dyDescent="0.2">
      <c r="A3563" s="27"/>
      <c r="B3563" s="25"/>
      <c r="E3563" s="10"/>
      <c r="O3563" s="10"/>
      <c r="V3563" s="10"/>
    </row>
    <row r="3564" spans="1:22" x14ac:dyDescent="0.2">
      <c r="A3564" s="27"/>
      <c r="B3564" s="25"/>
      <c r="E3564" s="10"/>
      <c r="O3564" s="10"/>
      <c r="V3564" s="10"/>
    </row>
    <row r="3565" spans="1:22" x14ac:dyDescent="0.2">
      <c r="A3565" s="27"/>
      <c r="B3565" s="25"/>
      <c r="E3565" s="10"/>
      <c r="O3565" s="10"/>
      <c r="V3565" s="10"/>
    </row>
    <row r="3566" spans="1:22" x14ac:dyDescent="0.2">
      <c r="A3566" s="27"/>
      <c r="B3566" s="25"/>
      <c r="E3566" s="10"/>
      <c r="O3566" s="10"/>
      <c r="V3566" s="10"/>
    </row>
    <row r="3567" spans="1:22" x14ac:dyDescent="0.2">
      <c r="A3567" s="27"/>
      <c r="B3567" s="25"/>
      <c r="E3567" s="10"/>
      <c r="O3567" s="10"/>
      <c r="V3567" s="10"/>
    </row>
    <row r="3568" spans="1:22" x14ac:dyDescent="0.2">
      <c r="A3568" s="27"/>
      <c r="B3568" s="25"/>
      <c r="E3568" s="10"/>
      <c r="O3568" s="10"/>
      <c r="V3568" s="10"/>
    </row>
    <row r="3569" spans="1:22" x14ac:dyDescent="0.2">
      <c r="A3569" s="27"/>
      <c r="B3569" s="25"/>
      <c r="E3569" s="10"/>
      <c r="O3569" s="10"/>
      <c r="V3569" s="10"/>
    </row>
    <row r="3570" spans="1:22" x14ac:dyDescent="0.2">
      <c r="A3570" s="27"/>
      <c r="B3570" s="25"/>
      <c r="E3570" s="10"/>
      <c r="O3570" s="10"/>
      <c r="V3570" s="10"/>
    </row>
    <row r="3571" spans="1:22" x14ac:dyDescent="0.2">
      <c r="A3571" s="27"/>
      <c r="B3571" s="25"/>
      <c r="E3571" s="10"/>
      <c r="O3571" s="10"/>
      <c r="V3571" s="10"/>
    </row>
    <row r="3572" spans="1:22" x14ac:dyDescent="0.2">
      <c r="A3572" s="27"/>
      <c r="B3572" s="25"/>
      <c r="E3572" s="10"/>
      <c r="O3572" s="10"/>
      <c r="V3572" s="10"/>
    </row>
    <row r="3573" spans="1:22" x14ac:dyDescent="0.2">
      <c r="A3573" s="27"/>
      <c r="B3573" s="25"/>
      <c r="E3573" s="10"/>
      <c r="O3573" s="10"/>
      <c r="V3573" s="10"/>
    </row>
    <row r="3574" spans="1:22" x14ac:dyDescent="0.2">
      <c r="A3574" s="27"/>
      <c r="B3574" s="25"/>
      <c r="E3574" s="10"/>
      <c r="O3574" s="10"/>
      <c r="V3574" s="10"/>
    </row>
    <row r="3575" spans="1:22" x14ac:dyDescent="0.2">
      <c r="A3575" s="27"/>
      <c r="B3575" s="25"/>
      <c r="E3575" s="10"/>
      <c r="O3575" s="10"/>
      <c r="V3575" s="10"/>
    </row>
    <row r="3576" spans="1:22" x14ac:dyDescent="0.2">
      <c r="A3576" s="27"/>
      <c r="B3576" s="25"/>
      <c r="E3576" s="10"/>
      <c r="O3576" s="10"/>
      <c r="V3576" s="10"/>
    </row>
    <row r="3577" spans="1:22" x14ac:dyDescent="0.2">
      <c r="A3577" s="27"/>
      <c r="B3577" s="25"/>
      <c r="E3577" s="10"/>
      <c r="O3577" s="10"/>
      <c r="V3577" s="10"/>
    </row>
    <row r="3578" spans="1:22" x14ac:dyDescent="0.2">
      <c r="A3578" s="27"/>
      <c r="B3578" s="25"/>
      <c r="E3578" s="10"/>
      <c r="O3578" s="10"/>
      <c r="V3578" s="10"/>
    </row>
    <row r="3579" spans="1:22" x14ac:dyDescent="0.2">
      <c r="A3579" s="27"/>
      <c r="B3579" s="25"/>
      <c r="E3579" s="10"/>
      <c r="O3579" s="10"/>
      <c r="V3579" s="10"/>
    </row>
    <row r="3580" spans="1:22" x14ac:dyDescent="0.2">
      <c r="A3580" s="27"/>
      <c r="B3580" s="25"/>
      <c r="E3580" s="10"/>
      <c r="O3580" s="10"/>
      <c r="V3580" s="10"/>
    </row>
    <row r="3581" spans="1:22" x14ac:dyDescent="0.2">
      <c r="A3581" s="27"/>
      <c r="B3581" s="25"/>
      <c r="E3581" s="10"/>
      <c r="O3581" s="10"/>
      <c r="V3581" s="10"/>
    </row>
    <row r="3582" spans="1:22" x14ac:dyDescent="0.2">
      <c r="A3582" s="27"/>
      <c r="B3582" s="25"/>
      <c r="E3582" s="10"/>
      <c r="O3582" s="10"/>
      <c r="V3582" s="10"/>
    </row>
    <row r="3583" spans="1:22" x14ac:dyDescent="0.2">
      <c r="A3583" s="27"/>
      <c r="B3583" s="25"/>
      <c r="E3583" s="10"/>
      <c r="O3583" s="10"/>
      <c r="V3583" s="10"/>
    </row>
    <row r="3584" spans="1:22" x14ac:dyDescent="0.2">
      <c r="A3584" s="27"/>
      <c r="B3584" s="25"/>
      <c r="E3584" s="10"/>
      <c r="O3584" s="10"/>
      <c r="V3584" s="10"/>
    </row>
    <row r="3585" spans="1:22" x14ac:dyDescent="0.2">
      <c r="A3585" s="27"/>
      <c r="B3585" s="25"/>
      <c r="E3585" s="10"/>
      <c r="O3585" s="10"/>
      <c r="V3585" s="10"/>
    </row>
    <row r="3586" spans="1:22" x14ac:dyDescent="0.2">
      <c r="A3586" s="27"/>
      <c r="B3586" s="25"/>
      <c r="E3586" s="10"/>
      <c r="O3586" s="10"/>
      <c r="V3586" s="10"/>
    </row>
    <row r="3587" spans="1:22" x14ac:dyDescent="0.2">
      <c r="A3587" s="27"/>
      <c r="B3587" s="25"/>
      <c r="E3587" s="10"/>
      <c r="O3587" s="10"/>
      <c r="V3587" s="10"/>
    </row>
    <row r="3588" spans="1:22" x14ac:dyDescent="0.2">
      <c r="A3588" s="27"/>
      <c r="B3588" s="25"/>
      <c r="E3588" s="10"/>
      <c r="O3588" s="10"/>
      <c r="V3588" s="10"/>
    </row>
    <row r="3589" spans="1:22" x14ac:dyDescent="0.2">
      <c r="A3589" s="27"/>
      <c r="B3589" s="25"/>
      <c r="E3589" s="10"/>
      <c r="O3589" s="10"/>
      <c r="V3589" s="10"/>
    </row>
    <row r="3590" spans="1:22" x14ac:dyDescent="0.2">
      <c r="A3590" s="27"/>
      <c r="B3590" s="25"/>
      <c r="E3590" s="10"/>
      <c r="O3590" s="10"/>
      <c r="V3590" s="10"/>
    </row>
    <row r="3591" spans="1:22" x14ac:dyDescent="0.2">
      <c r="A3591" s="27"/>
      <c r="B3591" s="25"/>
      <c r="E3591" s="10"/>
      <c r="O3591" s="10"/>
      <c r="V3591" s="10"/>
    </row>
    <row r="3592" spans="1:22" x14ac:dyDescent="0.2">
      <c r="A3592" s="27"/>
      <c r="B3592" s="25"/>
      <c r="E3592" s="10"/>
      <c r="O3592" s="10"/>
      <c r="V3592" s="10"/>
    </row>
    <row r="3593" spans="1:22" x14ac:dyDescent="0.2">
      <c r="A3593" s="27"/>
      <c r="B3593" s="25"/>
      <c r="E3593" s="10"/>
      <c r="O3593" s="10"/>
      <c r="V3593" s="10"/>
    </row>
    <row r="3594" spans="1:22" x14ac:dyDescent="0.2">
      <c r="A3594" s="27"/>
      <c r="B3594" s="25"/>
      <c r="E3594" s="10"/>
      <c r="O3594" s="10"/>
      <c r="V3594" s="10"/>
    </row>
    <row r="3595" spans="1:22" x14ac:dyDescent="0.2">
      <c r="A3595" s="27"/>
      <c r="B3595" s="25"/>
      <c r="E3595" s="10"/>
      <c r="O3595" s="10"/>
      <c r="V3595" s="10"/>
    </row>
    <row r="3596" spans="1:22" x14ac:dyDescent="0.2">
      <c r="A3596" s="27"/>
      <c r="B3596" s="25"/>
      <c r="E3596" s="10"/>
      <c r="O3596" s="10"/>
      <c r="V3596" s="10"/>
    </row>
    <row r="3597" spans="1:22" x14ac:dyDescent="0.2">
      <c r="A3597" s="27"/>
      <c r="B3597" s="25"/>
      <c r="E3597" s="10"/>
      <c r="O3597" s="10"/>
      <c r="V3597" s="10"/>
    </row>
    <row r="3598" spans="1:22" x14ac:dyDescent="0.2">
      <c r="A3598" s="27"/>
      <c r="B3598" s="25"/>
      <c r="E3598" s="10"/>
      <c r="O3598" s="10"/>
      <c r="V3598" s="10"/>
    </row>
    <row r="3599" spans="1:22" x14ac:dyDescent="0.2">
      <c r="A3599" s="27"/>
      <c r="B3599" s="25"/>
      <c r="E3599" s="10"/>
      <c r="O3599" s="10"/>
      <c r="V3599" s="10"/>
    </row>
    <row r="3600" spans="1:22" x14ac:dyDescent="0.2">
      <c r="A3600" s="27"/>
      <c r="B3600" s="25"/>
      <c r="E3600" s="10"/>
      <c r="O3600" s="10"/>
      <c r="V3600" s="10"/>
    </row>
    <row r="3601" spans="1:22" x14ac:dyDescent="0.2">
      <c r="A3601" s="27"/>
      <c r="B3601" s="25"/>
      <c r="E3601" s="10"/>
      <c r="O3601" s="10"/>
      <c r="V3601" s="10"/>
    </row>
    <row r="3602" spans="1:22" x14ac:dyDescent="0.2">
      <c r="A3602" s="27"/>
      <c r="B3602" s="25"/>
      <c r="E3602" s="10"/>
      <c r="O3602" s="10"/>
      <c r="V3602" s="10"/>
    </row>
    <row r="3603" spans="1:22" x14ac:dyDescent="0.2">
      <c r="A3603" s="27"/>
      <c r="B3603" s="25"/>
      <c r="E3603" s="10"/>
      <c r="O3603" s="10"/>
      <c r="V3603" s="10"/>
    </row>
    <row r="3604" spans="1:22" x14ac:dyDescent="0.2">
      <c r="A3604" s="27"/>
      <c r="B3604" s="25"/>
      <c r="E3604" s="10"/>
      <c r="O3604" s="10"/>
      <c r="V3604" s="10"/>
    </row>
    <row r="3605" spans="1:22" x14ac:dyDescent="0.2">
      <c r="A3605" s="27"/>
      <c r="B3605" s="25"/>
      <c r="E3605" s="10"/>
      <c r="O3605" s="10"/>
      <c r="V3605" s="10"/>
    </row>
    <row r="3606" spans="1:22" x14ac:dyDescent="0.2">
      <c r="A3606" s="27"/>
      <c r="B3606" s="25"/>
      <c r="E3606" s="10"/>
      <c r="O3606" s="10"/>
      <c r="V3606" s="10"/>
    </row>
    <row r="3607" spans="1:22" x14ac:dyDescent="0.2">
      <c r="A3607" s="27"/>
      <c r="B3607" s="25"/>
      <c r="E3607" s="10"/>
      <c r="O3607" s="10"/>
      <c r="V3607" s="10"/>
    </row>
    <row r="3608" spans="1:22" x14ac:dyDescent="0.2">
      <c r="A3608" s="27"/>
      <c r="B3608" s="25"/>
      <c r="E3608" s="10"/>
      <c r="O3608" s="10"/>
      <c r="V3608" s="10"/>
    </row>
    <row r="3609" spans="1:22" x14ac:dyDescent="0.2">
      <c r="A3609" s="27"/>
      <c r="B3609" s="25"/>
      <c r="E3609" s="10"/>
      <c r="O3609" s="10"/>
      <c r="V3609" s="10"/>
    </row>
    <row r="3610" spans="1:22" x14ac:dyDescent="0.2">
      <c r="A3610" s="27"/>
      <c r="B3610" s="25"/>
      <c r="E3610" s="10"/>
      <c r="O3610" s="10"/>
      <c r="V3610" s="10"/>
    </row>
    <row r="3611" spans="1:22" x14ac:dyDescent="0.2">
      <c r="A3611" s="27"/>
      <c r="B3611" s="25"/>
      <c r="E3611" s="10"/>
      <c r="O3611" s="10"/>
      <c r="V3611" s="10"/>
    </row>
    <row r="3612" spans="1:22" x14ac:dyDescent="0.2">
      <c r="A3612" s="27"/>
      <c r="B3612" s="25"/>
      <c r="E3612" s="10"/>
      <c r="O3612" s="10"/>
      <c r="V3612" s="10"/>
    </row>
    <row r="3613" spans="1:22" x14ac:dyDescent="0.2">
      <c r="A3613" s="27"/>
      <c r="B3613" s="25"/>
      <c r="E3613" s="10"/>
      <c r="O3613" s="10"/>
      <c r="V3613" s="10"/>
    </row>
    <row r="3614" spans="1:22" x14ac:dyDescent="0.2">
      <c r="A3614" s="27"/>
      <c r="B3614" s="25"/>
      <c r="E3614" s="10"/>
      <c r="O3614" s="10"/>
      <c r="V3614" s="10"/>
    </row>
    <row r="3615" spans="1:22" x14ac:dyDescent="0.2">
      <c r="A3615" s="27"/>
      <c r="B3615" s="25"/>
      <c r="E3615" s="10"/>
      <c r="O3615" s="10"/>
      <c r="V3615" s="10"/>
    </row>
    <row r="3616" spans="1:22" x14ac:dyDescent="0.2">
      <c r="A3616" s="27"/>
      <c r="B3616" s="25"/>
      <c r="E3616" s="10"/>
      <c r="O3616" s="10"/>
      <c r="V3616" s="10"/>
    </row>
    <row r="3617" spans="1:22" x14ac:dyDescent="0.2">
      <c r="A3617" s="27"/>
      <c r="B3617" s="25"/>
      <c r="E3617" s="10"/>
      <c r="O3617" s="10"/>
      <c r="V3617" s="10"/>
    </row>
    <row r="3618" spans="1:22" x14ac:dyDescent="0.2">
      <c r="A3618" s="27"/>
      <c r="B3618" s="25"/>
      <c r="E3618" s="10"/>
      <c r="O3618" s="10"/>
      <c r="V3618" s="10"/>
    </row>
    <row r="3619" spans="1:22" x14ac:dyDescent="0.2">
      <c r="A3619" s="27"/>
      <c r="B3619" s="25"/>
      <c r="E3619" s="10"/>
      <c r="O3619" s="10"/>
      <c r="V3619" s="10"/>
    </row>
    <row r="3620" spans="1:22" x14ac:dyDescent="0.2">
      <c r="A3620" s="27"/>
      <c r="B3620" s="25"/>
      <c r="E3620" s="10"/>
      <c r="O3620" s="10"/>
      <c r="V3620" s="10"/>
    </row>
    <row r="3621" spans="1:22" x14ac:dyDescent="0.2">
      <c r="A3621" s="27"/>
      <c r="B3621" s="25"/>
      <c r="E3621" s="10"/>
      <c r="O3621" s="10"/>
      <c r="V3621" s="10"/>
    </row>
    <row r="3622" spans="1:22" x14ac:dyDescent="0.2">
      <c r="A3622" s="27"/>
      <c r="B3622" s="25"/>
      <c r="E3622" s="10"/>
      <c r="O3622" s="10"/>
      <c r="V3622" s="10"/>
    </row>
    <row r="3623" spans="1:22" x14ac:dyDescent="0.2">
      <c r="A3623" s="27"/>
      <c r="B3623" s="25"/>
      <c r="E3623" s="10"/>
      <c r="O3623" s="10"/>
      <c r="V3623" s="10"/>
    </row>
    <row r="3624" spans="1:22" x14ac:dyDescent="0.2">
      <c r="A3624" s="27"/>
      <c r="B3624" s="25"/>
      <c r="E3624" s="10"/>
      <c r="O3624" s="10"/>
      <c r="V3624" s="10"/>
    </row>
    <row r="3625" spans="1:22" x14ac:dyDescent="0.2">
      <c r="A3625" s="27"/>
      <c r="B3625" s="25"/>
      <c r="E3625" s="10"/>
      <c r="O3625" s="10"/>
      <c r="V3625" s="10"/>
    </row>
    <row r="3626" spans="1:22" x14ac:dyDescent="0.2">
      <c r="A3626" s="27"/>
      <c r="B3626" s="25"/>
      <c r="E3626" s="10"/>
      <c r="O3626" s="10"/>
      <c r="V3626" s="10"/>
    </row>
    <row r="3627" spans="1:22" x14ac:dyDescent="0.2">
      <c r="A3627" s="27"/>
      <c r="B3627" s="25"/>
      <c r="E3627" s="10"/>
      <c r="O3627" s="10"/>
      <c r="V3627" s="10"/>
    </row>
    <row r="3628" spans="1:22" x14ac:dyDescent="0.2">
      <c r="A3628" s="27"/>
      <c r="B3628" s="25"/>
      <c r="E3628" s="10"/>
      <c r="O3628" s="10"/>
      <c r="V3628" s="10"/>
    </row>
    <row r="3629" spans="1:22" x14ac:dyDescent="0.2">
      <c r="A3629" s="27"/>
      <c r="B3629" s="25"/>
      <c r="E3629" s="10"/>
      <c r="O3629" s="10"/>
      <c r="V3629" s="10"/>
    </row>
    <row r="3630" spans="1:22" x14ac:dyDescent="0.2">
      <c r="A3630" s="27"/>
      <c r="B3630" s="25"/>
      <c r="E3630" s="10"/>
      <c r="O3630" s="10"/>
      <c r="V3630" s="10"/>
    </row>
    <row r="3631" spans="1:22" x14ac:dyDescent="0.2">
      <c r="A3631" s="27"/>
      <c r="B3631" s="25"/>
      <c r="E3631" s="10"/>
      <c r="O3631" s="10"/>
      <c r="V3631" s="10"/>
    </row>
    <row r="3632" spans="1:22" x14ac:dyDescent="0.2">
      <c r="A3632" s="27"/>
      <c r="B3632" s="25"/>
      <c r="E3632" s="10"/>
      <c r="O3632" s="10"/>
      <c r="V3632" s="10"/>
    </row>
    <row r="3633" spans="1:22" x14ac:dyDescent="0.2">
      <c r="A3633" s="27"/>
      <c r="B3633" s="25"/>
      <c r="E3633" s="10"/>
      <c r="O3633" s="10"/>
      <c r="V3633" s="10"/>
    </row>
    <row r="3634" spans="1:22" x14ac:dyDescent="0.2">
      <c r="A3634" s="27"/>
      <c r="B3634" s="25"/>
      <c r="E3634" s="10"/>
      <c r="O3634" s="10"/>
      <c r="V3634" s="10"/>
    </row>
    <row r="3635" spans="1:22" x14ac:dyDescent="0.2">
      <c r="A3635" s="27"/>
      <c r="B3635" s="25"/>
      <c r="E3635" s="10"/>
      <c r="O3635" s="10"/>
      <c r="V3635" s="10"/>
    </row>
    <row r="3636" spans="1:22" x14ac:dyDescent="0.2">
      <c r="A3636" s="27"/>
      <c r="B3636" s="25"/>
      <c r="E3636" s="10"/>
      <c r="O3636" s="10"/>
      <c r="V3636" s="10"/>
    </row>
    <row r="3637" spans="1:22" x14ac:dyDescent="0.2">
      <c r="A3637" s="27"/>
      <c r="B3637" s="25"/>
      <c r="E3637" s="10"/>
      <c r="O3637" s="10"/>
      <c r="V3637" s="10"/>
    </row>
    <row r="3638" spans="1:22" x14ac:dyDescent="0.2">
      <c r="A3638" s="27"/>
      <c r="B3638" s="25"/>
      <c r="E3638" s="10"/>
      <c r="O3638" s="10"/>
      <c r="V3638" s="10"/>
    </row>
    <row r="3639" spans="1:22" x14ac:dyDescent="0.2">
      <c r="A3639" s="27"/>
      <c r="B3639" s="25"/>
      <c r="E3639" s="10"/>
      <c r="O3639" s="10"/>
      <c r="V3639" s="10"/>
    </row>
    <row r="3640" spans="1:22" x14ac:dyDescent="0.2">
      <c r="A3640" s="27"/>
      <c r="B3640" s="25"/>
      <c r="E3640" s="10"/>
      <c r="O3640" s="10"/>
      <c r="V3640" s="10"/>
    </row>
    <row r="3641" spans="1:22" x14ac:dyDescent="0.2">
      <c r="A3641" s="27"/>
      <c r="B3641" s="25"/>
      <c r="E3641" s="10"/>
      <c r="O3641" s="10"/>
      <c r="V3641" s="10"/>
    </row>
    <row r="3642" spans="1:22" x14ac:dyDescent="0.2">
      <c r="A3642" s="27"/>
      <c r="B3642" s="25"/>
      <c r="E3642" s="10"/>
      <c r="O3642" s="10"/>
      <c r="V3642" s="10"/>
    </row>
    <row r="3643" spans="1:22" x14ac:dyDescent="0.2">
      <c r="A3643" s="27"/>
      <c r="B3643" s="25"/>
      <c r="E3643" s="10"/>
      <c r="O3643" s="10"/>
      <c r="V3643" s="10"/>
    </row>
    <row r="3644" spans="1:22" x14ac:dyDescent="0.2">
      <c r="A3644" s="27"/>
      <c r="B3644" s="25"/>
      <c r="E3644" s="10"/>
      <c r="O3644" s="10"/>
      <c r="V3644" s="10"/>
    </row>
    <row r="3645" spans="1:22" x14ac:dyDescent="0.2">
      <c r="A3645" s="27"/>
      <c r="B3645" s="25"/>
      <c r="E3645" s="10"/>
      <c r="O3645" s="10"/>
      <c r="V3645" s="10"/>
    </row>
    <row r="3646" spans="1:22" x14ac:dyDescent="0.2">
      <c r="A3646" s="27"/>
      <c r="B3646" s="25"/>
      <c r="E3646" s="10"/>
      <c r="O3646" s="10"/>
      <c r="V3646" s="10"/>
    </row>
    <row r="3647" spans="1:22" x14ac:dyDescent="0.2">
      <c r="A3647" s="27"/>
      <c r="B3647" s="25"/>
      <c r="E3647" s="10"/>
      <c r="O3647" s="10"/>
      <c r="V3647" s="10"/>
    </row>
    <row r="3648" spans="1:22" x14ac:dyDescent="0.2">
      <c r="A3648" s="27"/>
      <c r="B3648" s="25"/>
      <c r="E3648" s="10"/>
      <c r="O3648" s="10"/>
      <c r="V3648" s="10"/>
    </row>
    <row r="3649" spans="1:22" x14ac:dyDescent="0.2">
      <c r="A3649" s="27"/>
      <c r="B3649" s="25"/>
      <c r="E3649" s="10"/>
      <c r="O3649" s="10"/>
      <c r="V3649" s="10"/>
    </row>
    <row r="3650" spans="1:22" x14ac:dyDescent="0.2">
      <c r="A3650" s="27"/>
      <c r="B3650" s="25"/>
      <c r="E3650" s="10"/>
      <c r="O3650" s="10"/>
      <c r="V3650" s="10"/>
    </row>
    <row r="3651" spans="1:22" x14ac:dyDescent="0.2">
      <c r="A3651" s="27"/>
      <c r="B3651" s="25"/>
      <c r="E3651" s="10"/>
      <c r="O3651" s="10"/>
      <c r="V3651" s="10"/>
    </row>
    <row r="3652" spans="1:22" x14ac:dyDescent="0.2">
      <c r="A3652" s="27"/>
      <c r="B3652" s="25"/>
      <c r="E3652" s="10"/>
      <c r="O3652" s="10"/>
      <c r="V3652" s="10"/>
    </row>
    <row r="3653" spans="1:22" x14ac:dyDescent="0.2">
      <c r="A3653" s="27"/>
      <c r="B3653" s="25"/>
      <c r="E3653" s="10"/>
      <c r="O3653" s="10"/>
      <c r="V3653" s="10"/>
    </row>
    <row r="3654" spans="1:22" x14ac:dyDescent="0.2">
      <c r="A3654" s="27"/>
      <c r="B3654" s="25"/>
      <c r="E3654" s="10"/>
      <c r="O3654" s="10"/>
      <c r="V3654" s="10"/>
    </row>
    <row r="3655" spans="1:22" x14ac:dyDescent="0.2">
      <c r="A3655" s="27"/>
      <c r="B3655" s="25"/>
      <c r="E3655" s="10"/>
      <c r="O3655" s="10"/>
      <c r="V3655" s="10"/>
    </row>
    <row r="3656" spans="1:22" x14ac:dyDescent="0.2">
      <c r="A3656" s="27"/>
      <c r="B3656" s="25"/>
      <c r="E3656" s="10"/>
      <c r="O3656" s="10"/>
      <c r="V3656" s="10"/>
    </row>
    <row r="3657" spans="1:22" x14ac:dyDescent="0.2">
      <c r="A3657" s="27"/>
      <c r="B3657" s="25"/>
      <c r="E3657" s="10"/>
      <c r="O3657" s="10"/>
      <c r="V3657" s="10"/>
    </row>
    <row r="3658" spans="1:22" x14ac:dyDescent="0.2">
      <c r="A3658" s="27"/>
      <c r="B3658" s="25"/>
      <c r="E3658" s="10"/>
      <c r="O3658" s="10"/>
      <c r="V3658" s="10"/>
    </row>
    <row r="3659" spans="1:22" x14ac:dyDescent="0.2">
      <c r="A3659" s="27"/>
      <c r="B3659" s="25"/>
      <c r="E3659" s="10"/>
      <c r="O3659" s="10"/>
      <c r="V3659" s="10"/>
    </row>
    <row r="3660" spans="1:22" x14ac:dyDescent="0.2">
      <c r="A3660" s="27"/>
      <c r="B3660" s="25"/>
      <c r="E3660" s="10"/>
      <c r="O3660" s="10"/>
      <c r="V3660" s="10"/>
    </row>
    <row r="3661" spans="1:22" x14ac:dyDescent="0.2">
      <c r="A3661" s="27"/>
      <c r="B3661" s="25"/>
      <c r="E3661" s="10"/>
      <c r="O3661" s="10"/>
      <c r="V3661" s="10"/>
    </row>
    <row r="3662" spans="1:22" x14ac:dyDescent="0.2">
      <c r="A3662" s="27"/>
      <c r="B3662" s="25"/>
      <c r="E3662" s="10"/>
      <c r="O3662" s="10"/>
      <c r="V3662" s="10"/>
    </row>
    <row r="3663" spans="1:22" x14ac:dyDescent="0.2">
      <c r="A3663" s="27"/>
      <c r="B3663" s="25"/>
      <c r="E3663" s="10"/>
      <c r="O3663" s="10"/>
      <c r="V3663" s="10"/>
    </row>
    <row r="3664" spans="1:22" x14ac:dyDescent="0.2">
      <c r="A3664" s="27"/>
      <c r="B3664" s="25"/>
      <c r="E3664" s="10"/>
      <c r="O3664" s="10"/>
      <c r="V3664" s="10"/>
    </row>
    <row r="3665" spans="1:22" x14ac:dyDescent="0.2">
      <c r="A3665" s="27"/>
      <c r="B3665" s="25"/>
      <c r="E3665" s="10"/>
      <c r="O3665" s="10"/>
      <c r="V3665" s="10"/>
    </row>
    <row r="3666" spans="1:22" x14ac:dyDescent="0.2">
      <c r="A3666" s="27"/>
      <c r="B3666" s="25"/>
      <c r="E3666" s="10"/>
      <c r="O3666" s="10"/>
      <c r="V3666" s="10"/>
    </row>
    <row r="3667" spans="1:22" x14ac:dyDescent="0.2">
      <c r="A3667" s="27"/>
      <c r="B3667" s="25"/>
      <c r="E3667" s="10"/>
      <c r="O3667" s="10"/>
      <c r="V3667" s="10"/>
    </row>
    <row r="3668" spans="1:22" x14ac:dyDescent="0.2">
      <c r="A3668" s="27"/>
      <c r="B3668" s="25"/>
      <c r="E3668" s="10"/>
      <c r="O3668" s="10"/>
      <c r="V3668" s="10"/>
    </row>
    <row r="3669" spans="1:22" x14ac:dyDescent="0.2">
      <c r="A3669" s="27"/>
      <c r="B3669" s="25"/>
      <c r="E3669" s="10"/>
      <c r="O3669" s="10"/>
      <c r="V3669" s="10"/>
    </row>
    <row r="3670" spans="1:22" x14ac:dyDescent="0.2">
      <c r="A3670" s="27"/>
      <c r="B3670" s="25"/>
      <c r="E3670" s="10"/>
      <c r="O3670" s="10"/>
      <c r="V3670" s="10"/>
    </row>
    <row r="3671" spans="1:22" x14ac:dyDescent="0.2">
      <c r="A3671" s="27"/>
      <c r="B3671" s="25"/>
      <c r="E3671" s="10"/>
      <c r="O3671" s="10"/>
      <c r="V3671" s="10"/>
    </row>
    <row r="3672" spans="1:22" x14ac:dyDescent="0.2">
      <c r="A3672" s="27"/>
      <c r="B3672" s="25"/>
      <c r="E3672" s="10"/>
      <c r="O3672" s="10"/>
      <c r="V3672" s="10"/>
    </row>
    <row r="3673" spans="1:22" x14ac:dyDescent="0.2">
      <c r="A3673" s="27"/>
      <c r="B3673" s="25"/>
      <c r="E3673" s="10"/>
      <c r="O3673" s="10"/>
      <c r="V3673" s="10"/>
    </row>
    <row r="3674" spans="1:22" x14ac:dyDescent="0.2">
      <c r="A3674" s="27"/>
      <c r="B3674" s="25"/>
      <c r="E3674" s="10"/>
      <c r="O3674" s="10"/>
      <c r="V3674" s="10"/>
    </row>
    <row r="3675" spans="1:22" x14ac:dyDescent="0.2">
      <c r="A3675" s="27"/>
      <c r="B3675" s="25"/>
      <c r="E3675" s="10"/>
      <c r="O3675" s="10"/>
      <c r="V3675" s="10"/>
    </row>
    <row r="3676" spans="1:22" x14ac:dyDescent="0.2">
      <c r="A3676" s="27"/>
      <c r="B3676" s="25"/>
      <c r="E3676" s="10"/>
      <c r="O3676" s="10"/>
      <c r="V3676" s="10"/>
    </row>
    <row r="3677" spans="1:22" x14ac:dyDescent="0.2">
      <c r="A3677" s="27"/>
      <c r="B3677" s="25"/>
      <c r="E3677" s="10"/>
      <c r="O3677" s="10"/>
      <c r="V3677" s="10"/>
    </row>
    <row r="3678" spans="1:22" x14ac:dyDescent="0.2">
      <c r="A3678" s="27"/>
      <c r="B3678" s="25"/>
      <c r="E3678" s="10"/>
      <c r="O3678" s="10"/>
      <c r="V3678" s="10"/>
    </row>
    <row r="3679" spans="1:22" x14ac:dyDescent="0.2">
      <c r="A3679" s="27"/>
      <c r="B3679" s="25"/>
      <c r="E3679" s="10"/>
      <c r="O3679" s="10"/>
      <c r="V3679" s="10"/>
    </row>
    <row r="3680" spans="1:22" x14ac:dyDescent="0.2">
      <c r="A3680" s="27"/>
      <c r="B3680" s="25"/>
      <c r="E3680" s="10"/>
      <c r="O3680" s="10"/>
      <c r="V3680" s="10"/>
    </row>
    <row r="3681" spans="1:22" x14ac:dyDescent="0.2">
      <c r="A3681" s="27"/>
      <c r="B3681" s="25"/>
      <c r="E3681" s="10"/>
      <c r="O3681" s="10"/>
      <c r="V3681" s="10"/>
    </row>
    <row r="3682" spans="1:22" x14ac:dyDescent="0.2">
      <c r="A3682" s="27"/>
      <c r="B3682" s="25"/>
      <c r="E3682" s="10"/>
      <c r="O3682" s="10"/>
      <c r="V3682" s="10"/>
    </row>
    <row r="3683" spans="1:22" x14ac:dyDescent="0.2">
      <c r="A3683" s="27"/>
      <c r="B3683" s="25"/>
      <c r="E3683" s="10"/>
      <c r="O3683" s="10"/>
      <c r="V3683" s="10"/>
    </row>
    <row r="3684" spans="1:22" x14ac:dyDescent="0.2">
      <c r="A3684" s="27"/>
      <c r="B3684" s="25"/>
      <c r="E3684" s="10"/>
      <c r="O3684" s="10"/>
      <c r="V3684" s="10"/>
    </row>
    <row r="3685" spans="1:22" x14ac:dyDescent="0.2">
      <c r="A3685" s="27"/>
      <c r="B3685" s="25"/>
      <c r="E3685" s="10"/>
      <c r="O3685" s="10"/>
      <c r="V3685" s="10"/>
    </row>
    <row r="3686" spans="1:22" x14ac:dyDescent="0.2">
      <c r="A3686" s="27"/>
      <c r="B3686" s="25"/>
      <c r="E3686" s="10"/>
      <c r="O3686" s="10"/>
      <c r="V3686" s="10"/>
    </row>
    <row r="3687" spans="1:22" x14ac:dyDescent="0.2">
      <c r="A3687" s="27"/>
      <c r="B3687" s="25"/>
      <c r="E3687" s="10"/>
      <c r="O3687" s="10"/>
      <c r="V3687" s="10"/>
    </row>
    <row r="3688" spans="1:22" x14ac:dyDescent="0.2">
      <c r="A3688" s="27"/>
      <c r="B3688" s="25"/>
      <c r="E3688" s="10"/>
      <c r="O3688" s="10"/>
      <c r="V3688" s="10"/>
    </row>
    <row r="3689" spans="1:22" x14ac:dyDescent="0.2">
      <c r="A3689" s="27"/>
      <c r="B3689" s="25"/>
      <c r="E3689" s="10"/>
      <c r="O3689" s="10"/>
      <c r="V3689" s="10"/>
    </row>
    <row r="3690" spans="1:22" x14ac:dyDescent="0.2">
      <c r="A3690" s="27"/>
      <c r="B3690" s="25"/>
      <c r="E3690" s="10"/>
      <c r="O3690" s="10"/>
      <c r="V3690" s="10"/>
    </row>
    <row r="3691" spans="1:22" x14ac:dyDescent="0.2">
      <c r="A3691" s="27"/>
      <c r="B3691" s="25"/>
      <c r="E3691" s="10"/>
      <c r="O3691" s="10"/>
      <c r="V3691" s="10"/>
    </row>
    <row r="3692" spans="1:22" x14ac:dyDescent="0.2">
      <c r="A3692" s="27"/>
      <c r="B3692" s="25"/>
      <c r="E3692" s="10"/>
      <c r="O3692" s="10"/>
      <c r="V3692" s="10"/>
    </row>
    <row r="3693" spans="1:22" x14ac:dyDescent="0.2">
      <c r="A3693" s="27"/>
      <c r="B3693" s="25"/>
      <c r="E3693" s="10"/>
      <c r="O3693" s="10"/>
      <c r="V3693" s="10"/>
    </row>
    <row r="3694" spans="1:22" x14ac:dyDescent="0.2">
      <c r="A3694" s="27"/>
      <c r="B3694" s="25"/>
      <c r="E3694" s="10"/>
      <c r="O3694" s="10"/>
      <c r="V3694" s="10"/>
    </row>
    <row r="3695" spans="1:22" x14ac:dyDescent="0.2">
      <c r="A3695" s="27"/>
      <c r="B3695" s="25"/>
      <c r="E3695" s="10"/>
      <c r="O3695" s="10"/>
      <c r="V3695" s="10"/>
    </row>
    <row r="3696" spans="1:22" x14ac:dyDescent="0.2">
      <c r="A3696" s="27"/>
      <c r="B3696" s="25"/>
      <c r="E3696" s="10"/>
      <c r="O3696" s="10"/>
      <c r="V3696" s="10"/>
    </row>
    <row r="3697" spans="1:22" x14ac:dyDescent="0.2">
      <c r="A3697" s="27"/>
      <c r="B3697" s="25"/>
      <c r="E3697" s="10"/>
      <c r="O3697" s="10"/>
      <c r="V3697" s="10"/>
    </row>
    <row r="3698" spans="1:22" x14ac:dyDescent="0.2">
      <c r="A3698" s="27"/>
      <c r="B3698" s="25"/>
      <c r="E3698" s="10"/>
      <c r="O3698" s="10"/>
      <c r="V3698" s="10"/>
    </row>
    <row r="3699" spans="1:22" x14ac:dyDescent="0.2">
      <c r="A3699" s="27"/>
      <c r="B3699" s="25"/>
      <c r="E3699" s="10"/>
      <c r="O3699" s="10"/>
      <c r="V3699" s="10"/>
    </row>
    <row r="3700" spans="1:22" x14ac:dyDescent="0.2">
      <c r="A3700" s="27"/>
      <c r="B3700" s="25"/>
      <c r="E3700" s="10"/>
      <c r="O3700" s="10"/>
      <c r="V3700" s="10"/>
    </row>
    <row r="3701" spans="1:22" x14ac:dyDescent="0.2">
      <c r="A3701" s="27"/>
      <c r="B3701" s="25"/>
      <c r="E3701" s="10"/>
      <c r="O3701" s="10"/>
      <c r="V3701" s="10"/>
    </row>
    <row r="3702" spans="1:22" x14ac:dyDescent="0.2">
      <c r="A3702" s="27"/>
      <c r="B3702" s="25"/>
      <c r="E3702" s="10"/>
      <c r="O3702" s="10"/>
      <c r="V3702" s="10"/>
    </row>
    <row r="3703" spans="1:22" x14ac:dyDescent="0.2">
      <c r="A3703" s="27"/>
      <c r="B3703" s="25"/>
      <c r="E3703" s="10"/>
      <c r="O3703" s="10"/>
      <c r="V3703" s="10"/>
    </row>
    <row r="3704" spans="1:22" x14ac:dyDescent="0.2">
      <c r="A3704" s="27"/>
      <c r="B3704" s="25"/>
      <c r="E3704" s="10"/>
      <c r="O3704" s="10"/>
      <c r="V3704" s="10"/>
    </row>
    <row r="3705" spans="1:22" x14ac:dyDescent="0.2">
      <c r="A3705" s="27"/>
      <c r="B3705" s="25"/>
      <c r="E3705" s="10"/>
      <c r="O3705" s="10"/>
      <c r="V3705" s="10"/>
    </row>
    <row r="3706" spans="1:22" x14ac:dyDescent="0.2">
      <c r="A3706" s="27"/>
      <c r="B3706" s="25"/>
      <c r="E3706" s="10"/>
      <c r="O3706" s="10"/>
      <c r="V3706" s="10"/>
    </row>
    <row r="3707" spans="1:22" x14ac:dyDescent="0.2">
      <c r="A3707" s="27"/>
      <c r="B3707" s="25"/>
      <c r="E3707" s="10"/>
      <c r="O3707" s="10"/>
      <c r="V3707" s="10"/>
    </row>
    <row r="3708" spans="1:22" x14ac:dyDescent="0.2">
      <c r="A3708" s="27"/>
      <c r="B3708" s="25"/>
      <c r="E3708" s="10"/>
      <c r="O3708" s="10"/>
      <c r="V3708" s="10"/>
    </row>
    <row r="3709" spans="1:22" x14ac:dyDescent="0.2">
      <c r="A3709" s="27"/>
      <c r="B3709" s="25"/>
      <c r="E3709" s="10"/>
      <c r="O3709" s="10"/>
      <c r="V3709" s="10"/>
    </row>
    <row r="3710" spans="1:22" x14ac:dyDescent="0.2">
      <c r="A3710" s="27"/>
      <c r="B3710" s="25"/>
      <c r="E3710" s="10"/>
      <c r="O3710" s="10"/>
      <c r="V3710" s="10"/>
    </row>
    <row r="3711" spans="1:22" x14ac:dyDescent="0.2">
      <c r="A3711" s="27"/>
      <c r="B3711" s="25"/>
      <c r="E3711" s="10"/>
      <c r="O3711" s="10"/>
      <c r="V3711" s="10"/>
    </row>
    <row r="3712" spans="1:22" x14ac:dyDescent="0.2">
      <c r="A3712" s="27"/>
      <c r="B3712" s="25"/>
      <c r="E3712" s="10"/>
      <c r="O3712" s="10"/>
      <c r="V3712" s="10"/>
    </row>
    <row r="3713" spans="1:22" x14ac:dyDescent="0.2">
      <c r="A3713" s="27"/>
      <c r="B3713" s="25"/>
      <c r="E3713" s="10"/>
      <c r="O3713" s="10"/>
      <c r="V3713" s="10"/>
    </row>
    <row r="3714" spans="1:22" x14ac:dyDescent="0.2">
      <c r="A3714" s="27"/>
      <c r="B3714" s="25"/>
      <c r="E3714" s="10"/>
      <c r="O3714" s="10"/>
      <c r="V3714" s="10"/>
    </row>
    <row r="3715" spans="1:22" x14ac:dyDescent="0.2">
      <c r="A3715" s="27"/>
      <c r="B3715" s="25"/>
      <c r="E3715" s="10"/>
      <c r="O3715" s="10"/>
      <c r="V3715" s="10"/>
    </row>
    <row r="3716" spans="1:22" x14ac:dyDescent="0.2">
      <c r="A3716" s="27"/>
      <c r="B3716" s="25"/>
      <c r="E3716" s="10"/>
      <c r="O3716" s="10"/>
      <c r="V3716" s="10"/>
    </row>
    <row r="3717" spans="1:22" x14ac:dyDescent="0.2">
      <c r="A3717" s="27"/>
      <c r="B3717" s="25"/>
      <c r="E3717" s="10"/>
      <c r="O3717" s="10"/>
      <c r="V3717" s="10"/>
    </row>
    <row r="3718" spans="1:22" x14ac:dyDescent="0.2">
      <c r="A3718" s="27"/>
      <c r="B3718" s="25"/>
      <c r="E3718" s="10"/>
      <c r="O3718" s="10"/>
      <c r="V3718" s="10"/>
    </row>
    <row r="3719" spans="1:22" x14ac:dyDescent="0.2">
      <c r="A3719" s="27"/>
      <c r="B3719" s="25"/>
      <c r="E3719" s="10"/>
      <c r="O3719" s="10"/>
      <c r="V3719" s="10"/>
    </row>
    <row r="3720" spans="1:22" x14ac:dyDescent="0.2">
      <c r="A3720" s="27"/>
      <c r="B3720" s="25"/>
      <c r="E3720" s="10"/>
      <c r="O3720" s="10"/>
      <c r="V3720" s="10"/>
    </row>
    <row r="3721" spans="1:22" x14ac:dyDescent="0.2">
      <c r="A3721" s="27"/>
      <c r="B3721" s="25"/>
      <c r="E3721" s="10"/>
      <c r="O3721" s="10"/>
      <c r="V3721" s="10"/>
    </row>
    <row r="3722" spans="1:22" x14ac:dyDescent="0.2">
      <c r="A3722" s="27"/>
      <c r="B3722" s="25"/>
      <c r="E3722" s="10"/>
      <c r="O3722" s="10"/>
      <c r="V3722" s="10"/>
    </row>
    <row r="3723" spans="1:22" x14ac:dyDescent="0.2">
      <c r="A3723" s="27"/>
      <c r="B3723" s="25"/>
      <c r="E3723" s="10"/>
      <c r="O3723" s="10"/>
      <c r="V3723" s="10"/>
    </row>
    <row r="3724" spans="1:22" x14ac:dyDescent="0.2">
      <c r="A3724" s="27"/>
      <c r="B3724" s="25"/>
      <c r="E3724" s="10"/>
      <c r="O3724" s="10"/>
      <c r="V3724" s="10"/>
    </row>
    <row r="3725" spans="1:22" x14ac:dyDescent="0.2">
      <c r="A3725" s="27"/>
      <c r="B3725" s="25"/>
      <c r="E3725" s="10"/>
      <c r="O3725" s="10"/>
      <c r="V3725" s="10"/>
    </row>
    <row r="3726" spans="1:22" x14ac:dyDescent="0.2">
      <c r="A3726" s="27"/>
      <c r="B3726" s="25"/>
      <c r="E3726" s="10"/>
      <c r="O3726" s="10"/>
      <c r="V3726" s="10"/>
    </row>
    <row r="3727" spans="1:22" x14ac:dyDescent="0.2">
      <c r="A3727" s="27"/>
      <c r="B3727" s="25"/>
      <c r="E3727" s="10"/>
      <c r="O3727" s="10"/>
      <c r="V3727" s="10"/>
    </row>
    <row r="3728" spans="1:22" x14ac:dyDescent="0.2">
      <c r="A3728" s="27"/>
      <c r="B3728" s="25"/>
      <c r="E3728" s="10"/>
      <c r="O3728" s="10"/>
      <c r="V3728" s="10"/>
    </row>
    <row r="3729" spans="1:22" x14ac:dyDescent="0.2">
      <c r="A3729" s="27"/>
      <c r="B3729" s="25"/>
      <c r="E3729" s="10"/>
      <c r="O3729" s="10"/>
      <c r="V3729" s="10"/>
    </row>
    <row r="3730" spans="1:22" x14ac:dyDescent="0.2">
      <c r="A3730" s="27"/>
      <c r="B3730" s="25"/>
      <c r="E3730" s="10"/>
      <c r="O3730" s="10"/>
      <c r="V3730" s="10"/>
    </row>
    <row r="3731" spans="1:22" x14ac:dyDescent="0.2">
      <c r="A3731" s="27"/>
      <c r="B3731" s="25"/>
      <c r="E3731" s="10"/>
      <c r="O3731" s="10"/>
      <c r="V3731" s="10"/>
    </row>
    <row r="3732" spans="1:22" x14ac:dyDescent="0.2">
      <c r="A3732" s="27"/>
      <c r="B3732" s="25"/>
      <c r="E3732" s="10"/>
      <c r="O3732" s="10"/>
      <c r="V3732" s="10"/>
    </row>
    <row r="3733" spans="1:22" x14ac:dyDescent="0.2">
      <c r="A3733" s="27"/>
      <c r="B3733" s="25"/>
      <c r="E3733" s="10"/>
      <c r="O3733" s="10"/>
      <c r="V3733" s="10"/>
    </row>
    <row r="3734" spans="1:22" x14ac:dyDescent="0.2">
      <c r="A3734" s="27"/>
      <c r="B3734" s="25"/>
      <c r="E3734" s="10"/>
      <c r="O3734" s="10"/>
      <c r="V3734" s="10"/>
    </row>
    <row r="3735" spans="1:22" x14ac:dyDescent="0.2">
      <c r="A3735" s="27"/>
      <c r="B3735" s="25"/>
      <c r="E3735" s="10"/>
      <c r="O3735" s="10"/>
      <c r="V3735" s="10"/>
    </row>
    <row r="3736" spans="1:22" x14ac:dyDescent="0.2">
      <c r="A3736" s="27"/>
      <c r="B3736" s="25"/>
      <c r="E3736" s="10"/>
      <c r="O3736" s="10"/>
      <c r="V3736" s="10"/>
    </row>
    <row r="3737" spans="1:22" x14ac:dyDescent="0.2">
      <c r="A3737" s="27"/>
      <c r="B3737" s="25"/>
      <c r="E3737" s="10"/>
      <c r="O3737" s="10"/>
      <c r="V3737" s="10"/>
    </row>
    <row r="3738" spans="1:22" x14ac:dyDescent="0.2">
      <c r="A3738" s="27"/>
      <c r="B3738" s="25"/>
      <c r="E3738" s="10"/>
      <c r="O3738" s="10"/>
      <c r="V3738" s="10"/>
    </row>
    <row r="3739" spans="1:22" x14ac:dyDescent="0.2">
      <c r="A3739" s="27"/>
      <c r="B3739" s="25"/>
      <c r="E3739" s="10"/>
      <c r="O3739" s="10"/>
      <c r="V3739" s="10"/>
    </row>
    <row r="3740" spans="1:22" x14ac:dyDescent="0.2">
      <c r="A3740" s="27"/>
      <c r="B3740" s="25"/>
      <c r="E3740" s="10"/>
      <c r="O3740" s="10"/>
      <c r="V3740" s="10"/>
    </row>
    <row r="3741" spans="1:22" x14ac:dyDescent="0.2">
      <c r="A3741" s="27"/>
      <c r="B3741" s="25"/>
      <c r="E3741" s="10"/>
      <c r="O3741" s="10"/>
      <c r="V3741" s="10"/>
    </row>
    <row r="3742" spans="1:22" x14ac:dyDescent="0.2">
      <c r="A3742" s="27"/>
      <c r="B3742" s="25"/>
      <c r="E3742" s="10"/>
      <c r="O3742" s="10"/>
      <c r="V3742" s="10"/>
    </row>
    <row r="3743" spans="1:22" x14ac:dyDescent="0.2">
      <c r="A3743" s="27"/>
      <c r="B3743" s="25"/>
      <c r="E3743" s="10"/>
      <c r="O3743" s="10"/>
      <c r="V3743" s="10"/>
    </row>
    <row r="3744" spans="1:22" x14ac:dyDescent="0.2">
      <c r="A3744" s="27"/>
      <c r="B3744" s="25"/>
      <c r="E3744" s="10"/>
      <c r="O3744" s="10"/>
      <c r="V3744" s="10"/>
    </row>
    <row r="3745" spans="1:22" x14ac:dyDescent="0.2">
      <c r="A3745" s="27"/>
      <c r="B3745" s="25"/>
      <c r="E3745" s="10"/>
      <c r="O3745" s="10"/>
      <c r="V3745" s="10"/>
    </row>
    <row r="3746" spans="1:22" x14ac:dyDescent="0.2">
      <c r="A3746" s="27"/>
      <c r="B3746" s="25"/>
      <c r="E3746" s="10"/>
      <c r="O3746" s="10"/>
      <c r="V3746" s="10"/>
    </row>
    <row r="3747" spans="1:22" x14ac:dyDescent="0.2">
      <c r="A3747" s="27"/>
      <c r="B3747" s="25"/>
      <c r="E3747" s="10"/>
      <c r="O3747" s="10"/>
      <c r="V3747" s="10"/>
    </row>
    <row r="3748" spans="1:22" x14ac:dyDescent="0.2">
      <c r="A3748" s="27"/>
      <c r="B3748" s="25"/>
      <c r="E3748" s="10"/>
      <c r="O3748" s="10"/>
      <c r="V3748" s="10"/>
    </row>
    <row r="3749" spans="1:22" x14ac:dyDescent="0.2">
      <c r="A3749" s="27"/>
      <c r="B3749" s="25"/>
      <c r="E3749" s="10"/>
      <c r="O3749" s="10"/>
      <c r="V3749" s="10"/>
    </row>
    <row r="3750" spans="1:22" x14ac:dyDescent="0.2">
      <c r="A3750" s="27"/>
      <c r="B3750" s="25"/>
      <c r="E3750" s="10"/>
      <c r="O3750" s="10"/>
      <c r="V3750" s="10"/>
    </row>
    <row r="3751" spans="1:22" x14ac:dyDescent="0.2">
      <c r="A3751" s="27"/>
      <c r="B3751" s="25"/>
      <c r="E3751" s="10"/>
      <c r="O3751" s="10"/>
      <c r="V3751" s="10"/>
    </row>
    <row r="3752" spans="1:22" x14ac:dyDescent="0.2">
      <c r="A3752" s="27"/>
      <c r="B3752" s="25"/>
      <c r="E3752" s="10"/>
      <c r="O3752" s="10"/>
      <c r="V3752" s="10"/>
    </row>
    <row r="3753" spans="1:22" x14ac:dyDescent="0.2">
      <c r="A3753" s="27"/>
      <c r="B3753" s="25"/>
      <c r="E3753" s="10"/>
      <c r="O3753" s="10"/>
      <c r="V3753" s="10"/>
    </row>
    <row r="3754" spans="1:22" x14ac:dyDescent="0.2">
      <c r="A3754" s="27"/>
      <c r="B3754" s="25"/>
      <c r="E3754" s="10"/>
      <c r="O3754" s="10"/>
      <c r="V3754" s="10"/>
    </row>
    <row r="3755" spans="1:22" x14ac:dyDescent="0.2">
      <c r="A3755" s="27"/>
      <c r="B3755" s="25"/>
      <c r="E3755" s="10"/>
      <c r="O3755" s="10"/>
      <c r="V3755" s="10"/>
    </row>
    <row r="3756" spans="1:22" x14ac:dyDescent="0.2">
      <c r="A3756" s="27"/>
      <c r="B3756" s="25"/>
      <c r="E3756" s="10"/>
      <c r="O3756" s="10"/>
      <c r="V3756" s="10"/>
    </row>
    <row r="3757" spans="1:22" x14ac:dyDescent="0.2">
      <c r="A3757" s="27"/>
      <c r="B3757" s="25"/>
      <c r="E3757" s="10"/>
      <c r="O3757" s="10"/>
      <c r="V3757" s="10"/>
    </row>
    <row r="3758" spans="1:22" x14ac:dyDescent="0.2">
      <c r="A3758" s="27"/>
      <c r="B3758" s="25"/>
      <c r="E3758" s="10"/>
      <c r="O3758" s="10"/>
      <c r="V3758" s="10"/>
    </row>
    <row r="3759" spans="1:22" x14ac:dyDescent="0.2">
      <c r="A3759" s="27"/>
      <c r="B3759" s="25"/>
      <c r="E3759" s="10"/>
      <c r="O3759" s="10"/>
      <c r="V3759" s="10"/>
    </row>
    <row r="3760" spans="1:22" x14ac:dyDescent="0.2">
      <c r="A3760" s="27"/>
      <c r="B3760" s="25"/>
      <c r="E3760" s="10"/>
      <c r="O3760" s="10"/>
      <c r="V3760" s="10"/>
    </row>
    <row r="3761" spans="1:22" x14ac:dyDescent="0.2">
      <c r="A3761" s="27"/>
      <c r="B3761" s="25"/>
      <c r="E3761" s="10"/>
      <c r="O3761" s="10"/>
      <c r="V3761" s="10"/>
    </row>
    <row r="3762" spans="1:22" x14ac:dyDescent="0.2">
      <c r="A3762" s="27"/>
      <c r="B3762" s="25"/>
      <c r="E3762" s="10"/>
      <c r="O3762" s="10"/>
      <c r="V3762" s="10"/>
    </row>
    <row r="3763" spans="1:22" x14ac:dyDescent="0.2">
      <c r="A3763" s="27"/>
      <c r="B3763" s="25"/>
      <c r="E3763" s="10"/>
      <c r="O3763" s="10"/>
      <c r="V3763" s="10"/>
    </row>
    <row r="3764" spans="1:22" x14ac:dyDescent="0.2">
      <c r="A3764" s="27"/>
      <c r="B3764" s="25"/>
      <c r="E3764" s="10"/>
      <c r="O3764" s="10"/>
      <c r="V3764" s="10"/>
    </row>
    <row r="3765" spans="1:22" x14ac:dyDescent="0.2">
      <c r="A3765" s="27"/>
      <c r="B3765" s="25"/>
      <c r="E3765" s="10"/>
      <c r="O3765" s="10"/>
      <c r="V3765" s="10"/>
    </row>
    <row r="3766" spans="1:22" x14ac:dyDescent="0.2">
      <c r="A3766" s="27"/>
      <c r="B3766" s="25"/>
      <c r="E3766" s="10"/>
      <c r="O3766" s="10"/>
      <c r="V3766" s="10"/>
    </row>
    <row r="3767" spans="1:22" x14ac:dyDescent="0.2">
      <c r="A3767" s="27"/>
      <c r="B3767" s="25"/>
      <c r="E3767" s="10"/>
      <c r="O3767" s="10"/>
      <c r="V3767" s="10"/>
    </row>
    <row r="3768" spans="1:22" x14ac:dyDescent="0.2">
      <c r="A3768" s="27"/>
      <c r="B3768" s="25"/>
      <c r="E3768" s="10"/>
      <c r="O3768" s="10"/>
      <c r="V3768" s="10"/>
    </row>
    <row r="3769" spans="1:22" x14ac:dyDescent="0.2">
      <c r="A3769" s="27"/>
      <c r="B3769" s="25"/>
      <c r="E3769" s="10"/>
      <c r="O3769" s="10"/>
      <c r="V3769" s="10"/>
    </row>
    <row r="3770" spans="1:22" x14ac:dyDescent="0.2">
      <c r="A3770" s="27"/>
      <c r="B3770" s="25"/>
      <c r="E3770" s="10"/>
      <c r="O3770" s="10"/>
      <c r="V3770" s="10"/>
    </row>
    <row r="3771" spans="1:22" x14ac:dyDescent="0.2">
      <c r="A3771" s="27"/>
      <c r="B3771" s="25"/>
      <c r="E3771" s="10"/>
      <c r="O3771" s="10"/>
      <c r="V3771" s="10"/>
    </row>
    <row r="3772" spans="1:22" x14ac:dyDescent="0.2">
      <c r="A3772" s="27"/>
      <c r="B3772" s="25"/>
      <c r="E3772" s="10"/>
      <c r="O3772" s="10"/>
      <c r="V3772" s="10"/>
    </row>
    <row r="3773" spans="1:22" x14ac:dyDescent="0.2">
      <c r="A3773" s="27"/>
      <c r="B3773" s="25"/>
      <c r="E3773" s="10"/>
      <c r="O3773" s="10"/>
      <c r="V3773" s="10"/>
    </row>
    <row r="3774" spans="1:22" x14ac:dyDescent="0.2">
      <c r="A3774" s="27"/>
      <c r="B3774" s="25"/>
      <c r="E3774" s="10"/>
      <c r="O3774" s="10"/>
      <c r="V3774" s="10"/>
    </row>
    <row r="3775" spans="1:22" x14ac:dyDescent="0.2">
      <c r="A3775" s="27"/>
      <c r="B3775" s="25"/>
      <c r="E3775" s="10"/>
      <c r="O3775" s="10"/>
      <c r="V3775" s="10"/>
    </row>
    <row r="3776" spans="1:22" x14ac:dyDescent="0.2">
      <c r="A3776" s="27"/>
      <c r="B3776" s="25"/>
      <c r="E3776" s="10"/>
      <c r="O3776" s="10"/>
      <c r="V3776" s="10"/>
    </row>
    <row r="3777" spans="1:22" x14ac:dyDescent="0.2">
      <c r="A3777" s="27"/>
      <c r="B3777" s="25"/>
      <c r="E3777" s="10"/>
      <c r="O3777" s="10"/>
      <c r="V3777" s="10"/>
    </row>
    <row r="3778" spans="1:22" x14ac:dyDescent="0.2">
      <c r="A3778" s="27"/>
      <c r="B3778" s="25"/>
      <c r="E3778" s="10"/>
      <c r="O3778" s="10"/>
      <c r="V3778" s="10"/>
    </row>
    <row r="3779" spans="1:22" x14ac:dyDescent="0.2">
      <c r="A3779" s="27"/>
      <c r="B3779" s="25"/>
      <c r="E3779" s="10"/>
      <c r="O3779" s="10"/>
      <c r="V3779" s="10"/>
    </row>
    <row r="3780" spans="1:22" x14ac:dyDescent="0.2">
      <c r="A3780" s="27"/>
      <c r="B3780" s="25"/>
      <c r="E3780" s="10"/>
      <c r="O3780" s="10"/>
      <c r="V3780" s="10"/>
    </row>
    <row r="3781" spans="1:22" x14ac:dyDescent="0.2">
      <c r="A3781" s="27"/>
      <c r="B3781" s="25"/>
      <c r="E3781" s="10"/>
      <c r="O3781" s="10"/>
      <c r="V3781" s="10"/>
    </row>
    <row r="3782" spans="1:22" x14ac:dyDescent="0.2">
      <c r="A3782" s="27"/>
      <c r="B3782" s="25"/>
      <c r="E3782" s="10"/>
      <c r="O3782" s="10"/>
      <c r="V3782" s="10"/>
    </row>
    <row r="3783" spans="1:22" x14ac:dyDescent="0.2">
      <c r="A3783" s="27"/>
      <c r="B3783" s="25"/>
      <c r="E3783" s="10"/>
      <c r="O3783" s="10"/>
      <c r="V3783" s="10"/>
    </row>
    <row r="3784" spans="1:22" x14ac:dyDescent="0.2">
      <c r="A3784" s="27"/>
      <c r="B3784" s="25"/>
      <c r="E3784" s="10"/>
      <c r="O3784" s="10"/>
      <c r="V3784" s="10"/>
    </row>
    <row r="3785" spans="1:22" x14ac:dyDescent="0.2">
      <c r="A3785" s="27"/>
      <c r="B3785" s="25"/>
      <c r="E3785" s="10"/>
      <c r="O3785" s="10"/>
      <c r="V3785" s="10"/>
    </row>
    <row r="3786" spans="1:22" x14ac:dyDescent="0.2">
      <c r="A3786" s="27"/>
      <c r="B3786" s="25"/>
      <c r="E3786" s="10"/>
      <c r="O3786" s="10"/>
      <c r="V3786" s="10"/>
    </row>
    <row r="3787" spans="1:22" x14ac:dyDescent="0.2">
      <c r="A3787" s="27"/>
      <c r="B3787" s="25"/>
      <c r="E3787" s="10"/>
      <c r="O3787" s="10"/>
      <c r="V3787" s="10"/>
    </row>
    <row r="3788" spans="1:22" x14ac:dyDescent="0.2">
      <c r="A3788" s="27"/>
      <c r="B3788" s="25"/>
      <c r="E3788" s="10"/>
      <c r="O3788" s="10"/>
      <c r="V3788" s="10"/>
    </row>
    <row r="3789" spans="1:22" x14ac:dyDescent="0.2">
      <c r="A3789" s="27"/>
      <c r="B3789" s="25"/>
      <c r="E3789" s="10"/>
      <c r="O3789" s="10"/>
      <c r="V3789" s="10"/>
    </row>
    <row r="3790" spans="1:22" x14ac:dyDescent="0.2">
      <c r="A3790" s="27"/>
      <c r="B3790" s="25"/>
      <c r="E3790" s="10"/>
      <c r="O3790" s="10"/>
      <c r="V3790" s="10"/>
    </row>
    <row r="3791" spans="1:22" x14ac:dyDescent="0.2">
      <c r="A3791" s="27"/>
      <c r="B3791" s="25"/>
      <c r="E3791" s="10"/>
      <c r="O3791" s="10"/>
      <c r="V3791" s="10"/>
    </row>
    <row r="3792" spans="1:22" x14ac:dyDescent="0.2">
      <c r="A3792" s="27"/>
      <c r="B3792" s="25"/>
      <c r="E3792" s="10"/>
      <c r="O3792" s="10"/>
      <c r="V3792" s="10"/>
    </row>
    <row r="3793" spans="1:22" x14ac:dyDescent="0.2">
      <c r="A3793" s="27"/>
      <c r="B3793" s="25"/>
      <c r="E3793" s="10"/>
      <c r="O3793" s="10"/>
      <c r="V3793" s="10"/>
    </row>
    <row r="3794" spans="1:22" x14ac:dyDescent="0.2">
      <c r="A3794" s="27"/>
      <c r="B3794" s="25"/>
      <c r="E3794" s="10"/>
      <c r="O3794" s="10"/>
      <c r="V3794" s="10"/>
    </row>
    <row r="3795" spans="1:22" x14ac:dyDescent="0.2">
      <c r="A3795" s="27"/>
      <c r="B3795" s="25"/>
      <c r="E3795" s="10"/>
      <c r="O3795" s="10"/>
      <c r="V3795" s="10"/>
    </row>
    <row r="3796" spans="1:22" x14ac:dyDescent="0.2">
      <c r="A3796" s="27"/>
      <c r="B3796" s="25"/>
      <c r="E3796" s="10"/>
      <c r="O3796" s="10"/>
      <c r="V3796" s="10"/>
    </row>
    <row r="3797" spans="1:22" x14ac:dyDescent="0.2">
      <c r="A3797" s="27"/>
      <c r="B3797" s="25"/>
      <c r="E3797" s="10"/>
      <c r="O3797" s="10"/>
      <c r="V3797" s="10"/>
    </row>
    <row r="3798" spans="1:22" x14ac:dyDescent="0.2">
      <c r="A3798" s="27"/>
      <c r="B3798" s="25"/>
      <c r="E3798" s="10"/>
      <c r="O3798" s="10"/>
      <c r="V3798" s="10"/>
    </row>
    <row r="3799" spans="1:22" x14ac:dyDescent="0.2">
      <c r="A3799" s="27"/>
      <c r="B3799" s="25"/>
      <c r="E3799" s="10"/>
      <c r="O3799" s="10"/>
      <c r="V3799" s="10"/>
    </row>
    <row r="3800" spans="1:22" x14ac:dyDescent="0.2">
      <c r="A3800" s="27"/>
      <c r="B3800" s="25"/>
      <c r="E3800" s="10"/>
      <c r="O3800" s="10"/>
      <c r="V3800" s="10"/>
    </row>
    <row r="3801" spans="1:22" x14ac:dyDescent="0.2">
      <c r="A3801" s="27"/>
      <c r="B3801" s="25"/>
      <c r="E3801" s="10"/>
      <c r="O3801" s="10"/>
      <c r="V3801" s="10"/>
    </row>
    <row r="3802" spans="1:22" x14ac:dyDescent="0.2">
      <c r="A3802" s="27"/>
      <c r="B3802" s="25"/>
      <c r="E3802" s="10"/>
      <c r="O3802" s="10"/>
      <c r="V3802" s="10"/>
    </row>
    <row r="3803" spans="1:22" x14ac:dyDescent="0.2">
      <c r="A3803" s="27"/>
      <c r="B3803" s="25"/>
      <c r="E3803" s="10"/>
      <c r="O3803" s="10"/>
      <c r="V3803" s="10"/>
    </row>
    <row r="3804" spans="1:22" x14ac:dyDescent="0.2">
      <c r="A3804" s="27"/>
      <c r="B3804" s="25"/>
      <c r="E3804" s="10"/>
      <c r="O3804" s="10"/>
      <c r="V3804" s="10"/>
    </row>
    <row r="3805" spans="1:22" x14ac:dyDescent="0.2">
      <c r="A3805" s="27"/>
      <c r="B3805" s="25"/>
      <c r="E3805" s="10"/>
      <c r="O3805" s="10"/>
      <c r="V3805" s="10"/>
    </row>
    <row r="3806" spans="1:22" x14ac:dyDescent="0.2">
      <c r="A3806" s="27"/>
      <c r="B3806" s="25"/>
      <c r="E3806" s="10"/>
      <c r="O3806" s="10"/>
      <c r="V3806" s="10"/>
    </row>
    <row r="3807" spans="1:22" x14ac:dyDescent="0.2">
      <c r="A3807" s="27"/>
      <c r="B3807" s="25"/>
      <c r="E3807" s="10"/>
      <c r="O3807" s="10"/>
      <c r="V3807" s="10"/>
    </row>
    <row r="3808" spans="1:22" x14ac:dyDescent="0.2">
      <c r="A3808" s="27"/>
      <c r="B3808" s="25"/>
      <c r="E3808" s="10"/>
      <c r="O3808" s="10"/>
      <c r="V3808" s="10"/>
    </row>
    <row r="3809" spans="1:22" x14ac:dyDescent="0.2">
      <c r="A3809" s="27"/>
      <c r="B3809" s="25"/>
      <c r="E3809" s="10"/>
      <c r="O3809" s="10"/>
      <c r="V3809" s="10"/>
    </row>
    <row r="3810" spans="1:22" x14ac:dyDescent="0.2">
      <c r="A3810" s="27"/>
      <c r="B3810" s="25"/>
      <c r="E3810" s="10"/>
      <c r="O3810" s="10"/>
      <c r="V3810" s="10"/>
    </row>
    <row r="3811" spans="1:22" x14ac:dyDescent="0.2">
      <c r="A3811" s="27"/>
      <c r="B3811" s="25"/>
      <c r="E3811" s="10"/>
      <c r="O3811" s="10"/>
      <c r="V3811" s="10"/>
    </row>
    <row r="3812" spans="1:22" x14ac:dyDescent="0.2">
      <c r="A3812" s="27"/>
      <c r="B3812" s="25"/>
      <c r="E3812" s="10"/>
      <c r="O3812" s="10"/>
      <c r="V3812" s="10"/>
    </row>
    <row r="3813" spans="1:22" x14ac:dyDescent="0.2">
      <c r="A3813" s="27"/>
      <c r="B3813" s="25"/>
      <c r="E3813" s="10"/>
      <c r="O3813" s="10"/>
      <c r="V3813" s="10"/>
    </row>
    <row r="3814" spans="1:22" x14ac:dyDescent="0.2">
      <c r="A3814" s="27"/>
      <c r="B3814" s="25"/>
      <c r="E3814" s="10"/>
      <c r="O3814" s="10"/>
      <c r="V3814" s="10"/>
    </row>
    <row r="3815" spans="1:22" x14ac:dyDescent="0.2">
      <c r="A3815" s="27"/>
      <c r="B3815" s="25"/>
      <c r="E3815" s="10"/>
      <c r="O3815" s="10"/>
      <c r="V3815" s="10"/>
    </row>
    <row r="3816" spans="1:22" x14ac:dyDescent="0.2">
      <c r="A3816" s="27"/>
      <c r="B3816" s="25"/>
      <c r="E3816" s="10"/>
      <c r="O3816" s="10"/>
      <c r="V3816" s="10"/>
    </row>
    <row r="3817" spans="1:22" x14ac:dyDescent="0.2">
      <c r="A3817" s="27"/>
      <c r="B3817" s="25"/>
      <c r="E3817" s="10"/>
      <c r="O3817" s="10"/>
      <c r="V3817" s="10"/>
    </row>
    <row r="3818" spans="1:22" x14ac:dyDescent="0.2">
      <c r="A3818" s="27"/>
      <c r="B3818" s="25"/>
      <c r="E3818" s="10"/>
      <c r="O3818" s="10"/>
      <c r="V3818" s="10"/>
    </row>
    <row r="3819" spans="1:22" x14ac:dyDescent="0.2">
      <c r="A3819" s="27"/>
      <c r="B3819" s="25"/>
      <c r="E3819" s="10"/>
      <c r="O3819" s="10"/>
      <c r="V3819" s="10"/>
    </row>
    <row r="3820" spans="1:22" x14ac:dyDescent="0.2">
      <c r="A3820" s="27"/>
      <c r="B3820" s="25"/>
      <c r="E3820" s="10"/>
      <c r="O3820" s="10"/>
      <c r="V3820" s="10"/>
    </row>
    <row r="3821" spans="1:22" x14ac:dyDescent="0.2">
      <c r="A3821" s="27"/>
      <c r="B3821" s="25"/>
      <c r="E3821" s="10"/>
      <c r="O3821" s="10"/>
      <c r="V3821" s="10"/>
    </row>
    <row r="3822" spans="1:22" x14ac:dyDescent="0.2">
      <c r="A3822" s="27"/>
      <c r="B3822" s="25"/>
      <c r="E3822" s="10"/>
      <c r="O3822" s="10"/>
      <c r="V3822" s="10"/>
    </row>
    <row r="3823" spans="1:22" x14ac:dyDescent="0.2">
      <c r="A3823" s="27"/>
      <c r="B3823" s="25"/>
      <c r="E3823" s="10"/>
      <c r="O3823" s="10"/>
      <c r="V3823" s="10"/>
    </row>
    <row r="3824" spans="1:22" x14ac:dyDescent="0.2">
      <c r="A3824" s="27"/>
      <c r="B3824" s="25"/>
      <c r="E3824" s="10"/>
      <c r="O3824" s="10"/>
      <c r="V3824" s="10"/>
    </row>
    <row r="3825" spans="1:22" x14ac:dyDescent="0.2">
      <c r="A3825" s="27"/>
      <c r="B3825" s="25"/>
      <c r="E3825" s="10"/>
      <c r="O3825" s="10"/>
      <c r="V3825" s="10"/>
    </row>
    <row r="3826" spans="1:22" x14ac:dyDescent="0.2">
      <c r="A3826" s="27"/>
      <c r="B3826" s="25"/>
      <c r="E3826" s="10"/>
      <c r="O3826" s="10"/>
      <c r="V3826" s="10"/>
    </row>
    <row r="3827" spans="1:22" x14ac:dyDescent="0.2">
      <c r="A3827" s="27"/>
      <c r="B3827" s="25"/>
      <c r="E3827" s="10"/>
      <c r="O3827" s="10"/>
      <c r="V3827" s="10"/>
    </row>
    <row r="3828" spans="1:22" x14ac:dyDescent="0.2">
      <c r="A3828" s="27"/>
      <c r="B3828" s="25"/>
      <c r="E3828" s="10"/>
      <c r="O3828" s="10"/>
      <c r="V3828" s="10"/>
    </row>
    <row r="3829" spans="1:22" x14ac:dyDescent="0.2">
      <c r="A3829" s="27"/>
      <c r="B3829" s="25"/>
      <c r="E3829" s="10"/>
      <c r="O3829" s="10"/>
      <c r="V3829" s="10"/>
    </row>
    <row r="3830" spans="1:22" x14ac:dyDescent="0.2">
      <c r="A3830" s="27"/>
      <c r="B3830" s="25"/>
      <c r="E3830" s="10"/>
      <c r="O3830" s="10"/>
      <c r="V3830" s="10"/>
    </row>
    <row r="3831" spans="1:22" x14ac:dyDescent="0.2">
      <c r="A3831" s="27"/>
      <c r="B3831" s="25"/>
      <c r="E3831" s="10"/>
      <c r="O3831" s="10"/>
      <c r="V3831" s="10"/>
    </row>
    <row r="3832" spans="1:22" x14ac:dyDescent="0.2">
      <c r="A3832" s="27"/>
      <c r="B3832" s="25"/>
      <c r="E3832" s="10"/>
      <c r="O3832" s="10"/>
      <c r="V3832" s="10"/>
    </row>
    <row r="3833" spans="1:22" x14ac:dyDescent="0.2">
      <c r="A3833" s="27"/>
      <c r="B3833" s="25"/>
      <c r="E3833" s="10"/>
      <c r="O3833" s="10"/>
      <c r="V3833" s="10"/>
    </row>
    <row r="3834" spans="1:22" x14ac:dyDescent="0.2">
      <c r="A3834" s="27"/>
      <c r="B3834" s="25"/>
      <c r="E3834" s="10"/>
      <c r="O3834" s="10"/>
      <c r="V3834" s="10"/>
    </row>
    <row r="3835" spans="1:22" x14ac:dyDescent="0.2">
      <c r="A3835" s="27"/>
      <c r="B3835" s="25"/>
      <c r="E3835" s="10"/>
      <c r="O3835" s="10"/>
      <c r="V3835" s="10"/>
    </row>
    <row r="3836" spans="1:22" x14ac:dyDescent="0.2">
      <c r="A3836" s="27"/>
      <c r="B3836" s="25"/>
      <c r="E3836" s="10"/>
      <c r="O3836" s="10"/>
      <c r="V3836" s="10"/>
    </row>
    <row r="3837" spans="1:22" x14ac:dyDescent="0.2">
      <c r="A3837" s="27"/>
      <c r="B3837" s="25"/>
      <c r="E3837" s="10"/>
      <c r="O3837" s="10"/>
      <c r="V3837" s="10"/>
    </row>
    <row r="3838" spans="1:22" x14ac:dyDescent="0.2">
      <c r="A3838" s="27"/>
      <c r="B3838" s="25"/>
      <c r="E3838" s="10"/>
      <c r="O3838" s="10"/>
      <c r="V3838" s="10"/>
    </row>
    <row r="3839" spans="1:22" x14ac:dyDescent="0.2">
      <c r="A3839" s="27"/>
      <c r="B3839" s="25"/>
      <c r="E3839" s="10"/>
      <c r="O3839" s="10"/>
      <c r="V3839" s="10"/>
    </row>
    <row r="3840" spans="1:22" x14ac:dyDescent="0.2">
      <c r="A3840" s="27"/>
      <c r="B3840" s="25"/>
      <c r="E3840" s="10"/>
      <c r="O3840" s="10"/>
      <c r="V3840" s="10"/>
    </row>
    <row r="3841" spans="1:22" x14ac:dyDescent="0.2">
      <c r="A3841" s="27"/>
      <c r="B3841" s="25"/>
      <c r="E3841" s="10"/>
      <c r="O3841" s="10"/>
      <c r="V3841" s="10"/>
    </row>
    <row r="3842" spans="1:22" x14ac:dyDescent="0.2">
      <c r="A3842" s="27"/>
      <c r="B3842" s="25"/>
      <c r="E3842" s="10"/>
      <c r="O3842" s="10"/>
      <c r="V3842" s="10"/>
    </row>
    <row r="3843" spans="1:22" x14ac:dyDescent="0.2">
      <c r="A3843" s="27"/>
      <c r="B3843" s="25"/>
      <c r="E3843" s="10"/>
      <c r="O3843" s="10"/>
      <c r="V3843" s="10"/>
    </row>
    <row r="3844" spans="1:22" x14ac:dyDescent="0.2">
      <c r="A3844" s="27"/>
      <c r="B3844" s="25"/>
      <c r="E3844" s="10"/>
      <c r="O3844" s="10"/>
      <c r="V3844" s="10"/>
    </row>
    <row r="3845" spans="1:22" x14ac:dyDescent="0.2">
      <c r="A3845" s="27"/>
      <c r="B3845" s="25"/>
      <c r="E3845" s="10"/>
      <c r="O3845" s="10"/>
      <c r="V3845" s="10"/>
    </row>
    <row r="3846" spans="1:22" x14ac:dyDescent="0.2">
      <c r="A3846" s="27"/>
      <c r="B3846" s="25"/>
      <c r="E3846" s="10"/>
      <c r="O3846" s="10"/>
      <c r="V3846" s="10"/>
    </row>
    <row r="3847" spans="1:22" x14ac:dyDescent="0.2">
      <c r="A3847" s="27"/>
      <c r="B3847" s="25"/>
      <c r="E3847" s="10"/>
      <c r="O3847" s="10"/>
      <c r="V3847" s="10"/>
    </row>
    <row r="3848" spans="1:22" x14ac:dyDescent="0.2">
      <c r="A3848" s="27"/>
      <c r="B3848" s="25"/>
      <c r="E3848" s="10"/>
      <c r="O3848" s="10"/>
      <c r="V3848" s="10"/>
    </row>
    <row r="3849" spans="1:22" x14ac:dyDescent="0.2">
      <c r="A3849" s="27"/>
      <c r="B3849" s="25"/>
      <c r="E3849" s="10"/>
      <c r="O3849" s="10"/>
      <c r="V3849" s="10"/>
    </row>
    <row r="3850" spans="1:22" x14ac:dyDescent="0.2">
      <c r="A3850" s="27"/>
      <c r="B3850" s="25"/>
      <c r="E3850" s="10"/>
      <c r="O3850" s="10"/>
      <c r="V3850" s="10"/>
    </row>
    <row r="3851" spans="1:22" x14ac:dyDescent="0.2">
      <c r="A3851" s="27"/>
      <c r="B3851" s="25"/>
      <c r="E3851" s="10"/>
      <c r="O3851" s="10"/>
      <c r="V3851" s="10"/>
    </row>
    <row r="3852" spans="1:22" x14ac:dyDescent="0.2">
      <c r="A3852" s="27"/>
      <c r="B3852" s="25"/>
      <c r="E3852" s="10"/>
      <c r="O3852" s="10"/>
      <c r="V3852" s="10"/>
    </row>
    <row r="3853" spans="1:22" x14ac:dyDescent="0.2">
      <c r="A3853" s="27"/>
      <c r="B3853" s="25"/>
      <c r="E3853" s="10"/>
      <c r="O3853" s="10"/>
      <c r="V3853" s="10"/>
    </row>
    <row r="3854" spans="1:22" x14ac:dyDescent="0.2">
      <c r="A3854" s="27"/>
      <c r="B3854" s="25"/>
      <c r="E3854" s="10"/>
      <c r="O3854" s="10"/>
      <c r="V3854" s="10"/>
    </row>
    <row r="3855" spans="1:22" x14ac:dyDescent="0.2">
      <c r="A3855" s="27"/>
      <c r="B3855" s="25"/>
      <c r="E3855" s="10"/>
      <c r="O3855" s="10"/>
      <c r="V3855" s="10"/>
    </row>
    <row r="3856" spans="1:22" x14ac:dyDescent="0.2">
      <c r="A3856" s="27"/>
      <c r="B3856" s="25"/>
      <c r="E3856" s="10"/>
      <c r="O3856" s="10"/>
      <c r="V3856" s="10"/>
    </row>
    <row r="3857" spans="1:22" x14ac:dyDescent="0.2">
      <c r="A3857" s="27"/>
      <c r="B3857" s="25"/>
      <c r="E3857" s="10"/>
      <c r="O3857" s="10"/>
      <c r="V3857" s="10"/>
    </row>
    <row r="3858" spans="1:22" x14ac:dyDescent="0.2">
      <c r="A3858" s="27"/>
      <c r="B3858" s="25"/>
      <c r="E3858" s="10"/>
      <c r="O3858" s="10"/>
      <c r="V3858" s="10"/>
    </row>
    <row r="3859" spans="1:22" x14ac:dyDescent="0.2">
      <c r="A3859" s="27"/>
      <c r="B3859" s="25"/>
      <c r="E3859" s="10"/>
      <c r="O3859" s="10"/>
      <c r="V3859" s="10"/>
    </row>
    <row r="3860" spans="1:22" x14ac:dyDescent="0.2">
      <c r="A3860" s="27"/>
      <c r="B3860" s="25"/>
      <c r="E3860" s="10"/>
      <c r="O3860" s="10"/>
      <c r="V3860" s="10"/>
    </row>
    <row r="3861" spans="1:22" x14ac:dyDescent="0.2">
      <c r="A3861" s="27"/>
      <c r="B3861" s="25"/>
      <c r="E3861" s="10"/>
      <c r="O3861" s="10"/>
      <c r="V3861" s="10"/>
    </row>
    <row r="3862" spans="1:22" x14ac:dyDescent="0.2">
      <c r="A3862" s="27"/>
      <c r="B3862" s="25"/>
      <c r="E3862" s="10"/>
      <c r="O3862" s="10"/>
      <c r="V3862" s="10"/>
    </row>
    <row r="3863" spans="1:22" x14ac:dyDescent="0.2">
      <c r="A3863" s="27"/>
      <c r="B3863" s="25"/>
      <c r="E3863" s="10"/>
      <c r="O3863" s="10"/>
      <c r="V3863" s="10"/>
    </row>
    <row r="3864" spans="1:22" x14ac:dyDescent="0.2">
      <c r="A3864" s="27"/>
      <c r="B3864" s="25"/>
      <c r="E3864" s="10"/>
      <c r="O3864" s="10"/>
      <c r="V3864" s="10"/>
    </row>
    <row r="3865" spans="1:22" x14ac:dyDescent="0.2">
      <c r="A3865" s="27"/>
      <c r="B3865" s="25"/>
      <c r="E3865" s="10"/>
      <c r="O3865" s="10"/>
      <c r="V3865" s="10"/>
    </row>
    <row r="3866" spans="1:22" x14ac:dyDescent="0.2">
      <c r="A3866" s="27"/>
      <c r="B3866" s="25"/>
      <c r="E3866" s="10"/>
      <c r="O3866" s="10"/>
      <c r="V3866" s="10"/>
    </row>
    <row r="3867" spans="1:22" x14ac:dyDescent="0.2">
      <c r="A3867" s="27"/>
      <c r="B3867" s="25"/>
      <c r="E3867" s="10"/>
      <c r="O3867" s="10"/>
      <c r="V3867" s="10"/>
    </row>
    <row r="3868" spans="1:22" x14ac:dyDescent="0.2">
      <c r="A3868" s="27"/>
      <c r="B3868" s="25"/>
      <c r="E3868" s="10"/>
      <c r="O3868" s="10"/>
      <c r="V3868" s="10"/>
    </row>
    <row r="3869" spans="1:22" x14ac:dyDescent="0.2">
      <c r="A3869" s="27"/>
      <c r="B3869" s="25"/>
      <c r="E3869" s="10"/>
      <c r="O3869" s="10"/>
      <c r="V3869" s="10"/>
    </row>
    <row r="3870" spans="1:22" x14ac:dyDescent="0.2">
      <c r="A3870" s="27"/>
      <c r="B3870" s="25"/>
      <c r="E3870" s="10"/>
      <c r="O3870" s="10"/>
      <c r="V3870" s="10"/>
    </row>
    <row r="3871" spans="1:22" x14ac:dyDescent="0.2">
      <c r="A3871" s="27"/>
      <c r="B3871" s="25"/>
      <c r="E3871" s="10"/>
      <c r="O3871" s="10"/>
      <c r="V3871" s="10"/>
    </row>
    <row r="3872" spans="1:22" x14ac:dyDescent="0.2">
      <c r="A3872" s="27"/>
      <c r="B3872" s="25"/>
      <c r="E3872" s="10"/>
      <c r="O3872" s="10"/>
      <c r="V3872" s="10"/>
    </row>
    <row r="3873" spans="1:22" x14ac:dyDescent="0.2">
      <c r="A3873" s="27"/>
      <c r="B3873" s="25"/>
      <c r="E3873" s="10"/>
      <c r="O3873" s="10"/>
      <c r="V3873" s="10"/>
    </row>
    <row r="3874" spans="1:22" x14ac:dyDescent="0.2">
      <c r="A3874" s="27"/>
      <c r="B3874" s="25"/>
      <c r="E3874" s="10"/>
      <c r="O3874" s="10"/>
      <c r="V3874" s="10"/>
    </row>
    <row r="3875" spans="1:22" x14ac:dyDescent="0.2">
      <c r="A3875" s="27"/>
      <c r="B3875" s="25"/>
      <c r="E3875" s="10"/>
      <c r="O3875" s="10"/>
      <c r="V3875" s="10"/>
    </row>
    <row r="3876" spans="1:22" x14ac:dyDescent="0.2">
      <c r="A3876" s="27"/>
      <c r="B3876" s="25"/>
      <c r="E3876" s="10"/>
      <c r="O3876" s="10"/>
      <c r="V3876" s="10"/>
    </row>
    <row r="3877" spans="1:22" x14ac:dyDescent="0.2">
      <c r="A3877" s="27"/>
      <c r="B3877" s="25"/>
      <c r="E3877" s="10"/>
      <c r="O3877" s="10"/>
      <c r="V3877" s="10"/>
    </row>
    <row r="3878" spans="1:22" x14ac:dyDescent="0.2">
      <c r="A3878" s="27"/>
      <c r="B3878" s="25"/>
      <c r="E3878" s="10"/>
      <c r="O3878" s="10"/>
      <c r="V3878" s="10"/>
    </row>
    <row r="3879" spans="1:22" x14ac:dyDescent="0.2">
      <c r="A3879" s="27"/>
      <c r="B3879" s="25"/>
      <c r="E3879" s="10"/>
      <c r="O3879" s="10"/>
      <c r="V3879" s="10"/>
    </row>
    <row r="3880" spans="1:22" x14ac:dyDescent="0.2">
      <c r="A3880" s="27"/>
      <c r="B3880" s="25"/>
      <c r="E3880" s="10"/>
      <c r="O3880" s="10"/>
      <c r="V3880" s="10"/>
    </row>
    <row r="3881" spans="1:22" x14ac:dyDescent="0.2">
      <c r="A3881" s="27"/>
      <c r="B3881" s="25"/>
      <c r="E3881" s="10"/>
      <c r="O3881" s="10"/>
      <c r="V3881" s="10"/>
    </row>
    <row r="3882" spans="1:22" x14ac:dyDescent="0.2">
      <c r="A3882" s="27"/>
      <c r="B3882" s="25"/>
      <c r="E3882" s="10"/>
      <c r="O3882" s="10"/>
      <c r="V3882" s="10"/>
    </row>
    <row r="3883" spans="1:22" x14ac:dyDescent="0.2">
      <c r="A3883" s="27"/>
      <c r="B3883" s="25"/>
      <c r="E3883" s="10"/>
      <c r="O3883" s="10"/>
      <c r="V3883" s="10"/>
    </row>
    <row r="3884" spans="1:22" x14ac:dyDescent="0.2">
      <c r="A3884" s="27"/>
      <c r="B3884" s="25"/>
      <c r="E3884" s="10"/>
      <c r="O3884" s="10"/>
      <c r="V3884" s="10"/>
    </row>
    <row r="3885" spans="1:22" x14ac:dyDescent="0.2">
      <c r="A3885" s="27"/>
      <c r="B3885" s="25"/>
      <c r="E3885" s="10"/>
      <c r="O3885" s="10"/>
      <c r="V3885" s="10"/>
    </row>
    <row r="3886" spans="1:22" x14ac:dyDescent="0.2">
      <c r="A3886" s="27"/>
      <c r="B3886" s="25"/>
      <c r="E3886" s="10"/>
      <c r="O3886" s="10"/>
      <c r="V3886" s="10"/>
    </row>
    <row r="3887" spans="1:22" x14ac:dyDescent="0.2">
      <c r="A3887" s="27"/>
      <c r="B3887" s="25"/>
      <c r="E3887" s="10"/>
      <c r="O3887" s="10"/>
      <c r="V3887" s="10"/>
    </row>
    <row r="3888" spans="1:22" x14ac:dyDescent="0.2">
      <c r="A3888" s="27"/>
      <c r="B3888" s="25"/>
      <c r="E3888" s="10"/>
      <c r="O3888" s="10"/>
      <c r="V3888" s="10"/>
    </row>
    <row r="3889" spans="1:22" x14ac:dyDescent="0.2">
      <c r="A3889" s="27"/>
      <c r="B3889" s="25"/>
      <c r="E3889" s="10"/>
      <c r="O3889" s="10"/>
      <c r="V3889" s="10"/>
    </row>
    <row r="3890" spans="1:22" x14ac:dyDescent="0.2">
      <c r="A3890" s="27"/>
      <c r="B3890" s="25"/>
      <c r="E3890" s="10"/>
      <c r="O3890" s="10"/>
      <c r="V3890" s="10"/>
    </row>
    <row r="3891" spans="1:22" x14ac:dyDescent="0.2">
      <c r="A3891" s="27"/>
      <c r="B3891" s="25"/>
      <c r="E3891" s="10"/>
      <c r="O3891" s="10"/>
      <c r="V3891" s="10"/>
    </row>
    <row r="3892" spans="1:22" x14ac:dyDescent="0.2">
      <c r="A3892" s="27"/>
      <c r="B3892" s="25"/>
      <c r="E3892" s="10"/>
      <c r="O3892" s="10"/>
      <c r="V3892" s="10"/>
    </row>
    <row r="3893" spans="1:22" x14ac:dyDescent="0.2">
      <c r="A3893" s="27"/>
      <c r="B3893" s="25"/>
      <c r="E3893" s="10"/>
      <c r="O3893" s="10"/>
      <c r="V3893" s="10"/>
    </row>
    <row r="3894" spans="1:22" x14ac:dyDescent="0.2">
      <c r="A3894" s="27"/>
      <c r="B3894" s="25"/>
      <c r="E3894" s="10"/>
      <c r="O3894" s="10"/>
      <c r="V3894" s="10"/>
    </row>
    <row r="3895" spans="1:22" x14ac:dyDescent="0.2">
      <c r="A3895" s="27"/>
      <c r="B3895" s="25"/>
      <c r="E3895" s="10"/>
      <c r="O3895" s="10"/>
      <c r="V3895" s="10"/>
    </row>
    <row r="3896" spans="1:22" x14ac:dyDescent="0.2">
      <c r="A3896" s="27"/>
      <c r="B3896" s="25"/>
      <c r="E3896" s="10"/>
      <c r="O3896" s="10"/>
      <c r="V3896" s="10"/>
    </row>
    <row r="3897" spans="1:22" x14ac:dyDescent="0.2">
      <c r="A3897" s="27"/>
      <c r="B3897" s="25"/>
      <c r="E3897" s="10"/>
      <c r="O3897" s="10"/>
      <c r="V3897" s="10"/>
    </row>
    <row r="3898" spans="1:22" x14ac:dyDescent="0.2">
      <c r="A3898" s="27"/>
      <c r="B3898" s="25"/>
      <c r="E3898" s="10"/>
      <c r="O3898" s="10"/>
      <c r="V3898" s="10"/>
    </row>
    <row r="3899" spans="1:22" x14ac:dyDescent="0.2">
      <c r="A3899" s="27"/>
      <c r="B3899" s="25"/>
      <c r="E3899" s="10"/>
      <c r="O3899" s="10"/>
      <c r="V3899" s="10"/>
    </row>
    <row r="3900" spans="1:22" x14ac:dyDescent="0.2">
      <c r="A3900" s="27"/>
      <c r="B3900" s="25"/>
      <c r="E3900" s="10"/>
      <c r="O3900" s="10"/>
      <c r="V3900" s="10"/>
    </row>
    <row r="3901" spans="1:22" x14ac:dyDescent="0.2">
      <c r="A3901" s="27"/>
      <c r="B3901" s="25"/>
      <c r="E3901" s="10"/>
      <c r="O3901" s="10"/>
      <c r="V3901" s="10"/>
    </row>
    <row r="3902" spans="1:22" x14ac:dyDescent="0.2">
      <c r="A3902" s="27"/>
      <c r="B3902" s="25"/>
      <c r="E3902" s="10"/>
      <c r="O3902" s="10"/>
      <c r="V3902" s="10"/>
    </row>
    <row r="3903" spans="1:22" x14ac:dyDescent="0.2">
      <c r="A3903" s="27"/>
      <c r="B3903" s="25"/>
      <c r="E3903" s="10"/>
      <c r="O3903" s="10"/>
      <c r="V3903" s="10"/>
    </row>
    <row r="3904" spans="1:22" x14ac:dyDescent="0.2">
      <c r="A3904" s="27"/>
      <c r="B3904" s="25"/>
      <c r="E3904" s="10"/>
      <c r="O3904" s="10"/>
      <c r="V3904" s="10"/>
    </row>
    <row r="3905" spans="1:22" x14ac:dyDescent="0.2">
      <c r="A3905" s="27"/>
      <c r="B3905" s="25"/>
      <c r="E3905" s="10"/>
      <c r="O3905" s="10"/>
      <c r="V3905" s="10"/>
    </row>
    <row r="3906" spans="1:22" x14ac:dyDescent="0.2">
      <c r="A3906" s="27"/>
      <c r="B3906" s="25"/>
      <c r="E3906" s="10"/>
      <c r="O3906" s="10"/>
      <c r="V3906" s="10"/>
    </row>
    <row r="3907" spans="1:22" x14ac:dyDescent="0.2">
      <c r="A3907" s="27"/>
      <c r="B3907" s="25"/>
      <c r="E3907" s="10"/>
      <c r="O3907" s="10"/>
      <c r="V3907" s="10"/>
    </row>
    <row r="3908" spans="1:22" x14ac:dyDescent="0.2">
      <c r="A3908" s="27"/>
      <c r="B3908" s="25"/>
      <c r="E3908" s="10"/>
      <c r="O3908" s="10"/>
      <c r="V3908" s="10"/>
    </row>
    <row r="3909" spans="1:22" x14ac:dyDescent="0.2">
      <c r="A3909" s="27"/>
      <c r="B3909" s="25"/>
      <c r="E3909" s="10"/>
      <c r="O3909" s="10"/>
      <c r="V3909" s="10"/>
    </row>
    <row r="3910" spans="1:22" x14ac:dyDescent="0.2">
      <c r="A3910" s="27"/>
      <c r="B3910" s="25"/>
      <c r="E3910" s="10"/>
      <c r="O3910" s="10"/>
      <c r="V3910" s="10"/>
    </row>
    <row r="3911" spans="1:22" x14ac:dyDescent="0.2">
      <c r="A3911" s="27"/>
      <c r="B3911" s="25"/>
      <c r="E3911" s="10"/>
      <c r="O3911" s="10"/>
      <c r="V3911" s="10"/>
    </row>
    <row r="3912" spans="1:22" x14ac:dyDescent="0.2">
      <c r="A3912" s="27"/>
      <c r="B3912" s="25"/>
      <c r="E3912" s="10"/>
      <c r="O3912" s="10"/>
      <c r="V3912" s="10"/>
    </row>
    <row r="3913" spans="1:22" x14ac:dyDescent="0.2">
      <c r="A3913" s="27"/>
      <c r="B3913" s="25"/>
      <c r="E3913" s="10"/>
      <c r="O3913" s="10"/>
      <c r="V3913" s="10"/>
    </row>
    <row r="3914" spans="1:22" x14ac:dyDescent="0.2">
      <c r="A3914" s="27"/>
      <c r="B3914" s="25"/>
      <c r="E3914" s="10"/>
      <c r="O3914" s="10"/>
      <c r="V3914" s="10"/>
    </row>
    <row r="3915" spans="1:22" x14ac:dyDescent="0.2">
      <c r="A3915" s="27"/>
      <c r="B3915" s="25"/>
      <c r="E3915" s="10"/>
      <c r="O3915" s="10"/>
      <c r="V3915" s="10"/>
    </row>
    <row r="3916" spans="1:22" x14ac:dyDescent="0.2">
      <c r="A3916" s="27"/>
      <c r="B3916" s="25"/>
      <c r="E3916" s="10"/>
      <c r="O3916" s="10"/>
      <c r="V3916" s="10"/>
    </row>
    <row r="3917" spans="1:22" x14ac:dyDescent="0.2">
      <c r="A3917" s="27"/>
      <c r="B3917" s="25"/>
      <c r="E3917" s="10"/>
      <c r="O3917" s="10"/>
      <c r="V3917" s="10"/>
    </row>
    <row r="3918" spans="1:22" x14ac:dyDescent="0.2">
      <c r="A3918" s="27"/>
      <c r="B3918" s="25"/>
      <c r="E3918" s="10"/>
      <c r="O3918" s="10"/>
      <c r="V3918" s="10"/>
    </row>
    <row r="3919" spans="1:22" x14ac:dyDescent="0.2">
      <c r="A3919" s="27"/>
      <c r="B3919" s="25"/>
      <c r="E3919" s="10"/>
      <c r="O3919" s="10"/>
      <c r="V3919" s="10"/>
    </row>
    <row r="3920" spans="1:22" x14ac:dyDescent="0.2">
      <c r="A3920" s="27"/>
      <c r="B3920" s="25"/>
      <c r="E3920" s="10"/>
      <c r="O3920" s="10"/>
      <c r="V3920" s="10"/>
    </row>
    <row r="3921" spans="1:22" x14ac:dyDescent="0.2">
      <c r="A3921" s="27"/>
      <c r="B3921" s="25"/>
      <c r="E3921" s="10"/>
      <c r="O3921" s="10"/>
      <c r="V3921" s="10"/>
    </row>
    <row r="3922" spans="1:22" x14ac:dyDescent="0.2">
      <c r="A3922" s="27"/>
      <c r="B3922" s="25"/>
      <c r="E3922" s="10"/>
      <c r="O3922" s="10"/>
      <c r="V3922" s="10"/>
    </row>
    <row r="3923" spans="1:22" x14ac:dyDescent="0.2">
      <c r="A3923" s="27"/>
      <c r="B3923" s="25"/>
      <c r="E3923" s="10"/>
      <c r="O3923" s="10"/>
      <c r="V3923" s="10"/>
    </row>
    <row r="3924" spans="1:22" x14ac:dyDescent="0.2">
      <c r="A3924" s="27"/>
      <c r="B3924" s="25"/>
      <c r="E3924" s="10"/>
      <c r="O3924" s="10"/>
      <c r="V3924" s="10"/>
    </row>
    <row r="3925" spans="1:22" x14ac:dyDescent="0.2">
      <c r="A3925" s="27"/>
      <c r="B3925" s="25"/>
      <c r="E3925" s="10"/>
      <c r="O3925" s="10"/>
      <c r="V3925" s="10"/>
    </row>
    <row r="3926" spans="1:22" x14ac:dyDescent="0.2">
      <c r="A3926" s="27"/>
      <c r="B3926" s="25"/>
      <c r="E3926" s="10"/>
      <c r="O3926" s="10"/>
      <c r="V3926" s="10"/>
    </row>
    <row r="3927" spans="1:22" x14ac:dyDescent="0.2">
      <c r="A3927" s="27"/>
      <c r="B3927" s="25"/>
      <c r="E3927" s="10"/>
      <c r="O3927" s="10"/>
      <c r="V3927" s="10"/>
    </row>
    <row r="3928" spans="1:22" x14ac:dyDescent="0.2">
      <c r="A3928" s="27"/>
      <c r="B3928" s="25"/>
      <c r="E3928" s="10"/>
      <c r="O3928" s="10"/>
      <c r="V3928" s="10"/>
    </row>
    <row r="3929" spans="1:22" x14ac:dyDescent="0.2">
      <c r="A3929" s="27"/>
      <c r="B3929" s="25"/>
      <c r="E3929" s="10"/>
      <c r="O3929" s="10"/>
      <c r="V3929" s="10"/>
    </row>
    <row r="3930" spans="1:22" x14ac:dyDescent="0.2">
      <c r="A3930" s="27"/>
      <c r="B3930" s="25"/>
      <c r="E3930" s="10"/>
      <c r="O3930" s="10"/>
      <c r="V3930" s="10"/>
    </row>
    <row r="3931" spans="1:22" x14ac:dyDescent="0.2">
      <c r="A3931" s="27"/>
      <c r="B3931" s="25"/>
      <c r="E3931" s="10"/>
      <c r="O3931" s="10"/>
      <c r="V3931" s="10"/>
    </row>
    <row r="3932" spans="1:22" x14ac:dyDescent="0.2">
      <c r="A3932" s="27"/>
      <c r="B3932" s="25"/>
      <c r="E3932" s="10"/>
      <c r="O3932" s="10"/>
      <c r="V3932" s="10"/>
    </row>
    <row r="3933" spans="1:22" x14ac:dyDescent="0.2">
      <c r="A3933" s="27"/>
      <c r="B3933" s="25"/>
      <c r="E3933" s="10"/>
      <c r="O3933" s="10"/>
      <c r="V3933" s="10"/>
    </row>
    <row r="3934" spans="1:22" x14ac:dyDescent="0.2">
      <c r="A3934" s="27"/>
      <c r="B3934" s="25"/>
      <c r="E3934" s="10"/>
      <c r="O3934" s="10"/>
      <c r="V3934" s="10"/>
    </row>
    <row r="3935" spans="1:22" x14ac:dyDescent="0.2">
      <c r="A3935" s="27"/>
      <c r="B3935" s="25"/>
      <c r="E3935" s="10"/>
      <c r="O3935" s="10"/>
      <c r="V3935" s="10"/>
    </row>
    <row r="3936" spans="1:22" x14ac:dyDescent="0.2">
      <c r="A3936" s="27"/>
      <c r="B3936" s="25"/>
      <c r="E3936" s="10"/>
      <c r="O3936" s="10"/>
      <c r="V3936" s="10"/>
    </row>
    <row r="3937" spans="1:22" x14ac:dyDescent="0.2">
      <c r="A3937" s="27"/>
      <c r="B3937" s="25"/>
      <c r="E3937" s="10"/>
      <c r="O3937" s="10"/>
      <c r="V3937" s="10"/>
    </row>
    <row r="3938" spans="1:22" x14ac:dyDescent="0.2">
      <c r="A3938" s="27"/>
      <c r="B3938" s="25"/>
      <c r="E3938" s="10"/>
      <c r="O3938" s="10"/>
      <c r="V3938" s="10"/>
    </row>
    <row r="3939" spans="1:22" x14ac:dyDescent="0.2">
      <c r="A3939" s="27"/>
      <c r="B3939" s="25"/>
      <c r="E3939" s="10"/>
      <c r="O3939" s="10"/>
      <c r="V3939" s="10"/>
    </row>
    <row r="3940" spans="1:22" x14ac:dyDescent="0.2">
      <c r="A3940" s="27"/>
      <c r="B3940" s="25"/>
      <c r="E3940" s="10"/>
      <c r="O3940" s="10"/>
      <c r="V3940" s="10"/>
    </row>
    <row r="3941" spans="1:22" x14ac:dyDescent="0.2">
      <c r="A3941" s="27"/>
      <c r="B3941" s="25"/>
      <c r="E3941" s="10"/>
      <c r="O3941" s="10"/>
      <c r="V3941" s="10"/>
    </row>
    <row r="3942" spans="1:22" x14ac:dyDescent="0.2">
      <c r="A3942" s="27"/>
      <c r="B3942" s="25"/>
      <c r="E3942" s="10"/>
      <c r="O3942" s="10"/>
      <c r="V3942" s="10"/>
    </row>
    <row r="3943" spans="1:22" x14ac:dyDescent="0.2">
      <c r="A3943" s="27"/>
      <c r="B3943" s="25"/>
      <c r="E3943" s="10"/>
      <c r="O3943" s="10"/>
      <c r="V3943" s="10"/>
    </row>
    <row r="3944" spans="1:22" x14ac:dyDescent="0.2">
      <c r="A3944" s="27"/>
      <c r="B3944" s="25"/>
      <c r="E3944" s="10"/>
      <c r="O3944" s="10"/>
      <c r="V3944" s="10"/>
    </row>
    <row r="3945" spans="1:22" x14ac:dyDescent="0.2">
      <c r="A3945" s="27"/>
      <c r="B3945" s="25"/>
      <c r="E3945" s="10"/>
      <c r="O3945" s="10"/>
      <c r="V3945" s="10"/>
    </row>
    <row r="3946" spans="1:22" x14ac:dyDescent="0.2">
      <c r="A3946" s="27"/>
      <c r="B3946" s="25"/>
      <c r="E3946" s="10"/>
      <c r="O3946" s="10"/>
      <c r="V3946" s="10"/>
    </row>
    <row r="3947" spans="1:22" x14ac:dyDescent="0.2">
      <c r="A3947" s="27"/>
      <c r="B3947" s="25"/>
      <c r="E3947" s="10"/>
      <c r="O3947" s="10"/>
      <c r="V3947" s="10"/>
    </row>
    <row r="3948" spans="1:22" x14ac:dyDescent="0.2">
      <c r="A3948" s="27"/>
      <c r="B3948" s="25"/>
      <c r="E3948" s="10"/>
      <c r="O3948" s="10"/>
      <c r="V3948" s="10"/>
    </row>
    <row r="3949" spans="1:22" x14ac:dyDescent="0.2">
      <c r="A3949" s="27"/>
      <c r="B3949" s="25"/>
      <c r="E3949" s="10"/>
      <c r="O3949" s="10"/>
      <c r="V3949" s="10"/>
    </row>
    <row r="3950" spans="1:22" x14ac:dyDescent="0.2">
      <c r="A3950" s="27"/>
      <c r="B3950" s="25"/>
      <c r="E3950" s="10"/>
      <c r="O3950" s="10"/>
      <c r="V3950" s="10"/>
    </row>
    <row r="3951" spans="1:22" x14ac:dyDescent="0.2">
      <c r="A3951" s="27"/>
      <c r="B3951" s="25"/>
      <c r="E3951" s="10"/>
      <c r="O3951" s="10"/>
      <c r="V3951" s="10"/>
    </row>
    <row r="3952" spans="1:22" x14ac:dyDescent="0.2">
      <c r="A3952" s="27"/>
      <c r="B3952" s="25"/>
      <c r="E3952" s="10"/>
      <c r="O3952" s="10"/>
      <c r="V3952" s="10"/>
    </row>
    <row r="3953" spans="1:22" x14ac:dyDescent="0.2">
      <c r="A3953" s="27"/>
      <c r="B3953" s="25"/>
      <c r="E3953" s="10"/>
      <c r="O3953" s="10"/>
      <c r="V3953" s="10"/>
    </row>
    <row r="3954" spans="1:22" x14ac:dyDescent="0.2">
      <c r="A3954" s="27"/>
      <c r="B3954" s="25"/>
      <c r="E3954" s="10"/>
      <c r="O3954" s="10"/>
      <c r="V3954" s="10"/>
    </row>
    <row r="3955" spans="1:22" x14ac:dyDescent="0.2">
      <c r="A3955" s="27"/>
      <c r="B3955" s="25"/>
      <c r="E3955" s="10"/>
      <c r="O3955" s="10"/>
      <c r="V3955" s="10"/>
    </row>
    <row r="3956" spans="1:22" x14ac:dyDescent="0.2">
      <c r="A3956" s="27"/>
      <c r="B3956" s="25"/>
      <c r="E3956" s="10"/>
      <c r="O3956" s="10"/>
      <c r="V3956" s="10"/>
    </row>
    <row r="3957" spans="1:22" x14ac:dyDescent="0.2">
      <c r="A3957" s="27"/>
      <c r="B3957" s="25"/>
      <c r="E3957" s="10"/>
      <c r="O3957" s="10"/>
      <c r="V3957" s="10"/>
    </row>
    <row r="3958" spans="1:22" x14ac:dyDescent="0.2">
      <c r="A3958" s="27"/>
      <c r="B3958" s="25"/>
      <c r="E3958" s="10"/>
      <c r="O3958" s="10"/>
      <c r="V3958" s="10"/>
    </row>
    <row r="3959" spans="1:22" x14ac:dyDescent="0.2">
      <c r="A3959" s="27"/>
      <c r="B3959" s="25"/>
      <c r="E3959" s="10"/>
      <c r="O3959" s="10"/>
      <c r="V3959" s="10"/>
    </row>
    <row r="3960" spans="1:22" x14ac:dyDescent="0.2">
      <c r="A3960" s="27"/>
      <c r="B3960" s="25"/>
      <c r="E3960" s="10"/>
      <c r="O3960" s="10"/>
      <c r="V3960" s="10"/>
    </row>
    <row r="3961" spans="1:22" x14ac:dyDescent="0.2">
      <c r="A3961" s="27"/>
      <c r="B3961" s="25"/>
      <c r="E3961" s="10"/>
      <c r="O3961" s="10"/>
      <c r="V3961" s="10"/>
    </row>
    <row r="3962" spans="1:22" x14ac:dyDescent="0.2">
      <c r="A3962" s="27"/>
      <c r="B3962" s="25"/>
      <c r="E3962" s="10"/>
      <c r="O3962" s="10"/>
      <c r="V3962" s="10"/>
    </row>
    <row r="3963" spans="1:22" x14ac:dyDescent="0.2">
      <c r="A3963" s="27"/>
      <c r="B3963" s="25"/>
      <c r="E3963" s="10"/>
      <c r="O3963" s="10"/>
      <c r="V3963" s="10"/>
    </row>
    <row r="3964" spans="1:22" x14ac:dyDescent="0.2">
      <c r="A3964" s="27"/>
      <c r="B3964" s="25"/>
      <c r="E3964" s="10"/>
      <c r="O3964" s="10"/>
      <c r="V3964" s="10"/>
    </row>
    <row r="3965" spans="1:22" x14ac:dyDescent="0.2">
      <c r="A3965" s="27"/>
      <c r="B3965" s="25"/>
      <c r="E3965" s="10"/>
      <c r="O3965" s="10"/>
      <c r="V3965" s="10"/>
    </row>
    <row r="3966" spans="1:22" x14ac:dyDescent="0.2">
      <c r="A3966" s="27"/>
      <c r="B3966" s="25"/>
      <c r="E3966" s="10"/>
      <c r="O3966" s="10"/>
      <c r="V3966" s="10"/>
    </row>
    <row r="3967" spans="1:22" x14ac:dyDescent="0.2">
      <c r="A3967" s="27"/>
      <c r="B3967" s="25"/>
      <c r="E3967" s="10"/>
      <c r="O3967" s="10"/>
      <c r="V3967" s="10"/>
    </row>
    <row r="3968" spans="1:22" x14ac:dyDescent="0.2">
      <c r="A3968" s="27"/>
      <c r="B3968" s="25"/>
      <c r="E3968" s="10"/>
      <c r="O3968" s="10"/>
      <c r="V3968" s="10"/>
    </row>
    <row r="3969" spans="1:22" x14ac:dyDescent="0.2">
      <c r="A3969" s="27"/>
      <c r="B3969" s="25"/>
      <c r="E3969" s="10"/>
      <c r="O3969" s="10"/>
      <c r="V3969" s="10"/>
    </row>
    <row r="3970" spans="1:22" x14ac:dyDescent="0.2">
      <c r="A3970" s="27"/>
      <c r="B3970" s="25"/>
      <c r="E3970" s="10"/>
      <c r="O3970" s="10"/>
      <c r="V3970" s="10"/>
    </row>
    <row r="3971" spans="1:22" x14ac:dyDescent="0.2">
      <c r="A3971" s="27"/>
      <c r="B3971" s="25"/>
      <c r="E3971" s="10"/>
      <c r="O3971" s="10"/>
      <c r="V3971" s="10"/>
    </row>
    <row r="3972" spans="1:22" x14ac:dyDescent="0.2">
      <c r="A3972" s="27"/>
      <c r="B3972" s="25"/>
      <c r="E3972" s="10"/>
      <c r="O3972" s="10"/>
      <c r="V3972" s="10"/>
    </row>
    <row r="3973" spans="1:22" x14ac:dyDescent="0.2">
      <c r="A3973" s="27"/>
      <c r="B3973" s="25"/>
      <c r="E3973" s="10"/>
      <c r="O3973" s="10"/>
      <c r="V3973" s="10"/>
    </row>
    <row r="3974" spans="1:22" x14ac:dyDescent="0.2">
      <c r="A3974" s="27"/>
      <c r="B3974" s="25"/>
      <c r="E3974" s="10"/>
      <c r="O3974" s="10"/>
      <c r="V3974" s="10"/>
    </row>
    <row r="3975" spans="1:22" x14ac:dyDescent="0.2">
      <c r="A3975" s="27"/>
      <c r="B3975" s="25"/>
      <c r="E3975" s="10"/>
      <c r="O3975" s="10"/>
      <c r="V3975" s="10"/>
    </row>
    <row r="3976" spans="1:22" x14ac:dyDescent="0.2">
      <c r="A3976" s="27"/>
      <c r="B3976" s="25"/>
      <c r="E3976" s="10"/>
      <c r="O3976" s="10"/>
      <c r="V3976" s="10"/>
    </row>
    <row r="3977" spans="1:22" x14ac:dyDescent="0.2">
      <c r="A3977" s="27"/>
      <c r="B3977" s="25"/>
      <c r="E3977" s="10"/>
      <c r="O3977" s="10"/>
      <c r="V3977" s="10"/>
    </row>
    <row r="3978" spans="1:22" x14ac:dyDescent="0.2">
      <c r="A3978" s="27"/>
      <c r="B3978" s="25"/>
      <c r="E3978" s="10"/>
      <c r="O3978" s="10"/>
      <c r="V3978" s="10"/>
    </row>
    <row r="3979" spans="1:22" x14ac:dyDescent="0.2">
      <c r="A3979" s="27"/>
      <c r="B3979" s="25"/>
      <c r="E3979" s="10"/>
      <c r="O3979" s="10"/>
      <c r="V3979" s="10"/>
    </row>
    <row r="3980" spans="1:22" x14ac:dyDescent="0.2">
      <c r="A3980" s="27"/>
      <c r="B3980" s="25"/>
      <c r="E3980" s="10"/>
      <c r="O3980" s="10"/>
      <c r="V3980" s="10"/>
    </row>
    <row r="3981" spans="1:22" x14ac:dyDescent="0.2">
      <c r="A3981" s="27"/>
      <c r="B3981" s="25"/>
      <c r="E3981" s="10"/>
      <c r="O3981" s="10"/>
      <c r="V3981" s="10"/>
    </row>
    <row r="3982" spans="1:22" x14ac:dyDescent="0.2">
      <c r="A3982" s="27"/>
      <c r="B3982" s="25"/>
      <c r="E3982" s="10"/>
      <c r="O3982" s="10"/>
      <c r="V3982" s="10"/>
    </row>
    <row r="3983" spans="1:22" x14ac:dyDescent="0.2">
      <c r="A3983" s="27"/>
      <c r="B3983" s="25"/>
      <c r="E3983" s="10"/>
      <c r="O3983" s="10"/>
      <c r="V3983" s="10"/>
    </row>
    <row r="3984" spans="1:22" x14ac:dyDescent="0.2">
      <c r="A3984" s="27"/>
      <c r="B3984" s="25"/>
      <c r="E3984" s="10"/>
      <c r="O3984" s="10"/>
      <c r="V3984" s="10"/>
    </row>
    <row r="3985" spans="1:22" x14ac:dyDescent="0.2">
      <c r="A3985" s="27"/>
      <c r="B3985" s="25"/>
      <c r="E3985" s="10"/>
      <c r="O3985" s="10"/>
      <c r="V3985" s="10"/>
    </row>
    <row r="3986" spans="1:22" x14ac:dyDescent="0.2">
      <c r="A3986" s="27"/>
      <c r="B3986" s="25"/>
      <c r="E3986" s="10"/>
      <c r="O3986" s="10"/>
      <c r="V3986" s="10"/>
    </row>
    <row r="3987" spans="1:22" x14ac:dyDescent="0.2">
      <c r="A3987" s="27"/>
      <c r="B3987" s="25"/>
      <c r="E3987" s="10"/>
      <c r="O3987" s="10"/>
      <c r="V3987" s="10"/>
    </row>
    <row r="3988" spans="1:22" x14ac:dyDescent="0.2">
      <c r="A3988" s="27"/>
      <c r="B3988" s="25"/>
      <c r="E3988" s="10"/>
      <c r="O3988" s="10"/>
      <c r="V3988" s="10"/>
    </row>
    <row r="3989" spans="1:22" x14ac:dyDescent="0.2">
      <c r="A3989" s="27"/>
      <c r="B3989" s="25"/>
      <c r="E3989" s="10"/>
      <c r="O3989" s="10"/>
      <c r="V3989" s="10"/>
    </row>
    <row r="3990" spans="1:22" x14ac:dyDescent="0.2">
      <c r="A3990" s="27"/>
      <c r="B3990" s="25"/>
      <c r="E3990" s="10"/>
      <c r="O3990" s="10"/>
      <c r="V3990" s="10"/>
    </row>
    <row r="3991" spans="1:22" x14ac:dyDescent="0.2">
      <c r="A3991" s="27"/>
      <c r="B3991" s="25"/>
      <c r="E3991" s="10"/>
      <c r="O3991" s="10"/>
      <c r="V3991" s="10"/>
    </row>
    <row r="3992" spans="1:22" x14ac:dyDescent="0.2">
      <c r="A3992" s="27"/>
      <c r="B3992" s="25"/>
      <c r="E3992" s="10"/>
      <c r="O3992" s="10"/>
      <c r="V3992" s="10"/>
    </row>
    <row r="3993" spans="1:22" x14ac:dyDescent="0.2">
      <c r="A3993" s="27"/>
      <c r="B3993" s="25"/>
      <c r="E3993" s="10"/>
      <c r="O3993" s="10"/>
      <c r="V3993" s="10"/>
    </row>
    <row r="3994" spans="1:22" x14ac:dyDescent="0.2">
      <c r="A3994" s="27"/>
      <c r="B3994" s="25"/>
      <c r="E3994" s="10"/>
      <c r="O3994" s="10"/>
      <c r="V3994" s="10"/>
    </row>
    <row r="3995" spans="1:22" x14ac:dyDescent="0.2">
      <c r="A3995" s="27"/>
      <c r="B3995" s="25"/>
      <c r="E3995" s="10"/>
      <c r="O3995" s="10"/>
      <c r="V3995" s="10"/>
    </row>
    <row r="3996" spans="1:22" x14ac:dyDescent="0.2">
      <c r="A3996" s="27"/>
      <c r="B3996" s="25"/>
      <c r="E3996" s="10"/>
      <c r="O3996" s="10"/>
      <c r="V3996" s="10"/>
    </row>
    <row r="3997" spans="1:22" x14ac:dyDescent="0.2">
      <c r="A3997" s="27"/>
      <c r="B3997" s="25"/>
      <c r="E3997" s="10"/>
      <c r="O3997" s="10"/>
      <c r="V3997" s="10"/>
    </row>
    <row r="3998" spans="1:22" x14ac:dyDescent="0.2">
      <c r="A3998" s="27"/>
      <c r="B3998" s="25"/>
      <c r="E3998" s="10"/>
      <c r="O3998" s="10"/>
      <c r="V3998" s="10"/>
    </row>
    <row r="3999" spans="1:22" x14ac:dyDescent="0.2">
      <c r="A3999" s="27"/>
      <c r="B3999" s="25"/>
      <c r="E3999" s="10"/>
      <c r="O3999" s="10"/>
      <c r="V3999" s="10"/>
    </row>
    <row r="4000" spans="1:22" x14ac:dyDescent="0.2">
      <c r="A4000" s="27"/>
      <c r="B4000" s="25"/>
      <c r="E4000" s="10"/>
      <c r="O4000" s="10"/>
      <c r="V4000" s="10"/>
    </row>
    <row r="4001" spans="1:22" x14ac:dyDescent="0.2">
      <c r="A4001" s="27"/>
      <c r="B4001" s="25"/>
      <c r="E4001" s="10"/>
      <c r="O4001" s="10"/>
      <c r="V4001" s="10"/>
    </row>
    <row r="4002" spans="1:22" x14ac:dyDescent="0.2">
      <c r="A4002" s="27"/>
      <c r="B4002" s="25"/>
      <c r="E4002" s="10"/>
      <c r="O4002" s="10"/>
      <c r="V4002" s="10"/>
    </row>
    <row r="4003" spans="1:22" x14ac:dyDescent="0.2">
      <c r="A4003" s="27"/>
      <c r="B4003" s="25"/>
      <c r="E4003" s="10"/>
      <c r="O4003" s="10"/>
      <c r="V4003" s="10"/>
    </row>
    <row r="4004" spans="1:22" x14ac:dyDescent="0.2">
      <c r="A4004" s="27"/>
      <c r="B4004" s="25"/>
      <c r="E4004" s="10"/>
      <c r="O4004" s="10"/>
      <c r="V4004" s="10"/>
    </row>
    <row r="4005" spans="1:22" x14ac:dyDescent="0.2">
      <c r="A4005" s="27"/>
      <c r="B4005" s="25"/>
      <c r="E4005" s="10"/>
      <c r="O4005" s="10"/>
      <c r="V4005" s="10"/>
    </row>
    <row r="4006" spans="1:22" x14ac:dyDescent="0.2">
      <c r="A4006" s="27"/>
      <c r="B4006" s="25"/>
      <c r="E4006" s="10"/>
      <c r="O4006" s="10"/>
      <c r="V4006" s="10"/>
    </row>
    <row r="4007" spans="1:22" x14ac:dyDescent="0.2">
      <c r="A4007" s="27"/>
      <c r="B4007" s="25"/>
      <c r="E4007" s="10"/>
      <c r="O4007" s="10"/>
      <c r="V4007" s="10"/>
    </row>
    <row r="4008" spans="1:22" x14ac:dyDescent="0.2">
      <c r="A4008" s="27"/>
      <c r="B4008" s="25"/>
      <c r="E4008" s="10"/>
      <c r="O4008" s="10"/>
      <c r="V4008" s="10"/>
    </row>
    <row r="4009" spans="1:22" x14ac:dyDescent="0.2">
      <c r="A4009" s="27"/>
      <c r="B4009" s="25"/>
      <c r="E4009" s="10"/>
      <c r="O4009" s="10"/>
      <c r="V4009" s="10"/>
    </row>
    <row r="4010" spans="1:22" x14ac:dyDescent="0.2">
      <c r="A4010" s="27"/>
      <c r="B4010" s="25"/>
      <c r="E4010" s="10"/>
      <c r="O4010" s="10"/>
      <c r="V4010" s="10"/>
    </row>
    <row r="4011" spans="1:22" x14ac:dyDescent="0.2">
      <c r="A4011" s="27"/>
      <c r="B4011" s="25"/>
      <c r="E4011" s="10"/>
      <c r="O4011" s="10"/>
      <c r="V4011" s="10"/>
    </row>
    <row r="4012" spans="1:22" x14ac:dyDescent="0.2">
      <c r="A4012" s="27"/>
      <c r="B4012" s="25"/>
      <c r="E4012" s="10"/>
      <c r="O4012" s="10"/>
      <c r="V4012" s="10"/>
    </row>
    <row r="4013" spans="1:22" x14ac:dyDescent="0.2">
      <c r="A4013" s="27"/>
      <c r="B4013" s="25"/>
      <c r="E4013" s="10"/>
      <c r="O4013" s="10"/>
      <c r="V4013" s="10"/>
    </row>
    <row r="4014" spans="1:22" x14ac:dyDescent="0.2">
      <c r="A4014" s="27"/>
      <c r="B4014" s="25"/>
      <c r="E4014" s="10"/>
      <c r="O4014" s="10"/>
      <c r="V4014" s="10"/>
    </row>
    <row r="4015" spans="1:22" x14ac:dyDescent="0.2">
      <c r="A4015" s="27"/>
      <c r="B4015" s="25"/>
      <c r="E4015" s="10"/>
      <c r="O4015" s="10"/>
      <c r="V4015" s="10"/>
    </row>
    <row r="4016" spans="1:22" x14ac:dyDescent="0.2">
      <c r="A4016" s="27"/>
      <c r="B4016" s="25"/>
      <c r="E4016" s="10"/>
      <c r="O4016" s="10"/>
      <c r="V4016" s="10"/>
    </row>
    <row r="4017" spans="1:22" x14ac:dyDescent="0.2">
      <c r="A4017" s="27"/>
      <c r="B4017" s="25"/>
      <c r="E4017" s="10"/>
      <c r="O4017" s="10"/>
      <c r="V4017" s="10"/>
    </row>
    <row r="4018" spans="1:22" x14ac:dyDescent="0.2">
      <c r="A4018" s="27"/>
      <c r="B4018" s="25"/>
      <c r="E4018" s="10"/>
      <c r="O4018" s="10"/>
      <c r="V4018" s="10"/>
    </row>
    <row r="4019" spans="1:22" x14ac:dyDescent="0.2">
      <c r="A4019" s="27"/>
      <c r="B4019" s="25"/>
      <c r="E4019" s="10"/>
      <c r="O4019" s="10"/>
      <c r="V4019" s="10"/>
    </row>
    <row r="4020" spans="1:22" x14ac:dyDescent="0.2">
      <c r="A4020" s="27"/>
      <c r="B4020" s="25"/>
      <c r="E4020" s="10"/>
      <c r="O4020" s="10"/>
      <c r="V4020" s="10"/>
    </row>
    <row r="4021" spans="1:22" x14ac:dyDescent="0.2">
      <c r="A4021" s="27"/>
      <c r="B4021" s="25"/>
      <c r="E4021" s="10"/>
      <c r="O4021" s="10"/>
      <c r="V4021" s="10"/>
    </row>
    <row r="4022" spans="1:22" x14ac:dyDescent="0.2">
      <c r="A4022" s="27"/>
      <c r="B4022" s="25"/>
      <c r="E4022" s="10"/>
      <c r="O4022" s="10"/>
      <c r="V4022" s="10"/>
    </row>
    <row r="4023" spans="1:22" x14ac:dyDescent="0.2">
      <c r="A4023" s="27"/>
      <c r="B4023" s="25"/>
      <c r="E4023" s="10"/>
      <c r="O4023" s="10"/>
      <c r="V4023" s="10"/>
    </row>
    <row r="4024" spans="1:22" x14ac:dyDescent="0.2">
      <c r="A4024" s="27"/>
      <c r="B4024" s="25"/>
      <c r="E4024" s="10"/>
      <c r="O4024" s="10"/>
      <c r="V4024" s="10"/>
    </row>
    <row r="4025" spans="1:22" x14ac:dyDescent="0.2">
      <c r="A4025" s="27"/>
      <c r="B4025" s="25"/>
      <c r="E4025" s="10"/>
      <c r="O4025" s="10"/>
      <c r="V4025" s="10"/>
    </row>
    <row r="4026" spans="1:22" x14ac:dyDescent="0.2">
      <c r="A4026" s="27"/>
      <c r="B4026" s="25"/>
      <c r="E4026" s="10"/>
      <c r="O4026" s="10"/>
      <c r="V4026" s="10"/>
    </row>
    <row r="4027" spans="1:22" x14ac:dyDescent="0.2">
      <c r="A4027" s="27"/>
      <c r="B4027" s="25"/>
      <c r="E4027" s="10"/>
      <c r="O4027" s="10"/>
      <c r="V4027" s="10"/>
    </row>
    <row r="4028" spans="1:22" x14ac:dyDescent="0.2">
      <c r="A4028" s="27"/>
      <c r="B4028" s="25"/>
      <c r="E4028" s="10"/>
      <c r="O4028" s="10"/>
      <c r="V4028" s="10"/>
    </row>
    <row r="4029" spans="1:22" x14ac:dyDescent="0.2">
      <c r="A4029" s="27"/>
      <c r="B4029" s="25"/>
      <c r="E4029" s="10"/>
      <c r="O4029" s="10"/>
      <c r="V4029" s="10"/>
    </row>
    <row r="4030" spans="1:22" x14ac:dyDescent="0.2">
      <c r="A4030" s="27"/>
      <c r="B4030" s="25"/>
      <c r="E4030" s="10"/>
      <c r="O4030" s="10"/>
      <c r="V4030" s="10"/>
    </row>
    <row r="4031" spans="1:22" x14ac:dyDescent="0.2">
      <c r="A4031" s="27"/>
      <c r="B4031" s="25"/>
      <c r="E4031" s="10"/>
      <c r="O4031" s="10"/>
      <c r="V4031" s="10"/>
    </row>
    <row r="4032" spans="1:22" x14ac:dyDescent="0.2">
      <c r="A4032" s="27"/>
      <c r="B4032" s="25"/>
      <c r="E4032" s="10"/>
      <c r="O4032" s="10"/>
      <c r="V4032" s="10"/>
    </row>
    <row r="4033" spans="1:22" x14ac:dyDescent="0.2">
      <c r="A4033" s="27"/>
      <c r="B4033" s="25"/>
      <c r="E4033" s="10"/>
      <c r="O4033" s="10"/>
      <c r="V4033" s="10"/>
    </row>
    <row r="4034" spans="1:22" x14ac:dyDescent="0.2">
      <c r="A4034" s="27"/>
      <c r="B4034" s="25"/>
      <c r="E4034" s="10"/>
      <c r="O4034" s="10"/>
      <c r="V4034" s="10"/>
    </row>
    <row r="4035" spans="1:22" x14ac:dyDescent="0.2">
      <c r="A4035" s="27"/>
      <c r="B4035" s="25"/>
      <c r="E4035" s="10"/>
      <c r="O4035" s="10"/>
      <c r="V4035" s="10"/>
    </row>
    <row r="4036" spans="1:22" x14ac:dyDescent="0.2">
      <c r="A4036" s="27"/>
      <c r="B4036" s="25"/>
      <c r="E4036" s="10"/>
      <c r="O4036" s="10"/>
      <c r="V4036" s="10"/>
    </row>
    <row r="4037" spans="1:22" x14ac:dyDescent="0.2">
      <c r="A4037" s="27"/>
      <c r="B4037" s="25"/>
      <c r="E4037" s="10"/>
      <c r="O4037" s="10"/>
      <c r="V4037" s="10"/>
    </row>
    <row r="4038" spans="1:22" x14ac:dyDescent="0.2">
      <c r="A4038" s="27"/>
      <c r="B4038" s="25"/>
      <c r="E4038" s="10"/>
      <c r="O4038" s="10"/>
      <c r="V4038" s="10"/>
    </row>
    <row r="4039" spans="1:22" x14ac:dyDescent="0.2">
      <c r="A4039" s="27"/>
      <c r="B4039" s="25"/>
      <c r="E4039" s="10"/>
      <c r="O4039" s="10"/>
      <c r="V4039" s="10"/>
    </row>
    <row r="4040" spans="1:22" x14ac:dyDescent="0.2">
      <c r="A4040" s="27"/>
      <c r="B4040" s="25"/>
      <c r="E4040" s="10"/>
      <c r="O4040" s="10"/>
      <c r="V4040" s="10"/>
    </row>
    <row r="4041" spans="1:22" x14ac:dyDescent="0.2">
      <c r="A4041" s="27"/>
      <c r="B4041" s="25"/>
      <c r="E4041" s="10"/>
      <c r="O4041" s="10"/>
      <c r="V4041" s="10"/>
    </row>
    <row r="4042" spans="1:22" x14ac:dyDescent="0.2">
      <c r="A4042" s="27"/>
      <c r="B4042" s="25"/>
      <c r="E4042" s="10"/>
      <c r="O4042" s="10"/>
      <c r="V4042" s="10"/>
    </row>
    <row r="4043" spans="1:22" x14ac:dyDescent="0.2">
      <c r="A4043" s="27"/>
      <c r="B4043" s="25"/>
      <c r="E4043" s="10"/>
      <c r="O4043" s="10"/>
      <c r="V4043" s="10"/>
    </row>
    <row r="4044" spans="1:22" x14ac:dyDescent="0.2">
      <c r="A4044" s="27"/>
      <c r="B4044" s="25"/>
      <c r="E4044" s="10"/>
      <c r="O4044" s="10"/>
      <c r="V4044" s="10"/>
    </row>
    <row r="4045" spans="1:22" x14ac:dyDescent="0.2">
      <c r="A4045" s="27"/>
      <c r="B4045" s="25"/>
      <c r="E4045" s="10"/>
      <c r="O4045" s="10"/>
      <c r="V4045" s="10"/>
    </row>
    <row r="4046" spans="1:22" x14ac:dyDescent="0.2">
      <c r="A4046" s="27"/>
      <c r="B4046" s="25"/>
      <c r="E4046" s="10"/>
      <c r="O4046" s="10"/>
      <c r="V4046" s="10"/>
    </row>
    <row r="4047" spans="1:22" x14ac:dyDescent="0.2">
      <c r="A4047" s="27"/>
      <c r="B4047" s="25"/>
      <c r="E4047" s="10"/>
      <c r="O4047" s="10"/>
      <c r="V4047" s="10"/>
    </row>
    <row r="4048" spans="1:22" x14ac:dyDescent="0.2">
      <c r="A4048" s="27"/>
      <c r="B4048" s="25"/>
      <c r="E4048" s="10"/>
      <c r="O4048" s="10"/>
      <c r="V4048" s="10"/>
    </row>
    <row r="4049" spans="1:22" x14ac:dyDescent="0.2">
      <c r="A4049" s="27"/>
      <c r="B4049" s="25"/>
      <c r="E4049" s="10"/>
      <c r="O4049" s="10"/>
      <c r="V4049" s="10"/>
    </row>
    <row r="4050" spans="1:22" x14ac:dyDescent="0.2">
      <c r="A4050" s="27"/>
      <c r="B4050" s="25"/>
      <c r="E4050" s="10"/>
      <c r="O4050" s="10"/>
      <c r="V4050" s="10"/>
    </row>
    <row r="4051" spans="1:22" x14ac:dyDescent="0.2">
      <c r="A4051" s="27"/>
      <c r="B4051" s="25"/>
      <c r="E4051" s="10"/>
      <c r="O4051" s="10"/>
      <c r="V4051" s="10"/>
    </row>
    <row r="4052" spans="1:22" x14ac:dyDescent="0.2">
      <c r="A4052" s="27"/>
      <c r="B4052" s="25"/>
      <c r="E4052" s="10"/>
      <c r="O4052" s="10"/>
      <c r="V4052" s="10"/>
    </row>
    <row r="4053" spans="1:22" x14ac:dyDescent="0.2">
      <c r="A4053" s="27"/>
      <c r="B4053" s="25"/>
      <c r="E4053" s="10"/>
      <c r="O4053" s="10"/>
      <c r="V4053" s="10"/>
    </row>
    <row r="4054" spans="1:22" x14ac:dyDescent="0.2">
      <c r="A4054" s="27"/>
      <c r="B4054" s="25"/>
      <c r="E4054" s="10"/>
      <c r="O4054" s="10"/>
      <c r="V4054" s="10"/>
    </row>
    <row r="4055" spans="1:22" x14ac:dyDescent="0.2">
      <c r="A4055" s="27"/>
      <c r="B4055" s="25"/>
      <c r="E4055" s="10"/>
      <c r="O4055" s="10"/>
      <c r="V4055" s="10"/>
    </row>
    <row r="4056" spans="1:22" x14ac:dyDescent="0.2">
      <c r="A4056" s="27"/>
      <c r="B4056" s="25"/>
      <c r="E4056" s="10"/>
      <c r="O4056" s="10"/>
      <c r="V4056" s="10"/>
    </row>
    <row r="4057" spans="1:22" x14ac:dyDescent="0.2">
      <c r="A4057" s="27"/>
      <c r="B4057" s="25"/>
      <c r="E4057" s="10"/>
      <c r="O4057" s="10"/>
      <c r="V4057" s="10"/>
    </row>
    <row r="4058" spans="1:22" x14ac:dyDescent="0.2">
      <c r="A4058" s="27"/>
      <c r="B4058" s="25"/>
      <c r="E4058" s="10"/>
      <c r="O4058" s="10"/>
      <c r="V4058" s="10"/>
    </row>
    <row r="4059" spans="1:22" x14ac:dyDescent="0.2">
      <c r="A4059" s="27"/>
      <c r="B4059" s="25"/>
      <c r="E4059" s="10"/>
      <c r="O4059" s="10"/>
      <c r="V4059" s="10"/>
    </row>
    <row r="4060" spans="1:22" x14ac:dyDescent="0.2">
      <c r="A4060" s="27"/>
      <c r="B4060" s="25"/>
      <c r="E4060" s="10"/>
      <c r="O4060" s="10"/>
      <c r="V4060" s="10"/>
    </row>
    <row r="4061" spans="1:22" x14ac:dyDescent="0.2">
      <c r="A4061" s="27"/>
      <c r="B4061" s="25"/>
      <c r="E4061" s="10"/>
      <c r="O4061" s="10"/>
      <c r="V4061" s="10"/>
    </row>
    <row r="4062" spans="1:22" x14ac:dyDescent="0.2">
      <c r="A4062" s="27"/>
      <c r="B4062" s="25"/>
      <c r="E4062" s="10"/>
      <c r="O4062" s="10"/>
      <c r="V4062" s="10"/>
    </row>
    <row r="4063" spans="1:22" x14ac:dyDescent="0.2">
      <c r="A4063" s="27"/>
      <c r="B4063" s="25"/>
      <c r="E4063" s="10"/>
      <c r="O4063" s="10"/>
      <c r="V4063" s="10"/>
    </row>
    <row r="4064" spans="1:22" x14ac:dyDescent="0.2">
      <c r="A4064" s="27"/>
      <c r="B4064" s="25"/>
      <c r="E4064" s="10"/>
      <c r="O4064" s="10"/>
      <c r="V4064" s="10"/>
    </row>
    <row r="4065" spans="1:22" x14ac:dyDescent="0.2">
      <c r="A4065" s="27"/>
      <c r="B4065" s="25"/>
      <c r="E4065" s="10"/>
      <c r="O4065" s="10"/>
      <c r="V4065" s="10"/>
    </row>
    <row r="4066" spans="1:22" x14ac:dyDescent="0.2">
      <c r="A4066" s="27"/>
      <c r="B4066" s="25"/>
      <c r="E4066" s="10"/>
      <c r="O4066" s="10"/>
      <c r="V4066" s="10"/>
    </row>
    <row r="4067" spans="1:22" x14ac:dyDescent="0.2">
      <c r="A4067" s="27"/>
      <c r="B4067" s="25"/>
      <c r="E4067" s="10"/>
      <c r="O4067" s="10"/>
      <c r="V4067" s="10"/>
    </row>
    <row r="4068" spans="1:22" x14ac:dyDescent="0.2">
      <c r="A4068" s="27"/>
      <c r="B4068" s="25"/>
      <c r="E4068" s="10"/>
      <c r="O4068" s="10"/>
      <c r="V4068" s="10"/>
    </row>
    <row r="4069" spans="1:22" x14ac:dyDescent="0.2">
      <c r="A4069" s="27"/>
      <c r="B4069" s="25"/>
      <c r="E4069" s="10"/>
      <c r="O4069" s="10"/>
      <c r="V4069" s="10"/>
    </row>
    <row r="4070" spans="1:22" x14ac:dyDescent="0.2">
      <c r="A4070" s="27"/>
      <c r="B4070" s="25"/>
      <c r="E4070" s="10"/>
      <c r="O4070" s="10"/>
      <c r="V4070" s="10"/>
    </row>
    <row r="4071" spans="1:22" x14ac:dyDescent="0.2">
      <c r="A4071" s="27"/>
      <c r="B4071" s="25"/>
      <c r="E4071" s="10"/>
      <c r="O4071" s="10"/>
      <c r="V4071" s="10"/>
    </row>
    <row r="4072" spans="1:22" x14ac:dyDescent="0.2">
      <c r="A4072" s="27"/>
      <c r="B4072" s="25"/>
      <c r="E4072" s="10"/>
      <c r="O4072" s="10"/>
      <c r="V4072" s="10"/>
    </row>
    <row r="4073" spans="1:22" x14ac:dyDescent="0.2">
      <c r="A4073" s="27"/>
      <c r="B4073" s="25"/>
      <c r="E4073" s="10"/>
      <c r="O4073" s="10"/>
      <c r="V4073" s="10"/>
    </row>
    <row r="4074" spans="1:22" x14ac:dyDescent="0.2">
      <c r="A4074" s="27"/>
      <c r="B4074" s="25"/>
      <c r="E4074" s="10"/>
      <c r="O4074" s="10"/>
      <c r="V4074" s="10"/>
    </row>
    <row r="4075" spans="1:22" x14ac:dyDescent="0.2">
      <c r="A4075" s="27"/>
      <c r="B4075" s="25"/>
      <c r="E4075" s="10"/>
      <c r="O4075" s="10"/>
      <c r="V4075" s="10"/>
    </row>
    <row r="4076" spans="1:22" x14ac:dyDescent="0.2">
      <c r="A4076" s="27"/>
      <c r="B4076" s="25"/>
      <c r="E4076" s="10"/>
      <c r="O4076" s="10"/>
      <c r="V4076" s="10"/>
    </row>
    <row r="4077" spans="1:22" x14ac:dyDescent="0.2">
      <c r="A4077" s="27"/>
      <c r="B4077" s="25"/>
      <c r="E4077" s="10"/>
      <c r="O4077" s="10"/>
      <c r="V4077" s="10"/>
    </row>
    <row r="4078" spans="1:22" x14ac:dyDescent="0.2">
      <c r="A4078" s="27"/>
      <c r="B4078" s="25"/>
      <c r="E4078" s="10"/>
      <c r="O4078" s="10"/>
      <c r="V4078" s="10"/>
    </row>
    <row r="4079" spans="1:22" x14ac:dyDescent="0.2">
      <c r="A4079" s="27"/>
      <c r="B4079" s="25"/>
      <c r="E4079" s="10"/>
      <c r="O4079" s="10"/>
      <c r="V4079" s="10"/>
    </row>
    <row r="4080" spans="1:22" x14ac:dyDescent="0.2">
      <c r="A4080" s="27"/>
      <c r="B4080" s="25"/>
      <c r="E4080" s="10"/>
      <c r="O4080" s="10"/>
      <c r="V4080" s="10"/>
    </row>
    <row r="4081" spans="1:22" x14ac:dyDescent="0.2">
      <c r="A4081" s="27"/>
      <c r="B4081" s="25"/>
      <c r="E4081" s="10"/>
      <c r="O4081" s="10"/>
      <c r="V4081" s="10"/>
    </row>
    <row r="4082" spans="1:22" x14ac:dyDescent="0.2">
      <c r="A4082" s="27"/>
      <c r="B4082" s="25"/>
      <c r="E4082" s="10"/>
      <c r="O4082" s="10"/>
      <c r="V4082" s="10"/>
    </row>
    <row r="4083" spans="1:22" x14ac:dyDescent="0.2">
      <c r="A4083" s="27"/>
      <c r="B4083" s="25"/>
      <c r="E4083" s="10"/>
      <c r="O4083" s="10"/>
      <c r="V4083" s="10"/>
    </row>
    <row r="4084" spans="1:22" x14ac:dyDescent="0.2">
      <c r="A4084" s="27"/>
      <c r="B4084" s="25"/>
      <c r="E4084" s="10"/>
      <c r="O4084" s="10"/>
      <c r="V4084" s="10"/>
    </row>
    <row r="4085" spans="1:22" x14ac:dyDescent="0.2">
      <c r="A4085" s="27"/>
      <c r="B4085" s="25"/>
      <c r="E4085" s="10"/>
      <c r="O4085" s="10"/>
      <c r="V4085" s="10"/>
    </row>
    <row r="4086" spans="1:22" x14ac:dyDescent="0.2">
      <c r="A4086" s="27"/>
      <c r="B4086" s="25"/>
      <c r="E4086" s="10"/>
      <c r="O4086" s="10"/>
      <c r="V4086" s="10"/>
    </row>
    <row r="4087" spans="1:22" x14ac:dyDescent="0.2">
      <c r="A4087" s="27"/>
      <c r="B4087" s="25"/>
      <c r="E4087" s="10"/>
      <c r="O4087" s="10"/>
      <c r="V4087" s="10"/>
    </row>
    <row r="4088" spans="1:22" x14ac:dyDescent="0.2">
      <c r="A4088" s="27"/>
      <c r="B4088" s="25"/>
      <c r="E4088" s="10"/>
      <c r="O4088" s="10"/>
      <c r="V4088" s="10"/>
    </row>
    <row r="4089" spans="1:22" x14ac:dyDescent="0.2">
      <c r="A4089" s="27"/>
      <c r="B4089" s="25"/>
      <c r="E4089" s="10"/>
      <c r="O4089" s="10"/>
      <c r="V4089" s="10"/>
    </row>
    <row r="4090" spans="1:22" x14ac:dyDescent="0.2">
      <c r="A4090" s="27"/>
      <c r="B4090" s="25"/>
      <c r="E4090" s="10"/>
      <c r="O4090" s="10"/>
      <c r="V4090" s="10"/>
    </row>
    <row r="4091" spans="1:22" x14ac:dyDescent="0.2">
      <c r="A4091" s="27"/>
      <c r="B4091" s="25"/>
      <c r="E4091" s="10"/>
      <c r="O4091" s="10"/>
      <c r="V4091" s="10"/>
    </row>
    <row r="4092" spans="1:22" x14ac:dyDescent="0.2">
      <c r="A4092" s="27"/>
      <c r="B4092" s="25"/>
      <c r="E4092" s="10"/>
      <c r="O4092" s="10"/>
      <c r="V4092" s="10"/>
    </row>
    <row r="4093" spans="1:22" x14ac:dyDescent="0.2">
      <c r="A4093" s="27"/>
      <c r="B4093" s="25"/>
      <c r="E4093" s="10"/>
      <c r="O4093" s="10"/>
      <c r="V4093" s="10"/>
    </row>
    <row r="4094" spans="1:22" x14ac:dyDescent="0.2">
      <c r="A4094" s="27"/>
      <c r="B4094" s="25"/>
      <c r="E4094" s="10"/>
      <c r="O4094" s="10"/>
      <c r="V4094" s="10"/>
    </row>
    <row r="4095" spans="1:22" x14ac:dyDescent="0.2">
      <c r="A4095" s="27"/>
      <c r="B4095" s="25"/>
      <c r="E4095" s="10"/>
      <c r="O4095" s="10"/>
      <c r="V4095" s="10"/>
    </row>
    <row r="4096" spans="1:22" x14ac:dyDescent="0.2">
      <c r="A4096" s="27"/>
      <c r="B4096" s="25"/>
      <c r="E4096" s="10"/>
      <c r="O4096" s="10"/>
      <c r="V4096" s="10"/>
    </row>
    <row r="4097" spans="1:22" x14ac:dyDescent="0.2">
      <c r="A4097" s="27"/>
      <c r="B4097" s="25"/>
      <c r="E4097" s="10"/>
      <c r="O4097" s="10"/>
      <c r="V4097" s="10"/>
    </row>
    <row r="4098" spans="1:22" x14ac:dyDescent="0.2">
      <c r="A4098" s="27"/>
      <c r="B4098" s="25"/>
      <c r="E4098" s="10"/>
      <c r="O4098" s="10"/>
      <c r="V4098" s="10"/>
    </row>
    <row r="4099" spans="1:22" x14ac:dyDescent="0.2">
      <c r="A4099" s="27"/>
      <c r="B4099" s="25"/>
      <c r="E4099" s="10"/>
      <c r="O4099" s="10"/>
      <c r="V4099" s="10"/>
    </row>
    <row r="4100" spans="1:22" x14ac:dyDescent="0.2">
      <c r="A4100" s="27"/>
      <c r="B4100" s="25"/>
      <c r="E4100" s="10"/>
      <c r="O4100" s="10"/>
      <c r="V4100" s="10"/>
    </row>
    <row r="4101" spans="1:22" x14ac:dyDescent="0.2">
      <c r="A4101" s="27"/>
      <c r="B4101" s="25"/>
      <c r="E4101" s="10"/>
      <c r="O4101" s="10"/>
      <c r="V4101" s="10"/>
    </row>
    <row r="4102" spans="1:22" x14ac:dyDescent="0.2">
      <c r="A4102" s="27"/>
      <c r="B4102" s="25"/>
      <c r="E4102" s="10"/>
      <c r="O4102" s="10"/>
      <c r="V4102" s="10"/>
    </row>
    <row r="4103" spans="1:22" x14ac:dyDescent="0.2">
      <c r="A4103" s="27"/>
      <c r="B4103" s="25"/>
      <c r="E4103" s="10"/>
      <c r="O4103" s="10"/>
      <c r="V4103" s="10"/>
    </row>
    <row r="4104" spans="1:22" x14ac:dyDescent="0.2">
      <c r="A4104" s="27"/>
      <c r="B4104" s="25"/>
      <c r="E4104" s="10"/>
      <c r="O4104" s="10"/>
      <c r="V4104" s="10"/>
    </row>
    <row r="4105" spans="1:22" x14ac:dyDescent="0.2">
      <c r="A4105" s="27"/>
      <c r="B4105" s="25"/>
      <c r="E4105" s="10"/>
      <c r="O4105" s="10"/>
      <c r="V4105" s="10"/>
    </row>
    <row r="4106" spans="1:22" x14ac:dyDescent="0.2">
      <c r="A4106" s="27"/>
      <c r="B4106" s="25"/>
      <c r="E4106" s="10"/>
      <c r="O4106" s="10"/>
      <c r="V4106" s="10"/>
    </row>
    <row r="4107" spans="1:22" x14ac:dyDescent="0.2">
      <c r="A4107" s="27"/>
      <c r="B4107" s="25"/>
      <c r="E4107" s="10"/>
      <c r="O4107" s="10"/>
      <c r="V4107" s="10"/>
    </row>
    <row r="4108" spans="1:22" x14ac:dyDescent="0.2">
      <c r="A4108" s="27"/>
      <c r="B4108" s="25"/>
      <c r="E4108" s="10"/>
      <c r="O4108" s="10"/>
      <c r="V4108" s="10"/>
    </row>
    <row r="4109" spans="1:22" x14ac:dyDescent="0.2">
      <c r="A4109" s="27"/>
      <c r="B4109" s="25"/>
      <c r="E4109" s="10"/>
      <c r="O4109" s="10"/>
      <c r="V4109" s="10"/>
    </row>
    <row r="4110" spans="1:22" x14ac:dyDescent="0.2">
      <c r="A4110" s="27"/>
      <c r="B4110" s="25"/>
      <c r="E4110" s="10"/>
      <c r="O4110" s="10"/>
      <c r="V4110" s="10"/>
    </row>
    <row r="4111" spans="1:22" x14ac:dyDescent="0.2">
      <c r="A4111" s="27"/>
      <c r="B4111" s="25"/>
      <c r="E4111" s="10"/>
      <c r="O4111" s="10"/>
      <c r="V4111" s="10"/>
    </row>
    <row r="4112" spans="1:22" x14ac:dyDescent="0.2">
      <c r="A4112" s="27"/>
      <c r="B4112" s="25"/>
      <c r="E4112" s="10"/>
      <c r="O4112" s="10"/>
      <c r="V4112" s="10"/>
    </row>
    <row r="4113" spans="1:22" x14ac:dyDescent="0.2">
      <c r="A4113" s="27"/>
      <c r="B4113" s="25"/>
      <c r="E4113" s="10"/>
      <c r="O4113" s="10"/>
      <c r="V4113" s="10"/>
    </row>
    <row r="4114" spans="1:22" x14ac:dyDescent="0.2">
      <c r="A4114" s="27"/>
      <c r="B4114" s="25"/>
      <c r="E4114" s="10"/>
      <c r="O4114" s="10"/>
      <c r="V4114" s="10"/>
    </row>
    <row r="4115" spans="1:22" x14ac:dyDescent="0.2">
      <c r="A4115" s="27"/>
      <c r="B4115" s="25"/>
      <c r="E4115" s="10"/>
      <c r="O4115" s="10"/>
      <c r="V4115" s="10"/>
    </row>
    <row r="4116" spans="1:22" x14ac:dyDescent="0.2">
      <c r="A4116" s="27"/>
      <c r="B4116" s="25"/>
      <c r="E4116" s="10"/>
      <c r="O4116" s="10"/>
      <c r="V4116" s="10"/>
    </row>
    <row r="4117" spans="1:22" x14ac:dyDescent="0.2">
      <c r="A4117" s="27"/>
      <c r="B4117" s="25"/>
      <c r="E4117" s="10"/>
      <c r="O4117" s="10"/>
      <c r="V4117" s="10"/>
    </row>
    <row r="4118" spans="1:22" x14ac:dyDescent="0.2">
      <c r="A4118" s="27"/>
      <c r="B4118" s="25"/>
      <c r="E4118" s="10"/>
      <c r="O4118" s="10"/>
      <c r="V4118" s="10"/>
    </row>
    <row r="4119" spans="1:22" x14ac:dyDescent="0.2">
      <c r="A4119" s="27"/>
      <c r="B4119" s="25"/>
      <c r="E4119" s="10"/>
      <c r="O4119" s="10"/>
      <c r="V4119" s="10"/>
    </row>
    <row r="4120" spans="1:22" x14ac:dyDescent="0.2">
      <c r="A4120" s="27"/>
      <c r="B4120" s="25"/>
      <c r="E4120" s="10"/>
      <c r="O4120" s="10"/>
      <c r="V4120" s="10"/>
    </row>
    <row r="4121" spans="1:22" x14ac:dyDescent="0.2">
      <c r="A4121" s="27"/>
      <c r="B4121" s="25"/>
      <c r="E4121" s="10"/>
      <c r="O4121" s="10"/>
      <c r="V4121" s="10"/>
    </row>
    <row r="4122" spans="1:22" x14ac:dyDescent="0.2">
      <c r="A4122" s="27"/>
      <c r="B4122" s="25"/>
      <c r="E4122" s="10"/>
      <c r="O4122" s="10"/>
      <c r="V4122" s="10"/>
    </row>
    <row r="4123" spans="1:22" x14ac:dyDescent="0.2">
      <c r="A4123" s="27"/>
      <c r="B4123" s="25"/>
      <c r="E4123" s="10"/>
      <c r="O4123" s="10"/>
      <c r="V4123" s="10"/>
    </row>
    <row r="4124" spans="1:22" x14ac:dyDescent="0.2">
      <c r="A4124" s="27"/>
      <c r="B4124" s="25"/>
      <c r="E4124" s="10"/>
      <c r="O4124" s="10"/>
      <c r="V4124" s="10"/>
    </row>
    <row r="4125" spans="1:22" x14ac:dyDescent="0.2">
      <c r="A4125" s="27"/>
      <c r="B4125" s="25"/>
      <c r="E4125" s="10"/>
      <c r="O4125" s="10"/>
      <c r="V4125" s="10"/>
    </row>
    <row r="4126" spans="1:22" x14ac:dyDescent="0.2">
      <c r="A4126" s="27"/>
      <c r="B4126" s="25"/>
      <c r="E4126" s="10"/>
      <c r="O4126" s="10"/>
      <c r="V4126" s="10"/>
    </row>
    <row r="4127" spans="1:22" x14ac:dyDescent="0.2">
      <c r="A4127" s="27"/>
      <c r="B4127" s="25"/>
      <c r="E4127" s="10"/>
      <c r="O4127" s="10"/>
      <c r="V4127" s="10"/>
    </row>
    <row r="4128" spans="1:22" x14ac:dyDescent="0.2">
      <c r="A4128" s="27"/>
      <c r="B4128" s="25"/>
      <c r="E4128" s="10"/>
      <c r="O4128" s="10"/>
      <c r="V4128" s="10"/>
    </row>
    <row r="4129" spans="1:22" x14ac:dyDescent="0.2">
      <c r="A4129" s="27"/>
      <c r="B4129" s="25"/>
      <c r="E4129" s="10"/>
      <c r="O4129" s="10"/>
      <c r="V4129" s="10"/>
    </row>
    <row r="4130" spans="1:22" x14ac:dyDescent="0.2">
      <c r="A4130" s="27"/>
      <c r="B4130" s="25"/>
      <c r="E4130" s="10"/>
      <c r="O4130" s="10"/>
      <c r="V4130" s="10"/>
    </row>
    <row r="4131" spans="1:22" x14ac:dyDescent="0.2">
      <c r="A4131" s="27"/>
      <c r="B4131" s="25"/>
      <c r="E4131" s="10"/>
      <c r="O4131" s="10"/>
      <c r="V4131" s="10"/>
    </row>
    <row r="4132" spans="1:22" x14ac:dyDescent="0.2">
      <c r="A4132" s="27"/>
      <c r="B4132" s="25"/>
      <c r="E4132" s="10"/>
      <c r="O4132" s="10"/>
      <c r="V4132" s="10"/>
    </row>
    <row r="4133" spans="1:22" x14ac:dyDescent="0.2">
      <c r="A4133" s="27"/>
      <c r="B4133" s="25"/>
      <c r="E4133" s="10"/>
      <c r="O4133" s="10"/>
      <c r="V4133" s="10"/>
    </row>
    <row r="4134" spans="1:22" x14ac:dyDescent="0.2">
      <c r="A4134" s="27"/>
      <c r="B4134" s="25"/>
      <c r="E4134" s="10"/>
      <c r="O4134" s="10"/>
      <c r="V4134" s="10"/>
    </row>
    <row r="4135" spans="1:22" x14ac:dyDescent="0.2">
      <c r="A4135" s="27"/>
      <c r="B4135" s="25"/>
      <c r="E4135" s="10"/>
      <c r="O4135" s="10"/>
      <c r="V4135" s="10"/>
    </row>
    <row r="4136" spans="1:22" x14ac:dyDescent="0.2">
      <c r="A4136" s="27"/>
      <c r="B4136" s="25"/>
      <c r="E4136" s="10"/>
      <c r="O4136" s="10"/>
      <c r="V4136" s="10"/>
    </row>
    <row r="4137" spans="1:22" x14ac:dyDescent="0.2">
      <c r="A4137" s="27"/>
      <c r="B4137" s="25"/>
      <c r="E4137" s="10"/>
      <c r="O4137" s="10"/>
      <c r="V4137" s="10"/>
    </row>
    <row r="4138" spans="1:22" x14ac:dyDescent="0.2">
      <c r="A4138" s="27"/>
      <c r="B4138" s="25"/>
      <c r="E4138" s="10"/>
      <c r="O4138" s="10"/>
      <c r="V4138" s="10"/>
    </row>
    <row r="4139" spans="1:22" x14ac:dyDescent="0.2">
      <c r="A4139" s="27"/>
      <c r="B4139" s="25"/>
      <c r="E4139" s="10"/>
      <c r="O4139" s="10"/>
      <c r="V4139" s="10"/>
    </row>
    <row r="4140" spans="1:22" x14ac:dyDescent="0.2">
      <c r="A4140" s="27"/>
      <c r="B4140" s="25"/>
      <c r="E4140" s="10"/>
      <c r="O4140" s="10"/>
      <c r="V4140" s="10"/>
    </row>
    <row r="4141" spans="1:22" x14ac:dyDescent="0.2">
      <c r="A4141" s="27"/>
      <c r="B4141" s="25"/>
      <c r="E4141" s="10"/>
      <c r="O4141" s="10"/>
      <c r="V4141" s="10"/>
    </row>
    <row r="4142" spans="1:22" x14ac:dyDescent="0.2">
      <c r="A4142" s="27"/>
      <c r="B4142" s="25"/>
      <c r="E4142" s="10"/>
      <c r="O4142" s="10"/>
      <c r="V4142" s="10"/>
    </row>
    <row r="4143" spans="1:22" x14ac:dyDescent="0.2">
      <c r="A4143" s="27"/>
      <c r="B4143" s="25"/>
      <c r="E4143" s="10"/>
      <c r="O4143" s="10"/>
      <c r="V4143" s="10"/>
    </row>
    <row r="4144" spans="1:22" x14ac:dyDescent="0.2">
      <c r="A4144" s="27"/>
      <c r="B4144" s="25"/>
      <c r="E4144" s="10"/>
      <c r="O4144" s="10"/>
      <c r="V4144" s="10"/>
    </row>
    <row r="4145" spans="1:22" x14ac:dyDescent="0.2">
      <c r="A4145" s="27"/>
      <c r="B4145" s="25"/>
      <c r="E4145" s="10"/>
      <c r="O4145" s="10"/>
      <c r="V4145" s="10"/>
    </row>
    <row r="4146" spans="1:22" x14ac:dyDescent="0.2">
      <c r="A4146" s="27"/>
      <c r="B4146" s="25"/>
      <c r="E4146" s="10"/>
      <c r="O4146" s="10"/>
      <c r="V4146" s="10"/>
    </row>
    <row r="4147" spans="1:22" x14ac:dyDescent="0.2">
      <c r="A4147" s="27"/>
      <c r="B4147" s="25"/>
      <c r="E4147" s="10"/>
      <c r="O4147" s="10"/>
      <c r="V4147" s="10"/>
    </row>
    <row r="4148" spans="1:22" x14ac:dyDescent="0.2">
      <c r="A4148" s="27"/>
      <c r="B4148" s="25"/>
      <c r="E4148" s="10"/>
      <c r="O4148" s="10"/>
      <c r="V4148" s="10"/>
    </row>
    <row r="4149" spans="1:22" x14ac:dyDescent="0.2">
      <c r="A4149" s="27"/>
      <c r="B4149" s="25"/>
      <c r="E4149" s="10"/>
      <c r="O4149" s="10"/>
      <c r="V4149" s="10"/>
    </row>
    <row r="4150" spans="1:22" x14ac:dyDescent="0.2">
      <c r="A4150" s="27"/>
      <c r="B4150" s="25"/>
      <c r="E4150" s="10"/>
      <c r="O4150" s="10"/>
      <c r="V4150" s="10"/>
    </row>
    <row r="4151" spans="1:22" x14ac:dyDescent="0.2">
      <c r="A4151" s="27"/>
      <c r="B4151" s="25"/>
      <c r="E4151" s="10"/>
      <c r="O4151" s="10"/>
      <c r="V4151" s="10"/>
    </row>
    <row r="4152" spans="1:22" x14ac:dyDescent="0.2">
      <c r="A4152" s="27"/>
      <c r="B4152" s="25"/>
      <c r="E4152" s="10"/>
      <c r="O4152" s="10"/>
      <c r="V4152" s="10"/>
    </row>
    <row r="4153" spans="1:22" x14ac:dyDescent="0.2">
      <c r="A4153" s="27"/>
      <c r="B4153" s="25"/>
      <c r="E4153" s="10"/>
      <c r="O4153" s="10"/>
      <c r="V4153" s="10"/>
    </row>
    <row r="4154" spans="1:22" x14ac:dyDescent="0.2">
      <c r="A4154" s="27"/>
      <c r="B4154" s="25"/>
      <c r="E4154" s="10"/>
      <c r="O4154" s="10"/>
      <c r="V4154" s="10"/>
    </row>
    <row r="4155" spans="1:22" x14ac:dyDescent="0.2">
      <c r="A4155" s="27"/>
      <c r="B4155" s="25"/>
      <c r="E4155" s="10"/>
      <c r="O4155" s="10"/>
      <c r="V4155" s="10"/>
    </row>
    <row r="4156" spans="1:22" x14ac:dyDescent="0.2">
      <c r="A4156" s="27"/>
      <c r="B4156" s="25"/>
      <c r="E4156" s="10"/>
      <c r="O4156" s="10"/>
      <c r="V4156" s="10"/>
    </row>
    <row r="4157" spans="1:22" x14ac:dyDescent="0.2">
      <c r="A4157" s="27"/>
      <c r="B4157" s="25"/>
      <c r="E4157" s="10"/>
      <c r="O4157" s="10"/>
      <c r="V4157" s="10"/>
    </row>
    <row r="4158" spans="1:22" x14ac:dyDescent="0.2">
      <c r="A4158" s="27"/>
      <c r="B4158" s="25"/>
      <c r="E4158" s="10"/>
      <c r="O4158" s="10"/>
      <c r="V4158" s="10"/>
    </row>
    <row r="4159" spans="1:22" x14ac:dyDescent="0.2">
      <c r="A4159" s="27"/>
      <c r="B4159" s="25"/>
      <c r="E4159" s="10"/>
      <c r="O4159" s="10"/>
      <c r="V4159" s="10"/>
    </row>
    <row r="4160" spans="1:22" x14ac:dyDescent="0.2">
      <c r="A4160" s="27"/>
      <c r="B4160" s="25"/>
      <c r="E4160" s="10"/>
      <c r="O4160" s="10"/>
      <c r="V4160" s="10"/>
    </row>
    <row r="4161" spans="1:22" x14ac:dyDescent="0.2">
      <c r="A4161" s="27"/>
      <c r="B4161" s="25"/>
      <c r="E4161" s="10"/>
      <c r="O4161" s="10"/>
      <c r="V4161" s="10"/>
    </row>
    <row r="4162" spans="1:22" x14ac:dyDescent="0.2">
      <c r="A4162" s="27"/>
      <c r="B4162" s="25"/>
      <c r="E4162" s="10"/>
      <c r="O4162" s="10"/>
      <c r="V4162" s="10"/>
    </row>
    <row r="4163" spans="1:22" x14ac:dyDescent="0.2">
      <c r="A4163" s="27"/>
      <c r="B4163" s="25"/>
      <c r="E4163" s="10"/>
      <c r="O4163" s="10"/>
      <c r="V4163" s="10"/>
    </row>
    <row r="4164" spans="1:22" x14ac:dyDescent="0.2">
      <c r="A4164" s="27"/>
      <c r="B4164" s="25"/>
      <c r="E4164" s="10"/>
      <c r="O4164" s="10"/>
      <c r="V4164" s="10"/>
    </row>
    <row r="4165" spans="1:22" x14ac:dyDescent="0.2">
      <c r="A4165" s="27"/>
      <c r="B4165" s="25"/>
      <c r="E4165" s="10"/>
      <c r="O4165" s="10"/>
      <c r="V4165" s="10"/>
    </row>
    <row r="4166" spans="1:22" x14ac:dyDescent="0.2">
      <c r="A4166" s="27"/>
      <c r="B4166" s="25"/>
      <c r="E4166" s="10"/>
      <c r="O4166" s="10"/>
      <c r="V4166" s="10"/>
    </row>
    <row r="4167" spans="1:22" x14ac:dyDescent="0.2">
      <c r="A4167" s="27"/>
      <c r="B4167" s="25"/>
      <c r="E4167" s="10"/>
      <c r="O4167" s="10"/>
      <c r="V4167" s="10"/>
    </row>
    <row r="4168" spans="1:22" x14ac:dyDescent="0.2">
      <c r="A4168" s="27"/>
      <c r="B4168" s="25"/>
      <c r="E4168" s="10"/>
      <c r="O4168" s="10"/>
      <c r="V4168" s="10"/>
    </row>
    <row r="4169" spans="1:22" x14ac:dyDescent="0.2">
      <c r="A4169" s="27"/>
      <c r="B4169" s="25"/>
      <c r="E4169" s="10"/>
      <c r="O4169" s="10"/>
      <c r="V4169" s="10"/>
    </row>
    <row r="4170" spans="1:22" x14ac:dyDescent="0.2">
      <c r="A4170" s="27"/>
      <c r="B4170" s="25"/>
      <c r="E4170" s="10"/>
      <c r="O4170" s="10"/>
      <c r="V4170" s="10"/>
    </row>
    <row r="4171" spans="1:22" x14ac:dyDescent="0.2">
      <c r="A4171" s="27"/>
      <c r="B4171" s="25"/>
      <c r="E4171" s="10"/>
      <c r="O4171" s="10"/>
      <c r="V4171" s="10"/>
    </row>
    <row r="4172" spans="1:22" x14ac:dyDescent="0.2">
      <c r="A4172" s="27"/>
      <c r="B4172" s="25"/>
      <c r="E4172" s="10"/>
      <c r="O4172" s="10"/>
      <c r="V4172" s="10"/>
    </row>
    <row r="4173" spans="1:22" x14ac:dyDescent="0.2">
      <c r="A4173" s="27"/>
      <c r="B4173" s="25"/>
      <c r="E4173" s="10"/>
      <c r="O4173" s="10"/>
      <c r="V4173" s="10"/>
    </row>
    <row r="4174" spans="1:22" x14ac:dyDescent="0.2">
      <c r="A4174" s="27"/>
      <c r="B4174" s="25"/>
      <c r="E4174" s="10"/>
      <c r="O4174" s="10"/>
      <c r="V4174" s="10"/>
    </row>
    <row r="4175" spans="1:22" x14ac:dyDescent="0.2">
      <c r="A4175" s="27"/>
      <c r="B4175" s="25"/>
      <c r="E4175" s="10"/>
      <c r="O4175" s="10"/>
      <c r="V4175" s="10"/>
    </row>
    <row r="4176" spans="1:22" x14ac:dyDescent="0.2">
      <c r="A4176" s="27"/>
      <c r="B4176" s="25"/>
      <c r="E4176" s="10"/>
      <c r="O4176" s="10"/>
      <c r="V4176" s="10"/>
    </row>
    <row r="4177" spans="1:22" x14ac:dyDescent="0.2">
      <c r="A4177" s="27"/>
      <c r="B4177" s="25"/>
      <c r="E4177" s="10"/>
      <c r="O4177" s="10"/>
      <c r="V4177" s="10"/>
    </row>
    <row r="4178" spans="1:22" x14ac:dyDescent="0.2">
      <c r="A4178" s="27"/>
      <c r="B4178" s="25"/>
      <c r="E4178" s="10"/>
      <c r="O4178" s="10"/>
      <c r="V4178" s="10"/>
    </row>
    <row r="4179" spans="1:22" x14ac:dyDescent="0.2">
      <c r="A4179" s="27"/>
      <c r="B4179" s="25"/>
      <c r="E4179" s="10"/>
      <c r="O4179" s="10"/>
      <c r="V4179" s="10"/>
    </row>
    <row r="4180" spans="1:22" x14ac:dyDescent="0.2">
      <c r="A4180" s="27"/>
      <c r="B4180" s="25"/>
      <c r="E4180" s="10"/>
      <c r="O4180" s="10"/>
      <c r="V4180" s="10"/>
    </row>
    <row r="4181" spans="1:22" x14ac:dyDescent="0.2">
      <c r="A4181" s="27"/>
      <c r="B4181" s="25"/>
      <c r="E4181" s="10"/>
      <c r="O4181" s="10"/>
      <c r="V4181" s="10"/>
    </row>
    <row r="4182" spans="1:22" x14ac:dyDescent="0.2">
      <c r="A4182" s="27"/>
      <c r="B4182" s="25"/>
      <c r="E4182" s="10"/>
      <c r="O4182" s="10"/>
      <c r="V4182" s="10"/>
    </row>
    <row r="4183" spans="1:22" x14ac:dyDescent="0.2">
      <c r="A4183" s="27"/>
      <c r="B4183" s="25"/>
      <c r="E4183" s="10"/>
      <c r="O4183" s="10"/>
      <c r="V4183" s="10"/>
    </row>
    <row r="4184" spans="1:22" x14ac:dyDescent="0.2">
      <c r="A4184" s="27"/>
      <c r="B4184" s="25"/>
      <c r="E4184" s="10"/>
      <c r="O4184" s="10"/>
      <c r="V4184" s="10"/>
    </row>
    <row r="4185" spans="1:22" x14ac:dyDescent="0.2">
      <c r="A4185" s="27"/>
      <c r="B4185" s="25"/>
      <c r="E4185" s="10"/>
      <c r="O4185" s="10"/>
      <c r="V4185" s="10"/>
    </row>
    <row r="4186" spans="1:22" x14ac:dyDescent="0.2">
      <c r="A4186" s="27"/>
      <c r="B4186" s="25"/>
      <c r="E4186" s="10"/>
      <c r="O4186" s="10"/>
      <c r="V4186" s="10"/>
    </row>
    <row r="4187" spans="1:22" x14ac:dyDescent="0.2">
      <c r="A4187" s="27"/>
      <c r="B4187" s="25"/>
      <c r="E4187" s="10"/>
      <c r="O4187" s="10"/>
      <c r="V4187" s="10"/>
    </row>
    <row r="4188" spans="1:22" x14ac:dyDescent="0.2">
      <c r="A4188" s="27"/>
      <c r="B4188" s="25"/>
      <c r="E4188" s="10"/>
      <c r="O4188" s="10"/>
      <c r="V4188" s="10"/>
    </row>
    <row r="4189" spans="1:22" x14ac:dyDescent="0.2">
      <c r="A4189" s="27"/>
      <c r="B4189" s="25"/>
      <c r="E4189" s="10"/>
      <c r="O4189" s="10"/>
      <c r="V4189" s="10"/>
    </row>
    <row r="4190" spans="1:22" x14ac:dyDescent="0.2">
      <c r="A4190" s="27"/>
      <c r="B4190" s="25"/>
      <c r="E4190" s="10"/>
      <c r="O4190" s="10"/>
      <c r="V4190" s="10"/>
    </row>
    <row r="4191" spans="1:22" x14ac:dyDescent="0.2">
      <c r="A4191" s="27"/>
      <c r="B4191" s="25"/>
      <c r="E4191" s="10"/>
      <c r="O4191" s="10"/>
      <c r="V4191" s="10"/>
    </row>
    <row r="4192" spans="1:22" x14ac:dyDescent="0.2">
      <c r="A4192" s="27"/>
      <c r="B4192" s="25"/>
      <c r="E4192" s="10"/>
      <c r="O4192" s="10"/>
      <c r="V4192" s="10"/>
    </row>
    <row r="4193" spans="1:22" x14ac:dyDescent="0.2">
      <c r="A4193" s="27"/>
      <c r="B4193" s="25"/>
      <c r="E4193" s="10"/>
      <c r="O4193" s="10"/>
      <c r="V4193" s="10"/>
    </row>
    <row r="4194" spans="1:22" x14ac:dyDescent="0.2">
      <c r="A4194" s="27"/>
      <c r="B4194" s="25"/>
      <c r="E4194" s="10"/>
      <c r="O4194" s="10"/>
      <c r="V4194" s="10"/>
    </row>
    <row r="4195" spans="1:22" x14ac:dyDescent="0.2">
      <c r="A4195" s="27"/>
      <c r="B4195" s="25"/>
      <c r="E4195" s="10"/>
      <c r="O4195" s="10"/>
      <c r="V4195" s="10"/>
    </row>
    <row r="4196" spans="1:22" x14ac:dyDescent="0.2">
      <c r="A4196" s="27"/>
      <c r="B4196" s="25"/>
      <c r="E4196" s="10"/>
      <c r="O4196" s="10"/>
      <c r="V4196" s="10"/>
    </row>
    <row r="4197" spans="1:22" x14ac:dyDescent="0.2">
      <c r="A4197" s="27"/>
      <c r="B4197" s="25"/>
      <c r="E4197" s="10"/>
      <c r="O4197" s="10"/>
      <c r="V4197" s="10"/>
    </row>
    <row r="4198" spans="1:22" x14ac:dyDescent="0.2">
      <c r="A4198" s="27"/>
      <c r="B4198" s="25"/>
      <c r="E4198" s="10"/>
      <c r="O4198" s="10"/>
      <c r="V4198" s="10"/>
    </row>
    <row r="4199" spans="1:22" x14ac:dyDescent="0.2">
      <c r="A4199" s="27"/>
      <c r="B4199" s="25"/>
      <c r="E4199" s="10"/>
      <c r="O4199" s="10"/>
      <c r="V4199" s="10"/>
    </row>
    <row r="4200" spans="1:22" x14ac:dyDescent="0.2">
      <c r="A4200" s="27"/>
      <c r="B4200" s="25"/>
      <c r="E4200" s="10"/>
      <c r="O4200" s="10"/>
      <c r="V4200" s="10"/>
    </row>
    <row r="4201" spans="1:22" x14ac:dyDescent="0.2">
      <c r="A4201" s="27"/>
      <c r="B4201" s="25"/>
      <c r="E4201" s="10"/>
      <c r="O4201" s="10"/>
      <c r="V4201" s="10"/>
    </row>
    <row r="4202" spans="1:22" x14ac:dyDescent="0.2">
      <c r="A4202" s="27"/>
      <c r="B4202" s="25"/>
      <c r="E4202" s="10"/>
      <c r="O4202" s="10"/>
      <c r="V4202" s="10"/>
    </row>
    <row r="4203" spans="1:22" x14ac:dyDescent="0.2">
      <c r="A4203" s="27"/>
      <c r="B4203" s="25"/>
      <c r="E4203" s="10"/>
      <c r="O4203" s="10"/>
      <c r="V4203" s="10"/>
    </row>
    <row r="4204" spans="1:22" x14ac:dyDescent="0.2">
      <c r="A4204" s="27"/>
      <c r="B4204" s="25"/>
      <c r="E4204" s="10"/>
      <c r="O4204" s="10"/>
      <c r="V4204" s="10"/>
    </row>
    <row r="4205" spans="1:22" x14ac:dyDescent="0.2">
      <c r="A4205" s="27"/>
      <c r="B4205" s="25"/>
      <c r="E4205" s="10"/>
      <c r="O4205" s="10"/>
      <c r="V4205" s="10"/>
    </row>
    <row r="4206" spans="1:22" x14ac:dyDescent="0.2">
      <c r="A4206" s="27"/>
      <c r="B4206" s="25"/>
      <c r="E4206" s="10"/>
      <c r="O4206" s="10"/>
      <c r="V4206" s="10"/>
    </row>
    <row r="4207" spans="1:22" x14ac:dyDescent="0.2">
      <c r="A4207" s="27"/>
      <c r="B4207" s="25"/>
      <c r="E4207" s="10"/>
      <c r="O4207" s="10"/>
      <c r="V4207" s="10"/>
    </row>
    <row r="4208" spans="1:22" x14ac:dyDescent="0.2">
      <c r="A4208" s="27"/>
      <c r="B4208" s="25"/>
      <c r="E4208" s="10"/>
      <c r="O4208" s="10"/>
      <c r="V4208" s="10"/>
    </row>
    <row r="4209" spans="1:22" x14ac:dyDescent="0.2">
      <c r="A4209" s="27"/>
      <c r="B4209" s="25"/>
      <c r="E4209" s="10"/>
      <c r="O4209" s="10"/>
      <c r="V4209" s="10"/>
    </row>
    <row r="4210" spans="1:22" x14ac:dyDescent="0.2">
      <c r="A4210" s="27"/>
      <c r="B4210" s="25"/>
      <c r="E4210" s="10"/>
      <c r="O4210" s="10"/>
      <c r="V4210" s="10"/>
    </row>
    <row r="4211" spans="1:22" x14ac:dyDescent="0.2">
      <c r="A4211" s="27"/>
      <c r="B4211" s="25"/>
      <c r="E4211" s="10"/>
      <c r="O4211" s="10"/>
      <c r="V4211" s="10"/>
    </row>
    <row r="4212" spans="1:22" x14ac:dyDescent="0.2">
      <c r="A4212" s="27"/>
      <c r="B4212" s="25"/>
      <c r="E4212" s="10"/>
      <c r="O4212" s="10"/>
      <c r="V4212" s="10"/>
    </row>
    <row r="4213" spans="1:22" x14ac:dyDescent="0.2">
      <c r="A4213" s="27"/>
      <c r="B4213" s="25"/>
      <c r="E4213" s="10"/>
      <c r="O4213" s="10"/>
      <c r="V4213" s="10"/>
    </row>
    <row r="4214" spans="1:22" x14ac:dyDescent="0.2">
      <c r="A4214" s="27"/>
      <c r="B4214" s="25"/>
      <c r="E4214" s="10"/>
      <c r="O4214" s="10"/>
      <c r="V4214" s="10"/>
    </row>
    <row r="4215" spans="1:22" x14ac:dyDescent="0.2">
      <c r="A4215" s="27"/>
      <c r="B4215" s="25"/>
      <c r="E4215" s="10"/>
      <c r="O4215" s="10"/>
      <c r="V4215" s="10"/>
    </row>
    <row r="4216" spans="1:22" x14ac:dyDescent="0.2">
      <c r="A4216" s="27"/>
      <c r="B4216" s="25"/>
      <c r="E4216" s="10"/>
      <c r="O4216" s="10"/>
      <c r="V4216" s="10"/>
    </row>
    <row r="4217" spans="1:22" x14ac:dyDescent="0.2">
      <c r="A4217" s="27"/>
      <c r="B4217" s="25"/>
      <c r="E4217" s="10"/>
      <c r="O4217" s="10"/>
      <c r="V4217" s="10"/>
    </row>
    <row r="4218" spans="1:22" x14ac:dyDescent="0.2">
      <c r="A4218" s="27"/>
      <c r="B4218" s="25"/>
      <c r="E4218" s="10"/>
      <c r="O4218" s="10"/>
      <c r="V4218" s="10"/>
    </row>
    <row r="4219" spans="1:22" x14ac:dyDescent="0.2">
      <c r="A4219" s="27"/>
      <c r="B4219" s="25"/>
      <c r="E4219" s="10"/>
      <c r="O4219" s="10"/>
      <c r="V4219" s="10"/>
    </row>
    <row r="4220" spans="1:22" x14ac:dyDescent="0.2">
      <c r="A4220" s="27"/>
      <c r="B4220" s="25"/>
      <c r="E4220" s="10"/>
      <c r="O4220" s="10"/>
      <c r="V4220" s="10"/>
    </row>
    <row r="4221" spans="1:22" x14ac:dyDescent="0.2">
      <c r="A4221" s="27"/>
      <c r="B4221" s="25"/>
      <c r="E4221" s="10"/>
      <c r="O4221" s="10"/>
      <c r="V4221" s="10"/>
    </row>
    <row r="4222" spans="1:22" x14ac:dyDescent="0.2">
      <c r="A4222" s="27"/>
      <c r="B4222" s="25"/>
      <c r="E4222" s="10"/>
      <c r="O4222" s="10"/>
      <c r="V4222" s="10"/>
    </row>
    <row r="4223" spans="1:22" x14ac:dyDescent="0.2">
      <c r="A4223" s="27"/>
      <c r="B4223" s="25"/>
      <c r="E4223" s="10"/>
      <c r="O4223" s="10"/>
      <c r="V4223" s="10"/>
    </row>
    <row r="4224" spans="1:22" x14ac:dyDescent="0.2">
      <c r="A4224" s="27"/>
      <c r="B4224" s="25"/>
      <c r="E4224" s="10"/>
      <c r="O4224" s="10"/>
      <c r="V4224" s="10"/>
    </row>
    <row r="4225" spans="1:22" x14ac:dyDescent="0.2">
      <c r="A4225" s="27"/>
      <c r="B4225" s="25"/>
      <c r="E4225" s="10"/>
      <c r="O4225" s="10"/>
      <c r="V4225" s="10"/>
    </row>
    <row r="4226" spans="1:22" x14ac:dyDescent="0.2">
      <c r="A4226" s="27"/>
      <c r="B4226" s="25"/>
      <c r="E4226" s="10"/>
      <c r="O4226" s="10"/>
      <c r="V4226" s="10"/>
    </row>
    <row r="4227" spans="1:22" x14ac:dyDescent="0.2">
      <c r="A4227" s="27"/>
      <c r="B4227" s="25"/>
      <c r="E4227" s="10"/>
      <c r="O4227" s="10"/>
      <c r="V4227" s="10"/>
    </row>
    <row r="4228" spans="1:22" x14ac:dyDescent="0.2">
      <c r="A4228" s="27"/>
      <c r="B4228" s="25"/>
      <c r="E4228" s="10"/>
      <c r="O4228" s="10"/>
      <c r="V4228" s="10"/>
    </row>
    <row r="4229" spans="1:22" x14ac:dyDescent="0.2">
      <c r="A4229" s="27"/>
      <c r="B4229" s="25"/>
      <c r="E4229" s="10"/>
      <c r="O4229" s="10"/>
      <c r="V4229" s="10"/>
    </row>
    <row r="4230" spans="1:22" x14ac:dyDescent="0.2">
      <c r="A4230" s="27"/>
      <c r="B4230" s="25"/>
      <c r="E4230" s="10"/>
      <c r="O4230" s="10"/>
      <c r="V4230" s="10"/>
    </row>
    <row r="4231" spans="1:22" x14ac:dyDescent="0.2">
      <c r="A4231" s="27"/>
      <c r="B4231" s="25"/>
      <c r="E4231" s="10"/>
      <c r="O4231" s="10"/>
      <c r="V4231" s="10"/>
    </row>
    <row r="4232" spans="1:22" x14ac:dyDescent="0.2">
      <c r="A4232" s="27"/>
      <c r="B4232" s="25"/>
      <c r="E4232" s="10"/>
      <c r="O4232" s="10"/>
      <c r="V4232" s="10"/>
    </row>
    <row r="4233" spans="1:22" x14ac:dyDescent="0.2">
      <c r="A4233" s="27"/>
      <c r="B4233" s="25"/>
      <c r="E4233" s="10"/>
      <c r="O4233" s="10"/>
      <c r="V4233" s="10"/>
    </row>
    <row r="4234" spans="1:22" x14ac:dyDescent="0.2">
      <c r="A4234" s="27"/>
      <c r="B4234" s="25"/>
      <c r="E4234" s="10"/>
      <c r="O4234" s="10"/>
      <c r="V4234" s="10"/>
    </row>
    <row r="4235" spans="1:22" x14ac:dyDescent="0.2">
      <c r="A4235" s="27"/>
      <c r="B4235" s="25"/>
      <c r="E4235" s="10"/>
      <c r="O4235" s="10"/>
      <c r="V4235" s="10"/>
    </row>
    <row r="4236" spans="1:22" x14ac:dyDescent="0.2">
      <c r="A4236" s="27"/>
      <c r="B4236" s="25"/>
      <c r="E4236" s="10"/>
      <c r="O4236" s="10"/>
      <c r="V4236" s="10"/>
    </row>
    <row r="4237" spans="1:22" x14ac:dyDescent="0.2">
      <c r="A4237" s="27"/>
      <c r="B4237" s="25"/>
      <c r="E4237" s="10"/>
      <c r="O4237" s="10"/>
      <c r="V4237" s="10"/>
    </row>
    <row r="4238" spans="1:22" x14ac:dyDescent="0.2">
      <c r="A4238" s="27"/>
      <c r="B4238" s="25"/>
      <c r="E4238" s="10"/>
      <c r="O4238" s="10"/>
      <c r="V4238" s="10"/>
    </row>
    <row r="4239" spans="1:22" x14ac:dyDescent="0.2">
      <c r="A4239" s="27"/>
      <c r="B4239" s="25"/>
      <c r="E4239" s="10"/>
      <c r="O4239" s="10"/>
      <c r="V4239" s="10"/>
    </row>
    <row r="4240" spans="1:22" x14ac:dyDescent="0.2">
      <c r="A4240" s="27"/>
      <c r="B4240" s="25"/>
      <c r="E4240" s="10"/>
      <c r="O4240" s="10"/>
      <c r="V4240" s="10"/>
    </row>
    <row r="4241" spans="1:22" x14ac:dyDescent="0.2">
      <c r="A4241" s="27"/>
      <c r="B4241" s="25"/>
      <c r="E4241" s="10"/>
      <c r="O4241" s="10"/>
      <c r="V4241" s="10"/>
    </row>
    <row r="4242" spans="1:22" x14ac:dyDescent="0.2">
      <c r="A4242" s="27"/>
      <c r="B4242" s="25"/>
      <c r="E4242" s="10"/>
      <c r="O4242" s="10"/>
      <c r="V4242" s="10"/>
    </row>
    <row r="4243" spans="1:22" x14ac:dyDescent="0.2">
      <c r="A4243" s="27"/>
      <c r="B4243" s="25"/>
      <c r="E4243" s="10"/>
      <c r="O4243" s="10"/>
      <c r="V4243" s="10"/>
    </row>
    <row r="4244" spans="1:22" x14ac:dyDescent="0.2">
      <c r="A4244" s="27"/>
      <c r="B4244" s="25"/>
      <c r="E4244" s="10"/>
      <c r="O4244" s="10"/>
      <c r="V4244" s="10"/>
    </row>
    <row r="4245" spans="1:22" x14ac:dyDescent="0.2">
      <c r="A4245" s="27"/>
      <c r="B4245" s="25"/>
      <c r="E4245" s="10"/>
      <c r="O4245" s="10"/>
      <c r="V4245" s="10"/>
    </row>
    <row r="4246" spans="1:22" x14ac:dyDescent="0.2">
      <c r="A4246" s="27"/>
      <c r="B4246" s="25"/>
      <c r="E4246" s="10"/>
      <c r="O4246" s="10"/>
      <c r="V4246" s="10"/>
    </row>
    <row r="4247" spans="1:22" x14ac:dyDescent="0.2">
      <c r="A4247" s="27"/>
      <c r="B4247" s="25"/>
      <c r="E4247" s="10"/>
      <c r="O4247" s="10"/>
      <c r="V4247" s="10"/>
    </row>
    <row r="4248" spans="1:22" x14ac:dyDescent="0.2">
      <c r="A4248" s="27"/>
      <c r="B4248" s="25"/>
      <c r="E4248" s="10"/>
      <c r="O4248" s="10"/>
      <c r="V4248" s="10"/>
    </row>
    <row r="4249" spans="1:22" x14ac:dyDescent="0.2">
      <c r="A4249" s="27"/>
      <c r="B4249" s="25"/>
      <c r="E4249" s="10"/>
      <c r="O4249" s="10"/>
      <c r="V4249" s="10"/>
    </row>
    <row r="4250" spans="1:22" x14ac:dyDescent="0.2">
      <c r="A4250" s="27"/>
      <c r="B4250" s="25"/>
      <c r="E4250" s="10"/>
      <c r="O4250" s="10"/>
      <c r="V4250" s="10"/>
    </row>
    <row r="4251" spans="1:22" x14ac:dyDescent="0.2">
      <c r="A4251" s="27"/>
      <c r="B4251" s="25"/>
      <c r="E4251" s="10"/>
      <c r="O4251" s="10"/>
      <c r="V4251" s="10"/>
    </row>
    <row r="4252" spans="1:22" x14ac:dyDescent="0.2">
      <c r="A4252" s="27"/>
      <c r="B4252" s="25"/>
      <c r="E4252" s="10"/>
      <c r="O4252" s="10"/>
      <c r="V4252" s="10"/>
    </row>
    <row r="4253" spans="1:22" x14ac:dyDescent="0.2">
      <c r="A4253" s="27"/>
      <c r="B4253" s="25"/>
      <c r="E4253" s="10"/>
      <c r="O4253" s="10"/>
      <c r="V4253" s="10"/>
    </row>
    <row r="4254" spans="1:22" x14ac:dyDescent="0.2">
      <c r="A4254" s="27"/>
      <c r="B4254" s="25"/>
      <c r="E4254" s="10"/>
      <c r="O4254" s="10"/>
      <c r="V4254" s="10"/>
    </row>
    <row r="4255" spans="1:22" x14ac:dyDescent="0.2">
      <c r="A4255" s="27"/>
      <c r="B4255" s="25"/>
      <c r="E4255" s="10"/>
      <c r="O4255" s="10"/>
      <c r="V4255" s="10"/>
    </row>
    <row r="4256" spans="1:22" x14ac:dyDescent="0.2">
      <c r="A4256" s="27"/>
      <c r="B4256" s="25"/>
      <c r="E4256" s="10"/>
      <c r="O4256" s="10"/>
      <c r="V4256" s="10"/>
    </row>
    <row r="4257" spans="1:22" x14ac:dyDescent="0.2">
      <c r="A4257" s="27"/>
      <c r="B4257" s="25"/>
      <c r="E4257" s="10"/>
      <c r="O4257" s="10"/>
      <c r="V4257" s="10"/>
    </row>
    <row r="4258" spans="1:22" x14ac:dyDescent="0.2">
      <c r="A4258" s="27"/>
      <c r="B4258" s="25"/>
      <c r="E4258" s="10"/>
      <c r="O4258" s="10"/>
      <c r="V4258" s="10"/>
    </row>
    <row r="4259" spans="1:22" x14ac:dyDescent="0.2">
      <c r="A4259" s="27"/>
      <c r="B4259" s="25"/>
      <c r="E4259" s="10"/>
      <c r="O4259" s="10"/>
      <c r="V4259" s="10"/>
    </row>
    <row r="4260" spans="1:22" x14ac:dyDescent="0.2">
      <c r="A4260" s="27"/>
      <c r="B4260" s="25"/>
      <c r="E4260" s="10"/>
      <c r="O4260" s="10"/>
      <c r="V4260" s="10"/>
    </row>
    <row r="4261" spans="1:22" x14ac:dyDescent="0.2">
      <c r="A4261" s="27"/>
      <c r="B4261" s="25"/>
      <c r="E4261" s="10"/>
      <c r="O4261" s="10"/>
      <c r="V4261" s="10"/>
    </row>
    <row r="4262" spans="1:22" x14ac:dyDescent="0.2">
      <c r="A4262" s="27"/>
      <c r="B4262" s="25"/>
      <c r="E4262" s="10"/>
      <c r="O4262" s="10"/>
      <c r="V4262" s="10"/>
    </row>
    <row r="4263" spans="1:22" x14ac:dyDescent="0.2">
      <c r="A4263" s="27"/>
      <c r="B4263" s="25"/>
      <c r="E4263" s="10"/>
      <c r="O4263" s="10"/>
      <c r="V4263" s="10"/>
    </row>
    <row r="4264" spans="1:22" x14ac:dyDescent="0.2">
      <c r="A4264" s="27"/>
      <c r="B4264" s="25"/>
      <c r="E4264" s="10"/>
      <c r="O4264" s="10"/>
      <c r="V4264" s="10"/>
    </row>
    <row r="4265" spans="1:22" x14ac:dyDescent="0.2">
      <c r="A4265" s="27"/>
      <c r="B4265" s="25"/>
      <c r="E4265" s="10"/>
      <c r="O4265" s="10"/>
      <c r="V4265" s="10"/>
    </row>
    <row r="4266" spans="1:22" x14ac:dyDescent="0.2">
      <c r="A4266" s="27"/>
      <c r="B4266" s="25"/>
      <c r="E4266" s="10"/>
      <c r="O4266" s="10"/>
      <c r="V4266" s="10"/>
    </row>
    <row r="4267" spans="1:22" x14ac:dyDescent="0.2">
      <c r="A4267" s="27"/>
      <c r="B4267" s="25"/>
      <c r="E4267" s="10"/>
      <c r="O4267" s="10"/>
      <c r="V4267" s="10"/>
    </row>
    <row r="4268" spans="1:22" x14ac:dyDescent="0.2">
      <c r="A4268" s="27"/>
      <c r="B4268" s="25"/>
      <c r="E4268" s="10"/>
      <c r="O4268" s="10"/>
      <c r="V4268" s="10"/>
    </row>
    <row r="4269" spans="1:22" x14ac:dyDescent="0.2">
      <c r="A4269" s="27"/>
      <c r="B4269" s="25"/>
      <c r="E4269" s="10"/>
      <c r="O4269" s="10"/>
      <c r="V4269" s="10"/>
    </row>
    <row r="4270" spans="1:22" x14ac:dyDescent="0.2">
      <c r="A4270" s="27"/>
      <c r="B4270" s="25"/>
      <c r="E4270" s="10"/>
      <c r="O4270" s="10"/>
      <c r="V4270" s="10"/>
    </row>
    <row r="4271" spans="1:22" x14ac:dyDescent="0.2">
      <c r="A4271" s="27"/>
      <c r="B4271" s="25"/>
      <c r="E4271" s="10"/>
      <c r="O4271" s="10"/>
      <c r="V4271" s="10"/>
    </row>
    <row r="4272" spans="1:22" x14ac:dyDescent="0.2">
      <c r="A4272" s="27"/>
      <c r="B4272" s="25"/>
      <c r="E4272" s="10"/>
      <c r="O4272" s="10"/>
      <c r="V4272" s="10"/>
    </row>
    <row r="4273" spans="1:22" x14ac:dyDescent="0.2">
      <c r="A4273" s="27"/>
      <c r="B4273" s="25"/>
      <c r="E4273" s="10"/>
      <c r="O4273" s="10"/>
      <c r="V4273" s="10"/>
    </row>
    <row r="4274" spans="1:22" x14ac:dyDescent="0.2">
      <c r="A4274" s="27"/>
      <c r="B4274" s="25"/>
      <c r="E4274" s="10"/>
      <c r="O4274" s="10"/>
      <c r="V4274" s="10"/>
    </row>
    <row r="4275" spans="1:22" x14ac:dyDescent="0.2">
      <c r="A4275" s="27"/>
      <c r="B4275" s="25"/>
      <c r="E4275" s="10"/>
      <c r="O4275" s="10"/>
      <c r="V4275" s="10"/>
    </row>
    <row r="4276" spans="1:22" x14ac:dyDescent="0.2">
      <c r="A4276" s="27"/>
      <c r="B4276" s="25"/>
      <c r="E4276" s="10"/>
      <c r="O4276" s="10"/>
      <c r="V4276" s="10"/>
    </row>
    <row r="4277" spans="1:22" x14ac:dyDescent="0.2">
      <c r="A4277" s="27"/>
      <c r="B4277" s="25"/>
      <c r="E4277" s="10"/>
      <c r="O4277" s="10"/>
      <c r="V4277" s="10"/>
    </row>
    <row r="4278" spans="1:22" x14ac:dyDescent="0.2">
      <c r="A4278" s="27"/>
      <c r="B4278" s="25"/>
      <c r="E4278" s="10"/>
      <c r="O4278" s="10"/>
      <c r="V4278" s="10"/>
    </row>
    <row r="4279" spans="1:22" x14ac:dyDescent="0.2">
      <c r="A4279" s="27"/>
      <c r="B4279" s="25"/>
      <c r="E4279" s="10"/>
      <c r="O4279" s="10"/>
      <c r="V4279" s="10"/>
    </row>
    <row r="4280" spans="1:22" x14ac:dyDescent="0.2">
      <c r="A4280" s="27"/>
      <c r="B4280" s="25"/>
      <c r="E4280" s="10"/>
      <c r="O4280" s="10"/>
      <c r="V4280" s="10"/>
    </row>
    <row r="4281" spans="1:22" x14ac:dyDescent="0.2">
      <c r="A4281" s="27"/>
      <c r="B4281" s="25"/>
      <c r="E4281" s="10"/>
      <c r="O4281" s="10"/>
      <c r="V4281" s="10"/>
    </row>
    <row r="4282" spans="1:22" x14ac:dyDescent="0.2">
      <c r="A4282" s="27"/>
      <c r="B4282" s="25"/>
      <c r="E4282" s="10"/>
      <c r="O4282" s="10"/>
      <c r="V4282" s="10"/>
    </row>
    <row r="4283" spans="1:22" x14ac:dyDescent="0.2">
      <c r="A4283" s="27"/>
      <c r="B4283" s="25"/>
      <c r="E4283" s="10"/>
      <c r="O4283" s="10"/>
      <c r="V4283" s="10"/>
    </row>
    <row r="4284" spans="1:22" x14ac:dyDescent="0.2">
      <c r="A4284" s="27"/>
      <c r="B4284" s="25"/>
      <c r="E4284" s="10"/>
      <c r="O4284" s="10"/>
      <c r="V4284" s="10"/>
    </row>
    <row r="4285" spans="1:22" x14ac:dyDescent="0.2">
      <c r="A4285" s="27"/>
      <c r="B4285" s="25"/>
      <c r="E4285" s="10"/>
      <c r="O4285" s="10"/>
      <c r="V4285" s="10"/>
    </row>
    <row r="4286" spans="1:22" x14ac:dyDescent="0.2">
      <c r="A4286" s="27"/>
      <c r="B4286" s="25"/>
      <c r="E4286" s="10"/>
      <c r="O4286" s="10"/>
      <c r="V4286" s="10"/>
    </row>
    <row r="4287" spans="1:22" x14ac:dyDescent="0.2">
      <c r="A4287" s="27"/>
      <c r="B4287" s="25"/>
      <c r="E4287" s="10"/>
      <c r="O4287" s="10"/>
      <c r="V4287" s="10"/>
    </row>
    <row r="4288" spans="1:22" x14ac:dyDescent="0.2">
      <c r="A4288" s="27"/>
      <c r="B4288" s="25"/>
      <c r="E4288" s="10"/>
      <c r="O4288" s="10"/>
      <c r="V4288" s="10"/>
    </row>
    <row r="4289" spans="1:22" x14ac:dyDescent="0.2">
      <c r="A4289" s="27"/>
      <c r="B4289" s="25"/>
      <c r="E4289" s="10"/>
      <c r="O4289" s="10"/>
      <c r="V4289" s="10"/>
    </row>
    <row r="4290" spans="1:22" x14ac:dyDescent="0.2">
      <c r="A4290" s="27"/>
      <c r="B4290" s="25"/>
      <c r="E4290" s="10"/>
      <c r="O4290" s="10"/>
      <c r="V4290" s="10"/>
    </row>
    <row r="4291" spans="1:22" x14ac:dyDescent="0.2">
      <c r="A4291" s="27"/>
      <c r="B4291" s="25"/>
      <c r="E4291" s="10"/>
      <c r="O4291" s="10"/>
      <c r="V4291" s="10"/>
    </row>
    <row r="4292" spans="1:22" x14ac:dyDescent="0.2">
      <c r="A4292" s="27"/>
      <c r="B4292" s="25"/>
      <c r="E4292" s="10"/>
      <c r="O4292" s="10"/>
      <c r="V4292" s="10"/>
    </row>
    <row r="4293" spans="1:22" x14ac:dyDescent="0.2">
      <c r="A4293" s="27"/>
      <c r="B4293" s="25"/>
      <c r="E4293" s="10"/>
      <c r="O4293" s="10"/>
      <c r="V4293" s="10"/>
    </row>
    <row r="4294" spans="1:22" x14ac:dyDescent="0.2">
      <c r="A4294" s="27"/>
      <c r="B4294" s="25"/>
      <c r="E4294" s="10"/>
      <c r="O4294" s="10"/>
      <c r="V4294" s="10"/>
    </row>
    <row r="4295" spans="1:22" x14ac:dyDescent="0.2">
      <c r="A4295" s="27"/>
      <c r="B4295" s="25"/>
      <c r="E4295" s="10"/>
      <c r="O4295" s="10"/>
      <c r="V4295" s="10"/>
    </row>
    <row r="4296" spans="1:22" x14ac:dyDescent="0.2">
      <c r="A4296" s="27"/>
      <c r="B4296" s="25"/>
      <c r="E4296" s="10"/>
      <c r="O4296" s="10"/>
      <c r="V4296" s="10"/>
    </row>
    <row r="4297" spans="1:22" x14ac:dyDescent="0.2">
      <c r="A4297" s="27"/>
      <c r="B4297" s="25"/>
      <c r="E4297" s="10"/>
      <c r="O4297" s="10"/>
      <c r="V4297" s="10"/>
    </row>
    <row r="4298" spans="1:22" x14ac:dyDescent="0.2">
      <c r="A4298" s="27"/>
      <c r="B4298" s="25"/>
      <c r="E4298" s="10"/>
      <c r="O4298" s="10"/>
      <c r="V4298" s="10"/>
    </row>
    <row r="4299" spans="1:22" x14ac:dyDescent="0.2">
      <c r="A4299" s="27"/>
      <c r="B4299" s="25"/>
      <c r="E4299" s="10"/>
      <c r="O4299" s="10"/>
      <c r="V4299" s="10"/>
    </row>
    <row r="4300" spans="1:22" x14ac:dyDescent="0.2">
      <c r="A4300" s="27"/>
      <c r="B4300" s="25"/>
      <c r="E4300" s="10"/>
      <c r="O4300" s="10"/>
      <c r="V4300" s="10"/>
    </row>
    <row r="4301" spans="1:22" x14ac:dyDescent="0.2">
      <c r="A4301" s="27"/>
      <c r="B4301" s="25"/>
      <c r="E4301" s="10"/>
      <c r="O4301" s="10"/>
      <c r="V4301" s="10"/>
    </row>
    <row r="4302" spans="1:22" x14ac:dyDescent="0.2">
      <c r="A4302" s="27"/>
      <c r="B4302" s="25"/>
      <c r="E4302" s="10"/>
      <c r="O4302" s="10"/>
      <c r="V4302" s="10"/>
    </row>
    <row r="4303" spans="1:22" x14ac:dyDescent="0.2">
      <c r="A4303" s="27"/>
      <c r="B4303" s="25"/>
      <c r="E4303" s="10"/>
      <c r="O4303" s="10"/>
      <c r="V4303" s="10"/>
    </row>
    <row r="4304" spans="1:22" x14ac:dyDescent="0.2">
      <c r="A4304" s="27"/>
      <c r="B4304" s="25"/>
      <c r="E4304" s="10"/>
      <c r="O4304" s="10"/>
      <c r="V4304" s="10"/>
    </row>
    <row r="4305" spans="1:22" x14ac:dyDescent="0.2">
      <c r="A4305" s="27"/>
      <c r="B4305" s="25"/>
      <c r="E4305" s="10"/>
      <c r="O4305" s="10"/>
      <c r="V4305" s="10"/>
    </row>
    <row r="4306" spans="1:22" x14ac:dyDescent="0.2">
      <c r="A4306" s="27"/>
      <c r="B4306" s="25"/>
      <c r="E4306" s="10"/>
      <c r="O4306" s="10"/>
      <c r="V4306" s="10"/>
    </row>
    <row r="4307" spans="1:22" x14ac:dyDescent="0.2">
      <c r="A4307" s="27"/>
      <c r="B4307" s="25"/>
      <c r="E4307" s="10"/>
      <c r="O4307" s="10"/>
      <c r="V4307" s="10"/>
    </row>
    <row r="4308" spans="1:22" x14ac:dyDescent="0.2">
      <c r="A4308" s="27"/>
      <c r="B4308" s="25"/>
      <c r="E4308" s="10"/>
      <c r="O4308" s="10"/>
      <c r="V4308" s="10"/>
    </row>
    <row r="4309" spans="1:22" x14ac:dyDescent="0.2">
      <c r="A4309" s="27"/>
      <c r="B4309" s="25"/>
      <c r="E4309" s="10"/>
      <c r="O4309" s="10"/>
      <c r="V4309" s="10"/>
    </row>
    <row r="4310" spans="1:22" x14ac:dyDescent="0.2">
      <c r="A4310" s="27"/>
      <c r="B4310" s="25"/>
      <c r="E4310" s="10"/>
      <c r="O4310" s="10"/>
      <c r="V4310" s="10"/>
    </row>
    <row r="4311" spans="1:22" x14ac:dyDescent="0.2">
      <c r="A4311" s="27"/>
      <c r="B4311" s="25"/>
      <c r="E4311" s="10"/>
      <c r="O4311" s="10"/>
      <c r="V4311" s="10"/>
    </row>
    <row r="4312" spans="1:22" x14ac:dyDescent="0.2">
      <c r="A4312" s="27"/>
      <c r="B4312" s="25"/>
      <c r="E4312" s="10"/>
      <c r="O4312" s="10"/>
      <c r="V4312" s="10"/>
    </row>
    <row r="4313" spans="1:22" x14ac:dyDescent="0.2">
      <c r="A4313" s="27"/>
      <c r="B4313" s="25"/>
      <c r="E4313" s="10"/>
      <c r="O4313" s="10"/>
      <c r="V4313" s="10"/>
    </row>
    <row r="4314" spans="1:22" x14ac:dyDescent="0.2">
      <c r="A4314" s="27"/>
      <c r="B4314" s="25"/>
      <c r="E4314" s="10"/>
      <c r="O4314" s="10"/>
      <c r="V4314" s="10"/>
    </row>
    <row r="4315" spans="1:22" x14ac:dyDescent="0.2">
      <c r="A4315" s="27"/>
      <c r="B4315" s="25"/>
      <c r="E4315" s="10"/>
      <c r="O4315" s="10"/>
      <c r="V4315" s="10"/>
    </row>
    <row r="4316" spans="1:22" x14ac:dyDescent="0.2">
      <c r="A4316" s="27"/>
      <c r="B4316" s="25"/>
      <c r="E4316" s="10"/>
      <c r="O4316" s="10"/>
      <c r="V4316" s="10"/>
    </row>
    <row r="4317" spans="1:22" x14ac:dyDescent="0.2">
      <c r="A4317" s="27"/>
      <c r="B4317" s="25"/>
      <c r="E4317" s="10"/>
      <c r="O4317" s="10"/>
      <c r="V4317" s="10"/>
    </row>
    <row r="4318" spans="1:22" x14ac:dyDescent="0.2">
      <c r="A4318" s="27"/>
      <c r="B4318" s="25"/>
      <c r="E4318" s="10"/>
      <c r="O4318" s="10"/>
      <c r="V4318" s="10"/>
    </row>
    <row r="4319" spans="1:22" x14ac:dyDescent="0.2">
      <c r="A4319" s="27"/>
      <c r="B4319" s="25"/>
      <c r="E4319" s="10"/>
      <c r="O4319" s="10"/>
      <c r="V4319" s="10"/>
    </row>
    <row r="4320" spans="1:22" x14ac:dyDescent="0.2">
      <c r="A4320" s="27"/>
      <c r="B4320" s="25"/>
      <c r="E4320" s="10"/>
      <c r="O4320" s="10"/>
      <c r="V4320" s="10"/>
    </row>
    <row r="4321" spans="1:22" x14ac:dyDescent="0.2">
      <c r="A4321" s="27"/>
      <c r="B4321" s="25"/>
      <c r="E4321" s="10"/>
      <c r="O4321" s="10"/>
      <c r="V4321" s="10"/>
    </row>
    <row r="4322" spans="1:22" x14ac:dyDescent="0.2">
      <c r="A4322" s="27"/>
      <c r="B4322" s="25"/>
      <c r="E4322" s="10"/>
      <c r="O4322" s="10"/>
      <c r="V4322" s="10"/>
    </row>
    <row r="4323" spans="1:22" x14ac:dyDescent="0.2">
      <c r="A4323" s="27"/>
      <c r="B4323" s="25"/>
      <c r="E4323" s="10"/>
      <c r="O4323" s="10"/>
      <c r="V4323" s="10"/>
    </row>
    <row r="4324" spans="1:22" x14ac:dyDescent="0.2">
      <c r="A4324" s="27"/>
      <c r="B4324" s="25"/>
      <c r="E4324" s="10"/>
      <c r="O4324" s="10"/>
      <c r="V4324" s="10"/>
    </row>
    <row r="4325" spans="1:22" x14ac:dyDescent="0.2">
      <c r="A4325" s="27"/>
      <c r="B4325" s="25"/>
      <c r="E4325" s="10"/>
      <c r="O4325" s="10"/>
      <c r="V4325" s="10"/>
    </row>
    <row r="4326" spans="1:22" x14ac:dyDescent="0.2">
      <c r="A4326" s="27"/>
      <c r="B4326" s="25"/>
      <c r="E4326" s="10"/>
      <c r="O4326" s="10"/>
      <c r="V4326" s="10"/>
    </row>
    <row r="4327" spans="1:22" x14ac:dyDescent="0.2">
      <c r="A4327" s="27"/>
      <c r="B4327" s="25"/>
      <c r="E4327" s="10"/>
      <c r="O4327" s="10"/>
      <c r="V4327" s="10"/>
    </row>
    <row r="4328" spans="1:22" x14ac:dyDescent="0.2">
      <c r="A4328" s="27"/>
      <c r="B4328" s="25"/>
      <c r="E4328" s="10"/>
      <c r="O4328" s="10"/>
      <c r="V4328" s="10"/>
    </row>
    <row r="4329" spans="1:22" x14ac:dyDescent="0.2">
      <c r="A4329" s="27"/>
      <c r="B4329" s="25"/>
      <c r="E4329" s="10"/>
      <c r="O4329" s="10"/>
      <c r="V4329" s="10"/>
    </row>
    <row r="4330" spans="1:22" x14ac:dyDescent="0.2">
      <c r="A4330" s="27"/>
      <c r="B4330" s="25"/>
      <c r="E4330" s="10"/>
      <c r="O4330" s="10"/>
      <c r="V4330" s="10"/>
    </row>
    <row r="4331" spans="1:22" x14ac:dyDescent="0.2">
      <c r="A4331" s="27"/>
      <c r="B4331" s="25"/>
      <c r="E4331" s="10"/>
      <c r="O4331" s="10"/>
      <c r="V4331" s="10"/>
    </row>
    <row r="4332" spans="1:22" x14ac:dyDescent="0.2">
      <c r="A4332" s="27"/>
      <c r="B4332" s="25"/>
      <c r="E4332" s="10"/>
      <c r="O4332" s="10"/>
      <c r="V4332" s="10"/>
    </row>
    <row r="4333" spans="1:22" x14ac:dyDescent="0.2">
      <c r="A4333" s="27"/>
      <c r="B4333" s="25"/>
      <c r="E4333" s="10"/>
      <c r="O4333" s="10"/>
      <c r="V4333" s="10"/>
    </row>
    <row r="4334" spans="1:22" x14ac:dyDescent="0.2">
      <c r="A4334" s="27"/>
      <c r="B4334" s="25"/>
      <c r="E4334" s="10"/>
      <c r="O4334" s="10"/>
      <c r="V4334" s="10"/>
    </row>
    <row r="4335" spans="1:22" x14ac:dyDescent="0.2">
      <c r="A4335" s="27"/>
      <c r="B4335" s="25"/>
      <c r="E4335" s="10"/>
      <c r="O4335" s="10"/>
      <c r="V4335" s="10"/>
    </row>
    <row r="4336" spans="1:22" x14ac:dyDescent="0.2">
      <c r="A4336" s="27"/>
      <c r="B4336" s="25"/>
      <c r="E4336" s="10"/>
      <c r="O4336" s="10"/>
      <c r="V4336" s="10"/>
    </row>
    <row r="4337" spans="1:22" x14ac:dyDescent="0.2">
      <c r="A4337" s="27"/>
      <c r="B4337" s="25"/>
      <c r="E4337" s="10"/>
      <c r="O4337" s="10"/>
      <c r="V4337" s="10"/>
    </row>
    <row r="4338" spans="1:22" x14ac:dyDescent="0.2">
      <c r="A4338" s="27"/>
      <c r="B4338" s="25"/>
      <c r="E4338" s="10"/>
      <c r="O4338" s="10"/>
      <c r="V4338" s="10"/>
    </row>
    <row r="4339" spans="1:22" x14ac:dyDescent="0.2">
      <c r="A4339" s="27"/>
      <c r="B4339" s="25"/>
      <c r="E4339" s="10"/>
      <c r="O4339" s="10"/>
      <c r="V4339" s="10"/>
    </row>
    <row r="4340" spans="1:22" x14ac:dyDescent="0.2">
      <c r="A4340" s="27"/>
      <c r="B4340" s="25"/>
      <c r="E4340" s="10"/>
      <c r="O4340" s="10"/>
      <c r="V4340" s="10"/>
    </row>
    <row r="4341" spans="1:22" x14ac:dyDescent="0.2">
      <c r="A4341" s="27"/>
      <c r="B4341" s="25"/>
      <c r="E4341" s="10"/>
      <c r="O4341" s="10"/>
      <c r="V4341" s="10"/>
    </row>
    <row r="4342" spans="1:22" x14ac:dyDescent="0.2">
      <c r="A4342" s="27"/>
      <c r="B4342" s="25"/>
      <c r="E4342" s="10"/>
      <c r="O4342" s="10"/>
      <c r="V4342" s="10"/>
    </row>
    <row r="4343" spans="1:22" x14ac:dyDescent="0.2">
      <c r="A4343" s="27"/>
      <c r="B4343" s="25"/>
      <c r="E4343" s="10"/>
      <c r="O4343" s="10"/>
      <c r="V4343" s="10"/>
    </row>
    <row r="4344" spans="1:22" x14ac:dyDescent="0.2">
      <c r="A4344" s="27"/>
      <c r="B4344" s="25"/>
      <c r="E4344" s="10"/>
      <c r="O4344" s="10"/>
      <c r="V4344" s="10"/>
    </row>
    <row r="4345" spans="1:22" x14ac:dyDescent="0.2">
      <c r="A4345" s="27"/>
      <c r="B4345" s="25"/>
      <c r="E4345" s="10"/>
      <c r="O4345" s="10"/>
      <c r="V4345" s="10"/>
    </row>
    <row r="4346" spans="1:22" x14ac:dyDescent="0.2">
      <c r="A4346" s="27"/>
      <c r="B4346" s="25"/>
      <c r="E4346" s="10"/>
      <c r="O4346" s="10"/>
      <c r="V4346" s="10"/>
    </row>
    <row r="4347" spans="1:22" x14ac:dyDescent="0.2">
      <c r="A4347" s="27"/>
      <c r="B4347" s="25"/>
      <c r="E4347" s="10"/>
      <c r="O4347" s="10"/>
      <c r="V4347" s="10"/>
    </row>
    <row r="4348" spans="1:22" x14ac:dyDescent="0.2">
      <c r="A4348" s="27"/>
      <c r="B4348" s="25"/>
      <c r="E4348" s="10"/>
      <c r="O4348" s="10"/>
      <c r="V4348" s="10"/>
    </row>
    <row r="4349" spans="1:22" x14ac:dyDescent="0.2">
      <c r="A4349" s="27"/>
      <c r="B4349" s="25"/>
      <c r="E4349" s="10"/>
      <c r="O4349" s="10"/>
      <c r="V4349" s="10"/>
    </row>
    <row r="4350" spans="1:22" x14ac:dyDescent="0.2">
      <c r="A4350" s="27"/>
      <c r="B4350" s="25"/>
      <c r="E4350" s="10"/>
      <c r="O4350" s="10"/>
      <c r="V4350" s="10"/>
    </row>
    <row r="4351" spans="1:22" x14ac:dyDescent="0.2">
      <c r="A4351" s="27"/>
      <c r="B4351" s="25"/>
      <c r="E4351" s="10"/>
      <c r="O4351" s="10"/>
      <c r="V4351" s="10"/>
    </row>
    <row r="4352" spans="1:22" x14ac:dyDescent="0.2">
      <c r="A4352" s="27"/>
      <c r="B4352" s="25"/>
      <c r="E4352" s="10"/>
      <c r="O4352" s="10"/>
      <c r="V4352" s="10"/>
    </row>
    <row r="4353" spans="1:22" x14ac:dyDescent="0.2">
      <c r="A4353" s="27"/>
      <c r="B4353" s="25"/>
      <c r="E4353" s="10"/>
      <c r="O4353" s="10"/>
      <c r="V4353" s="10"/>
    </row>
    <row r="4354" spans="1:22" x14ac:dyDescent="0.2">
      <c r="A4354" s="27"/>
      <c r="B4354" s="25"/>
      <c r="E4354" s="10"/>
      <c r="O4354" s="10"/>
      <c r="V4354" s="10"/>
    </row>
    <row r="4355" spans="1:22" x14ac:dyDescent="0.2">
      <c r="A4355" s="27"/>
      <c r="B4355" s="25"/>
      <c r="E4355" s="10"/>
      <c r="O4355" s="10"/>
      <c r="V4355" s="10"/>
    </row>
    <row r="4356" spans="1:22" x14ac:dyDescent="0.2">
      <c r="A4356" s="27"/>
      <c r="B4356" s="25"/>
      <c r="E4356" s="10"/>
      <c r="O4356" s="10"/>
      <c r="V4356" s="10"/>
    </row>
    <row r="4357" spans="1:22" x14ac:dyDescent="0.2">
      <c r="A4357" s="27"/>
      <c r="B4357" s="25"/>
      <c r="E4357" s="10"/>
      <c r="O4357" s="10"/>
      <c r="V4357" s="10"/>
    </row>
    <row r="4358" spans="1:22" x14ac:dyDescent="0.2">
      <c r="A4358" s="27"/>
      <c r="B4358" s="25"/>
      <c r="E4358" s="10"/>
      <c r="O4358" s="10"/>
      <c r="V4358" s="10"/>
    </row>
    <row r="4359" spans="1:22" x14ac:dyDescent="0.2">
      <c r="A4359" s="27"/>
      <c r="B4359" s="25"/>
      <c r="E4359" s="10"/>
      <c r="O4359" s="10"/>
      <c r="V4359" s="10"/>
    </row>
    <row r="4360" spans="1:22" x14ac:dyDescent="0.2">
      <c r="A4360" s="27"/>
      <c r="B4360" s="25"/>
      <c r="E4360" s="10"/>
      <c r="O4360" s="10"/>
      <c r="V4360" s="10"/>
    </row>
    <row r="4361" spans="1:22" x14ac:dyDescent="0.2">
      <c r="A4361" s="27"/>
      <c r="B4361" s="25"/>
      <c r="E4361" s="10"/>
      <c r="O4361" s="10"/>
      <c r="V4361" s="10"/>
    </row>
    <row r="4362" spans="1:22" x14ac:dyDescent="0.2">
      <c r="A4362" s="27"/>
      <c r="B4362" s="25"/>
      <c r="E4362" s="10"/>
      <c r="O4362" s="10"/>
      <c r="V4362" s="10"/>
    </row>
    <row r="4363" spans="1:22" x14ac:dyDescent="0.2">
      <c r="A4363" s="27"/>
      <c r="B4363" s="25"/>
      <c r="E4363" s="10"/>
      <c r="O4363" s="10"/>
      <c r="V4363" s="10"/>
    </row>
    <row r="4364" spans="1:22" x14ac:dyDescent="0.2">
      <c r="A4364" s="27"/>
      <c r="B4364" s="25"/>
      <c r="E4364" s="10"/>
      <c r="O4364" s="10"/>
      <c r="V4364" s="10"/>
    </row>
    <row r="4365" spans="1:22" x14ac:dyDescent="0.2">
      <c r="A4365" s="27"/>
      <c r="B4365" s="25"/>
      <c r="E4365" s="10"/>
      <c r="O4365" s="10"/>
      <c r="V4365" s="10"/>
    </row>
    <row r="4366" spans="1:22" x14ac:dyDescent="0.2">
      <c r="A4366" s="27"/>
      <c r="B4366" s="25"/>
      <c r="E4366" s="10"/>
      <c r="O4366" s="10"/>
      <c r="V4366" s="10"/>
    </row>
    <row r="4367" spans="1:22" x14ac:dyDescent="0.2">
      <c r="A4367" s="27"/>
      <c r="B4367" s="25"/>
      <c r="E4367" s="10"/>
      <c r="O4367" s="10"/>
      <c r="V4367" s="10"/>
    </row>
    <row r="4368" spans="1:22" x14ac:dyDescent="0.2">
      <c r="A4368" s="27"/>
      <c r="B4368" s="25"/>
      <c r="E4368" s="10"/>
      <c r="O4368" s="10"/>
      <c r="V4368" s="10"/>
    </row>
    <row r="4369" spans="1:22" x14ac:dyDescent="0.2">
      <c r="A4369" s="27"/>
      <c r="B4369" s="25"/>
      <c r="E4369" s="10"/>
      <c r="O4369" s="10"/>
      <c r="V4369" s="10"/>
    </row>
    <row r="4370" spans="1:22" x14ac:dyDescent="0.2">
      <c r="A4370" s="27"/>
      <c r="B4370" s="25"/>
      <c r="E4370" s="10"/>
      <c r="O4370" s="10"/>
      <c r="V4370" s="10"/>
    </row>
    <row r="4371" spans="1:22" x14ac:dyDescent="0.2">
      <c r="A4371" s="27"/>
      <c r="B4371" s="25"/>
      <c r="E4371" s="10"/>
      <c r="O4371" s="10"/>
      <c r="V4371" s="10"/>
    </row>
    <row r="4372" spans="1:22" x14ac:dyDescent="0.2">
      <c r="A4372" s="27"/>
      <c r="B4372" s="25"/>
      <c r="E4372" s="10"/>
      <c r="O4372" s="10"/>
      <c r="V4372" s="10"/>
    </row>
    <row r="4373" spans="1:22" x14ac:dyDescent="0.2">
      <c r="A4373" s="27"/>
      <c r="B4373" s="25"/>
      <c r="E4373" s="10"/>
      <c r="O4373" s="10"/>
      <c r="V4373" s="10"/>
    </row>
    <row r="4374" spans="1:22" x14ac:dyDescent="0.2">
      <c r="A4374" s="27"/>
      <c r="B4374" s="25"/>
      <c r="E4374" s="10"/>
      <c r="O4374" s="10"/>
      <c r="V4374" s="10"/>
    </row>
    <row r="4375" spans="1:22" x14ac:dyDescent="0.2">
      <c r="A4375" s="27"/>
      <c r="B4375" s="25"/>
      <c r="E4375" s="10"/>
      <c r="O4375" s="10"/>
      <c r="V4375" s="10"/>
    </row>
    <row r="4376" spans="1:22" x14ac:dyDescent="0.2">
      <c r="A4376" s="27"/>
      <c r="B4376" s="25"/>
      <c r="E4376" s="10"/>
      <c r="O4376" s="10"/>
      <c r="V4376" s="10"/>
    </row>
    <row r="4377" spans="1:22" x14ac:dyDescent="0.2">
      <c r="A4377" s="27"/>
      <c r="B4377" s="25"/>
      <c r="E4377" s="10"/>
      <c r="O4377" s="10"/>
      <c r="V4377" s="10"/>
    </row>
    <row r="4378" spans="1:22" x14ac:dyDescent="0.2">
      <c r="A4378" s="27"/>
      <c r="B4378" s="25"/>
      <c r="E4378" s="10"/>
      <c r="O4378" s="10"/>
      <c r="V4378" s="10"/>
    </row>
    <row r="4379" spans="1:22" x14ac:dyDescent="0.2">
      <c r="A4379" s="27"/>
      <c r="B4379" s="25"/>
      <c r="E4379" s="10"/>
      <c r="O4379" s="10"/>
      <c r="V4379" s="10"/>
    </row>
    <row r="4380" spans="1:22" x14ac:dyDescent="0.2">
      <c r="A4380" s="27"/>
      <c r="B4380" s="25"/>
      <c r="E4380" s="10"/>
      <c r="O4380" s="10"/>
      <c r="V4380" s="10"/>
    </row>
    <row r="4381" spans="1:22" x14ac:dyDescent="0.2">
      <c r="A4381" s="27"/>
      <c r="B4381" s="25"/>
      <c r="E4381" s="10"/>
      <c r="O4381" s="10"/>
      <c r="V4381" s="10"/>
    </row>
    <row r="4382" spans="1:22" x14ac:dyDescent="0.2">
      <c r="A4382" s="27"/>
      <c r="B4382" s="25"/>
      <c r="E4382" s="10"/>
      <c r="O4382" s="10"/>
      <c r="V4382" s="10"/>
    </row>
    <row r="4383" spans="1:22" x14ac:dyDescent="0.2">
      <c r="A4383" s="27"/>
      <c r="B4383" s="25"/>
      <c r="E4383" s="10"/>
      <c r="O4383" s="10"/>
      <c r="V4383" s="10"/>
    </row>
    <row r="4384" spans="1:22" x14ac:dyDescent="0.2">
      <c r="A4384" s="27"/>
      <c r="B4384" s="25"/>
      <c r="E4384" s="10"/>
      <c r="O4384" s="10"/>
      <c r="V4384" s="10"/>
    </row>
    <row r="4385" spans="1:22" x14ac:dyDescent="0.2">
      <c r="A4385" s="27"/>
      <c r="B4385" s="25"/>
      <c r="E4385" s="10"/>
      <c r="O4385" s="10"/>
      <c r="V4385" s="10"/>
    </row>
    <row r="4386" spans="1:22" x14ac:dyDescent="0.2">
      <c r="A4386" s="27"/>
      <c r="B4386" s="25"/>
      <c r="E4386" s="10"/>
      <c r="O4386" s="10"/>
      <c r="V4386" s="10"/>
    </row>
    <row r="4387" spans="1:22" x14ac:dyDescent="0.2">
      <c r="A4387" s="27"/>
      <c r="B4387" s="25"/>
      <c r="E4387" s="10"/>
      <c r="O4387" s="10"/>
      <c r="V4387" s="10"/>
    </row>
    <row r="4388" spans="1:22" x14ac:dyDescent="0.2">
      <c r="A4388" s="27"/>
      <c r="B4388" s="25"/>
      <c r="E4388" s="10"/>
      <c r="O4388" s="10"/>
      <c r="V4388" s="10"/>
    </row>
    <row r="4389" spans="1:22" x14ac:dyDescent="0.2">
      <c r="A4389" s="27"/>
      <c r="B4389" s="25"/>
      <c r="E4389" s="10"/>
      <c r="O4389" s="10"/>
      <c r="V4389" s="10"/>
    </row>
    <row r="4390" spans="1:22" x14ac:dyDescent="0.2">
      <c r="A4390" s="27"/>
      <c r="B4390" s="25"/>
      <c r="E4390" s="10"/>
      <c r="O4390" s="10"/>
      <c r="V4390" s="10"/>
    </row>
    <row r="4391" spans="1:22" x14ac:dyDescent="0.2">
      <c r="A4391" s="27"/>
      <c r="B4391" s="25"/>
      <c r="E4391" s="10"/>
      <c r="O4391" s="10"/>
      <c r="V4391" s="10"/>
    </row>
    <row r="4392" spans="1:22" x14ac:dyDescent="0.2">
      <c r="A4392" s="27"/>
      <c r="B4392" s="25"/>
      <c r="E4392" s="10"/>
      <c r="O4392" s="10"/>
      <c r="V4392" s="10"/>
    </row>
    <row r="4393" spans="1:22" x14ac:dyDescent="0.2">
      <c r="A4393" s="27"/>
      <c r="B4393" s="25"/>
      <c r="E4393" s="10"/>
      <c r="O4393" s="10"/>
      <c r="V4393" s="10"/>
    </row>
    <row r="4394" spans="1:22" x14ac:dyDescent="0.2">
      <c r="A4394" s="27"/>
      <c r="B4394" s="25"/>
      <c r="E4394" s="10"/>
      <c r="O4394" s="10"/>
      <c r="V4394" s="10"/>
    </row>
    <row r="4395" spans="1:22" x14ac:dyDescent="0.2">
      <c r="A4395" s="27"/>
      <c r="B4395" s="25"/>
      <c r="E4395" s="10"/>
      <c r="O4395" s="10"/>
      <c r="V4395" s="10"/>
    </row>
    <row r="4396" spans="1:22" x14ac:dyDescent="0.2">
      <c r="A4396" s="27"/>
      <c r="B4396" s="25"/>
      <c r="E4396" s="10"/>
      <c r="O4396" s="10"/>
      <c r="V4396" s="10"/>
    </row>
    <row r="4397" spans="1:22" x14ac:dyDescent="0.2">
      <c r="A4397" s="27"/>
      <c r="B4397" s="25"/>
      <c r="E4397" s="10"/>
      <c r="O4397" s="10"/>
      <c r="V4397" s="10"/>
    </row>
    <row r="4398" spans="1:22" x14ac:dyDescent="0.2">
      <c r="A4398" s="27"/>
      <c r="B4398" s="25"/>
      <c r="E4398" s="10"/>
      <c r="O4398" s="10"/>
      <c r="V4398" s="10"/>
    </row>
    <row r="4399" spans="1:22" x14ac:dyDescent="0.2">
      <c r="A4399" s="27"/>
      <c r="B4399" s="25"/>
      <c r="E4399" s="10"/>
      <c r="O4399" s="10"/>
      <c r="V4399" s="10"/>
    </row>
    <row r="4400" spans="1:22" x14ac:dyDescent="0.2">
      <c r="A4400" s="27"/>
      <c r="B4400" s="25"/>
      <c r="E4400" s="10"/>
      <c r="O4400" s="10"/>
      <c r="V4400" s="10"/>
    </row>
    <row r="4401" spans="1:22" x14ac:dyDescent="0.2">
      <c r="A4401" s="27"/>
      <c r="B4401" s="25"/>
      <c r="E4401" s="10"/>
      <c r="O4401" s="10"/>
      <c r="V4401" s="10"/>
    </row>
    <row r="4402" spans="1:22" x14ac:dyDescent="0.2">
      <c r="A4402" s="27"/>
      <c r="B4402" s="25"/>
      <c r="E4402" s="10"/>
      <c r="O4402" s="10"/>
      <c r="V4402" s="10"/>
    </row>
    <row r="4403" spans="1:22" x14ac:dyDescent="0.2">
      <c r="A4403" s="27"/>
      <c r="B4403" s="25"/>
      <c r="E4403" s="10"/>
      <c r="O4403" s="10"/>
      <c r="V4403" s="10"/>
    </row>
    <row r="4404" spans="1:22" x14ac:dyDescent="0.2">
      <c r="A4404" s="27"/>
      <c r="B4404" s="25"/>
      <c r="E4404" s="10"/>
      <c r="O4404" s="10"/>
      <c r="V4404" s="10"/>
    </row>
    <row r="4405" spans="1:22" x14ac:dyDescent="0.2">
      <c r="A4405" s="27"/>
      <c r="B4405" s="25"/>
      <c r="E4405" s="10"/>
      <c r="O4405" s="10"/>
      <c r="V4405" s="10"/>
    </row>
    <row r="4406" spans="1:22" x14ac:dyDescent="0.2">
      <c r="A4406" s="27"/>
      <c r="B4406" s="25"/>
      <c r="E4406" s="10"/>
      <c r="O4406" s="10"/>
      <c r="V4406" s="10"/>
    </row>
    <row r="4407" spans="1:22" x14ac:dyDescent="0.2">
      <c r="A4407" s="27"/>
      <c r="B4407" s="25"/>
      <c r="E4407" s="10"/>
      <c r="O4407" s="10"/>
      <c r="V4407" s="10"/>
    </row>
    <row r="4408" spans="1:22" x14ac:dyDescent="0.2">
      <c r="A4408" s="27"/>
      <c r="B4408" s="25"/>
      <c r="E4408" s="10"/>
      <c r="O4408" s="10"/>
      <c r="V4408" s="10"/>
    </row>
    <row r="4409" spans="1:22" x14ac:dyDescent="0.2">
      <c r="A4409" s="27"/>
      <c r="B4409" s="25"/>
      <c r="E4409" s="10"/>
      <c r="O4409" s="10"/>
      <c r="V4409" s="10"/>
    </row>
    <row r="4410" spans="1:22" x14ac:dyDescent="0.2">
      <c r="A4410" s="27"/>
      <c r="B4410" s="25"/>
      <c r="E4410" s="10"/>
      <c r="O4410" s="10"/>
      <c r="V4410" s="10"/>
    </row>
    <row r="4411" spans="1:22" x14ac:dyDescent="0.2">
      <c r="A4411" s="27"/>
      <c r="B4411" s="25"/>
      <c r="E4411" s="10"/>
      <c r="O4411" s="10"/>
      <c r="V4411" s="10"/>
    </row>
    <row r="4412" spans="1:22" x14ac:dyDescent="0.2">
      <c r="A4412" s="27"/>
      <c r="B4412" s="25"/>
      <c r="E4412" s="10"/>
      <c r="O4412" s="10"/>
      <c r="V4412" s="10"/>
    </row>
    <row r="4413" spans="1:22" x14ac:dyDescent="0.2">
      <c r="A4413" s="27"/>
      <c r="B4413" s="25"/>
      <c r="E4413" s="10"/>
      <c r="O4413" s="10"/>
      <c r="V4413" s="10"/>
    </row>
    <row r="4414" spans="1:22" x14ac:dyDescent="0.2">
      <c r="A4414" s="27"/>
      <c r="B4414" s="25"/>
      <c r="E4414" s="10"/>
      <c r="O4414" s="10"/>
      <c r="V4414" s="10"/>
    </row>
    <row r="4415" spans="1:22" x14ac:dyDescent="0.2">
      <c r="A4415" s="27"/>
      <c r="B4415" s="25"/>
      <c r="E4415" s="10"/>
      <c r="O4415" s="10"/>
      <c r="V4415" s="10"/>
    </row>
    <row r="4416" spans="1:22" x14ac:dyDescent="0.2">
      <c r="A4416" s="27"/>
      <c r="B4416" s="25"/>
      <c r="E4416" s="10"/>
      <c r="O4416" s="10"/>
      <c r="V4416" s="10"/>
    </row>
    <row r="4417" spans="1:22" x14ac:dyDescent="0.2">
      <c r="A4417" s="27"/>
      <c r="B4417" s="25"/>
      <c r="E4417" s="10"/>
      <c r="O4417" s="10"/>
      <c r="V4417" s="10"/>
    </row>
    <row r="4418" spans="1:22" x14ac:dyDescent="0.2">
      <c r="A4418" s="27"/>
      <c r="B4418" s="25"/>
      <c r="E4418" s="10"/>
      <c r="O4418" s="10"/>
      <c r="V4418" s="10"/>
    </row>
    <row r="4419" spans="1:22" x14ac:dyDescent="0.2">
      <c r="A4419" s="27"/>
      <c r="B4419" s="25"/>
      <c r="E4419" s="10"/>
      <c r="O4419" s="10"/>
      <c r="V4419" s="10"/>
    </row>
    <row r="4420" spans="1:22" x14ac:dyDescent="0.2">
      <c r="A4420" s="27"/>
      <c r="B4420" s="25"/>
      <c r="E4420" s="10"/>
      <c r="O4420" s="10"/>
      <c r="V4420" s="10"/>
    </row>
    <row r="4421" spans="1:22" x14ac:dyDescent="0.2">
      <c r="A4421" s="27"/>
      <c r="B4421" s="25"/>
      <c r="E4421" s="10"/>
      <c r="O4421" s="10"/>
      <c r="V4421" s="10"/>
    </row>
    <row r="4422" spans="1:22" x14ac:dyDescent="0.2">
      <c r="A4422" s="27"/>
      <c r="B4422" s="25"/>
      <c r="E4422" s="10"/>
      <c r="O4422" s="10"/>
      <c r="V4422" s="10"/>
    </row>
    <row r="4423" spans="1:22" x14ac:dyDescent="0.2">
      <c r="A4423" s="27"/>
      <c r="B4423" s="25"/>
      <c r="E4423" s="10"/>
      <c r="O4423" s="10"/>
      <c r="V4423" s="10"/>
    </row>
    <row r="4424" spans="1:22" x14ac:dyDescent="0.2">
      <c r="A4424" s="27"/>
      <c r="B4424" s="25"/>
      <c r="E4424" s="10"/>
      <c r="O4424" s="10"/>
      <c r="V4424" s="10"/>
    </row>
    <row r="4425" spans="1:22" x14ac:dyDescent="0.2">
      <c r="A4425" s="27"/>
      <c r="B4425" s="25"/>
      <c r="E4425" s="10"/>
      <c r="O4425" s="10"/>
      <c r="V4425" s="10"/>
    </row>
    <row r="4426" spans="1:22" x14ac:dyDescent="0.2">
      <c r="A4426" s="27"/>
      <c r="B4426" s="25"/>
      <c r="E4426" s="10"/>
      <c r="O4426" s="10"/>
      <c r="V4426" s="10"/>
    </row>
    <row r="4427" spans="1:22" x14ac:dyDescent="0.2">
      <c r="A4427" s="27"/>
      <c r="B4427" s="25"/>
      <c r="E4427" s="10"/>
      <c r="O4427" s="10"/>
      <c r="V4427" s="10"/>
    </row>
    <row r="4428" spans="1:22" x14ac:dyDescent="0.2">
      <c r="A4428" s="27"/>
      <c r="B4428" s="25"/>
      <c r="E4428" s="10"/>
      <c r="O4428" s="10"/>
      <c r="V4428" s="10"/>
    </row>
    <row r="4429" spans="1:22" x14ac:dyDescent="0.2">
      <c r="A4429" s="27"/>
      <c r="B4429" s="25"/>
      <c r="E4429" s="10"/>
      <c r="O4429" s="10"/>
      <c r="V4429" s="10"/>
    </row>
    <row r="4430" spans="1:22" x14ac:dyDescent="0.2">
      <c r="A4430" s="27"/>
      <c r="B4430" s="25"/>
      <c r="E4430" s="10"/>
      <c r="O4430" s="10"/>
      <c r="V4430" s="10"/>
    </row>
    <row r="4431" spans="1:22" x14ac:dyDescent="0.2">
      <c r="A4431" s="27"/>
      <c r="B4431" s="25"/>
      <c r="E4431" s="10"/>
      <c r="O4431" s="10"/>
      <c r="V4431" s="10"/>
    </row>
    <row r="4432" spans="1:22" x14ac:dyDescent="0.2">
      <c r="A4432" s="27"/>
      <c r="B4432" s="25"/>
      <c r="E4432" s="10"/>
      <c r="O4432" s="10"/>
      <c r="V4432" s="10"/>
    </row>
    <row r="4433" spans="1:22" x14ac:dyDescent="0.2">
      <c r="A4433" s="27"/>
      <c r="B4433" s="25"/>
      <c r="E4433" s="10"/>
      <c r="O4433" s="10"/>
      <c r="V4433" s="10"/>
    </row>
    <row r="4434" spans="1:22" x14ac:dyDescent="0.2">
      <c r="A4434" s="27"/>
      <c r="B4434" s="25"/>
      <c r="E4434" s="10"/>
      <c r="O4434" s="10"/>
      <c r="V4434" s="10"/>
    </row>
    <row r="4435" spans="1:22" x14ac:dyDescent="0.2">
      <c r="A4435" s="27"/>
      <c r="B4435" s="25"/>
      <c r="E4435" s="10"/>
      <c r="O4435" s="10"/>
      <c r="V4435" s="10"/>
    </row>
    <row r="4436" spans="1:22" x14ac:dyDescent="0.2">
      <c r="A4436" s="27"/>
      <c r="B4436" s="25"/>
      <c r="E4436" s="10"/>
      <c r="O4436" s="10"/>
      <c r="V4436" s="10"/>
    </row>
    <row r="4437" spans="1:22" x14ac:dyDescent="0.2">
      <c r="A4437" s="27"/>
      <c r="B4437" s="25"/>
      <c r="E4437" s="10"/>
      <c r="O4437" s="10"/>
      <c r="V4437" s="10"/>
    </row>
    <row r="4438" spans="1:22" x14ac:dyDescent="0.2">
      <c r="A4438" s="27"/>
      <c r="B4438" s="25"/>
      <c r="E4438" s="10"/>
      <c r="O4438" s="10"/>
      <c r="V4438" s="10"/>
    </row>
    <row r="4439" spans="1:22" x14ac:dyDescent="0.2">
      <c r="A4439" s="27"/>
      <c r="B4439" s="25"/>
      <c r="E4439" s="10"/>
      <c r="O4439" s="10"/>
      <c r="V4439" s="10"/>
    </row>
    <row r="4440" spans="1:22" x14ac:dyDescent="0.2">
      <c r="A4440" s="27"/>
      <c r="B4440" s="25"/>
      <c r="E4440" s="10"/>
      <c r="O4440" s="10"/>
      <c r="V4440" s="10"/>
    </row>
    <row r="4441" spans="1:22" x14ac:dyDescent="0.2">
      <c r="A4441" s="27"/>
      <c r="B4441" s="25"/>
      <c r="E4441" s="10"/>
      <c r="O4441" s="10"/>
      <c r="V4441" s="10"/>
    </row>
    <row r="4442" spans="1:22" x14ac:dyDescent="0.2">
      <c r="A4442" s="27"/>
      <c r="B4442" s="25"/>
      <c r="E4442" s="10"/>
      <c r="O4442" s="10"/>
      <c r="V4442" s="10"/>
    </row>
    <row r="4443" spans="1:22" x14ac:dyDescent="0.2">
      <c r="A4443" s="27"/>
      <c r="B4443" s="25"/>
      <c r="E4443" s="10"/>
      <c r="O4443" s="10"/>
      <c r="V4443" s="10"/>
    </row>
    <row r="4444" spans="1:22" x14ac:dyDescent="0.2">
      <c r="A4444" s="27"/>
      <c r="B4444" s="25"/>
      <c r="E4444" s="10"/>
      <c r="O4444" s="10"/>
      <c r="V4444" s="10"/>
    </row>
    <row r="4445" spans="1:22" x14ac:dyDescent="0.2">
      <c r="A4445" s="27"/>
      <c r="B4445" s="25"/>
      <c r="E4445" s="10"/>
      <c r="O4445" s="10"/>
      <c r="V4445" s="10"/>
    </row>
    <row r="4446" spans="1:22" x14ac:dyDescent="0.2">
      <c r="A4446" s="27"/>
      <c r="B4446" s="25"/>
      <c r="E4446" s="10"/>
      <c r="O4446" s="10"/>
      <c r="V4446" s="10"/>
    </row>
    <row r="4447" spans="1:22" x14ac:dyDescent="0.2">
      <c r="A4447" s="27"/>
      <c r="B4447" s="25"/>
      <c r="E4447" s="10"/>
      <c r="O4447" s="10"/>
      <c r="V4447" s="10"/>
    </row>
    <row r="4448" spans="1:22" x14ac:dyDescent="0.2">
      <c r="A4448" s="27"/>
      <c r="B4448" s="25"/>
      <c r="E4448" s="10"/>
      <c r="O4448" s="10"/>
      <c r="V4448" s="10"/>
    </row>
    <row r="4449" spans="1:22" x14ac:dyDescent="0.2">
      <c r="A4449" s="27"/>
      <c r="B4449" s="25"/>
      <c r="E4449" s="10"/>
      <c r="O4449" s="10"/>
      <c r="V4449" s="10"/>
    </row>
    <row r="4450" spans="1:22" x14ac:dyDescent="0.2">
      <c r="A4450" s="27"/>
      <c r="B4450" s="25"/>
      <c r="E4450" s="10"/>
      <c r="O4450" s="10"/>
      <c r="V4450" s="10"/>
    </row>
    <row r="4451" spans="1:22" x14ac:dyDescent="0.2">
      <c r="A4451" s="27"/>
      <c r="B4451" s="25"/>
      <c r="E4451" s="10"/>
      <c r="O4451" s="10"/>
      <c r="V4451" s="10"/>
    </row>
    <row r="4452" spans="1:22" x14ac:dyDescent="0.2">
      <c r="A4452" s="27"/>
      <c r="B4452" s="25"/>
      <c r="E4452" s="10"/>
      <c r="O4452" s="10"/>
      <c r="V4452" s="10"/>
    </row>
    <row r="4453" spans="1:22" x14ac:dyDescent="0.2">
      <c r="A4453" s="27"/>
      <c r="B4453" s="25"/>
      <c r="E4453" s="10"/>
      <c r="O4453" s="10"/>
      <c r="V4453" s="10"/>
    </row>
    <row r="4454" spans="1:22" x14ac:dyDescent="0.2">
      <c r="A4454" s="27"/>
      <c r="B4454" s="25"/>
      <c r="E4454" s="10"/>
      <c r="O4454" s="10"/>
      <c r="V4454" s="10"/>
    </row>
    <row r="4455" spans="1:22" x14ac:dyDescent="0.2">
      <c r="A4455" s="27"/>
      <c r="B4455" s="25"/>
      <c r="E4455" s="10"/>
      <c r="O4455" s="10"/>
      <c r="V4455" s="10"/>
    </row>
    <row r="4456" spans="1:22" x14ac:dyDescent="0.2">
      <c r="A4456" s="27"/>
      <c r="B4456" s="25"/>
      <c r="E4456" s="10"/>
      <c r="O4456" s="10"/>
      <c r="V4456" s="10"/>
    </row>
    <row r="4457" spans="1:22" x14ac:dyDescent="0.2">
      <c r="A4457" s="27"/>
      <c r="B4457" s="25"/>
      <c r="E4457" s="10"/>
      <c r="O4457" s="10"/>
      <c r="V4457" s="10"/>
    </row>
    <row r="4458" spans="1:22" x14ac:dyDescent="0.2">
      <c r="A4458" s="27"/>
      <c r="B4458" s="25"/>
      <c r="E4458" s="10"/>
      <c r="O4458" s="10"/>
      <c r="V4458" s="10"/>
    </row>
    <row r="4459" spans="1:22" x14ac:dyDescent="0.2">
      <c r="A4459" s="27"/>
      <c r="B4459" s="25"/>
      <c r="E4459" s="10"/>
      <c r="O4459" s="10"/>
      <c r="V4459" s="10"/>
    </row>
    <row r="4460" spans="1:22" x14ac:dyDescent="0.2">
      <c r="A4460" s="27"/>
      <c r="B4460" s="25"/>
      <c r="E4460" s="10"/>
      <c r="O4460" s="10"/>
      <c r="V4460" s="10"/>
    </row>
    <row r="4461" spans="1:22" x14ac:dyDescent="0.2">
      <c r="A4461" s="27"/>
      <c r="B4461" s="25"/>
      <c r="E4461" s="10"/>
      <c r="O4461" s="10"/>
      <c r="V4461" s="10"/>
    </row>
    <row r="4462" spans="1:22" x14ac:dyDescent="0.2">
      <c r="A4462" s="27"/>
      <c r="B4462" s="25"/>
      <c r="E4462" s="10"/>
      <c r="O4462" s="10"/>
      <c r="V4462" s="10"/>
    </row>
    <row r="4463" spans="1:22" x14ac:dyDescent="0.2">
      <c r="A4463" s="27"/>
      <c r="B4463" s="25"/>
      <c r="E4463" s="10"/>
      <c r="O4463" s="10"/>
      <c r="V4463" s="10"/>
    </row>
    <row r="4464" spans="1:22" x14ac:dyDescent="0.2">
      <c r="A4464" s="27"/>
      <c r="B4464" s="25"/>
      <c r="E4464" s="10"/>
      <c r="O4464" s="10"/>
      <c r="V4464" s="10"/>
    </row>
    <row r="4465" spans="1:22" x14ac:dyDescent="0.2">
      <c r="A4465" s="27"/>
      <c r="B4465" s="25"/>
      <c r="E4465" s="10"/>
      <c r="O4465" s="10"/>
      <c r="V4465" s="10"/>
    </row>
    <row r="4466" spans="1:22" x14ac:dyDescent="0.2">
      <c r="A4466" s="27"/>
      <c r="B4466" s="25"/>
      <c r="E4466" s="10"/>
      <c r="O4466" s="10"/>
      <c r="V4466" s="10"/>
    </row>
    <row r="4467" spans="1:22" x14ac:dyDescent="0.2">
      <c r="A4467" s="27"/>
      <c r="B4467" s="25"/>
      <c r="E4467" s="10"/>
      <c r="O4467" s="10"/>
      <c r="V4467" s="10"/>
    </row>
    <row r="4468" spans="1:22" x14ac:dyDescent="0.2">
      <c r="A4468" s="27"/>
      <c r="B4468" s="25"/>
      <c r="E4468" s="10"/>
      <c r="O4468" s="10"/>
      <c r="V4468" s="10"/>
    </row>
    <row r="4469" spans="1:22" x14ac:dyDescent="0.2">
      <c r="A4469" s="27"/>
      <c r="B4469" s="25"/>
      <c r="E4469" s="10"/>
      <c r="O4469" s="10"/>
      <c r="V4469" s="10"/>
    </row>
    <row r="4470" spans="1:22" x14ac:dyDescent="0.2">
      <c r="A4470" s="27"/>
      <c r="B4470" s="25"/>
      <c r="E4470" s="10"/>
      <c r="O4470" s="10"/>
      <c r="V4470" s="10"/>
    </row>
    <row r="4471" spans="1:22" x14ac:dyDescent="0.2">
      <c r="A4471" s="27"/>
      <c r="B4471" s="25"/>
      <c r="E4471" s="10"/>
      <c r="O4471" s="10"/>
      <c r="V4471" s="10"/>
    </row>
    <row r="4472" spans="1:22" x14ac:dyDescent="0.2">
      <c r="A4472" s="27"/>
      <c r="B4472" s="25"/>
      <c r="E4472" s="10"/>
      <c r="O4472" s="10"/>
      <c r="V4472" s="10"/>
    </row>
    <row r="4473" spans="1:22" x14ac:dyDescent="0.2">
      <c r="A4473" s="27"/>
      <c r="B4473" s="25"/>
      <c r="E4473" s="10"/>
      <c r="O4473" s="10"/>
      <c r="V4473" s="10"/>
    </row>
    <row r="4474" spans="1:22" x14ac:dyDescent="0.2">
      <c r="A4474" s="27"/>
      <c r="B4474" s="25"/>
      <c r="E4474" s="10"/>
      <c r="O4474" s="10"/>
      <c r="V4474" s="10"/>
    </row>
    <row r="4475" spans="1:22" x14ac:dyDescent="0.2">
      <c r="A4475" s="27"/>
      <c r="B4475" s="25"/>
      <c r="E4475" s="10"/>
      <c r="O4475" s="10"/>
      <c r="V4475" s="10"/>
    </row>
    <row r="4476" spans="1:22" x14ac:dyDescent="0.2">
      <c r="A4476" s="27"/>
      <c r="B4476" s="25"/>
      <c r="E4476" s="10"/>
      <c r="O4476" s="10"/>
      <c r="V4476" s="10"/>
    </row>
    <row r="4477" spans="1:22" x14ac:dyDescent="0.2">
      <c r="A4477" s="27"/>
      <c r="B4477" s="25"/>
      <c r="E4477" s="10"/>
      <c r="O4477" s="10"/>
      <c r="V4477" s="10"/>
    </row>
    <row r="4478" spans="1:22" x14ac:dyDescent="0.2">
      <c r="A4478" s="27"/>
      <c r="B4478" s="25"/>
      <c r="E4478" s="10"/>
      <c r="O4478" s="10"/>
      <c r="V4478" s="10"/>
    </row>
    <row r="4479" spans="1:22" x14ac:dyDescent="0.2">
      <c r="A4479" s="27"/>
      <c r="B4479" s="25"/>
      <c r="E4479" s="10"/>
      <c r="O4479" s="10"/>
      <c r="V4479" s="10"/>
    </row>
    <row r="4480" spans="1:22" x14ac:dyDescent="0.2">
      <c r="A4480" s="27"/>
      <c r="B4480" s="25"/>
      <c r="E4480" s="10"/>
      <c r="O4480" s="10"/>
      <c r="V4480" s="10"/>
    </row>
    <row r="4481" spans="1:22" x14ac:dyDescent="0.2">
      <c r="A4481" s="27"/>
      <c r="B4481" s="25"/>
      <c r="E4481" s="10"/>
      <c r="O4481" s="10"/>
      <c r="V4481" s="10"/>
    </row>
    <row r="4482" spans="1:22" x14ac:dyDescent="0.2">
      <c r="A4482" s="27"/>
      <c r="B4482" s="25"/>
      <c r="E4482" s="10"/>
      <c r="O4482" s="10"/>
      <c r="V4482" s="10"/>
    </row>
    <row r="4483" spans="1:22" x14ac:dyDescent="0.2">
      <c r="A4483" s="27"/>
      <c r="B4483" s="25"/>
      <c r="E4483" s="10"/>
      <c r="O4483" s="10"/>
      <c r="V4483" s="10"/>
    </row>
    <row r="4484" spans="1:22" x14ac:dyDescent="0.2">
      <c r="A4484" s="27"/>
      <c r="B4484" s="25"/>
      <c r="E4484" s="10"/>
      <c r="O4484" s="10"/>
      <c r="V4484" s="10"/>
    </row>
    <row r="4485" spans="1:22" x14ac:dyDescent="0.2">
      <c r="A4485" s="27"/>
      <c r="B4485" s="25"/>
      <c r="E4485" s="10"/>
      <c r="O4485" s="10"/>
      <c r="V4485" s="10"/>
    </row>
    <row r="4486" spans="1:22" x14ac:dyDescent="0.2">
      <c r="A4486" s="27"/>
      <c r="B4486" s="25"/>
      <c r="E4486" s="10"/>
      <c r="O4486" s="10"/>
      <c r="V4486" s="10"/>
    </row>
    <row r="4487" spans="1:22" x14ac:dyDescent="0.2">
      <c r="A4487" s="27"/>
      <c r="B4487" s="25"/>
      <c r="E4487" s="10"/>
      <c r="O4487" s="10"/>
      <c r="V4487" s="10"/>
    </row>
    <row r="4488" spans="1:22" x14ac:dyDescent="0.2">
      <c r="A4488" s="27"/>
      <c r="B4488" s="25"/>
      <c r="E4488" s="10"/>
      <c r="O4488" s="10"/>
      <c r="V4488" s="10"/>
    </row>
    <row r="4489" spans="1:22" x14ac:dyDescent="0.2">
      <c r="A4489" s="27"/>
      <c r="B4489" s="25"/>
      <c r="E4489" s="10"/>
      <c r="O4489" s="10"/>
      <c r="V4489" s="10"/>
    </row>
    <row r="4490" spans="1:22" x14ac:dyDescent="0.2">
      <c r="A4490" s="27"/>
      <c r="B4490" s="25"/>
      <c r="E4490" s="10"/>
      <c r="O4490" s="10"/>
      <c r="V4490" s="10"/>
    </row>
    <row r="4491" spans="1:22" x14ac:dyDescent="0.2">
      <c r="A4491" s="27"/>
      <c r="B4491" s="25"/>
      <c r="E4491" s="10"/>
      <c r="O4491" s="10"/>
      <c r="V4491" s="10"/>
    </row>
    <row r="4492" spans="1:22" x14ac:dyDescent="0.2">
      <c r="A4492" s="27"/>
      <c r="B4492" s="25"/>
      <c r="E4492" s="10"/>
      <c r="O4492" s="10"/>
      <c r="V4492" s="10"/>
    </row>
    <row r="4493" spans="1:22" x14ac:dyDescent="0.2">
      <c r="A4493" s="27"/>
      <c r="B4493" s="25"/>
      <c r="E4493" s="10"/>
      <c r="O4493" s="10"/>
      <c r="V4493" s="10"/>
    </row>
    <row r="4494" spans="1:22" x14ac:dyDescent="0.2">
      <c r="A4494" s="27"/>
      <c r="B4494" s="25"/>
      <c r="E4494" s="10"/>
      <c r="O4494" s="10"/>
      <c r="V4494" s="10"/>
    </row>
    <row r="4495" spans="1:22" x14ac:dyDescent="0.2">
      <c r="A4495" s="27"/>
      <c r="B4495" s="25"/>
      <c r="E4495" s="10"/>
      <c r="O4495" s="10"/>
      <c r="V4495" s="10"/>
    </row>
    <row r="4496" spans="1:22" x14ac:dyDescent="0.2">
      <c r="A4496" s="27"/>
      <c r="B4496" s="25"/>
      <c r="E4496" s="10"/>
      <c r="O4496" s="10"/>
      <c r="V4496" s="10"/>
    </row>
    <row r="4497" spans="1:22" x14ac:dyDescent="0.2">
      <c r="A4497" s="27"/>
      <c r="B4497" s="25"/>
      <c r="E4497" s="10"/>
      <c r="O4497" s="10"/>
      <c r="V4497" s="10"/>
    </row>
    <row r="4498" spans="1:22" x14ac:dyDescent="0.2">
      <c r="A4498" s="27"/>
      <c r="B4498" s="25"/>
      <c r="E4498" s="10"/>
      <c r="O4498" s="10"/>
      <c r="V4498" s="10"/>
    </row>
    <row r="4499" spans="1:22" x14ac:dyDescent="0.2">
      <c r="A4499" s="27"/>
      <c r="B4499" s="25"/>
      <c r="E4499" s="10"/>
      <c r="O4499" s="10"/>
      <c r="V4499" s="10"/>
    </row>
    <row r="4500" spans="1:22" x14ac:dyDescent="0.2">
      <c r="A4500" s="27"/>
      <c r="B4500" s="25"/>
      <c r="E4500" s="10"/>
      <c r="O4500" s="10"/>
      <c r="V4500" s="10"/>
    </row>
    <row r="4501" spans="1:22" x14ac:dyDescent="0.2">
      <c r="A4501" s="27"/>
      <c r="B4501" s="25"/>
      <c r="E4501" s="10"/>
      <c r="O4501" s="10"/>
      <c r="V4501" s="10"/>
    </row>
    <row r="4502" spans="1:22" x14ac:dyDescent="0.2">
      <c r="A4502" s="27"/>
      <c r="B4502" s="25"/>
      <c r="E4502" s="10"/>
      <c r="O4502" s="10"/>
      <c r="V4502" s="10"/>
    </row>
    <row r="4503" spans="1:22" x14ac:dyDescent="0.2">
      <c r="A4503" s="27"/>
      <c r="B4503" s="25"/>
      <c r="E4503" s="10"/>
      <c r="O4503" s="10"/>
      <c r="V4503" s="10"/>
    </row>
    <row r="4504" spans="1:22" x14ac:dyDescent="0.2">
      <c r="A4504" s="27"/>
      <c r="B4504" s="25"/>
      <c r="E4504" s="10"/>
      <c r="O4504" s="10"/>
      <c r="V4504" s="10"/>
    </row>
    <row r="4505" spans="1:22" x14ac:dyDescent="0.2">
      <c r="A4505" s="27"/>
      <c r="B4505" s="25"/>
      <c r="E4505" s="10"/>
      <c r="O4505" s="10"/>
      <c r="V4505" s="10"/>
    </row>
    <row r="4506" spans="1:22" x14ac:dyDescent="0.2">
      <c r="A4506" s="27"/>
      <c r="B4506" s="25"/>
      <c r="E4506" s="10"/>
      <c r="O4506" s="10"/>
      <c r="V4506" s="10"/>
    </row>
    <row r="4507" spans="1:22" x14ac:dyDescent="0.2">
      <c r="A4507" s="27"/>
      <c r="B4507" s="25"/>
      <c r="E4507" s="10"/>
      <c r="O4507" s="10"/>
      <c r="V4507" s="10"/>
    </row>
    <row r="4508" spans="1:22" x14ac:dyDescent="0.2">
      <c r="A4508" s="27"/>
      <c r="B4508" s="25"/>
      <c r="E4508" s="10"/>
      <c r="O4508" s="10"/>
      <c r="V4508" s="10"/>
    </row>
    <row r="4509" spans="1:22" x14ac:dyDescent="0.2">
      <c r="A4509" s="27"/>
      <c r="B4509" s="25"/>
      <c r="E4509" s="10"/>
      <c r="O4509" s="10"/>
      <c r="V4509" s="10"/>
    </row>
    <row r="4510" spans="1:22" x14ac:dyDescent="0.2">
      <c r="A4510" s="27"/>
      <c r="B4510" s="25"/>
      <c r="E4510" s="10"/>
      <c r="O4510" s="10"/>
      <c r="V4510" s="10"/>
    </row>
    <row r="4511" spans="1:22" x14ac:dyDescent="0.2">
      <c r="A4511" s="27"/>
      <c r="B4511" s="25"/>
      <c r="E4511" s="10"/>
      <c r="O4511" s="10"/>
      <c r="V4511" s="10"/>
    </row>
    <row r="4512" spans="1:22" x14ac:dyDescent="0.2">
      <c r="A4512" s="27"/>
      <c r="B4512" s="25"/>
      <c r="E4512" s="10"/>
      <c r="O4512" s="10"/>
      <c r="V4512" s="10"/>
    </row>
    <row r="4513" spans="1:22" x14ac:dyDescent="0.2">
      <c r="A4513" s="27"/>
      <c r="B4513" s="25"/>
      <c r="E4513" s="10"/>
      <c r="O4513" s="10"/>
      <c r="V4513" s="10"/>
    </row>
    <row r="4514" spans="1:22" x14ac:dyDescent="0.2">
      <c r="A4514" s="27"/>
      <c r="B4514" s="25"/>
      <c r="E4514" s="10"/>
      <c r="O4514" s="10"/>
      <c r="V4514" s="10"/>
    </row>
    <row r="4515" spans="1:22" x14ac:dyDescent="0.2">
      <c r="A4515" s="27"/>
      <c r="B4515" s="25"/>
      <c r="E4515" s="10"/>
      <c r="O4515" s="10"/>
      <c r="V4515" s="10"/>
    </row>
    <row r="4516" spans="1:22" x14ac:dyDescent="0.2">
      <c r="A4516" s="27"/>
      <c r="B4516" s="25"/>
      <c r="E4516" s="10"/>
      <c r="O4516" s="10"/>
      <c r="V4516" s="10"/>
    </row>
    <row r="4517" spans="1:22" x14ac:dyDescent="0.2">
      <c r="A4517" s="27"/>
      <c r="B4517" s="25"/>
      <c r="E4517" s="10"/>
      <c r="O4517" s="10"/>
      <c r="V4517" s="10"/>
    </row>
    <row r="4518" spans="1:22" x14ac:dyDescent="0.2">
      <c r="A4518" s="27"/>
      <c r="B4518" s="25"/>
      <c r="E4518" s="10"/>
      <c r="O4518" s="10"/>
      <c r="V4518" s="10"/>
    </row>
    <row r="4519" spans="1:22" x14ac:dyDescent="0.2">
      <c r="A4519" s="27"/>
      <c r="B4519" s="25"/>
      <c r="E4519" s="10"/>
      <c r="O4519" s="10"/>
      <c r="V4519" s="10"/>
    </row>
    <row r="4520" spans="1:22" x14ac:dyDescent="0.2">
      <c r="A4520" s="27"/>
      <c r="B4520" s="25"/>
      <c r="E4520" s="10"/>
      <c r="O4520" s="10"/>
      <c r="V4520" s="10"/>
    </row>
    <row r="4521" spans="1:22" x14ac:dyDescent="0.2">
      <c r="A4521" s="27"/>
      <c r="B4521" s="25"/>
      <c r="E4521" s="10"/>
      <c r="O4521" s="10"/>
      <c r="V4521" s="10"/>
    </row>
    <row r="4522" spans="1:22" x14ac:dyDescent="0.2">
      <c r="A4522" s="27"/>
      <c r="B4522" s="25"/>
      <c r="E4522" s="10"/>
      <c r="O4522" s="10"/>
      <c r="V4522" s="10"/>
    </row>
    <row r="4523" spans="1:22" x14ac:dyDescent="0.2">
      <c r="A4523" s="27"/>
      <c r="B4523" s="25"/>
      <c r="E4523" s="10"/>
      <c r="O4523" s="10"/>
      <c r="V4523" s="10"/>
    </row>
    <row r="4524" spans="1:22" x14ac:dyDescent="0.2">
      <c r="A4524" s="27"/>
      <c r="B4524" s="25"/>
      <c r="E4524" s="10"/>
      <c r="O4524" s="10"/>
      <c r="V4524" s="10"/>
    </row>
    <row r="4525" spans="1:22" x14ac:dyDescent="0.2">
      <c r="A4525" s="27"/>
      <c r="B4525" s="25"/>
      <c r="E4525" s="10"/>
      <c r="O4525" s="10"/>
      <c r="V4525" s="10"/>
    </row>
    <row r="4526" spans="1:22" x14ac:dyDescent="0.2">
      <c r="A4526" s="27"/>
      <c r="B4526" s="25"/>
      <c r="E4526" s="10"/>
      <c r="O4526" s="10"/>
      <c r="V4526" s="10"/>
    </row>
    <row r="4527" spans="1:22" x14ac:dyDescent="0.2">
      <c r="A4527" s="27"/>
      <c r="B4527" s="25"/>
      <c r="E4527" s="10"/>
      <c r="O4527" s="10"/>
      <c r="V4527" s="10"/>
    </row>
    <row r="4528" spans="1:22" x14ac:dyDescent="0.2">
      <c r="A4528" s="27"/>
      <c r="B4528" s="25"/>
      <c r="E4528" s="10"/>
      <c r="O4528" s="10"/>
      <c r="V4528" s="10"/>
    </row>
    <row r="4529" spans="1:22" x14ac:dyDescent="0.2">
      <c r="A4529" s="27"/>
      <c r="B4529" s="25"/>
      <c r="E4529" s="10"/>
      <c r="O4529" s="10"/>
      <c r="V4529" s="10"/>
    </row>
    <row r="4530" spans="1:22" x14ac:dyDescent="0.2">
      <c r="A4530" s="27"/>
      <c r="B4530" s="25"/>
      <c r="E4530" s="10"/>
      <c r="O4530" s="10"/>
      <c r="V4530" s="10"/>
    </row>
    <row r="4531" spans="1:22" x14ac:dyDescent="0.2">
      <c r="A4531" s="27"/>
      <c r="B4531" s="25"/>
      <c r="E4531" s="10"/>
      <c r="O4531" s="10"/>
      <c r="V4531" s="10"/>
    </row>
    <row r="4532" spans="1:22" x14ac:dyDescent="0.2">
      <c r="A4532" s="27"/>
      <c r="B4532" s="25"/>
      <c r="E4532" s="10"/>
      <c r="O4532" s="10"/>
      <c r="V4532" s="10"/>
    </row>
    <row r="4533" spans="1:22" x14ac:dyDescent="0.2">
      <c r="A4533" s="27"/>
      <c r="B4533" s="25"/>
      <c r="E4533" s="10"/>
      <c r="O4533" s="10"/>
      <c r="V4533" s="10"/>
    </row>
    <row r="4534" spans="1:22" x14ac:dyDescent="0.2">
      <c r="A4534" s="27"/>
      <c r="B4534" s="25"/>
      <c r="E4534" s="10"/>
      <c r="O4534" s="10"/>
      <c r="V4534" s="10"/>
    </row>
    <row r="4535" spans="1:22" x14ac:dyDescent="0.2">
      <c r="A4535" s="27"/>
      <c r="B4535" s="25"/>
      <c r="E4535" s="10"/>
      <c r="O4535" s="10"/>
      <c r="V4535" s="10"/>
    </row>
    <row r="4536" spans="1:22" x14ac:dyDescent="0.2">
      <c r="A4536" s="27"/>
      <c r="B4536" s="25"/>
      <c r="E4536" s="10"/>
      <c r="O4536" s="10"/>
      <c r="V4536" s="10"/>
    </row>
    <row r="4537" spans="1:22" x14ac:dyDescent="0.2">
      <c r="A4537" s="27"/>
      <c r="B4537" s="25"/>
      <c r="E4537" s="10"/>
      <c r="O4537" s="10"/>
      <c r="V4537" s="10"/>
    </row>
    <row r="4538" spans="1:22" x14ac:dyDescent="0.2">
      <c r="A4538" s="27"/>
      <c r="B4538" s="25"/>
      <c r="E4538" s="10"/>
      <c r="O4538" s="10"/>
      <c r="V4538" s="10"/>
    </row>
    <row r="4539" spans="1:22" x14ac:dyDescent="0.2">
      <c r="A4539" s="27"/>
      <c r="B4539" s="25"/>
      <c r="E4539" s="10"/>
      <c r="O4539" s="10"/>
      <c r="V4539" s="10"/>
    </row>
    <row r="4540" spans="1:22" x14ac:dyDescent="0.2">
      <c r="A4540" s="27"/>
      <c r="B4540" s="25"/>
      <c r="E4540" s="10"/>
      <c r="O4540" s="10"/>
      <c r="V4540" s="10"/>
    </row>
    <row r="4541" spans="1:22" x14ac:dyDescent="0.2">
      <c r="A4541" s="27"/>
      <c r="B4541" s="25"/>
      <c r="E4541" s="10"/>
      <c r="O4541" s="10"/>
      <c r="V4541" s="10"/>
    </row>
    <row r="4542" spans="1:22" x14ac:dyDescent="0.2">
      <c r="A4542" s="27"/>
      <c r="B4542" s="25"/>
      <c r="E4542" s="10"/>
      <c r="O4542" s="10"/>
      <c r="V4542" s="10"/>
    </row>
    <row r="4543" spans="1:22" x14ac:dyDescent="0.2">
      <c r="A4543" s="27"/>
      <c r="B4543" s="25"/>
      <c r="E4543" s="10"/>
      <c r="O4543" s="10"/>
      <c r="V4543" s="10"/>
    </row>
    <row r="4544" spans="1:22" x14ac:dyDescent="0.2">
      <c r="A4544" s="27"/>
      <c r="B4544" s="25"/>
      <c r="E4544" s="10"/>
      <c r="O4544" s="10"/>
      <c r="V4544" s="10"/>
    </row>
    <row r="4545" spans="1:22" x14ac:dyDescent="0.2">
      <c r="A4545" s="27"/>
      <c r="B4545" s="25"/>
      <c r="E4545" s="10"/>
      <c r="O4545" s="10"/>
      <c r="V4545" s="10"/>
    </row>
    <row r="4546" spans="1:22" x14ac:dyDescent="0.2">
      <c r="A4546" s="27"/>
      <c r="B4546" s="25"/>
      <c r="E4546" s="10"/>
      <c r="O4546" s="10"/>
      <c r="V4546" s="10"/>
    </row>
    <row r="4547" spans="1:22" x14ac:dyDescent="0.2">
      <c r="A4547" s="27"/>
      <c r="B4547" s="25"/>
      <c r="E4547" s="10"/>
      <c r="O4547" s="10"/>
      <c r="V4547" s="10"/>
    </row>
    <row r="4548" spans="1:22" x14ac:dyDescent="0.2">
      <c r="A4548" s="27"/>
      <c r="B4548" s="25"/>
      <c r="E4548" s="10"/>
      <c r="O4548" s="10"/>
      <c r="V4548" s="10"/>
    </row>
    <row r="4549" spans="1:22" x14ac:dyDescent="0.2">
      <c r="A4549" s="27"/>
      <c r="B4549" s="25"/>
      <c r="E4549" s="10"/>
      <c r="O4549" s="10"/>
      <c r="V4549" s="10"/>
    </row>
    <row r="4550" spans="1:22" x14ac:dyDescent="0.2">
      <c r="A4550" s="27"/>
      <c r="B4550" s="25"/>
      <c r="E4550" s="10"/>
      <c r="O4550" s="10"/>
      <c r="V4550" s="10"/>
    </row>
    <row r="4551" spans="1:22" x14ac:dyDescent="0.2">
      <c r="A4551" s="27"/>
      <c r="B4551" s="25"/>
      <c r="E4551" s="10"/>
      <c r="O4551" s="10"/>
      <c r="V4551" s="10"/>
    </row>
    <row r="4552" spans="1:22" x14ac:dyDescent="0.2">
      <c r="A4552" s="27"/>
      <c r="B4552" s="25"/>
      <c r="E4552" s="10"/>
      <c r="O4552" s="10"/>
      <c r="V4552" s="10"/>
    </row>
    <row r="4553" spans="1:22" x14ac:dyDescent="0.2">
      <c r="A4553" s="27"/>
      <c r="B4553" s="25"/>
      <c r="E4553" s="10"/>
      <c r="O4553" s="10"/>
      <c r="V4553" s="10"/>
    </row>
    <row r="4554" spans="1:22" x14ac:dyDescent="0.2">
      <c r="A4554" s="27"/>
      <c r="B4554" s="25"/>
      <c r="E4554" s="10"/>
      <c r="O4554" s="10"/>
      <c r="V4554" s="10"/>
    </row>
    <row r="4555" spans="1:22" x14ac:dyDescent="0.2">
      <c r="A4555" s="27"/>
      <c r="B4555" s="25"/>
      <c r="E4555" s="10"/>
      <c r="O4555" s="10"/>
      <c r="V4555" s="10"/>
    </row>
    <row r="4556" spans="1:22" x14ac:dyDescent="0.2">
      <c r="A4556" s="27"/>
      <c r="B4556" s="25"/>
      <c r="E4556" s="10"/>
      <c r="O4556" s="10"/>
      <c r="V4556" s="10"/>
    </row>
    <row r="4557" spans="1:22" x14ac:dyDescent="0.2">
      <c r="A4557" s="27"/>
      <c r="B4557" s="25"/>
      <c r="E4557" s="10"/>
      <c r="O4557" s="10"/>
      <c r="V4557" s="10"/>
    </row>
    <row r="4558" spans="1:22" x14ac:dyDescent="0.2">
      <c r="A4558" s="27"/>
      <c r="B4558" s="25"/>
      <c r="E4558" s="10"/>
      <c r="O4558" s="10"/>
      <c r="V4558" s="10"/>
    </row>
    <row r="4559" spans="1:22" x14ac:dyDescent="0.2">
      <c r="A4559" s="27"/>
      <c r="B4559" s="25"/>
      <c r="E4559" s="10"/>
      <c r="O4559" s="10"/>
      <c r="V4559" s="10"/>
    </row>
    <row r="4560" spans="1:22" x14ac:dyDescent="0.2">
      <c r="A4560" s="27"/>
      <c r="B4560" s="25"/>
      <c r="E4560" s="10"/>
      <c r="O4560" s="10"/>
      <c r="V4560" s="10"/>
    </row>
    <row r="4561" spans="1:22" x14ac:dyDescent="0.2">
      <c r="A4561" s="27"/>
      <c r="B4561" s="25"/>
      <c r="E4561" s="10"/>
      <c r="O4561" s="10"/>
      <c r="V4561" s="10"/>
    </row>
    <row r="4562" spans="1:22" x14ac:dyDescent="0.2">
      <c r="A4562" s="27"/>
      <c r="B4562" s="25"/>
      <c r="E4562" s="10"/>
      <c r="O4562" s="10"/>
      <c r="V4562" s="10"/>
    </row>
    <row r="4563" spans="1:22" x14ac:dyDescent="0.2">
      <c r="A4563" s="27"/>
      <c r="B4563" s="25"/>
      <c r="E4563" s="10"/>
      <c r="O4563" s="10"/>
      <c r="V4563" s="10"/>
    </row>
    <row r="4564" spans="1:22" x14ac:dyDescent="0.2">
      <c r="A4564" s="27"/>
      <c r="B4564" s="25"/>
      <c r="E4564" s="10"/>
      <c r="O4564" s="10"/>
      <c r="V4564" s="10"/>
    </row>
    <row r="4565" spans="1:22" x14ac:dyDescent="0.2">
      <c r="A4565" s="27"/>
      <c r="B4565" s="25"/>
      <c r="E4565" s="10"/>
      <c r="O4565" s="10"/>
      <c r="V4565" s="10"/>
    </row>
    <row r="4566" spans="1:22" x14ac:dyDescent="0.2">
      <c r="A4566" s="27"/>
      <c r="B4566" s="25"/>
      <c r="E4566" s="10"/>
      <c r="O4566" s="10"/>
      <c r="V4566" s="10"/>
    </row>
    <row r="4567" spans="1:22" x14ac:dyDescent="0.2">
      <c r="A4567" s="27"/>
      <c r="B4567" s="25"/>
      <c r="E4567" s="10"/>
      <c r="O4567" s="10"/>
      <c r="V4567" s="10"/>
    </row>
    <row r="4568" spans="1:22" x14ac:dyDescent="0.2">
      <c r="A4568" s="27"/>
      <c r="B4568" s="25"/>
      <c r="E4568" s="10"/>
      <c r="O4568" s="10"/>
      <c r="V4568" s="10"/>
    </row>
    <row r="4569" spans="1:22" x14ac:dyDescent="0.2">
      <c r="A4569" s="27"/>
      <c r="B4569" s="25"/>
      <c r="E4569" s="10"/>
      <c r="O4569" s="10"/>
      <c r="V4569" s="10"/>
    </row>
    <row r="4570" spans="1:22" x14ac:dyDescent="0.2">
      <c r="A4570" s="27"/>
      <c r="B4570" s="25"/>
      <c r="E4570" s="10"/>
      <c r="O4570" s="10"/>
      <c r="V4570" s="10"/>
    </row>
    <row r="4571" spans="1:22" x14ac:dyDescent="0.2">
      <c r="A4571" s="27"/>
      <c r="B4571" s="25"/>
      <c r="E4571" s="10"/>
      <c r="O4571" s="10"/>
      <c r="V4571" s="10"/>
    </row>
    <row r="4572" spans="1:22" x14ac:dyDescent="0.2">
      <c r="A4572" s="27"/>
      <c r="B4572" s="25"/>
      <c r="E4572" s="10"/>
      <c r="O4572" s="10"/>
      <c r="V4572" s="10"/>
    </row>
    <row r="4573" spans="1:22" x14ac:dyDescent="0.2">
      <c r="A4573" s="27"/>
      <c r="B4573" s="25"/>
      <c r="E4573" s="10"/>
      <c r="O4573" s="10"/>
      <c r="V4573" s="10"/>
    </row>
    <row r="4574" spans="1:22" x14ac:dyDescent="0.2">
      <c r="A4574" s="27"/>
      <c r="B4574" s="25"/>
      <c r="E4574" s="10"/>
      <c r="O4574" s="10"/>
      <c r="V4574" s="10"/>
    </row>
    <row r="4575" spans="1:22" x14ac:dyDescent="0.2">
      <c r="A4575" s="27"/>
      <c r="B4575" s="25"/>
      <c r="E4575" s="10"/>
      <c r="O4575" s="10"/>
      <c r="V4575" s="10"/>
    </row>
    <row r="4576" spans="1:22" x14ac:dyDescent="0.2">
      <c r="A4576" s="27"/>
      <c r="B4576" s="25"/>
      <c r="E4576" s="10"/>
      <c r="O4576" s="10"/>
      <c r="V4576" s="10"/>
    </row>
    <row r="4577" spans="1:22" x14ac:dyDescent="0.2">
      <c r="A4577" s="27"/>
      <c r="B4577" s="25"/>
      <c r="E4577" s="10"/>
      <c r="O4577" s="10"/>
      <c r="V4577" s="10"/>
    </row>
    <row r="4578" spans="1:22" x14ac:dyDescent="0.2">
      <c r="A4578" s="27"/>
      <c r="B4578" s="25"/>
      <c r="E4578" s="10"/>
      <c r="O4578" s="10"/>
      <c r="V4578" s="10"/>
    </row>
    <row r="4579" spans="1:22" x14ac:dyDescent="0.2">
      <c r="A4579" s="27"/>
      <c r="B4579" s="25"/>
      <c r="E4579" s="10"/>
      <c r="O4579" s="10"/>
      <c r="V4579" s="10"/>
    </row>
    <row r="4580" spans="1:22" x14ac:dyDescent="0.2">
      <c r="A4580" s="27"/>
      <c r="B4580" s="25"/>
      <c r="E4580" s="10"/>
      <c r="O4580" s="10"/>
      <c r="V4580" s="10"/>
    </row>
    <row r="4581" spans="1:22" x14ac:dyDescent="0.2">
      <c r="A4581" s="27"/>
      <c r="B4581" s="25"/>
      <c r="E4581" s="10"/>
      <c r="O4581" s="10"/>
      <c r="V4581" s="10"/>
    </row>
    <row r="4582" spans="1:22" x14ac:dyDescent="0.2">
      <c r="A4582" s="27"/>
      <c r="B4582" s="25"/>
      <c r="E4582" s="10"/>
      <c r="O4582" s="10"/>
      <c r="V4582" s="10"/>
    </row>
    <row r="4583" spans="1:22" x14ac:dyDescent="0.2">
      <c r="A4583" s="27"/>
      <c r="B4583" s="25"/>
      <c r="E4583" s="10"/>
      <c r="O4583" s="10"/>
      <c r="V4583" s="10"/>
    </row>
    <row r="4584" spans="1:22" x14ac:dyDescent="0.2">
      <c r="A4584" s="27"/>
      <c r="B4584" s="25"/>
      <c r="E4584" s="10"/>
      <c r="O4584" s="10"/>
      <c r="V4584" s="10"/>
    </row>
    <row r="4585" spans="1:22" x14ac:dyDescent="0.2">
      <c r="A4585" s="27"/>
      <c r="B4585" s="25"/>
      <c r="E4585" s="10"/>
      <c r="O4585" s="10"/>
      <c r="V4585" s="10"/>
    </row>
    <row r="4586" spans="1:22" x14ac:dyDescent="0.2">
      <c r="A4586" s="27"/>
      <c r="B4586" s="25"/>
      <c r="E4586" s="10"/>
      <c r="O4586" s="10"/>
      <c r="V4586" s="10"/>
    </row>
    <row r="4587" spans="1:22" x14ac:dyDescent="0.2">
      <c r="A4587" s="27"/>
      <c r="B4587" s="25"/>
      <c r="E4587" s="10"/>
      <c r="O4587" s="10"/>
      <c r="V4587" s="10"/>
    </row>
    <row r="4588" spans="1:22" x14ac:dyDescent="0.2">
      <c r="A4588" s="27"/>
      <c r="B4588" s="25"/>
      <c r="E4588" s="10"/>
      <c r="O4588" s="10"/>
      <c r="V4588" s="10"/>
    </row>
    <row r="4589" spans="1:22" x14ac:dyDescent="0.2">
      <c r="A4589" s="27"/>
      <c r="B4589" s="25"/>
      <c r="E4589" s="10"/>
      <c r="O4589" s="10"/>
      <c r="V4589" s="10"/>
    </row>
    <row r="4590" spans="1:22" x14ac:dyDescent="0.2">
      <c r="A4590" s="27"/>
      <c r="B4590" s="25"/>
      <c r="E4590" s="10"/>
      <c r="O4590" s="10"/>
      <c r="V4590" s="10"/>
    </row>
    <row r="4591" spans="1:22" x14ac:dyDescent="0.2">
      <c r="A4591" s="27"/>
      <c r="B4591" s="25"/>
      <c r="E4591" s="10"/>
      <c r="O4591" s="10"/>
      <c r="V4591" s="10"/>
    </row>
    <row r="4592" spans="1:22" x14ac:dyDescent="0.2">
      <c r="A4592" s="27"/>
      <c r="B4592" s="25"/>
      <c r="E4592" s="10"/>
      <c r="O4592" s="10"/>
      <c r="V4592" s="10"/>
    </row>
    <row r="4593" spans="1:22" x14ac:dyDescent="0.2">
      <c r="A4593" s="27"/>
      <c r="B4593" s="25"/>
      <c r="E4593" s="10"/>
      <c r="O4593" s="10"/>
      <c r="V4593" s="10"/>
    </row>
    <row r="4594" spans="1:22" x14ac:dyDescent="0.2">
      <c r="A4594" s="27"/>
      <c r="B4594" s="25"/>
      <c r="E4594" s="10"/>
      <c r="O4594" s="10"/>
      <c r="V4594" s="10"/>
    </row>
    <row r="4595" spans="1:22" x14ac:dyDescent="0.2">
      <c r="A4595" s="27"/>
      <c r="B4595" s="25"/>
      <c r="E4595" s="10"/>
      <c r="O4595" s="10"/>
      <c r="V4595" s="10"/>
    </row>
    <row r="4596" spans="1:22" x14ac:dyDescent="0.2">
      <c r="A4596" s="27"/>
      <c r="B4596" s="25"/>
      <c r="E4596" s="10"/>
      <c r="O4596" s="10"/>
      <c r="V4596" s="10"/>
    </row>
    <row r="4597" spans="1:22" x14ac:dyDescent="0.2">
      <c r="A4597" s="27"/>
      <c r="B4597" s="25"/>
      <c r="E4597" s="10"/>
      <c r="O4597" s="10"/>
      <c r="V4597" s="10"/>
    </row>
    <row r="4598" spans="1:22" x14ac:dyDescent="0.2">
      <c r="A4598" s="27"/>
      <c r="B4598" s="25"/>
      <c r="E4598" s="10"/>
      <c r="O4598" s="10"/>
      <c r="V4598" s="10"/>
    </row>
    <row r="4599" spans="1:22" x14ac:dyDescent="0.2">
      <c r="A4599" s="27"/>
      <c r="B4599" s="25"/>
      <c r="E4599" s="10"/>
      <c r="O4599" s="10"/>
      <c r="V4599" s="10"/>
    </row>
    <row r="4600" spans="1:22" x14ac:dyDescent="0.2">
      <c r="A4600" s="27"/>
      <c r="B4600" s="25"/>
      <c r="E4600" s="10"/>
      <c r="O4600" s="10"/>
      <c r="V4600" s="10"/>
    </row>
    <row r="4601" spans="1:22" x14ac:dyDescent="0.2">
      <c r="A4601" s="27"/>
      <c r="B4601" s="25"/>
      <c r="E4601" s="10"/>
      <c r="O4601" s="10"/>
      <c r="V4601" s="10"/>
    </row>
    <row r="4602" spans="1:22" x14ac:dyDescent="0.2">
      <c r="A4602" s="27"/>
      <c r="B4602" s="25"/>
      <c r="E4602" s="10"/>
      <c r="O4602" s="10"/>
      <c r="V4602" s="10"/>
    </row>
    <row r="4603" spans="1:22" x14ac:dyDescent="0.2">
      <c r="A4603" s="27"/>
      <c r="B4603" s="25"/>
      <c r="E4603" s="10"/>
      <c r="O4603" s="10"/>
      <c r="V4603" s="10"/>
    </row>
    <row r="4604" spans="1:22" x14ac:dyDescent="0.2">
      <c r="A4604" s="27"/>
      <c r="B4604" s="25"/>
      <c r="E4604" s="10"/>
      <c r="O4604" s="10"/>
      <c r="V4604" s="10"/>
    </row>
    <row r="4605" spans="1:22" x14ac:dyDescent="0.2">
      <c r="A4605" s="27"/>
      <c r="B4605" s="25"/>
      <c r="E4605" s="10"/>
      <c r="O4605" s="10"/>
      <c r="V4605" s="10"/>
    </row>
    <row r="4606" spans="1:22" x14ac:dyDescent="0.2">
      <c r="A4606" s="27"/>
      <c r="B4606" s="25"/>
      <c r="E4606" s="10"/>
      <c r="O4606" s="10"/>
      <c r="V4606" s="10"/>
    </row>
    <row r="4607" spans="1:22" x14ac:dyDescent="0.2">
      <c r="A4607" s="27"/>
      <c r="B4607" s="25"/>
      <c r="E4607" s="10"/>
      <c r="O4607" s="10"/>
      <c r="V4607" s="10"/>
    </row>
    <row r="4608" spans="1:22" x14ac:dyDescent="0.2">
      <c r="A4608" s="27"/>
      <c r="B4608" s="25"/>
      <c r="E4608" s="10"/>
      <c r="O4608" s="10"/>
      <c r="V4608" s="10"/>
    </row>
    <row r="4609" spans="1:22" x14ac:dyDescent="0.2">
      <c r="A4609" s="27"/>
      <c r="B4609" s="25"/>
      <c r="E4609" s="10"/>
      <c r="O4609" s="10"/>
      <c r="V4609" s="10"/>
    </row>
    <row r="4610" spans="1:22" x14ac:dyDescent="0.2">
      <c r="A4610" s="27"/>
      <c r="B4610" s="25"/>
      <c r="E4610" s="10"/>
      <c r="O4610" s="10"/>
      <c r="V4610" s="10"/>
    </row>
    <row r="4611" spans="1:22" x14ac:dyDescent="0.2">
      <c r="A4611" s="27"/>
      <c r="B4611" s="25"/>
      <c r="E4611" s="10"/>
      <c r="O4611" s="10"/>
      <c r="V4611" s="10"/>
    </row>
    <row r="4612" spans="1:22" x14ac:dyDescent="0.2">
      <c r="A4612" s="27"/>
      <c r="B4612" s="25"/>
      <c r="E4612" s="10"/>
      <c r="O4612" s="10"/>
      <c r="V4612" s="10"/>
    </row>
    <row r="4613" spans="1:22" x14ac:dyDescent="0.2">
      <c r="A4613" s="27"/>
      <c r="B4613" s="25"/>
      <c r="E4613" s="10"/>
      <c r="O4613" s="10"/>
      <c r="V4613" s="10"/>
    </row>
    <row r="4614" spans="1:22" x14ac:dyDescent="0.2">
      <c r="A4614" s="27"/>
      <c r="B4614" s="25"/>
      <c r="E4614" s="10"/>
      <c r="O4614" s="10"/>
      <c r="V4614" s="10"/>
    </row>
    <row r="4615" spans="1:22" x14ac:dyDescent="0.2">
      <c r="A4615" s="27"/>
      <c r="B4615" s="25"/>
      <c r="E4615" s="10"/>
      <c r="O4615" s="10"/>
      <c r="V4615" s="10"/>
    </row>
    <row r="4616" spans="1:22" x14ac:dyDescent="0.2">
      <c r="A4616" s="27"/>
      <c r="B4616" s="25"/>
      <c r="E4616" s="10"/>
      <c r="O4616" s="10"/>
      <c r="V4616" s="10"/>
    </row>
    <row r="4617" spans="1:22" x14ac:dyDescent="0.2">
      <c r="A4617" s="27"/>
      <c r="B4617" s="25"/>
      <c r="E4617" s="10"/>
      <c r="O4617" s="10"/>
      <c r="V4617" s="10"/>
    </row>
    <row r="4618" spans="1:22" x14ac:dyDescent="0.2">
      <c r="A4618" s="27"/>
      <c r="B4618" s="25"/>
      <c r="E4618" s="10"/>
      <c r="O4618" s="10"/>
      <c r="V4618" s="10"/>
    </row>
    <row r="4619" spans="1:22" x14ac:dyDescent="0.2">
      <c r="A4619" s="27"/>
      <c r="B4619" s="25"/>
      <c r="E4619" s="10"/>
      <c r="O4619" s="10"/>
      <c r="V4619" s="10"/>
    </row>
    <row r="4620" spans="1:22" x14ac:dyDescent="0.2">
      <c r="A4620" s="27"/>
      <c r="B4620" s="25"/>
      <c r="E4620" s="10"/>
      <c r="O4620" s="10"/>
      <c r="V4620" s="10"/>
    </row>
    <row r="4621" spans="1:22" x14ac:dyDescent="0.2">
      <c r="A4621" s="27"/>
      <c r="B4621" s="25"/>
      <c r="E4621" s="10"/>
      <c r="O4621" s="10"/>
      <c r="V4621" s="10"/>
    </row>
    <row r="4622" spans="1:22" x14ac:dyDescent="0.2">
      <c r="A4622" s="27"/>
      <c r="B4622" s="25"/>
      <c r="E4622" s="10"/>
      <c r="O4622" s="10"/>
      <c r="V4622" s="10"/>
    </row>
    <row r="4623" spans="1:22" x14ac:dyDescent="0.2">
      <c r="A4623" s="27"/>
      <c r="B4623" s="25"/>
      <c r="E4623" s="10"/>
      <c r="O4623" s="10"/>
      <c r="V4623" s="10"/>
    </row>
    <row r="4624" spans="1:22" x14ac:dyDescent="0.2">
      <c r="A4624" s="27"/>
      <c r="B4624" s="25"/>
      <c r="E4624" s="10"/>
      <c r="O4624" s="10"/>
      <c r="V4624" s="10"/>
    </row>
    <row r="4625" spans="1:22" x14ac:dyDescent="0.2">
      <c r="A4625" s="27"/>
      <c r="B4625" s="25"/>
      <c r="E4625" s="10"/>
      <c r="O4625" s="10"/>
      <c r="V4625" s="10"/>
    </row>
    <row r="4626" spans="1:22" x14ac:dyDescent="0.2">
      <c r="A4626" s="27"/>
      <c r="B4626" s="25"/>
      <c r="E4626" s="10"/>
      <c r="O4626" s="10"/>
      <c r="V4626" s="10"/>
    </row>
    <row r="4627" spans="1:22" x14ac:dyDescent="0.2">
      <c r="A4627" s="27"/>
      <c r="B4627" s="25"/>
      <c r="E4627" s="10"/>
      <c r="O4627" s="10"/>
      <c r="V4627" s="10"/>
    </row>
    <row r="4628" spans="1:22" x14ac:dyDescent="0.2">
      <c r="A4628" s="27"/>
      <c r="B4628" s="25"/>
      <c r="E4628" s="10"/>
      <c r="O4628" s="10"/>
      <c r="V4628" s="10"/>
    </row>
    <row r="4629" spans="1:22" x14ac:dyDescent="0.2">
      <c r="A4629" s="27"/>
      <c r="B4629" s="25"/>
      <c r="E4629" s="10"/>
      <c r="O4629" s="10"/>
      <c r="V4629" s="10"/>
    </row>
    <row r="4630" spans="1:22" x14ac:dyDescent="0.2">
      <c r="A4630" s="27"/>
      <c r="B4630" s="25"/>
      <c r="E4630" s="10"/>
      <c r="O4630" s="10"/>
      <c r="V4630" s="10"/>
    </row>
    <row r="4631" spans="1:22" x14ac:dyDescent="0.2">
      <c r="A4631" s="27"/>
      <c r="B4631" s="25"/>
      <c r="E4631" s="10"/>
      <c r="O4631" s="10"/>
      <c r="V4631" s="10"/>
    </row>
    <row r="4632" spans="1:22" x14ac:dyDescent="0.2">
      <c r="A4632" s="27"/>
      <c r="B4632" s="25"/>
      <c r="E4632" s="10"/>
      <c r="O4632" s="10"/>
      <c r="V4632" s="10"/>
    </row>
    <row r="4633" spans="1:22" x14ac:dyDescent="0.2">
      <c r="A4633" s="27"/>
      <c r="B4633" s="25"/>
      <c r="E4633" s="10"/>
      <c r="O4633" s="10"/>
      <c r="V4633" s="10"/>
    </row>
    <row r="4634" spans="1:22" x14ac:dyDescent="0.2">
      <c r="A4634" s="27"/>
      <c r="B4634" s="25"/>
      <c r="E4634" s="10"/>
      <c r="O4634" s="10"/>
      <c r="V4634" s="10"/>
    </row>
    <row r="4635" spans="1:22" x14ac:dyDescent="0.2">
      <c r="A4635" s="27"/>
      <c r="B4635" s="25"/>
      <c r="E4635" s="10"/>
      <c r="O4635" s="10"/>
      <c r="V4635" s="10"/>
    </row>
    <row r="4636" spans="1:22" x14ac:dyDescent="0.2">
      <c r="A4636" s="27"/>
      <c r="B4636" s="25"/>
      <c r="E4636" s="10"/>
      <c r="O4636" s="10"/>
      <c r="V4636" s="10"/>
    </row>
    <row r="4637" spans="1:22" x14ac:dyDescent="0.2">
      <c r="A4637" s="27"/>
      <c r="B4637" s="25"/>
      <c r="E4637" s="10"/>
      <c r="O4637" s="10"/>
      <c r="V4637" s="10"/>
    </row>
    <row r="4638" spans="1:22" x14ac:dyDescent="0.2">
      <c r="A4638" s="27"/>
      <c r="B4638" s="25"/>
      <c r="E4638" s="10"/>
      <c r="O4638" s="10"/>
      <c r="V4638" s="10"/>
    </row>
    <row r="4639" spans="1:22" x14ac:dyDescent="0.2">
      <c r="A4639" s="27"/>
      <c r="B4639" s="25"/>
      <c r="E4639" s="10"/>
      <c r="O4639" s="10"/>
      <c r="V4639" s="10"/>
    </row>
    <row r="4640" spans="1:22" x14ac:dyDescent="0.2">
      <c r="A4640" s="27"/>
      <c r="B4640" s="25"/>
      <c r="E4640" s="10"/>
      <c r="O4640" s="10"/>
      <c r="V4640" s="10"/>
    </row>
    <row r="4641" spans="1:22" x14ac:dyDescent="0.2">
      <c r="A4641" s="27"/>
      <c r="B4641" s="25"/>
      <c r="E4641" s="10"/>
      <c r="O4641" s="10"/>
      <c r="V4641" s="10"/>
    </row>
    <row r="4642" spans="1:22" x14ac:dyDescent="0.2">
      <c r="A4642" s="27"/>
      <c r="B4642" s="25"/>
      <c r="E4642" s="10"/>
      <c r="O4642" s="10"/>
      <c r="V4642" s="10"/>
    </row>
    <row r="4643" spans="1:22" x14ac:dyDescent="0.2">
      <c r="A4643" s="27"/>
      <c r="B4643" s="25"/>
      <c r="E4643" s="10"/>
      <c r="O4643" s="10"/>
      <c r="V4643" s="10"/>
    </row>
    <row r="4644" spans="1:22" x14ac:dyDescent="0.2">
      <c r="A4644" s="27"/>
      <c r="B4644" s="25"/>
      <c r="E4644" s="10"/>
      <c r="O4644" s="10"/>
      <c r="V4644" s="10"/>
    </row>
    <row r="4645" spans="1:22" x14ac:dyDescent="0.2">
      <c r="A4645" s="27"/>
      <c r="B4645" s="25"/>
      <c r="E4645" s="10"/>
      <c r="O4645" s="10"/>
      <c r="V4645" s="10"/>
    </row>
    <row r="4646" spans="1:22" x14ac:dyDescent="0.2">
      <c r="A4646" s="27"/>
      <c r="B4646" s="25"/>
      <c r="E4646" s="10"/>
      <c r="O4646" s="10"/>
      <c r="V4646" s="10"/>
    </row>
    <row r="4647" spans="1:22" x14ac:dyDescent="0.2">
      <c r="A4647" s="27"/>
      <c r="B4647" s="25"/>
      <c r="E4647" s="10"/>
      <c r="O4647" s="10"/>
      <c r="V4647" s="10"/>
    </row>
    <row r="4648" spans="1:22" x14ac:dyDescent="0.2">
      <c r="A4648" s="27"/>
      <c r="B4648" s="25"/>
      <c r="E4648" s="10"/>
      <c r="O4648" s="10"/>
      <c r="V4648" s="10"/>
    </row>
    <row r="4649" spans="1:22" x14ac:dyDescent="0.2">
      <c r="A4649" s="27"/>
      <c r="B4649" s="25"/>
      <c r="E4649" s="10"/>
      <c r="O4649" s="10"/>
      <c r="V4649" s="10"/>
    </row>
    <row r="4650" spans="1:22" x14ac:dyDescent="0.2">
      <c r="A4650" s="27"/>
      <c r="B4650" s="25"/>
      <c r="E4650" s="10"/>
      <c r="O4650" s="10"/>
      <c r="V4650" s="10"/>
    </row>
    <row r="4651" spans="1:22" x14ac:dyDescent="0.2">
      <c r="A4651" s="27"/>
      <c r="B4651" s="25"/>
      <c r="E4651" s="10"/>
      <c r="O4651" s="10"/>
      <c r="V4651" s="10"/>
    </row>
    <row r="4652" spans="1:22" x14ac:dyDescent="0.2">
      <c r="A4652" s="27"/>
      <c r="B4652" s="25"/>
      <c r="E4652" s="10"/>
      <c r="O4652" s="10"/>
      <c r="V4652" s="10"/>
    </row>
    <row r="4653" spans="1:22" x14ac:dyDescent="0.2">
      <c r="A4653" s="27"/>
      <c r="B4653" s="25"/>
      <c r="E4653" s="10"/>
      <c r="O4653" s="10"/>
      <c r="V4653" s="10"/>
    </row>
    <row r="4654" spans="1:22" x14ac:dyDescent="0.2">
      <c r="A4654" s="27"/>
      <c r="B4654" s="25"/>
      <c r="E4654" s="10"/>
      <c r="O4654" s="10"/>
      <c r="V4654" s="10"/>
    </row>
    <row r="4655" spans="1:22" x14ac:dyDescent="0.2">
      <c r="A4655" s="27"/>
      <c r="B4655" s="25"/>
      <c r="E4655" s="10"/>
      <c r="O4655" s="10"/>
      <c r="V4655" s="10"/>
    </row>
    <row r="4656" spans="1:22" x14ac:dyDescent="0.2">
      <c r="A4656" s="27"/>
      <c r="B4656" s="25"/>
      <c r="E4656" s="10"/>
      <c r="O4656" s="10"/>
      <c r="V4656" s="10"/>
    </row>
    <row r="4657" spans="1:22" x14ac:dyDescent="0.2">
      <c r="A4657" s="27"/>
      <c r="B4657" s="25"/>
      <c r="E4657" s="10"/>
      <c r="O4657" s="10"/>
      <c r="V4657" s="10"/>
    </row>
    <row r="4658" spans="1:22" x14ac:dyDescent="0.2">
      <c r="A4658" s="27"/>
      <c r="B4658" s="25"/>
      <c r="E4658" s="10"/>
      <c r="O4658" s="10"/>
      <c r="V4658" s="10"/>
    </row>
    <row r="4659" spans="1:22" x14ac:dyDescent="0.2">
      <c r="A4659" s="27"/>
      <c r="B4659" s="25"/>
      <c r="E4659" s="10"/>
      <c r="O4659" s="10"/>
      <c r="V4659" s="10"/>
    </row>
    <row r="4660" spans="1:22" x14ac:dyDescent="0.2">
      <c r="A4660" s="27"/>
      <c r="B4660" s="25"/>
      <c r="E4660" s="10"/>
      <c r="O4660" s="10"/>
      <c r="V4660" s="10"/>
    </row>
    <row r="4661" spans="1:22" x14ac:dyDescent="0.2">
      <c r="A4661" s="27"/>
      <c r="B4661" s="25"/>
      <c r="E4661" s="10"/>
      <c r="O4661" s="10"/>
      <c r="V4661" s="10"/>
    </row>
    <row r="4662" spans="1:22" x14ac:dyDescent="0.2">
      <c r="A4662" s="27"/>
      <c r="B4662" s="25"/>
      <c r="E4662" s="10"/>
      <c r="O4662" s="10"/>
      <c r="V4662" s="10"/>
    </row>
    <row r="4663" spans="1:22" x14ac:dyDescent="0.2">
      <c r="A4663" s="27"/>
      <c r="B4663" s="25"/>
      <c r="E4663" s="10"/>
      <c r="O4663" s="10"/>
      <c r="V4663" s="10"/>
    </row>
    <row r="4664" spans="1:22" x14ac:dyDescent="0.2">
      <c r="A4664" s="27"/>
      <c r="B4664" s="25"/>
      <c r="E4664" s="10"/>
      <c r="O4664" s="10"/>
      <c r="V4664" s="10"/>
    </row>
    <row r="4665" spans="1:22" x14ac:dyDescent="0.2">
      <c r="A4665" s="27"/>
      <c r="B4665" s="25"/>
      <c r="E4665" s="10"/>
      <c r="O4665" s="10"/>
      <c r="V4665" s="10"/>
    </row>
    <row r="4666" spans="1:22" x14ac:dyDescent="0.2">
      <c r="A4666" s="27"/>
      <c r="B4666" s="25"/>
      <c r="E4666" s="10"/>
      <c r="O4666" s="10"/>
      <c r="V4666" s="10"/>
    </row>
    <row r="4667" spans="1:22" x14ac:dyDescent="0.2">
      <c r="A4667" s="27"/>
      <c r="B4667" s="25"/>
      <c r="E4667" s="10"/>
      <c r="O4667" s="10"/>
      <c r="V4667" s="10"/>
    </row>
    <row r="4668" spans="1:22" x14ac:dyDescent="0.2">
      <c r="A4668" s="27"/>
      <c r="B4668" s="25"/>
      <c r="E4668" s="10"/>
      <c r="O4668" s="10"/>
      <c r="V4668" s="10"/>
    </row>
    <row r="4669" spans="1:22" x14ac:dyDescent="0.2">
      <c r="A4669" s="27"/>
      <c r="B4669" s="25"/>
      <c r="E4669" s="10"/>
      <c r="O4669" s="10"/>
      <c r="V4669" s="10"/>
    </row>
    <row r="4670" spans="1:22" x14ac:dyDescent="0.2">
      <c r="A4670" s="27"/>
      <c r="B4670" s="25"/>
      <c r="E4670" s="10"/>
      <c r="O4670" s="10"/>
      <c r="V4670" s="10"/>
    </row>
    <row r="4671" spans="1:22" x14ac:dyDescent="0.2">
      <c r="A4671" s="27"/>
      <c r="B4671" s="25"/>
      <c r="E4671" s="10"/>
      <c r="O4671" s="10"/>
      <c r="V4671" s="10"/>
    </row>
    <row r="4672" spans="1:22" x14ac:dyDescent="0.2">
      <c r="A4672" s="27"/>
      <c r="B4672" s="25"/>
      <c r="E4672" s="10"/>
      <c r="O4672" s="10"/>
      <c r="V4672" s="10"/>
    </row>
    <row r="4673" spans="1:22" x14ac:dyDescent="0.2">
      <c r="A4673" s="27"/>
      <c r="B4673" s="25"/>
      <c r="E4673" s="10"/>
      <c r="O4673" s="10"/>
      <c r="V4673" s="10"/>
    </row>
    <row r="4674" spans="1:22" x14ac:dyDescent="0.2">
      <c r="A4674" s="27"/>
      <c r="B4674" s="25"/>
      <c r="E4674" s="10"/>
      <c r="O4674" s="10"/>
      <c r="V4674" s="10"/>
    </row>
    <row r="4675" spans="1:22" x14ac:dyDescent="0.2">
      <c r="A4675" s="27"/>
      <c r="B4675" s="25"/>
      <c r="E4675" s="10"/>
      <c r="O4675" s="10"/>
      <c r="V4675" s="10"/>
    </row>
    <row r="4676" spans="1:22" x14ac:dyDescent="0.2">
      <c r="A4676" s="27"/>
      <c r="B4676" s="25"/>
      <c r="E4676" s="10"/>
      <c r="O4676" s="10"/>
      <c r="V4676" s="10"/>
    </row>
    <row r="4677" spans="1:22" x14ac:dyDescent="0.2">
      <c r="A4677" s="27"/>
      <c r="B4677" s="25"/>
      <c r="E4677" s="10"/>
      <c r="O4677" s="10"/>
      <c r="V4677" s="10"/>
    </row>
    <row r="4678" spans="1:22" x14ac:dyDescent="0.2">
      <c r="A4678" s="27"/>
      <c r="B4678" s="25"/>
      <c r="E4678" s="10"/>
      <c r="O4678" s="10"/>
      <c r="V4678" s="10"/>
    </row>
    <row r="4679" spans="1:22" x14ac:dyDescent="0.2">
      <c r="A4679" s="27"/>
      <c r="B4679" s="25"/>
      <c r="E4679" s="10"/>
      <c r="O4679" s="10"/>
      <c r="V4679" s="10"/>
    </row>
    <row r="4680" spans="1:22" x14ac:dyDescent="0.2">
      <c r="A4680" s="27"/>
      <c r="B4680" s="25"/>
      <c r="E4680" s="10"/>
      <c r="O4680" s="10"/>
      <c r="V4680" s="10"/>
    </row>
    <row r="4681" spans="1:22" x14ac:dyDescent="0.2">
      <c r="A4681" s="27"/>
      <c r="B4681" s="25"/>
      <c r="E4681" s="10"/>
      <c r="O4681" s="10"/>
      <c r="V4681" s="10"/>
    </row>
    <row r="4682" spans="1:22" x14ac:dyDescent="0.2">
      <c r="A4682" s="27"/>
      <c r="B4682" s="25"/>
      <c r="E4682" s="10"/>
      <c r="O4682" s="10"/>
      <c r="V4682" s="10"/>
    </row>
    <row r="4683" spans="1:22" x14ac:dyDescent="0.2">
      <c r="A4683" s="27"/>
      <c r="B4683" s="25"/>
      <c r="E4683" s="10"/>
      <c r="O4683" s="10"/>
      <c r="V4683" s="10"/>
    </row>
    <row r="4684" spans="1:22" x14ac:dyDescent="0.2">
      <c r="A4684" s="27"/>
      <c r="B4684" s="25"/>
      <c r="E4684" s="10"/>
      <c r="O4684" s="10"/>
      <c r="V4684" s="10"/>
    </row>
    <row r="4685" spans="1:22" x14ac:dyDescent="0.2">
      <c r="A4685" s="27"/>
      <c r="B4685" s="25"/>
      <c r="E4685" s="10"/>
      <c r="O4685" s="10"/>
      <c r="V4685" s="10"/>
    </row>
    <row r="4686" spans="1:22" x14ac:dyDescent="0.2">
      <c r="A4686" s="27"/>
      <c r="B4686" s="25"/>
      <c r="E4686" s="10"/>
      <c r="O4686" s="10"/>
      <c r="V4686" s="10"/>
    </row>
    <row r="4687" spans="1:22" x14ac:dyDescent="0.2">
      <c r="A4687" s="27"/>
      <c r="B4687" s="25"/>
      <c r="E4687" s="10"/>
      <c r="O4687" s="10"/>
      <c r="V4687" s="10"/>
    </row>
    <row r="4688" spans="1:22" x14ac:dyDescent="0.2">
      <c r="A4688" s="27"/>
      <c r="B4688" s="25"/>
      <c r="E4688" s="10"/>
      <c r="O4688" s="10"/>
      <c r="V4688" s="10"/>
    </row>
    <row r="4689" spans="1:22" x14ac:dyDescent="0.2">
      <c r="A4689" s="27"/>
      <c r="B4689" s="25"/>
      <c r="E4689" s="10"/>
      <c r="O4689" s="10"/>
      <c r="V4689" s="10"/>
    </row>
    <row r="4690" spans="1:22" x14ac:dyDescent="0.2">
      <c r="A4690" s="27"/>
      <c r="B4690" s="25"/>
      <c r="E4690" s="10"/>
      <c r="O4690" s="10"/>
      <c r="V4690" s="10"/>
    </row>
    <row r="4691" spans="1:22" x14ac:dyDescent="0.2">
      <c r="A4691" s="27"/>
      <c r="B4691" s="25"/>
      <c r="E4691" s="10"/>
      <c r="O4691" s="10"/>
      <c r="V4691" s="10"/>
    </row>
    <row r="4692" spans="1:22" x14ac:dyDescent="0.2">
      <c r="A4692" s="27"/>
      <c r="B4692" s="25"/>
      <c r="E4692" s="10"/>
      <c r="O4692" s="10"/>
      <c r="V4692" s="10"/>
    </row>
    <row r="4693" spans="1:22" x14ac:dyDescent="0.2">
      <c r="A4693" s="27"/>
      <c r="B4693" s="25"/>
      <c r="E4693" s="10"/>
      <c r="O4693" s="10"/>
      <c r="V4693" s="10"/>
    </row>
    <row r="4694" spans="1:22" x14ac:dyDescent="0.2">
      <c r="A4694" s="27"/>
      <c r="B4694" s="25"/>
      <c r="E4694" s="10"/>
      <c r="O4694" s="10"/>
      <c r="V4694" s="10"/>
    </row>
    <row r="4695" spans="1:22" x14ac:dyDescent="0.2">
      <c r="A4695" s="27"/>
      <c r="B4695" s="25"/>
      <c r="E4695" s="10"/>
      <c r="O4695" s="10"/>
      <c r="V4695" s="10"/>
    </row>
    <row r="4696" spans="1:22" x14ac:dyDescent="0.2">
      <c r="A4696" s="27"/>
      <c r="B4696" s="25"/>
      <c r="E4696" s="10"/>
      <c r="O4696" s="10"/>
      <c r="V4696" s="10"/>
    </row>
    <row r="4697" spans="1:22" x14ac:dyDescent="0.2">
      <c r="A4697" s="27"/>
      <c r="B4697" s="25"/>
      <c r="E4697" s="10"/>
      <c r="O4697" s="10"/>
      <c r="V4697" s="10"/>
    </row>
    <row r="4698" spans="1:22" x14ac:dyDescent="0.2">
      <c r="A4698" s="27"/>
      <c r="B4698" s="25"/>
      <c r="E4698" s="10"/>
      <c r="O4698" s="10"/>
      <c r="V4698" s="10"/>
    </row>
    <row r="4699" spans="1:22" x14ac:dyDescent="0.2">
      <c r="A4699" s="27"/>
      <c r="B4699" s="25"/>
      <c r="E4699" s="10"/>
      <c r="O4699" s="10"/>
      <c r="V4699" s="10"/>
    </row>
    <row r="4700" spans="1:22" x14ac:dyDescent="0.2">
      <c r="A4700" s="27"/>
      <c r="B4700" s="25"/>
      <c r="E4700" s="10"/>
      <c r="O4700" s="10"/>
      <c r="V4700" s="10"/>
    </row>
    <row r="4701" spans="1:22" x14ac:dyDescent="0.2">
      <c r="A4701" s="27"/>
      <c r="B4701" s="25"/>
      <c r="E4701" s="10"/>
      <c r="O4701" s="10"/>
      <c r="V4701" s="10"/>
    </row>
    <row r="4702" spans="1:22" x14ac:dyDescent="0.2">
      <c r="A4702" s="27"/>
      <c r="B4702" s="25"/>
      <c r="E4702" s="10"/>
      <c r="O4702" s="10"/>
      <c r="V4702" s="10"/>
    </row>
    <row r="4703" spans="1:22" x14ac:dyDescent="0.2">
      <c r="A4703" s="27"/>
      <c r="B4703" s="25"/>
      <c r="E4703" s="10"/>
      <c r="O4703" s="10"/>
      <c r="V4703" s="10"/>
    </row>
    <row r="4704" spans="1:22" x14ac:dyDescent="0.2">
      <c r="A4704" s="27"/>
      <c r="B4704" s="25"/>
      <c r="E4704" s="10"/>
      <c r="O4704" s="10"/>
      <c r="V4704" s="10"/>
    </row>
    <row r="4705" spans="1:22" x14ac:dyDescent="0.2">
      <c r="A4705" s="27"/>
      <c r="B4705" s="25"/>
      <c r="E4705" s="10"/>
      <c r="O4705" s="10"/>
      <c r="V4705" s="10"/>
    </row>
    <row r="4706" spans="1:22" x14ac:dyDescent="0.2">
      <c r="A4706" s="27"/>
      <c r="B4706" s="25"/>
      <c r="E4706" s="10"/>
      <c r="O4706" s="10"/>
      <c r="V4706" s="10"/>
    </row>
    <row r="4707" spans="1:22" x14ac:dyDescent="0.2">
      <c r="A4707" s="27"/>
      <c r="B4707" s="25"/>
      <c r="E4707" s="10"/>
      <c r="O4707" s="10"/>
      <c r="V4707" s="10"/>
    </row>
    <row r="4708" spans="1:22" x14ac:dyDescent="0.2">
      <c r="A4708" s="27"/>
      <c r="B4708" s="25"/>
      <c r="E4708" s="10"/>
      <c r="O4708" s="10"/>
      <c r="V4708" s="10"/>
    </row>
    <row r="4709" spans="1:22" x14ac:dyDescent="0.2">
      <c r="A4709" s="27"/>
      <c r="B4709" s="25"/>
      <c r="E4709" s="10"/>
      <c r="O4709" s="10"/>
      <c r="V4709" s="10"/>
    </row>
    <row r="4710" spans="1:22" x14ac:dyDescent="0.2">
      <c r="A4710" s="27"/>
      <c r="B4710" s="25"/>
      <c r="E4710" s="10"/>
      <c r="O4710" s="10"/>
      <c r="V4710" s="10"/>
    </row>
    <row r="4711" spans="1:22" x14ac:dyDescent="0.2">
      <c r="A4711" s="27"/>
      <c r="B4711" s="25"/>
      <c r="E4711" s="10"/>
      <c r="O4711" s="10"/>
      <c r="V4711" s="10"/>
    </row>
    <row r="4712" spans="1:22" x14ac:dyDescent="0.2">
      <c r="A4712" s="27"/>
      <c r="B4712" s="25"/>
      <c r="E4712" s="10"/>
      <c r="O4712" s="10"/>
      <c r="V4712" s="10"/>
    </row>
    <row r="4713" spans="1:22" x14ac:dyDescent="0.2">
      <c r="A4713" s="27"/>
      <c r="B4713" s="25"/>
      <c r="E4713" s="10"/>
      <c r="O4713" s="10"/>
      <c r="V4713" s="10"/>
    </row>
    <row r="4714" spans="1:22" x14ac:dyDescent="0.2">
      <c r="A4714" s="27"/>
      <c r="B4714" s="25"/>
      <c r="E4714" s="10"/>
      <c r="O4714" s="10"/>
      <c r="V4714" s="10"/>
    </row>
    <row r="4715" spans="1:22" x14ac:dyDescent="0.2">
      <c r="A4715" s="27"/>
      <c r="B4715" s="25"/>
      <c r="E4715" s="10"/>
      <c r="O4715" s="10"/>
      <c r="V4715" s="10"/>
    </row>
    <row r="4716" spans="1:22" x14ac:dyDescent="0.2">
      <c r="A4716" s="27"/>
      <c r="B4716" s="25"/>
      <c r="E4716" s="10"/>
      <c r="O4716" s="10"/>
      <c r="V4716" s="10"/>
    </row>
    <row r="4717" spans="1:22" x14ac:dyDescent="0.2">
      <c r="A4717" s="27"/>
      <c r="B4717" s="25"/>
      <c r="E4717" s="10"/>
      <c r="O4717" s="10"/>
      <c r="V4717" s="10"/>
    </row>
    <row r="4718" spans="1:22" x14ac:dyDescent="0.2">
      <c r="A4718" s="27"/>
      <c r="B4718" s="25"/>
      <c r="E4718" s="10"/>
      <c r="O4718" s="10"/>
      <c r="V4718" s="10"/>
    </row>
    <row r="4719" spans="1:22" x14ac:dyDescent="0.2">
      <c r="A4719" s="27"/>
      <c r="B4719" s="25"/>
      <c r="E4719" s="10"/>
      <c r="O4719" s="10"/>
      <c r="V4719" s="10"/>
    </row>
    <row r="4720" spans="1:22" x14ac:dyDescent="0.2">
      <c r="A4720" s="27"/>
      <c r="B4720" s="25"/>
      <c r="E4720" s="10"/>
      <c r="O4720" s="10"/>
      <c r="V4720" s="10"/>
    </row>
    <row r="4721" spans="1:22" x14ac:dyDescent="0.2">
      <c r="A4721" s="27"/>
      <c r="B4721" s="25"/>
      <c r="E4721" s="10"/>
      <c r="O4721" s="10"/>
      <c r="V4721" s="10"/>
    </row>
    <row r="4722" spans="1:22" x14ac:dyDescent="0.2">
      <c r="A4722" s="27"/>
      <c r="B4722" s="25"/>
      <c r="E4722" s="10"/>
      <c r="O4722" s="10"/>
      <c r="V4722" s="10"/>
    </row>
    <row r="4723" spans="1:22" x14ac:dyDescent="0.2">
      <c r="A4723" s="27"/>
      <c r="B4723" s="25"/>
      <c r="E4723" s="10"/>
      <c r="O4723" s="10"/>
      <c r="V4723" s="10"/>
    </row>
    <row r="4724" spans="1:22" x14ac:dyDescent="0.2">
      <c r="A4724" s="27"/>
      <c r="B4724" s="25"/>
      <c r="E4724" s="10"/>
      <c r="O4724" s="10"/>
      <c r="V4724" s="10"/>
    </row>
    <row r="4725" spans="1:22" x14ac:dyDescent="0.2">
      <c r="A4725" s="27"/>
      <c r="B4725" s="25"/>
      <c r="E4725" s="10"/>
      <c r="O4725" s="10"/>
      <c r="V4725" s="10"/>
    </row>
    <row r="4726" spans="1:22" x14ac:dyDescent="0.2">
      <c r="A4726" s="27"/>
      <c r="B4726" s="25"/>
      <c r="E4726" s="10"/>
      <c r="O4726" s="10"/>
      <c r="V4726" s="10"/>
    </row>
    <row r="4727" spans="1:22" x14ac:dyDescent="0.2">
      <c r="A4727" s="27"/>
      <c r="B4727" s="25"/>
      <c r="E4727" s="10"/>
      <c r="O4727" s="10"/>
      <c r="V4727" s="10"/>
    </row>
    <row r="4728" spans="1:22" x14ac:dyDescent="0.2">
      <c r="A4728" s="27"/>
      <c r="B4728" s="25"/>
      <c r="E4728" s="10"/>
      <c r="O4728" s="10"/>
      <c r="V4728" s="10"/>
    </row>
    <row r="4729" spans="1:22" x14ac:dyDescent="0.2">
      <c r="A4729" s="27"/>
      <c r="B4729" s="25"/>
      <c r="E4729" s="10"/>
      <c r="O4729" s="10"/>
      <c r="V4729" s="10"/>
    </row>
    <row r="4730" spans="1:22" x14ac:dyDescent="0.2">
      <c r="A4730" s="27"/>
      <c r="B4730" s="25"/>
      <c r="E4730" s="10"/>
      <c r="O4730" s="10"/>
      <c r="V4730" s="10"/>
    </row>
    <row r="4731" spans="1:22" x14ac:dyDescent="0.2">
      <c r="A4731" s="27"/>
      <c r="B4731" s="25"/>
      <c r="E4731" s="10"/>
      <c r="O4731" s="10"/>
      <c r="V4731" s="10"/>
    </row>
    <row r="4732" spans="1:22" x14ac:dyDescent="0.2">
      <c r="A4732" s="27"/>
      <c r="B4732" s="25"/>
      <c r="E4732" s="10"/>
      <c r="O4732" s="10"/>
      <c r="V4732" s="10"/>
    </row>
    <row r="4733" spans="1:22" x14ac:dyDescent="0.2">
      <c r="A4733" s="27"/>
      <c r="B4733" s="25"/>
      <c r="E4733" s="10"/>
      <c r="O4733" s="10"/>
      <c r="V4733" s="10"/>
    </row>
    <row r="4734" spans="1:22" x14ac:dyDescent="0.2">
      <c r="A4734" s="27"/>
      <c r="B4734" s="25"/>
      <c r="E4734" s="10"/>
      <c r="O4734" s="10"/>
      <c r="V4734" s="10"/>
    </row>
    <row r="4735" spans="1:22" x14ac:dyDescent="0.2">
      <c r="A4735" s="27"/>
      <c r="B4735" s="25"/>
      <c r="E4735" s="10"/>
      <c r="O4735" s="10"/>
      <c r="V4735" s="10"/>
    </row>
    <row r="4736" spans="1:22" x14ac:dyDescent="0.2">
      <c r="A4736" s="27"/>
      <c r="B4736" s="25"/>
      <c r="E4736" s="10"/>
      <c r="O4736" s="10"/>
      <c r="V4736" s="10"/>
    </row>
    <row r="4737" spans="1:22" x14ac:dyDescent="0.2">
      <c r="A4737" s="27"/>
      <c r="B4737" s="25"/>
      <c r="E4737" s="10"/>
      <c r="O4737" s="10"/>
      <c r="V4737" s="10"/>
    </row>
    <row r="4738" spans="1:22" x14ac:dyDescent="0.2">
      <c r="A4738" s="27"/>
      <c r="B4738" s="25"/>
      <c r="E4738" s="10"/>
      <c r="O4738" s="10"/>
      <c r="V4738" s="10"/>
    </row>
    <row r="4739" spans="1:22" x14ac:dyDescent="0.2">
      <c r="A4739" s="27"/>
      <c r="B4739" s="25"/>
      <c r="E4739" s="10"/>
      <c r="O4739" s="10"/>
      <c r="V4739" s="10"/>
    </row>
    <row r="4740" spans="1:22" x14ac:dyDescent="0.2">
      <c r="A4740" s="27"/>
      <c r="B4740" s="25"/>
      <c r="E4740" s="10"/>
      <c r="O4740" s="10"/>
      <c r="V4740" s="10"/>
    </row>
    <row r="4741" spans="1:22" x14ac:dyDescent="0.2">
      <c r="A4741" s="27"/>
      <c r="B4741" s="25"/>
      <c r="E4741" s="10"/>
      <c r="O4741" s="10"/>
      <c r="V4741" s="10"/>
    </row>
    <row r="4742" spans="1:22" x14ac:dyDescent="0.2">
      <c r="A4742" s="27"/>
      <c r="B4742" s="25"/>
      <c r="E4742" s="10"/>
      <c r="O4742" s="10"/>
      <c r="V4742" s="10"/>
    </row>
    <row r="4743" spans="1:22" x14ac:dyDescent="0.2">
      <c r="A4743" s="27"/>
      <c r="B4743" s="25"/>
      <c r="E4743" s="10"/>
      <c r="O4743" s="10"/>
      <c r="V4743" s="10"/>
    </row>
    <row r="4744" spans="1:22" x14ac:dyDescent="0.2">
      <c r="A4744" s="27"/>
      <c r="B4744" s="25"/>
      <c r="E4744" s="10"/>
      <c r="O4744" s="10"/>
      <c r="V4744" s="10"/>
    </row>
    <row r="4745" spans="1:22" x14ac:dyDescent="0.2">
      <c r="A4745" s="27"/>
      <c r="B4745" s="25"/>
      <c r="E4745" s="10"/>
      <c r="O4745" s="10"/>
      <c r="V4745" s="10"/>
    </row>
    <row r="4746" spans="1:22" x14ac:dyDescent="0.2">
      <c r="A4746" s="27"/>
      <c r="B4746" s="25"/>
      <c r="E4746" s="10"/>
      <c r="O4746" s="10"/>
      <c r="V4746" s="10"/>
    </row>
    <row r="4747" spans="1:22" x14ac:dyDescent="0.2">
      <c r="A4747" s="27"/>
      <c r="B4747" s="25"/>
      <c r="E4747" s="10"/>
      <c r="O4747" s="10"/>
      <c r="V4747" s="10"/>
    </row>
    <row r="4748" spans="1:22" x14ac:dyDescent="0.2">
      <c r="A4748" s="27"/>
      <c r="B4748" s="25"/>
      <c r="E4748" s="10"/>
      <c r="O4748" s="10"/>
      <c r="V4748" s="10"/>
    </row>
    <row r="4749" spans="1:22" x14ac:dyDescent="0.2">
      <c r="A4749" s="27"/>
      <c r="B4749" s="25"/>
      <c r="E4749" s="10"/>
      <c r="O4749" s="10"/>
      <c r="V4749" s="10"/>
    </row>
    <row r="4750" spans="1:22" x14ac:dyDescent="0.2">
      <c r="A4750" s="27"/>
      <c r="B4750" s="25"/>
      <c r="E4750" s="10"/>
      <c r="O4750" s="10"/>
      <c r="V4750" s="10"/>
    </row>
    <row r="4751" spans="1:22" x14ac:dyDescent="0.2">
      <c r="A4751" s="27"/>
      <c r="B4751" s="25"/>
      <c r="E4751" s="10"/>
      <c r="O4751" s="10"/>
      <c r="V4751" s="10"/>
    </row>
    <row r="4752" spans="1:22" x14ac:dyDescent="0.2">
      <c r="A4752" s="27"/>
      <c r="B4752" s="25"/>
      <c r="E4752" s="10"/>
      <c r="O4752" s="10"/>
      <c r="V4752" s="10"/>
    </row>
    <row r="4753" spans="1:22" x14ac:dyDescent="0.2">
      <c r="A4753" s="27"/>
      <c r="B4753" s="25"/>
      <c r="E4753" s="10"/>
      <c r="O4753" s="10"/>
      <c r="V4753" s="10"/>
    </row>
    <row r="4754" spans="1:22" x14ac:dyDescent="0.2">
      <c r="A4754" s="27"/>
      <c r="B4754" s="25"/>
      <c r="E4754" s="10"/>
      <c r="O4754" s="10"/>
      <c r="V4754" s="10"/>
    </row>
    <row r="4755" spans="1:22" x14ac:dyDescent="0.2">
      <c r="A4755" s="27"/>
      <c r="B4755" s="25"/>
      <c r="E4755" s="10"/>
      <c r="O4755" s="10"/>
      <c r="V4755" s="10"/>
    </row>
    <row r="4756" spans="1:22" x14ac:dyDescent="0.2">
      <c r="A4756" s="27"/>
      <c r="B4756" s="25"/>
      <c r="E4756" s="10"/>
      <c r="O4756" s="10"/>
      <c r="V4756" s="10"/>
    </row>
    <row r="4757" spans="1:22" x14ac:dyDescent="0.2">
      <c r="A4757" s="27"/>
      <c r="B4757" s="25"/>
      <c r="E4757" s="10"/>
      <c r="O4757" s="10"/>
      <c r="V4757" s="10"/>
    </row>
    <row r="4758" spans="1:22" x14ac:dyDescent="0.2">
      <c r="A4758" s="27"/>
      <c r="B4758" s="25"/>
      <c r="E4758" s="10"/>
      <c r="O4758" s="10"/>
      <c r="V4758" s="10"/>
    </row>
    <row r="4759" spans="1:22" x14ac:dyDescent="0.2">
      <c r="A4759" s="27"/>
      <c r="B4759" s="25"/>
      <c r="E4759" s="10"/>
      <c r="O4759" s="10"/>
      <c r="V4759" s="10"/>
    </row>
    <row r="4760" spans="1:22" x14ac:dyDescent="0.2">
      <c r="A4760" s="27"/>
      <c r="B4760" s="25"/>
      <c r="E4760" s="10"/>
      <c r="O4760" s="10"/>
      <c r="V4760" s="10"/>
    </row>
    <row r="4761" spans="1:22" x14ac:dyDescent="0.2">
      <c r="A4761" s="27"/>
      <c r="B4761" s="25"/>
      <c r="E4761" s="10"/>
      <c r="O4761" s="10"/>
      <c r="V4761" s="10"/>
    </row>
    <row r="4762" spans="1:22" x14ac:dyDescent="0.2">
      <c r="A4762" s="27"/>
      <c r="B4762" s="25"/>
      <c r="E4762" s="10"/>
      <c r="O4762" s="10"/>
      <c r="V4762" s="10"/>
    </row>
    <row r="4763" spans="1:22" x14ac:dyDescent="0.2">
      <c r="A4763" s="27"/>
      <c r="B4763" s="25"/>
      <c r="E4763" s="10"/>
      <c r="O4763" s="10"/>
      <c r="V4763" s="10"/>
    </row>
    <row r="4764" spans="1:22" x14ac:dyDescent="0.2">
      <c r="A4764" s="27"/>
      <c r="B4764" s="25"/>
      <c r="E4764" s="10"/>
      <c r="O4764" s="10"/>
      <c r="V4764" s="10"/>
    </row>
    <row r="4765" spans="1:22" x14ac:dyDescent="0.2">
      <c r="A4765" s="27"/>
      <c r="B4765" s="25"/>
      <c r="E4765" s="10"/>
      <c r="O4765" s="10"/>
      <c r="V4765" s="10"/>
    </row>
    <row r="4766" spans="1:22" x14ac:dyDescent="0.2">
      <c r="A4766" s="27"/>
      <c r="B4766" s="25"/>
      <c r="E4766" s="10"/>
      <c r="O4766" s="10"/>
      <c r="V4766" s="10"/>
    </row>
    <row r="4767" spans="1:22" x14ac:dyDescent="0.2">
      <c r="A4767" s="27"/>
      <c r="B4767" s="25"/>
      <c r="E4767" s="10"/>
      <c r="O4767" s="10"/>
      <c r="V4767" s="10"/>
    </row>
    <row r="4768" spans="1:22" x14ac:dyDescent="0.2">
      <c r="A4768" s="27"/>
      <c r="B4768" s="25"/>
      <c r="E4768" s="10"/>
      <c r="O4768" s="10"/>
      <c r="V4768" s="10"/>
    </row>
    <row r="4769" spans="1:22" x14ac:dyDescent="0.2">
      <c r="A4769" s="27"/>
      <c r="B4769" s="25"/>
      <c r="E4769" s="10"/>
      <c r="O4769" s="10"/>
      <c r="V4769" s="10"/>
    </row>
    <row r="4770" spans="1:22" x14ac:dyDescent="0.2">
      <c r="A4770" s="27"/>
      <c r="B4770" s="25"/>
      <c r="E4770" s="10"/>
      <c r="O4770" s="10"/>
      <c r="V4770" s="10"/>
    </row>
    <row r="4771" spans="1:22" x14ac:dyDescent="0.2">
      <c r="A4771" s="27"/>
      <c r="B4771" s="25"/>
      <c r="E4771" s="10"/>
      <c r="O4771" s="10"/>
      <c r="V4771" s="10"/>
    </row>
    <row r="4772" spans="1:22" x14ac:dyDescent="0.2">
      <c r="A4772" s="27"/>
      <c r="B4772" s="25"/>
      <c r="E4772" s="10"/>
      <c r="O4772" s="10"/>
      <c r="V4772" s="10"/>
    </row>
    <row r="4773" spans="1:22" x14ac:dyDescent="0.2">
      <c r="A4773" s="27"/>
      <c r="B4773" s="25"/>
      <c r="E4773" s="10"/>
      <c r="O4773" s="10"/>
      <c r="V4773" s="10"/>
    </row>
    <row r="4774" spans="1:22" x14ac:dyDescent="0.2">
      <c r="A4774" s="27"/>
      <c r="B4774" s="25"/>
      <c r="E4774" s="10"/>
      <c r="O4774" s="10"/>
      <c r="V4774" s="10"/>
    </row>
    <row r="4775" spans="1:22" x14ac:dyDescent="0.2">
      <c r="A4775" s="27"/>
      <c r="B4775" s="25"/>
      <c r="E4775" s="10"/>
      <c r="O4775" s="10"/>
      <c r="V4775" s="10"/>
    </row>
    <row r="4776" spans="1:22" x14ac:dyDescent="0.2">
      <c r="A4776" s="27"/>
      <c r="B4776" s="25"/>
      <c r="E4776" s="10"/>
      <c r="O4776" s="10"/>
      <c r="V4776" s="10"/>
    </row>
    <row r="4777" spans="1:22" x14ac:dyDescent="0.2">
      <c r="A4777" s="27"/>
      <c r="B4777" s="25"/>
      <c r="E4777" s="10"/>
      <c r="O4777" s="10"/>
      <c r="V4777" s="10"/>
    </row>
    <row r="4778" spans="1:22" x14ac:dyDescent="0.2">
      <c r="A4778" s="27"/>
      <c r="B4778" s="25"/>
      <c r="E4778" s="10"/>
      <c r="O4778" s="10"/>
      <c r="V4778" s="10"/>
    </row>
    <row r="4779" spans="1:22" x14ac:dyDescent="0.2">
      <c r="A4779" s="27"/>
      <c r="B4779" s="25"/>
      <c r="E4779" s="10"/>
      <c r="O4779" s="10"/>
      <c r="V4779" s="10"/>
    </row>
    <row r="4780" spans="1:22" x14ac:dyDescent="0.2">
      <c r="A4780" s="27"/>
      <c r="B4780" s="25"/>
      <c r="E4780" s="10"/>
      <c r="O4780" s="10"/>
      <c r="V4780" s="10"/>
    </row>
    <row r="4781" spans="1:22" x14ac:dyDescent="0.2">
      <c r="A4781" s="27"/>
      <c r="B4781" s="25"/>
      <c r="E4781" s="10"/>
      <c r="O4781" s="10"/>
      <c r="V4781" s="10"/>
    </row>
    <row r="4782" spans="1:22" x14ac:dyDescent="0.2">
      <c r="A4782" s="27"/>
      <c r="B4782" s="25"/>
      <c r="E4782" s="10"/>
      <c r="O4782" s="10"/>
      <c r="V4782" s="10"/>
    </row>
    <row r="4783" spans="1:22" x14ac:dyDescent="0.2">
      <c r="A4783" s="27"/>
      <c r="B4783" s="25"/>
      <c r="E4783" s="10"/>
      <c r="O4783" s="10"/>
      <c r="V4783" s="10"/>
    </row>
    <row r="4784" spans="1:22" x14ac:dyDescent="0.2">
      <c r="A4784" s="27"/>
      <c r="B4784" s="25"/>
      <c r="E4784" s="10"/>
      <c r="O4784" s="10"/>
      <c r="V4784" s="10"/>
    </row>
    <row r="4785" spans="1:22" x14ac:dyDescent="0.2">
      <c r="A4785" s="27"/>
      <c r="B4785" s="25"/>
      <c r="E4785" s="10"/>
      <c r="O4785" s="10"/>
      <c r="V4785" s="10"/>
    </row>
    <row r="4786" spans="1:22" x14ac:dyDescent="0.2">
      <c r="A4786" s="27"/>
      <c r="B4786" s="25"/>
      <c r="E4786" s="10"/>
      <c r="O4786" s="10"/>
      <c r="V4786" s="10"/>
    </row>
    <row r="4787" spans="1:22" x14ac:dyDescent="0.2">
      <c r="A4787" s="27"/>
      <c r="B4787" s="25"/>
      <c r="E4787" s="10"/>
      <c r="O4787" s="10"/>
      <c r="V4787" s="10"/>
    </row>
    <row r="4788" spans="1:22" x14ac:dyDescent="0.2">
      <c r="A4788" s="27"/>
      <c r="B4788" s="25"/>
      <c r="E4788" s="10"/>
      <c r="O4788" s="10"/>
      <c r="V4788" s="10"/>
    </row>
    <row r="4789" spans="1:22" x14ac:dyDescent="0.2">
      <c r="A4789" s="27"/>
      <c r="B4789" s="25"/>
      <c r="E4789" s="10"/>
      <c r="O4789" s="10"/>
      <c r="V4789" s="10"/>
    </row>
    <row r="4790" spans="1:22" x14ac:dyDescent="0.2">
      <c r="A4790" s="27"/>
      <c r="B4790" s="25"/>
      <c r="E4790" s="10"/>
      <c r="O4790" s="10"/>
      <c r="V4790" s="10"/>
    </row>
    <row r="4791" spans="1:22" x14ac:dyDescent="0.2">
      <c r="A4791" s="27"/>
      <c r="B4791" s="25"/>
      <c r="E4791" s="10"/>
      <c r="O4791" s="10"/>
      <c r="V4791" s="10"/>
    </row>
    <row r="4792" spans="1:22" x14ac:dyDescent="0.2">
      <c r="A4792" s="27"/>
      <c r="B4792" s="25"/>
      <c r="E4792" s="10"/>
      <c r="O4792" s="10"/>
      <c r="V4792" s="10"/>
    </row>
    <row r="4793" spans="1:22" x14ac:dyDescent="0.2">
      <c r="A4793" s="27"/>
      <c r="B4793" s="25"/>
      <c r="E4793" s="10"/>
      <c r="O4793" s="10"/>
      <c r="V4793" s="10"/>
    </row>
    <row r="4794" spans="1:22" x14ac:dyDescent="0.2">
      <c r="A4794" s="27"/>
      <c r="B4794" s="25"/>
      <c r="E4794" s="10"/>
      <c r="O4794" s="10"/>
      <c r="V4794" s="10"/>
    </row>
    <row r="4795" spans="1:22" x14ac:dyDescent="0.2">
      <c r="A4795" s="27"/>
      <c r="B4795" s="25"/>
      <c r="E4795" s="10"/>
      <c r="O4795" s="10"/>
      <c r="V4795" s="10"/>
    </row>
    <row r="4796" spans="1:22" x14ac:dyDescent="0.2">
      <c r="A4796" s="27"/>
      <c r="B4796" s="25"/>
      <c r="E4796" s="10"/>
      <c r="O4796" s="10"/>
      <c r="V4796" s="10"/>
    </row>
    <row r="4797" spans="1:22" x14ac:dyDescent="0.2">
      <c r="A4797" s="27"/>
      <c r="B4797" s="25"/>
      <c r="E4797" s="10"/>
      <c r="O4797" s="10"/>
      <c r="V4797" s="10"/>
    </row>
    <row r="4798" spans="1:22" x14ac:dyDescent="0.2">
      <c r="A4798" s="27"/>
      <c r="B4798" s="25"/>
      <c r="E4798" s="10"/>
      <c r="O4798" s="10"/>
      <c r="V4798" s="10"/>
    </row>
    <row r="4799" spans="1:22" x14ac:dyDescent="0.2">
      <c r="A4799" s="27"/>
      <c r="B4799" s="25"/>
      <c r="E4799" s="10"/>
      <c r="O4799" s="10"/>
      <c r="V4799" s="10"/>
    </row>
    <row r="4800" spans="1:22" x14ac:dyDescent="0.2">
      <c r="A4800" s="27"/>
      <c r="B4800" s="25"/>
      <c r="E4800" s="10"/>
      <c r="O4800" s="10"/>
      <c r="V4800" s="10"/>
    </row>
    <row r="4801" spans="1:22" x14ac:dyDescent="0.2">
      <c r="A4801" s="27"/>
      <c r="B4801" s="25"/>
      <c r="E4801" s="10"/>
      <c r="O4801" s="10"/>
      <c r="V4801" s="10"/>
    </row>
    <row r="4802" spans="1:22" x14ac:dyDescent="0.2">
      <c r="A4802" s="27"/>
      <c r="B4802" s="25"/>
      <c r="E4802" s="10"/>
      <c r="O4802" s="10"/>
      <c r="V4802" s="10"/>
    </row>
    <row r="4803" spans="1:22" x14ac:dyDescent="0.2">
      <c r="A4803" s="27"/>
      <c r="B4803" s="25"/>
      <c r="E4803" s="10"/>
      <c r="O4803" s="10"/>
      <c r="V4803" s="10"/>
    </row>
    <row r="4804" spans="1:22" x14ac:dyDescent="0.2">
      <c r="A4804" s="27"/>
      <c r="B4804" s="25"/>
      <c r="E4804" s="10"/>
      <c r="O4804" s="10"/>
      <c r="V4804" s="10"/>
    </row>
    <row r="4805" spans="1:22" x14ac:dyDescent="0.2">
      <c r="A4805" s="27"/>
      <c r="B4805" s="25"/>
      <c r="E4805" s="10"/>
      <c r="O4805" s="10"/>
      <c r="V4805" s="10"/>
    </row>
    <row r="4806" spans="1:22" x14ac:dyDescent="0.2">
      <c r="A4806" s="27"/>
      <c r="B4806" s="25"/>
      <c r="E4806" s="10"/>
      <c r="O4806" s="10"/>
      <c r="V4806" s="10"/>
    </row>
    <row r="4807" spans="1:22" x14ac:dyDescent="0.2">
      <c r="A4807" s="27"/>
      <c r="B4807" s="25"/>
      <c r="E4807" s="10"/>
      <c r="O4807" s="10"/>
      <c r="V4807" s="10"/>
    </row>
    <row r="4808" spans="1:22" x14ac:dyDescent="0.2">
      <c r="A4808" s="27"/>
      <c r="B4808" s="25"/>
      <c r="E4808" s="10"/>
      <c r="O4808" s="10"/>
      <c r="V4808" s="10"/>
    </row>
    <row r="4809" spans="1:22" x14ac:dyDescent="0.2">
      <c r="A4809" s="27"/>
      <c r="B4809" s="25"/>
      <c r="E4809" s="10"/>
      <c r="O4809" s="10"/>
      <c r="V4809" s="10"/>
    </row>
    <row r="4810" spans="1:22" x14ac:dyDescent="0.2">
      <c r="A4810" s="27"/>
      <c r="B4810" s="25"/>
      <c r="E4810" s="10"/>
      <c r="O4810" s="10"/>
      <c r="V4810" s="10"/>
    </row>
    <row r="4811" spans="1:22" x14ac:dyDescent="0.2">
      <c r="A4811" s="27"/>
      <c r="B4811" s="25"/>
      <c r="E4811" s="10"/>
      <c r="O4811" s="10"/>
      <c r="V4811" s="10"/>
    </row>
    <row r="4812" spans="1:22" x14ac:dyDescent="0.2">
      <c r="A4812" s="27"/>
      <c r="B4812" s="25"/>
      <c r="E4812" s="10"/>
      <c r="O4812" s="10"/>
      <c r="V4812" s="10"/>
    </row>
    <row r="4813" spans="1:22" x14ac:dyDescent="0.2">
      <c r="A4813" s="27"/>
      <c r="B4813" s="25"/>
      <c r="E4813" s="10"/>
      <c r="O4813" s="10"/>
      <c r="V4813" s="10"/>
    </row>
    <row r="4814" spans="1:22" x14ac:dyDescent="0.2">
      <c r="A4814" s="27"/>
      <c r="B4814" s="25"/>
      <c r="E4814" s="10"/>
      <c r="O4814" s="10"/>
      <c r="V4814" s="10"/>
    </row>
    <row r="4815" spans="1:22" x14ac:dyDescent="0.2">
      <c r="A4815" s="27"/>
      <c r="B4815" s="25"/>
      <c r="E4815" s="10"/>
      <c r="O4815" s="10"/>
      <c r="V4815" s="10"/>
    </row>
    <row r="4816" spans="1:22" x14ac:dyDescent="0.2">
      <c r="A4816" s="27"/>
      <c r="B4816" s="25"/>
      <c r="E4816" s="10"/>
      <c r="O4816" s="10"/>
      <c r="V4816" s="10"/>
    </row>
    <row r="4817" spans="1:22" x14ac:dyDescent="0.2">
      <c r="A4817" s="27"/>
      <c r="B4817" s="25"/>
      <c r="E4817" s="10"/>
      <c r="O4817" s="10"/>
      <c r="V4817" s="10"/>
    </row>
    <row r="4818" spans="1:22" x14ac:dyDescent="0.2">
      <c r="A4818" s="27"/>
      <c r="B4818" s="25"/>
      <c r="E4818" s="10"/>
      <c r="O4818" s="10"/>
      <c r="V4818" s="10"/>
    </row>
    <row r="4819" spans="1:22" x14ac:dyDescent="0.2">
      <c r="A4819" s="27"/>
      <c r="B4819" s="25"/>
      <c r="E4819" s="10"/>
      <c r="O4819" s="10"/>
      <c r="V4819" s="10"/>
    </row>
    <row r="4820" spans="1:22" x14ac:dyDescent="0.2">
      <c r="A4820" s="27"/>
      <c r="B4820" s="25"/>
      <c r="E4820" s="10"/>
      <c r="O4820" s="10"/>
      <c r="V4820" s="10"/>
    </row>
    <row r="4821" spans="1:22" x14ac:dyDescent="0.2">
      <c r="A4821" s="27"/>
      <c r="B4821" s="25"/>
      <c r="E4821" s="10"/>
      <c r="O4821" s="10"/>
      <c r="V4821" s="10"/>
    </row>
    <row r="4822" spans="1:22" x14ac:dyDescent="0.2">
      <c r="A4822" s="27"/>
      <c r="B4822" s="25"/>
      <c r="E4822" s="10"/>
      <c r="O4822" s="10"/>
      <c r="V4822" s="10"/>
    </row>
    <row r="4823" spans="1:22" x14ac:dyDescent="0.2">
      <c r="A4823" s="27"/>
      <c r="B4823" s="25"/>
      <c r="E4823" s="10"/>
      <c r="O4823" s="10"/>
      <c r="V4823" s="10"/>
    </row>
    <row r="4824" spans="1:22" x14ac:dyDescent="0.2">
      <c r="A4824" s="27"/>
      <c r="B4824" s="25"/>
      <c r="E4824" s="10"/>
      <c r="O4824" s="10"/>
      <c r="V4824" s="10"/>
    </row>
    <row r="4825" spans="1:22" x14ac:dyDescent="0.2">
      <c r="A4825" s="27"/>
      <c r="B4825" s="25"/>
      <c r="E4825" s="10"/>
      <c r="O4825" s="10"/>
      <c r="V4825" s="10"/>
    </row>
    <row r="4826" spans="1:22" x14ac:dyDescent="0.2">
      <c r="A4826" s="27"/>
      <c r="B4826" s="25"/>
      <c r="E4826" s="10"/>
      <c r="O4826" s="10"/>
      <c r="V4826" s="10"/>
    </row>
    <row r="4827" spans="1:22" x14ac:dyDescent="0.2">
      <c r="A4827" s="27"/>
      <c r="B4827" s="25"/>
      <c r="E4827" s="10"/>
      <c r="O4827" s="10"/>
      <c r="V4827" s="10"/>
    </row>
    <row r="4828" spans="1:22" x14ac:dyDescent="0.2">
      <c r="A4828" s="27"/>
      <c r="B4828" s="25"/>
      <c r="E4828" s="10"/>
      <c r="O4828" s="10"/>
      <c r="V4828" s="10"/>
    </row>
    <row r="4829" spans="1:22" x14ac:dyDescent="0.2">
      <c r="A4829" s="27"/>
      <c r="B4829" s="25"/>
      <c r="E4829" s="10"/>
      <c r="O4829" s="10"/>
      <c r="V4829" s="10"/>
    </row>
    <row r="4830" spans="1:22" x14ac:dyDescent="0.2">
      <c r="A4830" s="27"/>
      <c r="B4830" s="25"/>
      <c r="E4830" s="10"/>
      <c r="O4830" s="10"/>
      <c r="V4830" s="10"/>
    </row>
    <row r="4831" spans="1:22" x14ac:dyDescent="0.2">
      <c r="A4831" s="27"/>
      <c r="B4831" s="25"/>
      <c r="E4831" s="10"/>
      <c r="O4831" s="10"/>
      <c r="V4831" s="10"/>
    </row>
    <row r="4832" spans="1:22" x14ac:dyDescent="0.2">
      <c r="A4832" s="27"/>
      <c r="B4832" s="25"/>
      <c r="E4832" s="10"/>
      <c r="O4832" s="10"/>
      <c r="V4832" s="10"/>
    </row>
    <row r="4833" spans="1:22" x14ac:dyDescent="0.2">
      <c r="A4833" s="27"/>
      <c r="B4833" s="25"/>
      <c r="E4833" s="10"/>
      <c r="O4833" s="10"/>
      <c r="V4833" s="10"/>
    </row>
    <row r="4834" spans="1:22" x14ac:dyDescent="0.2">
      <c r="A4834" s="27"/>
      <c r="B4834" s="25"/>
      <c r="E4834" s="10"/>
      <c r="O4834" s="10"/>
      <c r="V4834" s="10"/>
    </row>
    <row r="4835" spans="1:22" x14ac:dyDescent="0.2">
      <c r="A4835" s="27"/>
      <c r="B4835" s="25"/>
      <c r="E4835" s="10"/>
      <c r="O4835" s="10"/>
      <c r="V4835" s="10"/>
    </row>
    <row r="4836" spans="1:22" x14ac:dyDescent="0.2">
      <c r="A4836" s="27"/>
      <c r="B4836" s="25"/>
      <c r="E4836" s="10"/>
      <c r="O4836" s="10"/>
      <c r="V4836" s="10"/>
    </row>
    <row r="4837" spans="1:22" x14ac:dyDescent="0.2">
      <c r="A4837" s="27"/>
      <c r="B4837" s="25"/>
      <c r="E4837" s="10"/>
      <c r="O4837" s="10"/>
      <c r="V4837" s="10"/>
    </row>
    <row r="4838" spans="1:22" x14ac:dyDescent="0.2">
      <c r="A4838" s="27"/>
      <c r="B4838" s="25"/>
      <c r="E4838" s="10"/>
      <c r="O4838" s="10"/>
      <c r="V4838" s="10"/>
    </row>
    <row r="4839" spans="1:22" x14ac:dyDescent="0.2">
      <c r="A4839" s="27"/>
      <c r="B4839" s="25"/>
      <c r="E4839" s="10"/>
      <c r="O4839" s="10"/>
      <c r="V4839" s="10"/>
    </row>
    <row r="4840" spans="1:22" x14ac:dyDescent="0.2">
      <c r="A4840" s="27"/>
      <c r="B4840" s="25"/>
      <c r="E4840" s="10"/>
      <c r="O4840" s="10"/>
      <c r="V4840" s="10"/>
    </row>
    <row r="4841" spans="1:22" x14ac:dyDescent="0.2">
      <c r="A4841" s="27"/>
      <c r="B4841" s="25"/>
      <c r="E4841" s="10"/>
      <c r="O4841" s="10"/>
      <c r="V4841" s="10"/>
    </row>
    <row r="4842" spans="1:22" x14ac:dyDescent="0.2">
      <c r="A4842" s="27"/>
      <c r="B4842" s="25"/>
      <c r="E4842" s="10"/>
      <c r="O4842" s="10"/>
      <c r="V4842" s="10"/>
    </row>
    <row r="4843" spans="1:22" x14ac:dyDescent="0.2">
      <c r="A4843" s="27"/>
      <c r="B4843" s="25"/>
      <c r="E4843" s="10"/>
      <c r="O4843" s="10"/>
      <c r="V4843" s="10"/>
    </row>
    <row r="4844" spans="1:22" x14ac:dyDescent="0.2">
      <c r="A4844" s="27"/>
      <c r="B4844" s="25"/>
      <c r="E4844" s="10"/>
      <c r="O4844" s="10"/>
      <c r="V4844" s="10"/>
    </row>
    <row r="4845" spans="1:22" x14ac:dyDescent="0.2">
      <c r="A4845" s="27"/>
      <c r="B4845" s="25"/>
      <c r="E4845" s="10"/>
      <c r="O4845" s="10"/>
      <c r="V4845" s="10"/>
    </row>
    <row r="4846" spans="1:22" x14ac:dyDescent="0.2">
      <c r="A4846" s="27"/>
      <c r="B4846" s="25"/>
      <c r="E4846" s="10"/>
      <c r="O4846" s="10"/>
      <c r="V4846" s="10"/>
    </row>
    <row r="4847" spans="1:22" x14ac:dyDescent="0.2">
      <c r="A4847" s="27"/>
      <c r="B4847" s="25"/>
      <c r="E4847" s="10"/>
      <c r="O4847" s="10"/>
      <c r="V4847" s="10"/>
    </row>
    <row r="4848" spans="1:22" x14ac:dyDescent="0.2">
      <c r="A4848" s="27"/>
      <c r="B4848" s="25"/>
      <c r="E4848" s="10"/>
      <c r="O4848" s="10"/>
      <c r="V4848" s="10"/>
    </row>
    <row r="4849" spans="1:22" x14ac:dyDescent="0.2">
      <c r="A4849" s="27"/>
      <c r="B4849" s="25"/>
      <c r="E4849" s="10"/>
      <c r="O4849" s="10"/>
      <c r="V4849" s="10"/>
    </row>
    <row r="4850" spans="1:22" x14ac:dyDescent="0.2">
      <c r="A4850" s="27"/>
      <c r="B4850" s="25"/>
      <c r="E4850" s="10"/>
      <c r="O4850" s="10"/>
      <c r="V4850" s="10"/>
    </row>
    <row r="4851" spans="1:22" x14ac:dyDescent="0.2">
      <c r="A4851" s="27"/>
      <c r="B4851" s="25"/>
      <c r="E4851" s="10"/>
      <c r="O4851" s="10"/>
      <c r="V4851" s="10"/>
    </row>
    <row r="4852" spans="1:22" x14ac:dyDescent="0.2">
      <c r="A4852" s="27"/>
      <c r="B4852" s="25"/>
      <c r="E4852" s="10"/>
      <c r="O4852" s="10"/>
      <c r="V4852" s="10"/>
    </row>
    <row r="4853" spans="1:22" x14ac:dyDescent="0.2">
      <c r="A4853" s="27"/>
      <c r="B4853" s="25"/>
      <c r="E4853" s="10"/>
      <c r="O4853" s="10"/>
      <c r="V4853" s="10"/>
    </row>
    <row r="4854" spans="1:22" x14ac:dyDescent="0.2">
      <c r="A4854" s="27"/>
      <c r="B4854" s="25"/>
      <c r="E4854" s="10"/>
      <c r="O4854" s="10"/>
      <c r="V4854" s="10"/>
    </row>
    <row r="4855" spans="1:22" x14ac:dyDescent="0.2">
      <c r="A4855" s="27"/>
      <c r="B4855" s="25"/>
      <c r="E4855" s="10"/>
      <c r="O4855" s="10"/>
      <c r="V4855" s="10"/>
    </row>
    <row r="4856" spans="1:22" x14ac:dyDescent="0.2">
      <c r="A4856" s="27"/>
      <c r="B4856" s="25"/>
      <c r="E4856" s="10"/>
      <c r="O4856" s="10"/>
      <c r="V4856" s="10"/>
    </row>
    <row r="4857" spans="1:22" x14ac:dyDescent="0.2">
      <c r="A4857" s="27"/>
      <c r="B4857" s="25"/>
      <c r="E4857" s="10"/>
      <c r="O4857" s="10"/>
      <c r="V4857" s="10"/>
    </row>
    <row r="4858" spans="1:22" x14ac:dyDescent="0.2">
      <c r="A4858" s="27"/>
      <c r="B4858" s="25"/>
      <c r="E4858" s="10"/>
      <c r="O4858" s="10"/>
      <c r="V4858" s="10"/>
    </row>
    <row r="4859" spans="1:22" x14ac:dyDescent="0.2">
      <c r="A4859" s="27"/>
      <c r="B4859" s="25"/>
      <c r="E4859" s="10"/>
      <c r="O4859" s="10"/>
      <c r="V4859" s="10"/>
    </row>
    <row r="4860" spans="1:22" x14ac:dyDescent="0.2">
      <c r="A4860" s="27"/>
      <c r="B4860" s="25"/>
      <c r="E4860" s="10"/>
      <c r="O4860" s="10"/>
      <c r="V4860" s="10"/>
    </row>
    <row r="4861" spans="1:22" x14ac:dyDescent="0.2">
      <c r="A4861" s="27"/>
      <c r="B4861" s="25"/>
      <c r="E4861" s="10"/>
      <c r="O4861" s="10"/>
      <c r="V4861" s="10"/>
    </row>
    <row r="4862" spans="1:22" x14ac:dyDescent="0.2">
      <c r="A4862" s="27"/>
      <c r="B4862" s="25"/>
      <c r="E4862" s="10"/>
      <c r="O4862" s="10"/>
      <c r="V4862" s="10"/>
    </row>
    <row r="4863" spans="1:22" x14ac:dyDescent="0.2">
      <c r="A4863" s="27"/>
      <c r="B4863" s="25"/>
      <c r="E4863" s="10"/>
      <c r="O4863" s="10"/>
      <c r="V4863" s="10"/>
    </row>
    <row r="4864" spans="1:22" x14ac:dyDescent="0.2">
      <c r="A4864" s="27"/>
      <c r="B4864" s="25"/>
      <c r="E4864" s="10"/>
      <c r="O4864" s="10"/>
      <c r="V4864" s="10"/>
    </row>
    <row r="4865" spans="1:22" x14ac:dyDescent="0.2">
      <c r="A4865" s="27"/>
      <c r="B4865" s="25"/>
      <c r="E4865" s="10"/>
      <c r="O4865" s="10"/>
      <c r="V4865" s="10"/>
    </row>
    <row r="4866" spans="1:22" x14ac:dyDescent="0.2">
      <c r="A4866" s="27"/>
      <c r="B4866" s="25"/>
      <c r="E4866" s="10"/>
      <c r="O4866" s="10"/>
      <c r="V4866" s="10"/>
    </row>
    <row r="4867" spans="1:22" x14ac:dyDescent="0.2">
      <c r="A4867" s="27"/>
      <c r="B4867" s="25"/>
      <c r="E4867" s="10"/>
      <c r="O4867" s="10"/>
      <c r="V4867" s="10"/>
    </row>
    <row r="4868" spans="1:22" x14ac:dyDescent="0.2">
      <c r="A4868" s="27"/>
      <c r="B4868" s="25"/>
      <c r="E4868" s="10"/>
      <c r="O4868" s="10"/>
      <c r="V4868" s="10"/>
    </row>
    <row r="4869" spans="1:22" x14ac:dyDescent="0.2">
      <c r="A4869" s="27"/>
      <c r="B4869" s="25"/>
      <c r="E4869" s="10"/>
      <c r="O4869" s="10"/>
      <c r="V4869" s="10"/>
    </row>
    <row r="4870" spans="1:22" x14ac:dyDescent="0.2">
      <c r="A4870" s="27"/>
      <c r="B4870" s="25"/>
      <c r="E4870" s="10"/>
      <c r="O4870" s="10"/>
      <c r="V4870" s="10"/>
    </row>
    <row r="4871" spans="1:22" x14ac:dyDescent="0.2">
      <c r="A4871" s="27"/>
      <c r="B4871" s="25"/>
      <c r="E4871" s="10"/>
      <c r="O4871" s="10"/>
      <c r="V4871" s="10"/>
    </row>
    <row r="4872" spans="1:22" x14ac:dyDescent="0.2">
      <c r="A4872" s="27"/>
      <c r="B4872" s="25"/>
      <c r="E4872" s="10"/>
      <c r="O4872" s="10"/>
      <c r="V4872" s="10"/>
    </row>
    <row r="4873" spans="1:22" x14ac:dyDescent="0.2">
      <c r="A4873" s="27"/>
      <c r="B4873" s="25"/>
      <c r="E4873" s="10"/>
      <c r="O4873" s="10"/>
      <c r="V4873" s="10"/>
    </row>
    <row r="4874" spans="1:22" x14ac:dyDescent="0.2">
      <c r="A4874" s="27"/>
      <c r="B4874" s="25"/>
      <c r="E4874" s="10"/>
      <c r="O4874" s="10"/>
      <c r="V4874" s="10"/>
    </row>
    <row r="4875" spans="1:22" x14ac:dyDescent="0.2">
      <c r="A4875" s="27"/>
      <c r="B4875" s="25"/>
      <c r="E4875" s="10"/>
      <c r="O4875" s="10"/>
      <c r="V4875" s="10"/>
    </row>
    <row r="4876" spans="1:22" x14ac:dyDescent="0.2">
      <c r="A4876" s="27"/>
      <c r="B4876" s="25"/>
      <c r="E4876" s="10"/>
      <c r="O4876" s="10"/>
      <c r="V4876" s="10"/>
    </row>
    <row r="4877" spans="1:22" x14ac:dyDescent="0.2">
      <c r="A4877" s="27"/>
      <c r="B4877" s="25"/>
      <c r="E4877" s="10"/>
      <c r="O4877" s="10"/>
      <c r="V4877" s="10"/>
    </row>
    <row r="4878" spans="1:22" x14ac:dyDescent="0.2">
      <c r="A4878" s="27"/>
      <c r="B4878" s="25"/>
      <c r="E4878" s="10"/>
      <c r="O4878" s="10"/>
      <c r="V4878" s="10"/>
    </row>
    <row r="4879" spans="1:22" x14ac:dyDescent="0.2">
      <c r="A4879" s="27"/>
      <c r="B4879" s="25"/>
      <c r="E4879" s="10"/>
      <c r="O4879" s="10"/>
      <c r="V4879" s="10"/>
    </row>
    <row r="4880" spans="1:22" x14ac:dyDescent="0.2">
      <c r="A4880" s="27"/>
      <c r="B4880" s="25"/>
      <c r="E4880" s="10"/>
      <c r="O4880" s="10"/>
      <c r="V4880" s="10"/>
    </row>
    <row r="4881" spans="1:22" x14ac:dyDescent="0.2">
      <c r="A4881" s="27"/>
      <c r="B4881" s="25"/>
      <c r="E4881" s="10"/>
      <c r="O4881" s="10"/>
      <c r="V4881" s="10"/>
    </row>
    <row r="4882" spans="1:22" x14ac:dyDescent="0.2">
      <c r="A4882" s="27"/>
      <c r="B4882" s="25"/>
      <c r="E4882" s="10"/>
      <c r="O4882" s="10"/>
      <c r="V4882" s="10"/>
    </row>
    <row r="4883" spans="1:22" x14ac:dyDescent="0.2">
      <c r="A4883" s="27"/>
      <c r="B4883" s="25"/>
      <c r="E4883" s="10"/>
      <c r="O4883" s="10"/>
      <c r="V4883" s="10"/>
    </row>
    <row r="4884" spans="1:22" x14ac:dyDescent="0.2">
      <c r="A4884" s="27"/>
      <c r="B4884" s="25"/>
      <c r="E4884" s="10"/>
      <c r="O4884" s="10"/>
      <c r="V4884" s="10"/>
    </row>
    <row r="4885" spans="1:22" x14ac:dyDescent="0.2">
      <c r="A4885" s="27"/>
      <c r="B4885" s="25"/>
      <c r="E4885" s="10"/>
      <c r="O4885" s="10"/>
      <c r="V4885" s="10"/>
    </row>
    <row r="4886" spans="1:22" x14ac:dyDescent="0.2">
      <c r="A4886" s="27"/>
      <c r="B4886" s="25"/>
      <c r="E4886" s="10"/>
      <c r="O4886" s="10"/>
      <c r="V4886" s="10"/>
    </row>
    <row r="4887" spans="1:22" x14ac:dyDescent="0.2">
      <c r="A4887" s="27"/>
      <c r="B4887" s="25"/>
      <c r="E4887" s="10"/>
      <c r="O4887" s="10"/>
      <c r="V4887" s="10"/>
    </row>
    <row r="4888" spans="1:22" x14ac:dyDescent="0.2">
      <c r="A4888" s="27"/>
      <c r="B4888" s="25"/>
      <c r="E4888" s="10"/>
      <c r="O4888" s="10"/>
      <c r="V4888" s="10"/>
    </row>
    <row r="4889" spans="1:22" x14ac:dyDescent="0.2">
      <c r="A4889" s="27"/>
      <c r="B4889" s="25"/>
      <c r="E4889" s="10"/>
      <c r="O4889" s="10"/>
      <c r="V4889" s="10"/>
    </row>
    <row r="4890" spans="1:22" x14ac:dyDescent="0.2">
      <c r="A4890" s="27"/>
      <c r="B4890" s="25"/>
      <c r="E4890" s="10"/>
      <c r="O4890" s="10"/>
      <c r="V4890" s="10"/>
    </row>
    <row r="4891" spans="1:22" x14ac:dyDescent="0.2">
      <c r="A4891" s="27"/>
      <c r="B4891" s="25"/>
      <c r="E4891" s="10"/>
      <c r="O4891" s="10"/>
      <c r="V4891" s="10"/>
    </row>
    <row r="4892" spans="1:22" x14ac:dyDescent="0.2">
      <c r="A4892" s="27"/>
      <c r="B4892" s="25"/>
      <c r="E4892" s="10"/>
      <c r="O4892" s="10"/>
      <c r="V4892" s="10"/>
    </row>
    <row r="4893" spans="1:22" x14ac:dyDescent="0.2">
      <c r="A4893" s="27"/>
      <c r="B4893" s="25"/>
      <c r="E4893" s="10"/>
      <c r="O4893" s="10"/>
      <c r="V4893" s="10"/>
    </row>
    <row r="4894" spans="1:22" x14ac:dyDescent="0.2">
      <c r="A4894" s="27"/>
      <c r="B4894" s="25"/>
      <c r="E4894" s="10"/>
      <c r="O4894" s="10"/>
      <c r="V4894" s="10"/>
    </row>
    <row r="4895" spans="1:22" x14ac:dyDescent="0.2">
      <c r="A4895" s="27"/>
      <c r="B4895" s="25"/>
      <c r="E4895" s="10"/>
      <c r="O4895" s="10"/>
      <c r="V4895" s="10"/>
    </row>
    <row r="4896" spans="1:22" x14ac:dyDescent="0.2">
      <c r="A4896" s="27"/>
      <c r="B4896" s="25"/>
      <c r="E4896" s="10"/>
      <c r="O4896" s="10"/>
      <c r="V4896" s="10"/>
    </row>
    <row r="4897" spans="1:22" x14ac:dyDescent="0.2">
      <c r="A4897" s="27"/>
      <c r="B4897" s="25"/>
      <c r="E4897" s="10"/>
      <c r="O4897" s="10"/>
      <c r="V4897" s="10"/>
    </row>
    <row r="4898" spans="1:22" x14ac:dyDescent="0.2">
      <c r="A4898" s="27"/>
      <c r="B4898" s="25"/>
      <c r="E4898" s="10"/>
      <c r="O4898" s="10"/>
      <c r="V4898" s="10"/>
    </row>
    <row r="4899" spans="1:22" x14ac:dyDescent="0.2">
      <c r="A4899" s="27"/>
      <c r="B4899" s="25"/>
      <c r="E4899" s="10"/>
      <c r="O4899" s="10"/>
      <c r="V4899" s="10"/>
    </row>
    <row r="4900" spans="1:22" x14ac:dyDescent="0.2">
      <c r="A4900" s="27"/>
      <c r="B4900" s="25"/>
      <c r="E4900" s="10"/>
      <c r="O4900" s="10"/>
      <c r="V4900" s="10"/>
    </row>
    <row r="4901" spans="1:22" x14ac:dyDescent="0.2">
      <c r="A4901" s="27"/>
      <c r="B4901" s="25"/>
      <c r="E4901" s="10"/>
      <c r="O4901" s="10"/>
      <c r="V4901" s="10"/>
    </row>
    <row r="4902" spans="1:22" x14ac:dyDescent="0.2">
      <c r="A4902" s="27"/>
      <c r="B4902" s="25"/>
      <c r="E4902" s="10"/>
      <c r="O4902" s="10"/>
      <c r="V4902" s="10"/>
    </row>
    <row r="4903" spans="1:22" x14ac:dyDescent="0.2">
      <c r="A4903" s="27"/>
      <c r="B4903" s="25"/>
      <c r="E4903" s="10"/>
      <c r="O4903" s="10"/>
      <c r="V4903" s="10"/>
    </row>
    <row r="4904" spans="1:22" x14ac:dyDescent="0.2">
      <c r="A4904" s="27"/>
      <c r="B4904" s="25"/>
      <c r="E4904" s="10"/>
      <c r="O4904" s="10"/>
      <c r="V4904" s="10"/>
    </row>
    <row r="4905" spans="1:22" x14ac:dyDescent="0.2">
      <c r="A4905" s="27"/>
      <c r="B4905" s="25"/>
      <c r="E4905" s="10"/>
      <c r="O4905" s="10"/>
      <c r="V4905" s="10"/>
    </row>
    <row r="4906" spans="1:22" x14ac:dyDescent="0.2">
      <c r="A4906" s="27"/>
      <c r="B4906" s="25"/>
      <c r="E4906" s="10"/>
      <c r="O4906" s="10"/>
      <c r="V4906" s="10"/>
    </row>
    <row r="4907" spans="1:22" x14ac:dyDescent="0.2">
      <c r="A4907" s="27"/>
      <c r="B4907" s="25"/>
      <c r="E4907" s="10"/>
      <c r="O4907" s="10"/>
      <c r="V4907" s="10"/>
    </row>
    <row r="4908" spans="1:22" x14ac:dyDescent="0.2">
      <c r="A4908" s="27"/>
      <c r="B4908" s="25"/>
      <c r="E4908" s="10"/>
      <c r="O4908" s="10"/>
      <c r="V4908" s="10"/>
    </row>
    <row r="4909" spans="1:22" x14ac:dyDescent="0.2">
      <c r="A4909" s="27"/>
      <c r="B4909" s="25"/>
      <c r="E4909" s="10"/>
      <c r="O4909" s="10"/>
      <c r="V4909" s="10"/>
    </row>
    <row r="4910" spans="1:22" x14ac:dyDescent="0.2">
      <c r="A4910" s="27"/>
      <c r="B4910" s="25"/>
      <c r="E4910" s="10"/>
      <c r="O4910" s="10"/>
      <c r="V4910" s="10"/>
    </row>
    <row r="4911" spans="1:22" x14ac:dyDescent="0.2">
      <c r="A4911" s="27"/>
      <c r="B4911" s="25"/>
      <c r="E4911" s="10"/>
      <c r="O4911" s="10"/>
      <c r="V4911" s="10"/>
    </row>
    <row r="4912" spans="1:22" x14ac:dyDescent="0.2">
      <c r="A4912" s="27"/>
      <c r="B4912" s="25"/>
      <c r="E4912" s="10"/>
      <c r="O4912" s="10"/>
      <c r="V4912" s="10"/>
    </row>
    <row r="4913" spans="1:22" x14ac:dyDescent="0.2">
      <c r="A4913" s="27"/>
      <c r="B4913" s="25"/>
      <c r="E4913" s="10"/>
      <c r="O4913" s="10"/>
      <c r="V4913" s="10"/>
    </row>
    <row r="4914" spans="1:22" x14ac:dyDescent="0.2">
      <c r="A4914" s="27"/>
      <c r="B4914" s="25"/>
      <c r="E4914" s="10"/>
      <c r="O4914" s="10"/>
      <c r="V4914" s="10"/>
    </row>
    <row r="4915" spans="1:22" x14ac:dyDescent="0.2">
      <c r="A4915" s="27"/>
      <c r="B4915" s="25"/>
      <c r="E4915" s="10"/>
      <c r="O4915" s="10"/>
      <c r="V4915" s="10"/>
    </row>
    <row r="4916" spans="1:22" x14ac:dyDescent="0.2">
      <c r="A4916" s="27"/>
      <c r="B4916" s="25"/>
      <c r="E4916" s="10"/>
      <c r="O4916" s="10"/>
      <c r="V4916" s="10"/>
    </row>
    <row r="4917" spans="1:22" x14ac:dyDescent="0.2">
      <c r="A4917" s="27"/>
      <c r="B4917" s="25"/>
      <c r="E4917" s="10"/>
      <c r="O4917" s="10"/>
      <c r="V4917" s="10"/>
    </row>
    <row r="4918" spans="1:22" x14ac:dyDescent="0.2">
      <c r="A4918" s="27"/>
      <c r="B4918" s="25"/>
      <c r="E4918" s="10"/>
      <c r="O4918" s="10"/>
      <c r="V4918" s="10"/>
    </row>
    <row r="4919" spans="1:22" x14ac:dyDescent="0.2">
      <c r="A4919" s="27"/>
      <c r="B4919" s="25"/>
      <c r="E4919" s="10"/>
      <c r="O4919" s="10"/>
      <c r="V4919" s="10"/>
    </row>
    <row r="4920" spans="1:22" x14ac:dyDescent="0.2">
      <c r="A4920" s="27"/>
      <c r="B4920" s="25"/>
      <c r="E4920" s="10"/>
      <c r="O4920" s="10"/>
      <c r="V4920" s="10"/>
    </row>
    <row r="4921" spans="1:22" x14ac:dyDescent="0.2">
      <c r="A4921" s="27"/>
      <c r="B4921" s="25"/>
      <c r="E4921" s="10"/>
      <c r="O4921" s="10"/>
      <c r="V4921" s="10"/>
    </row>
    <row r="4922" spans="1:22" x14ac:dyDescent="0.2">
      <c r="A4922" s="27"/>
      <c r="B4922" s="25"/>
      <c r="E4922" s="10"/>
      <c r="O4922" s="10"/>
      <c r="V4922" s="10"/>
    </row>
    <row r="4923" spans="1:22" x14ac:dyDescent="0.2">
      <c r="A4923" s="27"/>
      <c r="B4923" s="25"/>
      <c r="E4923" s="10"/>
      <c r="O4923" s="10"/>
      <c r="V4923" s="10"/>
    </row>
    <row r="4924" spans="1:22" x14ac:dyDescent="0.2">
      <c r="A4924" s="27"/>
      <c r="B4924" s="25"/>
      <c r="E4924" s="10"/>
      <c r="O4924" s="10"/>
      <c r="V4924" s="10"/>
    </row>
    <row r="4925" spans="1:22" x14ac:dyDescent="0.2">
      <c r="A4925" s="27"/>
      <c r="B4925" s="25"/>
      <c r="E4925" s="10"/>
      <c r="O4925" s="10"/>
      <c r="V4925" s="10"/>
    </row>
    <row r="4926" spans="1:22" x14ac:dyDescent="0.2">
      <c r="A4926" s="27"/>
      <c r="B4926" s="25"/>
      <c r="E4926" s="10"/>
      <c r="O4926" s="10"/>
      <c r="V4926" s="10"/>
    </row>
    <row r="4927" spans="1:22" x14ac:dyDescent="0.2">
      <c r="A4927" s="27"/>
      <c r="B4927" s="25"/>
      <c r="E4927" s="10"/>
      <c r="O4927" s="10"/>
      <c r="V4927" s="10"/>
    </row>
    <row r="4928" spans="1:22" x14ac:dyDescent="0.2">
      <c r="A4928" s="27"/>
      <c r="B4928" s="25"/>
      <c r="E4928" s="10"/>
      <c r="O4928" s="10"/>
      <c r="V4928" s="10"/>
    </row>
    <row r="4929" spans="1:22" x14ac:dyDescent="0.2">
      <c r="A4929" s="27"/>
      <c r="B4929" s="25"/>
      <c r="E4929" s="10"/>
      <c r="O4929" s="10"/>
      <c r="V4929" s="10"/>
    </row>
    <row r="4930" spans="1:22" x14ac:dyDescent="0.2">
      <c r="A4930" s="27"/>
      <c r="B4930" s="25"/>
      <c r="E4930" s="10"/>
      <c r="O4930" s="10"/>
      <c r="V4930" s="10"/>
    </row>
    <row r="4931" spans="1:22" x14ac:dyDescent="0.2">
      <c r="A4931" s="27"/>
      <c r="B4931" s="25"/>
      <c r="E4931" s="10"/>
      <c r="O4931" s="10"/>
      <c r="V4931" s="10"/>
    </row>
    <row r="4932" spans="1:22" x14ac:dyDescent="0.2">
      <c r="A4932" s="27"/>
      <c r="B4932" s="25"/>
      <c r="E4932" s="10"/>
      <c r="O4932" s="10"/>
      <c r="V4932" s="10"/>
    </row>
    <row r="4933" spans="1:22" x14ac:dyDescent="0.2">
      <c r="A4933" s="27"/>
      <c r="B4933" s="25"/>
      <c r="E4933" s="10"/>
      <c r="O4933" s="10"/>
      <c r="V4933" s="10"/>
    </row>
    <row r="4934" spans="1:22" x14ac:dyDescent="0.2">
      <c r="A4934" s="27"/>
      <c r="B4934" s="25"/>
      <c r="E4934" s="10"/>
      <c r="O4934" s="10"/>
      <c r="V4934" s="10"/>
    </row>
    <row r="4935" spans="1:22" x14ac:dyDescent="0.2">
      <c r="A4935" s="27"/>
      <c r="B4935" s="25"/>
      <c r="E4935" s="10"/>
      <c r="O4935" s="10"/>
      <c r="V4935" s="10"/>
    </row>
    <row r="4936" spans="1:22" x14ac:dyDescent="0.2">
      <c r="A4936" s="27"/>
      <c r="B4936" s="25"/>
      <c r="E4936" s="10"/>
      <c r="O4936" s="10"/>
      <c r="V4936" s="10"/>
    </row>
    <row r="4937" spans="1:22" x14ac:dyDescent="0.2">
      <c r="A4937" s="27"/>
      <c r="B4937" s="25"/>
      <c r="E4937" s="10"/>
      <c r="O4937" s="10"/>
      <c r="V4937" s="10"/>
    </row>
    <row r="4938" spans="1:22" x14ac:dyDescent="0.2">
      <c r="A4938" s="27"/>
      <c r="B4938" s="25"/>
      <c r="E4938" s="10"/>
      <c r="O4938" s="10"/>
      <c r="V4938" s="10"/>
    </row>
    <row r="4939" spans="1:22" x14ac:dyDescent="0.2">
      <c r="A4939" s="27"/>
      <c r="B4939" s="25"/>
      <c r="E4939" s="10"/>
      <c r="O4939" s="10"/>
      <c r="V4939" s="10"/>
    </row>
    <row r="4940" spans="1:22" x14ac:dyDescent="0.2">
      <c r="A4940" s="27"/>
      <c r="B4940" s="25"/>
      <c r="E4940" s="10"/>
      <c r="O4940" s="10"/>
      <c r="V4940" s="10"/>
    </row>
    <row r="4941" spans="1:22" x14ac:dyDescent="0.2">
      <c r="A4941" s="27"/>
      <c r="B4941" s="25"/>
      <c r="E4941" s="10"/>
      <c r="O4941" s="10"/>
      <c r="V4941" s="10"/>
    </row>
    <row r="4942" spans="1:22" x14ac:dyDescent="0.2">
      <c r="A4942" s="27"/>
      <c r="B4942" s="25"/>
      <c r="E4942" s="10"/>
      <c r="O4942" s="10"/>
      <c r="V4942" s="10"/>
    </row>
    <row r="4943" spans="1:22" x14ac:dyDescent="0.2">
      <c r="A4943" s="27"/>
      <c r="B4943" s="25"/>
      <c r="E4943" s="10"/>
      <c r="O4943" s="10"/>
      <c r="V4943" s="10"/>
    </row>
    <row r="4944" spans="1:22" x14ac:dyDescent="0.2">
      <c r="A4944" s="27"/>
      <c r="B4944" s="25"/>
      <c r="E4944" s="10"/>
      <c r="O4944" s="10"/>
      <c r="V4944" s="10"/>
    </row>
    <row r="4945" spans="1:22" x14ac:dyDescent="0.2">
      <c r="A4945" s="27"/>
      <c r="B4945" s="25"/>
      <c r="E4945" s="10"/>
      <c r="O4945" s="10"/>
      <c r="V4945" s="10"/>
    </row>
    <row r="4946" spans="1:22" x14ac:dyDescent="0.2">
      <c r="A4946" s="27"/>
      <c r="B4946" s="25"/>
      <c r="E4946" s="10"/>
      <c r="O4946" s="10"/>
      <c r="V4946" s="10"/>
    </row>
    <row r="4947" spans="1:22" x14ac:dyDescent="0.2">
      <c r="A4947" s="27"/>
      <c r="B4947" s="25"/>
      <c r="E4947" s="10"/>
      <c r="O4947" s="10"/>
      <c r="V4947" s="10"/>
    </row>
    <row r="4948" spans="1:22" x14ac:dyDescent="0.2">
      <c r="A4948" s="27"/>
      <c r="B4948" s="25"/>
      <c r="E4948" s="10"/>
      <c r="O4948" s="10"/>
      <c r="V4948" s="10"/>
    </row>
    <row r="4949" spans="1:22" x14ac:dyDescent="0.2">
      <c r="A4949" s="27"/>
      <c r="B4949" s="25"/>
      <c r="E4949" s="10"/>
      <c r="O4949" s="10"/>
      <c r="V4949" s="10"/>
    </row>
    <row r="4950" spans="1:22" x14ac:dyDescent="0.2">
      <c r="A4950" s="27"/>
      <c r="B4950" s="25"/>
      <c r="E4950" s="10"/>
      <c r="O4950" s="10"/>
      <c r="V4950" s="10"/>
    </row>
    <row r="4951" spans="1:22" x14ac:dyDescent="0.2">
      <c r="A4951" s="27"/>
      <c r="B4951" s="25"/>
      <c r="E4951" s="10"/>
      <c r="O4951" s="10"/>
      <c r="V4951" s="10"/>
    </row>
    <row r="4952" spans="1:22" x14ac:dyDescent="0.2">
      <c r="A4952" s="27"/>
      <c r="B4952" s="25"/>
      <c r="E4952" s="10"/>
      <c r="O4952" s="10"/>
      <c r="V4952" s="10"/>
    </row>
    <row r="4953" spans="1:22" x14ac:dyDescent="0.2">
      <c r="A4953" s="27"/>
      <c r="B4953" s="25"/>
      <c r="E4953" s="10"/>
      <c r="O4953" s="10"/>
      <c r="V4953" s="10"/>
    </row>
    <row r="4954" spans="1:22" x14ac:dyDescent="0.2">
      <c r="A4954" s="27"/>
      <c r="B4954" s="25"/>
      <c r="E4954" s="10"/>
      <c r="O4954" s="10"/>
      <c r="V4954" s="10"/>
    </row>
    <row r="4955" spans="1:22" x14ac:dyDescent="0.2">
      <c r="A4955" s="27"/>
      <c r="B4955" s="25"/>
      <c r="E4955" s="10"/>
      <c r="O4955" s="10"/>
      <c r="V4955" s="10"/>
    </row>
    <row r="4956" spans="1:22" x14ac:dyDescent="0.2">
      <c r="A4956" s="27"/>
      <c r="B4956" s="25"/>
      <c r="E4956" s="10"/>
      <c r="O4956" s="10"/>
      <c r="V4956" s="10"/>
    </row>
    <row r="4957" spans="1:22" x14ac:dyDescent="0.2">
      <c r="A4957" s="27"/>
      <c r="B4957" s="25"/>
      <c r="E4957" s="10"/>
      <c r="O4957" s="10"/>
      <c r="V4957" s="10"/>
    </row>
    <row r="4958" spans="1:22" x14ac:dyDescent="0.2">
      <c r="A4958" s="27"/>
      <c r="B4958" s="25"/>
      <c r="E4958" s="10"/>
      <c r="O4958" s="10"/>
      <c r="V4958" s="10"/>
    </row>
    <row r="4959" spans="1:22" x14ac:dyDescent="0.2">
      <c r="A4959" s="27"/>
      <c r="B4959" s="25"/>
      <c r="E4959" s="10"/>
      <c r="O4959" s="10"/>
      <c r="V4959" s="10"/>
    </row>
    <row r="4960" spans="1:22" x14ac:dyDescent="0.2">
      <c r="A4960" s="27"/>
      <c r="B4960" s="25"/>
      <c r="E4960" s="10"/>
      <c r="O4960" s="10"/>
      <c r="V4960" s="10"/>
    </row>
    <row r="4961" spans="1:22" x14ac:dyDescent="0.2">
      <c r="A4961" s="27"/>
      <c r="B4961" s="25"/>
      <c r="E4961" s="10"/>
      <c r="O4961" s="10"/>
      <c r="V4961" s="10"/>
    </row>
    <row r="4962" spans="1:22" x14ac:dyDescent="0.2">
      <c r="A4962" s="27"/>
      <c r="B4962" s="25"/>
      <c r="E4962" s="10"/>
      <c r="O4962" s="10"/>
      <c r="V4962" s="10"/>
    </row>
    <row r="4963" spans="1:22" x14ac:dyDescent="0.2">
      <c r="A4963" s="27"/>
      <c r="B4963" s="25"/>
      <c r="E4963" s="10"/>
      <c r="O4963" s="10"/>
      <c r="V4963" s="10"/>
    </row>
    <row r="4964" spans="1:22" x14ac:dyDescent="0.2">
      <c r="A4964" s="27"/>
      <c r="B4964" s="25"/>
      <c r="E4964" s="10"/>
      <c r="O4964" s="10"/>
      <c r="V4964" s="10"/>
    </row>
    <row r="4965" spans="1:22" x14ac:dyDescent="0.2">
      <c r="A4965" s="27"/>
      <c r="B4965" s="25"/>
      <c r="E4965" s="10"/>
      <c r="O4965" s="10"/>
      <c r="V4965" s="10"/>
    </row>
    <row r="4966" spans="1:22" x14ac:dyDescent="0.2">
      <c r="A4966" s="27"/>
      <c r="B4966" s="25"/>
      <c r="E4966" s="10"/>
      <c r="O4966" s="10"/>
      <c r="V4966" s="10"/>
    </row>
    <row r="4967" spans="1:22" x14ac:dyDescent="0.2">
      <c r="A4967" s="27"/>
      <c r="B4967" s="25"/>
      <c r="E4967" s="10"/>
      <c r="O4967" s="10"/>
      <c r="V4967" s="10"/>
    </row>
    <row r="4968" spans="1:22" x14ac:dyDescent="0.2">
      <c r="A4968" s="27"/>
      <c r="B4968" s="25"/>
      <c r="E4968" s="10"/>
      <c r="O4968" s="10"/>
      <c r="V4968" s="10"/>
    </row>
    <row r="4969" spans="1:22" x14ac:dyDescent="0.2">
      <c r="A4969" s="27"/>
      <c r="B4969" s="25"/>
      <c r="E4969" s="10"/>
      <c r="O4969" s="10"/>
      <c r="V4969" s="10"/>
    </row>
    <row r="4970" spans="1:22" x14ac:dyDescent="0.2">
      <c r="A4970" s="27"/>
      <c r="B4970" s="25"/>
      <c r="E4970" s="10"/>
      <c r="O4970" s="10"/>
      <c r="V4970" s="10"/>
    </row>
    <row r="4971" spans="1:22" x14ac:dyDescent="0.2">
      <c r="A4971" s="27"/>
      <c r="B4971" s="25"/>
      <c r="E4971" s="10"/>
      <c r="O4971" s="10"/>
      <c r="V4971" s="10"/>
    </row>
    <row r="4972" spans="1:22" x14ac:dyDescent="0.2">
      <c r="A4972" s="27"/>
      <c r="B4972" s="25"/>
      <c r="E4972" s="10"/>
      <c r="O4972" s="10"/>
      <c r="V4972" s="10"/>
    </row>
    <row r="4973" spans="1:22" x14ac:dyDescent="0.2">
      <c r="A4973" s="27"/>
      <c r="B4973" s="25"/>
      <c r="E4973" s="10"/>
      <c r="O4973" s="10"/>
      <c r="V4973" s="10"/>
    </row>
    <row r="4974" spans="1:22" x14ac:dyDescent="0.2">
      <c r="A4974" s="27"/>
      <c r="B4974" s="25"/>
      <c r="E4974" s="10"/>
      <c r="O4974" s="10"/>
      <c r="V4974" s="10"/>
    </row>
    <row r="4975" spans="1:22" x14ac:dyDescent="0.2">
      <c r="A4975" s="27"/>
      <c r="B4975" s="25"/>
      <c r="E4975" s="10"/>
      <c r="O4975" s="10"/>
      <c r="V4975" s="10"/>
    </row>
    <row r="4976" spans="1:22" x14ac:dyDescent="0.2">
      <c r="A4976" s="27"/>
      <c r="B4976" s="25"/>
      <c r="E4976" s="10"/>
      <c r="O4976" s="10"/>
      <c r="V4976" s="10"/>
    </row>
    <row r="4977" spans="1:22" x14ac:dyDescent="0.2">
      <c r="A4977" s="27"/>
      <c r="B4977" s="25"/>
      <c r="E4977" s="10"/>
      <c r="O4977" s="10"/>
      <c r="V4977" s="10"/>
    </row>
    <row r="4978" spans="1:22" x14ac:dyDescent="0.2">
      <c r="A4978" s="27"/>
      <c r="B4978" s="25"/>
      <c r="E4978" s="10"/>
      <c r="O4978" s="10"/>
      <c r="V4978" s="10"/>
    </row>
    <row r="4979" spans="1:22" x14ac:dyDescent="0.2">
      <c r="A4979" s="27"/>
      <c r="B4979" s="25"/>
      <c r="E4979" s="10"/>
      <c r="O4979" s="10"/>
      <c r="V4979" s="10"/>
    </row>
    <row r="4980" spans="1:22" x14ac:dyDescent="0.2">
      <c r="A4980" s="27"/>
      <c r="B4980" s="25"/>
      <c r="E4980" s="10"/>
      <c r="O4980" s="10"/>
      <c r="V4980" s="10"/>
    </row>
    <row r="4981" spans="1:22" x14ac:dyDescent="0.2">
      <c r="A4981" s="27"/>
      <c r="B4981" s="25"/>
      <c r="E4981" s="10"/>
      <c r="O4981" s="10"/>
      <c r="V4981" s="10"/>
    </row>
    <row r="4982" spans="1:22" x14ac:dyDescent="0.2">
      <c r="A4982" s="27"/>
      <c r="B4982" s="25"/>
      <c r="E4982" s="10"/>
      <c r="O4982" s="10"/>
      <c r="V4982" s="10"/>
    </row>
    <row r="4983" spans="1:22" x14ac:dyDescent="0.2">
      <c r="A4983" s="27"/>
      <c r="B4983" s="25"/>
      <c r="E4983" s="10"/>
      <c r="O4983" s="10"/>
      <c r="V4983" s="10"/>
    </row>
    <row r="4984" spans="1:22" x14ac:dyDescent="0.2">
      <c r="A4984" s="27"/>
      <c r="B4984" s="25"/>
      <c r="E4984" s="10"/>
      <c r="O4984" s="10"/>
      <c r="V4984" s="10"/>
    </row>
    <row r="4985" spans="1:22" x14ac:dyDescent="0.2">
      <c r="A4985" s="27"/>
      <c r="B4985" s="25"/>
      <c r="E4985" s="10"/>
      <c r="O4985" s="10"/>
      <c r="V4985" s="10"/>
    </row>
    <row r="4986" spans="1:22" x14ac:dyDescent="0.2">
      <c r="A4986" s="27"/>
      <c r="B4986" s="25"/>
      <c r="E4986" s="10"/>
      <c r="O4986" s="10"/>
      <c r="V4986" s="10"/>
    </row>
    <row r="4987" spans="1:22" x14ac:dyDescent="0.2">
      <c r="A4987" s="27"/>
      <c r="B4987" s="25"/>
      <c r="E4987" s="10"/>
      <c r="O4987" s="10"/>
      <c r="V4987" s="10"/>
    </row>
    <row r="4988" spans="1:22" x14ac:dyDescent="0.2">
      <c r="A4988" s="27"/>
      <c r="B4988" s="25"/>
      <c r="E4988" s="10"/>
      <c r="O4988" s="10"/>
      <c r="V4988" s="10"/>
    </row>
    <row r="4989" spans="1:22" x14ac:dyDescent="0.2">
      <c r="A4989" s="27"/>
      <c r="B4989" s="25"/>
      <c r="E4989" s="10"/>
      <c r="O4989" s="10"/>
      <c r="V4989" s="10"/>
    </row>
    <row r="4990" spans="1:22" x14ac:dyDescent="0.2">
      <c r="A4990" s="27"/>
      <c r="B4990" s="25"/>
      <c r="E4990" s="10"/>
      <c r="O4990" s="10"/>
      <c r="V4990" s="10"/>
    </row>
    <row r="4991" spans="1:22" x14ac:dyDescent="0.2">
      <c r="A4991" s="27"/>
      <c r="B4991" s="25"/>
      <c r="E4991" s="10"/>
      <c r="O4991" s="10"/>
      <c r="V4991" s="10"/>
    </row>
    <row r="4992" spans="1:22" x14ac:dyDescent="0.2">
      <c r="A4992" s="27"/>
      <c r="B4992" s="25"/>
      <c r="E4992" s="10"/>
      <c r="O4992" s="10"/>
      <c r="V4992" s="10"/>
    </row>
    <row r="4993" spans="1:22" x14ac:dyDescent="0.2">
      <c r="A4993" s="27"/>
      <c r="B4993" s="25"/>
      <c r="E4993" s="10"/>
      <c r="O4993" s="10"/>
      <c r="V4993" s="10"/>
    </row>
    <row r="4994" spans="1:22" x14ac:dyDescent="0.2">
      <c r="A4994" s="27"/>
      <c r="B4994" s="25"/>
      <c r="E4994" s="10"/>
      <c r="O4994" s="10"/>
      <c r="V4994" s="10"/>
    </row>
    <row r="4995" spans="1:22" x14ac:dyDescent="0.2">
      <c r="A4995" s="27"/>
      <c r="B4995" s="25"/>
      <c r="E4995" s="10"/>
      <c r="O4995" s="10"/>
      <c r="V4995" s="10"/>
    </row>
    <row r="4996" spans="1:22" x14ac:dyDescent="0.2">
      <c r="A4996" s="27"/>
      <c r="B4996" s="25"/>
      <c r="E4996" s="10"/>
      <c r="O4996" s="10"/>
      <c r="V4996" s="10"/>
    </row>
    <row r="4997" spans="1:22" x14ac:dyDescent="0.2">
      <c r="A4997" s="27"/>
      <c r="B4997" s="25"/>
      <c r="E4997" s="10"/>
      <c r="O4997" s="10"/>
      <c r="V4997" s="10"/>
    </row>
    <row r="4998" spans="1:22" x14ac:dyDescent="0.2">
      <c r="A4998" s="27"/>
      <c r="B4998" s="25"/>
      <c r="E4998" s="10"/>
      <c r="O4998" s="10"/>
      <c r="V4998" s="10"/>
    </row>
    <row r="4999" spans="1:22" x14ac:dyDescent="0.2">
      <c r="A4999" s="27"/>
      <c r="B4999" s="25"/>
      <c r="E4999" s="10"/>
      <c r="O4999" s="10"/>
      <c r="V4999" s="10"/>
    </row>
    <row r="5000" spans="1:22" x14ac:dyDescent="0.2">
      <c r="A5000" s="27"/>
      <c r="B5000" s="25"/>
      <c r="E5000" s="10"/>
      <c r="O5000" s="10"/>
      <c r="V5000" s="10"/>
    </row>
    <row r="5001" spans="1:22" x14ac:dyDescent="0.2">
      <c r="A5001" s="27"/>
      <c r="B5001" s="25"/>
      <c r="E5001" s="10"/>
      <c r="O5001" s="10"/>
      <c r="V5001" s="10"/>
    </row>
    <row r="5002" spans="1:22" x14ac:dyDescent="0.2">
      <c r="A5002" s="27"/>
      <c r="B5002" s="25"/>
      <c r="E5002" s="10"/>
      <c r="O5002" s="10"/>
      <c r="V5002" s="10"/>
    </row>
    <row r="5003" spans="1:22" x14ac:dyDescent="0.2">
      <c r="A5003" s="27"/>
      <c r="B5003" s="25"/>
      <c r="E5003" s="10"/>
      <c r="O5003" s="10"/>
      <c r="V5003" s="10"/>
    </row>
    <row r="5004" spans="1:22" x14ac:dyDescent="0.2">
      <c r="A5004" s="27"/>
      <c r="B5004" s="25"/>
      <c r="E5004" s="10"/>
      <c r="O5004" s="10"/>
      <c r="V5004" s="10"/>
    </row>
    <row r="5005" spans="1:22" x14ac:dyDescent="0.2">
      <c r="A5005" s="27"/>
      <c r="B5005" s="25"/>
      <c r="E5005" s="10"/>
      <c r="O5005" s="10"/>
      <c r="V5005" s="10"/>
    </row>
    <row r="5006" spans="1:22" x14ac:dyDescent="0.2">
      <c r="A5006" s="27"/>
      <c r="B5006" s="25"/>
      <c r="E5006" s="10"/>
      <c r="O5006" s="10"/>
      <c r="V5006" s="10"/>
    </row>
    <row r="5007" spans="1:22" x14ac:dyDescent="0.2">
      <c r="A5007" s="27"/>
      <c r="B5007" s="25"/>
      <c r="E5007" s="10"/>
      <c r="O5007" s="10"/>
      <c r="V5007" s="10"/>
    </row>
    <row r="5008" spans="1:22" x14ac:dyDescent="0.2">
      <c r="A5008" s="27"/>
      <c r="B5008" s="25"/>
      <c r="E5008" s="10"/>
      <c r="O5008" s="10"/>
      <c r="V5008" s="10"/>
    </row>
    <row r="5009" spans="1:22" x14ac:dyDescent="0.2">
      <c r="A5009" s="27"/>
      <c r="B5009" s="25"/>
      <c r="E5009" s="10"/>
      <c r="O5009" s="10"/>
      <c r="V5009" s="10"/>
    </row>
    <row r="5010" spans="1:22" x14ac:dyDescent="0.2">
      <c r="A5010" s="27"/>
      <c r="B5010" s="25"/>
      <c r="E5010" s="10"/>
      <c r="O5010" s="10"/>
      <c r="V5010" s="10"/>
    </row>
    <row r="5011" spans="1:22" x14ac:dyDescent="0.2">
      <c r="A5011" s="27"/>
      <c r="B5011" s="25"/>
      <c r="E5011" s="10"/>
      <c r="O5011" s="10"/>
      <c r="V5011" s="10"/>
    </row>
    <row r="5012" spans="1:22" x14ac:dyDescent="0.2">
      <c r="A5012" s="27"/>
      <c r="B5012" s="25"/>
      <c r="E5012" s="10"/>
      <c r="O5012" s="10"/>
      <c r="V5012" s="10"/>
    </row>
    <row r="5013" spans="1:22" x14ac:dyDescent="0.2">
      <c r="A5013" s="27"/>
      <c r="B5013" s="25"/>
      <c r="E5013" s="10"/>
      <c r="O5013" s="10"/>
      <c r="V5013" s="10"/>
    </row>
    <row r="5014" spans="1:22" x14ac:dyDescent="0.2">
      <c r="A5014" s="27"/>
      <c r="B5014" s="25"/>
      <c r="E5014" s="10"/>
      <c r="O5014" s="10"/>
      <c r="V5014" s="10"/>
    </row>
    <row r="5015" spans="1:22" x14ac:dyDescent="0.2">
      <c r="A5015" s="27"/>
      <c r="B5015" s="25"/>
      <c r="E5015" s="10"/>
      <c r="O5015" s="10"/>
      <c r="V5015" s="10"/>
    </row>
    <row r="5016" spans="1:22" x14ac:dyDescent="0.2">
      <c r="A5016" s="27"/>
      <c r="B5016" s="25"/>
      <c r="E5016" s="10"/>
      <c r="O5016" s="10"/>
      <c r="V5016" s="10"/>
    </row>
    <row r="5017" spans="1:22" x14ac:dyDescent="0.2">
      <c r="A5017" s="27"/>
      <c r="B5017" s="25"/>
      <c r="E5017" s="10"/>
      <c r="O5017" s="10"/>
      <c r="V5017" s="10"/>
    </row>
    <row r="5018" spans="1:22" x14ac:dyDescent="0.2">
      <c r="A5018" s="27"/>
      <c r="B5018" s="25"/>
      <c r="E5018" s="10"/>
      <c r="O5018" s="10"/>
      <c r="V5018" s="10"/>
    </row>
    <row r="5019" spans="1:22" x14ac:dyDescent="0.2">
      <c r="A5019" s="27"/>
      <c r="B5019" s="25"/>
      <c r="E5019" s="10"/>
      <c r="O5019" s="10"/>
      <c r="V5019" s="10"/>
    </row>
    <row r="5020" spans="1:22" x14ac:dyDescent="0.2">
      <c r="A5020" s="27"/>
      <c r="B5020" s="25"/>
      <c r="E5020" s="10"/>
      <c r="O5020" s="10"/>
      <c r="V5020" s="10"/>
    </row>
    <row r="5021" spans="1:22" x14ac:dyDescent="0.2">
      <c r="A5021" s="27"/>
      <c r="B5021" s="25"/>
      <c r="E5021" s="10"/>
      <c r="O5021" s="10"/>
      <c r="V5021" s="10"/>
    </row>
    <row r="5022" spans="1:22" x14ac:dyDescent="0.2">
      <c r="A5022" s="27"/>
      <c r="B5022" s="25"/>
      <c r="E5022" s="10"/>
      <c r="O5022" s="10"/>
      <c r="V5022" s="10"/>
    </row>
    <row r="5023" spans="1:22" x14ac:dyDescent="0.2">
      <c r="A5023" s="27"/>
      <c r="B5023" s="25"/>
      <c r="E5023" s="10"/>
      <c r="O5023" s="10"/>
      <c r="V5023" s="10"/>
    </row>
    <row r="5024" spans="1:22" x14ac:dyDescent="0.2">
      <c r="A5024" s="27"/>
      <c r="B5024" s="25"/>
      <c r="E5024" s="10"/>
      <c r="O5024" s="10"/>
      <c r="V5024" s="10"/>
    </row>
    <row r="5025" spans="1:22" x14ac:dyDescent="0.2">
      <c r="A5025" s="27"/>
      <c r="B5025" s="25"/>
      <c r="E5025" s="10"/>
      <c r="O5025" s="10"/>
      <c r="V5025" s="10"/>
    </row>
    <row r="5026" spans="1:22" x14ac:dyDescent="0.2">
      <c r="A5026" s="27"/>
      <c r="B5026" s="25"/>
      <c r="E5026" s="10"/>
      <c r="O5026" s="10"/>
      <c r="V5026" s="10"/>
    </row>
    <row r="5027" spans="1:22" x14ac:dyDescent="0.2">
      <c r="A5027" s="27"/>
      <c r="B5027" s="25"/>
      <c r="E5027" s="10"/>
      <c r="O5027" s="10"/>
      <c r="V5027" s="10"/>
    </row>
    <row r="5028" spans="1:22" x14ac:dyDescent="0.2">
      <c r="A5028" s="27"/>
      <c r="B5028" s="25"/>
      <c r="E5028" s="10"/>
      <c r="O5028" s="10"/>
      <c r="V5028" s="10"/>
    </row>
    <row r="5029" spans="1:22" x14ac:dyDescent="0.2">
      <c r="A5029" s="27"/>
      <c r="B5029" s="25"/>
      <c r="E5029" s="10"/>
      <c r="O5029" s="10"/>
      <c r="V5029" s="10"/>
    </row>
    <row r="5030" spans="1:22" x14ac:dyDescent="0.2">
      <c r="A5030" s="27"/>
      <c r="B5030" s="25"/>
      <c r="E5030" s="10"/>
      <c r="O5030" s="10"/>
      <c r="V5030" s="10"/>
    </row>
    <row r="5031" spans="1:22" x14ac:dyDescent="0.2">
      <c r="A5031" s="27"/>
      <c r="B5031" s="25"/>
      <c r="E5031" s="10"/>
      <c r="O5031" s="10"/>
      <c r="V5031" s="10"/>
    </row>
    <row r="5032" spans="1:22" x14ac:dyDescent="0.2">
      <c r="A5032" s="27"/>
      <c r="B5032" s="25"/>
      <c r="E5032" s="10"/>
      <c r="O5032" s="10"/>
      <c r="V5032" s="10"/>
    </row>
    <row r="5033" spans="1:22" x14ac:dyDescent="0.2">
      <c r="A5033" s="27"/>
      <c r="B5033" s="25"/>
      <c r="E5033" s="10"/>
      <c r="O5033" s="10"/>
      <c r="V5033" s="10"/>
    </row>
    <row r="5034" spans="1:22" x14ac:dyDescent="0.2">
      <c r="A5034" s="27"/>
      <c r="B5034" s="25"/>
      <c r="E5034" s="10"/>
      <c r="O5034" s="10"/>
      <c r="V5034" s="10"/>
    </row>
    <row r="5035" spans="1:22" x14ac:dyDescent="0.2">
      <c r="A5035" s="27"/>
      <c r="B5035" s="25"/>
      <c r="E5035" s="10"/>
      <c r="O5035" s="10"/>
      <c r="V5035" s="10"/>
    </row>
    <row r="5036" spans="1:22" x14ac:dyDescent="0.2">
      <c r="A5036" s="27"/>
      <c r="B5036" s="25"/>
      <c r="E5036" s="10"/>
      <c r="O5036" s="10"/>
      <c r="V5036" s="10"/>
    </row>
    <row r="5037" spans="1:22" x14ac:dyDescent="0.2">
      <c r="A5037" s="27"/>
      <c r="B5037" s="25"/>
      <c r="E5037" s="10"/>
      <c r="O5037" s="10"/>
      <c r="V5037" s="10"/>
    </row>
    <row r="5038" spans="1:22" x14ac:dyDescent="0.2">
      <c r="A5038" s="27"/>
      <c r="B5038" s="25"/>
      <c r="E5038" s="10"/>
      <c r="O5038" s="10"/>
      <c r="V5038" s="10"/>
    </row>
    <row r="5039" spans="1:22" x14ac:dyDescent="0.2">
      <c r="A5039" s="27"/>
      <c r="B5039" s="25"/>
      <c r="E5039" s="10"/>
      <c r="O5039" s="10"/>
      <c r="V5039" s="10"/>
    </row>
    <row r="5040" spans="1:22" x14ac:dyDescent="0.2">
      <c r="A5040" s="27"/>
      <c r="B5040" s="25"/>
      <c r="E5040" s="10"/>
      <c r="O5040" s="10"/>
      <c r="V5040" s="10"/>
    </row>
    <row r="5041" spans="1:22" x14ac:dyDescent="0.2">
      <c r="A5041" s="27"/>
      <c r="B5041" s="25"/>
      <c r="E5041" s="10"/>
      <c r="O5041" s="10"/>
      <c r="V5041" s="10"/>
    </row>
    <row r="5042" spans="1:22" x14ac:dyDescent="0.2">
      <c r="A5042" s="27"/>
      <c r="B5042" s="25"/>
      <c r="E5042" s="10"/>
      <c r="O5042" s="10"/>
      <c r="V5042" s="10"/>
    </row>
    <row r="5043" spans="1:22" x14ac:dyDescent="0.2">
      <c r="A5043" s="27"/>
      <c r="B5043" s="25"/>
      <c r="E5043" s="10"/>
      <c r="O5043" s="10"/>
      <c r="V5043" s="10"/>
    </row>
    <row r="5044" spans="1:22" x14ac:dyDescent="0.2">
      <c r="A5044" s="27"/>
      <c r="B5044" s="25"/>
      <c r="E5044" s="10"/>
      <c r="O5044" s="10"/>
      <c r="V5044" s="10"/>
    </row>
    <row r="5045" spans="1:22" x14ac:dyDescent="0.2">
      <c r="A5045" s="27"/>
      <c r="B5045" s="25"/>
      <c r="E5045" s="10"/>
      <c r="O5045" s="10"/>
      <c r="V5045" s="10"/>
    </row>
    <row r="5046" spans="1:22" x14ac:dyDescent="0.2">
      <c r="A5046" s="27"/>
      <c r="B5046" s="25"/>
      <c r="E5046" s="10"/>
      <c r="O5046" s="10"/>
      <c r="V5046" s="10"/>
    </row>
    <row r="5047" spans="1:22" x14ac:dyDescent="0.2">
      <c r="A5047" s="27"/>
      <c r="B5047" s="25"/>
      <c r="E5047" s="10"/>
      <c r="O5047" s="10"/>
      <c r="V5047" s="10"/>
    </row>
    <row r="5048" spans="1:22" x14ac:dyDescent="0.2">
      <c r="A5048" s="27"/>
      <c r="B5048" s="25"/>
      <c r="E5048" s="10"/>
      <c r="O5048" s="10"/>
      <c r="V5048" s="10"/>
    </row>
    <row r="5049" spans="1:22" x14ac:dyDescent="0.2">
      <c r="A5049" s="27"/>
      <c r="B5049" s="25"/>
      <c r="E5049" s="10"/>
      <c r="O5049" s="10"/>
      <c r="V5049" s="10"/>
    </row>
    <row r="5050" spans="1:22" x14ac:dyDescent="0.2">
      <c r="A5050" s="27"/>
      <c r="B5050" s="25"/>
      <c r="E5050" s="10"/>
      <c r="O5050" s="10"/>
      <c r="V5050" s="10"/>
    </row>
    <row r="5051" spans="1:22" x14ac:dyDescent="0.2">
      <c r="A5051" s="27"/>
      <c r="B5051" s="25"/>
      <c r="E5051" s="10"/>
      <c r="O5051" s="10"/>
      <c r="V5051" s="10"/>
    </row>
    <row r="5052" spans="1:22" x14ac:dyDescent="0.2">
      <c r="A5052" s="27"/>
      <c r="B5052" s="25"/>
      <c r="E5052" s="10"/>
      <c r="O5052" s="10"/>
      <c r="V5052" s="10"/>
    </row>
    <row r="5053" spans="1:22" x14ac:dyDescent="0.2">
      <c r="A5053" s="27"/>
      <c r="B5053" s="25"/>
      <c r="E5053" s="10"/>
      <c r="O5053" s="10"/>
      <c r="V5053" s="10"/>
    </row>
    <row r="5054" spans="1:22" x14ac:dyDescent="0.2">
      <c r="A5054" s="27"/>
      <c r="B5054" s="25"/>
      <c r="E5054" s="10"/>
      <c r="O5054" s="10"/>
      <c r="V5054" s="10"/>
    </row>
    <row r="5055" spans="1:22" x14ac:dyDescent="0.2">
      <c r="A5055" s="27"/>
      <c r="B5055" s="25"/>
      <c r="E5055" s="10"/>
      <c r="O5055" s="10"/>
      <c r="V5055" s="10"/>
    </row>
    <row r="5056" spans="1:22" x14ac:dyDescent="0.2">
      <c r="A5056" s="27"/>
      <c r="B5056" s="25"/>
      <c r="E5056" s="10"/>
      <c r="O5056" s="10"/>
      <c r="V5056" s="10"/>
    </row>
    <row r="5057" spans="1:22" x14ac:dyDescent="0.2">
      <c r="A5057" s="27"/>
      <c r="B5057" s="25"/>
      <c r="E5057" s="10"/>
      <c r="O5057" s="10"/>
      <c r="V5057" s="10"/>
    </row>
    <row r="5058" spans="1:22" x14ac:dyDescent="0.2">
      <c r="A5058" s="27"/>
      <c r="B5058" s="25"/>
      <c r="E5058" s="10"/>
      <c r="O5058" s="10"/>
      <c r="V5058" s="10"/>
    </row>
    <row r="5059" spans="1:22" x14ac:dyDescent="0.2">
      <c r="A5059" s="27"/>
      <c r="B5059" s="25"/>
      <c r="E5059" s="10"/>
      <c r="O5059" s="10"/>
      <c r="V5059" s="10"/>
    </row>
    <row r="5060" spans="1:22" x14ac:dyDescent="0.2">
      <c r="A5060" s="27"/>
      <c r="B5060" s="25"/>
      <c r="E5060" s="10"/>
      <c r="O5060" s="10"/>
      <c r="V5060" s="10"/>
    </row>
    <row r="5061" spans="1:22" x14ac:dyDescent="0.2">
      <c r="A5061" s="27"/>
      <c r="B5061" s="25"/>
      <c r="E5061" s="10"/>
      <c r="O5061" s="10"/>
      <c r="V5061" s="10"/>
    </row>
    <row r="5062" spans="1:22" x14ac:dyDescent="0.2">
      <c r="A5062" s="27"/>
      <c r="B5062" s="25"/>
      <c r="E5062" s="10"/>
      <c r="O5062" s="10"/>
      <c r="V5062" s="10"/>
    </row>
    <row r="5063" spans="1:22" x14ac:dyDescent="0.2">
      <c r="A5063" s="27"/>
      <c r="B5063" s="25"/>
      <c r="E5063" s="10"/>
      <c r="O5063" s="10"/>
      <c r="V5063" s="10"/>
    </row>
    <row r="5064" spans="1:22" x14ac:dyDescent="0.2">
      <c r="A5064" s="27"/>
      <c r="B5064" s="25"/>
      <c r="E5064" s="10"/>
      <c r="O5064" s="10"/>
      <c r="V5064" s="10"/>
    </row>
    <row r="5065" spans="1:22" x14ac:dyDescent="0.2">
      <c r="A5065" s="27"/>
      <c r="B5065" s="25"/>
      <c r="E5065" s="10"/>
      <c r="O5065" s="10"/>
      <c r="V5065" s="10"/>
    </row>
    <row r="5066" spans="1:22" x14ac:dyDescent="0.2">
      <c r="A5066" s="27"/>
      <c r="B5066" s="25"/>
      <c r="E5066" s="10"/>
      <c r="O5066" s="10"/>
      <c r="V5066" s="10"/>
    </row>
    <row r="5067" spans="1:22" x14ac:dyDescent="0.2">
      <c r="A5067" s="27"/>
      <c r="B5067" s="25"/>
      <c r="E5067" s="10"/>
      <c r="O5067" s="10"/>
      <c r="V5067" s="10"/>
    </row>
    <row r="5068" spans="1:22" x14ac:dyDescent="0.2">
      <c r="A5068" s="27"/>
      <c r="B5068" s="25"/>
      <c r="E5068" s="10"/>
      <c r="O5068" s="10"/>
      <c r="V5068" s="10"/>
    </row>
    <row r="5069" spans="1:22" x14ac:dyDescent="0.2">
      <c r="A5069" s="27"/>
      <c r="B5069" s="25"/>
      <c r="E5069" s="10"/>
      <c r="O5069" s="10"/>
      <c r="V5069" s="10"/>
    </row>
    <row r="5070" spans="1:22" x14ac:dyDescent="0.2">
      <c r="A5070" s="27"/>
      <c r="B5070" s="25"/>
      <c r="E5070" s="10"/>
      <c r="O5070" s="10"/>
      <c r="V5070" s="10"/>
    </row>
    <row r="5071" spans="1:22" x14ac:dyDescent="0.2">
      <c r="A5071" s="27"/>
      <c r="B5071" s="25"/>
      <c r="E5071" s="10"/>
      <c r="O5071" s="10"/>
      <c r="V5071" s="10"/>
    </row>
    <row r="5072" spans="1:22" x14ac:dyDescent="0.2">
      <c r="A5072" s="27"/>
      <c r="B5072" s="25"/>
      <c r="E5072" s="10"/>
      <c r="O5072" s="10"/>
      <c r="V5072" s="10"/>
    </row>
    <row r="5073" spans="1:22" x14ac:dyDescent="0.2">
      <c r="A5073" s="27"/>
      <c r="B5073" s="25"/>
      <c r="E5073" s="10"/>
      <c r="O5073" s="10"/>
      <c r="V5073" s="10"/>
    </row>
    <row r="5074" spans="1:22" x14ac:dyDescent="0.2">
      <c r="A5074" s="27"/>
      <c r="B5074" s="25"/>
      <c r="E5074" s="10"/>
      <c r="O5074" s="10"/>
      <c r="V5074" s="10"/>
    </row>
    <row r="5075" spans="1:22" x14ac:dyDescent="0.2">
      <c r="A5075" s="27"/>
      <c r="B5075" s="25"/>
      <c r="E5075" s="10"/>
      <c r="O5075" s="10"/>
      <c r="V5075" s="10"/>
    </row>
    <row r="5076" spans="1:22" x14ac:dyDescent="0.2">
      <c r="A5076" s="27"/>
      <c r="B5076" s="25"/>
      <c r="E5076" s="10"/>
      <c r="O5076" s="10"/>
      <c r="V5076" s="10"/>
    </row>
    <row r="5077" spans="1:22" x14ac:dyDescent="0.2">
      <c r="A5077" s="27"/>
      <c r="B5077" s="25"/>
      <c r="E5077" s="10"/>
      <c r="O5077" s="10"/>
      <c r="V5077" s="10"/>
    </row>
    <row r="5078" spans="1:22" x14ac:dyDescent="0.2">
      <c r="A5078" s="27"/>
      <c r="B5078" s="25"/>
      <c r="E5078" s="10"/>
      <c r="O5078" s="10"/>
      <c r="V5078" s="10"/>
    </row>
    <row r="5079" spans="1:22" x14ac:dyDescent="0.2">
      <c r="A5079" s="27"/>
      <c r="B5079" s="25"/>
      <c r="E5079" s="10"/>
      <c r="O5079" s="10"/>
      <c r="V5079" s="10"/>
    </row>
    <row r="5080" spans="1:22" x14ac:dyDescent="0.2">
      <c r="A5080" s="27"/>
      <c r="B5080" s="25"/>
      <c r="E5080" s="10"/>
      <c r="O5080" s="10"/>
      <c r="V5080" s="10"/>
    </row>
    <row r="5081" spans="1:22" x14ac:dyDescent="0.2">
      <c r="A5081" s="27"/>
      <c r="B5081" s="25"/>
      <c r="E5081" s="10"/>
      <c r="O5081" s="10"/>
      <c r="V5081" s="10"/>
    </row>
    <row r="5082" spans="1:22" x14ac:dyDescent="0.2">
      <c r="A5082" s="27"/>
      <c r="B5082" s="25"/>
      <c r="E5082" s="10"/>
      <c r="O5082" s="10"/>
      <c r="V5082" s="10"/>
    </row>
    <row r="5083" spans="1:22" x14ac:dyDescent="0.2">
      <c r="A5083" s="27"/>
      <c r="B5083" s="25"/>
      <c r="E5083" s="10"/>
      <c r="O5083" s="10"/>
      <c r="V5083" s="10"/>
    </row>
    <row r="5084" spans="1:22" x14ac:dyDescent="0.2">
      <c r="A5084" s="27"/>
      <c r="B5084" s="25"/>
      <c r="E5084" s="10"/>
      <c r="O5084" s="10"/>
      <c r="V5084" s="10"/>
    </row>
    <row r="5085" spans="1:22" x14ac:dyDescent="0.2">
      <c r="A5085" s="27"/>
      <c r="B5085" s="25"/>
      <c r="E5085" s="10"/>
      <c r="O5085" s="10"/>
      <c r="V5085" s="10"/>
    </row>
    <row r="5086" spans="1:22" x14ac:dyDescent="0.2">
      <c r="A5086" s="27"/>
      <c r="B5086" s="25"/>
      <c r="E5086" s="10"/>
      <c r="O5086" s="10"/>
      <c r="V5086" s="10"/>
    </row>
    <row r="5087" spans="1:22" x14ac:dyDescent="0.2">
      <c r="A5087" s="27"/>
      <c r="B5087" s="25"/>
      <c r="E5087" s="10"/>
      <c r="O5087" s="10"/>
      <c r="V5087" s="10"/>
    </row>
    <row r="5088" spans="1:22" x14ac:dyDescent="0.2">
      <c r="A5088" s="27"/>
      <c r="B5088" s="25"/>
      <c r="E5088" s="10"/>
      <c r="O5088" s="10"/>
      <c r="V5088" s="10"/>
    </row>
    <row r="5089" spans="1:22" x14ac:dyDescent="0.2">
      <c r="A5089" s="27"/>
      <c r="B5089" s="25"/>
      <c r="E5089" s="10"/>
      <c r="O5089" s="10"/>
      <c r="V5089" s="10"/>
    </row>
    <row r="5090" spans="1:22" x14ac:dyDescent="0.2">
      <c r="A5090" s="27"/>
      <c r="B5090" s="25"/>
      <c r="E5090" s="10"/>
      <c r="O5090" s="10"/>
      <c r="V5090" s="10"/>
    </row>
    <row r="5091" spans="1:22" x14ac:dyDescent="0.2">
      <c r="A5091" s="27"/>
      <c r="B5091" s="25"/>
      <c r="E5091" s="10"/>
      <c r="O5091" s="10"/>
      <c r="V5091" s="10"/>
    </row>
    <row r="5092" spans="1:22" x14ac:dyDescent="0.2">
      <c r="A5092" s="27"/>
      <c r="B5092" s="25"/>
      <c r="E5092" s="10"/>
      <c r="O5092" s="10"/>
      <c r="V5092" s="10"/>
    </row>
    <row r="5093" spans="1:22" x14ac:dyDescent="0.2">
      <c r="A5093" s="27"/>
      <c r="B5093" s="25"/>
      <c r="E5093" s="10"/>
      <c r="O5093" s="10"/>
      <c r="V5093" s="10"/>
    </row>
    <row r="5094" spans="1:22" x14ac:dyDescent="0.2">
      <c r="A5094" s="27"/>
      <c r="B5094" s="25"/>
      <c r="E5094" s="10"/>
      <c r="O5094" s="10"/>
      <c r="V5094" s="10"/>
    </row>
    <row r="5095" spans="1:22" x14ac:dyDescent="0.2">
      <c r="A5095" s="27"/>
      <c r="B5095" s="25"/>
      <c r="E5095" s="10"/>
      <c r="O5095" s="10"/>
      <c r="V5095" s="10"/>
    </row>
    <row r="5096" spans="1:22" x14ac:dyDescent="0.2">
      <c r="A5096" s="27"/>
      <c r="B5096" s="25"/>
      <c r="E5096" s="10"/>
      <c r="O5096" s="10"/>
      <c r="V5096" s="10"/>
    </row>
    <row r="5097" spans="1:22" x14ac:dyDescent="0.2">
      <c r="A5097" s="27"/>
      <c r="B5097" s="25"/>
      <c r="E5097" s="10"/>
      <c r="O5097" s="10"/>
      <c r="V5097" s="10"/>
    </row>
    <row r="5098" spans="1:22" x14ac:dyDescent="0.2">
      <c r="B5098" s="25"/>
      <c r="E5098" s="10"/>
      <c r="O5098" s="10"/>
      <c r="V5098" s="10"/>
    </row>
    <row r="5099" spans="1:22" x14ac:dyDescent="0.2">
      <c r="B5099" s="25"/>
      <c r="E5099" s="10"/>
      <c r="O5099" s="10"/>
      <c r="V5099" s="10"/>
    </row>
    <row r="5100" spans="1:22" x14ac:dyDescent="0.2">
      <c r="B5100" s="25"/>
      <c r="E5100" s="10"/>
      <c r="O5100" s="10"/>
      <c r="V5100" s="10"/>
    </row>
    <row r="5101" spans="1:22" x14ac:dyDescent="0.2">
      <c r="B5101" s="25"/>
      <c r="E5101" s="10"/>
      <c r="O5101" s="10"/>
      <c r="V5101" s="10"/>
    </row>
    <row r="5102" spans="1:22" x14ac:dyDescent="0.2">
      <c r="B5102" s="25"/>
      <c r="E5102" s="10"/>
      <c r="O5102" s="10"/>
      <c r="V5102" s="10"/>
    </row>
    <row r="5103" spans="1:22" x14ac:dyDescent="0.2">
      <c r="B5103" s="25"/>
      <c r="E5103" s="10"/>
      <c r="O5103" s="10"/>
      <c r="V5103" s="10"/>
    </row>
    <row r="5104" spans="1:22" x14ac:dyDescent="0.2">
      <c r="B5104" s="25"/>
      <c r="E5104" s="10"/>
      <c r="O5104" s="10"/>
      <c r="V5104" s="10"/>
    </row>
    <row r="5105" spans="2:22" x14ac:dyDescent="0.2">
      <c r="B5105" s="25"/>
      <c r="E5105" s="10"/>
      <c r="O5105" s="10"/>
      <c r="V5105" s="10"/>
    </row>
    <row r="5106" spans="2:22" x14ac:dyDescent="0.2">
      <c r="B5106" s="25"/>
      <c r="E5106" s="10"/>
      <c r="O5106" s="10"/>
      <c r="V5106" s="10"/>
    </row>
    <row r="5107" spans="2:22" x14ac:dyDescent="0.2">
      <c r="B5107" s="25"/>
      <c r="E5107" s="10"/>
      <c r="O5107" s="10"/>
      <c r="V5107" s="10"/>
    </row>
    <row r="5108" spans="2:22" x14ac:dyDescent="0.2">
      <c r="B5108" s="25"/>
      <c r="E5108" s="10"/>
      <c r="O5108" s="10"/>
      <c r="V5108" s="10"/>
    </row>
    <row r="5109" spans="2:22" x14ac:dyDescent="0.2">
      <c r="B5109" s="25"/>
      <c r="E5109" s="10"/>
      <c r="O5109" s="10"/>
      <c r="V5109" s="10"/>
    </row>
    <row r="5110" spans="2:22" x14ac:dyDescent="0.2">
      <c r="B5110" s="25"/>
      <c r="E5110" s="10"/>
      <c r="O5110" s="10"/>
      <c r="V5110" s="10"/>
    </row>
    <row r="5111" spans="2:22" x14ac:dyDescent="0.2">
      <c r="B5111" s="25"/>
      <c r="E5111" s="10"/>
      <c r="O5111" s="10"/>
      <c r="V5111" s="10"/>
    </row>
    <row r="5112" spans="2:22" x14ac:dyDescent="0.2">
      <c r="B5112" s="25"/>
      <c r="E5112" s="10"/>
      <c r="O5112" s="10"/>
      <c r="V5112" s="10"/>
    </row>
    <row r="5113" spans="2:22" x14ac:dyDescent="0.2">
      <c r="B5113" s="25"/>
      <c r="E5113" s="10"/>
      <c r="O5113" s="10"/>
      <c r="V5113" s="10"/>
    </row>
    <row r="5114" spans="2:22" x14ac:dyDescent="0.2">
      <c r="B5114" s="25"/>
      <c r="E5114" s="10"/>
      <c r="O5114" s="10"/>
      <c r="V5114" s="10"/>
    </row>
    <row r="5115" spans="2:22" x14ac:dyDescent="0.2">
      <c r="B5115" s="25"/>
      <c r="E5115" s="10"/>
      <c r="O5115" s="10"/>
      <c r="V5115" s="10"/>
    </row>
    <row r="5116" spans="2:22" x14ac:dyDescent="0.2">
      <c r="B5116" s="25"/>
      <c r="E5116" s="10"/>
      <c r="O5116" s="10"/>
      <c r="V5116" s="10"/>
    </row>
    <row r="5117" spans="2:22" x14ac:dyDescent="0.2">
      <c r="B5117" s="25"/>
      <c r="E5117" s="10"/>
      <c r="O5117" s="10"/>
      <c r="V5117" s="10"/>
    </row>
    <row r="5118" spans="2:22" x14ac:dyDescent="0.2">
      <c r="B5118" s="25"/>
      <c r="E5118" s="10"/>
      <c r="O5118" s="10"/>
      <c r="V5118" s="10"/>
    </row>
    <row r="5119" spans="2:22" x14ac:dyDescent="0.2">
      <c r="B5119" s="25"/>
      <c r="E5119" s="10"/>
      <c r="O5119" s="10"/>
      <c r="V5119" s="10"/>
    </row>
    <row r="5120" spans="2:22" x14ac:dyDescent="0.2">
      <c r="B5120" s="25"/>
      <c r="E5120" s="10"/>
      <c r="O5120" s="10"/>
      <c r="V5120" s="10"/>
    </row>
    <row r="5121" spans="2:22" x14ac:dyDescent="0.2">
      <c r="B5121" s="25"/>
      <c r="E5121" s="10"/>
      <c r="O5121" s="10"/>
      <c r="V5121" s="10"/>
    </row>
    <row r="5122" spans="2:22" x14ac:dyDescent="0.2">
      <c r="B5122" s="25"/>
      <c r="E5122" s="10"/>
      <c r="O5122" s="10"/>
      <c r="V5122" s="10"/>
    </row>
    <row r="5123" spans="2:22" x14ac:dyDescent="0.2">
      <c r="B5123" s="25"/>
      <c r="E5123" s="10"/>
      <c r="O5123" s="10"/>
      <c r="V5123" s="10"/>
    </row>
    <row r="5124" spans="2:22" x14ac:dyDescent="0.2">
      <c r="B5124" s="25"/>
      <c r="E5124" s="10"/>
      <c r="O5124" s="10"/>
      <c r="V5124" s="10"/>
    </row>
    <row r="5125" spans="2:22" x14ac:dyDescent="0.2">
      <c r="B5125" s="25"/>
      <c r="E5125" s="10"/>
      <c r="O5125" s="10"/>
      <c r="V5125" s="10"/>
    </row>
    <row r="5126" spans="2:22" x14ac:dyDescent="0.2">
      <c r="B5126" s="25"/>
      <c r="E5126" s="10"/>
      <c r="O5126" s="10"/>
      <c r="V5126" s="10"/>
    </row>
    <row r="5127" spans="2:22" x14ac:dyDescent="0.2">
      <c r="B5127" s="25"/>
      <c r="E5127" s="10"/>
      <c r="O5127" s="10"/>
      <c r="V5127" s="10"/>
    </row>
    <row r="5128" spans="2:22" x14ac:dyDescent="0.2">
      <c r="B5128" s="25"/>
      <c r="E5128" s="10"/>
      <c r="O5128" s="10"/>
      <c r="V5128" s="10"/>
    </row>
    <row r="5129" spans="2:22" x14ac:dyDescent="0.2">
      <c r="B5129" s="25"/>
      <c r="E5129" s="10"/>
      <c r="O5129" s="10"/>
      <c r="V5129" s="10"/>
    </row>
    <row r="5130" spans="2:22" x14ac:dyDescent="0.2">
      <c r="B5130" s="25"/>
      <c r="E5130" s="10"/>
      <c r="O5130" s="10"/>
      <c r="V5130" s="10"/>
    </row>
    <row r="5131" spans="2:22" x14ac:dyDescent="0.2">
      <c r="B5131" s="25"/>
      <c r="E5131" s="10"/>
      <c r="O5131" s="10"/>
      <c r="V5131" s="10"/>
    </row>
    <row r="5132" spans="2:22" x14ac:dyDescent="0.2">
      <c r="B5132" s="25"/>
      <c r="E5132" s="10"/>
      <c r="O5132" s="10"/>
      <c r="V5132" s="10"/>
    </row>
    <row r="5133" spans="2:22" x14ac:dyDescent="0.2">
      <c r="B5133" s="25"/>
      <c r="E5133" s="10"/>
      <c r="O5133" s="10"/>
      <c r="V5133" s="10"/>
    </row>
    <row r="5134" spans="2:22" x14ac:dyDescent="0.2">
      <c r="B5134" s="25"/>
      <c r="E5134" s="10"/>
      <c r="O5134" s="10"/>
      <c r="V5134" s="10"/>
    </row>
    <row r="5135" spans="2:22" x14ac:dyDescent="0.2">
      <c r="B5135" s="25"/>
      <c r="E5135" s="10"/>
      <c r="O5135" s="10"/>
      <c r="V5135" s="10"/>
    </row>
    <row r="5136" spans="2:22" x14ac:dyDescent="0.2">
      <c r="B5136" s="25"/>
      <c r="E5136" s="10"/>
      <c r="O5136" s="10"/>
      <c r="V5136" s="10"/>
    </row>
    <row r="5137" spans="2:22" x14ac:dyDescent="0.2">
      <c r="B5137" s="25"/>
      <c r="E5137" s="10"/>
      <c r="O5137" s="10"/>
      <c r="V5137" s="10"/>
    </row>
    <row r="5138" spans="2:22" x14ac:dyDescent="0.2">
      <c r="B5138" s="25"/>
      <c r="E5138" s="10"/>
      <c r="O5138" s="10"/>
      <c r="V5138" s="10"/>
    </row>
    <row r="5139" spans="2:22" x14ac:dyDescent="0.2">
      <c r="B5139" s="25"/>
      <c r="E5139" s="10"/>
      <c r="O5139" s="10"/>
      <c r="V5139" s="10"/>
    </row>
    <row r="5140" spans="2:22" x14ac:dyDescent="0.2">
      <c r="B5140" s="25"/>
      <c r="E5140" s="10"/>
      <c r="O5140" s="10"/>
      <c r="V5140" s="10"/>
    </row>
    <row r="5141" spans="2:22" x14ac:dyDescent="0.2">
      <c r="B5141" s="25"/>
      <c r="E5141" s="10"/>
      <c r="O5141" s="10"/>
      <c r="V5141" s="10"/>
    </row>
    <row r="5142" spans="2:22" x14ac:dyDescent="0.2">
      <c r="B5142" s="25"/>
      <c r="E5142" s="10"/>
      <c r="O5142" s="10"/>
      <c r="V5142" s="10"/>
    </row>
    <row r="5143" spans="2:22" x14ac:dyDescent="0.2">
      <c r="B5143" s="25"/>
      <c r="E5143" s="10"/>
      <c r="O5143" s="10"/>
      <c r="V5143" s="10"/>
    </row>
    <row r="5144" spans="2:22" x14ac:dyDescent="0.2">
      <c r="B5144" s="25"/>
      <c r="E5144" s="10"/>
      <c r="O5144" s="10"/>
      <c r="V5144" s="10"/>
    </row>
    <row r="5145" spans="2:22" x14ac:dyDescent="0.2">
      <c r="B5145" s="25"/>
      <c r="E5145" s="10"/>
      <c r="O5145" s="10"/>
      <c r="V5145" s="10"/>
    </row>
    <row r="5146" spans="2:22" x14ac:dyDescent="0.2">
      <c r="B5146" s="25"/>
      <c r="E5146" s="10"/>
      <c r="O5146" s="10"/>
      <c r="V5146" s="10"/>
    </row>
    <row r="5147" spans="2:22" x14ac:dyDescent="0.2">
      <c r="B5147" s="25"/>
      <c r="E5147" s="10"/>
      <c r="O5147" s="10"/>
      <c r="V5147" s="10"/>
    </row>
    <row r="5148" spans="2:22" x14ac:dyDescent="0.2">
      <c r="B5148" s="25"/>
      <c r="E5148" s="10"/>
      <c r="O5148" s="10"/>
      <c r="V5148" s="10"/>
    </row>
    <row r="5149" spans="2:22" x14ac:dyDescent="0.2">
      <c r="B5149" s="25"/>
      <c r="E5149" s="10"/>
      <c r="O5149" s="10"/>
      <c r="V5149" s="10"/>
    </row>
    <row r="5150" spans="2:22" x14ac:dyDescent="0.2">
      <c r="B5150" s="25"/>
      <c r="E5150" s="10"/>
      <c r="O5150" s="10"/>
      <c r="V5150" s="10"/>
    </row>
    <row r="5151" spans="2:22" x14ac:dyDescent="0.2">
      <c r="B5151" s="25"/>
      <c r="E5151" s="10"/>
      <c r="O5151" s="10"/>
      <c r="V5151" s="10"/>
    </row>
    <row r="5152" spans="2:22" x14ac:dyDescent="0.2">
      <c r="B5152" s="25"/>
      <c r="E5152" s="10"/>
      <c r="O5152" s="10"/>
      <c r="V5152" s="10"/>
    </row>
    <row r="5153" spans="2:22" x14ac:dyDescent="0.2">
      <c r="B5153" s="25"/>
      <c r="E5153" s="10"/>
      <c r="O5153" s="10"/>
      <c r="V5153" s="10"/>
    </row>
    <row r="5154" spans="2:22" x14ac:dyDescent="0.2">
      <c r="B5154" s="25"/>
      <c r="E5154" s="10"/>
      <c r="O5154" s="10"/>
      <c r="V5154" s="10"/>
    </row>
    <row r="5155" spans="2:22" x14ac:dyDescent="0.2">
      <c r="B5155" s="25"/>
      <c r="E5155" s="10"/>
      <c r="O5155" s="10"/>
      <c r="V5155" s="10"/>
    </row>
    <row r="5156" spans="2:22" x14ac:dyDescent="0.2">
      <c r="B5156" s="25"/>
      <c r="E5156" s="10"/>
      <c r="O5156" s="10"/>
      <c r="V5156" s="10"/>
    </row>
    <row r="5157" spans="2:22" x14ac:dyDescent="0.2">
      <c r="B5157" s="25"/>
      <c r="E5157" s="10"/>
      <c r="O5157" s="10"/>
      <c r="V5157" s="10"/>
    </row>
    <row r="5158" spans="2:22" x14ac:dyDescent="0.2">
      <c r="B5158" s="25"/>
      <c r="E5158" s="10"/>
      <c r="O5158" s="10"/>
      <c r="V5158" s="10"/>
    </row>
    <row r="5159" spans="2:22" x14ac:dyDescent="0.2">
      <c r="B5159" s="25"/>
      <c r="E5159" s="10"/>
      <c r="O5159" s="10"/>
      <c r="V5159" s="10"/>
    </row>
    <row r="5160" spans="2:22" x14ac:dyDescent="0.2">
      <c r="B5160" s="25"/>
      <c r="E5160" s="10"/>
      <c r="O5160" s="10"/>
      <c r="V5160" s="10"/>
    </row>
    <row r="5161" spans="2:22" x14ac:dyDescent="0.2">
      <c r="B5161" s="25"/>
      <c r="E5161" s="10"/>
      <c r="O5161" s="10"/>
      <c r="V5161" s="10"/>
    </row>
    <row r="5162" spans="2:22" x14ac:dyDescent="0.2">
      <c r="B5162" s="25"/>
      <c r="E5162" s="10"/>
      <c r="O5162" s="10"/>
      <c r="V5162" s="10"/>
    </row>
    <row r="5163" spans="2:22" x14ac:dyDescent="0.2">
      <c r="B5163" s="25"/>
      <c r="E5163" s="10"/>
      <c r="O5163" s="10"/>
      <c r="V5163" s="10"/>
    </row>
    <row r="5164" spans="2:22" x14ac:dyDescent="0.2">
      <c r="B5164" s="25"/>
      <c r="E5164" s="10"/>
      <c r="O5164" s="10"/>
      <c r="V5164" s="10"/>
    </row>
    <row r="5165" spans="2:22" x14ac:dyDescent="0.2">
      <c r="B5165" s="25"/>
      <c r="E5165" s="10"/>
      <c r="O5165" s="10"/>
      <c r="V5165" s="10"/>
    </row>
    <row r="5166" spans="2:22" x14ac:dyDescent="0.2">
      <c r="B5166" s="25"/>
      <c r="E5166" s="10"/>
      <c r="O5166" s="10"/>
      <c r="V5166" s="10"/>
    </row>
    <row r="5167" spans="2:22" x14ac:dyDescent="0.2">
      <c r="B5167" s="25"/>
      <c r="E5167" s="10"/>
      <c r="O5167" s="10"/>
      <c r="V5167" s="10"/>
    </row>
    <row r="5168" spans="2:22" x14ac:dyDescent="0.2">
      <c r="B5168" s="25"/>
      <c r="E5168" s="10"/>
      <c r="O5168" s="10"/>
      <c r="V5168" s="10"/>
    </row>
    <row r="5169" spans="2:22" x14ac:dyDescent="0.2">
      <c r="B5169" s="25"/>
      <c r="E5169" s="10"/>
      <c r="O5169" s="10"/>
      <c r="V5169" s="10"/>
    </row>
    <row r="5170" spans="2:22" x14ac:dyDescent="0.2">
      <c r="B5170" s="25"/>
      <c r="E5170" s="10"/>
      <c r="O5170" s="10"/>
      <c r="V5170" s="10"/>
    </row>
    <row r="5171" spans="2:22" x14ac:dyDescent="0.2">
      <c r="B5171" s="25"/>
      <c r="E5171" s="10"/>
      <c r="O5171" s="10"/>
      <c r="V5171" s="10"/>
    </row>
    <row r="5172" spans="2:22" x14ac:dyDescent="0.2">
      <c r="B5172" s="25"/>
      <c r="E5172" s="10"/>
      <c r="O5172" s="10"/>
      <c r="V5172" s="10"/>
    </row>
    <row r="5173" spans="2:22" x14ac:dyDescent="0.2">
      <c r="B5173" s="25"/>
      <c r="E5173" s="10"/>
      <c r="O5173" s="10"/>
      <c r="V5173" s="10"/>
    </row>
    <row r="5174" spans="2:22" x14ac:dyDescent="0.2">
      <c r="B5174" s="25"/>
      <c r="E5174" s="10"/>
      <c r="O5174" s="10"/>
      <c r="V5174" s="10"/>
    </row>
    <row r="5175" spans="2:22" x14ac:dyDescent="0.2">
      <c r="B5175" s="25"/>
      <c r="E5175" s="10"/>
      <c r="O5175" s="10"/>
      <c r="V5175" s="10"/>
    </row>
    <row r="5176" spans="2:22" x14ac:dyDescent="0.2">
      <c r="B5176" s="25"/>
      <c r="E5176" s="10"/>
      <c r="O5176" s="10"/>
      <c r="V5176" s="10"/>
    </row>
    <row r="5177" spans="2:22" x14ac:dyDescent="0.2">
      <c r="B5177" s="25"/>
      <c r="E5177" s="10"/>
      <c r="O5177" s="10"/>
      <c r="V5177" s="10"/>
    </row>
    <row r="5178" spans="2:22" x14ac:dyDescent="0.2">
      <c r="B5178" s="25"/>
      <c r="E5178" s="10"/>
      <c r="O5178" s="10"/>
      <c r="V5178" s="10"/>
    </row>
    <row r="5179" spans="2:22" x14ac:dyDescent="0.2">
      <c r="B5179" s="25"/>
      <c r="E5179" s="10"/>
      <c r="O5179" s="10"/>
      <c r="V5179" s="10"/>
    </row>
    <row r="5180" spans="2:22" x14ac:dyDescent="0.2">
      <c r="B5180" s="25"/>
      <c r="E5180" s="10"/>
      <c r="O5180" s="10"/>
      <c r="V5180" s="10"/>
    </row>
    <row r="5181" spans="2:22" x14ac:dyDescent="0.2">
      <c r="B5181" s="25"/>
      <c r="E5181" s="10"/>
      <c r="O5181" s="10"/>
      <c r="V5181" s="10"/>
    </row>
    <row r="5182" spans="2:22" x14ac:dyDescent="0.2">
      <c r="B5182" s="25"/>
      <c r="E5182" s="10"/>
      <c r="O5182" s="10"/>
      <c r="V5182" s="10"/>
    </row>
    <row r="5183" spans="2:22" x14ac:dyDescent="0.2">
      <c r="B5183" s="25"/>
      <c r="E5183" s="10"/>
      <c r="O5183" s="10"/>
      <c r="V5183" s="10"/>
    </row>
    <row r="5184" spans="2:22" x14ac:dyDescent="0.2">
      <c r="B5184" s="25"/>
      <c r="E5184" s="10"/>
      <c r="O5184" s="10"/>
      <c r="V5184" s="10"/>
    </row>
    <row r="5185" spans="2:22" x14ac:dyDescent="0.2">
      <c r="B5185" s="25"/>
      <c r="E5185" s="10"/>
      <c r="O5185" s="10"/>
      <c r="V5185" s="10"/>
    </row>
    <row r="5186" spans="2:22" x14ac:dyDescent="0.2">
      <c r="B5186" s="25"/>
      <c r="E5186" s="10"/>
      <c r="O5186" s="10"/>
      <c r="V5186" s="10"/>
    </row>
    <row r="5187" spans="2:22" x14ac:dyDescent="0.2">
      <c r="B5187" s="25"/>
      <c r="E5187" s="10"/>
      <c r="O5187" s="10"/>
      <c r="V5187" s="10"/>
    </row>
    <row r="5188" spans="2:22" x14ac:dyDescent="0.2">
      <c r="B5188" s="25"/>
      <c r="E5188" s="10"/>
      <c r="O5188" s="10"/>
      <c r="V5188" s="10"/>
    </row>
    <row r="5189" spans="2:22" x14ac:dyDescent="0.2">
      <c r="B5189" s="25"/>
      <c r="E5189" s="10"/>
      <c r="O5189" s="10"/>
      <c r="V5189" s="10"/>
    </row>
    <row r="5190" spans="2:22" x14ac:dyDescent="0.2">
      <c r="B5190" s="25"/>
      <c r="E5190" s="10"/>
      <c r="O5190" s="10"/>
      <c r="V5190" s="10"/>
    </row>
    <row r="5191" spans="2:22" x14ac:dyDescent="0.2">
      <c r="B5191" s="25"/>
      <c r="E5191" s="10"/>
      <c r="O5191" s="10"/>
      <c r="V5191" s="10"/>
    </row>
    <row r="5192" spans="2:22" x14ac:dyDescent="0.2">
      <c r="B5192" s="25"/>
      <c r="E5192" s="10"/>
      <c r="O5192" s="10"/>
      <c r="V5192" s="10"/>
    </row>
    <row r="5193" spans="2:22" x14ac:dyDescent="0.2">
      <c r="B5193" s="25"/>
      <c r="E5193" s="10"/>
      <c r="O5193" s="10"/>
      <c r="V5193" s="10"/>
    </row>
    <row r="5194" spans="2:22" x14ac:dyDescent="0.2">
      <c r="B5194" s="25"/>
      <c r="E5194" s="10"/>
      <c r="O5194" s="10"/>
      <c r="V5194" s="10"/>
    </row>
    <row r="5195" spans="2:22" x14ac:dyDescent="0.2">
      <c r="B5195" s="25"/>
      <c r="E5195" s="10"/>
      <c r="O5195" s="10"/>
      <c r="V5195" s="10"/>
    </row>
    <row r="5196" spans="2:22" x14ac:dyDescent="0.2">
      <c r="B5196" s="25"/>
      <c r="E5196" s="10"/>
      <c r="O5196" s="10"/>
      <c r="V5196" s="10"/>
    </row>
    <row r="5197" spans="2:22" x14ac:dyDescent="0.2">
      <c r="B5197" s="25"/>
      <c r="E5197" s="10"/>
      <c r="O5197" s="10"/>
      <c r="V5197" s="10"/>
    </row>
    <row r="5198" spans="2:22" x14ac:dyDescent="0.2">
      <c r="B5198" s="25"/>
      <c r="E5198" s="10"/>
      <c r="O5198" s="10"/>
      <c r="V5198" s="10"/>
    </row>
    <row r="5199" spans="2:22" x14ac:dyDescent="0.2">
      <c r="B5199" s="25"/>
      <c r="E5199" s="10"/>
      <c r="O5199" s="10"/>
      <c r="V5199" s="10"/>
    </row>
    <row r="5200" spans="2:22" x14ac:dyDescent="0.2">
      <c r="B5200" s="25"/>
      <c r="E5200" s="10"/>
      <c r="O5200" s="10"/>
      <c r="V5200" s="10"/>
    </row>
    <row r="5201" spans="2:22" x14ac:dyDescent="0.2">
      <c r="B5201" s="25"/>
      <c r="E5201" s="10"/>
      <c r="O5201" s="10"/>
      <c r="V5201" s="10"/>
    </row>
    <row r="5202" spans="2:22" x14ac:dyDescent="0.2">
      <c r="B5202" s="25"/>
      <c r="E5202" s="10"/>
      <c r="O5202" s="10"/>
      <c r="V5202" s="10"/>
    </row>
    <row r="5203" spans="2:22" x14ac:dyDescent="0.2">
      <c r="B5203" s="25"/>
      <c r="E5203" s="10"/>
      <c r="O5203" s="10"/>
      <c r="V5203" s="10"/>
    </row>
    <row r="5204" spans="2:22" x14ac:dyDescent="0.2">
      <c r="B5204" s="25"/>
      <c r="E5204" s="10"/>
      <c r="O5204" s="10"/>
      <c r="V5204" s="10"/>
    </row>
    <row r="5205" spans="2:22" x14ac:dyDescent="0.2">
      <c r="B5205" s="25"/>
      <c r="E5205" s="10"/>
      <c r="O5205" s="10"/>
      <c r="V5205" s="10"/>
    </row>
    <row r="5206" spans="2:22" x14ac:dyDescent="0.2">
      <c r="B5206" s="25"/>
      <c r="E5206" s="10"/>
      <c r="O5206" s="10"/>
      <c r="V5206" s="10"/>
    </row>
    <row r="5207" spans="2:22" x14ac:dyDescent="0.2">
      <c r="B5207" s="25"/>
      <c r="E5207" s="10"/>
      <c r="O5207" s="10"/>
      <c r="V5207" s="10"/>
    </row>
    <row r="5208" spans="2:22" x14ac:dyDescent="0.2">
      <c r="B5208" s="25"/>
      <c r="E5208" s="10"/>
      <c r="O5208" s="10"/>
      <c r="V5208" s="10"/>
    </row>
    <row r="5209" spans="2:22" x14ac:dyDescent="0.2">
      <c r="B5209" s="25"/>
      <c r="E5209" s="10"/>
      <c r="O5209" s="10"/>
      <c r="V5209" s="10"/>
    </row>
    <row r="5210" spans="2:22" x14ac:dyDescent="0.2">
      <c r="B5210" s="25"/>
      <c r="E5210" s="10"/>
      <c r="O5210" s="10"/>
      <c r="V5210" s="10"/>
    </row>
    <row r="5211" spans="2:22" x14ac:dyDescent="0.2">
      <c r="B5211" s="25"/>
      <c r="E5211" s="10"/>
      <c r="O5211" s="10"/>
      <c r="V5211" s="10"/>
    </row>
    <row r="5212" spans="2:22" x14ac:dyDescent="0.2">
      <c r="B5212" s="25"/>
      <c r="E5212" s="10"/>
      <c r="O5212" s="10"/>
      <c r="V5212" s="10"/>
    </row>
    <row r="5213" spans="2:22" x14ac:dyDescent="0.2">
      <c r="B5213" s="25"/>
      <c r="E5213" s="10"/>
      <c r="O5213" s="10"/>
      <c r="V5213" s="10"/>
    </row>
    <row r="5214" spans="2:22" x14ac:dyDescent="0.2">
      <c r="B5214" s="25"/>
      <c r="E5214" s="10"/>
      <c r="O5214" s="10"/>
      <c r="V5214" s="10"/>
    </row>
    <row r="5215" spans="2:22" x14ac:dyDescent="0.2">
      <c r="B5215" s="25"/>
      <c r="E5215" s="10"/>
      <c r="O5215" s="10"/>
      <c r="V5215" s="10"/>
    </row>
    <row r="5216" spans="2:22" x14ac:dyDescent="0.2">
      <c r="B5216" s="25"/>
      <c r="E5216" s="10"/>
      <c r="O5216" s="10"/>
      <c r="V5216" s="10"/>
    </row>
    <row r="5217" spans="2:22" x14ac:dyDescent="0.2">
      <c r="B5217" s="25"/>
      <c r="E5217" s="10"/>
      <c r="O5217" s="10"/>
      <c r="V5217" s="10"/>
    </row>
    <row r="5218" spans="2:22" x14ac:dyDescent="0.2">
      <c r="B5218" s="25"/>
      <c r="E5218" s="10"/>
      <c r="O5218" s="10"/>
      <c r="V5218" s="10"/>
    </row>
    <row r="5219" spans="2:22" x14ac:dyDescent="0.2">
      <c r="B5219" s="25"/>
      <c r="E5219" s="10"/>
      <c r="O5219" s="10"/>
      <c r="V5219" s="10"/>
    </row>
    <row r="5220" spans="2:22" x14ac:dyDescent="0.2">
      <c r="B5220" s="25"/>
      <c r="E5220" s="10"/>
      <c r="O5220" s="10"/>
      <c r="V5220" s="10"/>
    </row>
    <row r="5221" spans="2:22" x14ac:dyDescent="0.2">
      <c r="B5221" s="25"/>
      <c r="E5221" s="10"/>
      <c r="O5221" s="10"/>
      <c r="V5221" s="10"/>
    </row>
    <row r="5222" spans="2:22" x14ac:dyDescent="0.2">
      <c r="B5222" s="25"/>
      <c r="E5222" s="10"/>
      <c r="O5222" s="10"/>
      <c r="V5222" s="10"/>
    </row>
    <row r="5223" spans="2:22" x14ac:dyDescent="0.2">
      <c r="B5223" s="25"/>
      <c r="E5223" s="10"/>
      <c r="O5223" s="10"/>
      <c r="V5223" s="10"/>
    </row>
    <row r="5224" spans="2:22" x14ac:dyDescent="0.2">
      <c r="B5224" s="25"/>
      <c r="E5224" s="10"/>
      <c r="O5224" s="10"/>
      <c r="V5224" s="10"/>
    </row>
    <row r="5225" spans="2:22" x14ac:dyDescent="0.2">
      <c r="B5225" s="25"/>
      <c r="E5225" s="10"/>
      <c r="O5225" s="10"/>
      <c r="V5225" s="10"/>
    </row>
    <row r="5226" spans="2:22" x14ac:dyDescent="0.2">
      <c r="B5226" s="25"/>
      <c r="E5226" s="10"/>
      <c r="O5226" s="10"/>
      <c r="V5226" s="10"/>
    </row>
    <row r="5227" spans="2:22" x14ac:dyDescent="0.2">
      <c r="B5227" s="25"/>
      <c r="E5227" s="10"/>
      <c r="O5227" s="10"/>
      <c r="V5227" s="10"/>
    </row>
    <row r="5228" spans="2:22" x14ac:dyDescent="0.2">
      <c r="B5228" s="25"/>
      <c r="E5228" s="10"/>
      <c r="O5228" s="10"/>
      <c r="V5228" s="10"/>
    </row>
    <row r="5229" spans="2:22" x14ac:dyDescent="0.2">
      <c r="B5229" s="25"/>
      <c r="E5229" s="10"/>
      <c r="O5229" s="10"/>
      <c r="V5229" s="10"/>
    </row>
    <row r="5230" spans="2:22" x14ac:dyDescent="0.2">
      <c r="B5230" s="25"/>
      <c r="E5230" s="10"/>
      <c r="O5230" s="10"/>
      <c r="V5230" s="10"/>
    </row>
    <row r="5231" spans="2:22" x14ac:dyDescent="0.2">
      <c r="B5231" s="25"/>
      <c r="E5231" s="10"/>
      <c r="O5231" s="10"/>
      <c r="V5231" s="10"/>
    </row>
    <row r="5232" spans="2:22" x14ac:dyDescent="0.2">
      <c r="B5232" s="25"/>
      <c r="E5232" s="10"/>
      <c r="O5232" s="10"/>
      <c r="V5232" s="10"/>
    </row>
    <row r="5233" spans="2:22" x14ac:dyDescent="0.2">
      <c r="B5233" s="25"/>
      <c r="E5233" s="10"/>
      <c r="O5233" s="10"/>
      <c r="V5233" s="10"/>
    </row>
    <row r="5234" spans="2:22" x14ac:dyDescent="0.2">
      <c r="B5234" s="25"/>
      <c r="E5234" s="10"/>
      <c r="O5234" s="10"/>
      <c r="V5234" s="10"/>
    </row>
    <row r="5235" spans="2:22" x14ac:dyDescent="0.2">
      <c r="B5235" s="25"/>
      <c r="E5235" s="10"/>
      <c r="O5235" s="10"/>
      <c r="V5235" s="10"/>
    </row>
    <row r="5236" spans="2:22" x14ac:dyDescent="0.2">
      <c r="B5236" s="25"/>
      <c r="E5236" s="10"/>
      <c r="O5236" s="10"/>
      <c r="V5236" s="10"/>
    </row>
    <row r="5237" spans="2:22" x14ac:dyDescent="0.2">
      <c r="B5237" s="25"/>
      <c r="E5237" s="10"/>
      <c r="O5237" s="10"/>
      <c r="V5237" s="10"/>
    </row>
    <row r="5238" spans="2:22" x14ac:dyDescent="0.2">
      <c r="B5238" s="25"/>
      <c r="E5238" s="10"/>
      <c r="O5238" s="10"/>
      <c r="V5238" s="10"/>
    </row>
    <row r="5239" spans="2:22" x14ac:dyDescent="0.2">
      <c r="B5239" s="25"/>
      <c r="E5239" s="10"/>
      <c r="O5239" s="10"/>
      <c r="V5239" s="10"/>
    </row>
    <row r="5240" spans="2:22" x14ac:dyDescent="0.2">
      <c r="B5240" s="25"/>
      <c r="E5240" s="10"/>
      <c r="O5240" s="10"/>
      <c r="V5240" s="10"/>
    </row>
    <row r="5241" spans="2:22" x14ac:dyDescent="0.2">
      <c r="B5241" s="25"/>
      <c r="E5241" s="10"/>
      <c r="O5241" s="10"/>
      <c r="V5241" s="10"/>
    </row>
    <row r="5242" spans="2:22" x14ac:dyDescent="0.2">
      <c r="B5242" s="25"/>
      <c r="E5242" s="10"/>
      <c r="O5242" s="10"/>
      <c r="V5242" s="10"/>
    </row>
    <row r="5243" spans="2:22" x14ac:dyDescent="0.2">
      <c r="B5243" s="25"/>
      <c r="E5243" s="10"/>
      <c r="O5243" s="10"/>
      <c r="V5243" s="10"/>
    </row>
    <row r="5244" spans="2:22" x14ac:dyDescent="0.2">
      <c r="B5244" s="25"/>
      <c r="E5244" s="10"/>
      <c r="O5244" s="10"/>
      <c r="V5244" s="10"/>
    </row>
    <row r="5245" spans="2:22" x14ac:dyDescent="0.2">
      <c r="B5245" s="25"/>
      <c r="E5245" s="10"/>
      <c r="O5245" s="10"/>
      <c r="V5245" s="10"/>
    </row>
    <row r="5246" spans="2:22" x14ac:dyDescent="0.2">
      <c r="B5246" s="25"/>
      <c r="E5246" s="10"/>
      <c r="O5246" s="10"/>
      <c r="V5246" s="10"/>
    </row>
    <row r="5247" spans="2:22" x14ac:dyDescent="0.2">
      <c r="B5247" s="25"/>
      <c r="E5247" s="10"/>
      <c r="O5247" s="10"/>
      <c r="V5247" s="10"/>
    </row>
    <row r="5248" spans="2:22" x14ac:dyDescent="0.2">
      <c r="B5248" s="25"/>
      <c r="E5248" s="10"/>
      <c r="O5248" s="10"/>
      <c r="V5248" s="10"/>
    </row>
    <row r="5249" spans="2:22" x14ac:dyDescent="0.2">
      <c r="B5249" s="25"/>
      <c r="E5249" s="10"/>
      <c r="O5249" s="10"/>
      <c r="V5249" s="10"/>
    </row>
    <row r="5250" spans="2:22" x14ac:dyDescent="0.2">
      <c r="B5250" s="25"/>
      <c r="E5250" s="10"/>
      <c r="O5250" s="10"/>
      <c r="V5250" s="10"/>
    </row>
    <row r="5251" spans="2:22" x14ac:dyDescent="0.2">
      <c r="B5251" s="25"/>
      <c r="E5251" s="10"/>
      <c r="O5251" s="10"/>
      <c r="V5251" s="10"/>
    </row>
    <row r="5252" spans="2:22" x14ac:dyDescent="0.2">
      <c r="B5252" s="25"/>
      <c r="E5252" s="10"/>
      <c r="O5252" s="10"/>
      <c r="V5252" s="10"/>
    </row>
    <row r="5253" spans="2:22" x14ac:dyDescent="0.2">
      <c r="B5253" s="25"/>
      <c r="E5253" s="10"/>
      <c r="O5253" s="10"/>
      <c r="V5253" s="10"/>
    </row>
    <row r="5254" spans="2:22" x14ac:dyDescent="0.2">
      <c r="B5254" s="25"/>
      <c r="E5254" s="10"/>
      <c r="O5254" s="10"/>
      <c r="V5254" s="10"/>
    </row>
    <row r="5255" spans="2:22" x14ac:dyDescent="0.2">
      <c r="B5255" s="25"/>
      <c r="E5255" s="10"/>
      <c r="O5255" s="10"/>
      <c r="V5255" s="10"/>
    </row>
    <row r="5256" spans="2:22" x14ac:dyDescent="0.2">
      <c r="B5256" s="25"/>
      <c r="E5256" s="10"/>
      <c r="O5256" s="10"/>
      <c r="V5256" s="10"/>
    </row>
    <row r="5257" spans="2:22" x14ac:dyDescent="0.2">
      <c r="B5257" s="25"/>
      <c r="E5257" s="10"/>
      <c r="O5257" s="10"/>
      <c r="V5257" s="10"/>
    </row>
    <row r="5258" spans="2:22" x14ac:dyDescent="0.2">
      <c r="B5258" s="25"/>
      <c r="E5258" s="10"/>
      <c r="O5258" s="10"/>
      <c r="V5258" s="10"/>
    </row>
    <row r="5259" spans="2:22" x14ac:dyDescent="0.2">
      <c r="B5259" s="25"/>
      <c r="E5259" s="10"/>
      <c r="O5259" s="10"/>
      <c r="V5259" s="10"/>
    </row>
    <row r="5260" spans="2:22" x14ac:dyDescent="0.2">
      <c r="B5260" s="25"/>
      <c r="E5260" s="10"/>
      <c r="O5260" s="10"/>
      <c r="V5260" s="10"/>
    </row>
    <row r="5261" spans="2:22" x14ac:dyDescent="0.2">
      <c r="B5261" s="25"/>
      <c r="E5261" s="10"/>
      <c r="O5261" s="10"/>
      <c r="V5261" s="10"/>
    </row>
    <row r="5262" spans="2:22" x14ac:dyDescent="0.2">
      <c r="B5262" s="25"/>
      <c r="E5262" s="10"/>
      <c r="O5262" s="10"/>
      <c r="V5262" s="10"/>
    </row>
    <row r="5263" spans="2:22" x14ac:dyDescent="0.2">
      <c r="B5263" s="25"/>
      <c r="E5263" s="10"/>
      <c r="O5263" s="10"/>
      <c r="V5263" s="10"/>
    </row>
    <row r="5264" spans="2:22" x14ac:dyDescent="0.2">
      <c r="B5264" s="25"/>
      <c r="E5264" s="10"/>
      <c r="O5264" s="10"/>
      <c r="V5264" s="10"/>
    </row>
    <row r="5265" spans="2:22" x14ac:dyDescent="0.2">
      <c r="B5265" s="25"/>
      <c r="E5265" s="10"/>
      <c r="O5265" s="10"/>
      <c r="V5265" s="10"/>
    </row>
    <row r="5266" spans="2:22" x14ac:dyDescent="0.2">
      <c r="B5266" s="25"/>
      <c r="E5266" s="10"/>
      <c r="O5266" s="10"/>
      <c r="V5266" s="10"/>
    </row>
    <row r="5267" spans="2:22" x14ac:dyDescent="0.2">
      <c r="B5267" s="25"/>
      <c r="E5267" s="10"/>
      <c r="O5267" s="10"/>
      <c r="V5267" s="10"/>
    </row>
    <row r="5268" spans="2:22" x14ac:dyDescent="0.2">
      <c r="B5268" s="25"/>
      <c r="E5268" s="10"/>
      <c r="O5268" s="10"/>
      <c r="V5268" s="10"/>
    </row>
    <row r="5269" spans="2:22" x14ac:dyDescent="0.2">
      <c r="B5269" s="25"/>
      <c r="E5269" s="10"/>
      <c r="O5269" s="10"/>
      <c r="V5269" s="10"/>
    </row>
    <row r="5270" spans="2:22" x14ac:dyDescent="0.2">
      <c r="B5270" s="25"/>
      <c r="E5270" s="10"/>
      <c r="O5270" s="10"/>
      <c r="V5270" s="10"/>
    </row>
    <row r="5271" spans="2:22" x14ac:dyDescent="0.2">
      <c r="B5271" s="25"/>
      <c r="E5271" s="10"/>
      <c r="O5271" s="10"/>
      <c r="V5271" s="10"/>
    </row>
    <row r="5272" spans="2:22" x14ac:dyDescent="0.2">
      <c r="B5272" s="25"/>
      <c r="E5272" s="10"/>
      <c r="O5272" s="10"/>
      <c r="V5272" s="10"/>
    </row>
    <row r="5273" spans="2:22" x14ac:dyDescent="0.2">
      <c r="B5273" s="25"/>
      <c r="E5273" s="10"/>
      <c r="O5273" s="10"/>
      <c r="V5273" s="10"/>
    </row>
    <row r="5274" spans="2:22" x14ac:dyDescent="0.2">
      <c r="B5274" s="25"/>
      <c r="E5274" s="10"/>
      <c r="O5274" s="10"/>
      <c r="V5274" s="10"/>
    </row>
    <row r="5275" spans="2:22" x14ac:dyDescent="0.2">
      <c r="B5275" s="25"/>
      <c r="E5275" s="10"/>
      <c r="O5275" s="10"/>
      <c r="V5275" s="10"/>
    </row>
    <row r="5276" spans="2:22" x14ac:dyDescent="0.2">
      <c r="B5276" s="25"/>
      <c r="E5276" s="10"/>
      <c r="O5276" s="10"/>
      <c r="V5276" s="10"/>
    </row>
    <row r="5277" spans="2:22" x14ac:dyDescent="0.2">
      <c r="B5277" s="25"/>
      <c r="E5277" s="10"/>
      <c r="O5277" s="10"/>
      <c r="V5277" s="10"/>
    </row>
    <row r="5278" spans="2:22" x14ac:dyDescent="0.2">
      <c r="B5278" s="25"/>
      <c r="E5278" s="10"/>
      <c r="O5278" s="10"/>
      <c r="V5278" s="10"/>
    </row>
    <row r="5279" spans="2:22" x14ac:dyDescent="0.2">
      <c r="B5279" s="25"/>
      <c r="E5279" s="10"/>
      <c r="O5279" s="10"/>
      <c r="V5279" s="10"/>
    </row>
    <row r="5280" spans="2:22" x14ac:dyDescent="0.2">
      <c r="B5280" s="25"/>
      <c r="E5280" s="10"/>
      <c r="O5280" s="10"/>
      <c r="V5280" s="10"/>
    </row>
    <row r="5281" spans="2:22" x14ac:dyDescent="0.2">
      <c r="B5281" s="25"/>
      <c r="E5281" s="10"/>
      <c r="O5281" s="10"/>
      <c r="V5281" s="10"/>
    </row>
    <row r="5282" spans="2:22" x14ac:dyDescent="0.2">
      <c r="B5282" s="25"/>
      <c r="E5282" s="10"/>
      <c r="O5282" s="10"/>
      <c r="V5282" s="10"/>
    </row>
    <row r="5283" spans="2:22" x14ac:dyDescent="0.2">
      <c r="B5283" s="25"/>
      <c r="E5283" s="10"/>
      <c r="O5283" s="10"/>
      <c r="V5283" s="10"/>
    </row>
    <row r="5284" spans="2:22" x14ac:dyDescent="0.2">
      <c r="B5284" s="25"/>
      <c r="E5284" s="10"/>
      <c r="O5284" s="10"/>
      <c r="V5284" s="10"/>
    </row>
    <row r="5285" spans="2:22" x14ac:dyDescent="0.2">
      <c r="B5285" s="25"/>
      <c r="E5285" s="10"/>
      <c r="O5285" s="10"/>
      <c r="V5285" s="10"/>
    </row>
    <row r="5286" spans="2:22" x14ac:dyDescent="0.2">
      <c r="B5286" s="25"/>
      <c r="E5286" s="10"/>
      <c r="O5286" s="10"/>
      <c r="V5286" s="10"/>
    </row>
    <row r="5287" spans="2:22" x14ac:dyDescent="0.2">
      <c r="B5287" s="25"/>
      <c r="E5287" s="10"/>
      <c r="O5287" s="10"/>
      <c r="V5287" s="10"/>
    </row>
    <row r="5288" spans="2:22" x14ac:dyDescent="0.2">
      <c r="B5288" s="25"/>
      <c r="E5288" s="10"/>
      <c r="O5288" s="10"/>
      <c r="V5288" s="10"/>
    </row>
    <row r="5289" spans="2:22" x14ac:dyDescent="0.2">
      <c r="B5289" s="25"/>
      <c r="E5289" s="10"/>
      <c r="O5289" s="10"/>
      <c r="V5289" s="10"/>
    </row>
    <row r="5290" spans="2:22" x14ac:dyDescent="0.2">
      <c r="B5290" s="25"/>
      <c r="E5290" s="10"/>
      <c r="O5290" s="10"/>
      <c r="V5290" s="10"/>
    </row>
    <row r="5291" spans="2:22" x14ac:dyDescent="0.2">
      <c r="B5291" s="25"/>
      <c r="E5291" s="10"/>
      <c r="O5291" s="10"/>
      <c r="V5291" s="10"/>
    </row>
    <row r="5292" spans="2:22" x14ac:dyDescent="0.2">
      <c r="B5292" s="25"/>
      <c r="E5292" s="10"/>
      <c r="O5292" s="10"/>
      <c r="V5292" s="10"/>
    </row>
    <row r="5293" spans="2:22" x14ac:dyDescent="0.2">
      <c r="B5293" s="25"/>
      <c r="E5293" s="10"/>
      <c r="O5293" s="10"/>
      <c r="V5293" s="10"/>
    </row>
    <row r="5294" spans="2:22" x14ac:dyDescent="0.2">
      <c r="B5294" s="25"/>
      <c r="E5294" s="10"/>
      <c r="O5294" s="10"/>
      <c r="V5294" s="10"/>
    </row>
    <row r="5295" spans="2:22" x14ac:dyDescent="0.2">
      <c r="B5295" s="25"/>
      <c r="E5295" s="10"/>
      <c r="O5295" s="10"/>
      <c r="V5295" s="10"/>
    </row>
    <row r="5296" spans="2:22" x14ac:dyDescent="0.2">
      <c r="B5296" s="25"/>
      <c r="E5296" s="10"/>
      <c r="O5296" s="10"/>
      <c r="V5296" s="10"/>
    </row>
    <row r="5297" spans="2:22" x14ac:dyDescent="0.2">
      <c r="B5297" s="25"/>
      <c r="E5297" s="10"/>
      <c r="O5297" s="10"/>
      <c r="V5297" s="10"/>
    </row>
    <row r="5298" spans="2:22" x14ac:dyDescent="0.2">
      <c r="B5298" s="25"/>
      <c r="E5298" s="10"/>
      <c r="O5298" s="10"/>
      <c r="V5298" s="10"/>
    </row>
    <row r="5299" spans="2:22" x14ac:dyDescent="0.2">
      <c r="B5299" s="25"/>
      <c r="E5299" s="10"/>
      <c r="O5299" s="10"/>
      <c r="V5299" s="10"/>
    </row>
    <row r="5300" spans="2:22" x14ac:dyDescent="0.2">
      <c r="B5300" s="25"/>
      <c r="E5300" s="10"/>
      <c r="O5300" s="10"/>
      <c r="V5300" s="10"/>
    </row>
    <row r="5301" spans="2:22" x14ac:dyDescent="0.2">
      <c r="B5301" s="25"/>
      <c r="E5301" s="10"/>
      <c r="O5301" s="10"/>
      <c r="V5301" s="10"/>
    </row>
    <row r="5302" spans="2:22" x14ac:dyDescent="0.2">
      <c r="B5302" s="25"/>
      <c r="E5302" s="10"/>
      <c r="O5302" s="10"/>
      <c r="V5302" s="10"/>
    </row>
    <row r="5303" spans="2:22" x14ac:dyDescent="0.2">
      <c r="B5303" s="25"/>
      <c r="E5303" s="10"/>
      <c r="O5303" s="10"/>
      <c r="V5303" s="10"/>
    </row>
    <row r="5304" spans="2:22" x14ac:dyDescent="0.2">
      <c r="B5304" s="25"/>
      <c r="E5304" s="10"/>
      <c r="O5304" s="10"/>
      <c r="V5304" s="10"/>
    </row>
    <row r="5305" spans="2:22" x14ac:dyDescent="0.2">
      <c r="B5305" s="25"/>
      <c r="E5305" s="10"/>
      <c r="O5305" s="10"/>
      <c r="V5305" s="10"/>
    </row>
    <row r="5306" spans="2:22" x14ac:dyDescent="0.2">
      <c r="B5306" s="25"/>
      <c r="E5306" s="10"/>
      <c r="O5306" s="10"/>
      <c r="V5306" s="10"/>
    </row>
    <row r="5307" spans="2:22" x14ac:dyDescent="0.2">
      <c r="B5307" s="25"/>
      <c r="E5307" s="10"/>
      <c r="O5307" s="10"/>
      <c r="V5307" s="10"/>
    </row>
    <row r="5308" spans="2:22" x14ac:dyDescent="0.2">
      <c r="B5308" s="25"/>
      <c r="E5308" s="10"/>
      <c r="O5308" s="10"/>
      <c r="V5308" s="10"/>
    </row>
    <row r="5309" spans="2:22" x14ac:dyDescent="0.2">
      <c r="B5309" s="25"/>
      <c r="E5309" s="10"/>
      <c r="O5309" s="10"/>
      <c r="V5309" s="10"/>
    </row>
    <row r="5310" spans="2:22" x14ac:dyDescent="0.2">
      <c r="B5310" s="25"/>
      <c r="E5310" s="10"/>
      <c r="O5310" s="10"/>
      <c r="V5310" s="10"/>
    </row>
    <row r="5311" spans="2:22" x14ac:dyDescent="0.2">
      <c r="B5311" s="25"/>
      <c r="E5311" s="10"/>
      <c r="O5311" s="10"/>
      <c r="V5311" s="10"/>
    </row>
    <row r="5312" spans="2:22" x14ac:dyDescent="0.2">
      <c r="B5312" s="25"/>
      <c r="E5312" s="10"/>
      <c r="O5312" s="10"/>
      <c r="V5312" s="10"/>
    </row>
    <row r="5313" spans="2:22" x14ac:dyDescent="0.2">
      <c r="B5313" s="25"/>
      <c r="E5313" s="10"/>
      <c r="O5313" s="10"/>
      <c r="V5313" s="10"/>
    </row>
    <row r="5314" spans="2:22" x14ac:dyDescent="0.2">
      <c r="B5314" s="25"/>
      <c r="E5314" s="10"/>
      <c r="O5314" s="10"/>
      <c r="V5314" s="10"/>
    </row>
    <row r="5315" spans="2:22" x14ac:dyDescent="0.2">
      <c r="B5315" s="25"/>
      <c r="E5315" s="10"/>
      <c r="O5315" s="10"/>
      <c r="V5315" s="10"/>
    </row>
    <row r="5316" spans="2:22" x14ac:dyDescent="0.2">
      <c r="B5316" s="25"/>
      <c r="E5316" s="10"/>
      <c r="O5316" s="10"/>
      <c r="V5316" s="10"/>
    </row>
    <row r="5317" spans="2:22" x14ac:dyDescent="0.2">
      <c r="B5317" s="25"/>
      <c r="E5317" s="10"/>
      <c r="O5317" s="10"/>
      <c r="V5317" s="10"/>
    </row>
    <row r="5318" spans="2:22" x14ac:dyDescent="0.2">
      <c r="B5318" s="25"/>
      <c r="E5318" s="10"/>
      <c r="O5318" s="10"/>
      <c r="V5318" s="10"/>
    </row>
    <row r="5319" spans="2:22" x14ac:dyDescent="0.2">
      <c r="B5319" s="25"/>
      <c r="E5319" s="10"/>
      <c r="O5319" s="10"/>
      <c r="V5319" s="10"/>
    </row>
    <row r="5320" spans="2:22" x14ac:dyDescent="0.2">
      <c r="B5320" s="25"/>
      <c r="E5320" s="10"/>
      <c r="O5320" s="10"/>
      <c r="V5320" s="10"/>
    </row>
    <row r="5321" spans="2:22" x14ac:dyDescent="0.2">
      <c r="B5321" s="25"/>
      <c r="E5321" s="10"/>
      <c r="O5321" s="10"/>
      <c r="V5321" s="10"/>
    </row>
    <row r="5322" spans="2:22" x14ac:dyDescent="0.2">
      <c r="B5322" s="25"/>
      <c r="E5322" s="10"/>
      <c r="O5322" s="10"/>
      <c r="V5322" s="10"/>
    </row>
    <row r="5323" spans="2:22" x14ac:dyDescent="0.2">
      <c r="B5323" s="25"/>
      <c r="E5323" s="10"/>
      <c r="O5323" s="10"/>
      <c r="V5323" s="10"/>
    </row>
    <row r="5324" spans="2:22" x14ac:dyDescent="0.2">
      <c r="B5324" s="25"/>
      <c r="E5324" s="10"/>
      <c r="O5324" s="10"/>
      <c r="V5324" s="10"/>
    </row>
    <row r="5325" spans="2:22" x14ac:dyDescent="0.2">
      <c r="B5325" s="25"/>
      <c r="E5325" s="10"/>
      <c r="O5325" s="10"/>
      <c r="V5325" s="10"/>
    </row>
    <row r="5326" spans="2:22" x14ac:dyDescent="0.2">
      <c r="B5326" s="25"/>
      <c r="E5326" s="10"/>
      <c r="O5326" s="10"/>
      <c r="V5326" s="10"/>
    </row>
    <row r="5327" spans="2:22" x14ac:dyDescent="0.2">
      <c r="B5327" s="25"/>
      <c r="E5327" s="10"/>
      <c r="O5327" s="10"/>
      <c r="V5327" s="10"/>
    </row>
    <row r="5328" spans="2:22" x14ac:dyDescent="0.2">
      <c r="B5328" s="25"/>
      <c r="E5328" s="10"/>
      <c r="O5328" s="10"/>
      <c r="V5328" s="10"/>
    </row>
    <row r="5329" spans="2:22" x14ac:dyDescent="0.2">
      <c r="B5329" s="25"/>
      <c r="E5329" s="10"/>
      <c r="O5329" s="10"/>
      <c r="V5329" s="10"/>
    </row>
    <row r="5330" spans="2:22" x14ac:dyDescent="0.2">
      <c r="B5330" s="25"/>
      <c r="E5330" s="10"/>
      <c r="O5330" s="10"/>
      <c r="V5330" s="10"/>
    </row>
    <row r="5331" spans="2:22" x14ac:dyDescent="0.2">
      <c r="B5331" s="25"/>
      <c r="E5331" s="10"/>
      <c r="O5331" s="10"/>
      <c r="V5331" s="10"/>
    </row>
    <row r="5332" spans="2:22" x14ac:dyDescent="0.2">
      <c r="B5332" s="25"/>
      <c r="E5332" s="10"/>
      <c r="O5332" s="10"/>
      <c r="V5332" s="10"/>
    </row>
    <row r="5333" spans="2:22" x14ac:dyDescent="0.2">
      <c r="B5333" s="25"/>
      <c r="E5333" s="10"/>
      <c r="O5333" s="10"/>
      <c r="V5333" s="10"/>
    </row>
    <row r="5334" spans="2:22" x14ac:dyDescent="0.2">
      <c r="B5334" s="25"/>
      <c r="E5334" s="10"/>
      <c r="O5334" s="10"/>
      <c r="V5334" s="10"/>
    </row>
    <row r="5335" spans="2:22" x14ac:dyDescent="0.2">
      <c r="B5335" s="25"/>
      <c r="E5335" s="10"/>
      <c r="O5335" s="10"/>
      <c r="V5335" s="10"/>
    </row>
    <row r="5336" spans="2:22" x14ac:dyDescent="0.2">
      <c r="B5336" s="25"/>
      <c r="E5336" s="10"/>
      <c r="O5336" s="10"/>
      <c r="V5336" s="10"/>
    </row>
    <row r="5337" spans="2:22" x14ac:dyDescent="0.2">
      <c r="B5337" s="25"/>
      <c r="E5337" s="10"/>
      <c r="O5337" s="10"/>
      <c r="V5337" s="10"/>
    </row>
    <row r="5338" spans="2:22" x14ac:dyDescent="0.2">
      <c r="B5338" s="25"/>
      <c r="E5338" s="10"/>
      <c r="O5338" s="10"/>
      <c r="V5338" s="10"/>
    </row>
    <row r="5339" spans="2:22" x14ac:dyDescent="0.2">
      <c r="B5339" s="25"/>
      <c r="E5339" s="10"/>
      <c r="O5339" s="10"/>
      <c r="V5339" s="10"/>
    </row>
    <row r="5340" spans="2:22" x14ac:dyDescent="0.2">
      <c r="B5340" s="25"/>
      <c r="E5340" s="10"/>
      <c r="O5340" s="10"/>
      <c r="V5340" s="10"/>
    </row>
    <row r="5341" spans="2:22" x14ac:dyDescent="0.2">
      <c r="B5341" s="25"/>
      <c r="E5341" s="10"/>
      <c r="O5341" s="10"/>
      <c r="V5341" s="10"/>
    </row>
    <row r="5342" spans="2:22" x14ac:dyDescent="0.2">
      <c r="B5342" s="25"/>
      <c r="E5342" s="10"/>
      <c r="O5342" s="10"/>
      <c r="V5342" s="10"/>
    </row>
    <row r="5343" spans="2:22" x14ac:dyDescent="0.2">
      <c r="B5343" s="25"/>
      <c r="E5343" s="10"/>
      <c r="O5343" s="10"/>
      <c r="V5343" s="10"/>
    </row>
    <row r="5344" spans="2:22" x14ac:dyDescent="0.2">
      <c r="B5344" s="25"/>
      <c r="E5344" s="10"/>
      <c r="O5344" s="10"/>
      <c r="V5344" s="10"/>
    </row>
    <row r="5345" spans="2:22" x14ac:dyDescent="0.2">
      <c r="B5345" s="25"/>
      <c r="E5345" s="10"/>
      <c r="O5345" s="10"/>
      <c r="V5345" s="10"/>
    </row>
    <row r="5346" spans="2:22" x14ac:dyDescent="0.2">
      <c r="B5346" s="25"/>
      <c r="E5346" s="10"/>
      <c r="O5346" s="10"/>
      <c r="V5346" s="10"/>
    </row>
    <row r="5347" spans="2:22" x14ac:dyDescent="0.2">
      <c r="B5347" s="25"/>
      <c r="E5347" s="10"/>
      <c r="O5347" s="10"/>
      <c r="V5347" s="10"/>
    </row>
    <row r="5348" spans="2:22" x14ac:dyDescent="0.2">
      <c r="B5348" s="25"/>
      <c r="E5348" s="10"/>
      <c r="O5348" s="10"/>
      <c r="V5348" s="10"/>
    </row>
    <row r="5349" spans="2:22" x14ac:dyDescent="0.2">
      <c r="B5349" s="25"/>
      <c r="E5349" s="10"/>
      <c r="O5349" s="10"/>
      <c r="V5349" s="10"/>
    </row>
    <row r="5350" spans="2:22" x14ac:dyDescent="0.2">
      <c r="B5350" s="25"/>
      <c r="E5350" s="10"/>
      <c r="O5350" s="10"/>
      <c r="V5350" s="10"/>
    </row>
    <row r="5351" spans="2:22" x14ac:dyDescent="0.2">
      <c r="B5351" s="25"/>
      <c r="E5351" s="10"/>
      <c r="O5351" s="10"/>
      <c r="V5351" s="10"/>
    </row>
    <row r="5352" spans="2:22" x14ac:dyDescent="0.2">
      <c r="B5352" s="25"/>
      <c r="E5352" s="10"/>
      <c r="O5352" s="10"/>
      <c r="V5352" s="10"/>
    </row>
    <row r="5353" spans="2:22" x14ac:dyDescent="0.2">
      <c r="B5353" s="25"/>
      <c r="E5353" s="10"/>
      <c r="O5353" s="10"/>
      <c r="V5353" s="10"/>
    </row>
    <row r="5354" spans="2:22" x14ac:dyDescent="0.2">
      <c r="B5354" s="25"/>
      <c r="E5354" s="10"/>
      <c r="O5354" s="10"/>
      <c r="V5354" s="10"/>
    </row>
    <row r="5355" spans="2:22" x14ac:dyDescent="0.2">
      <c r="B5355" s="25"/>
      <c r="E5355" s="10"/>
      <c r="O5355" s="10"/>
      <c r="V5355" s="10"/>
    </row>
    <row r="5356" spans="2:22" x14ac:dyDescent="0.2">
      <c r="B5356" s="25"/>
      <c r="E5356" s="10"/>
      <c r="O5356" s="10"/>
      <c r="V5356" s="10"/>
    </row>
    <row r="5357" spans="2:22" x14ac:dyDescent="0.2">
      <c r="B5357" s="25"/>
      <c r="E5357" s="10"/>
      <c r="O5357" s="10"/>
      <c r="V5357" s="10"/>
    </row>
    <row r="5358" spans="2:22" x14ac:dyDescent="0.2">
      <c r="B5358" s="25"/>
      <c r="E5358" s="10"/>
      <c r="O5358" s="10"/>
      <c r="V5358" s="10"/>
    </row>
    <row r="5359" spans="2:22" x14ac:dyDescent="0.2">
      <c r="B5359" s="25"/>
      <c r="E5359" s="10"/>
      <c r="O5359" s="10"/>
      <c r="V5359" s="10"/>
    </row>
    <row r="5360" spans="2:22" x14ac:dyDescent="0.2">
      <c r="B5360" s="25"/>
      <c r="E5360" s="10"/>
      <c r="O5360" s="10"/>
      <c r="V5360" s="10"/>
    </row>
    <row r="5361" spans="2:22" x14ac:dyDescent="0.2">
      <c r="B5361" s="25"/>
      <c r="E5361" s="10"/>
      <c r="O5361" s="10"/>
      <c r="V5361" s="10"/>
    </row>
    <row r="5362" spans="2:22" x14ac:dyDescent="0.2">
      <c r="B5362" s="25"/>
      <c r="E5362" s="10"/>
      <c r="O5362" s="10"/>
      <c r="V5362" s="10"/>
    </row>
    <row r="5363" spans="2:22" x14ac:dyDescent="0.2">
      <c r="B5363" s="25"/>
      <c r="E5363" s="10"/>
      <c r="O5363" s="10"/>
      <c r="V5363" s="10"/>
    </row>
    <row r="5364" spans="2:22" x14ac:dyDescent="0.2">
      <c r="B5364" s="25"/>
      <c r="E5364" s="10"/>
      <c r="O5364" s="10"/>
      <c r="V5364" s="10"/>
    </row>
    <row r="5365" spans="2:22" x14ac:dyDescent="0.2">
      <c r="B5365" s="25"/>
      <c r="E5365" s="10"/>
      <c r="O5365" s="10"/>
      <c r="V5365" s="10"/>
    </row>
    <row r="5366" spans="2:22" x14ac:dyDescent="0.2">
      <c r="B5366" s="25"/>
      <c r="E5366" s="10"/>
      <c r="O5366" s="10"/>
      <c r="V5366" s="10"/>
    </row>
    <row r="5367" spans="2:22" x14ac:dyDescent="0.2">
      <c r="B5367" s="25"/>
      <c r="E5367" s="10"/>
      <c r="O5367" s="10"/>
      <c r="V5367" s="10"/>
    </row>
    <row r="5368" spans="2:22" x14ac:dyDescent="0.2">
      <c r="B5368" s="25"/>
      <c r="E5368" s="10"/>
      <c r="O5368" s="10"/>
      <c r="V5368" s="10"/>
    </row>
    <row r="5369" spans="2:22" x14ac:dyDescent="0.2">
      <c r="B5369" s="25"/>
      <c r="E5369" s="10"/>
      <c r="O5369" s="10"/>
      <c r="V5369" s="10"/>
    </row>
    <row r="5370" spans="2:22" x14ac:dyDescent="0.2">
      <c r="B5370" s="25"/>
      <c r="E5370" s="10"/>
      <c r="O5370" s="10"/>
      <c r="V5370" s="10"/>
    </row>
    <row r="5371" spans="2:22" x14ac:dyDescent="0.2">
      <c r="B5371" s="25"/>
      <c r="E5371" s="10"/>
      <c r="O5371" s="10"/>
      <c r="V5371" s="10"/>
    </row>
    <row r="5372" spans="2:22" x14ac:dyDescent="0.2">
      <c r="B5372" s="25"/>
      <c r="E5372" s="10"/>
      <c r="O5372" s="10"/>
      <c r="V5372" s="10"/>
    </row>
    <row r="5373" spans="2:22" x14ac:dyDescent="0.2">
      <c r="B5373" s="25"/>
      <c r="E5373" s="10"/>
      <c r="O5373" s="10"/>
      <c r="V5373" s="10"/>
    </row>
    <row r="5374" spans="2:22" x14ac:dyDescent="0.2">
      <c r="B5374" s="25"/>
      <c r="E5374" s="10"/>
      <c r="O5374" s="10"/>
      <c r="V5374" s="10"/>
    </row>
    <row r="5375" spans="2:22" x14ac:dyDescent="0.2">
      <c r="B5375" s="25"/>
      <c r="E5375" s="10"/>
      <c r="O5375" s="10"/>
      <c r="V5375" s="10"/>
    </row>
    <row r="5376" spans="2:22" x14ac:dyDescent="0.2">
      <c r="B5376" s="25"/>
      <c r="E5376" s="10"/>
      <c r="O5376" s="10"/>
      <c r="V5376" s="10"/>
    </row>
    <row r="5377" spans="2:22" x14ac:dyDescent="0.2">
      <c r="B5377" s="25"/>
      <c r="E5377" s="10"/>
      <c r="O5377" s="10"/>
      <c r="V5377" s="10"/>
    </row>
    <row r="5378" spans="2:22" x14ac:dyDescent="0.2">
      <c r="B5378" s="25"/>
      <c r="E5378" s="10"/>
      <c r="O5378" s="10"/>
      <c r="V5378" s="10"/>
    </row>
    <row r="5379" spans="2:22" x14ac:dyDescent="0.2">
      <c r="B5379" s="25"/>
      <c r="E5379" s="10"/>
      <c r="O5379" s="10"/>
      <c r="V5379" s="10"/>
    </row>
    <row r="5380" spans="2:22" x14ac:dyDescent="0.2">
      <c r="B5380" s="25"/>
      <c r="E5380" s="10"/>
      <c r="O5380" s="10"/>
      <c r="V5380" s="10"/>
    </row>
    <row r="5381" spans="2:22" x14ac:dyDescent="0.2">
      <c r="B5381" s="25"/>
      <c r="E5381" s="10"/>
      <c r="O5381" s="10"/>
      <c r="V5381" s="10"/>
    </row>
    <row r="5382" spans="2:22" x14ac:dyDescent="0.2">
      <c r="B5382" s="25"/>
      <c r="E5382" s="10"/>
      <c r="O5382" s="10"/>
      <c r="V5382" s="10"/>
    </row>
    <row r="5383" spans="2:22" x14ac:dyDescent="0.2">
      <c r="B5383" s="25"/>
      <c r="E5383" s="10"/>
      <c r="O5383" s="10"/>
      <c r="V5383" s="10"/>
    </row>
    <row r="5384" spans="2:22" x14ac:dyDescent="0.2">
      <c r="B5384" s="25"/>
      <c r="E5384" s="10"/>
      <c r="O5384" s="10"/>
      <c r="V5384" s="10"/>
    </row>
    <row r="5385" spans="2:22" x14ac:dyDescent="0.2">
      <c r="B5385" s="25"/>
      <c r="E5385" s="10"/>
      <c r="O5385" s="10"/>
      <c r="V5385" s="10"/>
    </row>
    <row r="5386" spans="2:22" x14ac:dyDescent="0.2">
      <c r="B5386" s="25"/>
      <c r="E5386" s="10"/>
      <c r="O5386" s="10"/>
      <c r="V5386" s="10"/>
    </row>
    <row r="5387" spans="2:22" x14ac:dyDescent="0.2">
      <c r="B5387" s="25"/>
      <c r="E5387" s="10"/>
      <c r="O5387" s="10"/>
      <c r="V5387" s="10"/>
    </row>
    <row r="5388" spans="2:22" x14ac:dyDescent="0.2">
      <c r="B5388" s="25"/>
      <c r="E5388" s="10"/>
      <c r="O5388" s="10"/>
      <c r="V5388" s="10"/>
    </row>
    <row r="5389" spans="2:22" x14ac:dyDescent="0.2">
      <c r="B5389" s="25"/>
      <c r="E5389" s="10"/>
      <c r="O5389" s="10"/>
      <c r="V5389" s="10"/>
    </row>
    <row r="5390" spans="2:22" x14ac:dyDescent="0.2">
      <c r="B5390" s="25"/>
      <c r="E5390" s="10"/>
      <c r="O5390" s="10"/>
      <c r="V5390" s="10"/>
    </row>
    <row r="5391" spans="2:22" x14ac:dyDescent="0.2">
      <c r="B5391" s="25"/>
      <c r="E5391" s="10"/>
      <c r="O5391" s="10"/>
      <c r="V5391" s="10"/>
    </row>
    <row r="5392" spans="2:22" x14ac:dyDescent="0.2">
      <c r="B5392" s="25"/>
      <c r="E5392" s="10"/>
      <c r="O5392" s="10"/>
      <c r="V5392" s="10"/>
    </row>
    <row r="5393" spans="2:22" x14ac:dyDescent="0.2">
      <c r="B5393" s="25"/>
      <c r="E5393" s="10"/>
      <c r="O5393" s="10"/>
      <c r="V5393" s="10"/>
    </row>
    <row r="5394" spans="2:22" x14ac:dyDescent="0.2">
      <c r="B5394" s="25"/>
      <c r="E5394" s="10"/>
      <c r="O5394" s="10"/>
      <c r="V5394" s="10"/>
    </row>
    <row r="5395" spans="2:22" x14ac:dyDescent="0.2">
      <c r="B5395" s="25"/>
      <c r="E5395" s="10"/>
      <c r="O5395" s="10"/>
      <c r="V5395" s="10"/>
    </row>
    <row r="5396" spans="2:22" x14ac:dyDescent="0.2">
      <c r="B5396" s="25"/>
      <c r="E5396" s="10"/>
      <c r="O5396" s="10"/>
      <c r="V5396" s="10"/>
    </row>
    <row r="5397" spans="2:22" x14ac:dyDescent="0.2">
      <c r="B5397" s="25"/>
      <c r="E5397" s="10"/>
      <c r="O5397" s="10"/>
      <c r="V5397" s="10"/>
    </row>
    <row r="5398" spans="2:22" x14ac:dyDescent="0.2">
      <c r="B5398" s="25"/>
      <c r="E5398" s="10"/>
      <c r="O5398" s="10"/>
      <c r="V5398" s="10"/>
    </row>
    <row r="5399" spans="2:22" x14ac:dyDescent="0.2">
      <c r="B5399" s="25"/>
      <c r="E5399" s="10"/>
      <c r="O5399" s="10"/>
      <c r="V5399" s="10"/>
    </row>
    <row r="5400" spans="2:22" x14ac:dyDescent="0.2">
      <c r="B5400" s="25"/>
      <c r="E5400" s="10"/>
      <c r="O5400" s="10"/>
      <c r="V5400" s="10"/>
    </row>
    <row r="5401" spans="2:22" x14ac:dyDescent="0.2">
      <c r="B5401" s="25"/>
      <c r="E5401" s="10"/>
      <c r="O5401" s="10"/>
      <c r="V5401" s="10"/>
    </row>
    <row r="5402" spans="2:22" x14ac:dyDescent="0.2">
      <c r="B5402" s="25"/>
      <c r="E5402" s="10"/>
      <c r="O5402" s="10"/>
      <c r="V5402" s="10"/>
    </row>
    <row r="5403" spans="2:22" x14ac:dyDescent="0.2">
      <c r="B5403" s="25"/>
      <c r="E5403" s="10"/>
      <c r="O5403" s="10"/>
      <c r="V5403" s="10"/>
    </row>
    <row r="5404" spans="2:22" x14ac:dyDescent="0.2">
      <c r="B5404" s="25"/>
      <c r="E5404" s="10"/>
      <c r="O5404" s="10"/>
      <c r="V5404" s="10"/>
    </row>
    <row r="5405" spans="2:22" x14ac:dyDescent="0.2">
      <c r="B5405" s="25"/>
      <c r="E5405" s="10"/>
      <c r="O5405" s="10"/>
      <c r="V5405" s="10"/>
    </row>
    <row r="5406" spans="2:22" x14ac:dyDescent="0.2">
      <c r="B5406" s="25"/>
      <c r="E5406" s="10"/>
      <c r="O5406" s="10"/>
      <c r="V5406" s="10"/>
    </row>
    <row r="5407" spans="2:22" x14ac:dyDescent="0.2">
      <c r="B5407" s="25"/>
      <c r="E5407" s="10"/>
      <c r="O5407" s="10"/>
      <c r="V5407" s="10"/>
    </row>
    <row r="5408" spans="2:22" x14ac:dyDescent="0.2">
      <c r="B5408" s="25"/>
      <c r="E5408" s="10"/>
      <c r="O5408" s="10"/>
      <c r="V5408" s="10"/>
    </row>
    <row r="5409" spans="2:22" x14ac:dyDescent="0.2">
      <c r="B5409" s="25"/>
      <c r="E5409" s="10"/>
      <c r="O5409" s="10"/>
      <c r="V5409" s="10"/>
    </row>
    <row r="5410" spans="2:22" x14ac:dyDescent="0.2">
      <c r="B5410" s="25"/>
      <c r="E5410" s="10"/>
      <c r="O5410" s="10"/>
      <c r="V5410" s="10"/>
    </row>
    <row r="5411" spans="2:22" x14ac:dyDescent="0.2">
      <c r="B5411" s="25"/>
      <c r="E5411" s="10"/>
      <c r="O5411" s="10"/>
      <c r="V5411" s="10"/>
    </row>
    <row r="5412" spans="2:22" x14ac:dyDescent="0.2">
      <c r="B5412" s="25"/>
      <c r="E5412" s="10"/>
      <c r="O5412" s="10"/>
      <c r="V5412" s="10"/>
    </row>
    <row r="5413" spans="2:22" x14ac:dyDescent="0.2">
      <c r="B5413" s="25"/>
      <c r="E5413" s="10"/>
      <c r="O5413" s="10"/>
      <c r="V5413" s="10"/>
    </row>
    <row r="5414" spans="2:22" x14ac:dyDescent="0.2">
      <c r="B5414" s="25"/>
      <c r="E5414" s="10"/>
      <c r="O5414" s="10"/>
      <c r="V5414" s="10"/>
    </row>
    <row r="5415" spans="2:22" x14ac:dyDescent="0.2">
      <c r="B5415" s="25"/>
      <c r="E5415" s="10"/>
      <c r="O5415" s="10"/>
      <c r="V5415" s="10"/>
    </row>
    <row r="5416" spans="2:22" x14ac:dyDescent="0.2">
      <c r="B5416" s="25"/>
      <c r="E5416" s="10"/>
      <c r="O5416" s="10"/>
      <c r="V5416" s="10"/>
    </row>
    <row r="5417" spans="2:22" x14ac:dyDescent="0.2">
      <c r="B5417" s="25"/>
      <c r="E5417" s="10"/>
      <c r="O5417" s="10"/>
      <c r="V5417" s="10"/>
    </row>
    <row r="5418" spans="2:22" x14ac:dyDescent="0.2">
      <c r="B5418" s="25"/>
      <c r="E5418" s="10"/>
      <c r="O5418" s="10"/>
      <c r="V5418" s="10"/>
    </row>
    <row r="5419" spans="2:22" x14ac:dyDescent="0.2">
      <c r="B5419" s="25"/>
      <c r="E5419" s="10"/>
      <c r="O5419" s="10"/>
      <c r="V5419" s="10"/>
    </row>
    <row r="5420" spans="2:22" x14ac:dyDescent="0.2">
      <c r="B5420" s="25"/>
      <c r="E5420" s="10"/>
      <c r="O5420" s="10"/>
      <c r="V5420" s="10"/>
    </row>
    <row r="5421" spans="2:22" x14ac:dyDescent="0.2">
      <c r="B5421" s="25"/>
      <c r="E5421" s="10"/>
      <c r="O5421" s="10"/>
      <c r="V5421" s="10"/>
    </row>
    <row r="5422" spans="2:22" x14ac:dyDescent="0.2">
      <c r="B5422" s="25"/>
      <c r="E5422" s="10"/>
      <c r="O5422" s="10"/>
      <c r="V5422" s="10"/>
    </row>
    <row r="5423" spans="2:22" x14ac:dyDescent="0.2">
      <c r="B5423" s="25"/>
      <c r="E5423" s="10"/>
      <c r="O5423" s="10"/>
      <c r="V5423" s="10"/>
    </row>
    <row r="5424" spans="2:22" x14ac:dyDescent="0.2">
      <c r="B5424" s="25"/>
      <c r="E5424" s="10"/>
      <c r="O5424" s="10"/>
      <c r="V5424" s="10"/>
    </row>
    <row r="5425" spans="2:22" x14ac:dyDescent="0.2">
      <c r="B5425" s="25"/>
      <c r="E5425" s="10"/>
      <c r="O5425" s="10"/>
      <c r="V5425" s="10"/>
    </row>
    <row r="5426" spans="2:22" x14ac:dyDescent="0.2">
      <c r="B5426" s="25"/>
      <c r="E5426" s="10"/>
      <c r="O5426" s="10"/>
      <c r="V5426" s="10"/>
    </row>
    <row r="5427" spans="2:22" x14ac:dyDescent="0.2">
      <c r="B5427" s="25"/>
      <c r="E5427" s="10"/>
      <c r="O5427" s="10"/>
      <c r="V5427" s="10"/>
    </row>
    <row r="5428" spans="2:22" x14ac:dyDescent="0.2">
      <c r="B5428" s="25"/>
      <c r="E5428" s="10"/>
      <c r="O5428" s="10"/>
      <c r="V5428" s="10"/>
    </row>
    <row r="5429" spans="2:22" x14ac:dyDescent="0.2">
      <c r="B5429" s="25"/>
      <c r="E5429" s="10"/>
      <c r="O5429" s="10"/>
      <c r="V5429" s="10"/>
    </row>
    <row r="5430" spans="2:22" x14ac:dyDescent="0.2">
      <c r="B5430" s="25"/>
      <c r="E5430" s="10"/>
      <c r="O5430" s="10"/>
      <c r="V5430" s="10"/>
    </row>
    <row r="5431" spans="2:22" x14ac:dyDescent="0.2">
      <c r="B5431" s="25"/>
      <c r="E5431" s="10"/>
      <c r="O5431" s="10"/>
      <c r="V5431" s="10"/>
    </row>
    <row r="5432" spans="2:22" x14ac:dyDescent="0.2">
      <c r="B5432" s="25"/>
      <c r="E5432" s="10"/>
      <c r="O5432" s="10"/>
      <c r="V5432" s="10"/>
    </row>
    <row r="5433" spans="2:22" x14ac:dyDescent="0.2">
      <c r="B5433" s="25"/>
      <c r="E5433" s="10"/>
      <c r="O5433" s="10"/>
      <c r="V5433" s="10"/>
    </row>
    <row r="5434" spans="2:22" x14ac:dyDescent="0.2">
      <c r="B5434" s="25"/>
      <c r="E5434" s="10"/>
      <c r="O5434" s="10"/>
      <c r="V5434" s="10"/>
    </row>
    <row r="5435" spans="2:22" x14ac:dyDescent="0.2">
      <c r="B5435" s="25"/>
      <c r="E5435" s="10"/>
      <c r="O5435" s="10"/>
      <c r="V5435" s="10"/>
    </row>
    <row r="5436" spans="2:22" x14ac:dyDescent="0.2">
      <c r="B5436" s="25"/>
      <c r="E5436" s="10"/>
      <c r="O5436" s="10"/>
      <c r="V5436" s="10"/>
    </row>
    <row r="5437" spans="2:22" x14ac:dyDescent="0.2">
      <c r="B5437" s="25"/>
      <c r="E5437" s="10"/>
      <c r="O5437" s="10"/>
      <c r="V5437" s="10"/>
    </row>
    <row r="5438" spans="2:22" x14ac:dyDescent="0.2">
      <c r="B5438" s="25"/>
      <c r="E5438" s="10"/>
      <c r="O5438" s="10"/>
      <c r="V5438" s="10"/>
    </row>
    <row r="5439" spans="2:22" x14ac:dyDescent="0.2">
      <c r="B5439" s="25"/>
      <c r="E5439" s="10"/>
      <c r="O5439" s="10"/>
      <c r="V5439" s="10"/>
    </row>
    <row r="5440" spans="2:22" x14ac:dyDescent="0.2">
      <c r="B5440" s="25"/>
      <c r="E5440" s="10"/>
      <c r="O5440" s="10"/>
      <c r="V5440" s="10"/>
    </row>
    <row r="5441" spans="2:22" x14ac:dyDescent="0.2">
      <c r="B5441" s="25"/>
      <c r="E5441" s="10"/>
      <c r="O5441" s="10"/>
      <c r="V5441" s="10"/>
    </row>
    <row r="5442" spans="2:22" x14ac:dyDescent="0.2">
      <c r="B5442" s="25"/>
      <c r="E5442" s="10"/>
      <c r="O5442" s="10"/>
      <c r="V5442" s="10"/>
    </row>
    <row r="5443" spans="2:22" x14ac:dyDescent="0.2">
      <c r="B5443" s="25"/>
      <c r="E5443" s="10"/>
      <c r="O5443" s="10"/>
      <c r="V5443" s="10"/>
    </row>
    <row r="5444" spans="2:22" x14ac:dyDescent="0.2">
      <c r="B5444" s="25"/>
      <c r="E5444" s="10"/>
      <c r="O5444" s="10"/>
      <c r="V5444" s="10"/>
    </row>
    <row r="5445" spans="2:22" x14ac:dyDescent="0.2">
      <c r="B5445" s="25"/>
      <c r="E5445" s="10"/>
      <c r="O5445" s="10"/>
      <c r="V5445" s="10"/>
    </row>
    <row r="5446" spans="2:22" x14ac:dyDescent="0.2">
      <c r="B5446" s="25"/>
      <c r="E5446" s="10"/>
      <c r="O5446" s="10"/>
      <c r="V5446" s="10"/>
    </row>
    <row r="5447" spans="2:22" x14ac:dyDescent="0.2">
      <c r="B5447" s="25"/>
      <c r="E5447" s="10"/>
      <c r="O5447" s="10"/>
      <c r="V5447" s="10"/>
    </row>
    <row r="5448" spans="2:22" x14ac:dyDescent="0.2">
      <c r="B5448" s="25"/>
      <c r="E5448" s="10"/>
      <c r="O5448" s="10"/>
      <c r="V5448" s="10"/>
    </row>
    <row r="5449" spans="2:22" x14ac:dyDescent="0.2">
      <c r="B5449" s="25"/>
      <c r="E5449" s="10"/>
      <c r="O5449" s="10"/>
      <c r="V5449" s="10"/>
    </row>
    <row r="5450" spans="2:22" x14ac:dyDescent="0.2">
      <c r="B5450" s="25"/>
      <c r="E5450" s="10"/>
      <c r="O5450" s="10"/>
      <c r="V5450" s="10"/>
    </row>
    <row r="5451" spans="2:22" x14ac:dyDescent="0.2">
      <c r="B5451" s="25"/>
      <c r="E5451" s="10"/>
      <c r="O5451" s="10"/>
      <c r="V5451" s="10"/>
    </row>
    <row r="5452" spans="2:22" x14ac:dyDescent="0.2">
      <c r="B5452" s="25"/>
      <c r="E5452" s="10"/>
      <c r="O5452" s="10"/>
      <c r="V5452" s="10"/>
    </row>
    <row r="5453" spans="2:22" x14ac:dyDescent="0.2">
      <c r="B5453" s="25"/>
      <c r="E5453" s="10"/>
      <c r="O5453" s="10"/>
      <c r="V5453" s="10"/>
    </row>
    <row r="5454" spans="2:22" x14ac:dyDescent="0.2">
      <c r="B5454" s="25"/>
      <c r="E5454" s="10"/>
      <c r="O5454" s="10"/>
      <c r="V5454" s="10"/>
    </row>
    <row r="5455" spans="2:22" x14ac:dyDescent="0.2">
      <c r="B5455" s="25"/>
      <c r="E5455" s="10"/>
      <c r="O5455" s="10"/>
      <c r="V5455" s="10"/>
    </row>
    <row r="5456" spans="2:22" x14ac:dyDescent="0.2">
      <c r="B5456" s="25"/>
      <c r="E5456" s="10"/>
      <c r="O5456" s="10"/>
      <c r="V5456" s="10"/>
    </row>
    <row r="5457" spans="2:22" x14ac:dyDescent="0.2">
      <c r="B5457" s="25"/>
      <c r="E5457" s="10"/>
      <c r="O5457" s="10"/>
      <c r="V5457" s="10"/>
    </row>
    <row r="5458" spans="2:22" x14ac:dyDescent="0.2">
      <c r="B5458" s="25"/>
      <c r="E5458" s="10"/>
      <c r="O5458" s="10"/>
      <c r="V5458" s="10"/>
    </row>
    <row r="5459" spans="2:22" x14ac:dyDescent="0.2">
      <c r="B5459" s="25"/>
      <c r="E5459" s="10"/>
      <c r="O5459" s="10"/>
      <c r="V5459" s="10"/>
    </row>
    <row r="5460" spans="2:22" x14ac:dyDescent="0.2">
      <c r="B5460" s="25"/>
      <c r="E5460" s="10"/>
      <c r="O5460" s="10"/>
      <c r="V5460" s="10"/>
    </row>
    <row r="5461" spans="2:22" x14ac:dyDescent="0.2">
      <c r="B5461" s="25"/>
      <c r="E5461" s="10"/>
      <c r="O5461" s="10"/>
      <c r="V5461" s="10"/>
    </row>
    <row r="5462" spans="2:22" x14ac:dyDescent="0.2">
      <c r="B5462" s="25"/>
      <c r="E5462" s="10"/>
      <c r="O5462" s="10"/>
      <c r="V5462" s="10"/>
    </row>
    <row r="5463" spans="2:22" x14ac:dyDescent="0.2">
      <c r="B5463" s="25"/>
      <c r="E5463" s="10"/>
      <c r="O5463" s="10"/>
      <c r="V5463" s="10"/>
    </row>
    <row r="5464" spans="2:22" x14ac:dyDescent="0.2">
      <c r="B5464" s="25"/>
      <c r="E5464" s="10"/>
      <c r="O5464" s="10"/>
      <c r="V5464" s="10"/>
    </row>
    <row r="5465" spans="2:22" x14ac:dyDescent="0.2">
      <c r="B5465" s="25"/>
      <c r="E5465" s="10"/>
      <c r="O5465" s="10"/>
      <c r="V5465" s="10"/>
    </row>
    <row r="5466" spans="2:22" x14ac:dyDescent="0.2">
      <c r="B5466" s="25"/>
      <c r="E5466" s="10"/>
      <c r="O5466" s="10"/>
      <c r="V5466" s="10"/>
    </row>
    <row r="5467" spans="2:22" x14ac:dyDescent="0.2">
      <c r="B5467" s="25"/>
      <c r="E5467" s="10"/>
      <c r="O5467" s="10"/>
      <c r="V5467" s="10"/>
    </row>
    <row r="5468" spans="2:22" x14ac:dyDescent="0.2">
      <c r="B5468" s="25"/>
      <c r="E5468" s="10"/>
      <c r="O5468" s="10"/>
      <c r="V5468" s="10"/>
    </row>
    <row r="5469" spans="2:22" x14ac:dyDescent="0.2">
      <c r="B5469" s="25"/>
      <c r="E5469" s="10"/>
      <c r="O5469" s="10"/>
      <c r="V5469" s="10"/>
    </row>
    <row r="5470" spans="2:22" x14ac:dyDescent="0.2">
      <c r="B5470" s="25"/>
      <c r="E5470" s="10"/>
      <c r="O5470" s="10"/>
      <c r="V5470" s="10"/>
    </row>
    <row r="5471" spans="2:22" x14ac:dyDescent="0.2">
      <c r="B5471" s="25"/>
      <c r="E5471" s="10"/>
      <c r="O5471" s="10"/>
      <c r="V5471" s="10"/>
    </row>
    <row r="5472" spans="2:22" x14ac:dyDescent="0.2">
      <c r="B5472" s="25"/>
      <c r="E5472" s="10"/>
      <c r="O5472" s="10"/>
      <c r="V5472" s="10"/>
    </row>
    <row r="5473" spans="2:22" x14ac:dyDescent="0.2">
      <c r="B5473" s="25"/>
      <c r="E5473" s="10"/>
      <c r="O5473" s="10"/>
      <c r="V5473" s="10"/>
    </row>
    <row r="5474" spans="2:22" x14ac:dyDescent="0.2">
      <c r="B5474" s="25"/>
      <c r="E5474" s="10"/>
      <c r="O5474" s="10"/>
      <c r="V5474" s="10"/>
    </row>
    <row r="5475" spans="2:22" x14ac:dyDescent="0.2">
      <c r="B5475" s="25"/>
      <c r="E5475" s="10"/>
      <c r="O5475" s="10"/>
      <c r="V5475" s="10"/>
    </row>
    <row r="5476" spans="2:22" x14ac:dyDescent="0.2">
      <c r="B5476" s="25"/>
      <c r="E5476" s="10"/>
      <c r="O5476" s="10"/>
      <c r="V5476" s="10"/>
    </row>
    <row r="5477" spans="2:22" x14ac:dyDescent="0.2">
      <c r="B5477" s="25"/>
      <c r="E5477" s="10"/>
      <c r="O5477" s="10"/>
      <c r="V5477" s="10"/>
    </row>
    <row r="5478" spans="2:22" x14ac:dyDescent="0.2">
      <c r="B5478" s="25"/>
      <c r="E5478" s="10"/>
      <c r="O5478" s="10"/>
      <c r="V5478" s="10"/>
    </row>
    <row r="5479" spans="2:22" x14ac:dyDescent="0.2">
      <c r="B5479" s="25"/>
      <c r="E5479" s="10"/>
      <c r="O5479" s="10"/>
      <c r="V5479" s="10"/>
    </row>
    <row r="5480" spans="2:22" x14ac:dyDescent="0.2">
      <c r="B5480" s="25"/>
      <c r="E5480" s="10"/>
      <c r="O5480" s="10"/>
      <c r="V5480" s="10"/>
    </row>
    <row r="5481" spans="2:22" x14ac:dyDescent="0.2">
      <c r="B5481" s="25"/>
      <c r="E5481" s="10"/>
      <c r="O5481" s="10"/>
      <c r="V5481" s="10"/>
    </row>
    <row r="5482" spans="2:22" x14ac:dyDescent="0.2">
      <c r="B5482" s="25"/>
      <c r="E5482" s="10"/>
      <c r="O5482" s="10"/>
      <c r="V5482" s="10"/>
    </row>
    <row r="5483" spans="2:22" x14ac:dyDescent="0.2">
      <c r="B5483" s="25"/>
      <c r="E5483" s="10"/>
      <c r="O5483" s="10"/>
      <c r="V5483" s="10"/>
    </row>
    <row r="5484" spans="2:22" x14ac:dyDescent="0.2">
      <c r="B5484" s="25"/>
      <c r="E5484" s="10"/>
      <c r="O5484" s="10"/>
      <c r="V5484" s="10"/>
    </row>
    <row r="5485" spans="2:22" x14ac:dyDescent="0.2">
      <c r="B5485" s="25"/>
      <c r="E5485" s="10"/>
      <c r="O5485" s="10"/>
      <c r="V5485" s="10"/>
    </row>
    <row r="5486" spans="2:22" x14ac:dyDescent="0.2">
      <c r="B5486" s="25"/>
      <c r="E5486" s="10"/>
      <c r="O5486" s="10"/>
      <c r="V5486" s="10"/>
    </row>
    <row r="5487" spans="2:22" x14ac:dyDescent="0.2">
      <c r="B5487" s="25"/>
      <c r="E5487" s="10"/>
      <c r="O5487" s="10"/>
      <c r="V5487" s="10"/>
    </row>
    <row r="5488" spans="2:22" x14ac:dyDescent="0.2">
      <c r="B5488" s="25"/>
      <c r="E5488" s="10"/>
      <c r="O5488" s="10"/>
      <c r="V5488" s="10"/>
    </row>
    <row r="5489" spans="2:22" x14ac:dyDescent="0.2">
      <c r="B5489" s="25"/>
      <c r="E5489" s="10"/>
      <c r="O5489" s="10"/>
      <c r="V5489" s="10"/>
    </row>
    <row r="5490" spans="2:22" x14ac:dyDescent="0.2">
      <c r="B5490" s="25"/>
      <c r="E5490" s="10"/>
      <c r="O5490" s="10"/>
      <c r="V5490" s="10"/>
    </row>
    <row r="5491" spans="2:22" x14ac:dyDescent="0.2">
      <c r="B5491" s="25"/>
      <c r="E5491" s="10"/>
      <c r="O5491" s="10"/>
      <c r="V5491" s="10"/>
    </row>
    <row r="5492" spans="2:22" x14ac:dyDescent="0.2">
      <c r="B5492" s="25"/>
      <c r="E5492" s="10"/>
      <c r="O5492" s="10"/>
      <c r="V5492" s="10"/>
    </row>
    <row r="5493" spans="2:22" x14ac:dyDescent="0.2">
      <c r="B5493" s="25"/>
      <c r="E5493" s="10"/>
      <c r="O5493" s="10"/>
      <c r="V5493" s="10"/>
    </row>
    <row r="5494" spans="2:22" x14ac:dyDescent="0.2">
      <c r="B5494" s="25"/>
      <c r="E5494" s="10"/>
      <c r="O5494" s="10"/>
      <c r="V5494" s="10"/>
    </row>
    <row r="5495" spans="2:22" x14ac:dyDescent="0.2">
      <c r="B5495" s="25"/>
      <c r="E5495" s="10"/>
      <c r="O5495" s="10"/>
      <c r="V5495" s="10"/>
    </row>
    <row r="5496" spans="2:22" x14ac:dyDescent="0.2">
      <c r="B5496" s="25"/>
      <c r="E5496" s="10"/>
      <c r="O5496" s="10"/>
      <c r="V5496" s="10"/>
    </row>
    <row r="5497" spans="2:22" x14ac:dyDescent="0.2">
      <c r="B5497" s="25"/>
      <c r="E5497" s="10"/>
      <c r="O5497" s="10"/>
      <c r="V5497" s="10"/>
    </row>
    <row r="5498" spans="2:22" x14ac:dyDescent="0.2">
      <c r="B5498" s="25"/>
      <c r="E5498" s="10"/>
      <c r="O5498" s="10"/>
      <c r="V5498" s="10"/>
    </row>
    <row r="5499" spans="2:22" x14ac:dyDescent="0.2">
      <c r="B5499" s="25"/>
      <c r="E5499" s="10"/>
      <c r="O5499" s="10"/>
      <c r="V5499" s="10"/>
    </row>
    <row r="5500" spans="2:22" x14ac:dyDescent="0.2">
      <c r="B5500" s="25"/>
      <c r="E5500" s="10"/>
      <c r="O5500" s="10"/>
      <c r="V5500" s="10"/>
    </row>
    <row r="5501" spans="2:22" x14ac:dyDescent="0.2">
      <c r="B5501" s="25"/>
      <c r="E5501" s="10"/>
      <c r="O5501" s="10"/>
      <c r="V5501" s="10"/>
    </row>
    <row r="5502" spans="2:22" x14ac:dyDescent="0.2">
      <c r="B5502" s="25"/>
      <c r="E5502" s="10"/>
      <c r="O5502" s="10"/>
      <c r="V5502" s="10"/>
    </row>
    <row r="5503" spans="2:22" x14ac:dyDescent="0.2">
      <c r="B5503" s="25"/>
      <c r="E5503" s="10"/>
      <c r="O5503" s="10"/>
      <c r="V5503" s="10"/>
    </row>
    <row r="5504" spans="2:22" x14ac:dyDescent="0.2">
      <c r="B5504" s="25"/>
      <c r="E5504" s="10"/>
      <c r="O5504" s="10"/>
      <c r="V5504" s="10"/>
    </row>
    <row r="5505" spans="2:22" x14ac:dyDescent="0.2">
      <c r="B5505" s="25"/>
      <c r="E5505" s="10"/>
      <c r="O5505" s="10"/>
      <c r="V5505" s="10"/>
    </row>
    <row r="5506" spans="2:22" x14ac:dyDescent="0.2">
      <c r="B5506" s="25"/>
      <c r="E5506" s="10"/>
      <c r="O5506" s="10"/>
      <c r="V5506" s="10"/>
    </row>
    <row r="5507" spans="2:22" x14ac:dyDescent="0.2">
      <c r="B5507" s="25"/>
      <c r="E5507" s="10"/>
      <c r="O5507" s="10"/>
      <c r="V5507" s="10"/>
    </row>
    <row r="5508" spans="2:22" x14ac:dyDescent="0.2">
      <c r="B5508" s="25"/>
      <c r="E5508" s="10"/>
      <c r="O5508" s="10"/>
      <c r="V5508" s="10"/>
    </row>
    <row r="5509" spans="2:22" x14ac:dyDescent="0.2">
      <c r="B5509" s="25"/>
      <c r="E5509" s="10"/>
      <c r="O5509" s="10"/>
      <c r="V5509" s="10"/>
    </row>
    <row r="5510" spans="2:22" x14ac:dyDescent="0.2">
      <c r="B5510" s="25"/>
      <c r="E5510" s="10"/>
      <c r="O5510" s="10"/>
      <c r="V5510" s="10"/>
    </row>
    <row r="5511" spans="2:22" x14ac:dyDescent="0.2">
      <c r="B5511" s="25"/>
      <c r="E5511" s="10"/>
      <c r="O5511" s="10"/>
      <c r="V5511" s="10"/>
    </row>
    <row r="5512" spans="2:22" x14ac:dyDescent="0.2">
      <c r="B5512" s="25"/>
      <c r="E5512" s="10"/>
      <c r="O5512" s="10"/>
      <c r="V5512" s="10"/>
    </row>
    <row r="5513" spans="2:22" x14ac:dyDescent="0.2">
      <c r="B5513" s="25"/>
      <c r="E5513" s="10"/>
      <c r="O5513" s="10"/>
      <c r="V5513" s="10"/>
    </row>
    <row r="5514" spans="2:22" x14ac:dyDescent="0.2">
      <c r="B5514" s="25"/>
      <c r="E5514" s="10"/>
      <c r="O5514" s="10"/>
      <c r="V5514" s="10"/>
    </row>
    <row r="5515" spans="2:22" x14ac:dyDescent="0.2">
      <c r="B5515" s="25"/>
      <c r="E5515" s="10"/>
      <c r="O5515" s="10"/>
      <c r="V5515" s="10"/>
    </row>
    <row r="5516" spans="2:22" x14ac:dyDescent="0.2">
      <c r="B5516" s="25"/>
      <c r="E5516" s="10"/>
      <c r="O5516" s="10"/>
      <c r="V5516" s="10"/>
    </row>
    <row r="5517" spans="2:22" x14ac:dyDescent="0.2">
      <c r="B5517" s="25"/>
      <c r="E5517" s="10"/>
      <c r="O5517" s="10"/>
      <c r="V5517" s="10"/>
    </row>
    <row r="5518" spans="2:22" x14ac:dyDescent="0.2">
      <c r="B5518" s="25"/>
      <c r="E5518" s="10"/>
      <c r="O5518" s="10"/>
      <c r="V5518" s="10"/>
    </row>
    <row r="5519" spans="2:22" x14ac:dyDescent="0.2">
      <c r="B5519" s="25"/>
      <c r="E5519" s="10"/>
      <c r="O5519" s="10"/>
      <c r="V5519" s="10"/>
    </row>
    <row r="5520" spans="2:22" x14ac:dyDescent="0.2">
      <c r="B5520" s="25"/>
      <c r="E5520" s="10"/>
      <c r="O5520" s="10"/>
      <c r="V5520" s="10"/>
    </row>
    <row r="5521" spans="2:22" x14ac:dyDescent="0.2">
      <c r="B5521" s="25"/>
      <c r="E5521" s="10"/>
      <c r="O5521" s="10"/>
      <c r="V5521" s="10"/>
    </row>
    <row r="5522" spans="2:22" x14ac:dyDescent="0.2">
      <c r="B5522" s="25"/>
      <c r="E5522" s="10"/>
      <c r="O5522" s="10"/>
      <c r="V5522" s="10"/>
    </row>
    <row r="5523" spans="2:22" x14ac:dyDescent="0.2">
      <c r="B5523" s="25"/>
      <c r="E5523" s="10"/>
      <c r="O5523" s="10"/>
      <c r="V5523" s="10"/>
    </row>
    <row r="5524" spans="2:22" x14ac:dyDescent="0.2">
      <c r="B5524" s="25"/>
      <c r="E5524" s="10"/>
      <c r="O5524" s="10"/>
      <c r="V5524" s="10"/>
    </row>
    <row r="5525" spans="2:22" x14ac:dyDescent="0.2">
      <c r="B5525" s="25"/>
      <c r="E5525" s="10"/>
      <c r="O5525" s="10"/>
      <c r="V5525" s="10"/>
    </row>
    <row r="5526" spans="2:22" x14ac:dyDescent="0.2">
      <c r="B5526" s="25"/>
      <c r="E5526" s="10"/>
      <c r="O5526" s="10"/>
      <c r="V5526" s="10"/>
    </row>
    <row r="5527" spans="2:22" x14ac:dyDescent="0.2">
      <c r="B5527" s="25"/>
      <c r="E5527" s="10"/>
      <c r="O5527" s="10"/>
      <c r="V5527" s="10"/>
    </row>
    <row r="5528" spans="2:22" x14ac:dyDescent="0.2">
      <c r="B5528" s="25"/>
      <c r="E5528" s="10"/>
      <c r="O5528" s="10"/>
      <c r="V5528" s="10"/>
    </row>
    <row r="5529" spans="2:22" x14ac:dyDescent="0.2">
      <c r="B5529" s="25"/>
      <c r="E5529" s="10"/>
      <c r="O5529" s="10"/>
      <c r="V5529" s="10"/>
    </row>
    <row r="5530" spans="2:22" x14ac:dyDescent="0.2">
      <c r="B5530" s="25"/>
      <c r="E5530" s="10"/>
      <c r="O5530" s="10"/>
      <c r="V5530" s="10"/>
    </row>
    <row r="5531" spans="2:22" x14ac:dyDescent="0.2">
      <c r="B5531" s="25"/>
      <c r="E5531" s="10"/>
      <c r="O5531" s="10"/>
      <c r="V5531" s="10"/>
    </row>
    <row r="5532" spans="2:22" x14ac:dyDescent="0.2">
      <c r="B5532" s="25"/>
      <c r="E5532" s="10"/>
      <c r="O5532" s="10"/>
      <c r="V5532" s="10"/>
    </row>
    <row r="5533" spans="2:22" x14ac:dyDescent="0.2">
      <c r="B5533" s="25"/>
      <c r="E5533" s="10"/>
      <c r="O5533" s="10"/>
      <c r="V5533" s="10"/>
    </row>
    <row r="5534" spans="2:22" x14ac:dyDescent="0.2">
      <c r="B5534" s="25"/>
      <c r="E5534" s="10"/>
      <c r="O5534" s="10"/>
      <c r="V5534" s="10"/>
    </row>
    <row r="5535" spans="2:22" x14ac:dyDescent="0.2">
      <c r="B5535" s="25"/>
      <c r="E5535" s="10"/>
      <c r="O5535" s="10"/>
      <c r="V5535" s="10"/>
    </row>
    <row r="5536" spans="2:22" x14ac:dyDescent="0.2">
      <c r="B5536" s="25"/>
      <c r="E5536" s="10"/>
      <c r="O5536" s="10"/>
      <c r="V5536" s="10"/>
    </row>
    <row r="5537" spans="2:22" x14ac:dyDescent="0.2">
      <c r="B5537" s="25"/>
      <c r="E5537" s="10"/>
      <c r="O5537" s="10"/>
      <c r="V5537" s="10"/>
    </row>
    <row r="5538" spans="2:22" x14ac:dyDescent="0.2">
      <c r="B5538" s="25"/>
      <c r="E5538" s="10"/>
      <c r="O5538" s="10"/>
      <c r="V5538" s="10"/>
    </row>
    <row r="5539" spans="2:22" x14ac:dyDescent="0.2">
      <c r="B5539" s="25"/>
      <c r="E5539" s="10"/>
      <c r="O5539" s="10"/>
      <c r="V5539" s="10"/>
    </row>
    <row r="5540" spans="2:22" x14ac:dyDescent="0.2">
      <c r="B5540" s="25"/>
      <c r="E5540" s="10"/>
      <c r="O5540" s="10"/>
      <c r="V5540" s="10"/>
    </row>
    <row r="5541" spans="2:22" x14ac:dyDescent="0.2">
      <c r="B5541" s="25"/>
      <c r="E5541" s="10"/>
      <c r="O5541" s="10"/>
      <c r="V5541" s="10"/>
    </row>
    <row r="5542" spans="2:22" x14ac:dyDescent="0.2">
      <c r="B5542" s="25"/>
      <c r="E5542" s="10"/>
      <c r="O5542" s="10"/>
      <c r="V5542" s="10"/>
    </row>
    <row r="5543" spans="2:22" x14ac:dyDescent="0.2">
      <c r="B5543" s="25"/>
      <c r="E5543" s="10"/>
      <c r="O5543" s="10"/>
      <c r="V5543" s="10"/>
    </row>
    <row r="5544" spans="2:22" x14ac:dyDescent="0.2">
      <c r="B5544" s="25"/>
      <c r="E5544" s="10"/>
      <c r="O5544" s="10"/>
      <c r="V5544" s="10"/>
    </row>
    <row r="5545" spans="2:22" x14ac:dyDescent="0.2">
      <c r="B5545" s="25"/>
      <c r="E5545" s="10"/>
      <c r="O5545" s="10"/>
      <c r="V5545" s="10"/>
    </row>
    <row r="5546" spans="2:22" x14ac:dyDescent="0.2">
      <c r="B5546" s="25"/>
      <c r="E5546" s="10"/>
      <c r="O5546" s="10"/>
      <c r="V5546" s="10"/>
    </row>
    <row r="5547" spans="2:22" x14ac:dyDescent="0.2">
      <c r="B5547" s="25"/>
      <c r="E5547" s="10"/>
      <c r="O5547" s="10"/>
      <c r="V5547" s="10"/>
    </row>
    <row r="5548" spans="2:22" x14ac:dyDescent="0.2">
      <c r="B5548" s="25"/>
      <c r="E5548" s="10"/>
      <c r="O5548" s="10"/>
      <c r="V5548" s="10"/>
    </row>
    <row r="5549" spans="2:22" x14ac:dyDescent="0.2">
      <c r="B5549" s="25"/>
      <c r="E5549" s="10"/>
      <c r="O5549" s="10"/>
      <c r="V5549" s="10"/>
    </row>
    <row r="5550" spans="2:22" x14ac:dyDescent="0.2">
      <c r="B5550" s="25"/>
      <c r="E5550" s="10"/>
      <c r="O5550" s="10"/>
      <c r="V5550" s="10"/>
    </row>
    <row r="5551" spans="2:22" x14ac:dyDescent="0.2">
      <c r="B5551" s="25"/>
      <c r="E5551" s="10"/>
      <c r="O5551" s="10"/>
      <c r="V5551" s="10"/>
    </row>
    <row r="5552" spans="2:22" x14ac:dyDescent="0.2">
      <c r="B5552" s="25"/>
      <c r="E5552" s="10"/>
      <c r="O5552" s="10"/>
      <c r="V5552" s="10"/>
    </row>
    <row r="5553" spans="2:22" x14ac:dyDescent="0.2">
      <c r="B5553" s="25"/>
      <c r="E5553" s="10"/>
      <c r="O5553" s="10"/>
      <c r="V5553" s="10"/>
    </row>
    <row r="5554" spans="2:22" x14ac:dyDescent="0.2">
      <c r="B5554" s="25"/>
      <c r="E5554" s="10"/>
      <c r="O5554" s="10"/>
      <c r="V5554" s="10"/>
    </row>
    <row r="5555" spans="2:22" x14ac:dyDescent="0.2">
      <c r="B5555" s="25"/>
      <c r="E5555" s="10"/>
      <c r="O5555" s="10"/>
      <c r="V5555" s="10"/>
    </row>
    <row r="5556" spans="2:22" x14ac:dyDescent="0.2">
      <c r="B5556" s="25"/>
      <c r="E5556" s="10"/>
      <c r="O5556" s="10"/>
      <c r="V5556" s="10"/>
    </row>
    <row r="5557" spans="2:22" x14ac:dyDescent="0.2">
      <c r="B5557" s="25"/>
      <c r="E5557" s="10"/>
      <c r="O5557" s="10"/>
      <c r="V5557" s="10"/>
    </row>
    <row r="5558" spans="2:22" x14ac:dyDescent="0.2">
      <c r="B5558" s="25"/>
      <c r="E5558" s="10"/>
      <c r="O5558" s="10"/>
      <c r="V5558" s="10"/>
    </row>
    <row r="5559" spans="2:22" x14ac:dyDescent="0.2">
      <c r="B5559" s="25"/>
      <c r="E5559" s="10"/>
      <c r="O5559" s="10"/>
      <c r="V5559" s="10"/>
    </row>
    <row r="5560" spans="2:22" x14ac:dyDescent="0.2">
      <c r="B5560" s="25"/>
      <c r="E5560" s="10"/>
      <c r="O5560" s="10"/>
      <c r="V5560" s="10"/>
    </row>
    <row r="5561" spans="2:22" x14ac:dyDescent="0.2">
      <c r="B5561" s="25"/>
      <c r="E5561" s="10"/>
      <c r="O5561" s="10"/>
      <c r="V5561" s="10"/>
    </row>
    <row r="5562" spans="2:22" x14ac:dyDescent="0.2">
      <c r="B5562" s="25"/>
      <c r="E5562" s="10"/>
      <c r="O5562" s="10"/>
      <c r="V5562" s="10"/>
    </row>
    <row r="5563" spans="2:22" x14ac:dyDescent="0.2">
      <c r="B5563" s="25"/>
      <c r="E5563" s="10"/>
      <c r="O5563" s="10"/>
      <c r="V5563" s="10"/>
    </row>
    <row r="5564" spans="2:22" x14ac:dyDescent="0.2">
      <c r="B5564" s="25"/>
      <c r="E5564" s="10"/>
      <c r="O5564" s="10"/>
      <c r="V5564" s="10"/>
    </row>
    <row r="5565" spans="2:22" x14ac:dyDescent="0.2">
      <c r="B5565" s="25"/>
      <c r="E5565" s="10"/>
      <c r="O5565" s="10"/>
      <c r="V5565" s="10"/>
    </row>
    <row r="5566" spans="2:22" x14ac:dyDescent="0.2">
      <c r="B5566" s="25"/>
      <c r="E5566" s="10"/>
      <c r="O5566" s="10"/>
      <c r="V5566" s="10"/>
    </row>
    <row r="5567" spans="2:22" x14ac:dyDescent="0.2">
      <c r="B5567" s="25"/>
      <c r="E5567" s="10"/>
      <c r="O5567" s="10"/>
      <c r="V5567" s="10"/>
    </row>
    <row r="5568" spans="2:22" x14ac:dyDescent="0.2">
      <c r="B5568" s="25"/>
      <c r="E5568" s="10"/>
      <c r="O5568" s="10"/>
      <c r="V5568" s="10"/>
    </row>
    <row r="5569" spans="2:22" x14ac:dyDescent="0.2">
      <c r="B5569" s="25"/>
      <c r="E5569" s="10"/>
      <c r="O5569" s="10"/>
      <c r="V5569" s="10"/>
    </row>
    <row r="5570" spans="2:22" x14ac:dyDescent="0.2">
      <c r="B5570" s="25"/>
      <c r="E5570" s="10"/>
      <c r="O5570" s="10"/>
      <c r="V5570" s="10"/>
    </row>
    <row r="5571" spans="2:22" x14ac:dyDescent="0.2">
      <c r="B5571" s="25"/>
      <c r="E5571" s="10"/>
      <c r="O5571" s="10"/>
      <c r="V5571" s="10"/>
    </row>
    <row r="5572" spans="2:22" x14ac:dyDescent="0.2">
      <c r="B5572" s="25"/>
      <c r="E5572" s="10"/>
      <c r="O5572" s="10"/>
      <c r="V5572" s="10"/>
    </row>
    <row r="5573" spans="2:22" x14ac:dyDescent="0.2">
      <c r="B5573" s="25"/>
      <c r="E5573" s="10"/>
      <c r="O5573" s="10"/>
      <c r="V5573" s="10"/>
    </row>
    <row r="5574" spans="2:22" x14ac:dyDescent="0.2">
      <c r="B5574" s="25"/>
      <c r="E5574" s="10"/>
      <c r="O5574" s="10"/>
      <c r="V5574" s="10"/>
    </row>
    <row r="5575" spans="2:22" x14ac:dyDescent="0.2">
      <c r="B5575" s="25"/>
      <c r="E5575" s="10"/>
      <c r="O5575" s="10"/>
      <c r="V5575" s="10"/>
    </row>
    <row r="5576" spans="2:22" x14ac:dyDescent="0.2">
      <c r="B5576" s="25"/>
      <c r="E5576" s="10"/>
      <c r="O5576" s="10"/>
      <c r="V5576" s="10"/>
    </row>
    <row r="5577" spans="2:22" x14ac:dyDescent="0.2">
      <c r="B5577" s="25"/>
      <c r="E5577" s="10"/>
      <c r="O5577" s="10"/>
      <c r="V5577" s="10"/>
    </row>
    <row r="5578" spans="2:22" x14ac:dyDescent="0.2">
      <c r="B5578" s="25"/>
      <c r="E5578" s="10"/>
      <c r="O5578" s="10"/>
      <c r="V5578" s="10"/>
    </row>
    <row r="5579" spans="2:22" x14ac:dyDescent="0.2">
      <c r="B5579" s="25"/>
      <c r="E5579" s="10"/>
      <c r="O5579" s="10"/>
      <c r="V5579" s="10"/>
    </row>
    <row r="5580" spans="2:22" x14ac:dyDescent="0.2">
      <c r="B5580" s="25"/>
      <c r="E5580" s="10"/>
      <c r="O5580" s="10"/>
      <c r="V5580" s="10"/>
    </row>
    <row r="5581" spans="2:22" x14ac:dyDescent="0.2">
      <c r="B5581" s="25"/>
      <c r="E5581" s="10"/>
      <c r="O5581" s="10"/>
      <c r="V5581" s="10"/>
    </row>
    <row r="5582" spans="2:22" x14ac:dyDescent="0.2">
      <c r="B5582" s="25"/>
      <c r="E5582" s="10"/>
      <c r="O5582" s="10"/>
      <c r="V5582" s="10"/>
    </row>
    <row r="5583" spans="2:22" x14ac:dyDescent="0.2">
      <c r="B5583" s="25"/>
      <c r="E5583" s="10"/>
      <c r="O5583" s="10"/>
      <c r="V5583" s="10"/>
    </row>
    <row r="5584" spans="2:22" x14ac:dyDescent="0.2">
      <c r="B5584" s="25"/>
      <c r="E5584" s="10"/>
      <c r="O5584" s="10"/>
      <c r="V5584" s="10"/>
    </row>
    <row r="5585" spans="2:22" x14ac:dyDescent="0.2">
      <c r="B5585" s="25"/>
      <c r="E5585" s="10"/>
      <c r="O5585" s="10"/>
      <c r="V5585" s="10"/>
    </row>
    <row r="5586" spans="2:22" x14ac:dyDescent="0.2">
      <c r="B5586" s="25"/>
      <c r="E5586" s="10"/>
      <c r="O5586" s="10"/>
      <c r="V5586" s="10"/>
    </row>
    <row r="5587" spans="2:22" x14ac:dyDescent="0.2">
      <c r="B5587" s="25"/>
      <c r="E5587" s="10"/>
      <c r="O5587" s="10"/>
      <c r="V5587" s="10"/>
    </row>
    <row r="5588" spans="2:22" x14ac:dyDescent="0.2">
      <c r="B5588" s="25"/>
      <c r="E5588" s="10"/>
      <c r="O5588" s="10"/>
      <c r="V5588" s="10"/>
    </row>
    <row r="5589" spans="2:22" x14ac:dyDescent="0.2">
      <c r="B5589" s="25"/>
      <c r="E5589" s="10"/>
      <c r="O5589" s="10"/>
      <c r="V5589" s="10"/>
    </row>
    <row r="5590" spans="2:22" x14ac:dyDescent="0.2">
      <c r="B5590" s="25"/>
      <c r="E5590" s="10"/>
      <c r="O5590" s="10"/>
      <c r="V5590" s="10"/>
    </row>
    <row r="5591" spans="2:22" x14ac:dyDescent="0.2">
      <c r="B5591" s="25"/>
      <c r="E5591" s="10"/>
      <c r="O5591" s="10"/>
      <c r="V5591" s="10"/>
    </row>
    <row r="5592" spans="2:22" x14ac:dyDescent="0.2">
      <c r="B5592" s="25"/>
      <c r="E5592" s="10"/>
      <c r="O5592" s="10"/>
      <c r="V5592" s="10"/>
    </row>
    <row r="5593" spans="2:22" x14ac:dyDescent="0.2">
      <c r="B5593" s="25"/>
      <c r="E5593" s="10"/>
      <c r="O5593" s="10"/>
      <c r="V5593" s="10"/>
    </row>
    <row r="5594" spans="2:22" x14ac:dyDescent="0.2">
      <c r="B5594" s="25"/>
      <c r="E5594" s="10"/>
      <c r="O5594" s="10"/>
      <c r="V5594" s="10"/>
    </row>
    <row r="5595" spans="2:22" x14ac:dyDescent="0.2">
      <c r="B5595" s="25"/>
      <c r="E5595" s="10"/>
      <c r="O5595" s="10"/>
      <c r="V5595" s="10"/>
    </row>
    <row r="5596" spans="2:22" x14ac:dyDescent="0.2">
      <c r="B5596" s="25"/>
      <c r="E5596" s="10"/>
      <c r="O5596" s="10"/>
      <c r="V5596" s="10"/>
    </row>
    <row r="5597" spans="2:22" x14ac:dyDescent="0.2">
      <c r="B5597" s="25"/>
      <c r="E5597" s="10"/>
      <c r="O5597" s="10"/>
      <c r="V5597" s="10"/>
    </row>
    <row r="5598" spans="2:22" x14ac:dyDescent="0.2">
      <c r="B5598" s="25"/>
      <c r="E5598" s="10"/>
      <c r="O5598" s="10"/>
      <c r="V5598" s="10"/>
    </row>
    <row r="5599" spans="2:22" x14ac:dyDescent="0.2">
      <c r="B5599" s="25"/>
      <c r="E5599" s="10"/>
      <c r="O5599" s="10"/>
      <c r="V5599" s="10"/>
    </row>
    <row r="5600" spans="2:22" x14ac:dyDescent="0.2">
      <c r="B5600" s="25"/>
      <c r="E5600" s="10"/>
      <c r="O5600" s="10"/>
      <c r="V5600" s="10"/>
    </row>
    <row r="5601" spans="2:22" x14ac:dyDescent="0.2">
      <c r="B5601" s="25"/>
      <c r="E5601" s="10"/>
      <c r="O5601" s="10"/>
      <c r="V5601" s="10"/>
    </row>
    <row r="5602" spans="2:22" x14ac:dyDescent="0.2">
      <c r="B5602" s="25"/>
      <c r="E5602" s="10"/>
      <c r="O5602" s="10"/>
      <c r="V5602" s="10"/>
    </row>
    <row r="5603" spans="2:22" x14ac:dyDescent="0.2">
      <c r="B5603" s="25"/>
      <c r="E5603" s="10"/>
      <c r="O5603" s="10"/>
      <c r="V5603" s="10"/>
    </row>
    <row r="5604" spans="2:22" x14ac:dyDescent="0.2">
      <c r="B5604" s="25"/>
      <c r="E5604" s="10"/>
      <c r="O5604" s="10"/>
      <c r="V5604" s="10"/>
    </row>
    <row r="5605" spans="2:22" x14ac:dyDescent="0.2">
      <c r="B5605" s="25"/>
      <c r="E5605" s="10"/>
      <c r="O5605" s="10"/>
      <c r="V5605" s="10"/>
    </row>
    <row r="5606" spans="2:22" x14ac:dyDescent="0.2">
      <c r="B5606" s="25"/>
      <c r="E5606" s="10"/>
      <c r="O5606" s="10"/>
      <c r="V5606" s="10"/>
    </row>
    <row r="5607" spans="2:22" x14ac:dyDescent="0.2">
      <c r="B5607" s="25"/>
      <c r="E5607" s="10"/>
      <c r="O5607" s="10"/>
      <c r="V5607" s="10"/>
    </row>
    <row r="5608" spans="2:22" x14ac:dyDescent="0.2">
      <c r="B5608" s="25"/>
      <c r="E5608" s="10"/>
      <c r="O5608" s="10"/>
      <c r="V5608" s="10"/>
    </row>
    <row r="5609" spans="2:22" x14ac:dyDescent="0.2">
      <c r="B5609" s="25"/>
      <c r="E5609" s="10"/>
      <c r="O5609" s="10"/>
      <c r="V5609" s="10"/>
    </row>
    <row r="5610" spans="2:22" x14ac:dyDescent="0.2">
      <c r="B5610" s="25"/>
      <c r="E5610" s="10"/>
      <c r="O5610" s="10"/>
      <c r="V5610" s="10"/>
    </row>
    <row r="5611" spans="2:22" x14ac:dyDescent="0.2">
      <c r="B5611" s="25"/>
      <c r="E5611" s="10"/>
      <c r="O5611" s="10"/>
      <c r="V5611" s="10"/>
    </row>
    <row r="5612" spans="2:22" x14ac:dyDescent="0.2">
      <c r="B5612" s="25"/>
      <c r="E5612" s="10"/>
      <c r="O5612" s="10"/>
      <c r="V5612" s="10"/>
    </row>
    <row r="5613" spans="2:22" x14ac:dyDescent="0.2">
      <c r="B5613" s="25"/>
      <c r="E5613" s="10"/>
      <c r="O5613" s="10"/>
      <c r="V5613" s="10"/>
    </row>
    <row r="5614" spans="2:22" x14ac:dyDescent="0.2">
      <c r="B5614" s="25"/>
      <c r="E5614" s="10"/>
      <c r="O5614" s="10"/>
      <c r="V5614" s="10"/>
    </row>
    <row r="5615" spans="2:22" x14ac:dyDescent="0.2">
      <c r="B5615" s="25"/>
      <c r="E5615" s="10"/>
      <c r="O5615" s="10"/>
      <c r="V5615" s="10"/>
    </row>
    <row r="5616" spans="2:22" x14ac:dyDescent="0.2">
      <c r="B5616" s="25"/>
      <c r="E5616" s="10"/>
      <c r="O5616" s="10"/>
      <c r="V5616" s="10"/>
    </row>
    <row r="5617" spans="2:22" x14ac:dyDescent="0.2">
      <c r="B5617" s="25"/>
      <c r="E5617" s="10"/>
      <c r="O5617" s="10"/>
      <c r="V5617" s="10"/>
    </row>
    <row r="5618" spans="2:22" x14ac:dyDescent="0.2">
      <c r="B5618" s="25"/>
      <c r="E5618" s="10"/>
      <c r="O5618" s="10"/>
      <c r="V5618" s="10"/>
    </row>
    <row r="5619" spans="2:22" x14ac:dyDescent="0.2">
      <c r="B5619" s="25"/>
      <c r="E5619" s="10"/>
      <c r="O5619" s="10"/>
      <c r="V5619" s="10"/>
    </row>
    <row r="5620" spans="2:22" x14ac:dyDescent="0.2">
      <c r="B5620" s="25"/>
      <c r="E5620" s="10"/>
      <c r="O5620" s="10"/>
      <c r="V5620" s="10"/>
    </row>
    <row r="5621" spans="2:22" x14ac:dyDescent="0.2">
      <c r="B5621" s="25"/>
      <c r="E5621" s="10"/>
      <c r="O5621" s="10"/>
      <c r="V5621" s="10"/>
    </row>
    <row r="5622" spans="2:22" x14ac:dyDescent="0.2">
      <c r="B5622" s="25"/>
      <c r="E5622" s="10"/>
      <c r="O5622" s="10"/>
      <c r="V5622" s="10"/>
    </row>
    <row r="5623" spans="2:22" x14ac:dyDescent="0.2">
      <c r="B5623" s="25"/>
      <c r="E5623" s="10"/>
      <c r="O5623" s="10"/>
      <c r="V5623" s="10"/>
    </row>
    <row r="5624" spans="2:22" x14ac:dyDescent="0.2">
      <c r="B5624" s="25"/>
      <c r="E5624" s="10"/>
      <c r="O5624" s="10"/>
      <c r="V5624" s="10"/>
    </row>
    <row r="5625" spans="2:22" x14ac:dyDescent="0.2">
      <c r="B5625" s="25"/>
      <c r="E5625" s="10"/>
      <c r="O5625" s="10"/>
      <c r="V5625" s="10"/>
    </row>
    <row r="5626" spans="2:22" x14ac:dyDescent="0.2">
      <c r="B5626" s="25"/>
      <c r="E5626" s="10"/>
      <c r="O5626" s="10"/>
      <c r="V5626" s="10"/>
    </row>
    <row r="5627" spans="2:22" x14ac:dyDescent="0.2">
      <c r="B5627" s="25"/>
      <c r="E5627" s="10"/>
      <c r="O5627" s="10"/>
      <c r="V5627" s="10"/>
    </row>
    <row r="5628" spans="2:22" x14ac:dyDescent="0.2">
      <c r="B5628" s="25"/>
      <c r="E5628" s="10"/>
      <c r="O5628" s="10"/>
      <c r="V5628" s="10"/>
    </row>
    <row r="5629" spans="2:22" x14ac:dyDescent="0.2">
      <c r="B5629" s="25"/>
      <c r="E5629" s="10"/>
      <c r="O5629" s="10"/>
      <c r="V5629" s="10"/>
    </row>
    <row r="5630" spans="2:22" x14ac:dyDescent="0.2">
      <c r="B5630" s="25"/>
      <c r="E5630" s="10"/>
      <c r="O5630" s="10"/>
      <c r="V5630" s="10"/>
    </row>
    <row r="5631" spans="2:22" x14ac:dyDescent="0.2">
      <c r="B5631" s="25"/>
      <c r="E5631" s="10"/>
      <c r="O5631" s="10"/>
      <c r="V5631" s="10"/>
    </row>
    <row r="5632" spans="2:22" x14ac:dyDescent="0.2">
      <c r="B5632" s="25"/>
      <c r="E5632" s="10"/>
      <c r="O5632" s="10"/>
      <c r="V5632" s="10"/>
    </row>
    <row r="5633" spans="2:22" x14ac:dyDescent="0.2">
      <c r="B5633" s="25"/>
      <c r="E5633" s="10"/>
      <c r="O5633" s="10"/>
      <c r="V5633" s="10"/>
    </row>
    <row r="5634" spans="2:22" x14ac:dyDescent="0.2">
      <c r="B5634" s="25"/>
      <c r="E5634" s="10"/>
      <c r="O5634" s="10"/>
      <c r="V5634" s="10"/>
    </row>
    <row r="5635" spans="2:22" x14ac:dyDescent="0.2">
      <c r="B5635" s="25"/>
      <c r="E5635" s="10"/>
      <c r="O5635" s="10"/>
      <c r="V5635" s="10"/>
    </row>
    <row r="5636" spans="2:22" x14ac:dyDescent="0.2">
      <c r="B5636" s="25"/>
      <c r="E5636" s="10"/>
      <c r="O5636" s="10"/>
      <c r="V5636" s="10"/>
    </row>
    <row r="5637" spans="2:22" x14ac:dyDescent="0.2">
      <c r="B5637" s="25"/>
      <c r="E5637" s="10"/>
      <c r="O5637" s="10"/>
      <c r="V5637" s="10"/>
    </row>
    <row r="5638" spans="2:22" x14ac:dyDescent="0.2">
      <c r="B5638" s="25"/>
      <c r="E5638" s="10"/>
      <c r="O5638" s="10"/>
      <c r="V5638" s="10"/>
    </row>
    <row r="5639" spans="2:22" x14ac:dyDescent="0.2">
      <c r="B5639" s="25"/>
      <c r="E5639" s="10"/>
      <c r="O5639" s="10"/>
      <c r="V5639" s="10"/>
    </row>
    <row r="5640" spans="2:22" x14ac:dyDescent="0.2">
      <c r="B5640" s="25"/>
      <c r="E5640" s="10"/>
      <c r="O5640" s="10"/>
      <c r="V5640" s="10"/>
    </row>
    <row r="5641" spans="2:22" x14ac:dyDescent="0.2">
      <c r="B5641" s="25"/>
      <c r="E5641" s="10"/>
      <c r="O5641" s="10"/>
      <c r="V5641" s="10"/>
    </row>
    <row r="5642" spans="2:22" x14ac:dyDescent="0.2">
      <c r="B5642" s="25"/>
      <c r="E5642" s="10"/>
      <c r="O5642" s="10"/>
      <c r="V5642" s="10"/>
    </row>
    <row r="5643" spans="2:22" x14ac:dyDescent="0.2">
      <c r="B5643" s="25"/>
      <c r="E5643" s="10"/>
      <c r="O5643" s="10"/>
      <c r="V5643" s="10"/>
    </row>
    <row r="5644" spans="2:22" x14ac:dyDescent="0.2">
      <c r="B5644" s="25"/>
      <c r="E5644" s="10"/>
      <c r="O5644" s="10"/>
      <c r="V5644" s="10"/>
    </row>
    <row r="5645" spans="2:22" x14ac:dyDescent="0.2">
      <c r="B5645" s="25"/>
      <c r="E5645" s="10"/>
      <c r="O5645" s="10"/>
      <c r="V5645" s="10"/>
    </row>
    <row r="5646" spans="2:22" x14ac:dyDescent="0.2">
      <c r="B5646" s="25"/>
      <c r="E5646" s="10"/>
      <c r="O5646" s="10"/>
      <c r="V5646" s="10"/>
    </row>
    <row r="5647" spans="2:22" x14ac:dyDescent="0.2">
      <c r="B5647" s="25"/>
      <c r="E5647" s="10"/>
      <c r="O5647" s="10"/>
      <c r="V5647" s="10"/>
    </row>
    <row r="5648" spans="2:22" x14ac:dyDescent="0.2">
      <c r="B5648" s="25"/>
      <c r="E5648" s="10"/>
      <c r="O5648" s="10"/>
      <c r="V5648" s="10"/>
    </row>
    <row r="5649" spans="2:22" x14ac:dyDescent="0.2">
      <c r="B5649" s="25"/>
      <c r="E5649" s="10"/>
      <c r="O5649" s="10"/>
      <c r="V5649" s="10"/>
    </row>
    <row r="5650" spans="2:22" x14ac:dyDescent="0.2">
      <c r="B5650" s="25"/>
      <c r="E5650" s="10"/>
      <c r="O5650" s="10"/>
      <c r="V5650" s="10"/>
    </row>
    <row r="5651" spans="2:22" x14ac:dyDescent="0.2">
      <c r="B5651" s="25"/>
      <c r="E5651" s="10"/>
      <c r="O5651" s="10"/>
      <c r="V5651" s="10"/>
    </row>
    <row r="5652" spans="2:22" x14ac:dyDescent="0.2">
      <c r="B5652" s="25"/>
      <c r="E5652" s="10"/>
      <c r="O5652" s="10"/>
      <c r="V5652" s="10"/>
    </row>
    <row r="5653" spans="2:22" x14ac:dyDescent="0.2">
      <c r="B5653" s="25"/>
      <c r="E5653" s="10"/>
      <c r="O5653" s="10"/>
      <c r="V5653" s="10"/>
    </row>
    <row r="5654" spans="2:22" x14ac:dyDescent="0.2">
      <c r="B5654" s="25"/>
      <c r="E5654" s="10"/>
      <c r="O5654" s="10"/>
      <c r="V5654" s="10"/>
    </row>
    <row r="5655" spans="2:22" x14ac:dyDescent="0.2">
      <c r="B5655" s="25"/>
      <c r="E5655" s="10"/>
      <c r="O5655" s="10"/>
      <c r="V5655" s="10"/>
    </row>
    <row r="5656" spans="2:22" x14ac:dyDescent="0.2">
      <c r="B5656" s="25"/>
      <c r="E5656" s="10"/>
      <c r="O5656" s="10"/>
      <c r="V5656" s="10"/>
    </row>
    <row r="5657" spans="2:22" x14ac:dyDescent="0.2">
      <c r="B5657" s="25"/>
      <c r="E5657" s="10"/>
      <c r="O5657" s="10"/>
      <c r="V5657" s="10"/>
    </row>
    <row r="5658" spans="2:22" x14ac:dyDescent="0.2">
      <c r="B5658" s="25"/>
      <c r="E5658" s="10"/>
      <c r="O5658" s="10"/>
      <c r="V5658" s="10"/>
    </row>
    <row r="5659" spans="2:22" x14ac:dyDescent="0.2">
      <c r="B5659" s="25"/>
      <c r="E5659" s="10"/>
      <c r="O5659" s="10"/>
      <c r="V5659" s="10"/>
    </row>
    <row r="5660" spans="2:22" x14ac:dyDescent="0.2">
      <c r="B5660" s="25"/>
      <c r="E5660" s="10"/>
      <c r="O5660" s="10"/>
      <c r="V5660" s="10"/>
    </row>
    <row r="5661" spans="2:22" x14ac:dyDescent="0.2">
      <c r="B5661" s="25"/>
      <c r="E5661" s="10"/>
      <c r="O5661" s="10"/>
      <c r="V5661" s="10"/>
    </row>
    <row r="5662" spans="2:22" x14ac:dyDescent="0.2">
      <c r="B5662" s="25"/>
      <c r="E5662" s="10"/>
      <c r="O5662" s="10"/>
      <c r="V5662" s="10"/>
    </row>
    <row r="5663" spans="2:22" x14ac:dyDescent="0.2">
      <c r="B5663" s="25"/>
      <c r="E5663" s="10"/>
      <c r="O5663" s="10"/>
      <c r="V5663" s="10"/>
    </row>
    <row r="5664" spans="2:22" x14ac:dyDescent="0.2">
      <c r="B5664" s="25"/>
      <c r="E5664" s="10"/>
      <c r="O5664" s="10"/>
      <c r="V5664" s="10"/>
    </row>
    <row r="5665" spans="2:22" x14ac:dyDescent="0.2">
      <c r="B5665" s="25"/>
      <c r="E5665" s="10"/>
      <c r="O5665" s="10"/>
      <c r="V5665" s="10"/>
    </row>
    <row r="5666" spans="2:22" x14ac:dyDescent="0.2">
      <c r="B5666" s="25"/>
      <c r="E5666" s="10"/>
      <c r="O5666" s="10"/>
      <c r="V5666" s="10"/>
    </row>
    <row r="5667" spans="2:22" x14ac:dyDescent="0.2">
      <c r="B5667" s="25"/>
      <c r="E5667" s="10"/>
      <c r="O5667" s="10"/>
      <c r="V5667" s="10"/>
    </row>
    <row r="5668" spans="2:22" x14ac:dyDescent="0.2">
      <c r="B5668" s="25"/>
      <c r="E5668" s="10"/>
      <c r="O5668" s="10"/>
      <c r="V5668" s="10"/>
    </row>
    <row r="5669" spans="2:22" x14ac:dyDescent="0.2">
      <c r="B5669" s="25"/>
      <c r="E5669" s="10"/>
      <c r="O5669" s="10"/>
      <c r="V5669" s="10"/>
    </row>
    <row r="5670" spans="2:22" x14ac:dyDescent="0.2">
      <c r="B5670" s="25"/>
      <c r="E5670" s="10"/>
      <c r="O5670" s="10"/>
      <c r="V5670" s="10"/>
    </row>
    <row r="5671" spans="2:22" x14ac:dyDescent="0.2">
      <c r="B5671" s="25"/>
      <c r="E5671" s="10"/>
      <c r="O5671" s="10"/>
      <c r="V5671" s="10"/>
    </row>
    <row r="5672" spans="2:22" x14ac:dyDescent="0.2">
      <c r="B5672" s="25"/>
      <c r="E5672" s="10"/>
      <c r="O5672" s="10"/>
      <c r="V5672" s="10"/>
    </row>
    <row r="5673" spans="2:22" x14ac:dyDescent="0.2">
      <c r="B5673" s="25"/>
      <c r="E5673" s="10"/>
      <c r="O5673" s="10"/>
      <c r="V5673" s="10"/>
    </row>
    <row r="5674" spans="2:22" x14ac:dyDescent="0.2">
      <c r="B5674" s="25"/>
      <c r="E5674" s="10"/>
      <c r="O5674" s="10"/>
      <c r="V5674" s="10"/>
    </row>
    <row r="5675" spans="2:22" x14ac:dyDescent="0.2">
      <c r="B5675" s="25"/>
      <c r="E5675" s="10"/>
      <c r="O5675" s="10"/>
      <c r="V5675" s="10"/>
    </row>
    <row r="5676" spans="2:22" x14ac:dyDescent="0.2">
      <c r="B5676" s="25"/>
      <c r="E5676" s="10"/>
      <c r="O5676" s="10"/>
      <c r="V5676" s="10"/>
    </row>
    <row r="5677" spans="2:22" x14ac:dyDescent="0.2">
      <c r="B5677" s="25"/>
      <c r="E5677" s="10"/>
      <c r="O5677" s="10"/>
      <c r="V5677" s="10"/>
    </row>
    <row r="5678" spans="2:22" x14ac:dyDescent="0.2">
      <c r="B5678" s="25"/>
      <c r="E5678" s="10"/>
      <c r="O5678" s="10"/>
      <c r="V5678" s="10"/>
    </row>
    <row r="5679" spans="2:22" x14ac:dyDescent="0.2">
      <c r="B5679" s="25"/>
      <c r="E5679" s="10"/>
      <c r="O5679" s="10"/>
      <c r="V5679" s="10"/>
    </row>
    <row r="5680" spans="2:22" x14ac:dyDescent="0.2">
      <c r="B5680" s="25"/>
      <c r="E5680" s="10"/>
      <c r="O5680" s="10"/>
      <c r="V5680" s="10"/>
    </row>
    <row r="5681" spans="2:22" x14ac:dyDescent="0.2">
      <c r="B5681" s="25"/>
      <c r="E5681" s="10"/>
      <c r="O5681" s="10"/>
      <c r="V5681" s="10"/>
    </row>
    <row r="5682" spans="2:22" x14ac:dyDescent="0.2">
      <c r="B5682" s="25"/>
      <c r="E5682" s="10"/>
      <c r="O5682" s="10"/>
      <c r="V5682" s="10"/>
    </row>
    <row r="5683" spans="2:22" x14ac:dyDescent="0.2">
      <c r="B5683" s="25"/>
      <c r="E5683" s="10"/>
      <c r="O5683" s="10"/>
      <c r="V5683" s="10"/>
    </row>
    <row r="5684" spans="2:22" x14ac:dyDescent="0.2">
      <c r="B5684" s="25"/>
      <c r="E5684" s="10"/>
      <c r="O5684" s="10"/>
      <c r="V5684" s="10"/>
    </row>
    <row r="5685" spans="2:22" x14ac:dyDescent="0.2">
      <c r="B5685" s="25"/>
      <c r="E5685" s="10"/>
      <c r="O5685" s="10"/>
      <c r="V5685" s="10"/>
    </row>
    <row r="5686" spans="2:22" x14ac:dyDescent="0.2">
      <c r="B5686" s="25"/>
      <c r="E5686" s="10"/>
      <c r="O5686" s="10"/>
      <c r="V5686" s="10"/>
    </row>
    <row r="5687" spans="2:22" x14ac:dyDescent="0.2">
      <c r="B5687" s="25"/>
      <c r="E5687" s="10"/>
      <c r="O5687" s="10"/>
      <c r="V5687" s="10"/>
    </row>
    <row r="5688" spans="2:22" x14ac:dyDescent="0.2">
      <c r="B5688" s="25"/>
      <c r="E5688" s="10"/>
      <c r="O5688" s="10"/>
      <c r="V5688" s="10"/>
    </row>
    <row r="5689" spans="2:22" x14ac:dyDescent="0.2">
      <c r="B5689" s="25"/>
      <c r="E5689" s="10"/>
      <c r="O5689" s="10"/>
      <c r="V5689" s="10"/>
    </row>
    <row r="5690" spans="2:22" x14ac:dyDescent="0.2">
      <c r="B5690" s="25"/>
      <c r="E5690" s="10"/>
      <c r="O5690" s="10"/>
      <c r="V5690" s="10"/>
    </row>
    <row r="5691" spans="2:22" x14ac:dyDescent="0.2">
      <c r="B5691" s="25"/>
      <c r="E5691" s="10"/>
      <c r="O5691" s="10"/>
      <c r="V5691" s="10"/>
    </row>
    <row r="5692" spans="2:22" x14ac:dyDescent="0.2">
      <c r="B5692" s="25"/>
      <c r="E5692" s="10"/>
      <c r="O5692" s="10"/>
      <c r="V5692" s="10"/>
    </row>
    <row r="5693" spans="2:22" x14ac:dyDescent="0.2">
      <c r="B5693" s="25"/>
      <c r="E5693" s="10"/>
      <c r="O5693" s="10"/>
      <c r="V5693" s="10"/>
    </row>
    <row r="5694" spans="2:22" x14ac:dyDescent="0.2">
      <c r="B5694" s="25"/>
      <c r="E5694" s="10"/>
      <c r="O5694" s="10"/>
      <c r="V5694" s="10"/>
    </row>
    <row r="5695" spans="2:22" x14ac:dyDescent="0.2">
      <c r="B5695" s="25"/>
      <c r="E5695" s="10"/>
      <c r="O5695" s="10"/>
      <c r="V5695" s="10"/>
    </row>
    <row r="5696" spans="2:22" x14ac:dyDescent="0.2">
      <c r="B5696" s="25"/>
      <c r="E5696" s="10"/>
      <c r="O5696" s="10"/>
      <c r="V5696" s="10"/>
    </row>
    <row r="5697" spans="2:22" x14ac:dyDescent="0.2">
      <c r="B5697" s="25"/>
      <c r="E5697" s="10"/>
      <c r="O5697" s="10"/>
      <c r="V5697" s="10"/>
    </row>
    <row r="5698" spans="2:22" x14ac:dyDescent="0.2">
      <c r="B5698" s="25"/>
      <c r="E5698" s="10"/>
      <c r="O5698" s="10"/>
      <c r="V5698" s="10"/>
    </row>
    <row r="5699" spans="2:22" x14ac:dyDescent="0.2">
      <c r="B5699" s="25"/>
      <c r="E5699" s="10"/>
      <c r="O5699" s="10"/>
      <c r="V5699" s="10"/>
    </row>
    <row r="5700" spans="2:22" x14ac:dyDescent="0.2">
      <c r="B5700" s="25"/>
      <c r="E5700" s="10"/>
      <c r="O5700" s="10"/>
      <c r="V5700" s="10"/>
    </row>
    <row r="5701" spans="2:22" x14ac:dyDescent="0.2">
      <c r="B5701" s="25"/>
      <c r="E5701" s="10"/>
      <c r="O5701" s="10"/>
      <c r="V5701" s="10"/>
    </row>
    <row r="5702" spans="2:22" x14ac:dyDescent="0.2">
      <c r="B5702" s="25"/>
      <c r="E5702" s="10"/>
      <c r="O5702" s="10"/>
      <c r="V5702" s="10"/>
    </row>
    <row r="5703" spans="2:22" x14ac:dyDescent="0.2">
      <c r="B5703" s="25"/>
      <c r="E5703" s="10"/>
      <c r="O5703" s="10"/>
      <c r="V5703" s="10"/>
    </row>
    <row r="5704" spans="2:22" x14ac:dyDescent="0.2">
      <c r="B5704" s="25"/>
      <c r="E5704" s="10"/>
      <c r="O5704" s="10"/>
      <c r="V5704" s="10"/>
    </row>
    <row r="5705" spans="2:22" x14ac:dyDescent="0.2">
      <c r="B5705" s="25"/>
      <c r="E5705" s="10"/>
      <c r="O5705" s="10"/>
      <c r="V5705" s="10"/>
    </row>
    <row r="5706" spans="2:22" x14ac:dyDescent="0.2">
      <c r="B5706" s="25"/>
      <c r="E5706" s="10"/>
      <c r="O5706" s="10"/>
      <c r="V5706" s="10"/>
    </row>
    <row r="5707" spans="2:22" x14ac:dyDescent="0.2">
      <c r="B5707" s="25"/>
      <c r="E5707" s="10"/>
      <c r="O5707" s="10"/>
      <c r="V5707" s="10"/>
    </row>
    <row r="5708" spans="2:22" x14ac:dyDescent="0.2">
      <c r="B5708" s="25"/>
      <c r="E5708" s="10"/>
      <c r="O5708" s="10"/>
      <c r="V5708" s="10"/>
    </row>
    <row r="5709" spans="2:22" x14ac:dyDescent="0.2">
      <c r="B5709" s="25"/>
      <c r="E5709" s="10"/>
      <c r="O5709" s="10"/>
      <c r="V5709" s="10"/>
    </row>
    <row r="5710" spans="2:22" x14ac:dyDescent="0.2">
      <c r="B5710" s="25"/>
      <c r="E5710" s="10"/>
      <c r="O5710" s="10"/>
      <c r="V5710" s="10"/>
    </row>
    <row r="5711" spans="2:22" x14ac:dyDescent="0.2">
      <c r="B5711" s="25"/>
      <c r="E5711" s="10"/>
      <c r="O5711" s="10"/>
      <c r="V5711" s="10"/>
    </row>
    <row r="5712" spans="2:22" x14ac:dyDescent="0.2">
      <c r="B5712" s="25"/>
      <c r="E5712" s="10"/>
      <c r="O5712" s="10"/>
      <c r="V5712" s="10"/>
    </row>
    <row r="5713" spans="2:22" x14ac:dyDescent="0.2">
      <c r="B5713" s="25"/>
      <c r="E5713" s="10"/>
      <c r="O5713" s="10"/>
      <c r="V5713" s="10"/>
    </row>
    <row r="5714" spans="2:22" x14ac:dyDescent="0.2">
      <c r="B5714" s="25"/>
      <c r="E5714" s="10"/>
      <c r="O5714" s="10"/>
      <c r="V5714" s="10"/>
    </row>
    <row r="5715" spans="2:22" x14ac:dyDescent="0.2">
      <c r="B5715" s="25"/>
      <c r="E5715" s="10"/>
      <c r="O5715" s="10"/>
      <c r="V5715" s="10"/>
    </row>
    <row r="5716" spans="2:22" x14ac:dyDescent="0.2">
      <c r="B5716" s="25"/>
      <c r="E5716" s="10"/>
      <c r="O5716" s="10"/>
      <c r="V5716" s="10"/>
    </row>
    <row r="5717" spans="2:22" x14ac:dyDescent="0.2">
      <c r="B5717" s="25"/>
      <c r="E5717" s="10"/>
      <c r="O5717" s="10"/>
      <c r="V5717" s="10"/>
    </row>
    <row r="5718" spans="2:22" x14ac:dyDescent="0.2">
      <c r="B5718" s="25"/>
      <c r="E5718" s="10"/>
      <c r="O5718" s="10"/>
      <c r="V5718" s="10"/>
    </row>
    <row r="5719" spans="2:22" x14ac:dyDescent="0.2">
      <c r="B5719" s="25"/>
      <c r="E5719" s="10"/>
      <c r="O5719" s="10"/>
      <c r="V5719" s="10"/>
    </row>
    <row r="5720" spans="2:22" x14ac:dyDescent="0.2">
      <c r="B5720" s="25"/>
      <c r="E5720" s="10"/>
      <c r="O5720" s="10"/>
      <c r="V5720" s="10"/>
    </row>
    <row r="5721" spans="2:22" x14ac:dyDescent="0.2">
      <c r="B5721" s="25"/>
      <c r="E5721" s="10"/>
      <c r="O5721" s="10"/>
      <c r="V5721" s="10"/>
    </row>
    <row r="5722" spans="2:22" x14ac:dyDescent="0.2">
      <c r="B5722" s="25"/>
      <c r="E5722" s="10"/>
      <c r="O5722" s="10"/>
      <c r="V5722" s="10"/>
    </row>
    <row r="5723" spans="2:22" x14ac:dyDescent="0.2">
      <c r="B5723" s="25"/>
      <c r="E5723" s="10"/>
      <c r="O5723" s="10"/>
      <c r="V5723" s="10"/>
    </row>
    <row r="5724" spans="2:22" x14ac:dyDescent="0.2">
      <c r="B5724" s="25"/>
      <c r="E5724" s="10"/>
      <c r="O5724" s="10"/>
      <c r="V5724" s="10"/>
    </row>
    <row r="5725" spans="2:22" x14ac:dyDescent="0.2">
      <c r="B5725" s="25"/>
      <c r="E5725" s="10"/>
      <c r="O5725" s="10"/>
      <c r="V5725" s="10"/>
    </row>
    <row r="5726" spans="2:22" x14ac:dyDescent="0.2">
      <c r="B5726" s="25"/>
      <c r="E5726" s="10"/>
      <c r="O5726" s="10"/>
      <c r="V5726" s="10"/>
    </row>
    <row r="5727" spans="2:22" x14ac:dyDescent="0.2">
      <c r="B5727" s="25"/>
      <c r="E5727" s="10"/>
      <c r="O5727" s="10"/>
      <c r="V5727" s="10"/>
    </row>
    <row r="5728" spans="2:22" x14ac:dyDescent="0.2">
      <c r="B5728" s="25"/>
      <c r="E5728" s="10"/>
      <c r="O5728" s="10"/>
      <c r="V5728" s="10"/>
    </row>
    <row r="5729" spans="2:22" x14ac:dyDescent="0.2">
      <c r="B5729" s="25"/>
      <c r="E5729" s="10"/>
      <c r="O5729" s="10"/>
      <c r="V5729" s="10"/>
    </row>
    <row r="5730" spans="2:22" x14ac:dyDescent="0.2">
      <c r="B5730" s="25"/>
      <c r="E5730" s="10"/>
      <c r="O5730" s="10"/>
      <c r="V5730" s="10"/>
    </row>
    <row r="5731" spans="2:22" x14ac:dyDescent="0.2">
      <c r="B5731" s="25"/>
      <c r="E5731" s="10"/>
      <c r="O5731" s="10"/>
      <c r="V5731" s="10"/>
    </row>
    <row r="5732" spans="2:22" x14ac:dyDescent="0.2">
      <c r="B5732" s="25"/>
      <c r="E5732" s="10"/>
      <c r="O5732" s="10"/>
      <c r="V5732" s="10"/>
    </row>
    <row r="5733" spans="2:22" x14ac:dyDescent="0.2">
      <c r="B5733" s="25"/>
      <c r="E5733" s="10"/>
      <c r="O5733" s="10"/>
      <c r="V5733" s="10"/>
    </row>
    <row r="5734" spans="2:22" x14ac:dyDescent="0.2">
      <c r="B5734" s="25"/>
      <c r="E5734" s="10"/>
      <c r="O5734" s="10"/>
      <c r="V5734" s="10"/>
    </row>
    <row r="5735" spans="2:22" x14ac:dyDescent="0.2">
      <c r="B5735" s="25"/>
      <c r="E5735" s="10"/>
      <c r="O5735" s="10"/>
      <c r="V5735" s="10"/>
    </row>
    <row r="5736" spans="2:22" x14ac:dyDescent="0.2">
      <c r="B5736" s="25"/>
      <c r="E5736" s="10"/>
      <c r="O5736" s="10"/>
      <c r="V5736" s="10"/>
    </row>
    <row r="5737" spans="2:22" x14ac:dyDescent="0.2">
      <c r="B5737" s="25"/>
      <c r="E5737" s="10"/>
      <c r="O5737" s="10"/>
      <c r="V5737" s="10"/>
    </row>
    <row r="5738" spans="2:22" x14ac:dyDescent="0.2">
      <c r="B5738" s="25"/>
      <c r="E5738" s="10"/>
      <c r="O5738" s="10"/>
      <c r="V5738" s="10"/>
    </row>
    <row r="5739" spans="2:22" x14ac:dyDescent="0.2">
      <c r="B5739" s="25"/>
      <c r="E5739" s="10"/>
      <c r="O5739" s="10"/>
      <c r="V5739" s="10"/>
    </row>
    <row r="5740" spans="2:22" x14ac:dyDescent="0.2">
      <c r="B5740" s="25"/>
      <c r="E5740" s="10"/>
      <c r="O5740" s="10"/>
      <c r="V5740" s="10"/>
    </row>
    <row r="5741" spans="2:22" x14ac:dyDescent="0.2">
      <c r="B5741" s="25"/>
      <c r="E5741" s="10"/>
      <c r="O5741" s="10"/>
      <c r="V5741" s="10"/>
    </row>
    <row r="5742" spans="2:22" x14ac:dyDescent="0.2">
      <c r="B5742" s="25"/>
      <c r="E5742" s="10"/>
      <c r="O5742" s="10"/>
      <c r="V5742" s="10"/>
    </row>
    <row r="5743" spans="2:22" x14ac:dyDescent="0.2">
      <c r="B5743" s="25"/>
      <c r="E5743" s="10"/>
      <c r="O5743" s="10"/>
      <c r="V5743" s="10"/>
    </row>
    <row r="5744" spans="2:22" x14ac:dyDescent="0.2">
      <c r="B5744" s="25"/>
      <c r="E5744" s="10"/>
      <c r="O5744" s="10"/>
      <c r="V5744" s="10"/>
    </row>
    <row r="5745" spans="2:22" x14ac:dyDescent="0.2">
      <c r="B5745" s="25"/>
      <c r="E5745" s="10"/>
      <c r="O5745" s="10"/>
      <c r="V5745" s="10"/>
    </row>
    <row r="5746" spans="2:22" x14ac:dyDescent="0.2">
      <c r="B5746" s="25"/>
      <c r="E5746" s="10"/>
      <c r="O5746" s="10"/>
      <c r="V5746" s="10"/>
    </row>
    <row r="5747" spans="2:22" x14ac:dyDescent="0.2">
      <c r="B5747" s="25"/>
      <c r="E5747" s="10"/>
      <c r="O5747" s="10"/>
      <c r="V5747" s="10"/>
    </row>
    <row r="5748" spans="2:22" x14ac:dyDescent="0.2">
      <c r="B5748" s="25"/>
      <c r="E5748" s="10"/>
      <c r="O5748" s="10"/>
      <c r="V5748" s="10"/>
    </row>
    <row r="5749" spans="2:22" x14ac:dyDescent="0.2">
      <c r="B5749" s="25"/>
      <c r="E5749" s="10"/>
      <c r="O5749" s="10"/>
      <c r="V5749" s="10"/>
    </row>
    <row r="5750" spans="2:22" x14ac:dyDescent="0.2">
      <c r="B5750" s="25"/>
      <c r="E5750" s="10"/>
      <c r="O5750" s="10"/>
      <c r="V5750" s="10"/>
    </row>
    <row r="5751" spans="2:22" x14ac:dyDescent="0.2">
      <c r="B5751" s="25"/>
      <c r="E5751" s="10"/>
      <c r="O5751" s="10"/>
      <c r="V5751" s="10"/>
    </row>
    <row r="5752" spans="2:22" x14ac:dyDescent="0.2">
      <c r="B5752" s="25"/>
      <c r="E5752" s="10"/>
      <c r="O5752" s="10"/>
      <c r="V5752" s="10"/>
    </row>
    <row r="5753" spans="2:22" x14ac:dyDescent="0.2">
      <c r="B5753" s="25"/>
      <c r="E5753" s="10"/>
      <c r="O5753" s="10"/>
      <c r="V5753" s="10"/>
    </row>
    <row r="5754" spans="2:22" x14ac:dyDescent="0.2">
      <c r="B5754" s="25"/>
      <c r="E5754" s="10"/>
      <c r="O5754" s="10"/>
      <c r="V5754" s="10"/>
    </row>
    <row r="5755" spans="2:22" x14ac:dyDescent="0.2">
      <c r="B5755" s="25"/>
      <c r="E5755" s="10"/>
      <c r="O5755" s="10"/>
      <c r="V5755" s="10"/>
    </row>
    <row r="5756" spans="2:22" x14ac:dyDescent="0.2">
      <c r="B5756" s="25"/>
      <c r="E5756" s="10"/>
      <c r="O5756" s="10"/>
      <c r="V5756" s="10"/>
    </row>
    <row r="5757" spans="2:22" x14ac:dyDescent="0.2">
      <c r="B5757" s="25"/>
      <c r="E5757" s="10"/>
      <c r="O5757" s="10"/>
      <c r="V5757" s="10"/>
    </row>
    <row r="5758" spans="2:22" x14ac:dyDescent="0.2">
      <c r="B5758" s="25"/>
      <c r="E5758" s="10"/>
      <c r="O5758" s="10"/>
      <c r="V5758" s="10"/>
    </row>
    <row r="5759" spans="2:22" x14ac:dyDescent="0.2">
      <c r="B5759" s="25"/>
      <c r="E5759" s="10"/>
      <c r="O5759" s="10"/>
      <c r="V5759" s="10"/>
    </row>
    <row r="5760" spans="2:22" x14ac:dyDescent="0.2">
      <c r="B5760" s="25"/>
      <c r="E5760" s="10"/>
      <c r="O5760" s="10"/>
      <c r="V5760" s="10"/>
    </row>
    <row r="5761" spans="2:22" x14ac:dyDescent="0.2">
      <c r="B5761" s="25"/>
      <c r="E5761" s="10"/>
      <c r="O5761" s="10"/>
      <c r="V5761" s="10"/>
    </row>
    <row r="5762" spans="2:22" x14ac:dyDescent="0.2">
      <c r="B5762" s="25"/>
      <c r="E5762" s="10"/>
      <c r="O5762" s="10"/>
      <c r="V5762" s="10"/>
    </row>
    <row r="5763" spans="2:22" x14ac:dyDescent="0.2">
      <c r="B5763" s="25"/>
      <c r="E5763" s="10"/>
      <c r="O5763" s="10"/>
      <c r="V5763" s="10"/>
    </row>
    <row r="5764" spans="2:22" x14ac:dyDescent="0.2">
      <c r="B5764" s="25"/>
      <c r="E5764" s="10"/>
      <c r="O5764" s="10"/>
      <c r="V5764" s="10"/>
    </row>
    <row r="5765" spans="2:22" x14ac:dyDescent="0.2">
      <c r="B5765" s="25"/>
      <c r="E5765" s="10"/>
      <c r="O5765" s="10"/>
      <c r="V5765" s="10"/>
    </row>
    <row r="5766" spans="2:22" x14ac:dyDescent="0.2">
      <c r="B5766" s="25"/>
      <c r="E5766" s="10"/>
      <c r="O5766" s="10"/>
      <c r="V5766" s="10"/>
    </row>
    <row r="5767" spans="2:22" x14ac:dyDescent="0.2">
      <c r="B5767" s="25"/>
      <c r="E5767" s="10"/>
      <c r="O5767" s="10"/>
      <c r="V5767" s="10"/>
    </row>
    <row r="5768" spans="2:22" x14ac:dyDescent="0.2">
      <c r="B5768" s="25"/>
      <c r="E5768" s="10"/>
      <c r="O5768" s="10"/>
      <c r="V5768" s="10"/>
    </row>
    <row r="5769" spans="2:22" x14ac:dyDescent="0.2">
      <c r="B5769" s="25"/>
      <c r="E5769" s="10"/>
      <c r="O5769" s="10"/>
      <c r="V5769" s="10"/>
    </row>
    <row r="5770" spans="2:22" x14ac:dyDescent="0.2">
      <c r="B5770" s="25"/>
      <c r="E5770" s="10"/>
      <c r="O5770" s="10"/>
      <c r="V5770" s="10"/>
    </row>
    <row r="5771" spans="2:22" x14ac:dyDescent="0.2">
      <c r="B5771" s="25"/>
      <c r="E5771" s="10"/>
      <c r="O5771" s="10"/>
      <c r="V5771" s="10"/>
    </row>
    <row r="5772" spans="2:22" x14ac:dyDescent="0.2">
      <c r="B5772" s="25"/>
      <c r="E5772" s="10"/>
      <c r="O5772" s="10"/>
      <c r="V5772" s="10"/>
    </row>
    <row r="5773" spans="2:22" x14ac:dyDescent="0.2">
      <c r="B5773" s="25"/>
      <c r="E5773" s="10"/>
      <c r="O5773" s="10"/>
      <c r="V5773" s="10"/>
    </row>
    <row r="5774" spans="2:22" x14ac:dyDescent="0.2">
      <c r="B5774" s="25"/>
      <c r="E5774" s="10"/>
      <c r="O5774" s="10"/>
      <c r="V5774" s="10"/>
    </row>
    <row r="5775" spans="2:22" x14ac:dyDescent="0.2">
      <c r="B5775" s="25"/>
      <c r="E5775" s="10"/>
      <c r="O5775" s="10"/>
      <c r="V5775" s="10"/>
    </row>
    <row r="5776" spans="2:22" x14ac:dyDescent="0.2">
      <c r="B5776" s="25"/>
      <c r="E5776" s="10"/>
      <c r="O5776" s="10"/>
      <c r="V5776" s="10"/>
    </row>
    <row r="5777" spans="2:22" x14ac:dyDescent="0.2">
      <c r="B5777" s="25"/>
      <c r="E5777" s="10"/>
      <c r="O5777" s="10"/>
      <c r="V5777" s="10"/>
    </row>
    <row r="5778" spans="2:22" x14ac:dyDescent="0.2">
      <c r="B5778" s="25"/>
      <c r="E5778" s="10"/>
      <c r="O5778" s="10"/>
      <c r="V5778" s="10"/>
    </row>
    <row r="5779" spans="2:22" x14ac:dyDescent="0.2">
      <c r="B5779" s="25"/>
      <c r="E5779" s="10"/>
      <c r="O5779" s="10"/>
      <c r="V5779" s="10"/>
    </row>
    <row r="5780" spans="2:22" x14ac:dyDescent="0.2">
      <c r="B5780" s="25"/>
      <c r="E5780" s="10"/>
      <c r="O5780" s="10"/>
      <c r="V5780" s="10"/>
    </row>
    <row r="5781" spans="2:22" x14ac:dyDescent="0.2">
      <c r="B5781" s="25"/>
      <c r="E5781" s="10"/>
      <c r="O5781" s="10"/>
      <c r="V5781" s="10"/>
    </row>
    <row r="5782" spans="2:22" x14ac:dyDescent="0.2">
      <c r="B5782" s="25"/>
      <c r="E5782" s="10"/>
      <c r="O5782" s="10"/>
      <c r="V5782" s="10"/>
    </row>
    <row r="5783" spans="2:22" x14ac:dyDescent="0.2">
      <c r="B5783" s="25"/>
      <c r="E5783" s="10"/>
      <c r="O5783" s="10"/>
      <c r="V5783" s="10"/>
    </row>
    <row r="5784" spans="2:22" x14ac:dyDescent="0.2">
      <c r="B5784" s="25"/>
      <c r="E5784" s="10"/>
      <c r="O5784" s="10"/>
      <c r="V5784" s="10"/>
    </row>
    <row r="5785" spans="2:22" x14ac:dyDescent="0.2">
      <c r="B5785" s="25"/>
      <c r="E5785" s="10"/>
      <c r="O5785" s="10"/>
      <c r="V5785" s="10"/>
    </row>
    <row r="5786" spans="2:22" x14ac:dyDescent="0.2">
      <c r="B5786" s="25"/>
      <c r="E5786" s="10"/>
      <c r="O5786" s="10"/>
      <c r="V5786" s="10"/>
    </row>
    <row r="5787" spans="2:22" x14ac:dyDescent="0.2">
      <c r="B5787" s="25"/>
      <c r="E5787" s="10"/>
      <c r="O5787" s="10"/>
      <c r="V5787" s="10"/>
    </row>
    <row r="5788" spans="2:22" x14ac:dyDescent="0.2">
      <c r="B5788" s="25"/>
      <c r="E5788" s="10"/>
      <c r="O5788" s="10"/>
      <c r="V5788" s="10"/>
    </row>
    <row r="5789" spans="2:22" x14ac:dyDescent="0.2">
      <c r="B5789" s="25"/>
      <c r="E5789" s="10"/>
      <c r="O5789" s="10"/>
      <c r="V5789" s="10"/>
    </row>
    <row r="5790" spans="2:22" x14ac:dyDescent="0.2">
      <c r="B5790" s="25"/>
      <c r="E5790" s="10"/>
      <c r="O5790" s="10"/>
      <c r="V5790" s="10"/>
    </row>
    <row r="5791" spans="2:22" x14ac:dyDescent="0.2">
      <c r="B5791" s="25"/>
      <c r="E5791" s="10"/>
      <c r="O5791" s="10"/>
      <c r="V5791" s="10"/>
    </row>
    <row r="5792" spans="2:22" x14ac:dyDescent="0.2">
      <c r="B5792" s="25"/>
      <c r="E5792" s="10"/>
      <c r="O5792" s="10"/>
      <c r="V5792" s="10"/>
    </row>
    <row r="5793" spans="2:22" x14ac:dyDescent="0.2">
      <c r="B5793" s="25"/>
      <c r="E5793" s="10"/>
      <c r="O5793" s="10"/>
      <c r="V5793" s="10"/>
    </row>
    <row r="5794" spans="2:22" x14ac:dyDescent="0.2">
      <c r="B5794" s="25"/>
      <c r="E5794" s="10"/>
      <c r="O5794" s="10"/>
      <c r="V5794" s="10"/>
    </row>
    <row r="5795" spans="2:22" x14ac:dyDescent="0.2">
      <c r="B5795" s="25"/>
      <c r="E5795" s="10"/>
      <c r="O5795" s="10"/>
      <c r="V5795" s="10"/>
    </row>
    <row r="5796" spans="2:22" x14ac:dyDescent="0.2">
      <c r="B5796" s="25"/>
      <c r="E5796" s="10"/>
      <c r="O5796" s="10"/>
      <c r="V5796" s="10"/>
    </row>
    <row r="5797" spans="2:22" x14ac:dyDescent="0.2">
      <c r="B5797" s="25"/>
      <c r="E5797" s="10"/>
      <c r="O5797" s="10"/>
      <c r="V5797" s="10"/>
    </row>
    <row r="5798" spans="2:22" x14ac:dyDescent="0.2">
      <c r="B5798" s="25"/>
      <c r="E5798" s="10"/>
      <c r="O5798" s="10"/>
      <c r="V5798" s="10"/>
    </row>
    <row r="5799" spans="2:22" x14ac:dyDescent="0.2">
      <c r="B5799" s="25"/>
      <c r="E5799" s="10"/>
      <c r="O5799" s="10"/>
      <c r="V5799" s="10"/>
    </row>
    <row r="5800" spans="2:22" x14ac:dyDescent="0.2">
      <c r="B5800" s="25"/>
      <c r="E5800" s="10"/>
      <c r="O5800" s="10"/>
      <c r="V5800" s="10"/>
    </row>
    <row r="5801" spans="2:22" x14ac:dyDescent="0.2">
      <c r="B5801" s="25"/>
      <c r="E5801" s="10"/>
      <c r="O5801" s="10"/>
      <c r="V5801" s="10"/>
    </row>
    <row r="5802" spans="2:22" x14ac:dyDescent="0.2">
      <c r="B5802" s="25"/>
      <c r="E5802" s="10"/>
      <c r="O5802" s="10"/>
      <c r="V5802" s="10"/>
    </row>
    <row r="5803" spans="2:22" x14ac:dyDescent="0.2">
      <c r="B5803" s="25"/>
      <c r="E5803" s="10"/>
      <c r="O5803" s="10"/>
      <c r="V5803" s="10"/>
    </row>
    <row r="5804" spans="2:22" x14ac:dyDescent="0.2">
      <c r="B5804" s="25"/>
      <c r="E5804" s="10"/>
      <c r="O5804" s="10"/>
      <c r="V5804" s="10"/>
    </row>
    <row r="5805" spans="2:22" x14ac:dyDescent="0.2">
      <c r="B5805" s="25"/>
      <c r="E5805" s="10"/>
      <c r="O5805" s="10"/>
      <c r="V5805" s="10"/>
    </row>
    <row r="5806" spans="2:22" x14ac:dyDescent="0.2">
      <c r="B5806" s="25"/>
      <c r="E5806" s="10"/>
      <c r="O5806" s="10"/>
      <c r="V5806" s="10"/>
    </row>
    <row r="5807" spans="2:22" x14ac:dyDescent="0.2">
      <c r="B5807" s="25"/>
      <c r="E5807" s="10"/>
      <c r="O5807" s="10"/>
      <c r="V5807" s="10"/>
    </row>
    <row r="5808" spans="2:22" x14ac:dyDescent="0.2">
      <c r="B5808" s="25"/>
      <c r="E5808" s="10"/>
      <c r="O5808" s="10"/>
      <c r="V5808" s="10"/>
    </row>
    <row r="5809" spans="2:22" x14ac:dyDescent="0.2">
      <c r="B5809" s="25"/>
      <c r="E5809" s="10"/>
      <c r="O5809" s="10"/>
      <c r="V5809" s="10"/>
    </row>
    <row r="5810" spans="2:22" x14ac:dyDescent="0.2">
      <c r="B5810" s="25"/>
      <c r="E5810" s="10"/>
      <c r="O5810" s="10"/>
      <c r="V5810" s="10"/>
    </row>
    <row r="5811" spans="2:22" x14ac:dyDescent="0.2">
      <c r="B5811" s="25"/>
      <c r="E5811" s="10"/>
      <c r="O5811" s="10"/>
      <c r="V5811" s="10"/>
    </row>
    <row r="5812" spans="2:22" x14ac:dyDescent="0.2">
      <c r="B5812" s="25"/>
      <c r="E5812" s="10"/>
      <c r="O5812" s="10"/>
      <c r="V5812" s="10"/>
    </row>
    <row r="5813" spans="2:22" x14ac:dyDescent="0.2">
      <c r="B5813" s="25"/>
      <c r="E5813" s="10"/>
      <c r="O5813" s="10"/>
      <c r="V5813" s="10"/>
    </row>
    <row r="5814" spans="2:22" x14ac:dyDescent="0.2">
      <c r="B5814" s="25"/>
      <c r="E5814" s="10"/>
      <c r="O5814" s="10"/>
      <c r="V5814" s="10"/>
    </row>
    <row r="5815" spans="2:22" x14ac:dyDescent="0.2">
      <c r="B5815" s="25"/>
      <c r="E5815" s="10"/>
      <c r="O5815" s="10"/>
      <c r="V5815" s="10"/>
    </row>
    <row r="5816" spans="2:22" x14ac:dyDescent="0.2">
      <c r="B5816" s="25"/>
      <c r="E5816" s="10"/>
      <c r="O5816" s="10"/>
      <c r="V5816" s="10"/>
    </row>
    <row r="5817" spans="2:22" x14ac:dyDescent="0.2">
      <c r="B5817" s="25"/>
      <c r="E5817" s="10"/>
      <c r="O5817" s="10"/>
      <c r="V5817" s="10"/>
    </row>
    <row r="5818" spans="2:22" x14ac:dyDescent="0.2">
      <c r="B5818" s="25"/>
      <c r="E5818" s="10"/>
      <c r="O5818" s="10"/>
      <c r="V5818" s="10"/>
    </row>
    <row r="5819" spans="2:22" x14ac:dyDescent="0.2">
      <c r="B5819" s="25"/>
      <c r="E5819" s="10"/>
      <c r="O5819" s="10"/>
      <c r="V5819" s="10"/>
    </row>
    <row r="5820" spans="2:22" x14ac:dyDescent="0.2">
      <c r="B5820" s="25"/>
      <c r="E5820" s="10"/>
      <c r="O5820" s="10"/>
      <c r="V5820" s="10"/>
    </row>
    <row r="5821" spans="2:22" x14ac:dyDescent="0.2">
      <c r="B5821" s="25"/>
      <c r="E5821" s="10"/>
      <c r="O5821" s="10"/>
      <c r="V5821" s="10"/>
    </row>
    <row r="5822" spans="2:22" x14ac:dyDescent="0.2">
      <c r="B5822" s="25"/>
      <c r="E5822" s="10"/>
      <c r="O5822" s="10"/>
      <c r="V5822" s="10"/>
    </row>
    <row r="5823" spans="2:22" x14ac:dyDescent="0.2">
      <c r="B5823" s="25"/>
      <c r="E5823" s="10"/>
      <c r="O5823" s="10"/>
      <c r="V5823" s="10"/>
    </row>
    <row r="5824" spans="2:22" x14ac:dyDescent="0.2">
      <c r="B5824" s="25"/>
      <c r="E5824" s="10"/>
      <c r="O5824" s="10"/>
      <c r="V5824" s="10"/>
    </row>
    <row r="5825" spans="2:22" x14ac:dyDescent="0.2">
      <c r="B5825" s="25"/>
      <c r="E5825" s="10"/>
      <c r="O5825" s="10"/>
      <c r="V5825" s="10"/>
    </row>
    <row r="5826" spans="2:22" x14ac:dyDescent="0.2">
      <c r="B5826" s="25"/>
      <c r="E5826" s="10"/>
      <c r="O5826" s="10"/>
      <c r="V5826" s="10"/>
    </row>
    <row r="5827" spans="2:22" x14ac:dyDescent="0.2">
      <c r="B5827" s="25"/>
      <c r="E5827" s="10"/>
      <c r="O5827" s="10"/>
      <c r="V5827" s="10"/>
    </row>
    <row r="5828" spans="2:22" x14ac:dyDescent="0.2">
      <c r="B5828" s="25"/>
      <c r="E5828" s="10"/>
      <c r="O5828" s="10"/>
      <c r="V5828" s="10"/>
    </row>
    <row r="5829" spans="2:22" x14ac:dyDescent="0.2">
      <c r="B5829" s="25"/>
      <c r="E5829" s="10"/>
      <c r="O5829" s="10"/>
      <c r="V5829" s="10"/>
    </row>
    <row r="5830" spans="2:22" x14ac:dyDescent="0.2">
      <c r="B5830" s="25"/>
      <c r="E5830" s="10"/>
      <c r="O5830" s="10"/>
      <c r="V5830" s="10"/>
    </row>
    <row r="5831" spans="2:22" x14ac:dyDescent="0.2">
      <c r="B5831" s="25"/>
      <c r="E5831" s="10"/>
      <c r="O5831" s="10"/>
      <c r="V5831" s="10"/>
    </row>
    <row r="5832" spans="2:22" x14ac:dyDescent="0.2">
      <c r="B5832" s="25"/>
      <c r="E5832" s="10"/>
      <c r="O5832" s="10"/>
      <c r="V5832" s="10"/>
    </row>
    <row r="5833" spans="2:22" x14ac:dyDescent="0.2">
      <c r="B5833" s="25"/>
      <c r="E5833" s="10"/>
      <c r="O5833" s="10"/>
      <c r="V5833" s="10"/>
    </row>
    <row r="5834" spans="2:22" x14ac:dyDescent="0.2">
      <c r="B5834" s="25"/>
      <c r="E5834" s="10"/>
      <c r="O5834" s="10"/>
      <c r="V5834" s="10"/>
    </row>
    <row r="5835" spans="2:22" x14ac:dyDescent="0.2">
      <c r="B5835" s="25"/>
      <c r="E5835" s="10"/>
      <c r="O5835" s="10"/>
      <c r="V5835" s="10"/>
    </row>
    <row r="5836" spans="2:22" x14ac:dyDescent="0.2">
      <c r="B5836" s="25"/>
      <c r="E5836" s="10"/>
      <c r="O5836" s="10"/>
      <c r="V5836" s="10"/>
    </row>
    <row r="5837" spans="2:22" x14ac:dyDescent="0.2">
      <c r="B5837" s="25"/>
      <c r="E5837" s="10"/>
      <c r="O5837" s="10"/>
      <c r="V5837" s="10"/>
    </row>
    <row r="5838" spans="2:22" x14ac:dyDescent="0.2">
      <c r="B5838" s="25"/>
      <c r="E5838" s="10"/>
      <c r="O5838" s="10"/>
      <c r="V5838" s="10"/>
    </row>
    <row r="5839" spans="2:22" x14ac:dyDescent="0.2">
      <c r="B5839" s="25"/>
      <c r="E5839" s="10"/>
      <c r="O5839" s="10"/>
      <c r="V5839" s="10"/>
    </row>
    <row r="5840" spans="2:22" x14ac:dyDescent="0.2">
      <c r="B5840" s="25"/>
      <c r="E5840" s="10"/>
      <c r="O5840" s="10"/>
      <c r="V5840" s="10"/>
    </row>
    <row r="5841" spans="2:22" x14ac:dyDescent="0.2">
      <c r="B5841" s="25"/>
      <c r="E5841" s="10"/>
      <c r="O5841" s="10"/>
      <c r="V5841" s="10"/>
    </row>
    <row r="5842" spans="2:22" x14ac:dyDescent="0.2">
      <c r="B5842" s="25"/>
      <c r="E5842" s="10"/>
      <c r="O5842" s="10"/>
      <c r="V5842" s="10"/>
    </row>
    <row r="5843" spans="2:22" x14ac:dyDescent="0.2">
      <c r="B5843" s="25"/>
      <c r="E5843" s="10"/>
      <c r="O5843" s="10"/>
      <c r="V5843" s="10"/>
    </row>
    <row r="5844" spans="2:22" x14ac:dyDescent="0.2">
      <c r="B5844" s="25"/>
      <c r="E5844" s="10"/>
      <c r="O5844" s="10"/>
      <c r="V5844" s="10"/>
    </row>
    <row r="5845" spans="2:22" x14ac:dyDescent="0.2">
      <c r="B5845" s="25"/>
      <c r="E5845" s="10"/>
      <c r="O5845" s="10"/>
      <c r="V5845" s="10"/>
    </row>
    <row r="5846" spans="2:22" x14ac:dyDescent="0.2">
      <c r="B5846" s="25"/>
      <c r="E5846" s="10"/>
      <c r="O5846" s="10"/>
      <c r="V5846" s="10"/>
    </row>
    <row r="5847" spans="2:22" x14ac:dyDescent="0.2">
      <c r="B5847" s="25"/>
      <c r="E5847" s="10"/>
      <c r="O5847" s="10"/>
      <c r="V5847" s="10"/>
    </row>
    <row r="5848" spans="2:22" x14ac:dyDescent="0.2">
      <c r="B5848" s="25"/>
      <c r="E5848" s="10"/>
      <c r="O5848" s="10"/>
      <c r="V5848" s="10"/>
    </row>
    <row r="5849" spans="2:22" x14ac:dyDescent="0.2">
      <c r="B5849" s="25"/>
      <c r="E5849" s="10"/>
      <c r="O5849" s="10"/>
      <c r="V5849" s="10"/>
    </row>
    <row r="5850" spans="2:22" x14ac:dyDescent="0.2">
      <c r="B5850" s="25"/>
      <c r="E5850" s="10"/>
      <c r="O5850" s="10"/>
      <c r="V5850" s="10"/>
    </row>
    <row r="5851" spans="2:22" x14ac:dyDescent="0.2">
      <c r="B5851" s="25"/>
      <c r="E5851" s="10"/>
      <c r="O5851" s="10"/>
      <c r="V5851" s="10"/>
    </row>
    <row r="5852" spans="2:22" x14ac:dyDescent="0.2">
      <c r="B5852" s="25"/>
      <c r="E5852" s="10"/>
      <c r="O5852" s="10"/>
      <c r="V5852" s="10"/>
    </row>
    <row r="5853" spans="2:22" x14ac:dyDescent="0.2">
      <c r="B5853" s="25"/>
      <c r="E5853" s="10"/>
      <c r="O5853" s="10"/>
      <c r="V5853" s="10"/>
    </row>
    <row r="5854" spans="2:22" x14ac:dyDescent="0.2">
      <c r="B5854" s="25"/>
      <c r="E5854" s="10"/>
      <c r="O5854" s="10"/>
      <c r="V5854" s="10"/>
    </row>
    <row r="5855" spans="2:22" x14ac:dyDescent="0.2">
      <c r="B5855" s="25"/>
      <c r="E5855" s="10"/>
      <c r="O5855" s="10"/>
      <c r="V5855" s="10"/>
    </row>
    <row r="5856" spans="2:22" x14ac:dyDescent="0.2">
      <c r="B5856" s="25"/>
      <c r="E5856" s="10"/>
      <c r="O5856" s="10"/>
      <c r="V5856" s="10"/>
    </row>
    <row r="5857" spans="2:22" x14ac:dyDescent="0.2">
      <c r="B5857" s="25"/>
      <c r="E5857" s="10"/>
      <c r="O5857" s="10"/>
      <c r="V5857" s="10"/>
    </row>
    <row r="5858" spans="2:22" x14ac:dyDescent="0.2">
      <c r="B5858" s="25"/>
      <c r="E5858" s="10"/>
      <c r="O5858" s="10"/>
      <c r="V5858" s="10"/>
    </row>
    <row r="5859" spans="2:22" x14ac:dyDescent="0.2">
      <c r="B5859" s="25"/>
      <c r="E5859" s="10"/>
      <c r="O5859" s="10"/>
      <c r="V5859" s="10"/>
    </row>
    <row r="5860" spans="2:22" x14ac:dyDescent="0.2">
      <c r="B5860" s="25"/>
      <c r="E5860" s="10"/>
      <c r="O5860" s="10"/>
      <c r="V5860" s="10"/>
    </row>
    <row r="5861" spans="2:22" x14ac:dyDescent="0.2">
      <c r="B5861" s="25"/>
      <c r="E5861" s="10"/>
      <c r="O5861" s="10"/>
      <c r="V5861" s="10"/>
    </row>
    <row r="5862" spans="2:22" x14ac:dyDescent="0.2">
      <c r="B5862" s="25"/>
      <c r="E5862" s="10"/>
      <c r="O5862" s="10"/>
      <c r="V5862" s="10"/>
    </row>
    <row r="5863" spans="2:22" x14ac:dyDescent="0.2">
      <c r="B5863" s="25"/>
      <c r="E5863" s="10"/>
      <c r="O5863" s="10"/>
      <c r="V5863" s="10"/>
    </row>
    <row r="5864" spans="2:22" x14ac:dyDescent="0.2">
      <c r="B5864" s="25"/>
      <c r="E5864" s="10"/>
      <c r="O5864" s="10"/>
      <c r="V5864" s="10"/>
    </row>
    <row r="5865" spans="2:22" x14ac:dyDescent="0.2">
      <c r="B5865" s="25"/>
      <c r="E5865" s="10"/>
      <c r="O5865" s="10"/>
      <c r="V5865" s="10"/>
    </row>
    <row r="5866" spans="2:22" x14ac:dyDescent="0.2">
      <c r="B5866" s="25"/>
      <c r="E5866" s="10"/>
      <c r="O5866" s="10"/>
      <c r="V5866" s="10"/>
    </row>
    <row r="5867" spans="2:22" x14ac:dyDescent="0.2">
      <c r="B5867" s="25"/>
      <c r="E5867" s="10"/>
      <c r="O5867" s="10"/>
      <c r="V5867" s="10"/>
    </row>
    <row r="5868" spans="2:22" x14ac:dyDescent="0.2">
      <c r="B5868" s="25"/>
      <c r="E5868" s="10"/>
      <c r="O5868" s="10"/>
      <c r="V5868" s="10"/>
    </row>
    <row r="5869" spans="2:22" x14ac:dyDescent="0.2">
      <c r="B5869" s="25"/>
      <c r="E5869" s="10"/>
      <c r="O5869" s="10"/>
      <c r="V5869" s="10"/>
    </row>
    <row r="5870" spans="2:22" x14ac:dyDescent="0.2">
      <c r="B5870" s="25"/>
      <c r="E5870" s="10"/>
      <c r="O5870" s="10"/>
      <c r="V5870" s="10"/>
    </row>
    <row r="5871" spans="2:22" x14ac:dyDescent="0.2">
      <c r="B5871" s="25"/>
      <c r="E5871" s="10"/>
      <c r="O5871" s="10"/>
      <c r="V5871" s="10"/>
    </row>
    <row r="5872" spans="2:22" x14ac:dyDescent="0.2">
      <c r="B5872" s="25"/>
      <c r="E5872" s="10"/>
      <c r="O5872" s="10"/>
      <c r="V5872" s="10"/>
    </row>
    <row r="5873" spans="2:22" x14ac:dyDescent="0.2">
      <c r="B5873" s="25"/>
      <c r="E5873" s="10"/>
      <c r="O5873" s="10"/>
      <c r="V5873" s="10"/>
    </row>
    <row r="5874" spans="2:22" x14ac:dyDescent="0.2">
      <c r="B5874" s="25"/>
      <c r="E5874" s="10"/>
      <c r="O5874" s="10"/>
      <c r="V5874" s="10"/>
    </row>
    <row r="5875" spans="2:22" x14ac:dyDescent="0.2">
      <c r="B5875" s="25"/>
      <c r="E5875" s="10"/>
      <c r="O5875" s="10"/>
      <c r="V5875" s="10"/>
    </row>
    <row r="5876" spans="2:22" x14ac:dyDescent="0.2">
      <c r="B5876" s="25"/>
      <c r="E5876" s="10"/>
      <c r="O5876" s="10"/>
      <c r="V5876" s="10"/>
    </row>
    <row r="5877" spans="2:22" x14ac:dyDescent="0.2">
      <c r="B5877" s="25"/>
      <c r="E5877" s="10"/>
      <c r="O5877" s="10"/>
      <c r="V5877" s="10"/>
    </row>
    <row r="5878" spans="2:22" x14ac:dyDescent="0.2">
      <c r="B5878" s="25"/>
      <c r="E5878" s="10"/>
      <c r="O5878" s="10"/>
      <c r="V5878" s="10"/>
    </row>
    <row r="5879" spans="2:22" x14ac:dyDescent="0.2">
      <c r="B5879" s="25"/>
      <c r="E5879" s="10"/>
      <c r="O5879" s="10"/>
      <c r="V5879" s="10"/>
    </row>
    <row r="5880" spans="2:22" x14ac:dyDescent="0.2">
      <c r="B5880" s="25"/>
      <c r="E5880" s="10"/>
      <c r="O5880" s="10"/>
      <c r="V5880" s="10"/>
    </row>
    <row r="5881" spans="2:22" x14ac:dyDescent="0.2">
      <c r="B5881" s="25"/>
      <c r="E5881" s="10"/>
      <c r="O5881" s="10"/>
      <c r="V5881" s="10"/>
    </row>
    <row r="5882" spans="2:22" x14ac:dyDescent="0.2">
      <c r="B5882" s="25"/>
      <c r="E5882" s="10"/>
      <c r="O5882" s="10"/>
      <c r="V5882" s="10"/>
    </row>
    <row r="5883" spans="2:22" x14ac:dyDescent="0.2">
      <c r="B5883" s="25"/>
      <c r="E5883" s="10"/>
      <c r="O5883" s="10"/>
      <c r="V5883" s="10"/>
    </row>
    <row r="5884" spans="2:22" x14ac:dyDescent="0.2">
      <c r="B5884" s="25"/>
      <c r="E5884" s="10"/>
      <c r="O5884" s="10"/>
      <c r="V5884" s="10"/>
    </row>
    <row r="5885" spans="2:22" x14ac:dyDescent="0.2">
      <c r="B5885" s="25"/>
      <c r="E5885" s="10"/>
      <c r="O5885" s="10"/>
      <c r="V5885" s="10"/>
    </row>
    <row r="5886" spans="2:22" x14ac:dyDescent="0.2">
      <c r="B5886" s="25"/>
      <c r="E5886" s="10"/>
      <c r="O5886" s="10"/>
      <c r="V5886" s="10"/>
    </row>
    <row r="5887" spans="2:22" x14ac:dyDescent="0.2">
      <c r="B5887" s="25"/>
      <c r="E5887" s="10"/>
      <c r="O5887" s="10"/>
      <c r="V5887" s="10"/>
    </row>
    <row r="5888" spans="2:22" x14ac:dyDescent="0.2">
      <c r="B5888" s="25"/>
      <c r="E5888" s="10"/>
      <c r="O5888" s="10"/>
      <c r="V5888" s="10"/>
    </row>
    <row r="5889" spans="2:22" x14ac:dyDescent="0.2">
      <c r="B5889" s="25"/>
      <c r="E5889" s="10"/>
      <c r="O5889" s="10"/>
      <c r="V5889" s="10"/>
    </row>
    <row r="5890" spans="2:22" x14ac:dyDescent="0.2">
      <c r="B5890" s="25"/>
      <c r="E5890" s="10"/>
      <c r="O5890" s="10"/>
      <c r="V5890" s="10"/>
    </row>
    <row r="5891" spans="2:22" x14ac:dyDescent="0.2">
      <c r="B5891" s="25"/>
      <c r="E5891" s="10"/>
      <c r="O5891" s="10"/>
      <c r="V5891" s="10"/>
    </row>
    <row r="5892" spans="2:22" x14ac:dyDescent="0.2">
      <c r="B5892" s="25"/>
      <c r="E5892" s="10"/>
      <c r="O5892" s="10"/>
      <c r="V5892" s="10"/>
    </row>
    <row r="5893" spans="2:22" x14ac:dyDescent="0.2">
      <c r="B5893" s="25"/>
      <c r="E5893" s="10"/>
      <c r="O5893" s="10"/>
      <c r="V5893" s="10"/>
    </row>
    <row r="5894" spans="2:22" x14ac:dyDescent="0.2">
      <c r="B5894" s="25"/>
      <c r="E5894" s="10"/>
      <c r="O5894" s="10"/>
      <c r="V5894" s="10"/>
    </row>
    <row r="5895" spans="2:22" x14ac:dyDescent="0.2">
      <c r="B5895" s="25"/>
      <c r="E5895" s="10"/>
      <c r="O5895" s="10"/>
      <c r="V5895" s="10"/>
    </row>
    <row r="5896" spans="2:22" x14ac:dyDescent="0.2">
      <c r="B5896" s="25"/>
      <c r="E5896" s="10"/>
      <c r="O5896" s="10"/>
      <c r="V5896" s="10"/>
    </row>
    <row r="5897" spans="2:22" x14ac:dyDescent="0.2">
      <c r="B5897" s="25"/>
      <c r="E5897" s="10"/>
      <c r="O5897" s="10"/>
      <c r="V5897" s="10"/>
    </row>
    <row r="5898" spans="2:22" x14ac:dyDescent="0.2">
      <c r="B5898" s="25"/>
      <c r="E5898" s="10"/>
      <c r="O5898" s="10"/>
      <c r="V5898" s="10"/>
    </row>
    <row r="5899" spans="2:22" x14ac:dyDescent="0.2">
      <c r="B5899" s="25"/>
      <c r="E5899" s="10"/>
      <c r="O5899" s="10"/>
      <c r="V5899" s="10"/>
    </row>
    <row r="5900" spans="2:22" x14ac:dyDescent="0.2">
      <c r="B5900" s="25"/>
      <c r="E5900" s="10"/>
      <c r="O5900" s="10"/>
      <c r="V5900" s="10"/>
    </row>
    <row r="5901" spans="2:22" x14ac:dyDescent="0.2">
      <c r="B5901" s="25"/>
      <c r="E5901" s="10"/>
      <c r="O5901" s="10"/>
      <c r="V5901" s="10"/>
    </row>
    <row r="5902" spans="2:22" x14ac:dyDescent="0.2">
      <c r="B5902" s="25"/>
      <c r="E5902" s="10"/>
      <c r="O5902" s="10"/>
      <c r="V5902" s="10"/>
    </row>
    <row r="5903" spans="2:22" x14ac:dyDescent="0.2">
      <c r="B5903" s="25"/>
      <c r="E5903" s="10"/>
      <c r="O5903" s="10"/>
      <c r="V5903" s="10"/>
    </row>
    <row r="5904" spans="2:22" x14ac:dyDescent="0.2">
      <c r="B5904" s="25"/>
      <c r="E5904" s="10"/>
      <c r="O5904" s="10"/>
      <c r="V5904" s="10"/>
    </row>
    <row r="5905" spans="2:22" x14ac:dyDescent="0.2">
      <c r="B5905" s="25"/>
      <c r="E5905" s="10"/>
      <c r="O5905" s="10"/>
      <c r="V5905" s="10"/>
    </row>
    <row r="5906" spans="2:22" x14ac:dyDescent="0.2">
      <c r="B5906" s="25"/>
      <c r="E5906" s="10"/>
      <c r="O5906" s="10"/>
      <c r="V5906" s="10"/>
    </row>
    <row r="5907" spans="2:22" x14ac:dyDescent="0.2">
      <c r="B5907" s="25"/>
      <c r="E5907" s="10"/>
      <c r="O5907" s="10"/>
      <c r="V5907" s="10"/>
    </row>
    <row r="5908" spans="2:22" x14ac:dyDescent="0.2">
      <c r="B5908" s="25"/>
      <c r="E5908" s="10"/>
      <c r="O5908" s="10"/>
      <c r="V5908" s="10"/>
    </row>
    <row r="5909" spans="2:22" x14ac:dyDescent="0.2">
      <c r="B5909" s="25"/>
      <c r="E5909" s="10"/>
      <c r="O5909" s="10"/>
      <c r="V5909" s="10"/>
    </row>
    <row r="5910" spans="2:22" x14ac:dyDescent="0.2">
      <c r="B5910" s="25"/>
      <c r="E5910" s="10"/>
      <c r="O5910" s="10"/>
      <c r="V5910" s="10"/>
    </row>
    <row r="5911" spans="2:22" x14ac:dyDescent="0.2">
      <c r="B5911" s="25"/>
      <c r="E5911" s="10"/>
      <c r="O5911" s="10"/>
      <c r="V5911" s="10"/>
    </row>
    <row r="5912" spans="2:22" x14ac:dyDescent="0.2">
      <c r="B5912" s="25"/>
      <c r="E5912" s="10"/>
      <c r="O5912" s="10"/>
      <c r="V5912" s="10"/>
    </row>
    <row r="5913" spans="2:22" x14ac:dyDescent="0.2">
      <c r="B5913" s="25"/>
      <c r="E5913" s="10"/>
      <c r="O5913" s="10"/>
      <c r="V5913" s="10"/>
    </row>
    <row r="5914" spans="2:22" x14ac:dyDescent="0.2">
      <c r="B5914" s="25"/>
      <c r="E5914" s="10"/>
      <c r="O5914" s="10"/>
      <c r="V5914" s="10"/>
    </row>
    <row r="5915" spans="2:22" x14ac:dyDescent="0.2">
      <c r="B5915" s="25"/>
      <c r="E5915" s="10"/>
      <c r="O5915" s="10"/>
      <c r="V5915" s="10"/>
    </row>
    <row r="5916" spans="2:22" x14ac:dyDescent="0.2">
      <c r="B5916" s="25"/>
      <c r="E5916" s="10"/>
      <c r="O5916" s="10"/>
      <c r="V5916" s="10"/>
    </row>
    <row r="5917" spans="2:22" x14ac:dyDescent="0.2">
      <c r="B5917" s="25"/>
      <c r="E5917" s="10"/>
      <c r="O5917" s="10"/>
      <c r="V5917" s="10"/>
    </row>
    <row r="5918" spans="2:22" x14ac:dyDescent="0.2">
      <c r="B5918" s="25"/>
      <c r="E5918" s="10"/>
      <c r="O5918" s="10"/>
      <c r="V5918" s="10"/>
    </row>
    <row r="5919" spans="2:22" x14ac:dyDescent="0.2">
      <c r="B5919" s="25"/>
      <c r="E5919" s="10"/>
      <c r="O5919" s="10"/>
      <c r="V5919" s="10"/>
    </row>
    <row r="5920" spans="2:22" x14ac:dyDescent="0.2">
      <c r="B5920" s="25"/>
      <c r="E5920" s="10"/>
      <c r="O5920" s="10"/>
      <c r="V5920" s="10"/>
    </row>
    <row r="5921" spans="2:22" x14ac:dyDescent="0.2">
      <c r="B5921" s="25"/>
      <c r="E5921" s="10"/>
      <c r="O5921" s="10"/>
      <c r="V5921" s="10"/>
    </row>
    <row r="5922" spans="2:22" x14ac:dyDescent="0.2">
      <c r="B5922" s="25"/>
      <c r="E5922" s="10"/>
      <c r="O5922" s="10"/>
      <c r="V5922" s="10"/>
    </row>
    <row r="5923" spans="2:22" x14ac:dyDescent="0.2">
      <c r="B5923" s="25"/>
      <c r="E5923" s="10"/>
      <c r="O5923" s="10"/>
      <c r="V5923" s="10"/>
    </row>
    <row r="5924" spans="2:22" x14ac:dyDescent="0.2">
      <c r="B5924" s="25"/>
      <c r="E5924" s="10"/>
      <c r="O5924" s="10"/>
      <c r="V5924" s="10"/>
    </row>
    <row r="5925" spans="2:22" x14ac:dyDescent="0.2">
      <c r="B5925" s="25"/>
      <c r="E5925" s="10"/>
      <c r="O5925" s="10"/>
      <c r="V5925" s="10"/>
    </row>
    <row r="5926" spans="2:22" x14ac:dyDescent="0.2">
      <c r="B5926" s="25"/>
      <c r="E5926" s="10"/>
      <c r="O5926" s="10"/>
      <c r="V5926" s="10"/>
    </row>
    <row r="5927" spans="2:22" x14ac:dyDescent="0.2">
      <c r="B5927" s="25"/>
      <c r="E5927" s="10"/>
      <c r="O5927" s="10"/>
      <c r="V5927" s="10"/>
    </row>
    <row r="5928" spans="2:22" x14ac:dyDescent="0.2">
      <c r="B5928" s="25"/>
      <c r="E5928" s="10"/>
      <c r="O5928" s="10"/>
      <c r="V5928" s="10"/>
    </row>
    <row r="5929" spans="2:22" x14ac:dyDescent="0.2">
      <c r="B5929" s="25"/>
      <c r="E5929" s="10"/>
      <c r="O5929" s="10"/>
      <c r="V5929" s="10"/>
    </row>
    <row r="5930" spans="2:22" x14ac:dyDescent="0.2">
      <c r="B5930" s="25"/>
      <c r="E5930" s="10"/>
      <c r="O5930" s="10"/>
      <c r="V5930" s="10"/>
    </row>
    <row r="5931" spans="2:22" x14ac:dyDescent="0.2">
      <c r="B5931" s="25"/>
      <c r="E5931" s="10"/>
      <c r="O5931" s="10"/>
      <c r="V5931" s="10"/>
    </row>
    <row r="5932" spans="2:22" x14ac:dyDescent="0.2">
      <c r="B5932" s="25"/>
      <c r="E5932" s="10"/>
      <c r="O5932" s="10"/>
      <c r="V5932" s="10"/>
    </row>
    <row r="5933" spans="2:22" x14ac:dyDescent="0.2">
      <c r="B5933" s="25"/>
      <c r="E5933" s="10"/>
      <c r="O5933" s="10"/>
      <c r="V5933" s="10"/>
    </row>
    <row r="5934" spans="2:22" x14ac:dyDescent="0.2">
      <c r="B5934" s="25"/>
      <c r="E5934" s="10"/>
      <c r="O5934" s="10"/>
      <c r="V5934" s="10"/>
    </row>
    <row r="5935" spans="2:22" x14ac:dyDescent="0.2">
      <c r="B5935" s="25"/>
      <c r="E5935" s="10"/>
      <c r="O5935" s="10"/>
      <c r="V5935" s="10"/>
    </row>
    <row r="5936" spans="2:22" x14ac:dyDescent="0.2">
      <c r="B5936" s="25"/>
      <c r="E5936" s="10"/>
      <c r="O5936" s="10"/>
      <c r="V5936" s="10"/>
    </row>
    <row r="5937" spans="2:22" x14ac:dyDescent="0.2">
      <c r="B5937" s="25"/>
      <c r="E5937" s="10"/>
      <c r="O5937" s="10"/>
      <c r="V5937" s="10"/>
    </row>
    <row r="5938" spans="2:22" x14ac:dyDescent="0.2">
      <c r="B5938" s="25"/>
      <c r="E5938" s="10"/>
      <c r="O5938" s="10"/>
      <c r="V5938" s="10"/>
    </row>
    <row r="5939" spans="2:22" x14ac:dyDescent="0.2">
      <c r="B5939" s="25"/>
      <c r="E5939" s="10"/>
      <c r="O5939" s="10"/>
      <c r="V5939" s="10"/>
    </row>
    <row r="5940" spans="2:22" x14ac:dyDescent="0.2">
      <c r="B5940" s="25"/>
      <c r="E5940" s="10"/>
      <c r="O5940" s="10"/>
      <c r="V5940" s="10"/>
    </row>
    <row r="5941" spans="2:22" x14ac:dyDescent="0.2">
      <c r="B5941" s="25"/>
      <c r="E5941" s="10"/>
      <c r="O5941" s="10"/>
      <c r="V5941" s="10"/>
    </row>
    <row r="5942" spans="2:22" x14ac:dyDescent="0.2">
      <c r="B5942" s="25"/>
      <c r="E5942" s="10"/>
      <c r="O5942" s="10"/>
      <c r="V5942" s="10"/>
    </row>
    <row r="5943" spans="2:22" x14ac:dyDescent="0.2">
      <c r="B5943" s="25"/>
      <c r="E5943" s="10"/>
      <c r="O5943" s="10"/>
      <c r="V5943" s="10"/>
    </row>
    <row r="5944" spans="2:22" x14ac:dyDescent="0.2">
      <c r="B5944" s="25"/>
      <c r="E5944" s="10"/>
      <c r="O5944" s="10"/>
      <c r="V5944" s="10"/>
    </row>
    <row r="5945" spans="2:22" x14ac:dyDescent="0.2">
      <c r="B5945" s="25"/>
      <c r="E5945" s="10"/>
      <c r="O5945" s="10"/>
      <c r="V5945" s="10"/>
    </row>
    <row r="5946" spans="2:22" x14ac:dyDescent="0.2">
      <c r="B5946" s="25"/>
      <c r="E5946" s="10"/>
      <c r="O5946" s="10"/>
      <c r="V5946" s="10"/>
    </row>
    <row r="5947" spans="2:22" x14ac:dyDescent="0.2">
      <c r="B5947" s="25"/>
      <c r="E5947" s="10"/>
      <c r="O5947" s="10"/>
      <c r="V5947" s="10"/>
    </row>
    <row r="5948" spans="2:22" x14ac:dyDescent="0.2">
      <c r="B5948" s="25"/>
      <c r="E5948" s="10"/>
      <c r="O5948" s="10"/>
      <c r="V5948" s="10"/>
    </row>
    <row r="5949" spans="2:22" x14ac:dyDescent="0.2">
      <c r="B5949" s="25"/>
      <c r="E5949" s="10"/>
      <c r="O5949" s="10"/>
      <c r="V5949" s="10"/>
    </row>
    <row r="5950" spans="2:22" x14ac:dyDescent="0.2">
      <c r="B5950" s="25"/>
      <c r="E5950" s="10"/>
      <c r="O5950" s="10"/>
      <c r="V5950" s="10"/>
    </row>
    <row r="5951" spans="2:22" x14ac:dyDescent="0.2">
      <c r="B5951" s="25"/>
      <c r="E5951" s="10"/>
      <c r="O5951" s="10"/>
      <c r="V5951" s="10"/>
    </row>
    <row r="5952" spans="2:22" x14ac:dyDescent="0.2">
      <c r="B5952" s="25"/>
      <c r="E5952" s="10"/>
      <c r="O5952" s="10"/>
      <c r="V5952" s="10"/>
    </row>
    <row r="5953" spans="2:22" x14ac:dyDescent="0.2">
      <c r="B5953" s="25"/>
      <c r="E5953" s="10"/>
      <c r="O5953" s="10"/>
      <c r="V5953" s="10"/>
    </row>
    <row r="5954" spans="2:22" x14ac:dyDescent="0.2">
      <c r="B5954" s="25"/>
      <c r="E5954" s="10"/>
      <c r="O5954" s="10"/>
      <c r="V5954" s="10"/>
    </row>
    <row r="5955" spans="2:22" x14ac:dyDescent="0.2">
      <c r="B5955" s="25"/>
      <c r="E5955" s="10"/>
      <c r="O5955" s="10"/>
      <c r="V5955" s="10"/>
    </row>
    <row r="5956" spans="2:22" x14ac:dyDescent="0.2">
      <c r="B5956" s="25"/>
      <c r="E5956" s="10"/>
      <c r="O5956" s="10"/>
      <c r="V5956" s="10"/>
    </row>
    <row r="5957" spans="2:22" x14ac:dyDescent="0.2">
      <c r="B5957" s="25"/>
      <c r="E5957" s="10"/>
      <c r="O5957" s="10"/>
      <c r="V5957" s="10"/>
    </row>
    <row r="5958" spans="2:22" x14ac:dyDescent="0.2">
      <c r="B5958" s="25"/>
      <c r="E5958" s="10"/>
      <c r="O5958" s="10"/>
      <c r="V5958" s="10"/>
    </row>
    <row r="5959" spans="2:22" x14ac:dyDescent="0.2">
      <c r="B5959" s="25"/>
      <c r="E5959" s="10"/>
      <c r="O5959" s="10"/>
      <c r="V5959" s="10"/>
    </row>
    <row r="5960" spans="2:22" x14ac:dyDescent="0.2">
      <c r="B5960" s="25"/>
      <c r="E5960" s="10"/>
      <c r="O5960" s="10"/>
      <c r="V5960" s="10"/>
    </row>
    <row r="5961" spans="2:22" x14ac:dyDescent="0.2">
      <c r="B5961" s="25"/>
      <c r="E5961" s="10"/>
      <c r="O5961" s="10"/>
      <c r="V5961" s="10"/>
    </row>
    <row r="5962" spans="2:22" x14ac:dyDescent="0.2">
      <c r="B5962" s="25"/>
      <c r="E5962" s="10"/>
      <c r="O5962" s="10"/>
      <c r="V5962" s="10"/>
    </row>
    <row r="5963" spans="2:22" x14ac:dyDescent="0.2">
      <c r="B5963" s="25"/>
      <c r="E5963" s="10"/>
      <c r="O5963" s="10"/>
      <c r="V5963" s="10"/>
    </row>
    <row r="5964" spans="2:22" x14ac:dyDescent="0.2">
      <c r="B5964" s="25"/>
      <c r="E5964" s="10"/>
      <c r="O5964" s="10"/>
      <c r="V5964" s="10"/>
    </row>
    <row r="5965" spans="2:22" x14ac:dyDescent="0.2">
      <c r="B5965" s="25"/>
      <c r="E5965" s="10"/>
      <c r="O5965" s="10"/>
      <c r="V5965" s="10"/>
    </row>
    <row r="5966" spans="2:22" x14ac:dyDescent="0.2">
      <c r="B5966" s="25"/>
      <c r="E5966" s="10"/>
      <c r="O5966" s="10"/>
      <c r="V5966" s="10"/>
    </row>
    <row r="5967" spans="2:22" x14ac:dyDescent="0.2">
      <c r="B5967" s="25"/>
      <c r="E5967" s="10"/>
      <c r="O5967" s="10"/>
      <c r="V5967" s="10"/>
    </row>
    <row r="5968" spans="2:22" x14ac:dyDescent="0.2">
      <c r="B5968" s="25"/>
      <c r="E5968" s="10"/>
      <c r="O5968" s="10"/>
      <c r="V5968" s="10"/>
    </row>
    <row r="5969" spans="2:22" x14ac:dyDescent="0.2">
      <c r="B5969" s="25"/>
      <c r="E5969" s="10"/>
      <c r="O5969" s="10"/>
      <c r="V5969" s="10"/>
    </row>
    <row r="5970" spans="2:22" x14ac:dyDescent="0.2">
      <c r="B5970" s="25"/>
      <c r="E5970" s="10"/>
      <c r="O5970" s="10"/>
      <c r="V5970" s="10"/>
    </row>
    <row r="5971" spans="2:22" x14ac:dyDescent="0.2">
      <c r="B5971" s="25"/>
      <c r="E5971" s="10"/>
      <c r="O5971" s="10"/>
      <c r="V5971" s="10"/>
    </row>
    <row r="5972" spans="2:22" x14ac:dyDescent="0.2">
      <c r="B5972" s="25"/>
      <c r="E5972" s="10"/>
      <c r="O5972" s="10"/>
      <c r="V5972" s="10"/>
    </row>
    <row r="5973" spans="2:22" x14ac:dyDescent="0.2">
      <c r="B5973" s="25"/>
      <c r="E5973" s="10"/>
      <c r="O5973" s="10"/>
      <c r="V5973" s="10"/>
    </row>
    <row r="5974" spans="2:22" x14ac:dyDescent="0.2">
      <c r="B5974" s="25"/>
      <c r="E5974" s="10"/>
      <c r="O5974" s="10"/>
      <c r="V5974" s="10"/>
    </row>
    <row r="5975" spans="2:22" x14ac:dyDescent="0.2">
      <c r="B5975" s="25"/>
      <c r="E5975" s="10"/>
      <c r="O5975" s="10"/>
      <c r="V5975" s="10"/>
    </row>
    <row r="5976" spans="2:22" x14ac:dyDescent="0.2">
      <c r="B5976" s="25"/>
      <c r="E5976" s="10"/>
      <c r="O5976" s="10"/>
      <c r="V5976" s="10"/>
    </row>
    <row r="5977" spans="2:22" x14ac:dyDescent="0.2">
      <c r="B5977" s="25"/>
      <c r="E5977" s="10"/>
      <c r="O5977" s="10"/>
      <c r="V5977" s="10"/>
    </row>
    <row r="5978" spans="2:22" x14ac:dyDescent="0.2">
      <c r="B5978" s="25"/>
      <c r="E5978" s="10"/>
      <c r="O5978" s="10"/>
      <c r="V5978" s="10"/>
    </row>
    <row r="5979" spans="2:22" x14ac:dyDescent="0.2">
      <c r="B5979" s="25"/>
      <c r="E5979" s="10"/>
      <c r="O5979" s="10"/>
      <c r="V5979" s="10"/>
    </row>
    <row r="5980" spans="2:22" x14ac:dyDescent="0.2">
      <c r="B5980" s="25"/>
      <c r="E5980" s="10"/>
      <c r="O5980" s="10"/>
      <c r="V5980" s="10"/>
    </row>
    <row r="5981" spans="2:22" x14ac:dyDescent="0.2">
      <c r="B5981" s="25"/>
      <c r="E5981" s="10"/>
      <c r="O5981" s="10"/>
      <c r="V5981" s="10"/>
    </row>
    <row r="5982" spans="2:22" x14ac:dyDescent="0.2">
      <c r="B5982" s="25"/>
      <c r="E5982" s="10"/>
      <c r="O5982" s="10"/>
      <c r="V5982" s="10"/>
    </row>
    <row r="5983" spans="2:22" x14ac:dyDescent="0.2">
      <c r="B5983" s="25"/>
      <c r="E5983" s="10"/>
      <c r="O5983" s="10"/>
      <c r="V5983" s="10"/>
    </row>
    <row r="5984" spans="2:22" x14ac:dyDescent="0.2">
      <c r="B5984" s="25"/>
      <c r="E5984" s="10"/>
      <c r="O5984" s="10"/>
      <c r="V5984" s="10"/>
    </row>
    <row r="5985" spans="2:22" x14ac:dyDescent="0.2">
      <c r="B5985" s="25"/>
      <c r="E5985" s="10"/>
      <c r="O5985" s="10"/>
      <c r="V5985" s="10"/>
    </row>
    <row r="5986" spans="2:22" x14ac:dyDescent="0.2">
      <c r="B5986" s="25"/>
      <c r="E5986" s="10"/>
      <c r="O5986" s="10"/>
      <c r="V5986" s="10"/>
    </row>
    <row r="5987" spans="2:22" x14ac:dyDescent="0.2">
      <c r="B5987" s="25"/>
      <c r="E5987" s="10"/>
      <c r="O5987" s="10"/>
      <c r="V5987" s="10"/>
    </row>
    <row r="5988" spans="2:22" x14ac:dyDescent="0.2">
      <c r="B5988" s="25"/>
      <c r="E5988" s="10"/>
      <c r="O5988" s="10"/>
      <c r="V5988" s="10"/>
    </row>
    <row r="5989" spans="2:22" x14ac:dyDescent="0.2">
      <c r="B5989" s="25"/>
      <c r="E5989" s="10"/>
      <c r="O5989" s="10"/>
      <c r="V5989" s="10"/>
    </row>
    <row r="5990" spans="2:22" x14ac:dyDescent="0.2">
      <c r="B5990" s="25"/>
      <c r="E5990" s="10"/>
      <c r="O5990" s="10"/>
      <c r="V5990" s="10"/>
    </row>
    <row r="5991" spans="2:22" x14ac:dyDescent="0.2">
      <c r="B5991" s="25"/>
      <c r="E5991" s="10"/>
      <c r="O5991" s="10"/>
      <c r="V5991" s="10"/>
    </row>
    <row r="5992" spans="2:22" x14ac:dyDescent="0.2">
      <c r="B5992" s="25"/>
      <c r="E5992" s="10"/>
      <c r="O5992" s="10"/>
      <c r="V5992" s="10"/>
    </row>
    <row r="5993" spans="2:22" x14ac:dyDescent="0.2">
      <c r="B5993" s="25"/>
      <c r="E5993" s="10"/>
      <c r="O5993" s="10"/>
      <c r="V5993" s="10"/>
    </row>
    <row r="5994" spans="2:22" x14ac:dyDescent="0.2">
      <c r="B5994" s="25"/>
      <c r="E5994" s="10"/>
      <c r="O5994" s="10"/>
      <c r="V5994" s="10"/>
    </row>
    <row r="5995" spans="2:22" x14ac:dyDescent="0.2">
      <c r="B5995" s="25"/>
      <c r="E5995" s="10"/>
      <c r="O5995" s="10"/>
      <c r="V5995" s="10"/>
    </row>
    <row r="5996" spans="2:22" x14ac:dyDescent="0.2">
      <c r="B5996" s="25"/>
      <c r="E5996" s="10"/>
      <c r="O5996" s="10"/>
      <c r="V5996" s="10"/>
    </row>
    <row r="5997" spans="2:22" x14ac:dyDescent="0.2">
      <c r="B5997" s="25"/>
      <c r="E5997" s="10"/>
      <c r="O5997" s="10"/>
      <c r="V5997" s="10"/>
    </row>
    <row r="5998" spans="2:22" x14ac:dyDescent="0.2">
      <c r="B5998" s="25"/>
      <c r="E5998" s="10"/>
      <c r="O5998" s="10"/>
      <c r="V5998" s="10"/>
    </row>
    <row r="5999" spans="2:22" x14ac:dyDescent="0.2">
      <c r="B5999" s="25"/>
      <c r="E5999" s="10"/>
      <c r="O5999" s="10"/>
      <c r="V5999" s="10"/>
    </row>
    <row r="6000" spans="2:22" x14ac:dyDescent="0.2">
      <c r="B6000" s="25"/>
      <c r="E6000" s="10"/>
      <c r="O6000" s="10"/>
      <c r="V6000" s="10"/>
    </row>
    <row r="6001" spans="2:22" x14ac:dyDescent="0.2">
      <c r="B6001" s="25"/>
      <c r="E6001" s="10"/>
      <c r="O6001" s="10"/>
      <c r="V6001" s="10"/>
    </row>
    <row r="6002" spans="2:22" x14ac:dyDescent="0.2">
      <c r="B6002" s="25"/>
      <c r="E6002" s="10"/>
      <c r="O6002" s="10"/>
      <c r="V6002" s="10"/>
    </row>
    <row r="6003" spans="2:22" x14ac:dyDescent="0.2">
      <c r="B6003" s="25"/>
      <c r="E6003" s="10"/>
      <c r="O6003" s="10"/>
      <c r="V6003" s="10"/>
    </row>
    <row r="6004" spans="2:22" x14ac:dyDescent="0.2">
      <c r="B6004" s="25"/>
      <c r="E6004" s="10"/>
      <c r="O6004" s="10"/>
      <c r="V6004" s="10"/>
    </row>
    <row r="6005" spans="2:22" x14ac:dyDescent="0.2">
      <c r="B6005" s="25"/>
      <c r="E6005" s="10"/>
      <c r="O6005" s="10"/>
      <c r="V6005" s="10"/>
    </row>
    <row r="6006" spans="2:22" x14ac:dyDescent="0.2">
      <c r="B6006" s="25"/>
      <c r="E6006" s="10"/>
      <c r="O6006" s="10"/>
      <c r="V6006" s="10"/>
    </row>
    <row r="6007" spans="2:22" x14ac:dyDescent="0.2">
      <c r="B6007" s="25"/>
      <c r="E6007" s="10"/>
      <c r="O6007" s="10"/>
      <c r="V6007" s="10"/>
    </row>
    <row r="6008" spans="2:22" x14ac:dyDescent="0.2">
      <c r="B6008" s="25"/>
      <c r="E6008" s="10"/>
      <c r="O6008" s="10"/>
      <c r="V6008" s="10"/>
    </row>
    <row r="6009" spans="2:22" x14ac:dyDescent="0.2">
      <c r="B6009" s="25"/>
      <c r="E6009" s="10"/>
      <c r="O6009" s="10"/>
      <c r="V6009" s="10"/>
    </row>
    <row r="6010" spans="2:22" x14ac:dyDescent="0.2">
      <c r="B6010" s="25"/>
      <c r="E6010" s="10"/>
      <c r="O6010" s="10"/>
      <c r="V6010" s="10"/>
    </row>
    <row r="6011" spans="2:22" x14ac:dyDescent="0.2">
      <c r="B6011" s="25"/>
      <c r="E6011" s="10"/>
      <c r="O6011" s="10"/>
      <c r="V6011" s="10"/>
    </row>
    <row r="6012" spans="2:22" x14ac:dyDescent="0.2">
      <c r="B6012" s="25"/>
      <c r="E6012" s="10"/>
      <c r="O6012" s="10"/>
      <c r="V6012" s="10"/>
    </row>
    <row r="6013" spans="2:22" x14ac:dyDescent="0.2">
      <c r="B6013" s="25"/>
      <c r="E6013" s="10"/>
      <c r="O6013" s="10"/>
      <c r="V6013" s="10"/>
    </row>
    <row r="6014" spans="2:22" x14ac:dyDescent="0.2">
      <c r="B6014" s="25"/>
      <c r="E6014" s="10"/>
      <c r="O6014" s="10"/>
      <c r="V6014" s="10"/>
    </row>
    <row r="6015" spans="2:22" x14ac:dyDescent="0.2">
      <c r="B6015" s="25"/>
      <c r="E6015" s="10"/>
      <c r="O6015" s="10"/>
      <c r="V6015" s="10"/>
    </row>
    <row r="6016" spans="2:22" x14ac:dyDescent="0.2">
      <c r="B6016" s="25"/>
      <c r="E6016" s="10"/>
      <c r="O6016" s="10"/>
      <c r="V6016" s="10"/>
    </row>
    <row r="6017" spans="2:22" x14ac:dyDescent="0.2">
      <c r="B6017" s="25"/>
      <c r="E6017" s="10"/>
      <c r="O6017" s="10"/>
      <c r="V6017" s="10"/>
    </row>
    <row r="6018" spans="2:22" x14ac:dyDescent="0.2">
      <c r="B6018" s="25"/>
      <c r="E6018" s="10"/>
      <c r="O6018" s="10"/>
      <c r="V6018" s="10"/>
    </row>
    <row r="6019" spans="2:22" x14ac:dyDescent="0.2">
      <c r="B6019" s="25"/>
      <c r="E6019" s="10"/>
      <c r="O6019" s="10"/>
      <c r="V6019" s="10"/>
    </row>
    <row r="6020" spans="2:22" x14ac:dyDescent="0.2">
      <c r="B6020" s="25"/>
      <c r="E6020" s="10"/>
      <c r="O6020" s="10"/>
      <c r="V6020" s="10"/>
    </row>
    <row r="6021" spans="2:22" x14ac:dyDescent="0.2">
      <c r="B6021" s="25"/>
      <c r="E6021" s="10"/>
      <c r="O6021" s="10"/>
      <c r="V6021" s="10"/>
    </row>
    <row r="6022" spans="2:22" x14ac:dyDescent="0.2">
      <c r="B6022" s="25"/>
      <c r="E6022" s="10"/>
      <c r="O6022" s="10"/>
      <c r="V6022" s="10"/>
    </row>
    <row r="6023" spans="2:22" x14ac:dyDescent="0.2">
      <c r="B6023" s="25"/>
      <c r="E6023" s="10"/>
      <c r="O6023" s="10"/>
      <c r="V6023" s="10"/>
    </row>
    <row r="6024" spans="2:22" x14ac:dyDescent="0.2">
      <c r="B6024" s="25"/>
      <c r="E6024" s="10"/>
      <c r="O6024" s="10"/>
      <c r="V6024" s="10"/>
    </row>
    <row r="6025" spans="2:22" x14ac:dyDescent="0.2">
      <c r="B6025" s="25"/>
      <c r="E6025" s="10"/>
      <c r="O6025" s="10"/>
      <c r="V6025" s="10"/>
    </row>
    <row r="6026" spans="2:22" x14ac:dyDescent="0.2">
      <c r="B6026" s="25"/>
      <c r="E6026" s="10"/>
      <c r="O6026" s="10"/>
      <c r="V6026" s="10"/>
    </row>
    <row r="6027" spans="2:22" x14ac:dyDescent="0.2">
      <c r="B6027" s="25"/>
      <c r="E6027" s="10"/>
      <c r="O6027" s="10"/>
      <c r="V6027" s="10"/>
    </row>
    <row r="6028" spans="2:22" x14ac:dyDescent="0.2">
      <c r="B6028" s="25"/>
      <c r="E6028" s="10"/>
      <c r="O6028" s="10"/>
      <c r="V6028" s="10"/>
    </row>
    <row r="6029" spans="2:22" x14ac:dyDescent="0.2">
      <c r="B6029" s="25"/>
      <c r="E6029" s="10"/>
      <c r="O6029" s="10"/>
      <c r="V6029" s="10"/>
    </row>
    <row r="6030" spans="2:22" x14ac:dyDescent="0.2">
      <c r="B6030" s="25"/>
      <c r="E6030" s="10"/>
      <c r="O6030" s="10"/>
      <c r="V6030" s="10"/>
    </row>
    <row r="6031" spans="2:22" x14ac:dyDescent="0.2">
      <c r="B6031" s="25"/>
      <c r="E6031" s="10"/>
      <c r="O6031" s="10"/>
      <c r="V6031" s="10"/>
    </row>
    <row r="6032" spans="2:22" x14ac:dyDescent="0.2">
      <c r="B6032" s="25"/>
      <c r="E6032" s="10"/>
      <c r="O6032" s="10"/>
      <c r="V6032" s="10"/>
    </row>
    <row r="6033" spans="2:22" x14ac:dyDescent="0.2">
      <c r="B6033" s="25"/>
      <c r="E6033" s="10"/>
      <c r="O6033" s="10"/>
      <c r="V6033" s="10"/>
    </row>
    <row r="6034" spans="2:22" x14ac:dyDescent="0.2">
      <c r="B6034" s="25"/>
      <c r="E6034" s="10"/>
      <c r="O6034" s="10"/>
      <c r="V6034" s="10"/>
    </row>
    <row r="6035" spans="2:22" x14ac:dyDescent="0.2">
      <c r="B6035" s="25"/>
      <c r="E6035" s="10"/>
      <c r="O6035" s="10"/>
      <c r="V6035" s="10"/>
    </row>
    <row r="6036" spans="2:22" x14ac:dyDescent="0.2">
      <c r="B6036" s="25"/>
      <c r="E6036" s="10"/>
      <c r="O6036" s="10"/>
      <c r="V6036" s="10"/>
    </row>
    <row r="6037" spans="2:22" x14ac:dyDescent="0.2">
      <c r="B6037" s="25"/>
      <c r="E6037" s="10"/>
      <c r="O6037" s="10"/>
      <c r="V6037" s="10"/>
    </row>
    <row r="6038" spans="2:22" x14ac:dyDescent="0.2">
      <c r="B6038" s="25"/>
      <c r="E6038" s="10"/>
      <c r="O6038" s="10"/>
      <c r="V6038" s="10"/>
    </row>
    <row r="6039" spans="2:22" x14ac:dyDescent="0.2">
      <c r="B6039" s="25"/>
      <c r="E6039" s="10"/>
      <c r="O6039" s="10"/>
      <c r="V6039" s="10"/>
    </row>
    <row r="6040" spans="2:22" x14ac:dyDescent="0.2">
      <c r="B6040" s="25"/>
      <c r="E6040" s="10"/>
      <c r="O6040" s="10"/>
      <c r="V6040" s="10"/>
    </row>
    <row r="6041" spans="2:22" x14ac:dyDescent="0.2">
      <c r="B6041" s="25"/>
      <c r="E6041" s="10"/>
      <c r="O6041" s="10"/>
      <c r="V6041" s="10"/>
    </row>
    <row r="6042" spans="2:22" x14ac:dyDescent="0.2">
      <c r="B6042" s="25"/>
      <c r="E6042" s="10"/>
      <c r="O6042" s="10"/>
      <c r="V6042" s="10"/>
    </row>
    <row r="6043" spans="2:22" x14ac:dyDescent="0.2">
      <c r="B6043" s="25"/>
      <c r="E6043" s="10"/>
      <c r="O6043" s="10"/>
      <c r="V6043" s="10"/>
    </row>
    <row r="6044" spans="2:22" x14ac:dyDescent="0.2">
      <c r="B6044" s="25"/>
      <c r="E6044" s="10"/>
      <c r="O6044" s="10"/>
      <c r="V6044" s="10"/>
    </row>
    <row r="6045" spans="2:22" x14ac:dyDescent="0.2">
      <c r="B6045" s="25"/>
      <c r="E6045" s="10"/>
      <c r="O6045" s="10"/>
      <c r="V6045" s="10"/>
    </row>
    <row r="6046" spans="2:22" x14ac:dyDescent="0.2">
      <c r="B6046" s="25"/>
      <c r="E6046" s="10"/>
      <c r="O6046" s="10"/>
      <c r="V6046" s="10"/>
    </row>
    <row r="6047" spans="2:22" x14ac:dyDescent="0.2">
      <c r="B6047" s="25"/>
      <c r="E6047" s="10"/>
      <c r="O6047" s="10"/>
      <c r="V6047" s="10"/>
    </row>
    <row r="6048" spans="2:22" x14ac:dyDescent="0.2">
      <c r="B6048" s="25"/>
      <c r="E6048" s="10"/>
      <c r="O6048" s="10"/>
      <c r="V6048" s="10"/>
    </row>
    <row r="6049" spans="2:22" x14ac:dyDescent="0.2">
      <c r="B6049" s="25"/>
      <c r="E6049" s="10"/>
      <c r="O6049" s="10"/>
      <c r="V6049" s="10"/>
    </row>
    <row r="6050" spans="2:22" x14ac:dyDescent="0.2">
      <c r="B6050" s="25"/>
      <c r="E6050" s="10"/>
      <c r="O6050" s="10"/>
      <c r="V6050" s="10"/>
    </row>
    <row r="6051" spans="2:22" x14ac:dyDescent="0.2">
      <c r="B6051" s="25"/>
      <c r="E6051" s="10"/>
      <c r="O6051" s="10"/>
      <c r="V6051" s="10"/>
    </row>
    <row r="6052" spans="2:22" x14ac:dyDescent="0.2">
      <c r="B6052" s="25"/>
      <c r="E6052" s="10"/>
      <c r="O6052" s="10"/>
      <c r="V6052" s="10"/>
    </row>
    <row r="6053" spans="2:22" x14ac:dyDescent="0.2">
      <c r="B6053" s="25"/>
      <c r="E6053" s="10"/>
      <c r="O6053" s="10"/>
      <c r="V6053" s="10"/>
    </row>
    <row r="6054" spans="2:22" x14ac:dyDescent="0.2">
      <c r="B6054" s="25"/>
      <c r="E6054" s="10"/>
      <c r="O6054" s="10"/>
      <c r="V6054" s="10"/>
    </row>
    <row r="6055" spans="2:22" x14ac:dyDescent="0.2">
      <c r="B6055" s="25"/>
      <c r="E6055" s="10"/>
      <c r="O6055" s="10"/>
      <c r="V6055" s="10"/>
    </row>
    <row r="6056" spans="2:22" x14ac:dyDescent="0.2">
      <c r="B6056" s="25"/>
      <c r="E6056" s="10"/>
      <c r="O6056" s="10"/>
      <c r="V6056" s="10"/>
    </row>
    <row r="6057" spans="2:22" x14ac:dyDescent="0.2">
      <c r="B6057" s="25"/>
      <c r="E6057" s="10"/>
      <c r="O6057" s="10"/>
      <c r="V6057" s="10"/>
    </row>
    <row r="6058" spans="2:22" x14ac:dyDescent="0.2">
      <c r="B6058" s="25"/>
      <c r="E6058" s="10"/>
      <c r="O6058" s="10"/>
      <c r="V6058" s="10"/>
    </row>
    <row r="6059" spans="2:22" x14ac:dyDescent="0.2">
      <c r="B6059" s="25"/>
      <c r="E6059" s="10"/>
      <c r="O6059" s="10"/>
      <c r="V6059" s="10"/>
    </row>
    <row r="6060" spans="2:22" x14ac:dyDescent="0.2">
      <c r="B6060" s="25"/>
      <c r="E6060" s="10"/>
      <c r="O6060" s="10"/>
      <c r="V6060" s="10"/>
    </row>
    <row r="6061" spans="2:22" x14ac:dyDescent="0.2">
      <c r="B6061" s="25"/>
      <c r="E6061" s="10"/>
      <c r="O6061" s="10"/>
      <c r="V6061" s="10"/>
    </row>
    <row r="6062" spans="2:22" x14ac:dyDescent="0.2">
      <c r="B6062" s="25"/>
      <c r="E6062" s="10"/>
      <c r="O6062" s="10"/>
      <c r="V6062" s="10"/>
    </row>
    <row r="6063" spans="2:22" x14ac:dyDescent="0.2">
      <c r="B6063" s="25"/>
      <c r="E6063" s="10"/>
      <c r="O6063" s="10"/>
      <c r="V6063" s="10"/>
    </row>
    <row r="6064" spans="2:22" x14ac:dyDescent="0.2">
      <c r="B6064" s="25"/>
      <c r="E6064" s="10"/>
      <c r="O6064" s="10"/>
      <c r="V6064" s="10"/>
    </row>
    <row r="6065" spans="2:22" x14ac:dyDescent="0.2">
      <c r="B6065" s="25"/>
      <c r="E6065" s="10"/>
      <c r="O6065" s="10"/>
      <c r="V6065" s="10"/>
    </row>
    <row r="6066" spans="2:22" x14ac:dyDescent="0.2">
      <c r="B6066" s="25"/>
      <c r="E6066" s="10"/>
      <c r="O6066" s="10"/>
      <c r="V6066" s="10"/>
    </row>
    <row r="6067" spans="2:22" x14ac:dyDescent="0.2">
      <c r="B6067" s="25"/>
      <c r="E6067" s="10"/>
      <c r="O6067" s="10"/>
      <c r="V6067" s="10"/>
    </row>
    <row r="6068" spans="2:22" x14ac:dyDescent="0.2">
      <c r="B6068" s="25"/>
      <c r="E6068" s="10"/>
      <c r="O6068" s="10"/>
      <c r="V6068" s="10"/>
    </row>
    <row r="6069" spans="2:22" x14ac:dyDescent="0.2">
      <c r="B6069" s="25"/>
      <c r="E6069" s="10"/>
      <c r="O6069" s="10"/>
      <c r="V6069" s="10"/>
    </row>
    <row r="6070" spans="2:22" x14ac:dyDescent="0.2">
      <c r="B6070" s="25"/>
      <c r="E6070" s="10"/>
      <c r="O6070" s="10"/>
      <c r="V6070" s="10"/>
    </row>
    <row r="6071" spans="2:22" x14ac:dyDescent="0.2">
      <c r="B6071" s="25"/>
      <c r="E6071" s="10"/>
      <c r="O6071" s="10"/>
      <c r="V6071" s="10"/>
    </row>
    <row r="6072" spans="2:22" x14ac:dyDescent="0.2">
      <c r="B6072" s="25"/>
      <c r="E6072" s="10"/>
      <c r="O6072" s="10"/>
      <c r="V6072" s="10"/>
    </row>
    <row r="6073" spans="2:22" x14ac:dyDescent="0.2">
      <c r="B6073" s="25"/>
      <c r="E6073" s="10"/>
      <c r="O6073" s="10"/>
      <c r="V6073" s="10"/>
    </row>
    <row r="6074" spans="2:22" x14ac:dyDescent="0.2">
      <c r="B6074" s="25"/>
      <c r="E6074" s="10"/>
      <c r="O6074" s="10"/>
      <c r="V6074" s="10"/>
    </row>
    <row r="6075" spans="2:22" x14ac:dyDescent="0.2">
      <c r="B6075" s="25"/>
      <c r="E6075" s="10"/>
      <c r="O6075" s="10"/>
      <c r="V6075" s="10"/>
    </row>
    <row r="6076" spans="2:22" x14ac:dyDescent="0.2">
      <c r="B6076" s="25"/>
      <c r="E6076" s="10"/>
      <c r="O6076" s="10"/>
      <c r="V6076" s="10"/>
    </row>
    <row r="6077" spans="2:22" x14ac:dyDescent="0.2">
      <c r="B6077" s="25"/>
      <c r="E6077" s="10"/>
      <c r="O6077" s="10"/>
      <c r="V6077" s="10"/>
    </row>
    <row r="6078" spans="2:22" x14ac:dyDescent="0.2">
      <c r="B6078" s="25"/>
      <c r="E6078" s="10"/>
      <c r="O6078" s="10"/>
      <c r="V6078" s="10"/>
    </row>
    <row r="6079" spans="2:22" x14ac:dyDescent="0.2">
      <c r="B6079" s="25"/>
      <c r="E6079" s="10"/>
      <c r="O6079" s="10"/>
      <c r="V6079" s="10"/>
    </row>
    <row r="6080" spans="2:22" x14ac:dyDescent="0.2">
      <c r="B6080" s="25"/>
      <c r="E6080" s="10"/>
      <c r="O6080" s="10"/>
      <c r="V6080" s="10"/>
    </row>
    <row r="6081" spans="2:22" x14ac:dyDescent="0.2">
      <c r="B6081" s="25"/>
      <c r="E6081" s="10"/>
      <c r="O6081" s="10"/>
      <c r="V6081" s="10"/>
    </row>
    <row r="6082" spans="2:22" x14ac:dyDescent="0.2">
      <c r="B6082" s="25"/>
      <c r="E6082" s="10"/>
      <c r="O6082" s="10"/>
      <c r="V6082" s="10"/>
    </row>
    <row r="6083" spans="2:22" x14ac:dyDescent="0.2">
      <c r="B6083" s="25"/>
      <c r="E6083" s="10"/>
      <c r="O6083" s="10"/>
      <c r="V6083" s="10"/>
    </row>
    <row r="6084" spans="2:22" x14ac:dyDescent="0.2">
      <c r="B6084" s="25"/>
      <c r="E6084" s="10"/>
      <c r="O6084" s="10"/>
      <c r="V6084" s="10"/>
    </row>
    <row r="6085" spans="2:22" x14ac:dyDescent="0.2">
      <c r="B6085" s="25"/>
      <c r="E6085" s="10"/>
      <c r="O6085" s="10"/>
      <c r="V6085" s="10"/>
    </row>
    <row r="6086" spans="2:22" x14ac:dyDescent="0.2">
      <c r="B6086" s="25"/>
      <c r="E6086" s="10"/>
      <c r="O6086" s="10"/>
      <c r="V6086" s="10"/>
    </row>
    <row r="6087" spans="2:22" x14ac:dyDescent="0.2">
      <c r="B6087" s="25"/>
      <c r="E6087" s="10"/>
      <c r="O6087" s="10"/>
      <c r="V6087" s="10"/>
    </row>
    <row r="6088" spans="2:22" x14ac:dyDescent="0.2">
      <c r="B6088" s="25"/>
      <c r="E6088" s="10"/>
      <c r="O6088" s="10"/>
      <c r="V6088" s="10"/>
    </row>
    <row r="6089" spans="2:22" x14ac:dyDescent="0.2">
      <c r="B6089" s="25"/>
      <c r="E6089" s="10"/>
      <c r="O6089" s="10"/>
      <c r="V6089" s="10"/>
    </row>
    <row r="6090" spans="2:22" x14ac:dyDescent="0.2">
      <c r="B6090" s="25"/>
      <c r="E6090" s="10"/>
      <c r="O6090" s="10"/>
      <c r="V6090" s="10"/>
    </row>
    <row r="6091" spans="2:22" x14ac:dyDescent="0.2">
      <c r="B6091" s="25"/>
      <c r="E6091" s="10"/>
      <c r="O6091" s="10"/>
      <c r="V6091" s="10"/>
    </row>
    <row r="6092" spans="2:22" x14ac:dyDescent="0.2">
      <c r="B6092" s="25"/>
      <c r="E6092" s="10"/>
      <c r="O6092" s="10"/>
      <c r="V6092" s="10"/>
    </row>
    <row r="6093" spans="2:22" x14ac:dyDescent="0.2">
      <c r="B6093" s="25"/>
      <c r="E6093" s="10"/>
      <c r="O6093" s="10"/>
      <c r="V6093" s="10"/>
    </row>
    <row r="6094" spans="2:22" x14ac:dyDescent="0.2">
      <c r="B6094" s="25"/>
      <c r="E6094" s="10"/>
      <c r="O6094" s="10"/>
      <c r="V6094" s="10"/>
    </row>
    <row r="6095" spans="2:22" x14ac:dyDescent="0.2">
      <c r="B6095" s="25"/>
      <c r="E6095" s="10"/>
      <c r="O6095" s="10"/>
      <c r="V6095" s="10"/>
    </row>
    <row r="6096" spans="2:22" x14ac:dyDescent="0.2">
      <c r="B6096" s="25"/>
      <c r="E6096" s="10"/>
      <c r="O6096" s="10"/>
      <c r="V6096" s="10"/>
    </row>
    <row r="6097" spans="2:22" x14ac:dyDescent="0.2">
      <c r="B6097" s="25"/>
      <c r="E6097" s="10"/>
      <c r="O6097" s="10"/>
      <c r="V6097" s="10"/>
    </row>
    <row r="6098" spans="2:22" x14ac:dyDescent="0.2">
      <c r="B6098" s="25"/>
      <c r="E6098" s="10"/>
      <c r="O6098" s="10"/>
      <c r="V6098" s="10"/>
    </row>
    <row r="6099" spans="2:22" x14ac:dyDescent="0.2">
      <c r="B6099" s="25"/>
      <c r="E6099" s="10"/>
      <c r="O6099" s="10"/>
      <c r="V6099" s="10"/>
    </row>
    <row r="6100" spans="2:22" x14ac:dyDescent="0.2">
      <c r="B6100" s="25"/>
      <c r="E6100" s="10"/>
      <c r="O6100" s="10"/>
      <c r="V6100" s="10"/>
    </row>
    <row r="6101" spans="2:22" x14ac:dyDescent="0.2">
      <c r="B6101" s="25"/>
      <c r="E6101" s="10"/>
      <c r="O6101" s="10"/>
      <c r="V6101" s="10"/>
    </row>
    <row r="6102" spans="2:22" x14ac:dyDescent="0.2">
      <c r="B6102" s="25"/>
      <c r="E6102" s="10"/>
      <c r="O6102" s="10"/>
      <c r="V6102" s="10"/>
    </row>
    <row r="6103" spans="2:22" x14ac:dyDescent="0.2">
      <c r="B6103" s="25"/>
      <c r="E6103" s="10"/>
      <c r="O6103" s="10"/>
      <c r="V6103" s="10"/>
    </row>
    <row r="6104" spans="2:22" x14ac:dyDescent="0.2">
      <c r="B6104" s="25"/>
      <c r="E6104" s="10"/>
      <c r="O6104" s="10"/>
      <c r="V6104" s="10"/>
    </row>
    <row r="6105" spans="2:22" x14ac:dyDescent="0.2">
      <c r="B6105" s="25"/>
      <c r="E6105" s="10"/>
      <c r="O6105" s="10"/>
      <c r="V6105" s="10"/>
    </row>
    <row r="6106" spans="2:22" x14ac:dyDescent="0.2">
      <c r="B6106" s="25"/>
      <c r="E6106" s="10"/>
      <c r="O6106" s="10"/>
      <c r="V6106" s="10"/>
    </row>
    <row r="6107" spans="2:22" x14ac:dyDescent="0.2">
      <c r="B6107" s="25"/>
      <c r="E6107" s="10"/>
      <c r="O6107" s="10"/>
      <c r="V6107" s="10"/>
    </row>
    <row r="6108" spans="2:22" x14ac:dyDescent="0.2">
      <c r="B6108" s="25"/>
      <c r="E6108" s="10"/>
      <c r="O6108" s="10"/>
      <c r="V6108" s="10"/>
    </row>
    <row r="6109" spans="2:22" x14ac:dyDescent="0.2">
      <c r="B6109" s="25"/>
      <c r="E6109" s="10"/>
      <c r="O6109" s="10"/>
      <c r="V6109" s="10"/>
    </row>
    <row r="6110" spans="2:22" x14ac:dyDescent="0.2">
      <c r="B6110" s="25"/>
      <c r="E6110" s="10"/>
      <c r="O6110" s="10"/>
      <c r="V6110" s="10"/>
    </row>
    <row r="6111" spans="2:22" x14ac:dyDescent="0.2">
      <c r="B6111" s="25"/>
      <c r="E6111" s="10"/>
      <c r="O6111" s="10"/>
      <c r="V6111" s="10"/>
    </row>
    <row r="6112" spans="2:22" x14ac:dyDescent="0.2">
      <c r="B6112" s="25"/>
      <c r="E6112" s="10"/>
      <c r="O6112" s="10"/>
      <c r="V6112" s="10"/>
    </row>
    <row r="6113" spans="2:22" x14ac:dyDescent="0.2">
      <c r="B6113" s="25"/>
      <c r="E6113" s="10"/>
      <c r="O6113" s="10"/>
      <c r="V6113" s="10"/>
    </row>
    <row r="6114" spans="2:22" x14ac:dyDescent="0.2">
      <c r="B6114" s="25"/>
      <c r="E6114" s="10"/>
      <c r="O6114" s="10"/>
      <c r="V6114" s="10"/>
    </row>
    <row r="6115" spans="2:22" x14ac:dyDescent="0.2">
      <c r="B6115" s="25"/>
      <c r="E6115" s="10"/>
      <c r="O6115" s="10"/>
      <c r="V6115" s="10"/>
    </row>
    <row r="6116" spans="2:22" x14ac:dyDescent="0.2">
      <c r="B6116" s="25"/>
      <c r="E6116" s="10"/>
      <c r="O6116" s="10"/>
      <c r="V6116" s="10"/>
    </row>
    <row r="6117" spans="2:22" x14ac:dyDescent="0.2">
      <c r="B6117" s="25"/>
      <c r="E6117" s="10"/>
      <c r="O6117" s="10"/>
      <c r="V6117" s="10"/>
    </row>
    <row r="6118" spans="2:22" x14ac:dyDescent="0.2">
      <c r="B6118" s="25"/>
      <c r="E6118" s="10"/>
      <c r="O6118" s="10"/>
      <c r="V6118" s="10"/>
    </row>
    <row r="6119" spans="2:22" x14ac:dyDescent="0.2">
      <c r="B6119" s="25"/>
      <c r="E6119" s="10"/>
      <c r="O6119" s="10"/>
      <c r="V6119" s="10"/>
    </row>
    <row r="6120" spans="2:22" x14ac:dyDescent="0.2">
      <c r="B6120" s="25"/>
      <c r="E6120" s="10"/>
      <c r="O6120" s="10"/>
      <c r="V6120" s="10"/>
    </row>
    <row r="6121" spans="2:22" x14ac:dyDescent="0.2">
      <c r="B6121" s="25"/>
      <c r="E6121" s="10"/>
      <c r="O6121" s="10"/>
      <c r="V6121" s="10"/>
    </row>
    <row r="6122" spans="2:22" x14ac:dyDescent="0.2">
      <c r="B6122" s="25"/>
      <c r="E6122" s="10"/>
      <c r="O6122" s="10"/>
      <c r="V6122" s="10"/>
    </row>
    <row r="6123" spans="2:22" x14ac:dyDescent="0.2">
      <c r="B6123" s="25"/>
      <c r="E6123" s="10"/>
      <c r="O6123" s="10"/>
      <c r="V6123" s="10"/>
    </row>
    <row r="6124" spans="2:22" x14ac:dyDescent="0.2">
      <c r="B6124" s="25"/>
      <c r="E6124" s="10"/>
      <c r="O6124" s="10"/>
      <c r="V6124" s="10"/>
    </row>
    <row r="6125" spans="2:22" x14ac:dyDescent="0.2">
      <c r="B6125" s="25"/>
      <c r="E6125" s="10"/>
      <c r="O6125" s="10"/>
      <c r="V6125" s="10"/>
    </row>
    <row r="6126" spans="2:22" x14ac:dyDescent="0.2">
      <c r="B6126" s="25"/>
      <c r="E6126" s="10"/>
      <c r="O6126" s="10"/>
      <c r="V6126" s="10"/>
    </row>
    <row r="6127" spans="2:22" x14ac:dyDescent="0.2">
      <c r="B6127" s="25"/>
      <c r="E6127" s="10"/>
      <c r="O6127" s="10"/>
      <c r="V6127" s="10"/>
    </row>
    <row r="6128" spans="2:22" x14ac:dyDescent="0.2">
      <c r="B6128" s="25"/>
      <c r="E6128" s="10"/>
      <c r="O6128" s="10"/>
      <c r="V6128" s="10"/>
    </row>
    <row r="6129" spans="2:22" x14ac:dyDescent="0.2">
      <c r="B6129" s="25"/>
      <c r="E6129" s="10"/>
      <c r="O6129" s="10"/>
      <c r="V6129" s="10"/>
    </row>
    <row r="6130" spans="2:22" x14ac:dyDescent="0.2">
      <c r="B6130" s="25"/>
      <c r="E6130" s="10"/>
      <c r="O6130" s="10"/>
      <c r="V6130" s="10"/>
    </row>
    <row r="6131" spans="2:22" x14ac:dyDescent="0.2">
      <c r="B6131" s="25"/>
      <c r="E6131" s="10"/>
      <c r="O6131" s="10"/>
      <c r="V6131" s="10"/>
    </row>
    <row r="6132" spans="2:22" x14ac:dyDescent="0.2">
      <c r="B6132" s="25"/>
      <c r="E6132" s="10"/>
      <c r="O6132" s="10"/>
      <c r="V6132" s="10"/>
    </row>
    <row r="6133" spans="2:22" x14ac:dyDescent="0.2">
      <c r="B6133" s="25"/>
      <c r="E6133" s="10"/>
      <c r="O6133" s="10"/>
      <c r="V6133" s="10"/>
    </row>
    <row r="6134" spans="2:22" x14ac:dyDescent="0.2">
      <c r="B6134" s="25"/>
      <c r="E6134" s="10"/>
      <c r="O6134" s="10"/>
      <c r="V6134" s="10"/>
    </row>
    <row r="6135" spans="2:22" x14ac:dyDescent="0.2">
      <c r="B6135" s="25"/>
      <c r="E6135" s="10"/>
      <c r="O6135" s="10"/>
      <c r="V6135" s="10"/>
    </row>
    <row r="6136" spans="2:22" x14ac:dyDescent="0.2">
      <c r="B6136" s="25"/>
      <c r="E6136" s="10"/>
      <c r="O6136" s="10"/>
      <c r="V6136" s="10"/>
    </row>
    <row r="6137" spans="2:22" x14ac:dyDescent="0.2">
      <c r="B6137" s="25"/>
      <c r="E6137" s="10"/>
      <c r="O6137" s="10"/>
      <c r="V6137" s="10"/>
    </row>
    <row r="6138" spans="2:22" x14ac:dyDescent="0.2">
      <c r="B6138" s="25"/>
      <c r="E6138" s="10"/>
      <c r="O6138" s="10"/>
      <c r="V6138" s="10"/>
    </row>
    <row r="6139" spans="2:22" x14ac:dyDescent="0.2">
      <c r="B6139" s="25"/>
      <c r="E6139" s="10"/>
      <c r="O6139" s="10"/>
      <c r="V6139" s="10"/>
    </row>
    <row r="6140" spans="2:22" x14ac:dyDescent="0.2">
      <c r="B6140" s="25"/>
      <c r="E6140" s="10"/>
      <c r="O6140" s="10"/>
      <c r="V6140" s="10"/>
    </row>
    <row r="6141" spans="2:22" x14ac:dyDescent="0.2">
      <c r="B6141" s="25"/>
      <c r="E6141" s="10"/>
      <c r="O6141" s="10"/>
      <c r="V6141" s="10"/>
    </row>
    <row r="6142" spans="2:22" x14ac:dyDescent="0.2">
      <c r="B6142" s="25"/>
      <c r="E6142" s="10"/>
      <c r="O6142" s="10"/>
      <c r="V6142" s="10"/>
    </row>
    <row r="6143" spans="2:22" x14ac:dyDescent="0.2">
      <c r="B6143" s="25"/>
      <c r="E6143" s="10"/>
      <c r="O6143" s="10"/>
      <c r="V6143" s="10"/>
    </row>
    <row r="6144" spans="2:22" x14ac:dyDescent="0.2">
      <c r="B6144" s="25"/>
      <c r="E6144" s="10"/>
      <c r="O6144" s="10"/>
      <c r="V6144" s="10"/>
    </row>
    <row r="6145" spans="2:22" x14ac:dyDescent="0.2">
      <c r="B6145" s="25"/>
      <c r="E6145" s="10"/>
      <c r="O6145" s="10"/>
      <c r="V6145" s="10"/>
    </row>
    <row r="6146" spans="2:22" x14ac:dyDescent="0.2">
      <c r="B6146" s="25"/>
      <c r="E6146" s="10"/>
      <c r="O6146" s="10"/>
      <c r="V6146" s="10"/>
    </row>
    <row r="6147" spans="2:22" x14ac:dyDescent="0.2">
      <c r="B6147" s="25"/>
      <c r="E6147" s="10"/>
      <c r="O6147" s="10"/>
      <c r="V6147" s="10"/>
    </row>
    <row r="6148" spans="2:22" x14ac:dyDescent="0.2">
      <c r="B6148" s="25"/>
      <c r="E6148" s="10"/>
      <c r="O6148" s="10"/>
      <c r="V6148" s="10"/>
    </row>
    <row r="6149" spans="2:22" x14ac:dyDescent="0.2">
      <c r="B6149" s="25"/>
      <c r="E6149" s="10"/>
      <c r="O6149" s="10"/>
      <c r="V6149" s="10"/>
    </row>
    <row r="6150" spans="2:22" x14ac:dyDescent="0.2">
      <c r="B6150" s="25"/>
      <c r="E6150" s="10"/>
      <c r="O6150" s="10"/>
      <c r="V6150" s="10"/>
    </row>
    <row r="6151" spans="2:22" x14ac:dyDescent="0.2">
      <c r="B6151" s="25"/>
      <c r="E6151" s="10"/>
      <c r="O6151" s="10"/>
      <c r="V6151" s="10"/>
    </row>
    <row r="6152" spans="2:22" x14ac:dyDescent="0.2">
      <c r="B6152" s="25"/>
      <c r="E6152" s="10"/>
      <c r="O6152" s="10"/>
      <c r="V6152" s="10"/>
    </row>
    <row r="6153" spans="2:22" x14ac:dyDescent="0.2">
      <c r="B6153" s="25"/>
      <c r="E6153" s="10"/>
      <c r="O6153" s="10"/>
      <c r="V6153" s="10"/>
    </row>
    <row r="6154" spans="2:22" x14ac:dyDescent="0.2">
      <c r="B6154" s="25"/>
      <c r="E6154" s="10"/>
      <c r="O6154" s="10"/>
      <c r="V6154" s="10"/>
    </row>
    <row r="6155" spans="2:22" x14ac:dyDescent="0.2">
      <c r="B6155" s="25"/>
      <c r="E6155" s="10"/>
      <c r="O6155" s="10"/>
      <c r="V6155" s="10"/>
    </row>
    <row r="6156" spans="2:22" x14ac:dyDescent="0.2">
      <c r="B6156" s="25"/>
      <c r="E6156" s="10"/>
      <c r="O6156" s="10"/>
      <c r="V6156" s="10"/>
    </row>
    <row r="6157" spans="2:22" x14ac:dyDescent="0.2">
      <c r="B6157" s="25"/>
      <c r="E6157" s="10"/>
      <c r="O6157" s="10"/>
      <c r="V6157" s="10"/>
    </row>
    <row r="6158" spans="2:22" x14ac:dyDescent="0.2">
      <c r="B6158" s="25"/>
      <c r="E6158" s="10"/>
      <c r="O6158" s="10"/>
      <c r="V6158" s="10"/>
    </row>
    <row r="6159" spans="2:22" x14ac:dyDescent="0.2">
      <c r="B6159" s="25"/>
      <c r="E6159" s="10"/>
      <c r="O6159" s="10"/>
      <c r="V6159" s="10"/>
    </row>
    <row r="6160" spans="2:22" x14ac:dyDescent="0.2">
      <c r="B6160" s="25"/>
      <c r="E6160" s="10"/>
      <c r="O6160" s="10"/>
      <c r="V6160" s="10"/>
    </row>
    <row r="6161" spans="2:22" x14ac:dyDescent="0.2">
      <c r="B6161" s="25"/>
      <c r="E6161" s="10"/>
      <c r="O6161" s="10"/>
      <c r="V6161" s="10"/>
    </row>
    <row r="6162" spans="2:22" x14ac:dyDescent="0.2">
      <c r="B6162" s="25"/>
      <c r="E6162" s="10"/>
      <c r="O6162" s="10"/>
      <c r="V6162" s="10"/>
    </row>
    <row r="6163" spans="2:22" x14ac:dyDescent="0.2">
      <c r="B6163" s="25"/>
      <c r="E6163" s="10"/>
      <c r="O6163" s="10"/>
      <c r="V6163" s="10"/>
    </row>
    <row r="6164" spans="2:22" x14ac:dyDescent="0.2">
      <c r="B6164" s="25"/>
      <c r="E6164" s="10"/>
      <c r="O6164" s="10"/>
      <c r="V6164" s="10"/>
    </row>
    <row r="6165" spans="2:22" x14ac:dyDescent="0.2">
      <c r="B6165" s="25"/>
      <c r="E6165" s="10"/>
      <c r="O6165" s="10"/>
      <c r="V6165" s="10"/>
    </row>
    <row r="6166" spans="2:22" x14ac:dyDescent="0.2">
      <c r="B6166" s="25"/>
      <c r="E6166" s="10"/>
      <c r="O6166" s="10"/>
      <c r="V6166" s="10"/>
    </row>
    <row r="6167" spans="2:22" x14ac:dyDescent="0.2">
      <c r="B6167" s="25"/>
      <c r="E6167" s="10"/>
      <c r="O6167" s="10"/>
      <c r="V6167" s="10"/>
    </row>
    <row r="6168" spans="2:22" x14ac:dyDescent="0.2">
      <c r="B6168" s="25"/>
      <c r="E6168" s="10"/>
      <c r="O6168" s="10"/>
      <c r="V6168" s="10"/>
    </row>
    <row r="6169" spans="2:22" x14ac:dyDescent="0.2">
      <c r="B6169" s="25"/>
      <c r="E6169" s="10"/>
      <c r="O6169" s="10"/>
      <c r="V6169" s="10"/>
    </row>
    <row r="6170" spans="2:22" x14ac:dyDescent="0.2">
      <c r="B6170" s="25"/>
      <c r="E6170" s="10"/>
      <c r="O6170" s="10"/>
      <c r="V6170" s="10"/>
    </row>
    <row r="6171" spans="2:22" x14ac:dyDescent="0.2">
      <c r="B6171" s="25"/>
      <c r="E6171" s="10"/>
      <c r="O6171" s="10"/>
      <c r="V6171" s="10"/>
    </row>
    <row r="6172" spans="2:22" x14ac:dyDescent="0.2">
      <c r="B6172" s="25"/>
      <c r="E6172" s="10"/>
      <c r="O6172" s="10"/>
      <c r="V6172" s="10"/>
    </row>
    <row r="6173" spans="2:22" x14ac:dyDescent="0.2">
      <c r="B6173" s="25"/>
      <c r="E6173" s="10"/>
      <c r="O6173" s="10"/>
      <c r="V6173" s="10"/>
    </row>
    <row r="6174" spans="2:22" x14ac:dyDescent="0.2">
      <c r="B6174" s="25"/>
      <c r="E6174" s="10"/>
      <c r="O6174" s="10"/>
      <c r="V6174" s="10"/>
    </row>
    <row r="6175" spans="2:22" x14ac:dyDescent="0.2">
      <c r="B6175" s="25"/>
      <c r="E6175" s="10"/>
      <c r="O6175" s="10"/>
      <c r="V6175" s="10"/>
    </row>
    <row r="6176" spans="2:22" x14ac:dyDescent="0.2">
      <c r="B6176" s="25"/>
      <c r="E6176" s="10"/>
      <c r="O6176" s="10"/>
      <c r="V6176" s="10"/>
    </row>
    <row r="6177" spans="2:22" x14ac:dyDescent="0.2">
      <c r="B6177" s="25"/>
      <c r="E6177" s="10"/>
      <c r="O6177" s="10"/>
      <c r="V6177" s="10"/>
    </row>
    <row r="6178" spans="2:22" x14ac:dyDescent="0.2">
      <c r="B6178" s="25"/>
      <c r="E6178" s="10"/>
      <c r="O6178" s="10"/>
      <c r="V6178" s="10"/>
    </row>
    <row r="6179" spans="2:22" x14ac:dyDescent="0.2">
      <c r="B6179" s="25"/>
      <c r="E6179" s="10"/>
      <c r="O6179" s="10"/>
      <c r="V6179" s="10"/>
    </row>
    <row r="6180" spans="2:22" x14ac:dyDescent="0.2">
      <c r="B6180" s="25"/>
      <c r="E6180" s="10"/>
      <c r="O6180" s="10"/>
      <c r="V6180" s="10"/>
    </row>
    <row r="6181" spans="2:22" x14ac:dyDescent="0.2">
      <c r="B6181" s="25"/>
      <c r="E6181" s="10"/>
      <c r="O6181" s="10"/>
      <c r="V6181" s="10"/>
    </row>
    <row r="6182" spans="2:22" x14ac:dyDescent="0.2">
      <c r="B6182" s="25"/>
      <c r="E6182" s="10"/>
      <c r="O6182" s="10"/>
      <c r="V6182" s="10"/>
    </row>
    <row r="6183" spans="2:22" x14ac:dyDescent="0.2">
      <c r="B6183" s="25"/>
      <c r="E6183" s="10"/>
      <c r="O6183" s="10"/>
      <c r="V6183" s="10"/>
    </row>
    <row r="6184" spans="2:22" x14ac:dyDescent="0.2">
      <c r="B6184" s="25"/>
      <c r="E6184" s="10"/>
      <c r="O6184" s="10"/>
      <c r="V6184" s="10"/>
    </row>
    <row r="6185" spans="2:22" x14ac:dyDescent="0.2">
      <c r="B6185" s="25"/>
      <c r="E6185" s="10"/>
      <c r="O6185" s="10"/>
      <c r="V6185" s="10"/>
    </row>
    <row r="6186" spans="2:22" x14ac:dyDescent="0.2">
      <c r="B6186" s="25"/>
      <c r="E6186" s="10"/>
      <c r="O6186" s="10"/>
      <c r="V6186" s="10"/>
    </row>
    <row r="6187" spans="2:22" x14ac:dyDescent="0.2">
      <c r="B6187" s="25"/>
      <c r="E6187" s="10"/>
      <c r="O6187" s="10"/>
      <c r="V6187" s="10"/>
    </row>
    <row r="6188" spans="2:22" x14ac:dyDescent="0.2">
      <c r="B6188" s="25"/>
      <c r="E6188" s="10"/>
      <c r="O6188" s="10"/>
      <c r="V6188" s="10"/>
    </row>
    <row r="6189" spans="2:22" x14ac:dyDescent="0.2">
      <c r="B6189" s="25"/>
      <c r="E6189" s="10"/>
      <c r="O6189" s="10"/>
      <c r="V6189" s="10"/>
    </row>
    <row r="6190" spans="2:22" x14ac:dyDescent="0.2">
      <c r="B6190" s="25"/>
      <c r="E6190" s="10"/>
      <c r="O6190" s="10"/>
      <c r="V6190" s="10"/>
    </row>
    <row r="6191" spans="2:22" x14ac:dyDescent="0.2">
      <c r="B6191" s="25"/>
      <c r="E6191" s="10"/>
      <c r="O6191" s="10"/>
      <c r="V6191" s="10"/>
    </row>
    <row r="6192" spans="2:22" x14ac:dyDescent="0.2">
      <c r="B6192" s="25"/>
      <c r="E6192" s="10"/>
      <c r="O6192" s="10"/>
      <c r="V6192" s="10"/>
    </row>
    <row r="6193" spans="2:22" x14ac:dyDescent="0.2">
      <c r="B6193" s="25"/>
      <c r="E6193" s="10"/>
      <c r="O6193" s="10"/>
      <c r="V6193" s="10"/>
    </row>
    <row r="6194" spans="2:22" x14ac:dyDescent="0.2">
      <c r="B6194" s="25"/>
      <c r="E6194" s="10"/>
      <c r="O6194" s="10"/>
      <c r="V6194" s="10"/>
    </row>
    <row r="6195" spans="2:22" x14ac:dyDescent="0.2">
      <c r="B6195" s="25"/>
      <c r="E6195" s="10"/>
      <c r="O6195" s="10"/>
      <c r="V6195" s="10"/>
    </row>
    <row r="6196" spans="2:22" x14ac:dyDescent="0.2">
      <c r="B6196" s="25"/>
      <c r="E6196" s="10"/>
      <c r="O6196" s="10"/>
      <c r="V6196" s="10"/>
    </row>
    <row r="6197" spans="2:22" x14ac:dyDescent="0.2">
      <c r="B6197" s="25"/>
      <c r="E6197" s="10"/>
      <c r="O6197" s="10"/>
      <c r="V6197" s="10"/>
    </row>
    <row r="6198" spans="2:22" x14ac:dyDescent="0.2">
      <c r="B6198" s="25"/>
      <c r="E6198" s="10"/>
      <c r="O6198" s="10"/>
      <c r="V6198" s="10"/>
    </row>
    <row r="6199" spans="2:22" x14ac:dyDescent="0.2">
      <c r="B6199" s="25"/>
      <c r="E6199" s="10"/>
      <c r="O6199" s="10"/>
      <c r="V6199" s="10"/>
    </row>
    <row r="6200" spans="2:22" x14ac:dyDescent="0.2">
      <c r="B6200" s="25"/>
      <c r="E6200" s="10"/>
      <c r="O6200" s="10"/>
      <c r="V6200" s="10"/>
    </row>
    <row r="6201" spans="2:22" x14ac:dyDescent="0.2">
      <c r="B6201" s="25"/>
      <c r="E6201" s="10"/>
      <c r="O6201" s="10"/>
      <c r="V6201" s="10"/>
    </row>
    <row r="6202" spans="2:22" x14ac:dyDescent="0.2">
      <c r="B6202" s="25"/>
      <c r="E6202" s="10"/>
      <c r="O6202" s="10"/>
      <c r="V6202" s="10"/>
    </row>
    <row r="6203" spans="2:22" x14ac:dyDescent="0.2">
      <c r="B6203" s="25"/>
      <c r="E6203" s="10"/>
      <c r="O6203" s="10"/>
      <c r="V6203" s="10"/>
    </row>
    <row r="6204" spans="2:22" x14ac:dyDescent="0.2">
      <c r="B6204" s="25"/>
      <c r="E6204" s="10"/>
      <c r="O6204" s="10"/>
      <c r="V6204" s="10"/>
    </row>
    <row r="6205" spans="2:22" x14ac:dyDescent="0.2">
      <c r="B6205" s="25"/>
      <c r="E6205" s="10"/>
      <c r="O6205" s="10"/>
      <c r="V6205" s="10"/>
    </row>
    <row r="6206" spans="2:22" x14ac:dyDescent="0.2">
      <c r="B6206" s="25"/>
      <c r="E6206" s="10"/>
      <c r="O6206" s="10"/>
      <c r="V6206" s="10"/>
    </row>
    <row r="6207" spans="2:22" x14ac:dyDescent="0.2">
      <c r="B6207" s="25"/>
      <c r="E6207" s="10"/>
      <c r="O6207" s="10"/>
      <c r="V6207" s="10"/>
    </row>
    <row r="6208" spans="2:22" x14ac:dyDescent="0.2">
      <c r="B6208" s="25"/>
      <c r="E6208" s="10"/>
      <c r="O6208" s="10"/>
      <c r="V6208" s="10"/>
    </row>
    <row r="6209" spans="2:22" x14ac:dyDescent="0.2">
      <c r="B6209" s="25"/>
      <c r="E6209" s="10"/>
      <c r="O6209" s="10"/>
      <c r="V6209" s="10"/>
    </row>
    <row r="6210" spans="2:22" x14ac:dyDescent="0.2">
      <c r="B6210" s="25"/>
      <c r="E6210" s="10"/>
      <c r="O6210" s="10"/>
      <c r="V6210" s="10"/>
    </row>
    <row r="6211" spans="2:22" x14ac:dyDescent="0.2">
      <c r="B6211" s="25"/>
      <c r="E6211" s="10"/>
      <c r="O6211" s="10"/>
      <c r="V6211" s="10"/>
    </row>
    <row r="6212" spans="2:22" x14ac:dyDescent="0.2">
      <c r="B6212" s="25"/>
      <c r="E6212" s="10"/>
      <c r="O6212" s="10"/>
      <c r="V6212" s="10"/>
    </row>
    <row r="6213" spans="2:22" x14ac:dyDescent="0.2">
      <c r="B6213" s="25"/>
      <c r="E6213" s="10"/>
      <c r="O6213" s="10"/>
      <c r="V6213" s="10"/>
    </row>
    <row r="6214" spans="2:22" x14ac:dyDescent="0.2">
      <c r="B6214" s="25"/>
      <c r="E6214" s="10"/>
      <c r="O6214" s="10"/>
      <c r="V6214" s="10"/>
    </row>
    <row r="6215" spans="2:22" x14ac:dyDescent="0.2">
      <c r="B6215" s="25"/>
      <c r="E6215" s="10"/>
      <c r="O6215" s="10"/>
      <c r="V6215" s="10"/>
    </row>
    <row r="6216" spans="2:22" x14ac:dyDescent="0.2">
      <c r="B6216" s="25"/>
      <c r="E6216" s="10"/>
      <c r="O6216" s="10"/>
      <c r="V6216" s="10"/>
    </row>
    <row r="6217" spans="2:22" x14ac:dyDescent="0.2">
      <c r="B6217" s="25"/>
      <c r="E6217" s="10"/>
      <c r="O6217" s="10"/>
      <c r="V6217" s="10"/>
    </row>
    <row r="6218" spans="2:22" x14ac:dyDescent="0.2">
      <c r="B6218" s="25"/>
      <c r="E6218" s="10"/>
      <c r="O6218" s="10"/>
      <c r="V6218" s="10"/>
    </row>
    <row r="6219" spans="2:22" x14ac:dyDescent="0.2">
      <c r="B6219" s="25"/>
      <c r="E6219" s="10"/>
      <c r="O6219" s="10"/>
      <c r="V6219" s="10"/>
    </row>
    <row r="6220" spans="2:22" x14ac:dyDescent="0.2">
      <c r="B6220" s="25"/>
      <c r="E6220" s="10"/>
      <c r="O6220" s="10"/>
      <c r="V6220" s="10"/>
    </row>
    <row r="6221" spans="2:22" x14ac:dyDescent="0.2">
      <c r="B6221" s="25"/>
      <c r="E6221" s="10"/>
      <c r="O6221" s="10"/>
      <c r="V6221" s="10"/>
    </row>
    <row r="6222" spans="2:22" x14ac:dyDescent="0.2">
      <c r="B6222" s="25"/>
      <c r="E6222" s="10"/>
      <c r="O6222" s="10"/>
      <c r="V6222" s="10"/>
    </row>
    <row r="6223" spans="2:22" x14ac:dyDescent="0.2">
      <c r="B6223" s="25"/>
      <c r="E6223" s="10"/>
      <c r="O6223" s="10"/>
      <c r="V6223" s="10"/>
    </row>
    <row r="6224" spans="2:22" x14ac:dyDescent="0.2">
      <c r="B6224" s="25"/>
      <c r="E6224" s="10"/>
      <c r="O6224" s="10"/>
      <c r="V6224" s="10"/>
    </row>
    <row r="6225" spans="2:22" x14ac:dyDescent="0.2">
      <c r="B6225" s="25"/>
      <c r="E6225" s="10"/>
      <c r="O6225" s="10"/>
      <c r="V6225" s="10"/>
    </row>
    <row r="6226" spans="2:22" x14ac:dyDescent="0.2">
      <c r="B6226" s="25"/>
      <c r="E6226" s="10"/>
      <c r="O6226" s="10"/>
      <c r="V6226" s="10"/>
    </row>
    <row r="6227" spans="2:22" x14ac:dyDescent="0.2">
      <c r="B6227" s="25"/>
      <c r="E6227" s="10"/>
      <c r="O6227" s="10"/>
      <c r="V6227" s="10"/>
    </row>
    <row r="6228" spans="2:22" x14ac:dyDescent="0.2">
      <c r="B6228" s="25"/>
      <c r="E6228" s="10"/>
      <c r="O6228" s="10"/>
      <c r="V6228" s="10"/>
    </row>
    <row r="6229" spans="2:22" x14ac:dyDescent="0.2">
      <c r="B6229" s="25"/>
      <c r="E6229" s="10"/>
      <c r="O6229" s="10"/>
      <c r="V6229" s="10"/>
    </row>
    <row r="6230" spans="2:22" x14ac:dyDescent="0.2">
      <c r="B6230" s="25"/>
      <c r="E6230" s="10"/>
      <c r="O6230" s="10"/>
      <c r="V6230" s="10"/>
    </row>
    <row r="6231" spans="2:22" x14ac:dyDescent="0.2">
      <c r="B6231" s="25"/>
      <c r="E6231" s="10"/>
      <c r="O6231" s="10"/>
      <c r="V6231" s="10"/>
    </row>
    <row r="6232" spans="2:22" x14ac:dyDescent="0.2">
      <c r="B6232" s="25"/>
      <c r="E6232" s="10"/>
      <c r="O6232" s="10"/>
      <c r="V6232" s="10"/>
    </row>
    <row r="6233" spans="2:22" x14ac:dyDescent="0.2">
      <c r="B6233" s="25"/>
      <c r="E6233" s="10"/>
      <c r="O6233" s="10"/>
      <c r="V6233" s="10"/>
    </row>
    <row r="6234" spans="2:22" x14ac:dyDescent="0.2">
      <c r="B6234" s="25"/>
      <c r="E6234" s="10"/>
      <c r="O6234" s="10"/>
      <c r="V6234" s="10"/>
    </row>
    <row r="6235" spans="2:22" x14ac:dyDescent="0.2">
      <c r="B6235" s="25"/>
      <c r="E6235" s="10"/>
      <c r="O6235" s="10"/>
      <c r="V6235" s="10"/>
    </row>
    <row r="6236" spans="2:22" x14ac:dyDescent="0.2">
      <c r="B6236" s="25"/>
      <c r="E6236" s="10"/>
      <c r="O6236" s="10"/>
      <c r="V6236" s="10"/>
    </row>
    <row r="6237" spans="2:22" x14ac:dyDescent="0.2">
      <c r="B6237" s="25"/>
      <c r="E6237" s="10"/>
      <c r="O6237" s="10"/>
      <c r="V6237" s="10"/>
    </row>
    <row r="6238" spans="2:22" x14ac:dyDescent="0.2">
      <c r="B6238" s="25"/>
      <c r="E6238" s="10"/>
      <c r="O6238" s="10"/>
      <c r="V6238" s="10"/>
    </row>
    <row r="6239" spans="2:22" x14ac:dyDescent="0.2">
      <c r="B6239" s="25"/>
      <c r="E6239" s="10"/>
      <c r="O6239" s="10"/>
      <c r="V6239" s="10"/>
    </row>
    <row r="6240" spans="2:22" x14ac:dyDescent="0.2">
      <c r="B6240" s="25"/>
      <c r="E6240" s="10"/>
      <c r="O6240" s="10"/>
      <c r="V6240" s="10"/>
    </row>
    <row r="6241" spans="2:22" x14ac:dyDescent="0.2">
      <c r="B6241" s="25"/>
      <c r="E6241" s="10"/>
      <c r="O6241" s="10"/>
      <c r="V6241" s="10"/>
    </row>
    <row r="6242" spans="2:22" x14ac:dyDescent="0.2">
      <c r="B6242" s="25"/>
      <c r="E6242" s="10"/>
      <c r="O6242" s="10"/>
      <c r="V6242" s="10"/>
    </row>
    <row r="6243" spans="2:22" x14ac:dyDescent="0.2">
      <c r="B6243" s="25"/>
      <c r="E6243" s="10"/>
      <c r="O6243" s="10"/>
      <c r="V6243" s="10"/>
    </row>
    <row r="6244" spans="2:22" x14ac:dyDescent="0.2">
      <c r="B6244" s="25"/>
      <c r="E6244" s="10"/>
      <c r="O6244" s="10"/>
      <c r="V6244" s="10"/>
    </row>
    <row r="6245" spans="2:22" x14ac:dyDescent="0.2">
      <c r="B6245" s="25"/>
      <c r="E6245" s="10"/>
      <c r="O6245" s="10"/>
      <c r="V6245" s="10"/>
    </row>
    <row r="6246" spans="2:22" x14ac:dyDescent="0.2">
      <c r="B6246" s="25"/>
      <c r="E6246" s="10"/>
      <c r="O6246" s="10"/>
      <c r="V6246" s="10"/>
    </row>
    <row r="6247" spans="2:22" x14ac:dyDescent="0.2">
      <c r="B6247" s="25"/>
      <c r="E6247" s="10"/>
      <c r="O6247" s="10"/>
      <c r="V6247" s="10"/>
    </row>
    <row r="6248" spans="2:22" x14ac:dyDescent="0.2">
      <c r="B6248" s="25"/>
      <c r="E6248" s="10"/>
      <c r="O6248" s="10"/>
      <c r="V6248" s="10"/>
    </row>
    <row r="6249" spans="2:22" x14ac:dyDescent="0.2">
      <c r="B6249" s="25"/>
      <c r="E6249" s="10"/>
      <c r="O6249" s="10"/>
      <c r="V6249" s="10"/>
    </row>
    <row r="6250" spans="2:22" x14ac:dyDescent="0.2">
      <c r="B6250" s="25"/>
      <c r="E6250" s="10"/>
      <c r="O6250" s="10"/>
      <c r="V6250" s="10"/>
    </row>
    <row r="6251" spans="2:22" x14ac:dyDescent="0.2">
      <c r="B6251" s="25"/>
      <c r="E6251" s="10"/>
      <c r="O6251" s="10"/>
      <c r="V6251" s="10"/>
    </row>
    <row r="6252" spans="2:22" x14ac:dyDescent="0.2">
      <c r="B6252" s="25"/>
      <c r="E6252" s="10"/>
      <c r="O6252" s="10"/>
      <c r="V6252" s="10"/>
    </row>
    <row r="6253" spans="2:22" x14ac:dyDescent="0.2">
      <c r="B6253" s="25"/>
      <c r="E6253" s="10"/>
      <c r="O6253" s="10"/>
      <c r="V6253" s="10"/>
    </row>
    <row r="6254" spans="2:22" x14ac:dyDescent="0.2">
      <c r="B6254" s="25"/>
      <c r="E6254" s="10"/>
      <c r="O6254" s="10"/>
      <c r="V6254" s="10"/>
    </row>
    <row r="6255" spans="2:22" x14ac:dyDescent="0.2">
      <c r="B6255" s="25"/>
      <c r="E6255" s="10"/>
      <c r="O6255" s="10"/>
      <c r="V6255" s="10"/>
    </row>
    <row r="6256" spans="2:22" x14ac:dyDescent="0.2">
      <c r="B6256" s="25"/>
      <c r="E6256" s="10"/>
      <c r="O6256" s="10"/>
      <c r="V6256" s="10"/>
    </row>
    <row r="6257" spans="2:22" x14ac:dyDescent="0.2">
      <c r="B6257" s="25"/>
      <c r="E6257" s="10"/>
      <c r="O6257" s="10"/>
      <c r="V6257" s="10"/>
    </row>
    <row r="6258" spans="2:22" x14ac:dyDescent="0.2">
      <c r="B6258" s="25"/>
      <c r="E6258" s="10"/>
      <c r="O6258" s="10"/>
      <c r="V6258" s="10"/>
    </row>
    <row r="6259" spans="2:22" x14ac:dyDescent="0.2">
      <c r="B6259" s="25"/>
      <c r="E6259" s="10"/>
      <c r="O6259" s="10"/>
      <c r="V6259" s="10"/>
    </row>
    <row r="6260" spans="2:22" x14ac:dyDescent="0.2">
      <c r="B6260" s="25"/>
      <c r="E6260" s="10"/>
      <c r="O6260" s="10"/>
      <c r="V6260" s="10"/>
    </row>
    <row r="6261" spans="2:22" x14ac:dyDescent="0.2">
      <c r="B6261" s="25"/>
      <c r="E6261" s="10"/>
      <c r="O6261" s="10"/>
      <c r="V6261" s="10"/>
    </row>
    <row r="6262" spans="2:22" x14ac:dyDescent="0.2">
      <c r="B6262" s="25"/>
      <c r="E6262" s="10"/>
      <c r="O6262" s="10"/>
      <c r="V6262" s="10"/>
    </row>
    <row r="6263" spans="2:22" x14ac:dyDescent="0.2">
      <c r="B6263" s="25"/>
      <c r="E6263" s="10"/>
      <c r="O6263" s="10"/>
      <c r="V6263" s="10"/>
    </row>
    <row r="6264" spans="2:22" x14ac:dyDescent="0.2">
      <c r="B6264" s="25"/>
      <c r="E6264" s="10"/>
      <c r="O6264" s="10"/>
      <c r="V6264" s="10"/>
    </row>
    <row r="6265" spans="2:22" x14ac:dyDescent="0.2">
      <c r="B6265" s="25"/>
      <c r="E6265" s="10"/>
      <c r="O6265" s="10"/>
      <c r="V6265" s="10"/>
    </row>
    <row r="6266" spans="2:22" x14ac:dyDescent="0.2">
      <c r="B6266" s="25"/>
      <c r="E6266" s="10"/>
      <c r="O6266" s="10"/>
      <c r="V6266" s="10"/>
    </row>
    <row r="6267" spans="2:22" x14ac:dyDescent="0.2">
      <c r="B6267" s="25"/>
      <c r="E6267" s="10"/>
      <c r="O6267" s="10"/>
      <c r="V6267" s="10"/>
    </row>
    <row r="6268" spans="2:22" x14ac:dyDescent="0.2">
      <c r="B6268" s="25"/>
      <c r="E6268" s="10"/>
      <c r="O6268" s="10"/>
      <c r="V6268" s="10"/>
    </row>
    <row r="6269" spans="2:22" x14ac:dyDescent="0.2">
      <c r="B6269" s="25"/>
      <c r="E6269" s="10"/>
      <c r="O6269" s="10"/>
      <c r="V6269" s="10"/>
    </row>
    <row r="6270" spans="2:22" x14ac:dyDescent="0.2">
      <c r="B6270" s="25"/>
      <c r="E6270" s="10"/>
      <c r="O6270" s="10"/>
      <c r="V6270" s="10"/>
    </row>
    <row r="6271" spans="2:22" x14ac:dyDescent="0.2">
      <c r="B6271" s="25"/>
      <c r="E6271" s="10"/>
      <c r="O6271" s="10"/>
      <c r="V6271" s="10"/>
    </row>
    <row r="6272" spans="2:22" x14ac:dyDescent="0.2">
      <c r="B6272" s="25"/>
      <c r="E6272" s="10"/>
      <c r="O6272" s="10"/>
      <c r="V6272" s="10"/>
    </row>
    <row r="6273" spans="2:22" x14ac:dyDescent="0.2">
      <c r="B6273" s="25"/>
      <c r="E6273" s="10"/>
      <c r="O6273" s="10"/>
      <c r="V6273" s="10"/>
    </row>
    <row r="6274" spans="2:22" x14ac:dyDescent="0.2">
      <c r="B6274" s="25"/>
      <c r="E6274" s="10"/>
      <c r="O6274" s="10"/>
      <c r="V6274" s="10"/>
    </row>
    <row r="6275" spans="2:22" x14ac:dyDescent="0.2">
      <c r="B6275" s="25"/>
      <c r="E6275" s="10"/>
      <c r="O6275" s="10"/>
      <c r="V6275" s="10"/>
    </row>
    <row r="6276" spans="2:22" x14ac:dyDescent="0.2">
      <c r="B6276" s="25"/>
      <c r="E6276" s="10"/>
      <c r="O6276" s="10"/>
      <c r="V6276" s="10"/>
    </row>
    <row r="6277" spans="2:22" x14ac:dyDescent="0.2">
      <c r="B6277" s="25"/>
      <c r="E6277" s="10"/>
      <c r="O6277" s="10"/>
      <c r="V6277" s="10"/>
    </row>
    <row r="6278" spans="2:22" x14ac:dyDescent="0.2">
      <c r="B6278" s="25"/>
      <c r="E6278" s="10"/>
      <c r="O6278" s="10"/>
      <c r="V6278" s="10"/>
    </row>
    <row r="6279" spans="2:22" x14ac:dyDescent="0.2">
      <c r="B6279" s="25"/>
      <c r="E6279" s="10"/>
      <c r="O6279" s="10"/>
      <c r="V6279" s="10"/>
    </row>
    <row r="6280" spans="2:22" x14ac:dyDescent="0.2">
      <c r="B6280" s="25"/>
      <c r="E6280" s="10"/>
      <c r="O6280" s="10"/>
      <c r="V6280" s="10"/>
    </row>
    <row r="6281" spans="2:22" x14ac:dyDescent="0.2">
      <c r="B6281" s="25"/>
      <c r="E6281" s="10"/>
      <c r="O6281" s="10"/>
      <c r="V6281" s="10"/>
    </row>
    <row r="6282" spans="2:22" x14ac:dyDescent="0.2">
      <c r="B6282" s="25"/>
      <c r="E6282" s="10"/>
      <c r="O6282" s="10"/>
      <c r="V6282" s="10"/>
    </row>
    <row r="6283" spans="2:22" x14ac:dyDescent="0.2">
      <c r="B6283" s="25"/>
      <c r="E6283" s="10"/>
      <c r="O6283" s="10"/>
      <c r="V6283" s="10"/>
    </row>
    <row r="6284" spans="2:22" x14ac:dyDescent="0.2">
      <c r="B6284" s="25"/>
      <c r="E6284" s="10"/>
      <c r="O6284" s="10"/>
      <c r="V6284" s="10"/>
    </row>
    <row r="6285" spans="2:22" x14ac:dyDescent="0.2">
      <c r="B6285" s="25"/>
      <c r="E6285" s="10"/>
      <c r="O6285" s="10"/>
      <c r="V6285" s="10"/>
    </row>
    <row r="6286" spans="2:22" x14ac:dyDescent="0.2">
      <c r="B6286" s="25"/>
      <c r="E6286" s="10"/>
      <c r="O6286" s="10"/>
      <c r="V6286" s="10"/>
    </row>
    <row r="6287" spans="2:22" x14ac:dyDescent="0.2">
      <c r="B6287" s="25"/>
      <c r="E6287" s="10"/>
      <c r="O6287" s="10"/>
      <c r="V6287" s="10"/>
    </row>
    <row r="6288" spans="2:22" x14ac:dyDescent="0.2">
      <c r="B6288" s="25"/>
      <c r="E6288" s="10"/>
      <c r="O6288" s="10"/>
      <c r="V6288" s="10"/>
    </row>
    <row r="6289" spans="2:22" x14ac:dyDescent="0.2">
      <c r="B6289" s="25"/>
      <c r="E6289" s="10"/>
      <c r="O6289" s="10"/>
      <c r="V6289" s="10"/>
    </row>
    <row r="6290" spans="2:22" x14ac:dyDescent="0.2">
      <c r="B6290" s="25"/>
      <c r="E6290" s="10"/>
      <c r="O6290" s="10"/>
      <c r="V6290" s="10"/>
    </row>
    <row r="6291" spans="2:22" x14ac:dyDescent="0.2">
      <c r="B6291" s="25"/>
      <c r="E6291" s="10"/>
      <c r="O6291" s="10"/>
      <c r="V6291" s="10"/>
    </row>
    <row r="6292" spans="2:22" x14ac:dyDescent="0.2">
      <c r="B6292" s="25"/>
      <c r="E6292" s="10"/>
      <c r="O6292" s="10"/>
      <c r="V6292" s="10"/>
    </row>
    <row r="6293" spans="2:22" x14ac:dyDescent="0.2">
      <c r="B6293" s="25"/>
      <c r="E6293" s="10"/>
      <c r="O6293" s="10"/>
      <c r="V6293" s="10"/>
    </row>
    <row r="6294" spans="2:22" x14ac:dyDescent="0.2">
      <c r="B6294" s="25"/>
      <c r="E6294" s="10"/>
      <c r="O6294" s="10"/>
      <c r="V6294" s="10"/>
    </row>
    <row r="6295" spans="2:22" x14ac:dyDescent="0.2">
      <c r="B6295" s="25"/>
      <c r="E6295" s="10"/>
      <c r="O6295" s="10"/>
      <c r="V6295" s="10"/>
    </row>
    <row r="6296" spans="2:22" x14ac:dyDescent="0.2">
      <c r="B6296" s="25"/>
      <c r="E6296" s="10"/>
      <c r="O6296" s="10"/>
      <c r="V6296" s="10"/>
    </row>
    <row r="6297" spans="2:22" x14ac:dyDescent="0.2">
      <c r="B6297" s="25"/>
      <c r="E6297" s="10"/>
      <c r="O6297" s="10"/>
      <c r="V6297" s="10"/>
    </row>
    <row r="6298" spans="2:22" x14ac:dyDescent="0.2">
      <c r="B6298" s="25"/>
      <c r="E6298" s="10"/>
      <c r="O6298" s="10"/>
      <c r="V6298" s="10"/>
    </row>
    <row r="6299" spans="2:22" x14ac:dyDescent="0.2">
      <c r="B6299" s="25"/>
      <c r="E6299" s="10"/>
      <c r="O6299" s="10"/>
      <c r="V6299" s="10"/>
    </row>
    <row r="6300" spans="2:22" x14ac:dyDescent="0.2">
      <c r="B6300" s="25"/>
      <c r="E6300" s="10"/>
      <c r="O6300" s="10"/>
      <c r="V6300" s="10"/>
    </row>
    <row r="6301" spans="2:22" x14ac:dyDescent="0.2">
      <c r="B6301" s="25"/>
      <c r="E6301" s="10"/>
      <c r="O6301" s="10"/>
      <c r="V6301" s="10"/>
    </row>
    <row r="6302" spans="2:22" x14ac:dyDescent="0.2">
      <c r="B6302" s="25"/>
      <c r="E6302" s="10"/>
      <c r="O6302" s="10"/>
      <c r="V6302" s="10"/>
    </row>
    <row r="6303" spans="2:22" x14ac:dyDescent="0.2">
      <c r="B6303" s="25"/>
      <c r="E6303" s="10"/>
      <c r="O6303" s="10"/>
      <c r="V6303" s="10"/>
    </row>
    <row r="6304" spans="2:22" x14ac:dyDescent="0.2">
      <c r="B6304" s="25"/>
      <c r="E6304" s="10"/>
      <c r="O6304" s="10"/>
      <c r="V6304" s="10"/>
    </row>
    <row r="6305" spans="2:22" x14ac:dyDescent="0.2">
      <c r="B6305" s="25"/>
      <c r="E6305" s="10"/>
      <c r="O6305" s="10"/>
      <c r="V6305" s="10"/>
    </row>
    <row r="6306" spans="2:22" x14ac:dyDescent="0.2">
      <c r="B6306" s="25"/>
      <c r="E6306" s="10"/>
      <c r="O6306" s="10"/>
      <c r="V6306" s="10"/>
    </row>
    <row r="6307" spans="2:22" x14ac:dyDescent="0.2">
      <c r="B6307" s="25"/>
      <c r="E6307" s="10"/>
      <c r="O6307" s="10"/>
      <c r="V6307" s="10"/>
    </row>
    <row r="6308" spans="2:22" x14ac:dyDescent="0.2">
      <c r="B6308" s="25"/>
      <c r="E6308" s="10"/>
      <c r="O6308" s="10"/>
      <c r="V6308" s="10"/>
    </row>
    <row r="6309" spans="2:22" x14ac:dyDescent="0.2">
      <c r="B6309" s="25"/>
      <c r="E6309" s="10"/>
      <c r="O6309" s="10"/>
      <c r="V6309" s="10"/>
    </row>
    <row r="6310" spans="2:22" x14ac:dyDescent="0.2">
      <c r="B6310" s="25"/>
      <c r="E6310" s="10"/>
      <c r="O6310" s="10"/>
      <c r="V6310" s="10"/>
    </row>
    <row r="6311" spans="2:22" x14ac:dyDescent="0.2">
      <c r="B6311" s="25"/>
      <c r="E6311" s="10"/>
      <c r="O6311" s="10"/>
      <c r="V6311" s="10"/>
    </row>
    <row r="6312" spans="2:22" x14ac:dyDescent="0.2">
      <c r="B6312" s="25"/>
      <c r="E6312" s="10"/>
      <c r="O6312" s="10"/>
      <c r="V6312" s="10"/>
    </row>
    <row r="6313" spans="2:22" x14ac:dyDescent="0.2">
      <c r="B6313" s="25"/>
      <c r="E6313" s="10"/>
      <c r="O6313" s="10"/>
      <c r="V6313" s="10"/>
    </row>
    <row r="6314" spans="2:22" x14ac:dyDescent="0.2">
      <c r="B6314" s="25"/>
      <c r="E6314" s="10"/>
      <c r="O6314" s="10"/>
      <c r="V6314" s="10"/>
    </row>
    <row r="6315" spans="2:22" x14ac:dyDescent="0.2">
      <c r="B6315" s="25"/>
      <c r="E6315" s="10"/>
      <c r="O6315" s="10"/>
      <c r="V6315" s="10"/>
    </row>
    <row r="6316" spans="2:22" x14ac:dyDescent="0.2">
      <c r="B6316" s="25"/>
      <c r="E6316" s="10"/>
      <c r="O6316" s="10"/>
      <c r="V6316" s="10"/>
    </row>
    <row r="6317" spans="2:22" x14ac:dyDescent="0.2">
      <c r="B6317" s="25"/>
      <c r="E6317" s="10"/>
      <c r="O6317" s="10"/>
      <c r="V6317" s="10"/>
    </row>
    <row r="6318" spans="2:22" x14ac:dyDescent="0.2">
      <c r="B6318" s="25"/>
      <c r="E6318" s="10"/>
      <c r="O6318" s="10"/>
      <c r="V6318" s="10"/>
    </row>
    <row r="6319" spans="2:22" x14ac:dyDescent="0.2">
      <c r="B6319" s="25"/>
      <c r="E6319" s="10"/>
      <c r="O6319" s="10"/>
      <c r="V6319" s="10"/>
    </row>
    <row r="6320" spans="2:22" x14ac:dyDescent="0.2">
      <c r="B6320" s="25"/>
      <c r="E6320" s="10"/>
      <c r="O6320" s="10"/>
      <c r="V6320" s="10"/>
    </row>
    <row r="6321" spans="2:22" x14ac:dyDescent="0.2">
      <c r="B6321" s="25"/>
      <c r="E6321" s="10"/>
      <c r="O6321" s="10"/>
      <c r="V6321" s="10"/>
    </row>
    <row r="6322" spans="2:22" x14ac:dyDescent="0.2">
      <c r="B6322" s="25"/>
      <c r="E6322" s="10"/>
      <c r="O6322" s="10"/>
      <c r="V6322" s="10"/>
    </row>
    <row r="6323" spans="2:22" x14ac:dyDescent="0.2">
      <c r="B6323" s="25"/>
      <c r="E6323" s="10"/>
      <c r="O6323" s="10"/>
      <c r="V6323" s="10"/>
    </row>
    <row r="6324" spans="2:22" x14ac:dyDescent="0.2">
      <c r="B6324" s="25"/>
      <c r="E6324" s="10"/>
      <c r="O6324" s="10"/>
      <c r="V6324" s="10"/>
    </row>
    <row r="6325" spans="2:22" x14ac:dyDescent="0.2">
      <c r="B6325" s="25"/>
      <c r="E6325" s="10"/>
      <c r="O6325" s="10"/>
      <c r="V6325" s="10"/>
    </row>
    <row r="6326" spans="2:22" x14ac:dyDescent="0.2">
      <c r="B6326" s="25"/>
      <c r="E6326" s="10"/>
      <c r="O6326" s="10"/>
      <c r="V6326" s="10"/>
    </row>
    <row r="6327" spans="2:22" x14ac:dyDescent="0.2">
      <c r="B6327" s="25"/>
      <c r="E6327" s="10"/>
      <c r="O6327" s="10"/>
      <c r="V6327" s="10"/>
    </row>
    <row r="6328" spans="2:22" x14ac:dyDescent="0.2">
      <c r="B6328" s="25"/>
      <c r="E6328" s="10"/>
      <c r="O6328" s="10"/>
      <c r="V6328" s="10"/>
    </row>
    <row r="6329" spans="2:22" x14ac:dyDescent="0.2">
      <c r="B6329" s="25"/>
      <c r="E6329" s="10"/>
      <c r="O6329" s="10"/>
      <c r="V6329" s="10"/>
    </row>
    <row r="6330" spans="2:22" x14ac:dyDescent="0.2">
      <c r="B6330" s="25"/>
      <c r="E6330" s="10"/>
      <c r="O6330" s="10"/>
      <c r="V6330" s="10"/>
    </row>
    <row r="6331" spans="2:22" x14ac:dyDescent="0.2">
      <c r="B6331" s="25"/>
      <c r="E6331" s="10"/>
      <c r="O6331" s="10"/>
      <c r="V6331" s="10"/>
    </row>
    <row r="6332" spans="2:22" x14ac:dyDescent="0.2">
      <c r="B6332" s="25"/>
      <c r="E6332" s="10"/>
      <c r="O6332" s="10"/>
      <c r="V6332" s="10"/>
    </row>
    <row r="6333" spans="2:22" x14ac:dyDescent="0.2">
      <c r="B6333" s="25"/>
      <c r="E6333" s="10"/>
      <c r="O6333" s="10"/>
      <c r="V6333" s="10"/>
    </row>
    <row r="6334" spans="2:22" x14ac:dyDescent="0.2">
      <c r="B6334" s="25"/>
      <c r="E6334" s="10"/>
      <c r="O6334" s="10"/>
      <c r="V6334" s="10"/>
    </row>
    <row r="6335" spans="2:22" x14ac:dyDescent="0.2">
      <c r="B6335" s="25"/>
      <c r="E6335" s="10"/>
      <c r="O6335" s="10"/>
      <c r="V6335" s="10"/>
    </row>
    <row r="6336" spans="2:22" x14ac:dyDescent="0.2">
      <c r="B6336" s="25"/>
      <c r="E6336" s="10"/>
      <c r="O6336" s="10"/>
      <c r="V6336" s="10"/>
    </row>
    <row r="6337" spans="2:22" x14ac:dyDescent="0.2">
      <c r="B6337" s="25"/>
      <c r="E6337" s="10"/>
      <c r="O6337" s="10"/>
      <c r="V6337" s="10"/>
    </row>
    <row r="6338" spans="2:22" x14ac:dyDescent="0.2">
      <c r="B6338" s="25"/>
      <c r="E6338" s="10"/>
      <c r="O6338" s="10"/>
      <c r="V6338" s="10"/>
    </row>
    <row r="6339" spans="2:22" x14ac:dyDescent="0.2">
      <c r="B6339" s="25"/>
      <c r="E6339" s="10"/>
      <c r="O6339" s="10"/>
      <c r="V6339" s="10"/>
    </row>
    <row r="6340" spans="2:22" x14ac:dyDescent="0.2">
      <c r="B6340" s="25"/>
      <c r="E6340" s="10"/>
      <c r="O6340" s="10"/>
      <c r="V6340" s="10"/>
    </row>
    <row r="6341" spans="2:22" x14ac:dyDescent="0.2">
      <c r="B6341" s="25"/>
      <c r="E6341" s="10"/>
      <c r="O6341" s="10"/>
      <c r="V6341" s="10"/>
    </row>
    <row r="6342" spans="2:22" x14ac:dyDescent="0.2">
      <c r="B6342" s="25"/>
      <c r="E6342" s="10"/>
      <c r="O6342" s="10"/>
      <c r="V6342" s="10"/>
    </row>
    <row r="6343" spans="2:22" x14ac:dyDescent="0.2">
      <c r="B6343" s="25"/>
      <c r="E6343" s="10"/>
      <c r="O6343" s="10"/>
      <c r="V6343" s="10"/>
    </row>
    <row r="6344" spans="2:22" x14ac:dyDescent="0.2">
      <c r="B6344" s="25"/>
      <c r="E6344" s="10"/>
      <c r="O6344" s="10"/>
      <c r="V6344" s="10"/>
    </row>
    <row r="6345" spans="2:22" x14ac:dyDescent="0.2">
      <c r="B6345" s="25"/>
      <c r="E6345" s="10"/>
      <c r="O6345" s="10"/>
      <c r="V6345" s="10"/>
    </row>
    <row r="6346" spans="2:22" x14ac:dyDescent="0.2">
      <c r="B6346" s="25"/>
      <c r="E6346" s="10"/>
      <c r="O6346" s="10"/>
      <c r="V6346" s="10"/>
    </row>
    <row r="6347" spans="2:22" x14ac:dyDescent="0.2">
      <c r="B6347" s="25"/>
      <c r="E6347" s="10"/>
      <c r="O6347" s="10"/>
      <c r="V6347" s="10"/>
    </row>
    <row r="6348" spans="2:22" x14ac:dyDescent="0.2">
      <c r="B6348" s="25"/>
      <c r="E6348" s="10"/>
      <c r="O6348" s="10"/>
      <c r="V6348" s="10"/>
    </row>
    <row r="6349" spans="2:22" x14ac:dyDescent="0.2">
      <c r="B6349" s="25"/>
      <c r="E6349" s="10"/>
      <c r="O6349" s="10"/>
      <c r="V6349" s="10"/>
    </row>
    <row r="6350" spans="2:22" x14ac:dyDescent="0.2">
      <c r="B6350" s="25"/>
      <c r="E6350" s="10"/>
      <c r="O6350" s="10"/>
      <c r="V6350" s="10"/>
    </row>
    <row r="6351" spans="2:22" x14ac:dyDescent="0.2">
      <c r="B6351" s="25"/>
      <c r="E6351" s="10"/>
      <c r="O6351" s="10"/>
      <c r="V6351" s="10"/>
    </row>
    <row r="6352" spans="2:22" x14ac:dyDescent="0.2">
      <c r="B6352" s="25"/>
      <c r="E6352" s="10"/>
      <c r="O6352" s="10"/>
      <c r="V6352" s="10"/>
    </row>
    <row r="6353" spans="2:22" x14ac:dyDescent="0.2">
      <c r="B6353" s="25"/>
      <c r="E6353" s="10"/>
      <c r="O6353" s="10"/>
      <c r="V6353" s="10"/>
    </row>
    <row r="6354" spans="2:22" x14ac:dyDescent="0.2">
      <c r="B6354" s="25"/>
      <c r="E6354" s="10"/>
      <c r="O6354" s="10"/>
      <c r="V6354" s="10"/>
    </row>
    <row r="6355" spans="2:22" x14ac:dyDescent="0.2">
      <c r="B6355" s="25"/>
      <c r="E6355" s="10"/>
      <c r="O6355" s="10"/>
      <c r="V6355" s="10"/>
    </row>
    <row r="6356" spans="2:22" x14ac:dyDescent="0.2">
      <c r="B6356" s="25"/>
      <c r="E6356" s="10"/>
      <c r="O6356" s="10"/>
      <c r="V6356" s="10"/>
    </row>
    <row r="6357" spans="2:22" x14ac:dyDescent="0.2">
      <c r="B6357" s="25"/>
      <c r="E6357" s="10"/>
      <c r="O6357" s="10"/>
      <c r="V6357" s="10"/>
    </row>
    <row r="6358" spans="2:22" x14ac:dyDescent="0.2">
      <c r="B6358" s="25"/>
      <c r="E6358" s="10"/>
      <c r="O6358" s="10"/>
      <c r="V6358" s="10"/>
    </row>
    <row r="6359" spans="2:22" x14ac:dyDescent="0.2">
      <c r="B6359" s="25"/>
      <c r="E6359" s="10"/>
      <c r="O6359" s="10"/>
      <c r="V6359" s="10"/>
    </row>
    <row r="6360" spans="2:22" x14ac:dyDescent="0.2">
      <c r="B6360" s="25"/>
      <c r="E6360" s="10"/>
      <c r="O6360" s="10"/>
      <c r="V6360" s="10"/>
    </row>
    <row r="6361" spans="2:22" x14ac:dyDescent="0.2">
      <c r="B6361" s="25"/>
      <c r="E6361" s="10"/>
      <c r="O6361" s="10"/>
      <c r="V6361" s="10"/>
    </row>
    <row r="6362" spans="2:22" x14ac:dyDescent="0.2">
      <c r="B6362" s="25"/>
      <c r="E6362" s="10"/>
      <c r="O6362" s="10"/>
      <c r="V6362" s="10"/>
    </row>
    <row r="6363" spans="2:22" x14ac:dyDescent="0.2">
      <c r="B6363" s="25"/>
      <c r="E6363" s="10"/>
      <c r="O6363" s="10"/>
      <c r="V6363" s="10"/>
    </row>
    <row r="6364" spans="2:22" x14ac:dyDescent="0.2">
      <c r="B6364" s="25"/>
      <c r="E6364" s="10"/>
      <c r="O6364" s="10"/>
      <c r="V6364" s="10"/>
    </row>
    <row r="6365" spans="2:22" x14ac:dyDescent="0.2">
      <c r="B6365" s="25"/>
      <c r="E6365" s="10"/>
      <c r="O6365" s="10"/>
      <c r="V6365" s="10"/>
    </row>
    <row r="6366" spans="2:22" x14ac:dyDescent="0.2">
      <c r="B6366" s="25"/>
      <c r="E6366" s="10"/>
      <c r="O6366" s="10"/>
      <c r="V6366" s="10"/>
    </row>
    <row r="6367" spans="2:22" x14ac:dyDescent="0.2">
      <c r="B6367" s="25"/>
      <c r="E6367" s="10"/>
      <c r="O6367" s="10"/>
      <c r="V6367" s="10"/>
    </row>
    <row r="6368" spans="2:22" x14ac:dyDescent="0.2">
      <c r="B6368" s="25"/>
      <c r="E6368" s="10"/>
      <c r="O6368" s="10"/>
      <c r="V6368" s="10"/>
    </row>
    <row r="6369" spans="2:22" x14ac:dyDescent="0.2">
      <c r="B6369" s="25"/>
      <c r="E6369" s="10"/>
      <c r="O6369" s="10"/>
      <c r="V6369" s="10"/>
    </row>
    <row r="6370" spans="2:22" x14ac:dyDescent="0.2">
      <c r="B6370" s="25"/>
      <c r="E6370" s="10"/>
      <c r="O6370" s="10"/>
      <c r="V6370" s="10"/>
    </row>
    <row r="6371" spans="2:22" x14ac:dyDescent="0.2">
      <c r="B6371" s="25"/>
      <c r="E6371" s="10"/>
      <c r="O6371" s="10"/>
      <c r="V6371" s="10"/>
    </row>
    <row r="6372" spans="2:22" x14ac:dyDescent="0.2">
      <c r="B6372" s="25"/>
      <c r="E6372" s="10"/>
      <c r="O6372" s="10"/>
      <c r="V6372" s="10"/>
    </row>
    <row r="6373" spans="2:22" x14ac:dyDescent="0.2">
      <c r="B6373" s="25"/>
      <c r="E6373" s="10"/>
      <c r="O6373" s="10"/>
      <c r="V6373" s="10"/>
    </row>
    <row r="6374" spans="2:22" x14ac:dyDescent="0.2">
      <c r="B6374" s="25"/>
      <c r="E6374" s="10"/>
      <c r="O6374" s="10"/>
      <c r="V6374" s="10"/>
    </row>
    <row r="6375" spans="2:22" x14ac:dyDescent="0.2">
      <c r="B6375" s="25"/>
      <c r="E6375" s="10"/>
      <c r="O6375" s="10"/>
      <c r="V6375" s="10"/>
    </row>
    <row r="6376" spans="2:22" x14ac:dyDescent="0.2">
      <c r="B6376" s="25"/>
      <c r="E6376" s="10"/>
      <c r="O6376" s="10"/>
      <c r="V6376" s="10"/>
    </row>
    <row r="6377" spans="2:22" x14ac:dyDescent="0.2">
      <c r="B6377" s="25"/>
      <c r="E6377" s="10"/>
      <c r="O6377" s="10"/>
      <c r="V6377" s="10"/>
    </row>
    <row r="6378" spans="2:22" x14ac:dyDescent="0.2">
      <c r="B6378" s="25"/>
      <c r="E6378" s="10"/>
      <c r="O6378" s="10"/>
      <c r="V6378" s="10"/>
    </row>
    <row r="6379" spans="2:22" x14ac:dyDescent="0.2">
      <c r="B6379" s="25"/>
      <c r="E6379" s="10"/>
      <c r="O6379" s="10"/>
      <c r="V6379" s="10"/>
    </row>
    <row r="6380" spans="2:22" x14ac:dyDescent="0.2">
      <c r="B6380" s="25"/>
      <c r="E6380" s="10"/>
      <c r="O6380" s="10"/>
      <c r="V6380" s="10"/>
    </row>
    <row r="6381" spans="2:22" x14ac:dyDescent="0.2">
      <c r="B6381" s="25"/>
      <c r="E6381" s="10"/>
      <c r="O6381" s="10"/>
      <c r="V6381" s="10"/>
    </row>
    <row r="6382" spans="2:22" x14ac:dyDescent="0.2">
      <c r="B6382" s="25"/>
      <c r="E6382" s="10"/>
      <c r="O6382" s="10"/>
      <c r="V6382" s="10"/>
    </row>
    <row r="6383" spans="2:22" x14ac:dyDescent="0.2">
      <c r="B6383" s="25"/>
      <c r="E6383" s="10"/>
      <c r="O6383" s="10"/>
      <c r="V6383" s="10"/>
    </row>
    <row r="6384" spans="2:22" x14ac:dyDescent="0.2">
      <c r="B6384" s="25"/>
      <c r="E6384" s="10"/>
      <c r="O6384" s="10"/>
      <c r="V6384" s="10"/>
    </row>
    <row r="6385" spans="2:22" x14ac:dyDescent="0.2">
      <c r="B6385" s="25"/>
      <c r="E6385" s="10"/>
      <c r="O6385" s="10"/>
      <c r="V6385" s="10"/>
    </row>
    <row r="6386" spans="2:22" x14ac:dyDescent="0.2">
      <c r="B6386" s="25"/>
      <c r="E6386" s="10"/>
      <c r="O6386" s="10"/>
      <c r="V6386" s="10"/>
    </row>
    <row r="6387" spans="2:22" x14ac:dyDescent="0.2">
      <c r="B6387" s="25"/>
      <c r="E6387" s="10"/>
      <c r="O6387" s="10"/>
      <c r="V6387" s="10"/>
    </row>
    <row r="6388" spans="2:22" x14ac:dyDescent="0.2">
      <c r="B6388" s="25"/>
      <c r="E6388" s="10"/>
      <c r="O6388" s="10"/>
      <c r="V6388" s="10"/>
    </row>
    <row r="6389" spans="2:22" x14ac:dyDescent="0.2">
      <c r="B6389" s="25"/>
      <c r="E6389" s="10"/>
      <c r="O6389" s="10"/>
      <c r="V6389" s="10"/>
    </row>
    <row r="6390" spans="2:22" x14ac:dyDescent="0.2">
      <c r="B6390" s="25"/>
      <c r="E6390" s="10"/>
      <c r="O6390" s="10"/>
      <c r="V6390" s="10"/>
    </row>
    <row r="6391" spans="2:22" x14ac:dyDescent="0.2">
      <c r="B6391" s="25"/>
      <c r="E6391" s="10"/>
      <c r="O6391" s="10"/>
      <c r="V6391" s="10"/>
    </row>
    <row r="6392" spans="2:22" x14ac:dyDescent="0.2">
      <c r="B6392" s="25"/>
      <c r="E6392" s="10"/>
      <c r="O6392" s="10"/>
      <c r="V6392" s="10"/>
    </row>
    <row r="6393" spans="2:22" x14ac:dyDescent="0.2">
      <c r="B6393" s="25"/>
      <c r="E6393" s="10"/>
      <c r="O6393" s="10"/>
      <c r="V6393" s="10"/>
    </row>
    <row r="6394" spans="2:22" x14ac:dyDescent="0.2">
      <c r="B6394" s="25"/>
      <c r="E6394" s="10"/>
      <c r="O6394" s="10"/>
      <c r="V6394" s="10"/>
    </row>
    <row r="6395" spans="2:22" x14ac:dyDescent="0.2">
      <c r="B6395" s="25"/>
      <c r="E6395" s="10"/>
      <c r="O6395" s="10"/>
      <c r="V6395" s="10"/>
    </row>
    <row r="6396" spans="2:22" x14ac:dyDescent="0.2">
      <c r="B6396" s="25"/>
      <c r="E6396" s="10"/>
      <c r="O6396" s="10"/>
      <c r="V6396" s="10"/>
    </row>
    <row r="6397" spans="2:22" x14ac:dyDescent="0.2">
      <c r="B6397" s="25"/>
      <c r="E6397" s="10"/>
      <c r="O6397" s="10"/>
      <c r="V6397" s="10"/>
    </row>
    <row r="6398" spans="2:22" x14ac:dyDescent="0.2">
      <c r="B6398" s="25"/>
      <c r="E6398" s="10"/>
      <c r="O6398" s="10"/>
      <c r="V6398" s="10"/>
    </row>
    <row r="6399" spans="2:22" x14ac:dyDescent="0.2">
      <c r="B6399" s="25"/>
      <c r="E6399" s="10"/>
      <c r="O6399" s="10"/>
      <c r="V6399" s="10"/>
    </row>
    <row r="6400" spans="2:22" x14ac:dyDescent="0.2">
      <c r="B6400" s="25"/>
      <c r="E6400" s="10"/>
      <c r="O6400" s="10"/>
      <c r="V6400" s="10"/>
    </row>
    <row r="6401" spans="2:22" x14ac:dyDescent="0.2">
      <c r="B6401" s="25"/>
      <c r="E6401" s="10"/>
      <c r="O6401" s="10"/>
      <c r="V6401" s="10"/>
    </row>
    <row r="6402" spans="2:22" x14ac:dyDescent="0.2">
      <c r="B6402" s="25"/>
      <c r="E6402" s="10"/>
      <c r="O6402" s="10"/>
      <c r="V6402" s="10"/>
    </row>
    <row r="6403" spans="2:22" x14ac:dyDescent="0.2">
      <c r="B6403" s="25"/>
      <c r="E6403" s="10"/>
      <c r="O6403" s="10"/>
      <c r="V6403" s="10"/>
    </row>
    <row r="6404" spans="2:22" x14ac:dyDescent="0.2">
      <c r="B6404" s="25"/>
      <c r="E6404" s="10"/>
      <c r="O6404" s="10"/>
      <c r="V6404" s="10"/>
    </row>
    <row r="6405" spans="2:22" x14ac:dyDescent="0.2">
      <c r="B6405" s="25"/>
      <c r="E6405" s="10"/>
      <c r="O6405" s="10"/>
      <c r="V6405" s="10"/>
    </row>
    <row r="6406" spans="2:22" x14ac:dyDescent="0.2">
      <c r="B6406" s="25"/>
      <c r="E6406" s="10"/>
      <c r="O6406" s="10"/>
      <c r="V6406" s="10"/>
    </row>
    <row r="6407" spans="2:22" x14ac:dyDescent="0.2">
      <c r="B6407" s="25"/>
      <c r="E6407" s="10"/>
      <c r="O6407" s="10"/>
      <c r="V6407" s="10"/>
    </row>
    <row r="6408" spans="2:22" x14ac:dyDescent="0.2">
      <c r="B6408" s="25"/>
      <c r="E6408" s="10"/>
      <c r="O6408" s="10"/>
      <c r="V6408" s="10"/>
    </row>
    <row r="6409" spans="2:22" x14ac:dyDescent="0.2">
      <c r="B6409" s="25"/>
      <c r="E6409" s="10"/>
      <c r="O6409" s="10"/>
      <c r="V6409" s="10"/>
    </row>
    <row r="6410" spans="2:22" x14ac:dyDescent="0.2">
      <c r="B6410" s="25"/>
      <c r="E6410" s="10"/>
      <c r="O6410" s="10"/>
      <c r="V6410" s="10"/>
    </row>
    <row r="6411" spans="2:22" x14ac:dyDescent="0.2">
      <c r="B6411" s="25"/>
      <c r="E6411" s="10"/>
      <c r="O6411" s="10"/>
      <c r="V6411" s="10"/>
    </row>
    <row r="6412" spans="2:22" x14ac:dyDescent="0.2">
      <c r="B6412" s="25"/>
      <c r="E6412" s="10"/>
      <c r="O6412" s="10"/>
      <c r="V6412" s="10"/>
    </row>
    <row r="6413" spans="2:22" x14ac:dyDescent="0.2">
      <c r="B6413" s="25"/>
      <c r="E6413" s="10"/>
      <c r="O6413" s="10"/>
      <c r="V6413" s="10"/>
    </row>
    <row r="6414" spans="2:22" x14ac:dyDescent="0.2">
      <c r="B6414" s="25"/>
      <c r="E6414" s="10"/>
      <c r="O6414" s="10"/>
      <c r="V6414" s="10"/>
    </row>
    <row r="6415" spans="2:22" x14ac:dyDescent="0.2">
      <c r="B6415" s="25"/>
      <c r="E6415" s="10"/>
      <c r="O6415" s="10"/>
      <c r="V6415" s="10"/>
    </row>
    <row r="6416" spans="2:22" x14ac:dyDescent="0.2">
      <c r="B6416" s="25"/>
      <c r="E6416" s="10"/>
      <c r="O6416" s="10"/>
      <c r="V6416" s="10"/>
    </row>
    <row r="6417" spans="2:22" x14ac:dyDescent="0.2">
      <c r="B6417" s="25"/>
      <c r="E6417" s="10"/>
      <c r="O6417" s="10"/>
      <c r="V6417" s="10"/>
    </row>
    <row r="6418" spans="2:22" x14ac:dyDescent="0.2">
      <c r="B6418" s="25"/>
      <c r="E6418" s="10"/>
      <c r="O6418" s="10"/>
      <c r="V6418" s="10"/>
    </row>
    <row r="6419" spans="2:22" x14ac:dyDescent="0.2">
      <c r="B6419" s="25"/>
      <c r="E6419" s="10"/>
      <c r="O6419" s="10"/>
      <c r="V6419" s="10"/>
    </row>
    <row r="6420" spans="2:22" x14ac:dyDescent="0.2">
      <c r="B6420" s="25"/>
      <c r="E6420" s="10"/>
      <c r="O6420" s="10"/>
      <c r="V6420" s="10"/>
    </row>
    <row r="6421" spans="2:22" x14ac:dyDescent="0.2">
      <c r="B6421" s="25"/>
      <c r="E6421" s="10"/>
      <c r="O6421" s="10"/>
      <c r="V6421" s="10"/>
    </row>
    <row r="6422" spans="2:22" x14ac:dyDescent="0.2">
      <c r="B6422" s="25"/>
      <c r="E6422" s="10"/>
      <c r="O6422" s="10"/>
      <c r="V6422" s="10"/>
    </row>
    <row r="6423" spans="2:22" x14ac:dyDescent="0.2">
      <c r="B6423" s="25"/>
      <c r="E6423" s="10"/>
      <c r="O6423" s="10"/>
      <c r="V6423" s="10"/>
    </row>
    <row r="6424" spans="2:22" x14ac:dyDescent="0.2">
      <c r="B6424" s="25"/>
      <c r="E6424" s="10"/>
      <c r="O6424" s="10"/>
      <c r="V6424" s="10"/>
    </row>
    <row r="6425" spans="2:22" x14ac:dyDescent="0.2">
      <c r="B6425" s="25"/>
      <c r="E6425" s="10"/>
      <c r="O6425" s="10"/>
      <c r="V6425" s="10"/>
    </row>
    <row r="6426" spans="2:22" x14ac:dyDescent="0.2">
      <c r="B6426" s="25"/>
      <c r="E6426" s="10"/>
      <c r="O6426" s="10"/>
      <c r="V6426" s="10"/>
    </row>
    <row r="6427" spans="2:22" x14ac:dyDescent="0.2">
      <c r="B6427" s="25"/>
      <c r="E6427" s="10"/>
      <c r="O6427" s="10"/>
      <c r="V6427" s="10"/>
    </row>
    <row r="6428" spans="2:22" x14ac:dyDescent="0.2">
      <c r="B6428" s="25"/>
      <c r="E6428" s="10"/>
      <c r="O6428" s="10"/>
      <c r="V6428" s="10"/>
    </row>
    <row r="6429" spans="2:22" x14ac:dyDescent="0.2">
      <c r="B6429" s="25"/>
      <c r="E6429" s="10"/>
      <c r="O6429" s="10"/>
      <c r="V6429" s="10"/>
    </row>
    <row r="6430" spans="2:22" x14ac:dyDescent="0.2">
      <c r="B6430" s="25"/>
      <c r="E6430" s="10"/>
      <c r="O6430" s="10"/>
      <c r="V6430" s="10"/>
    </row>
    <row r="6431" spans="2:22" x14ac:dyDescent="0.2">
      <c r="B6431" s="25"/>
      <c r="E6431" s="10"/>
      <c r="O6431" s="10"/>
      <c r="V6431" s="10"/>
    </row>
    <row r="6432" spans="2:22" x14ac:dyDescent="0.2">
      <c r="B6432" s="25"/>
      <c r="E6432" s="10"/>
      <c r="O6432" s="10"/>
      <c r="V6432" s="10"/>
    </row>
    <row r="6433" spans="2:22" x14ac:dyDescent="0.2">
      <c r="B6433" s="25"/>
      <c r="E6433" s="10"/>
      <c r="O6433" s="10"/>
      <c r="V6433" s="10"/>
    </row>
    <row r="6434" spans="2:22" x14ac:dyDescent="0.2">
      <c r="B6434" s="25"/>
      <c r="E6434" s="10"/>
      <c r="O6434" s="10"/>
      <c r="V6434" s="10"/>
    </row>
    <row r="6435" spans="2:22" x14ac:dyDescent="0.2">
      <c r="B6435" s="25"/>
      <c r="E6435" s="10"/>
      <c r="O6435" s="10"/>
      <c r="V6435" s="10"/>
    </row>
    <row r="6436" spans="2:22" x14ac:dyDescent="0.2">
      <c r="B6436" s="25"/>
      <c r="E6436" s="10"/>
      <c r="O6436" s="10"/>
      <c r="V6436" s="10"/>
    </row>
    <row r="6437" spans="2:22" x14ac:dyDescent="0.2">
      <c r="B6437" s="25"/>
      <c r="E6437" s="10"/>
      <c r="O6437" s="10"/>
      <c r="V6437" s="10"/>
    </row>
    <row r="6438" spans="2:22" x14ac:dyDescent="0.2">
      <c r="B6438" s="25"/>
      <c r="E6438" s="10"/>
      <c r="O6438" s="10"/>
      <c r="V6438" s="10"/>
    </row>
    <row r="6439" spans="2:22" x14ac:dyDescent="0.2">
      <c r="B6439" s="25"/>
      <c r="E6439" s="10"/>
      <c r="O6439" s="10"/>
      <c r="V6439" s="10"/>
    </row>
    <row r="6440" spans="2:22" x14ac:dyDescent="0.2">
      <c r="B6440" s="25"/>
      <c r="E6440" s="10"/>
      <c r="O6440" s="10"/>
      <c r="V6440" s="10"/>
    </row>
    <row r="6441" spans="2:22" x14ac:dyDescent="0.2">
      <c r="B6441" s="25"/>
      <c r="E6441" s="10"/>
      <c r="O6441" s="10"/>
      <c r="V6441" s="10"/>
    </row>
    <row r="6442" spans="2:22" x14ac:dyDescent="0.2">
      <c r="B6442" s="25"/>
      <c r="E6442" s="10"/>
      <c r="O6442" s="10"/>
      <c r="V6442" s="10"/>
    </row>
    <row r="6443" spans="2:22" x14ac:dyDescent="0.2">
      <c r="B6443" s="25"/>
      <c r="E6443" s="10"/>
      <c r="O6443" s="10"/>
      <c r="V6443" s="10"/>
    </row>
    <row r="6444" spans="2:22" x14ac:dyDescent="0.2">
      <c r="B6444" s="25"/>
      <c r="E6444" s="10"/>
      <c r="O6444" s="10"/>
      <c r="V6444" s="10"/>
    </row>
    <row r="6445" spans="2:22" x14ac:dyDescent="0.2">
      <c r="B6445" s="25"/>
      <c r="E6445" s="10"/>
      <c r="O6445" s="10"/>
      <c r="V6445" s="10"/>
    </row>
    <row r="6446" spans="2:22" x14ac:dyDescent="0.2">
      <c r="B6446" s="25"/>
      <c r="E6446" s="10"/>
      <c r="O6446" s="10"/>
      <c r="V6446" s="10"/>
    </row>
    <row r="6447" spans="2:22" x14ac:dyDescent="0.2">
      <c r="B6447" s="25"/>
      <c r="E6447" s="10"/>
      <c r="O6447" s="10"/>
      <c r="V6447" s="10"/>
    </row>
    <row r="6448" spans="2:22" x14ac:dyDescent="0.2">
      <c r="B6448" s="25"/>
      <c r="E6448" s="10"/>
      <c r="O6448" s="10"/>
      <c r="V6448" s="10"/>
    </row>
    <row r="6449" spans="2:22" x14ac:dyDescent="0.2">
      <c r="B6449" s="25"/>
      <c r="E6449" s="10"/>
      <c r="O6449" s="10"/>
      <c r="V6449" s="10"/>
    </row>
    <row r="6450" spans="2:22" x14ac:dyDescent="0.2">
      <c r="B6450" s="25"/>
      <c r="E6450" s="10"/>
      <c r="O6450" s="10"/>
      <c r="V6450" s="10"/>
    </row>
    <row r="6451" spans="2:22" x14ac:dyDescent="0.2">
      <c r="B6451" s="25"/>
      <c r="E6451" s="10"/>
      <c r="O6451" s="10"/>
      <c r="V6451" s="10"/>
    </row>
    <row r="6452" spans="2:22" x14ac:dyDescent="0.2">
      <c r="B6452" s="25"/>
      <c r="E6452" s="10"/>
      <c r="O6452" s="10"/>
      <c r="V6452" s="10"/>
    </row>
    <row r="6453" spans="2:22" x14ac:dyDescent="0.2">
      <c r="B6453" s="25"/>
      <c r="E6453" s="10"/>
      <c r="O6453" s="10"/>
      <c r="V6453" s="10"/>
    </row>
    <row r="6454" spans="2:22" x14ac:dyDescent="0.2">
      <c r="B6454" s="25"/>
      <c r="E6454" s="10"/>
      <c r="O6454" s="10"/>
      <c r="V6454" s="10"/>
    </row>
    <row r="6455" spans="2:22" x14ac:dyDescent="0.2">
      <c r="B6455" s="25"/>
      <c r="E6455" s="10"/>
      <c r="O6455" s="10"/>
      <c r="V6455" s="10"/>
    </row>
    <row r="6456" spans="2:22" x14ac:dyDescent="0.2">
      <c r="B6456" s="25"/>
      <c r="E6456" s="10"/>
      <c r="O6456" s="10"/>
      <c r="V6456" s="10"/>
    </row>
    <row r="6457" spans="2:22" x14ac:dyDescent="0.2">
      <c r="B6457" s="25"/>
      <c r="E6457" s="10"/>
      <c r="O6457" s="10"/>
      <c r="V6457" s="10"/>
    </row>
    <row r="6458" spans="2:22" x14ac:dyDescent="0.2">
      <c r="B6458" s="25"/>
      <c r="E6458" s="10"/>
      <c r="O6458" s="10"/>
      <c r="V6458" s="10"/>
    </row>
    <row r="6459" spans="2:22" x14ac:dyDescent="0.2">
      <c r="B6459" s="25"/>
      <c r="E6459" s="10"/>
      <c r="O6459" s="10"/>
      <c r="V6459" s="10"/>
    </row>
    <row r="6460" spans="2:22" x14ac:dyDescent="0.2">
      <c r="B6460" s="25"/>
      <c r="E6460" s="10"/>
      <c r="O6460" s="10"/>
      <c r="V6460" s="10"/>
    </row>
    <row r="6461" spans="2:22" x14ac:dyDescent="0.2">
      <c r="B6461" s="25"/>
      <c r="E6461" s="10"/>
      <c r="O6461" s="10"/>
      <c r="V6461" s="10"/>
    </row>
    <row r="6462" spans="2:22" x14ac:dyDescent="0.2">
      <c r="B6462" s="25"/>
      <c r="E6462" s="10"/>
      <c r="O6462" s="10"/>
      <c r="V6462" s="10"/>
    </row>
    <row r="6463" spans="2:22" x14ac:dyDescent="0.2">
      <c r="B6463" s="25"/>
      <c r="E6463" s="10"/>
      <c r="O6463" s="10"/>
      <c r="V6463" s="10"/>
    </row>
    <row r="6464" spans="2:22" x14ac:dyDescent="0.2">
      <c r="B6464" s="25"/>
      <c r="E6464" s="10"/>
      <c r="O6464" s="10"/>
      <c r="V6464" s="10"/>
    </row>
    <row r="6465" spans="2:22" x14ac:dyDescent="0.2">
      <c r="B6465" s="25"/>
      <c r="E6465" s="10"/>
      <c r="O6465" s="10"/>
      <c r="V6465" s="10"/>
    </row>
    <row r="6466" spans="2:22" x14ac:dyDescent="0.2">
      <c r="B6466" s="25"/>
      <c r="E6466" s="10"/>
      <c r="O6466" s="10"/>
      <c r="V6466" s="10"/>
    </row>
    <row r="6467" spans="2:22" x14ac:dyDescent="0.2">
      <c r="B6467" s="25"/>
      <c r="E6467" s="10"/>
      <c r="O6467" s="10"/>
      <c r="V6467" s="10"/>
    </row>
    <row r="6468" spans="2:22" x14ac:dyDescent="0.2">
      <c r="B6468" s="25"/>
      <c r="E6468" s="10"/>
      <c r="O6468" s="10"/>
      <c r="V6468" s="10"/>
    </row>
    <row r="6469" spans="2:22" x14ac:dyDescent="0.2">
      <c r="B6469" s="25"/>
      <c r="E6469" s="10"/>
      <c r="O6469" s="10"/>
      <c r="V6469" s="10"/>
    </row>
    <row r="6470" spans="2:22" x14ac:dyDescent="0.2">
      <c r="B6470" s="25"/>
      <c r="E6470" s="10"/>
      <c r="O6470" s="10"/>
      <c r="V6470" s="10"/>
    </row>
    <row r="6471" spans="2:22" x14ac:dyDescent="0.2">
      <c r="B6471" s="25"/>
      <c r="E6471" s="10"/>
      <c r="O6471" s="10"/>
      <c r="V6471" s="10"/>
    </row>
    <row r="6472" spans="2:22" x14ac:dyDescent="0.2">
      <c r="B6472" s="25"/>
      <c r="E6472" s="10"/>
      <c r="O6472" s="10"/>
      <c r="V6472" s="10"/>
    </row>
    <row r="6473" spans="2:22" x14ac:dyDescent="0.2">
      <c r="B6473" s="25"/>
      <c r="E6473" s="10"/>
      <c r="O6473" s="10"/>
      <c r="V6473" s="10"/>
    </row>
    <row r="6474" spans="2:22" x14ac:dyDescent="0.2">
      <c r="B6474" s="25"/>
      <c r="E6474" s="10"/>
      <c r="O6474" s="10"/>
      <c r="V6474" s="10"/>
    </row>
    <row r="6475" spans="2:22" x14ac:dyDescent="0.2">
      <c r="B6475" s="25"/>
      <c r="E6475" s="10"/>
      <c r="O6475" s="10"/>
      <c r="V6475" s="10"/>
    </row>
    <row r="6476" spans="2:22" x14ac:dyDescent="0.2">
      <c r="B6476" s="25"/>
      <c r="E6476" s="10"/>
      <c r="O6476" s="10"/>
      <c r="V6476" s="10"/>
    </row>
    <row r="6477" spans="2:22" x14ac:dyDescent="0.2">
      <c r="B6477" s="25"/>
      <c r="E6477" s="10"/>
      <c r="O6477" s="10"/>
      <c r="V6477" s="10"/>
    </row>
    <row r="6478" spans="2:22" x14ac:dyDescent="0.2">
      <c r="B6478" s="25"/>
      <c r="E6478" s="10"/>
      <c r="O6478" s="10"/>
      <c r="V6478" s="10"/>
    </row>
    <row r="6479" spans="2:22" x14ac:dyDescent="0.2">
      <c r="B6479" s="25"/>
      <c r="E6479" s="10"/>
      <c r="O6479" s="10"/>
      <c r="V6479" s="10"/>
    </row>
    <row r="6480" spans="2:22" x14ac:dyDescent="0.2">
      <c r="B6480" s="25"/>
      <c r="E6480" s="10"/>
      <c r="O6480" s="10"/>
      <c r="V6480" s="10"/>
    </row>
    <row r="6481" spans="2:22" x14ac:dyDescent="0.2">
      <c r="B6481" s="25"/>
      <c r="E6481" s="10"/>
      <c r="O6481" s="10"/>
      <c r="V6481" s="10"/>
    </row>
    <row r="6482" spans="2:22" x14ac:dyDescent="0.2">
      <c r="B6482" s="25"/>
      <c r="E6482" s="10"/>
      <c r="O6482" s="10"/>
      <c r="V6482" s="10"/>
    </row>
    <row r="6483" spans="2:22" x14ac:dyDescent="0.2">
      <c r="B6483" s="25"/>
      <c r="E6483" s="10"/>
      <c r="O6483" s="10"/>
      <c r="V6483" s="10"/>
    </row>
    <row r="6484" spans="2:22" x14ac:dyDescent="0.2">
      <c r="B6484" s="25"/>
      <c r="E6484" s="10"/>
      <c r="O6484" s="10"/>
      <c r="V6484" s="10"/>
    </row>
    <row r="6485" spans="2:22" x14ac:dyDescent="0.2">
      <c r="B6485" s="25"/>
      <c r="E6485" s="10"/>
      <c r="O6485" s="10"/>
      <c r="V6485" s="10"/>
    </row>
    <row r="6486" spans="2:22" x14ac:dyDescent="0.2">
      <c r="B6486" s="25"/>
      <c r="E6486" s="10"/>
      <c r="O6486" s="10"/>
      <c r="V6486" s="10"/>
    </row>
    <row r="6487" spans="2:22" x14ac:dyDescent="0.2">
      <c r="B6487" s="25"/>
      <c r="E6487" s="10"/>
      <c r="O6487" s="10"/>
      <c r="V6487" s="10"/>
    </row>
    <row r="6488" spans="2:22" x14ac:dyDescent="0.2">
      <c r="B6488" s="25"/>
      <c r="E6488" s="10"/>
      <c r="O6488" s="10"/>
      <c r="V6488" s="10"/>
    </row>
    <row r="6489" spans="2:22" x14ac:dyDescent="0.2">
      <c r="B6489" s="25"/>
      <c r="E6489" s="10"/>
      <c r="O6489" s="10"/>
      <c r="V6489" s="10"/>
    </row>
    <row r="6490" spans="2:22" x14ac:dyDescent="0.2">
      <c r="B6490" s="25"/>
      <c r="E6490" s="10"/>
      <c r="O6490" s="10"/>
      <c r="V6490" s="10"/>
    </row>
    <row r="6491" spans="2:22" x14ac:dyDescent="0.2">
      <c r="B6491" s="25"/>
      <c r="E6491" s="10"/>
      <c r="O6491" s="10"/>
      <c r="V6491" s="10"/>
    </row>
    <row r="6492" spans="2:22" x14ac:dyDescent="0.2">
      <c r="B6492" s="25"/>
      <c r="E6492" s="10"/>
      <c r="O6492" s="10"/>
      <c r="V6492" s="10"/>
    </row>
    <row r="6493" spans="2:22" x14ac:dyDescent="0.2">
      <c r="B6493" s="25"/>
      <c r="E6493" s="10"/>
      <c r="O6493" s="10"/>
      <c r="V6493" s="10"/>
    </row>
    <row r="6494" spans="2:22" x14ac:dyDescent="0.2">
      <c r="B6494" s="25"/>
      <c r="E6494" s="10"/>
      <c r="O6494" s="10"/>
      <c r="V6494" s="10"/>
    </row>
    <row r="6495" spans="2:22" x14ac:dyDescent="0.2">
      <c r="B6495" s="25"/>
      <c r="E6495" s="10"/>
      <c r="O6495" s="10"/>
      <c r="V6495" s="10"/>
    </row>
    <row r="6496" spans="2:22" x14ac:dyDescent="0.2">
      <c r="B6496" s="25"/>
      <c r="E6496" s="10"/>
      <c r="O6496" s="10"/>
      <c r="V6496" s="10"/>
    </row>
    <row r="6497" spans="2:22" x14ac:dyDescent="0.2">
      <c r="B6497" s="25"/>
      <c r="E6497" s="10"/>
      <c r="O6497" s="10"/>
      <c r="V6497" s="10"/>
    </row>
    <row r="6498" spans="2:22" x14ac:dyDescent="0.2">
      <c r="B6498" s="25"/>
      <c r="E6498" s="10"/>
      <c r="O6498" s="10"/>
      <c r="V6498" s="10"/>
    </row>
    <row r="6499" spans="2:22" x14ac:dyDescent="0.2">
      <c r="B6499" s="25"/>
      <c r="E6499" s="10"/>
      <c r="O6499" s="10"/>
      <c r="V6499" s="10"/>
    </row>
    <row r="6500" spans="2:22" x14ac:dyDescent="0.2">
      <c r="B6500" s="25"/>
      <c r="E6500" s="10"/>
      <c r="O6500" s="10"/>
      <c r="V6500" s="10"/>
    </row>
    <row r="6501" spans="2:22" x14ac:dyDescent="0.2">
      <c r="B6501" s="25"/>
      <c r="E6501" s="10"/>
      <c r="O6501" s="10"/>
      <c r="V6501" s="10"/>
    </row>
    <row r="6502" spans="2:22" x14ac:dyDescent="0.2">
      <c r="B6502" s="25"/>
      <c r="E6502" s="10"/>
      <c r="O6502" s="10"/>
      <c r="V6502" s="10"/>
    </row>
    <row r="6503" spans="2:22" x14ac:dyDescent="0.2">
      <c r="B6503" s="25"/>
      <c r="E6503" s="10"/>
      <c r="O6503" s="10"/>
      <c r="V6503" s="10"/>
    </row>
    <row r="6504" spans="2:22" x14ac:dyDescent="0.2">
      <c r="B6504" s="25"/>
      <c r="E6504" s="10"/>
      <c r="O6504" s="10"/>
      <c r="V6504" s="10"/>
    </row>
    <row r="6505" spans="2:22" x14ac:dyDescent="0.2">
      <c r="B6505" s="25"/>
      <c r="E6505" s="10"/>
      <c r="O6505" s="10"/>
      <c r="V6505" s="10"/>
    </row>
    <row r="6506" spans="2:22" x14ac:dyDescent="0.2">
      <c r="B6506" s="25"/>
      <c r="E6506" s="10"/>
      <c r="O6506" s="10"/>
      <c r="V6506" s="10"/>
    </row>
    <row r="6507" spans="2:22" x14ac:dyDescent="0.2">
      <c r="B6507" s="25"/>
      <c r="E6507" s="10"/>
      <c r="O6507" s="10"/>
      <c r="V6507" s="10"/>
    </row>
    <row r="6508" spans="2:22" x14ac:dyDescent="0.2">
      <c r="B6508" s="25"/>
      <c r="E6508" s="10"/>
      <c r="O6508" s="10"/>
      <c r="V6508" s="10"/>
    </row>
    <row r="6509" spans="2:22" x14ac:dyDescent="0.2">
      <c r="B6509" s="25"/>
      <c r="E6509" s="10"/>
      <c r="O6509" s="10"/>
      <c r="V6509" s="10"/>
    </row>
    <row r="6510" spans="2:22" x14ac:dyDescent="0.2">
      <c r="B6510" s="25"/>
      <c r="E6510" s="10"/>
      <c r="O6510" s="10"/>
      <c r="V6510" s="10"/>
    </row>
    <row r="6511" spans="2:22" x14ac:dyDescent="0.2">
      <c r="B6511" s="25"/>
      <c r="E6511" s="10"/>
      <c r="O6511" s="10"/>
      <c r="V6511" s="10"/>
    </row>
    <row r="6512" spans="2:22" x14ac:dyDescent="0.2">
      <c r="B6512" s="25"/>
      <c r="E6512" s="10"/>
      <c r="O6512" s="10"/>
      <c r="V6512" s="10"/>
    </row>
    <row r="6513" spans="2:22" x14ac:dyDescent="0.2">
      <c r="B6513" s="25"/>
      <c r="E6513" s="10"/>
      <c r="O6513" s="10"/>
      <c r="V6513" s="10"/>
    </row>
    <row r="6514" spans="2:22" x14ac:dyDescent="0.2">
      <c r="B6514" s="25"/>
      <c r="E6514" s="10"/>
      <c r="O6514" s="10"/>
      <c r="V6514" s="10"/>
    </row>
    <row r="6515" spans="2:22" x14ac:dyDescent="0.2">
      <c r="B6515" s="25"/>
      <c r="E6515" s="10"/>
      <c r="O6515" s="10"/>
      <c r="V6515" s="10"/>
    </row>
    <row r="6516" spans="2:22" x14ac:dyDescent="0.2">
      <c r="B6516" s="25"/>
      <c r="E6516" s="10"/>
      <c r="O6516" s="10"/>
      <c r="V6516" s="10"/>
    </row>
    <row r="6517" spans="2:22" x14ac:dyDescent="0.2">
      <c r="B6517" s="25"/>
      <c r="E6517" s="10"/>
      <c r="O6517" s="10"/>
      <c r="V6517" s="10"/>
    </row>
    <row r="6518" spans="2:22" x14ac:dyDescent="0.2">
      <c r="B6518" s="25"/>
      <c r="E6518" s="10"/>
      <c r="O6518" s="10"/>
      <c r="V6518" s="10"/>
    </row>
    <row r="6519" spans="2:22" x14ac:dyDescent="0.2">
      <c r="B6519" s="25"/>
      <c r="E6519" s="10"/>
      <c r="O6519" s="10"/>
      <c r="V6519" s="10"/>
    </row>
    <row r="6520" spans="2:22" x14ac:dyDescent="0.2">
      <c r="B6520" s="25"/>
      <c r="E6520" s="10"/>
      <c r="O6520" s="10"/>
      <c r="V6520" s="10"/>
    </row>
    <row r="6521" spans="2:22" x14ac:dyDescent="0.2">
      <c r="B6521" s="25"/>
      <c r="E6521" s="10"/>
      <c r="O6521" s="10"/>
      <c r="V6521" s="10"/>
    </row>
    <row r="6522" spans="2:22" x14ac:dyDescent="0.2">
      <c r="B6522" s="25"/>
      <c r="E6522" s="10"/>
      <c r="O6522" s="10"/>
      <c r="V6522" s="10"/>
    </row>
    <row r="6523" spans="2:22" x14ac:dyDescent="0.2">
      <c r="B6523" s="25"/>
      <c r="E6523" s="10"/>
      <c r="O6523" s="10"/>
      <c r="V6523" s="10"/>
    </row>
    <row r="6524" spans="2:22" x14ac:dyDescent="0.2">
      <c r="B6524" s="25"/>
      <c r="E6524" s="10"/>
      <c r="O6524" s="10"/>
      <c r="V6524" s="10"/>
    </row>
    <row r="6525" spans="2:22" x14ac:dyDescent="0.2">
      <c r="B6525" s="25"/>
      <c r="E6525" s="10"/>
      <c r="O6525" s="10"/>
      <c r="V6525" s="10"/>
    </row>
    <row r="6526" spans="2:22" x14ac:dyDescent="0.2">
      <c r="B6526" s="25"/>
      <c r="E6526" s="10"/>
      <c r="O6526" s="10"/>
      <c r="V6526" s="10"/>
    </row>
    <row r="6527" spans="2:22" x14ac:dyDescent="0.2">
      <c r="B6527" s="25"/>
      <c r="E6527" s="10"/>
      <c r="O6527" s="10"/>
      <c r="V6527" s="10"/>
    </row>
    <row r="6528" spans="2:22" x14ac:dyDescent="0.2">
      <c r="B6528" s="25"/>
      <c r="E6528" s="10"/>
      <c r="O6528" s="10"/>
      <c r="V6528" s="10"/>
    </row>
    <row r="6529" spans="2:22" x14ac:dyDescent="0.2">
      <c r="B6529" s="25"/>
      <c r="E6529" s="10"/>
      <c r="O6529" s="10"/>
      <c r="V6529" s="10"/>
    </row>
    <row r="6530" spans="2:22" x14ac:dyDescent="0.2">
      <c r="B6530" s="25"/>
      <c r="E6530" s="10"/>
      <c r="O6530" s="10"/>
      <c r="V6530" s="10"/>
    </row>
    <row r="6531" spans="2:22" x14ac:dyDescent="0.2">
      <c r="B6531" s="25"/>
      <c r="E6531" s="10"/>
      <c r="O6531" s="10"/>
      <c r="V6531" s="10"/>
    </row>
    <row r="6532" spans="2:22" x14ac:dyDescent="0.2">
      <c r="B6532" s="25"/>
      <c r="E6532" s="10"/>
      <c r="O6532" s="10"/>
      <c r="V6532" s="10"/>
    </row>
    <row r="6533" spans="2:22" x14ac:dyDescent="0.2">
      <c r="B6533" s="25"/>
      <c r="E6533" s="10"/>
      <c r="O6533" s="10"/>
      <c r="V6533" s="10"/>
    </row>
    <row r="6534" spans="2:22" x14ac:dyDescent="0.2">
      <c r="B6534" s="25"/>
      <c r="E6534" s="10"/>
      <c r="O6534" s="10"/>
      <c r="V6534" s="10"/>
    </row>
    <row r="6535" spans="2:22" x14ac:dyDescent="0.2">
      <c r="B6535" s="25"/>
      <c r="E6535" s="10"/>
      <c r="O6535" s="10"/>
      <c r="V6535" s="10"/>
    </row>
    <row r="6536" spans="2:22" x14ac:dyDescent="0.2">
      <c r="B6536" s="25"/>
      <c r="E6536" s="10"/>
      <c r="O6536" s="10"/>
      <c r="V6536" s="10"/>
    </row>
    <row r="6537" spans="2:22" x14ac:dyDescent="0.2">
      <c r="B6537" s="25"/>
      <c r="E6537" s="10"/>
      <c r="O6537" s="10"/>
      <c r="V6537" s="10"/>
    </row>
    <row r="6538" spans="2:22" x14ac:dyDescent="0.2">
      <c r="B6538" s="25"/>
      <c r="E6538" s="10"/>
      <c r="O6538" s="10"/>
      <c r="V6538" s="10"/>
    </row>
    <row r="6539" spans="2:22" x14ac:dyDescent="0.2">
      <c r="B6539" s="25"/>
      <c r="E6539" s="10"/>
      <c r="O6539" s="10"/>
      <c r="V6539" s="10"/>
    </row>
    <row r="6540" spans="2:22" x14ac:dyDescent="0.2">
      <c r="B6540" s="25"/>
      <c r="E6540" s="10"/>
      <c r="O6540" s="10"/>
      <c r="V6540" s="10"/>
    </row>
    <row r="6541" spans="2:22" x14ac:dyDescent="0.2">
      <c r="B6541" s="25"/>
      <c r="E6541" s="10"/>
      <c r="O6541" s="10"/>
      <c r="V6541" s="10"/>
    </row>
    <row r="6542" spans="2:22" x14ac:dyDescent="0.2">
      <c r="B6542" s="25"/>
      <c r="E6542" s="10"/>
      <c r="O6542" s="10"/>
      <c r="V6542" s="10"/>
    </row>
    <row r="6543" spans="2:22" x14ac:dyDescent="0.2">
      <c r="B6543" s="25"/>
      <c r="E6543" s="10"/>
      <c r="O6543" s="10"/>
      <c r="V6543" s="10"/>
    </row>
    <row r="6544" spans="2:22" x14ac:dyDescent="0.2">
      <c r="B6544" s="25"/>
      <c r="E6544" s="10"/>
      <c r="O6544" s="10"/>
      <c r="V6544" s="10"/>
    </row>
    <row r="6545" spans="2:22" x14ac:dyDescent="0.2">
      <c r="B6545" s="25"/>
      <c r="E6545" s="10"/>
      <c r="O6545" s="10"/>
      <c r="V6545" s="10"/>
    </row>
    <row r="6546" spans="2:22" x14ac:dyDescent="0.2">
      <c r="B6546" s="25"/>
      <c r="E6546" s="10"/>
      <c r="O6546" s="10"/>
      <c r="V6546" s="10"/>
    </row>
    <row r="6547" spans="2:22" x14ac:dyDescent="0.2">
      <c r="B6547" s="25"/>
      <c r="E6547" s="10"/>
      <c r="O6547" s="10"/>
      <c r="V6547" s="10"/>
    </row>
    <row r="6548" spans="2:22" x14ac:dyDescent="0.2">
      <c r="B6548" s="25"/>
      <c r="E6548" s="10"/>
      <c r="O6548" s="10"/>
      <c r="V6548" s="10"/>
    </row>
    <row r="6549" spans="2:22" x14ac:dyDescent="0.2">
      <c r="B6549" s="25"/>
      <c r="E6549" s="10"/>
      <c r="O6549" s="10"/>
      <c r="V6549" s="10"/>
    </row>
    <row r="6550" spans="2:22" x14ac:dyDescent="0.2">
      <c r="B6550" s="25"/>
      <c r="E6550" s="10"/>
      <c r="O6550" s="10"/>
      <c r="V6550" s="10"/>
    </row>
    <row r="6551" spans="2:22" x14ac:dyDescent="0.2">
      <c r="B6551" s="25"/>
      <c r="E6551" s="10"/>
      <c r="O6551" s="10"/>
      <c r="V6551" s="10"/>
    </row>
    <row r="6552" spans="2:22" x14ac:dyDescent="0.2">
      <c r="B6552" s="25"/>
      <c r="E6552" s="10"/>
      <c r="O6552" s="10"/>
      <c r="V6552" s="10"/>
    </row>
    <row r="6553" spans="2:22" x14ac:dyDescent="0.2">
      <c r="B6553" s="25"/>
      <c r="E6553" s="10"/>
      <c r="O6553" s="10"/>
      <c r="V6553" s="10"/>
    </row>
    <row r="6554" spans="2:22" x14ac:dyDescent="0.2">
      <c r="B6554" s="25"/>
      <c r="E6554" s="10"/>
      <c r="O6554" s="10"/>
      <c r="V6554" s="10"/>
    </row>
    <row r="6555" spans="2:22" x14ac:dyDescent="0.2">
      <c r="B6555" s="25"/>
      <c r="E6555" s="10"/>
      <c r="O6555" s="10"/>
      <c r="V6555" s="10"/>
    </row>
    <row r="6556" spans="2:22" x14ac:dyDescent="0.2">
      <c r="B6556" s="25"/>
      <c r="E6556" s="10"/>
      <c r="O6556" s="10"/>
      <c r="V6556" s="10"/>
    </row>
    <row r="6557" spans="2:22" x14ac:dyDescent="0.2">
      <c r="B6557" s="25"/>
      <c r="E6557" s="10"/>
      <c r="O6557" s="10"/>
      <c r="V6557" s="10"/>
    </row>
    <row r="6558" spans="2:22" x14ac:dyDescent="0.2">
      <c r="B6558" s="25"/>
      <c r="E6558" s="10"/>
      <c r="O6558" s="10"/>
      <c r="V6558" s="10"/>
    </row>
    <row r="6559" spans="2:22" x14ac:dyDescent="0.2">
      <c r="B6559" s="25"/>
      <c r="E6559" s="10"/>
      <c r="O6559" s="10"/>
      <c r="V6559" s="10"/>
    </row>
    <row r="6560" spans="2:22" x14ac:dyDescent="0.2">
      <c r="B6560" s="25"/>
      <c r="E6560" s="10"/>
      <c r="O6560" s="10"/>
      <c r="V6560" s="10"/>
    </row>
    <row r="6561" spans="2:22" x14ac:dyDescent="0.2">
      <c r="B6561" s="25"/>
      <c r="E6561" s="10"/>
      <c r="O6561" s="10"/>
      <c r="V6561" s="10"/>
    </row>
    <row r="6562" spans="2:22" x14ac:dyDescent="0.2">
      <c r="B6562" s="25"/>
      <c r="E6562" s="10"/>
      <c r="O6562" s="10"/>
      <c r="V6562" s="10"/>
    </row>
    <row r="6563" spans="2:22" x14ac:dyDescent="0.2">
      <c r="B6563" s="25"/>
      <c r="E6563" s="10"/>
      <c r="O6563" s="10"/>
      <c r="V6563" s="10"/>
    </row>
    <row r="6564" spans="2:22" x14ac:dyDescent="0.2">
      <c r="B6564" s="25"/>
      <c r="E6564" s="10"/>
      <c r="O6564" s="10"/>
      <c r="V6564" s="10"/>
    </row>
    <row r="6565" spans="2:22" x14ac:dyDescent="0.2">
      <c r="B6565" s="25"/>
      <c r="E6565" s="10"/>
      <c r="O6565" s="10"/>
      <c r="V6565" s="10"/>
    </row>
    <row r="6566" spans="2:22" x14ac:dyDescent="0.2">
      <c r="B6566" s="25"/>
      <c r="E6566" s="10"/>
      <c r="O6566" s="10"/>
      <c r="V6566" s="10"/>
    </row>
    <row r="6567" spans="2:22" x14ac:dyDescent="0.2">
      <c r="B6567" s="25"/>
      <c r="E6567" s="10"/>
      <c r="O6567" s="10"/>
      <c r="V6567" s="10"/>
    </row>
    <row r="6568" spans="2:22" x14ac:dyDescent="0.2">
      <c r="B6568" s="25"/>
      <c r="E6568" s="10"/>
      <c r="O6568" s="10"/>
      <c r="V6568" s="10"/>
    </row>
    <row r="6569" spans="2:22" x14ac:dyDescent="0.2">
      <c r="B6569" s="25"/>
      <c r="E6569" s="10"/>
      <c r="O6569" s="10"/>
      <c r="V6569" s="10"/>
    </row>
    <row r="6570" spans="2:22" x14ac:dyDescent="0.2">
      <c r="B6570" s="25"/>
      <c r="E6570" s="10"/>
      <c r="O6570" s="10"/>
      <c r="V6570" s="10"/>
    </row>
    <row r="6571" spans="2:22" x14ac:dyDescent="0.2">
      <c r="B6571" s="25"/>
      <c r="E6571" s="10"/>
      <c r="O6571" s="10"/>
      <c r="V6571" s="10"/>
    </row>
    <row r="6572" spans="2:22" x14ac:dyDescent="0.2">
      <c r="B6572" s="25"/>
      <c r="E6572" s="10"/>
      <c r="O6572" s="10"/>
      <c r="V6572" s="10"/>
    </row>
    <row r="6573" spans="2:22" x14ac:dyDescent="0.2">
      <c r="B6573" s="25"/>
      <c r="E6573" s="10"/>
      <c r="O6573" s="10"/>
      <c r="V6573" s="10"/>
    </row>
    <row r="6574" spans="2:22" x14ac:dyDescent="0.2">
      <c r="B6574" s="25"/>
      <c r="E6574" s="10"/>
      <c r="O6574" s="10"/>
      <c r="V6574" s="10"/>
    </row>
    <row r="6575" spans="2:22" x14ac:dyDescent="0.2">
      <c r="B6575" s="25"/>
      <c r="E6575" s="10"/>
      <c r="O6575" s="10"/>
      <c r="V6575" s="10"/>
    </row>
    <row r="6576" spans="2:22" x14ac:dyDescent="0.2">
      <c r="B6576" s="25"/>
      <c r="E6576" s="10"/>
      <c r="O6576" s="10"/>
      <c r="V6576" s="10"/>
    </row>
    <row r="6577" spans="2:22" x14ac:dyDescent="0.2">
      <c r="B6577" s="25"/>
      <c r="E6577" s="10"/>
      <c r="O6577" s="10"/>
      <c r="V6577" s="10"/>
    </row>
    <row r="6578" spans="2:22" x14ac:dyDescent="0.2">
      <c r="B6578" s="25"/>
      <c r="E6578" s="10"/>
      <c r="O6578" s="10"/>
      <c r="V6578" s="10"/>
    </row>
    <row r="6579" spans="2:22" x14ac:dyDescent="0.2">
      <c r="B6579" s="25"/>
      <c r="E6579" s="10"/>
      <c r="O6579" s="10"/>
      <c r="V6579" s="10"/>
    </row>
    <row r="6580" spans="2:22" x14ac:dyDescent="0.2">
      <c r="B6580" s="25"/>
      <c r="E6580" s="10"/>
      <c r="O6580" s="10"/>
      <c r="V6580" s="10"/>
    </row>
    <row r="6581" spans="2:22" x14ac:dyDescent="0.2">
      <c r="B6581" s="25"/>
      <c r="E6581" s="10"/>
      <c r="O6581" s="10"/>
      <c r="V6581" s="10"/>
    </row>
    <row r="6582" spans="2:22" x14ac:dyDescent="0.2">
      <c r="B6582" s="25"/>
      <c r="E6582" s="10"/>
      <c r="O6582" s="10"/>
      <c r="V6582" s="10"/>
    </row>
    <row r="6583" spans="2:22" x14ac:dyDescent="0.2">
      <c r="B6583" s="25"/>
      <c r="E6583" s="10"/>
      <c r="O6583" s="10"/>
      <c r="V6583" s="10"/>
    </row>
    <row r="6584" spans="2:22" x14ac:dyDescent="0.2">
      <c r="B6584" s="25"/>
      <c r="E6584" s="10"/>
      <c r="O6584" s="10"/>
      <c r="V6584" s="10"/>
    </row>
    <row r="6585" spans="2:22" x14ac:dyDescent="0.2">
      <c r="B6585" s="25"/>
      <c r="E6585" s="10"/>
      <c r="O6585" s="10"/>
      <c r="V6585" s="10"/>
    </row>
    <row r="6586" spans="2:22" x14ac:dyDescent="0.2">
      <c r="B6586" s="25"/>
      <c r="E6586" s="10"/>
      <c r="O6586" s="10"/>
      <c r="V6586" s="10"/>
    </row>
    <row r="6587" spans="2:22" x14ac:dyDescent="0.2">
      <c r="B6587" s="25"/>
      <c r="E6587" s="10"/>
      <c r="O6587" s="10"/>
      <c r="V6587" s="10"/>
    </row>
    <row r="6588" spans="2:22" x14ac:dyDescent="0.2">
      <c r="B6588" s="25"/>
      <c r="E6588" s="10"/>
      <c r="O6588" s="10"/>
      <c r="V6588" s="10"/>
    </row>
    <row r="6589" spans="2:22" x14ac:dyDescent="0.2">
      <c r="B6589" s="25"/>
      <c r="E6589" s="10"/>
      <c r="O6589" s="10"/>
      <c r="V6589" s="10"/>
    </row>
    <row r="6590" spans="2:22" x14ac:dyDescent="0.2">
      <c r="B6590" s="25"/>
      <c r="E6590" s="10"/>
      <c r="O6590" s="10"/>
      <c r="V6590" s="10"/>
    </row>
    <row r="6591" spans="2:22" x14ac:dyDescent="0.2">
      <c r="B6591" s="25"/>
      <c r="E6591" s="10"/>
      <c r="O6591" s="10"/>
      <c r="V6591" s="10"/>
    </row>
    <row r="6592" spans="2:22" x14ac:dyDescent="0.2">
      <c r="B6592" s="25"/>
      <c r="E6592" s="10"/>
      <c r="O6592" s="10"/>
      <c r="V6592" s="10"/>
    </row>
    <row r="6593" spans="2:22" x14ac:dyDescent="0.2">
      <c r="B6593" s="25"/>
      <c r="E6593" s="10"/>
      <c r="O6593" s="10"/>
      <c r="V6593" s="10"/>
    </row>
    <row r="6594" spans="2:22" x14ac:dyDescent="0.2">
      <c r="B6594" s="25"/>
      <c r="E6594" s="10"/>
      <c r="O6594" s="10"/>
      <c r="V6594" s="10"/>
    </row>
    <row r="6595" spans="2:22" x14ac:dyDescent="0.2">
      <c r="B6595" s="25"/>
      <c r="E6595" s="10"/>
      <c r="O6595" s="10"/>
      <c r="V6595" s="10"/>
    </row>
    <row r="6596" spans="2:22" x14ac:dyDescent="0.2">
      <c r="B6596" s="25"/>
      <c r="E6596" s="10"/>
      <c r="O6596" s="10"/>
      <c r="V6596" s="10"/>
    </row>
    <row r="6597" spans="2:22" x14ac:dyDescent="0.2">
      <c r="B6597" s="25"/>
      <c r="E6597" s="10"/>
      <c r="O6597" s="10"/>
      <c r="V6597" s="10"/>
    </row>
    <row r="6598" spans="2:22" x14ac:dyDescent="0.2">
      <c r="B6598" s="25"/>
      <c r="E6598" s="10"/>
      <c r="O6598" s="10"/>
      <c r="V6598" s="10"/>
    </row>
    <row r="6599" spans="2:22" x14ac:dyDescent="0.2">
      <c r="B6599" s="25"/>
      <c r="E6599" s="10"/>
      <c r="O6599" s="10"/>
      <c r="V6599" s="10"/>
    </row>
    <row r="6600" spans="2:22" x14ac:dyDescent="0.2">
      <c r="B6600" s="25"/>
      <c r="E6600" s="10"/>
      <c r="O6600" s="10"/>
      <c r="V6600" s="10"/>
    </row>
    <row r="6601" spans="2:22" x14ac:dyDescent="0.2">
      <c r="B6601" s="25"/>
      <c r="E6601" s="10"/>
      <c r="O6601" s="10"/>
      <c r="V6601" s="10"/>
    </row>
    <row r="6602" spans="2:22" x14ac:dyDescent="0.2">
      <c r="B6602" s="25"/>
      <c r="E6602" s="10"/>
      <c r="O6602" s="10"/>
      <c r="V6602" s="10"/>
    </row>
    <row r="6603" spans="2:22" x14ac:dyDescent="0.2">
      <c r="B6603" s="25"/>
      <c r="E6603" s="10"/>
      <c r="O6603" s="10"/>
      <c r="V6603" s="10"/>
    </row>
    <row r="6604" spans="2:22" x14ac:dyDescent="0.2">
      <c r="B6604" s="25"/>
      <c r="E6604" s="10"/>
      <c r="O6604" s="10"/>
      <c r="V6604" s="10"/>
    </row>
    <row r="6605" spans="2:22" x14ac:dyDescent="0.2">
      <c r="B6605" s="25"/>
      <c r="E6605" s="10"/>
      <c r="O6605" s="10"/>
      <c r="V6605" s="10"/>
    </row>
    <row r="6606" spans="2:22" x14ac:dyDescent="0.2">
      <c r="B6606" s="25"/>
      <c r="E6606" s="10"/>
      <c r="O6606" s="10"/>
      <c r="V6606" s="10"/>
    </row>
    <row r="6607" spans="2:22" x14ac:dyDescent="0.2">
      <c r="B6607" s="25"/>
      <c r="E6607" s="10"/>
      <c r="O6607" s="10"/>
      <c r="V6607" s="10"/>
    </row>
    <row r="6608" spans="2:22" x14ac:dyDescent="0.2">
      <c r="B6608" s="25"/>
      <c r="E6608" s="10"/>
      <c r="O6608" s="10"/>
      <c r="V6608" s="10"/>
    </row>
    <row r="6609" spans="2:22" x14ac:dyDescent="0.2">
      <c r="B6609" s="25"/>
      <c r="E6609" s="10"/>
      <c r="O6609" s="10"/>
      <c r="V6609" s="10"/>
    </row>
    <row r="6610" spans="2:22" x14ac:dyDescent="0.2">
      <c r="B6610" s="25"/>
      <c r="E6610" s="10"/>
      <c r="O6610" s="10"/>
      <c r="V6610" s="10"/>
    </row>
    <row r="6611" spans="2:22" x14ac:dyDescent="0.2">
      <c r="B6611" s="25"/>
      <c r="E6611" s="10"/>
      <c r="O6611" s="10"/>
      <c r="V6611" s="10"/>
    </row>
    <row r="6612" spans="2:22" x14ac:dyDescent="0.2">
      <c r="B6612" s="25"/>
      <c r="E6612" s="10"/>
      <c r="O6612" s="10"/>
      <c r="V6612" s="10"/>
    </row>
    <row r="6613" spans="2:22" x14ac:dyDescent="0.2">
      <c r="B6613" s="25"/>
      <c r="E6613" s="10"/>
      <c r="O6613" s="10"/>
      <c r="V6613" s="10"/>
    </row>
    <row r="6614" spans="2:22" x14ac:dyDescent="0.2">
      <c r="B6614" s="25"/>
      <c r="E6614" s="10"/>
      <c r="O6614" s="10"/>
      <c r="V6614" s="10"/>
    </row>
    <row r="6615" spans="2:22" x14ac:dyDescent="0.2">
      <c r="B6615" s="25"/>
      <c r="E6615" s="10"/>
      <c r="O6615" s="10"/>
      <c r="V6615" s="10"/>
    </row>
    <row r="6616" spans="2:22" x14ac:dyDescent="0.2">
      <c r="B6616" s="25"/>
      <c r="E6616" s="10"/>
      <c r="O6616" s="10"/>
      <c r="V6616" s="10"/>
    </row>
    <row r="6617" spans="2:22" x14ac:dyDescent="0.2">
      <c r="B6617" s="25"/>
      <c r="E6617" s="10"/>
      <c r="O6617" s="10"/>
      <c r="V6617" s="10"/>
    </row>
    <row r="6618" spans="2:22" x14ac:dyDescent="0.2">
      <c r="B6618" s="25"/>
      <c r="E6618" s="10"/>
      <c r="O6618" s="10"/>
      <c r="V6618" s="10"/>
    </row>
    <row r="6619" spans="2:22" x14ac:dyDescent="0.2">
      <c r="B6619" s="25"/>
      <c r="E6619" s="10"/>
      <c r="O6619" s="10"/>
      <c r="V6619" s="10"/>
    </row>
    <row r="6620" spans="2:22" x14ac:dyDescent="0.2">
      <c r="B6620" s="25"/>
      <c r="E6620" s="10"/>
      <c r="O6620" s="10"/>
      <c r="V6620" s="10"/>
    </row>
    <row r="6621" spans="2:22" x14ac:dyDescent="0.2">
      <c r="B6621" s="25"/>
      <c r="E6621" s="10"/>
      <c r="O6621" s="10"/>
      <c r="V6621" s="10"/>
    </row>
    <row r="6622" spans="2:22" x14ac:dyDescent="0.2">
      <c r="B6622" s="25"/>
      <c r="E6622" s="10"/>
      <c r="O6622" s="10"/>
      <c r="V6622" s="10"/>
    </row>
    <row r="6623" spans="2:22" x14ac:dyDescent="0.2">
      <c r="B6623" s="25"/>
      <c r="E6623" s="10"/>
      <c r="O6623" s="10"/>
      <c r="V6623" s="10"/>
    </row>
    <row r="6624" spans="2:22" x14ac:dyDescent="0.2">
      <c r="B6624" s="25"/>
      <c r="E6624" s="10"/>
      <c r="O6624" s="10"/>
      <c r="V6624" s="10"/>
    </row>
    <row r="6625" spans="2:22" x14ac:dyDescent="0.2">
      <c r="B6625" s="25"/>
      <c r="E6625" s="10"/>
      <c r="O6625" s="10"/>
      <c r="V6625" s="10"/>
    </row>
    <row r="6626" spans="2:22" x14ac:dyDescent="0.2">
      <c r="B6626" s="25"/>
      <c r="E6626" s="10"/>
      <c r="O6626" s="10"/>
      <c r="V6626" s="10"/>
    </row>
    <row r="6627" spans="2:22" x14ac:dyDescent="0.2">
      <c r="B6627" s="25"/>
      <c r="E6627" s="10"/>
      <c r="O6627" s="10"/>
      <c r="V6627" s="10"/>
    </row>
    <row r="6628" spans="2:22" x14ac:dyDescent="0.2">
      <c r="B6628" s="25"/>
      <c r="E6628" s="10"/>
      <c r="O6628" s="10"/>
      <c r="V6628" s="10"/>
    </row>
    <row r="6629" spans="2:22" x14ac:dyDescent="0.2">
      <c r="B6629" s="25"/>
      <c r="E6629" s="10"/>
      <c r="O6629" s="10"/>
      <c r="V6629" s="10"/>
    </row>
    <row r="6630" spans="2:22" x14ac:dyDescent="0.2">
      <c r="B6630" s="25"/>
      <c r="E6630" s="10"/>
      <c r="O6630" s="10"/>
      <c r="V6630" s="10"/>
    </row>
    <row r="6631" spans="2:22" x14ac:dyDescent="0.2">
      <c r="B6631" s="25"/>
      <c r="E6631" s="10"/>
      <c r="O6631" s="10"/>
      <c r="V6631" s="10"/>
    </row>
    <row r="6632" spans="2:22" x14ac:dyDescent="0.2">
      <c r="B6632" s="25"/>
      <c r="E6632" s="10"/>
      <c r="O6632" s="10"/>
      <c r="V6632" s="10"/>
    </row>
    <row r="6633" spans="2:22" x14ac:dyDescent="0.2">
      <c r="B6633" s="25"/>
      <c r="E6633" s="10"/>
      <c r="O6633" s="10"/>
      <c r="V6633" s="10"/>
    </row>
    <row r="6634" spans="2:22" x14ac:dyDescent="0.2">
      <c r="B6634" s="25"/>
      <c r="E6634" s="10"/>
      <c r="O6634" s="10"/>
      <c r="V6634" s="10"/>
    </row>
    <row r="6635" spans="2:22" x14ac:dyDescent="0.2">
      <c r="B6635" s="25"/>
      <c r="E6635" s="10"/>
      <c r="O6635" s="10"/>
      <c r="V6635" s="10"/>
    </row>
    <row r="6636" spans="2:22" x14ac:dyDescent="0.2">
      <c r="B6636" s="25"/>
      <c r="E6636" s="10"/>
      <c r="O6636" s="10"/>
      <c r="V6636" s="10"/>
    </row>
    <row r="6637" spans="2:22" x14ac:dyDescent="0.2">
      <c r="B6637" s="25"/>
      <c r="E6637" s="10"/>
      <c r="O6637" s="10"/>
      <c r="V6637" s="10"/>
    </row>
    <row r="6638" spans="2:22" x14ac:dyDescent="0.2">
      <c r="B6638" s="25"/>
      <c r="E6638" s="10"/>
      <c r="O6638" s="10"/>
      <c r="V6638" s="10"/>
    </row>
    <row r="6639" spans="2:22" x14ac:dyDescent="0.2">
      <c r="B6639" s="25"/>
      <c r="E6639" s="10"/>
      <c r="O6639" s="10"/>
      <c r="V6639" s="10"/>
    </row>
    <row r="6640" spans="2:22" x14ac:dyDescent="0.2">
      <c r="B6640" s="25"/>
      <c r="E6640" s="10"/>
      <c r="O6640" s="10"/>
      <c r="V6640" s="10"/>
    </row>
    <row r="6641" spans="2:22" x14ac:dyDescent="0.2">
      <c r="B6641" s="25"/>
      <c r="E6641" s="10"/>
      <c r="O6641" s="10"/>
      <c r="V6641" s="10"/>
    </row>
    <row r="6642" spans="2:22" x14ac:dyDescent="0.2">
      <c r="B6642" s="25"/>
      <c r="E6642" s="10"/>
      <c r="O6642" s="10"/>
      <c r="V6642" s="10"/>
    </row>
    <row r="6643" spans="2:22" x14ac:dyDescent="0.2">
      <c r="B6643" s="25"/>
      <c r="E6643" s="10"/>
      <c r="O6643" s="10"/>
      <c r="V6643" s="10"/>
    </row>
    <row r="6644" spans="2:22" x14ac:dyDescent="0.2">
      <c r="B6644" s="25"/>
      <c r="E6644" s="10"/>
      <c r="O6644" s="10"/>
      <c r="V6644" s="10"/>
    </row>
    <row r="6645" spans="2:22" x14ac:dyDescent="0.2">
      <c r="B6645" s="25"/>
      <c r="E6645" s="10"/>
      <c r="O6645" s="10"/>
      <c r="V6645" s="10"/>
    </row>
    <row r="6646" spans="2:22" x14ac:dyDescent="0.2">
      <c r="B6646" s="25"/>
      <c r="E6646" s="10"/>
      <c r="O6646" s="10"/>
      <c r="V6646" s="10"/>
    </row>
    <row r="6647" spans="2:22" x14ac:dyDescent="0.2">
      <c r="B6647" s="25"/>
      <c r="E6647" s="10"/>
      <c r="O6647" s="10"/>
      <c r="V6647" s="10"/>
    </row>
    <row r="6648" spans="2:22" x14ac:dyDescent="0.2">
      <c r="B6648" s="25"/>
      <c r="E6648" s="10"/>
      <c r="O6648" s="10"/>
      <c r="V6648" s="10"/>
    </row>
    <row r="6649" spans="2:22" x14ac:dyDescent="0.2">
      <c r="B6649" s="25"/>
      <c r="E6649" s="10"/>
      <c r="O6649" s="10"/>
      <c r="V6649" s="10"/>
    </row>
    <row r="6650" spans="2:22" x14ac:dyDescent="0.2">
      <c r="B6650" s="25"/>
      <c r="E6650" s="10"/>
      <c r="O6650" s="10"/>
      <c r="V6650" s="10"/>
    </row>
    <row r="6651" spans="2:22" x14ac:dyDescent="0.2">
      <c r="B6651" s="25"/>
      <c r="E6651" s="10"/>
      <c r="O6651" s="10"/>
      <c r="V6651" s="10"/>
    </row>
    <row r="6652" spans="2:22" x14ac:dyDescent="0.2">
      <c r="B6652" s="25"/>
      <c r="E6652" s="10"/>
      <c r="O6652" s="10"/>
      <c r="V6652" s="10"/>
    </row>
    <row r="6653" spans="2:22" x14ac:dyDescent="0.2">
      <c r="B6653" s="25"/>
      <c r="E6653" s="10"/>
      <c r="O6653" s="10"/>
      <c r="V6653" s="10"/>
    </row>
    <row r="6654" spans="2:22" x14ac:dyDescent="0.2">
      <c r="B6654" s="25"/>
      <c r="E6654" s="10"/>
      <c r="O6654" s="10"/>
      <c r="V6654" s="10"/>
    </row>
    <row r="6655" spans="2:22" x14ac:dyDescent="0.2">
      <c r="B6655" s="25"/>
      <c r="E6655" s="10"/>
      <c r="O6655" s="10"/>
      <c r="V6655" s="10"/>
    </row>
    <row r="6656" spans="2:22" x14ac:dyDescent="0.2">
      <c r="B6656" s="25"/>
      <c r="E6656" s="10"/>
      <c r="O6656" s="10"/>
      <c r="V6656" s="10"/>
    </row>
    <row r="6657" spans="2:22" x14ac:dyDescent="0.2">
      <c r="B6657" s="25"/>
      <c r="E6657" s="10"/>
      <c r="O6657" s="10"/>
      <c r="V6657" s="10"/>
    </row>
    <row r="6658" spans="2:22" x14ac:dyDescent="0.2">
      <c r="B6658" s="25"/>
      <c r="E6658" s="10"/>
      <c r="O6658" s="10"/>
      <c r="V6658" s="10"/>
    </row>
    <row r="6659" spans="2:22" x14ac:dyDescent="0.2">
      <c r="B6659" s="25"/>
      <c r="E6659" s="10"/>
      <c r="O6659" s="10"/>
      <c r="V6659" s="10"/>
    </row>
    <row r="6660" spans="2:22" x14ac:dyDescent="0.2">
      <c r="B6660" s="25"/>
      <c r="E6660" s="10"/>
      <c r="O6660" s="10"/>
      <c r="V6660" s="10"/>
    </row>
    <row r="6661" spans="2:22" x14ac:dyDescent="0.2">
      <c r="B6661" s="25"/>
      <c r="E6661" s="10"/>
      <c r="O6661" s="10"/>
      <c r="V6661" s="10"/>
    </row>
    <row r="6662" spans="2:22" x14ac:dyDescent="0.2">
      <c r="B6662" s="25"/>
      <c r="E6662" s="10"/>
      <c r="O6662" s="10"/>
      <c r="V6662" s="10"/>
    </row>
    <row r="6663" spans="2:22" x14ac:dyDescent="0.2">
      <c r="B6663" s="25"/>
      <c r="E6663" s="10"/>
      <c r="O6663" s="10"/>
      <c r="V6663" s="10"/>
    </row>
    <row r="6664" spans="2:22" x14ac:dyDescent="0.2">
      <c r="B6664" s="25"/>
      <c r="E6664" s="10"/>
      <c r="O6664" s="10"/>
      <c r="V6664" s="10"/>
    </row>
    <row r="6665" spans="2:22" x14ac:dyDescent="0.2">
      <c r="B6665" s="25"/>
      <c r="E6665" s="10"/>
      <c r="O6665" s="10"/>
      <c r="V6665" s="10"/>
    </row>
    <row r="6666" spans="2:22" x14ac:dyDescent="0.2">
      <c r="B6666" s="25"/>
      <c r="E6666" s="10"/>
      <c r="O6666" s="10"/>
      <c r="V6666" s="10"/>
    </row>
    <row r="6667" spans="2:22" x14ac:dyDescent="0.2">
      <c r="B6667" s="25"/>
      <c r="E6667" s="10"/>
      <c r="O6667" s="10"/>
      <c r="V6667" s="10"/>
    </row>
    <row r="6668" spans="2:22" x14ac:dyDescent="0.2">
      <c r="B6668" s="25"/>
      <c r="E6668" s="10"/>
      <c r="O6668" s="10"/>
      <c r="V6668" s="10"/>
    </row>
    <row r="6669" spans="2:22" x14ac:dyDescent="0.2">
      <c r="B6669" s="25"/>
      <c r="E6669" s="10"/>
      <c r="O6669" s="10"/>
      <c r="V6669" s="10"/>
    </row>
    <row r="6670" spans="2:22" x14ac:dyDescent="0.2">
      <c r="B6670" s="25"/>
      <c r="E6670" s="10"/>
      <c r="O6670" s="10"/>
      <c r="V6670" s="10"/>
    </row>
    <row r="6671" spans="2:22" x14ac:dyDescent="0.2">
      <c r="B6671" s="25"/>
      <c r="E6671" s="10"/>
      <c r="O6671" s="10"/>
      <c r="V6671" s="10"/>
    </row>
    <row r="6672" spans="2:22" x14ac:dyDescent="0.2">
      <c r="B6672" s="25"/>
      <c r="E6672" s="10"/>
      <c r="O6672" s="10"/>
      <c r="V6672" s="10"/>
    </row>
    <row r="6673" spans="2:22" x14ac:dyDescent="0.2">
      <c r="B6673" s="25"/>
      <c r="E6673" s="10"/>
      <c r="O6673" s="10"/>
      <c r="V6673" s="10"/>
    </row>
    <row r="6674" spans="2:22" x14ac:dyDescent="0.2">
      <c r="B6674" s="25"/>
      <c r="E6674" s="10"/>
      <c r="O6674" s="10"/>
      <c r="V6674" s="10"/>
    </row>
    <row r="6675" spans="2:22" x14ac:dyDescent="0.2">
      <c r="B6675" s="25"/>
      <c r="E6675" s="10"/>
      <c r="O6675" s="10"/>
      <c r="V6675" s="10"/>
    </row>
    <row r="6676" spans="2:22" x14ac:dyDescent="0.2">
      <c r="B6676" s="25"/>
      <c r="E6676" s="10"/>
      <c r="O6676" s="10"/>
      <c r="V6676" s="10"/>
    </row>
    <row r="6677" spans="2:22" x14ac:dyDescent="0.2">
      <c r="B6677" s="25"/>
      <c r="E6677" s="10"/>
      <c r="O6677" s="10"/>
      <c r="V6677" s="10"/>
    </row>
    <row r="6678" spans="2:22" x14ac:dyDescent="0.2">
      <c r="B6678" s="25"/>
      <c r="E6678" s="10"/>
      <c r="O6678" s="10"/>
      <c r="V6678" s="10"/>
    </row>
    <row r="6679" spans="2:22" x14ac:dyDescent="0.2">
      <c r="B6679" s="25"/>
      <c r="E6679" s="10"/>
      <c r="O6679" s="10"/>
      <c r="V6679" s="10"/>
    </row>
    <row r="6680" spans="2:22" x14ac:dyDescent="0.2">
      <c r="B6680" s="25"/>
      <c r="E6680" s="10"/>
      <c r="O6680" s="10"/>
      <c r="V6680" s="10"/>
    </row>
    <row r="6681" spans="2:22" x14ac:dyDescent="0.2">
      <c r="B6681" s="25"/>
      <c r="E6681" s="10"/>
      <c r="O6681" s="10"/>
      <c r="V6681" s="10"/>
    </row>
    <row r="6682" spans="2:22" x14ac:dyDescent="0.2">
      <c r="B6682" s="25"/>
      <c r="E6682" s="10"/>
      <c r="O6682" s="10"/>
      <c r="V6682" s="10"/>
    </row>
    <row r="6683" spans="2:22" x14ac:dyDescent="0.2">
      <c r="B6683" s="25"/>
      <c r="E6683" s="10"/>
      <c r="O6683" s="10"/>
      <c r="V6683" s="10"/>
    </row>
    <row r="6684" spans="2:22" x14ac:dyDescent="0.2">
      <c r="B6684" s="25"/>
      <c r="E6684" s="10"/>
      <c r="O6684" s="10"/>
      <c r="V6684" s="10"/>
    </row>
    <row r="6685" spans="2:22" x14ac:dyDescent="0.2">
      <c r="B6685" s="25"/>
      <c r="E6685" s="10"/>
      <c r="O6685" s="10"/>
      <c r="V6685" s="10"/>
    </row>
    <row r="6686" spans="2:22" x14ac:dyDescent="0.2">
      <c r="B6686" s="25"/>
      <c r="E6686" s="10"/>
      <c r="O6686" s="10"/>
      <c r="V6686" s="10"/>
    </row>
    <row r="6687" spans="2:22" x14ac:dyDescent="0.2">
      <c r="B6687" s="25"/>
      <c r="E6687" s="10"/>
      <c r="O6687" s="10"/>
      <c r="V6687" s="10"/>
    </row>
    <row r="6688" spans="2:22" x14ac:dyDescent="0.2">
      <c r="B6688" s="25"/>
      <c r="E6688" s="10"/>
      <c r="O6688" s="10"/>
      <c r="V6688" s="10"/>
    </row>
    <row r="6689" spans="2:22" x14ac:dyDescent="0.2">
      <c r="B6689" s="25"/>
      <c r="E6689" s="10"/>
      <c r="V6689" s="10"/>
    </row>
    <row r="6690" spans="2:22" x14ac:dyDescent="0.2">
      <c r="B6690" s="25"/>
      <c r="E6690" s="10"/>
      <c r="O6690" s="10"/>
      <c r="V6690" s="10"/>
    </row>
    <row r="6691" spans="2:22" x14ac:dyDescent="0.2">
      <c r="B6691" s="25"/>
      <c r="E6691" s="10"/>
      <c r="O6691" s="10"/>
      <c r="V6691" s="10"/>
    </row>
    <row r="6692" spans="2:22" x14ac:dyDescent="0.2">
      <c r="B6692" s="25"/>
      <c r="E6692" s="10"/>
      <c r="O6692" s="10"/>
      <c r="V6692" s="10"/>
    </row>
    <row r="6693" spans="2:22" x14ac:dyDescent="0.2">
      <c r="B6693" s="25"/>
      <c r="E6693" s="10"/>
      <c r="O6693" s="10"/>
      <c r="V6693" s="10"/>
    </row>
    <row r="6694" spans="2:22" x14ac:dyDescent="0.2">
      <c r="B6694" s="25"/>
      <c r="E6694" s="10"/>
      <c r="O6694" s="10"/>
      <c r="V6694" s="10"/>
    </row>
    <row r="6695" spans="2:22" x14ac:dyDescent="0.2">
      <c r="B6695" s="25"/>
      <c r="E6695" s="10"/>
      <c r="O6695" s="10"/>
      <c r="V6695" s="10"/>
    </row>
    <row r="6696" spans="2:22" x14ac:dyDescent="0.2">
      <c r="B6696" s="25"/>
      <c r="E6696" s="10"/>
      <c r="O6696" s="10"/>
      <c r="V6696" s="10"/>
    </row>
    <row r="6697" spans="2:22" x14ac:dyDescent="0.2">
      <c r="B6697" s="25"/>
      <c r="E6697" s="10"/>
      <c r="O6697" s="10"/>
      <c r="V6697" s="10"/>
    </row>
    <row r="6698" spans="2:22" x14ac:dyDescent="0.2">
      <c r="B6698" s="25"/>
      <c r="E6698" s="10"/>
      <c r="O6698" s="10"/>
      <c r="V6698" s="10"/>
    </row>
    <row r="6699" spans="2:22" x14ac:dyDescent="0.2">
      <c r="B6699" s="25"/>
      <c r="E6699" s="10"/>
      <c r="O6699" s="10"/>
      <c r="V6699" s="10"/>
    </row>
    <row r="6700" spans="2:22" x14ac:dyDescent="0.2">
      <c r="B6700" s="25"/>
      <c r="E6700" s="10"/>
      <c r="O6700" s="10"/>
      <c r="V6700" s="10"/>
    </row>
    <row r="6701" spans="2:22" x14ac:dyDescent="0.2">
      <c r="B6701" s="25"/>
      <c r="E6701" s="10"/>
      <c r="O6701" s="10"/>
      <c r="V6701" s="10"/>
    </row>
    <row r="6702" spans="2:22" x14ac:dyDescent="0.2">
      <c r="B6702" s="25"/>
      <c r="E6702" s="10"/>
      <c r="O6702" s="10"/>
      <c r="V6702" s="10"/>
    </row>
    <row r="6703" spans="2:22" x14ac:dyDescent="0.2">
      <c r="B6703" s="25"/>
      <c r="E6703" s="10"/>
      <c r="O6703" s="10"/>
      <c r="V6703" s="10"/>
    </row>
    <row r="6704" spans="2:22" x14ac:dyDescent="0.2">
      <c r="B6704" s="25"/>
      <c r="E6704" s="10"/>
      <c r="O6704" s="10"/>
      <c r="V6704" s="10"/>
    </row>
    <row r="6705" spans="2:22" x14ac:dyDescent="0.2">
      <c r="B6705" s="25"/>
      <c r="E6705" s="10"/>
      <c r="O6705" s="10"/>
      <c r="V6705" s="10"/>
    </row>
    <row r="6706" spans="2:22" x14ac:dyDescent="0.2">
      <c r="B6706" s="25"/>
      <c r="E6706" s="10"/>
      <c r="O6706" s="10"/>
      <c r="V6706" s="10"/>
    </row>
    <row r="6707" spans="2:22" x14ac:dyDescent="0.2">
      <c r="B6707" s="25"/>
      <c r="E6707" s="10"/>
      <c r="O6707" s="10"/>
      <c r="V6707" s="10"/>
    </row>
    <row r="6708" spans="2:22" x14ac:dyDescent="0.2">
      <c r="B6708" s="25"/>
      <c r="E6708" s="10"/>
      <c r="O6708" s="10"/>
      <c r="V6708" s="10"/>
    </row>
    <row r="6709" spans="2:22" x14ac:dyDescent="0.2">
      <c r="B6709" s="25"/>
      <c r="E6709" s="10"/>
      <c r="O6709" s="10"/>
      <c r="V6709" s="10"/>
    </row>
    <row r="6710" spans="2:22" x14ac:dyDescent="0.2">
      <c r="B6710" s="25"/>
      <c r="E6710" s="10"/>
      <c r="O6710" s="10"/>
      <c r="V6710" s="10"/>
    </row>
    <row r="6711" spans="2:22" x14ac:dyDescent="0.2">
      <c r="B6711" s="25"/>
      <c r="E6711" s="10"/>
      <c r="O6711" s="10"/>
      <c r="V6711" s="10"/>
    </row>
    <row r="6712" spans="2:22" x14ac:dyDescent="0.2">
      <c r="B6712" s="25"/>
      <c r="E6712" s="10"/>
      <c r="O6712" s="10"/>
      <c r="V6712" s="10"/>
    </row>
    <row r="6713" spans="2:22" x14ac:dyDescent="0.2">
      <c r="B6713" s="25"/>
      <c r="E6713" s="10"/>
      <c r="O6713" s="10"/>
      <c r="V6713" s="10"/>
    </row>
    <row r="6714" spans="2:22" x14ac:dyDescent="0.2">
      <c r="B6714" s="25"/>
      <c r="E6714" s="10"/>
      <c r="O6714" s="10"/>
      <c r="V6714" s="10"/>
    </row>
    <row r="6715" spans="2:22" x14ac:dyDescent="0.2">
      <c r="B6715" s="25"/>
      <c r="E6715" s="10"/>
      <c r="O6715" s="10"/>
      <c r="V6715" s="10"/>
    </row>
    <row r="6716" spans="2:22" x14ac:dyDescent="0.2">
      <c r="B6716" s="25"/>
      <c r="E6716" s="10"/>
      <c r="O6716" s="10"/>
      <c r="V6716" s="10"/>
    </row>
    <row r="6717" spans="2:22" x14ac:dyDescent="0.2">
      <c r="B6717" s="25"/>
      <c r="E6717" s="10"/>
      <c r="O6717" s="10"/>
      <c r="V6717" s="10"/>
    </row>
    <row r="6718" spans="2:22" x14ac:dyDescent="0.2">
      <c r="B6718" s="25"/>
      <c r="E6718" s="10"/>
      <c r="O6718" s="10"/>
      <c r="V6718" s="10"/>
    </row>
    <row r="6719" spans="2:22" x14ac:dyDescent="0.2">
      <c r="B6719" s="25"/>
      <c r="E6719" s="10"/>
      <c r="O6719" s="10"/>
      <c r="V6719" s="10"/>
    </row>
    <row r="6720" spans="2:22" x14ac:dyDescent="0.2">
      <c r="B6720" s="25"/>
      <c r="E6720" s="10"/>
      <c r="O6720" s="10"/>
      <c r="V6720" s="10"/>
    </row>
    <row r="6721" spans="2:22" x14ac:dyDescent="0.2">
      <c r="B6721" s="25"/>
      <c r="E6721" s="10"/>
      <c r="O6721" s="10"/>
      <c r="V6721" s="10"/>
    </row>
    <row r="6722" spans="2:22" x14ac:dyDescent="0.2">
      <c r="B6722" s="25"/>
      <c r="E6722" s="10"/>
      <c r="O6722" s="10"/>
      <c r="V6722" s="10"/>
    </row>
    <row r="6723" spans="2:22" x14ac:dyDescent="0.2">
      <c r="B6723" s="25"/>
      <c r="E6723" s="10"/>
      <c r="O6723" s="10"/>
      <c r="V6723" s="10"/>
    </row>
    <row r="6724" spans="2:22" x14ac:dyDescent="0.2">
      <c r="B6724" s="25"/>
      <c r="E6724" s="10"/>
      <c r="O6724" s="10"/>
      <c r="V6724" s="10"/>
    </row>
    <row r="6725" spans="2:22" x14ac:dyDescent="0.2">
      <c r="B6725" s="25"/>
      <c r="E6725" s="10"/>
      <c r="O6725" s="10"/>
      <c r="V6725" s="10"/>
    </row>
    <row r="6726" spans="2:22" x14ac:dyDescent="0.2">
      <c r="B6726" s="25"/>
      <c r="E6726" s="10"/>
      <c r="O6726" s="10"/>
      <c r="V6726" s="10"/>
    </row>
    <row r="6727" spans="2:22" x14ac:dyDescent="0.2">
      <c r="B6727" s="25"/>
      <c r="E6727" s="10"/>
      <c r="O6727" s="10"/>
      <c r="V6727" s="10"/>
    </row>
    <row r="6728" spans="2:22" x14ac:dyDescent="0.2">
      <c r="B6728" s="25"/>
      <c r="E6728" s="10"/>
      <c r="O6728" s="10"/>
      <c r="V6728" s="10"/>
    </row>
    <row r="6729" spans="2:22" x14ac:dyDescent="0.2">
      <c r="B6729" s="25"/>
      <c r="E6729" s="10"/>
      <c r="O6729" s="10"/>
      <c r="V6729" s="10"/>
    </row>
    <row r="6730" spans="2:22" x14ac:dyDescent="0.2">
      <c r="B6730" s="25"/>
      <c r="E6730" s="10"/>
      <c r="O6730" s="10"/>
      <c r="V6730" s="10"/>
    </row>
    <row r="6731" spans="2:22" x14ac:dyDescent="0.2">
      <c r="B6731" s="25"/>
      <c r="E6731" s="10"/>
      <c r="O6731" s="10"/>
      <c r="V6731" s="10"/>
    </row>
    <row r="6732" spans="2:22" x14ac:dyDescent="0.2">
      <c r="B6732" s="25"/>
      <c r="E6732" s="10"/>
      <c r="O6732" s="10"/>
      <c r="V6732" s="10"/>
    </row>
    <row r="6733" spans="2:22" x14ac:dyDescent="0.2">
      <c r="B6733" s="25"/>
      <c r="E6733" s="10"/>
      <c r="O6733" s="10"/>
      <c r="V6733" s="10"/>
    </row>
    <row r="6734" spans="2:22" x14ac:dyDescent="0.2">
      <c r="B6734" s="25"/>
      <c r="E6734" s="10"/>
      <c r="O6734" s="10"/>
      <c r="V6734" s="10"/>
    </row>
    <row r="6735" spans="2:22" x14ac:dyDescent="0.2">
      <c r="B6735" s="25"/>
      <c r="E6735" s="10"/>
      <c r="O6735" s="10"/>
      <c r="V6735" s="10"/>
    </row>
    <row r="6736" spans="2:22" x14ac:dyDescent="0.2">
      <c r="B6736" s="25"/>
      <c r="E6736" s="10"/>
      <c r="O6736" s="10"/>
      <c r="V6736" s="10"/>
    </row>
    <row r="6737" spans="2:22" x14ac:dyDescent="0.2">
      <c r="B6737" s="25"/>
      <c r="E6737" s="10"/>
      <c r="O6737" s="10"/>
      <c r="V6737" s="10"/>
    </row>
    <row r="6738" spans="2:22" x14ac:dyDescent="0.2">
      <c r="B6738" s="25"/>
      <c r="E6738" s="10"/>
      <c r="O6738" s="10"/>
      <c r="V6738" s="10"/>
    </row>
    <row r="6739" spans="2:22" x14ac:dyDescent="0.2">
      <c r="B6739" s="25"/>
      <c r="E6739" s="10"/>
      <c r="O6739" s="10"/>
      <c r="V6739" s="10"/>
    </row>
    <row r="6740" spans="2:22" x14ac:dyDescent="0.2">
      <c r="B6740" s="25"/>
      <c r="E6740" s="10"/>
      <c r="O6740" s="10"/>
      <c r="V6740" s="10"/>
    </row>
    <row r="6741" spans="2:22" x14ac:dyDescent="0.2">
      <c r="B6741" s="25"/>
      <c r="E6741" s="10"/>
      <c r="O6741" s="10"/>
      <c r="V6741" s="10"/>
    </row>
    <row r="6742" spans="2:22" x14ac:dyDescent="0.2">
      <c r="B6742" s="25"/>
      <c r="E6742" s="10"/>
      <c r="O6742" s="10"/>
      <c r="V6742" s="10"/>
    </row>
    <row r="6743" spans="2:22" x14ac:dyDescent="0.2">
      <c r="B6743" s="25"/>
      <c r="E6743" s="10"/>
      <c r="O6743" s="10"/>
      <c r="V6743" s="10"/>
    </row>
    <row r="6744" spans="2:22" x14ac:dyDescent="0.2">
      <c r="B6744" s="25"/>
      <c r="E6744" s="10"/>
      <c r="O6744" s="10"/>
      <c r="V6744" s="10"/>
    </row>
    <row r="6745" spans="2:22" x14ac:dyDescent="0.2">
      <c r="B6745" s="25"/>
      <c r="E6745" s="10"/>
      <c r="O6745" s="10"/>
      <c r="V6745" s="10"/>
    </row>
    <row r="6746" spans="2:22" x14ac:dyDescent="0.2">
      <c r="B6746" s="25"/>
      <c r="E6746" s="10"/>
      <c r="O6746" s="10"/>
      <c r="V6746" s="10"/>
    </row>
    <row r="6747" spans="2:22" x14ac:dyDescent="0.2">
      <c r="B6747" s="25"/>
      <c r="E6747" s="10"/>
      <c r="O6747" s="10"/>
      <c r="V6747" s="10"/>
    </row>
    <row r="6748" spans="2:22" x14ac:dyDescent="0.2">
      <c r="B6748" s="25"/>
      <c r="E6748" s="10"/>
      <c r="O6748" s="10"/>
      <c r="V6748" s="10"/>
    </row>
    <row r="6749" spans="2:22" x14ac:dyDescent="0.2">
      <c r="B6749" s="25"/>
      <c r="E6749" s="10"/>
      <c r="O6749" s="10"/>
      <c r="V6749" s="10"/>
    </row>
    <row r="6750" spans="2:22" x14ac:dyDescent="0.2">
      <c r="B6750" s="25"/>
      <c r="E6750" s="10"/>
      <c r="O6750" s="10"/>
      <c r="V6750" s="10"/>
    </row>
    <row r="6751" spans="2:22" x14ac:dyDescent="0.2">
      <c r="B6751" s="25"/>
      <c r="E6751" s="10"/>
      <c r="O6751" s="10"/>
      <c r="V6751" s="10"/>
    </row>
    <row r="6752" spans="2:22" x14ac:dyDescent="0.2">
      <c r="B6752" s="25"/>
      <c r="E6752" s="10"/>
      <c r="O6752" s="10"/>
      <c r="V6752" s="10"/>
    </row>
    <row r="6753" spans="2:22" x14ac:dyDescent="0.2">
      <c r="B6753" s="25"/>
      <c r="E6753" s="10"/>
      <c r="O6753" s="10"/>
      <c r="V6753" s="10"/>
    </row>
    <row r="6754" spans="2:22" x14ac:dyDescent="0.2">
      <c r="B6754" s="25"/>
      <c r="E6754" s="10"/>
      <c r="O6754" s="10"/>
      <c r="V6754" s="10"/>
    </row>
    <row r="6755" spans="2:22" x14ac:dyDescent="0.2">
      <c r="B6755" s="25"/>
      <c r="E6755" s="10"/>
      <c r="O6755" s="10"/>
      <c r="V6755" s="10"/>
    </row>
    <row r="6756" spans="2:22" x14ac:dyDescent="0.2">
      <c r="B6756" s="25"/>
      <c r="E6756" s="10"/>
      <c r="O6756" s="10"/>
      <c r="V6756" s="10"/>
    </row>
    <row r="6757" spans="2:22" x14ac:dyDescent="0.2">
      <c r="B6757" s="25"/>
      <c r="E6757" s="10"/>
      <c r="O6757" s="10"/>
      <c r="V6757" s="10"/>
    </row>
    <row r="6758" spans="2:22" x14ac:dyDescent="0.2">
      <c r="B6758" s="25"/>
      <c r="E6758" s="10"/>
      <c r="O6758" s="10"/>
      <c r="V6758" s="10"/>
    </row>
    <row r="6759" spans="2:22" x14ac:dyDescent="0.2">
      <c r="B6759" s="25"/>
      <c r="E6759" s="10"/>
      <c r="O6759" s="10"/>
      <c r="V6759" s="10"/>
    </row>
    <row r="6760" spans="2:22" x14ac:dyDescent="0.2">
      <c r="B6760" s="25"/>
      <c r="E6760" s="10"/>
      <c r="O6760" s="10"/>
      <c r="V6760" s="10"/>
    </row>
    <row r="6761" spans="2:22" x14ac:dyDescent="0.2">
      <c r="B6761" s="25"/>
      <c r="E6761" s="10"/>
      <c r="O6761" s="10"/>
      <c r="V6761" s="10"/>
    </row>
    <row r="6762" spans="2:22" x14ac:dyDescent="0.2">
      <c r="B6762" s="25"/>
      <c r="E6762" s="10"/>
      <c r="O6762" s="10"/>
      <c r="V6762" s="10"/>
    </row>
    <row r="6763" spans="2:22" x14ac:dyDescent="0.2">
      <c r="B6763" s="25"/>
      <c r="E6763" s="10"/>
      <c r="O6763" s="10"/>
      <c r="V6763" s="10"/>
    </row>
    <row r="6764" spans="2:22" x14ac:dyDescent="0.2">
      <c r="B6764" s="25"/>
      <c r="E6764" s="10"/>
      <c r="O6764" s="10"/>
      <c r="V6764" s="10"/>
    </row>
    <row r="6765" spans="2:22" x14ac:dyDescent="0.2">
      <c r="B6765" s="25"/>
      <c r="E6765" s="10"/>
      <c r="O6765" s="10"/>
      <c r="V6765" s="10"/>
    </row>
    <row r="6766" spans="2:22" x14ac:dyDescent="0.2">
      <c r="B6766" s="25"/>
      <c r="E6766" s="10"/>
      <c r="O6766" s="10"/>
      <c r="V6766" s="10"/>
    </row>
    <row r="6767" spans="2:22" x14ac:dyDescent="0.2">
      <c r="B6767" s="25"/>
      <c r="E6767" s="10"/>
      <c r="O6767" s="10"/>
      <c r="V6767" s="10"/>
    </row>
    <row r="6768" spans="2:22" x14ac:dyDescent="0.2">
      <c r="B6768" s="25"/>
      <c r="E6768" s="10"/>
      <c r="O6768" s="10"/>
      <c r="V6768" s="10"/>
    </row>
    <row r="6769" spans="2:22" x14ac:dyDescent="0.2">
      <c r="B6769" s="25"/>
      <c r="E6769" s="10"/>
      <c r="O6769" s="10"/>
      <c r="V6769" s="10"/>
    </row>
    <row r="6770" spans="2:22" x14ac:dyDescent="0.2">
      <c r="B6770" s="25"/>
      <c r="E6770" s="10"/>
      <c r="O6770" s="10"/>
      <c r="V6770" s="10"/>
    </row>
    <row r="6771" spans="2:22" x14ac:dyDescent="0.2">
      <c r="B6771" s="25"/>
      <c r="E6771" s="10"/>
      <c r="O6771" s="10"/>
      <c r="V6771" s="10"/>
    </row>
    <row r="6772" spans="2:22" x14ac:dyDescent="0.2">
      <c r="B6772" s="25"/>
      <c r="E6772" s="10"/>
      <c r="O6772" s="10"/>
      <c r="V6772" s="10"/>
    </row>
    <row r="6773" spans="2:22" x14ac:dyDescent="0.2">
      <c r="B6773" s="25"/>
      <c r="E6773" s="10"/>
      <c r="O6773" s="10"/>
      <c r="V6773" s="10"/>
    </row>
    <row r="6774" spans="2:22" x14ac:dyDescent="0.2">
      <c r="B6774" s="25"/>
      <c r="E6774" s="10"/>
      <c r="O6774" s="10"/>
      <c r="V6774" s="10"/>
    </row>
    <row r="6775" spans="2:22" x14ac:dyDescent="0.2">
      <c r="B6775" s="25"/>
      <c r="E6775" s="10"/>
      <c r="O6775" s="10"/>
      <c r="V6775" s="10"/>
    </row>
    <row r="6776" spans="2:22" x14ac:dyDescent="0.2">
      <c r="B6776" s="25"/>
      <c r="E6776" s="10"/>
      <c r="O6776" s="10"/>
      <c r="V6776" s="10"/>
    </row>
    <row r="6777" spans="2:22" x14ac:dyDescent="0.2">
      <c r="B6777" s="25"/>
      <c r="E6777" s="10"/>
      <c r="O6777" s="10"/>
      <c r="V6777" s="10"/>
    </row>
    <row r="6778" spans="2:22" x14ac:dyDescent="0.2">
      <c r="B6778" s="25"/>
      <c r="E6778" s="10"/>
      <c r="O6778" s="10"/>
      <c r="V6778" s="10"/>
    </row>
    <row r="6779" spans="2:22" x14ac:dyDescent="0.2">
      <c r="B6779" s="25"/>
      <c r="E6779" s="10"/>
      <c r="O6779" s="10"/>
      <c r="V6779" s="10"/>
    </row>
    <row r="6780" spans="2:22" x14ac:dyDescent="0.2">
      <c r="B6780" s="25"/>
      <c r="E6780" s="10"/>
      <c r="O6780" s="10"/>
      <c r="V6780" s="10"/>
    </row>
    <row r="6781" spans="2:22" x14ac:dyDescent="0.2">
      <c r="B6781" s="25"/>
      <c r="E6781" s="10"/>
      <c r="O6781" s="10"/>
      <c r="V6781" s="10"/>
    </row>
    <row r="6782" spans="2:22" x14ac:dyDescent="0.2">
      <c r="B6782" s="25"/>
      <c r="E6782" s="10"/>
      <c r="O6782" s="10"/>
      <c r="V6782" s="10"/>
    </row>
    <row r="6783" spans="2:22" x14ac:dyDescent="0.2">
      <c r="B6783" s="25"/>
      <c r="E6783" s="10"/>
      <c r="O6783" s="10"/>
      <c r="V6783" s="10"/>
    </row>
    <row r="6784" spans="2:22" x14ac:dyDescent="0.2">
      <c r="B6784" s="25"/>
      <c r="E6784" s="10"/>
      <c r="O6784" s="10"/>
      <c r="V6784" s="10"/>
    </row>
    <row r="6785" spans="2:22" x14ac:dyDescent="0.2">
      <c r="B6785" s="25"/>
      <c r="E6785" s="10"/>
      <c r="O6785" s="10"/>
      <c r="V6785" s="10"/>
    </row>
    <row r="6786" spans="2:22" x14ac:dyDescent="0.2">
      <c r="B6786" s="25"/>
      <c r="E6786" s="10"/>
      <c r="O6786" s="10"/>
      <c r="V6786" s="10"/>
    </row>
    <row r="6787" spans="2:22" x14ac:dyDescent="0.2">
      <c r="B6787" s="25"/>
      <c r="E6787" s="10"/>
      <c r="O6787" s="10"/>
      <c r="V6787" s="10"/>
    </row>
    <row r="6788" spans="2:22" x14ac:dyDescent="0.2">
      <c r="B6788" s="25"/>
      <c r="E6788" s="10"/>
      <c r="O6788" s="10"/>
      <c r="V6788" s="10"/>
    </row>
    <row r="6789" spans="2:22" x14ac:dyDescent="0.2">
      <c r="B6789" s="25"/>
      <c r="E6789" s="10"/>
      <c r="O6789" s="10"/>
      <c r="V6789" s="10"/>
    </row>
    <row r="6790" spans="2:22" x14ac:dyDescent="0.2">
      <c r="B6790" s="25"/>
      <c r="E6790" s="10"/>
      <c r="O6790" s="10"/>
      <c r="V6790" s="10"/>
    </row>
    <row r="6791" spans="2:22" x14ac:dyDescent="0.2">
      <c r="B6791" s="25"/>
      <c r="E6791" s="10"/>
      <c r="O6791" s="10"/>
      <c r="V6791" s="10"/>
    </row>
    <row r="6792" spans="2:22" x14ac:dyDescent="0.2">
      <c r="B6792" s="25"/>
      <c r="E6792" s="10"/>
      <c r="O6792" s="10"/>
      <c r="V6792" s="10"/>
    </row>
    <row r="6793" spans="2:22" x14ac:dyDescent="0.2">
      <c r="B6793" s="25"/>
      <c r="E6793" s="10"/>
      <c r="O6793" s="10"/>
      <c r="V6793" s="10"/>
    </row>
    <row r="6794" spans="2:22" x14ac:dyDescent="0.2">
      <c r="B6794" s="25"/>
      <c r="E6794" s="10"/>
      <c r="O6794" s="10"/>
      <c r="V6794" s="10"/>
    </row>
    <row r="6795" spans="2:22" x14ac:dyDescent="0.2">
      <c r="B6795" s="25"/>
      <c r="E6795" s="10"/>
      <c r="O6795" s="10"/>
      <c r="V6795" s="10"/>
    </row>
    <row r="6796" spans="2:22" x14ac:dyDescent="0.2">
      <c r="B6796" s="25"/>
      <c r="E6796" s="10"/>
      <c r="O6796" s="10"/>
      <c r="V6796" s="10"/>
    </row>
    <row r="6797" spans="2:22" x14ac:dyDescent="0.2">
      <c r="B6797" s="25"/>
      <c r="E6797" s="10"/>
      <c r="O6797" s="10"/>
      <c r="V6797" s="10"/>
    </row>
    <row r="6798" spans="2:22" x14ac:dyDescent="0.2">
      <c r="B6798" s="25"/>
      <c r="E6798" s="10"/>
      <c r="O6798" s="10"/>
      <c r="V6798" s="10"/>
    </row>
    <row r="6799" spans="2:22" x14ac:dyDescent="0.2">
      <c r="B6799" s="25"/>
      <c r="E6799" s="10"/>
      <c r="O6799" s="10"/>
      <c r="V6799" s="10"/>
    </row>
    <row r="6800" spans="2:22" x14ac:dyDescent="0.2">
      <c r="B6800" s="25"/>
      <c r="E6800" s="10"/>
      <c r="O6800" s="10"/>
      <c r="V6800" s="10"/>
    </row>
    <row r="6801" spans="2:22" x14ac:dyDescent="0.2">
      <c r="B6801" s="25"/>
      <c r="E6801" s="10"/>
      <c r="O6801" s="10"/>
      <c r="V6801" s="10"/>
    </row>
    <row r="6802" spans="2:22" x14ac:dyDescent="0.2">
      <c r="B6802" s="25"/>
      <c r="E6802" s="10"/>
      <c r="O6802" s="10"/>
      <c r="V6802" s="10"/>
    </row>
    <row r="6803" spans="2:22" x14ac:dyDescent="0.2">
      <c r="B6803" s="25"/>
      <c r="E6803" s="10"/>
      <c r="O6803" s="10"/>
      <c r="V6803" s="10"/>
    </row>
    <row r="6804" spans="2:22" x14ac:dyDescent="0.2">
      <c r="B6804" s="25"/>
      <c r="E6804" s="10"/>
      <c r="O6804" s="10"/>
      <c r="V6804" s="10"/>
    </row>
    <row r="6805" spans="2:22" x14ac:dyDescent="0.2">
      <c r="B6805" s="25"/>
      <c r="E6805" s="10"/>
      <c r="O6805" s="10"/>
      <c r="V6805" s="10"/>
    </row>
    <row r="6806" spans="2:22" x14ac:dyDescent="0.2">
      <c r="B6806" s="25"/>
      <c r="E6806" s="10"/>
      <c r="O6806" s="10"/>
      <c r="V6806" s="10"/>
    </row>
    <row r="6807" spans="2:22" x14ac:dyDescent="0.2">
      <c r="B6807" s="25"/>
      <c r="E6807" s="10"/>
      <c r="O6807" s="10"/>
      <c r="V6807" s="10"/>
    </row>
    <row r="6808" spans="2:22" x14ac:dyDescent="0.2">
      <c r="B6808" s="25"/>
      <c r="E6808" s="10"/>
      <c r="O6808" s="10"/>
      <c r="V6808" s="10"/>
    </row>
    <row r="6809" spans="2:22" x14ac:dyDescent="0.2">
      <c r="B6809" s="25"/>
      <c r="E6809" s="10"/>
      <c r="O6809" s="10"/>
      <c r="V6809" s="10"/>
    </row>
    <row r="6810" spans="2:22" x14ac:dyDescent="0.2">
      <c r="B6810" s="25"/>
      <c r="E6810" s="10"/>
      <c r="O6810" s="10"/>
      <c r="V6810" s="10"/>
    </row>
    <row r="6811" spans="2:22" x14ac:dyDescent="0.2">
      <c r="B6811" s="25"/>
      <c r="E6811" s="10"/>
      <c r="O6811" s="10"/>
      <c r="V6811" s="10"/>
    </row>
    <row r="6812" spans="2:22" x14ac:dyDescent="0.2">
      <c r="B6812" s="25"/>
      <c r="E6812" s="10"/>
      <c r="O6812" s="10"/>
      <c r="V6812" s="10"/>
    </row>
    <row r="6813" spans="2:22" x14ac:dyDescent="0.2">
      <c r="B6813" s="25"/>
      <c r="E6813" s="10"/>
      <c r="O6813" s="10"/>
      <c r="V6813" s="10"/>
    </row>
    <row r="6814" spans="2:22" x14ac:dyDescent="0.2">
      <c r="B6814" s="25"/>
      <c r="E6814" s="10"/>
      <c r="O6814" s="10"/>
      <c r="V6814" s="10"/>
    </row>
    <row r="6815" spans="2:22" x14ac:dyDescent="0.2">
      <c r="B6815" s="25"/>
      <c r="E6815" s="10"/>
      <c r="O6815" s="10"/>
      <c r="V6815" s="10"/>
    </row>
    <row r="6816" spans="2:22" x14ac:dyDescent="0.2">
      <c r="B6816" s="25"/>
      <c r="E6816" s="10"/>
      <c r="O6816" s="10"/>
      <c r="V6816" s="10"/>
    </row>
    <row r="6817" spans="2:22" x14ac:dyDescent="0.2">
      <c r="B6817" s="25"/>
      <c r="E6817" s="10"/>
      <c r="O6817" s="10"/>
      <c r="V6817" s="10"/>
    </row>
    <row r="6818" spans="2:22" x14ac:dyDescent="0.2">
      <c r="B6818" s="25"/>
      <c r="E6818" s="10"/>
      <c r="O6818" s="10"/>
      <c r="V6818" s="10"/>
    </row>
    <row r="6819" spans="2:22" x14ac:dyDescent="0.2">
      <c r="B6819" s="25"/>
      <c r="E6819" s="10"/>
      <c r="O6819" s="10"/>
      <c r="V6819" s="10"/>
    </row>
    <row r="6820" spans="2:22" x14ac:dyDescent="0.2">
      <c r="B6820" s="25"/>
      <c r="E6820" s="10"/>
      <c r="O6820" s="10"/>
      <c r="V6820" s="10"/>
    </row>
    <row r="6821" spans="2:22" x14ac:dyDescent="0.2">
      <c r="B6821" s="25"/>
      <c r="E6821" s="10"/>
      <c r="O6821" s="10"/>
      <c r="V6821" s="10"/>
    </row>
    <row r="6822" spans="2:22" x14ac:dyDescent="0.2">
      <c r="B6822" s="25"/>
      <c r="E6822" s="10"/>
      <c r="O6822" s="10"/>
      <c r="V6822" s="10"/>
    </row>
    <row r="6823" spans="2:22" x14ac:dyDescent="0.2">
      <c r="B6823" s="25"/>
      <c r="E6823" s="10"/>
      <c r="O6823" s="10"/>
      <c r="V6823" s="10"/>
    </row>
    <row r="6824" spans="2:22" x14ac:dyDescent="0.2">
      <c r="B6824" s="25"/>
      <c r="E6824" s="10"/>
      <c r="O6824" s="10"/>
      <c r="V6824" s="10"/>
    </row>
    <row r="6825" spans="2:22" x14ac:dyDescent="0.2">
      <c r="B6825" s="25"/>
      <c r="E6825" s="10"/>
      <c r="O6825" s="10"/>
      <c r="V6825" s="10"/>
    </row>
    <row r="6826" spans="2:22" x14ac:dyDescent="0.2">
      <c r="B6826" s="25"/>
      <c r="E6826" s="10"/>
      <c r="O6826" s="10"/>
      <c r="V6826" s="10"/>
    </row>
    <row r="6827" spans="2:22" x14ac:dyDescent="0.2">
      <c r="B6827" s="25"/>
      <c r="E6827" s="10"/>
      <c r="O6827" s="10"/>
      <c r="V6827" s="10"/>
    </row>
    <row r="6828" spans="2:22" x14ac:dyDescent="0.2">
      <c r="B6828" s="25"/>
      <c r="E6828" s="10"/>
      <c r="O6828" s="10"/>
      <c r="V6828" s="10"/>
    </row>
    <row r="6829" spans="2:22" x14ac:dyDescent="0.2">
      <c r="B6829" s="25"/>
      <c r="E6829" s="10"/>
      <c r="O6829" s="10"/>
      <c r="V6829" s="10"/>
    </row>
    <row r="6830" spans="2:22" x14ac:dyDescent="0.2">
      <c r="B6830" s="25"/>
      <c r="E6830" s="10"/>
      <c r="O6830" s="10"/>
      <c r="V6830" s="10"/>
    </row>
    <row r="6831" spans="2:22" x14ac:dyDescent="0.2">
      <c r="B6831" s="25"/>
      <c r="E6831" s="10"/>
      <c r="O6831" s="10"/>
      <c r="V6831" s="10"/>
    </row>
    <row r="6832" spans="2:22" x14ac:dyDescent="0.2">
      <c r="B6832" s="25"/>
      <c r="E6832" s="10"/>
      <c r="O6832" s="10"/>
      <c r="V6832" s="10"/>
    </row>
    <row r="6833" spans="2:22" x14ac:dyDescent="0.2">
      <c r="B6833" s="25"/>
      <c r="E6833" s="10"/>
      <c r="O6833" s="10"/>
      <c r="V6833" s="10"/>
    </row>
    <row r="6834" spans="2:22" x14ac:dyDescent="0.2">
      <c r="B6834" s="25"/>
      <c r="E6834" s="10"/>
      <c r="O6834" s="10"/>
      <c r="V6834" s="10"/>
    </row>
    <row r="6835" spans="2:22" x14ac:dyDescent="0.2">
      <c r="B6835" s="25"/>
      <c r="E6835" s="10"/>
      <c r="O6835" s="10"/>
      <c r="V6835" s="10"/>
    </row>
    <row r="6836" spans="2:22" x14ac:dyDescent="0.2">
      <c r="B6836" s="25"/>
      <c r="E6836" s="10"/>
      <c r="O6836" s="10"/>
      <c r="V6836" s="10"/>
    </row>
    <row r="6837" spans="2:22" x14ac:dyDescent="0.2">
      <c r="B6837" s="25"/>
      <c r="E6837" s="10"/>
      <c r="O6837" s="10"/>
      <c r="V6837" s="10"/>
    </row>
    <row r="6838" spans="2:22" x14ac:dyDescent="0.2">
      <c r="B6838" s="25"/>
      <c r="E6838" s="10"/>
      <c r="O6838" s="10"/>
      <c r="V6838" s="10"/>
    </row>
    <row r="6839" spans="2:22" x14ac:dyDescent="0.2">
      <c r="B6839" s="25"/>
      <c r="E6839" s="10"/>
      <c r="O6839" s="10"/>
      <c r="V6839" s="10"/>
    </row>
    <row r="6840" spans="2:22" x14ac:dyDescent="0.2">
      <c r="B6840" s="25"/>
      <c r="E6840" s="10"/>
      <c r="O6840" s="10"/>
      <c r="V6840" s="10"/>
    </row>
    <row r="6841" spans="2:22" x14ac:dyDescent="0.2">
      <c r="B6841" s="25"/>
      <c r="E6841" s="10"/>
      <c r="O6841" s="10"/>
      <c r="V6841" s="10"/>
    </row>
    <row r="6842" spans="2:22" x14ac:dyDescent="0.2">
      <c r="B6842" s="25"/>
      <c r="E6842" s="10"/>
      <c r="O6842" s="10"/>
      <c r="V6842" s="10"/>
    </row>
    <row r="6843" spans="2:22" x14ac:dyDescent="0.2">
      <c r="B6843" s="25"/>
      <c r="E6843" s="10"/>
      <c r="O6843" s="10"/>
      <c r="V6843" s="10"/>
    </row>
    <row r="6844" spans="2:22" x14ac:dyDescent="0.2">
      <c r="B6844" s="25"/>
      <c r="E6844" s="10"/>
      <c r="O6844" s="10"/>
      <c r="V6844" s="10"/>
    </row>
    <row r="6845" spans="2:22" x14ac:dyDescent="0.2">
      <c r="B6845" s="25"/>
      <c r="E6845" s="10"/>
      <c r="O6845" s="10"/>
      <c r="V6845" s="10"/>
    </row>
    <row r="6846" spans="2:22" x14ac:dyDescent="0.2">
      <c r="B6846" s="25"/>
      <c r="E6846" s="10"/>
      <c r="O6846" s="10"/>
      <c r="V6846" s="10"/>
    </row>
    <row r="6847" spans="2:22" x14ac:dyDescent="0.2">
      <c r="B6847" s="25"/>
      <c r="E6847" s="10"/>
      <c r="O6847" s="10"/>
      <c r="V6847" s="10"/>
    </row>
    <row r="6848" spans="2:22" x14ac:dyDescent="0.2">
      <c r="B6848" s="25"/>
      <c r="E6848" s="10"/>
      <c r="O6848" s="10"/>
      <c r="V6848" s="10"/>
    </row>
    <row r="6849" spans="2:22" x14ac:dyDescent="0.2">
      <c r="B6849" s="25"/>
      <c r="E6849" s="10"/>
      <c r="O6849" s="10"/>
      <c r="V6849" s="10"/>
    </row>
    <row r="6850" spans="2:22" x14ac:dyDescent="0.2">
      <c r="B6850" s="25"/>
      <c r="E6850" s="10"/>
      <c r="O6850" s="10"/>
      <c r="V6850" s="10"/>
    </row>
    <row r="6851" spans="2:22" x14ac:dyDescent="0.2">
      <c r="B6851" s="25"/>
      <c r="E6851" s="10"/>
      <c r="O6851" s="10"/>
      <c r="V6851" s="10"/>
    </row>
    <row r="6852" spans="2:22" x14ac:dyDescent="0.2">
      <c r="B6852" s="25"/>
      <c r="E6852" s="10"/>
      <c r="O6852" s="10"/>
      <c r="V6852" s="10"/>
    </row>
    <row r="6853" spans="2:22" x14ac:dyDescent="0.2">
      <c r="B6853" s="25"/>
      <c r="E6853" s="10"/>
      <c r="O6853" s="10"/>
      <c r="V6853" s="10"/>
    </row>
    <row r="6854" spans="2:22" x14ac:dyDescent="0.2">
      <c r="B6854" s="25"/>
      <c r="E6854" s="10"/>
      <c r="O6854" s="10"/>
      <c r="V6854" s="10"/>
    </row>
    <row r="6855" spans="2:22" x14ac:dyDescent="0.2">
      <c r="B6855" s="25"/>
      <c r="E6855" s="10"/>
      <c r="O6855" s="10"/>
      <c r="V6855" s="10"/>
    </row>
    <row r="6856" spans="2:22" x14ac:dyDescent="0.2">
      <c r="B6856" s="25"/>
      <c r="E6856" s="10"/>
      <c r="O6856" s="10"/>
      <c r="V6856" s="10"/>
    </row>
    <row r="6857" spans="2:22" x14ac:dyDescent="0.2">
      <c r="B6857" s="25"/>
      <c r="E6857" s="10"/>
      <c r="O6857" s="10"/>
      <c r="V6857" s="10"/>
    </row>
    <row r="6858" spans="2:22" x14ac:dyDescent="0.2">
      <c r="B6858" s="25"/>
      <c r="E6858" s="10"/>
      <c r="O6858" s="10"/>
      <c r="V6858" s="10"/>
    </row>
    <row r="6859" spans="2:22" x14ac:dyDescent="0.2">
      <c r="B6859" s="25"/>
      <c r="E6859" s="10"/>
      <c r="O6859" s="10"/>
      <c r="V6859" s="10"/>
    </row>
    <row r="6860" spans="2:22" x14ac:dyDescent="0.2">
      <c r="B6860" s="25"/>
      <c r="E6860" s="10"/>
      <c r="O6860" s="10"/>
      <c r="V6860" s="10"/>
    </row>
    <row r="6861" spans="2:22" x14ac:dyDescent="0.2">
      <c r="B6861" s="25"/>
      <c r="E6861" s="10"/>
      <c r="O6861" s="10"/>
      <c r="V6861" s="10"/>
    </row>
    <row r="6862" spans="2:22" x14ac:dyDescent="0.2">
      <c r="B6862" s="25"/>
      <c r="E6862" s="10"/>
      <c r="O6862" s="10"/>
      <c r="V6862" s="10"/>
    </row>
    <row r="6863" spans="2:22" x14ac:dyDescent="0.2">
      <c r="B6863" s="25"/>
      <c r="E6863" s="10"/>
      <c r="O6863" s="10"/>
      <c r="V6863" s="10"/>
    </row>
    <row r="6864" spans="2:22" x14ac:dyDescent="0.2">
      <c r="B6864" s="25"/>
      <c r="E6864" s="10"/>
      <c r="O6864" s="10"/>
      <c r="V6864" s="10"/>
    </row>
    <row r="6865" spans="2:22" x14ac:dyDescent="0.2">
      <c r="B6865" s="25"/>
      <c r="E6865" s="10"/>
      <c r="O6865" s="10"/>
      <c r="V6865" s="10"/>
    </row>
    <row r="6866" spans="2:22" x14ac:dyDescent="0.2">
      <c r="B6866" s="25"/>
      <c r="E6866" s="10"/>
      <c r="O6866" s="10"/>
      <c r="V6866" s="10"/>
    </row>
    <row r="6867" spans="2:22" x14ac:dyDescent="0.2">
      <c r="B6867" s="25"/>
      <c r="E6867" s="10"/>
      <c r="O6867" s="10"/>
      <c r="V6867" s="10"/>
    </row>
    <row r="6868" spans="2:22" x14ac:dyDescent="0.2">
      <c r="B6868" s="25"/>
      <c r="E6868" s="10"/>
      <c r="O6868" s="10"/>
      <c r="V6868" s="10"/>
    </row>
    <row r="6869" spans="2:22" x14ac:dyDescent="0.2">
      <c r="B6869" s="25"/>
      <c r="E6869" s="10"/>
      <c r="O6869" s="10"/>
      <c r="V6869" s="10"/>
    </row>
    <row r="6870" spans="2:22" x14ac:dyDescent="0.2">
      <c r="B6870" s="25"/>
      <c r="E6870" s="10"/>
      <c r="O6870" s="10"/>
      <c r="V6870" s="10"/>
    </row>
    <row r="6871" spans="2:22" x14ac:dyDescent="0.2">
      <c r="B6871" s="25"/>
      <c r="E6871" s="10"/>
      <c r="O6871" s="10"/>
      <c r="V6871" s="10"/>
    </row>
    <row r="6872" spans="2:22" x14ac:dyDescent="0.2">
      <c r="B6872" s="25"/>
      <c r="E6872" s="10"/>
      <c r="O6872" s="10"/>
      <c r="V6872" s="10"/>
    </row>
    <row r="6873" spans="2:22" x14ac:dyDescent="0.2">
      <c r="B6873" s="25"/>
      <c r="E6873" s="10"/>
      <c r="O6873" s="10"/>
      <c r="V6873" s="10"/>
    </row>
    <row r="6874" spans="2:22" x14ac:dyDescent="0.2">
      <c r="B6874" s="25"/>
      <c r="E6874" s="10"/>
      <c r="O6874" s="10"/>
      <c r="V6874" s="10"/>
    </row>
    <row r="6875" spans="2:22" x14ac:dyDescent="0.2">
      <c r="B6875" s="25"/>
      <c r="E6875" s="10"/>
      <c r="O6875" s="10"/>
      <c r="V6875" s="10"/>
    </row>
    <row r="6876" spans="2:22" x14ac:dyDescent="0.2">
      <c r="B6876" s="25"/>
      <c r="E6876" s="10"/>
      <c r="O6876" s="10"/>
      <c r="V6876" s="10"/>
    </row>
    <row r="6877" spans="2:22" x14ac:dyDescent="0.2">
      <c r="B6877" s="25"/>
      <c r="E6877" s="10"/>
      <c r="O6877" s="10"/>
      <c r="V6877" s="10"/>
    </row>
    <row r="6878" spans="2:22" x14ac:dyDescent="0.2">
      <c r="B6878" s="25"/>
      <c r="E6878" s="10"/>
      <c r="O6878" s="10"/>
      <c r="V6878" s="10"/>
    </row>
    <row r="6879" spans="2:22" x14ac:dyDescent="0.2">
      <c r="B6879" s="25"/>
      <c r="E6879" s="10"/>
      <c r="O6879" s="10"/>
      <c r="V6879" s="10"/>
    </row>
    <row r="6880" spans="2:22" x14ac:dyDescent="0.2">
      <c r="B6880" s="25"/>
      <c r="E6880" s="10"/>
      <c r="O6880" s="10"/>
      <c r="V6880" s="10"/>
    </row>
    <row r="6881" spans="2:22" x14ac:dyDescent="0.2">
      <c r="B6881" s="25"/>
      <c r="E6881" s="10"/>
      <c r="O6881" s="10"/>
      <c r="V6881" s="10"/>
    </row>
    <row r="6882" spans="2:22" x14ac:dyDescent="0.2">
      <c r="B6882" s="25"/>
      <c r="E6882" s="10"/>
      <c r="O6882" s="10"/>
      <c r="V6882" s="10"/>
    </row>
    <row r="6883" spans="2:22" x14ac:dyDescent="0.2">
      <c r="B6883" s="25"/>
      <c r="E6883" s="10"/>
      <c r="O6883" s="10"/>
      <c r="V6883" s="10"/>
    </row>
    <row r="6884" spans="2:22" x14ac:dyDescent="0.2">
      <c r="B6884" s="25"/>
      <c r="E6884" s="10"/>
      <c r="O6884" s="10"/>
      <c r="V6884" s="10"/>
    </row>
    <row r="6885" spans="2:22" x14ac:dyDescent="0.2">
      <c r="B6885" s="25"/>
      <c r="E6885" s="10"/>
      <c r="O6885" s="10"/>
      <c r="V6885" s="10"/>
    </row>
    <row r="6886" spans="2:22" x14ac:dyDescent="0.2">
      <c r="B6886" s="25"/>
      <c r="E6886" s="10"/>
      <c r="O6886" s="10"/>
      <c r="V6886" s="10"/>
    </row>
    <row r="6887" spans="2:22" x14ac:dyDescent="0.2">
      <c r="B6887" s="25"/>
      <c r="E6887" s="10"/>
      <c r="O6887" s="10"/>
      <c r="V6887" s="10"/>
    </row>
    <row r="6888" spans="2:22" x14ac:dyDescent="0.2">
      <c r="B6888" s="25"/>
      <c r="E6888" s="10"/>
      <c r="O6888" s="10"/>
      <c r="V6888" s="10"/>
    </row>
    <row r="6889" spans="2:22" x14ac:dyDescent="0.2">
      <c r="B6889" s="25"/>
      <c r="E6889" s="10"/>
      <c r="O6889" s="10"/>
      <c r="V6889" s="10"/>
    </row>
    <row r="6890" spans="2:22" x14ac:dyDescent="0.2">
      <c r="B6890" s="25"/>
      <c r="E6890" s="10"/>
      <c r="O6890" s="10"/>
      <c r="V6890" s="10"/>
    </row>
    <row r="6891" spans="2:22" x14ac:dyDescent="0.2">
      <c r="B6891" s="25"/>
      <c r="E6891" s="10"/>
      <c r="O6891" s="10"/>
      <c r="V6891" s="10"/>
    </row>
    <row r="6892" spans="2:22" x14ac:dyDescent="0.2">
      <c r="B6892" s="25"/>
      <c r="E6892" s="10"/>
      <c r="O6892" s="10"/>
      <c r="V6892" s="10"/>
    </row>
    <row r="6893" spans="2:22" x14ac:dyDescent="0.2">
      <c r="B6893" s="25"/>
      <c r="E6893" s="10"/>
      <c r="O6893" s="10"/>
      <c r="V6893" s="10"/>
    </row>
    <row r="6894" spans="2:22" x14ac:dyDescent="0.2">
      <c r="B6894" s="25"/>
      <c r="E6894" s="10"/>
      <c r="O6894" s="10"/>
      <c r="V6894" s="10"/>
    </row>
    <row r="6895" spans="2:22" x14ac:dyDescent="0.2">
      <c r="B6895" s="25"/>
      <c r="E6895" s="10"/>
      <c r="O6895" s="10"/>
      <c r="V6895" s="10"/>
    </row>
    <row r="6896" spans="2:22" x14ac:dyDescent="0.2">
      <c r="B6896" s="25"/>
      <c r="E6896" s="10"/>
      <c r="O6896" s="10"/>
      <c r="V6896" s="10"/>
    </row>
    <row r="6897" spans="2:22" x14ac:dyDescent="0.2">
      <c r="B6897" s="25"/>
      <c r="E6897" s="10"/>
      <c r="O6897" s="10"/>
      <c r="V6897" s="10"/>
    </row>
    <row r="6898" spans="2:22" x14ac:dyDescent="0.2">
      <c r="B6898" s="25"/>
      <c r="E6898" s="10"/>
      <c r="O6898" s="10"/>
      <c r="V6898" s="10"/>
    </row>
    <row r="6899" spans="2:22" x14ac:dyDescent="0.2">
      <c r="B6899" s="25"/>
      <c r="E6899" s="10"/>
      <c r="O6899" s="10"/>
      <c r="V6899" s="10"/>
    </row>
    <row r="6900" spans="2:22" x14ac:dyDescent="0.2">
      <c r="B6900" s="25"/>
      <c r="E6900" s="10"/>
      <c r="O6900" s="10"/>
      <c r="V6900" s="10"/>
    </row>
    <row r="6901" spans="2:22" x14ac:dyDescent="0.2">
      <c r="B6901" s="25"/>
      <c r="E6901" s="10"/>
      <c r="O6901" s="10"/>
      <c r="V6901" s="10"/>
    </row>
    <row r="6902" spans="2:22" x14ac:dyDescent="0.2">
      <c r="B6902" s="25"/>
      <c r="E6902" s="10"/>
      <c r="O6902" s="10"/>
      <c r="V6902" s="10"/>
    </row>
    <row r="6903" spans="2:22" x14ac:dyDescent="0.2">
      <c r="B6903" s="25"/>
      <c r="E6903" s="10"/>
      <c r="O6903" s="10"/>
      <c r="V6903" s="10"/>
    </row>
    <row r="6904" spans="2:22" x14ac:dyDescent="0.2">
      <c r="B6904" s="25"/>
      <c r="E6904" s="10"/>
      <c r="O6904" s="10"/>
      <c r="V6904" s="10"/>
    </row>
    <row r="6905" spans="2:22" x14ac:dyDescent="0.2">
      <c r="B6905" s="25"/>
      <c r="E6905" s="10"/>
      <c r="O6905" s="10"/>
      <c r="V6905" s="10"/>
    </row>
    <row r="6906" spans="2:22" x14ac:dyDescent="0.2">
      <c r="B6906" s="25"/>
      <c r="E6906" s="10"/>
      <c r="O6906" s="10"/>
      <c r="V6906" s="10"/>
    </row>
    <row r="6907" spans="2:22" x14ac:dyDescent="0.2">
      <c r="B6907" s="25"/>
      <c r="E6907" s="10"/>
      <c r="O6907" s="10"/>
      <c r="V6907" s="10"/>
    </row>
    <row r="6908" spans="2:22" x14ac:dyDescent="0.2">
      <c r="B6908" s="25"/>
      <c r="E6908" s="10"/>
      <c r="O6908" s="10"/>
      <c r="V6908" s="10"/>
    </row>
    <row r="6909" spans="2:22" x14ac:dyDescent="0.2">
      <c r="B6909" s="25"/>
      <c r="E6909" s="10"/>
      <c r="O6909" s="10"/>
      <c r="V6909" s="10"/>
    </row>
    <row r="6910" spans="2:22" x14ac:dyDescent="0.2">
      <c r="B6910" s="25"/>
      <c r="E6910" s="10"/>
      <c r="O6910" s="10"/>
      <c r="V6910" s="10"/>
    </row>
    <row r="6911" spans="2:22" x14ac:dyDescent="0.2">
      <c r="B6911" s="25"/>
      <c r="E6911" s="10"/>
      <c r="O6911" s="10"/>
      <c r="V6911" s="10"/>
    </row>
    <row r="6912" spans="2:22" x14ac:dyDescent="0.2">
      <c r="B6912" s="25"/>
      <c r="E6912" s="10"/>
      <c r="O6912" s="10"/>
      <c r="V6912" s="10"/>
    </row>
    <row r="6913" spans="2:22" x14ac:dyDescent="0.2">
      <c r="B6913" s="25"/>
      <c r="E6913" s="10"/>
      <c r="O6913" s="10"/>
      <c r="V6913" s="10"/>
    </row>
    <row r="6914" spans="2:22" x14ac:dyDescent="0.2">
      <c r="B6914" s="25"/>
      <c r="E6914" s="10"/>
      <c r="O6914" s="10"/>
      <c r="V6914" s="10"/>
    </row>
    <row r="6915" spans="2:22" x14ac:dyDescent="0.2">
      <c r="B6915" s="25"/>
      <c r="E6915" s="10"/>
      <c r="O6915" s="10"/>
      <c r="V6915" s="10"/>
    </row>
    <row r="6916" spans="2:22" x14ac:dyDescent="0.2">
      <c r="B6916" s="25"/>
      <c r="E6916" s="10"/>
      <c r="O6916" s="10"/>
      <c r="V6916" s="10"/>
    </row>
    <row r="6917" spans="2:22" x14ac:dyDescent="0.2">
      <c r="B6917" s="25"/>
      <c r="E6917" s="10"/>
      <c r="O6917" s="10"/>
      <c r="V6917" s="10"/>
    </row>
    <row r="6918" spans="2:22" x14ac:dyDescent="0.2">
      <c r="B6918" s="25"/>
      <c r="E6918" s="10"/>
      <c r="O6918" s="10"/>
      <c r="V6918" s="10"/>
    </row>
    <row r="6919" spans="2:22" x14ac:dyDescent="0.2">
      <c r="B6919" s="25"/>
      <c r="E6919" s="10"/>
      <c r="O6919" s="10"/>
      <c r="V6919" s="10"/>
    </row>
    <row r="6920" spans="2:22" x14ac:dyDescent="0.2">
      <c r="B6920" s="25"/>
      <c r="E6920" s="10"/>
      <c r="O6920" s="10"/>
      <c r="V6920" s="10"/>
    </row>
    <row r="6921" spans="2:22" x14ac:dyDescent="0.2">
      <c r="B6921" s="25"/>
      <c r="E6921" s="10"/>
      <c r="O6921" s="10"/>
      <c r="V6921" s="10"/>
    </row>
    <row r="6922" spans="2:22" x14ac:dyDescent="0.2">
      <c r="B6922" s="25"/>
      <c r="E6922" s="10"/>
      <c r="O6922" s="10"/>
      <c r="V6922" s="10"/>
    </row>
    <row r="6923" spans="2:22" x14ac:dyDescent="0.2">
      <c r="B6923" s="25"/>
      <c r="E6923" s="10"/>
      <c r="O6923" s="10"/>
      <c r="V6923" s="10"/>
    </row>
    <row r="6924" spans="2:22" x14ac:dyDescent="0.2">
      <c r="B6924" s="25"/>
      <c r="E6924" s="10"/>
      <c r="O6924" s="10"/>
      <c r="V6924" s="10"/>
    </row>
    <row r="6925" spans="2:22" x14ac:dyDescent="0.2">
      <c r="B6925" s="25"/>
      <c r="E6925" s="10"/>
      <c r="O6925" s="10"/>
      <c r="V6925" s="10"/>
    </row>
    <row r="6926" spans="2:22" x14ac:dyDescent="0.2">
      <c r="B6926" s="25"/>
      <c r="E6926" s="10"/>
      <c r="O6926" s="10"/>
      <c r="V6926" s="10"/>
    </row>
    <row r="6927" spans="2:22" x14ac:dyDescent="0.2">
      <c r="B6927" s="25"/>
      <c r="E6927" s="10"/>
      <c r="O6927" s="10"/>
      <c r="V6927" s="10"/>
    </row>
    <row r="6928" spans="2:22" x14ac:dyDescent="0.2">
      <c r="B6928" s="25"/>
      <c r="E6928" s="10"/>
      <c r="O6928" s="10"/>
      <c r="V6928" s="10"/>
    </row>
    <row r="6929" spans="2:22" x14ac:dyDescent="0.2">
      <c r="B6929" s="25"/>
      <c r="E6929" s="10"/>
      <c r="O6929" s="10"/>
      <c r="V6929" s="10"/>
    </row>
    <row r="6930" spans="2:22" x14ac:dyDescent="0.2">
      <c r="B6930" s="25"/>
      <c r="E6930" s="10"/>
      <c r="O6930" s="10"/>
      <c r="V6930" s="10"/>
    </row>
    <row r="6931" spans="2:22" x14ac:dyDescent="0.2">
      <c r="B6931" s="25"/>
      <c r="E6931" s="10"/>
      <c r="O6931" s="10"/>
      <c r="V6931" s="10"/>
    </row>
    <row r="6932" spans="2:22" x14ac:dyDescent="0.2">
      <c r="B6932" s="25"/>
      <c r="E6932" s="10"/>
      <c r="O6932" s="10"/>
      <c r="V6932" s="10"/>
    </row>
    <row r="6933" spans="2:22" x14ac:dyDescent="0.2">
      <c r="B6933" s="25"/>
      <c r="E6933" s="10"/>
      <c r="O6933" s="10"/>
      <c r="V6933" s="10"/>
    </row>
    <row r="6934" spans="2:22" x14ac:dyDescent="0.2">
      <c r="B6934" s="25"/>
      <c r="E6934" s="10"/>
      <c r="O6934" s="10"/>
      <c r="V6934" s="10"/>
    </row>
    <row r="6935" spans="2:22" x14ac:dyDescent="0.2">
      <c r="B6935" s="25"/>
      <c r="E6935" s="10"/>
      <c r="O6935" s="10"/>
      <c r="V6935" s="10"/>
    </row>
    <row r="6936" spans="2:22" x14ac:dyDescent="0.2">
      <c r="B6936" s="25"/>
      <c r="E6936" s="10"/>
      <c r="O6936" s="10"/>
      <c r="V6936" s="10"/>
    </row>
    <row r="6937" spans="2:22" x14ac:dyDescent="0.2">
      <c r="B6937" s="25"/>
      <c r="E6937" s="10"/>
      <c r="O6937" s="10"/>
      <c r="V6937" s="10"/>
    </row>
    <row r="6938" spans="2:22" x14ac:dyDescent="0.2">
      <c r="B6938" s="25"/>
      <c r="E6938" s="10"/>
      <c r="O6938" s="10"/>
      <c r="V6938" s="10"/>
    </row>
    <row r="6939" spans="2:22" x14ac:dyDescent="0.2">
      <c r="B6939" s="25"/>
      <c r="E6939" s="10"/>
      <c r="O6939" s="10"/>
      <c r="V6939" s="10"/>
    </row>
    <row r="6940" spans="2:22" x14ac:dyDescent="0.2">
      <c r="B6940" s="25"/>
      <c r="E6940" s="10"/>
      <c r="O6940" s="10"/>
      <c r="V6940" s="10"/>
    </row>
    <row r="6941" spans="2:22" x14ac:dyDescent="0.2">
      <c r="B6941" s="25"/>
      <c r="E6941" s="10"/>
      <c r="O6941" s="10"/>
      <c r="V6941" s="10"/>
    </row>
    <row r="6942" spans="2:22" x14ac:dyDescent="0.2">
      <c r="B6942" s="25"/>
      <c r="E6942" s="10"/>
      <c r="O6942" s="10"/>
      <c r="V6942" s="10"/>
    </row>
    <row r="6943" spans="2:22" x14ac:dyDescent="0.2">
      <c r="B6943" s="25"/>
      <c r="E6943" s="10"/>
      <c r="O6943" s="10"/>
      <c r="V6943" s="10"/>
    </row>
    <row r="6944" spans="2:22" x14ac:dyDescent="0.2">
      <c r="B6944" s="25"/>
      <c r="E6944" s="10"/>
      <c r="O6944" s="10"/>
      <c r="V6944" s="10"/>
    </row>
    <row r="6945" spans="2:22" x14ac:dyDescent="0.2">
      <c r="B6945" s="25"/>
      <c r="E6945" s="10"/>
      <c r="O6945" s="10"/>
      <c r="V6945" s="10"/>
    </row>
    <row r="6946" spans="2:22" x14ac:dyDescent="0.2">
      <c r="B6946" s="25"/>
      <c r="E6946" s="10"/>
      <c r="O6946" s="10"/>
      <c r="V6946" s="10"/>
    </row>
    <row r="6947" spans="2:22" x14ac:dyDescent="0.2">
      <c r="B6947" s="25"/>
      <c r="E6947" s="10"/>
      <c r="O6947" s="10"/>
      <c r="V6947" s="10"/>
    </row>
    <row r="6948" spans="2:22" x14ac:dyDescent="0.2">
      <c r="B6948" s="25"/>
      <c r="E6948" s="10"/>
      <c r="O6948" s="10"/>
      <c r="V6948" s="10"/>
    </row>
    <row r="6949" spans="2:22" x14ac:dyDescent="0.2">
      <c r="B6949" s="25"/>
      <c r="E6949" s="10"/>
      <c r="O6949" s="10"/>
      <c r="V6949" s="10"/>
    </row>
    <row r="6950" spans="2:22" x14ac:dyDescent="0.2">
      <c r="B6950" s="25"/>
      <c r="E6950" s="10"/>
      <c r="O6950" s="10"/>
      <c r="V6950" s="10"/>
    </row>
    <row r="6951" spans="2:22" x14ac:dyDescent="0.2">
      <c r="B6951" s="25"/>
      <c r="E6951" s="10"/>
      <c r="O6951" s="10"/>
      <c r="V6951" s="10"/>
    </row>
    <row r="6952" spans="2:22" x14ac:dyDescent="0.2">
      <c r="B6952" s="25"/>
      <c r="E6952" s="10"/>
      <c r="O6952" s="10"/>
      <c r="V6952" s="10"/>
    </row>
    <row r="6953" spans="2:22" x14ac:dyDescent="0.2">
      <c r="B6953" s="25"/>
      <c r="E6953" s="10"/>
      <c r="O6953" s="10"/>
      <c r="V6953" s="10"/>
    </row>
    <row r="6954" spans="2:22" x14ac:dyDescent="0.2">
      <c r="B6954" s="25"/>
      <c r="E6954" s="10"/>
      <c r="O6954" s="10"/>
      <c r="V6954" s="10"/>
    </row>
    <row r="6955" spans="2:22" x14ac:dyDescent="0.2">
      <c r="B6955" s="25"/>
      <c r="E6955" s="10"/>
      <c r="O6955" s="10"/>
      <c r="V6955" s="10"/>
    </row>
    <row r="6956" spans="2:22" x14ac:dyDescent="0.2">
      <c r="B6956" s="25"/>
      <c r="E6956" s="10"/>
      <c r="O6956" s="10"/>
      <c r="V6956" s="10"/>
    </row>
    <row r="6957" spans="2:22" x14ac:dyDescent="0.2">
      <c r="B6957" s="25"/>
      <c r="E6957" s="10"/>
      <c r="O6957" s="10"/>
      <c r="V6957" s="10"/>
    </row>
    <row r="6958" spans="2:22" x14ac:dyDescent="0.2">
      <c r="B6958" s="25"/>
      <c r="E6958" s="10"/>
      <c r="O6958" s="10"/>
      <c r="V6958" s="10"/>
    </row>
    <row r="6959" spans="2:22" x14ac:dyDescent="0.2">
      <c r="B6959" s="25"/>
      <c r="E6959" s="10"/>
      <c r="O6959" s="10"/>
      <c r="V6959" s="10"/>
    </row>
    <row r="6960" spans="2:22" x14ac:dyDescent="0.2">
      <c r="B6960" s="25"/>
      <c r="E6960" s="10"/>
      <c r="O6960" s="10"/>
      <c r="V6960" s="10"/>
    </row>
    <row r="6961" spans="2:22" x14ac:dyDescent="0.2">
      <c r="B6961" s="25"/>
      <c r="E6961" s="10"/>
      <c r="O6961" s="10"/>
      <c r="V6961" s="10"/>
    </row>
    <row r="6962" spans="2:22" x14ac:dyDescent="0.2">
      <c r="B6962" s="25"/>
      <c r="E6962" s="10"/>
      <c r="O6962" s="10"/>
      <c r="V6962" s="10"/>
    </row>
    <row r="6963" spans="2:22" x14ac:dyDescent="0.2">
      <c r="B6963" s="25"/>
      <c r="E6963" s="10"/>
      <c r="O6963" s="10"/>
      <c r="V6963" s="10"/>
    </row>
    <row r="6964" spans="2:22" x14ac:dyDescent="0.2">
      <c r="B6964" s="25"/>
      <c r="E6964" s="10"/>
      <c r="O6964" s="10"/>
      <c r="V6964" s="10"/>
    </row>
    <row r="6965" spans="2:22" x14ac:dyDescent="0.2">
      <c r="B6965" s="25"/>
      <c r="E6965" s="10"/>
      <c r="O6965" s="10"/>
      <c r="V6965" s="10"/>
    </row>
    <row r="6966" spans="2:22" x14ac:dyDescent="0.2">
      <c r="B6966" s="25"/>
      <c r="E6966" s="10"/>
      <c r="O6966" s="10"/>
      <c r="V6966" s="10"/>
    </row>
    <row r="6967" spans="2:22" x14ac:dyDescent="0.2">
      <c r="B6967" s="25"/>
      <c r="E6967" s="10"/>
      <c r="O6967" s="10"/>
      <c r="V6967" s="10"/>
    </row>
    <row r="6968" spans="2:22" x14ac:dyDescent="0.2">
      <c r="B6968" s="25"/>
      <c r="E6968" s="10"/>
      <c r="O6968" s="10"/>
      <c r="V6968" s="10"/>
    </row>
    <row r="6969" spans="2:22" x14ac:dyDescent="0.2">
      <c r="B6969" s="25"/>
      <c r="E6969" s="10"/>
      <c r="O6969" s="10"/>
      <c r="V6969" s="10"/>
    </row>
    <row r="6970" spans="2:22" x14ac:dyDescent="0.2">
      <c r="B6970" s="25"/>
      <c r="E6970" s="10"/>
      <c r="O6970" s="10"/>
      <c r="V6970" s="10"/>
    </row>
    <row r="6971" spans="2:22" x14ac:dyDescent="0.2">
      <c r="B6971" s="25"/>
      <c r="E6971" s="10"/>
      <c r="O6971" s="10"/>
      <c r="V6971" s="10"/>
    </row>
    <row r="6972" spans="2:22" x14ac:dyDescent="0.2">
      <c r="B6972" s="25"/>
      <c r="E6972" s="10"/>
      <c r="O6972" s="10"/>
      <c r="V6972" s="10"/>
    </row>
    <row r="6973" spans="2:22" x14ac:dyDescent="0.2">
      <c r="B6973" s="25"/>
      <c r="E6973" s="10"/>
      <c r="O6973" s="10"/>
      <c r="V6973" s="10"/>
    </row>
    <row r="6974" spans="2:22" x14ac:dyDescent="0.2">
      <c r="B6974" s="25"/>
      <c r="E6974" s="10"/>
      <c r="O6974" s="10"/>
      <c r="V6974" s="10"/>
    </row>
    <row r="6975" spans="2:22" x14ac:dyDescent="0.2">
      <c r="B6975" s="25"/>
      <c r="E6975" s="10"/>
      <c r="O6975" s="10"/>
      <c r="V6975" s="10"/>
    </row>
    <row r="6976" spans="2:22" x14ac:dyDescent="0.2">
      <c r="B6976" s="25"/>
      <c r="E6976" s="10"/>
      <c r="O6976" s="10"/>
      <c r="V6976" s="10"/>
    </row>
    <row r="6977" spans="2:22" x14ac:dyDescent="0.2">
      <c r="B6977" s="25"/>
      <c r="E6977" s="10"/>
      <c r="O6977" s="10"/>
      <c r="V6977" s="10"/>
    </row>
    <row r="6978" spans="2:22" x14ac:dyDescent="0.2">
      <c r="B6978" s="25"/>
      <c r="E6978" s="10"/>
      <c r="O6978" s="10"/>
      <c r="V6978" s="10"/>
    </row>
    <row r="6979" spans="2:22" x14ac:dyDescent="0.2">
      <c r="B6979" s="25"/>
      <c r="E6979" s="10"/>
      <c r="O6979" s="10"/>
      <c r="V6979" s="10"/>
    </row>
    <row r="6980" spans="2:22" x14ac:dyDescent="0.2">
      <c r="B6980" s="25"/>
      <c r="E6980" s="10"/>
      <c r="O6980" s="10"/>
      <c r="V6980" s="10"/>
    </row>
    <row r="6981" spans="2:22" x14ac:dyDescent="0.2">
      <c r="B6981" s="25"/>
      <c r="E6981" s="10"/>
      <c r="O6981" s="10"/>
      <c r="V6981" s="10"/>
    </row>
    <row r="6982" spans="2:22" x14ac:dyDescent="0.2">
      <c r="B6982" s="25"/>
      <c r="E6982" s="10"/>
      <c r="O6982" s="10"/>
      <c r="V6982" s="10"/>
    </row>
    <row r="6983" spans="2:22" x14ac:dyDescent="0.2">
      <c r="B6983" s="25"/>
      <c r="E6983" s="10"/>
      <c r="O6983" s="10"/>
      <c r="V6983" s="10"/>
    </row>
    <row r="6984" spans="2:22" x14ac:dyDescent="0.2">
      <c r="B6984" s="25"/>
      <c r="E6984" s="10"/>
      <c r="O6984" s="10"/>
      <c r="V6984" s="10"/>
    </row>
    <row r="6985" spans="2:22" x14ac:dyDescent="0.2">
      <c r="B6985" s="25"/>
      <c r="E6985" s="10"/>
      <c r="O6985" s="10"/>
      <c r="V6985" s="10"/>
    </row>
    <row r="6986" spans="2:22" x14ac:dyDescent="0.2">
      <c r="B6986" s="25"/>
      <c r="E6986" s="10"/>
      <c r="O6986" s="10"/>
      <c r="V6986" s="10"/>
    </row>
    <row r="6987" spans="2:22" x14ac:dyDescent="0.2">
      <c r="B6987" s="25"/>
      <c r="E6987" s="10"/>
      <c r="O6987" s="10"/>
      <c r="V6987" s="10"/>
    </row>
    <row r="6988" spans="2:22" x14ac:dyDescent="0.2">
      <c r="B6988" s="25"/>
      <c r="E6988" s="10"/>
      <c r="O6988" s="10"/>
      <c r="V6988" s="10"/>
    </row>
    <row r="6989" spans="2:22" x14ac:dyDescent="0.2">
      <c r="B6989" s="25"/>
      <c r="E6989" s="10"/>
      <c r="O6989" s="10"/>
      <c r="V6989" s="10"/>
    </row>
    <row r="6990" spans="2:22" x14ac:dyDescent="0.2">
      <c r="B6990" s="25"/>
      <c r="E6990" s="10"/>
      <c r="O6990" s="10"/>
      <c r="V6990" s="10"/>
    </row>
    <row r="6991" spans="2:22" x14ac:dyDescent="0.2">
      <c r="B6991" s="25"/>
      <c r="E6991" s="10"/>
      <c r="O6991" s="10"/>
      <c r="V6991" s="10"/>
    </row>
    <row r="6992" spans="2:22" x14ac:dyDescent="0.2">
      <c r="B6992" s="25"/>
      <c r="E6992" s="10"/>
      <c r="O6992" s="10"/>
      <c r="V6992" s="10"/>
    </row>
    <row r="6993" spans="2:22" x14ac:dyDescent="0.2">
      <c r="B6993" s="25"/>
      <c r="E6993" s="10"/>
      <c r="O6993" s="10"/>
      <c r="V6993" s="10"/>
    </row>
    <row r="6994" spans="2:22" x14ac:dyDescent="0.2">
      <c r="B6994" s="25"/>
      <c r="E6994" s="10"/>
      <c r="O6994" s="10"/>
      <c r="V6994" s="10"/>
    </row>
    <row r="6995" spans="2:22" x14ac:dyDescent="0.2">
      <c r="B6995" s="25"/>
      <c r="E6995" s="10"/>
      <c r="O6995" s="10"/>
      <c r="V6995" s="10"/>
    </row>
    <row r="6996" spans="2:22" x14ac:dyDescent="0.2">
      <c r="B6996" s="25"/>
      <c r="E6996" s="10"/>
      <c r="O6996" s="10"/>
      <c r="V6996" s="10"/>
    </row>
    <row r="6997" spans="2:22" x14ac:dyDescent="0.2">
      <c r="B6997" s="25"/>
      <c r="E6997" s="10"/>
      <c r="O6997" s="10"/>
      <c r="V6997" s="10"/>
    </row>
    <row r="6998" spans="2:22" x14ac:dyDescent="0.2">
      <c r="B6998" s="25"/>
      <c r="E6998" s="10"/>
      <c r="O6998" s="10"/>
      <c r="V6998" s="10"/>
    </row>
    <row r="6999" spans="2:22" x14ac:dyDescent="0.2">
      <c r="B6999" s="25"/>
      <c r="E6999" s="10"/>
      <c r="O6999" s="10"/>
      <c r="V6999" s="10"/>
    </row>
    <row r="7000" spans="2:22" x14ac:dyDescent="0.2">
      <c r="B7000" s="25"/>
      <c r="E7000" s="10"/>
      <c r="O7000" s="10"/>
      <c r="V7000" s="10"/>
    </row>
    <row r="7001" spans="2:22" x14ac:dyDescent="0.2">
      <c r="B7001" s="25"/>
      <c r="E7001" s="10"/>
      <c r="O7001" s="10"/>
      <c r="V7001" s="10"/>
    </row>
    <row r="7002" spans="2:22" x14ac:dyDescent="0.2">
      <c r="B7002" s="25"/>
      <c r="E7002" s="10"/>
      <c r="O7002" s="10"/>
      <c r="V7002" s="10"/>
    </row>
    <row r="7003" spans="2:22" x14ac:dyDescent="0.2">
      <c r="B7003" s="25"/>
      <c r="E7003" s="10"/>
      <c r="O7003" s="10"/>
      <c r="V7003" s="10"/>
    </row>
    <row r="7004" spans="2:22" x14ac:dyDescent="0.2">
      <c r="B7004" s="25"/>
      <c r="E7004" s="10"/>
      <c r="O7004" s="10"/>
      <c r="V7004" s="10"/>
    </row>
    <row r="7005" spans="2:22" x14ac:dyDescent="0.2">
      <c r="B7005" s="25"/>
      <c r="E7005" s="10"/>
      <c r="O7005" s="10"/>
      <c r="V7005" s="10"/>
    </row>
    <row r="7006" spans="2:22" x14ac:dyDescent="0.2">
      <c r="B7006" s="25"/>
      <c r="E7006" s="10"/>
      <c r="O7006" s="10"/>
      <c r="V7006" s="10"/>
    </row>
    <row r="7007" spans="2:22" x14ac:dyDescent="0.2">
      <c r="B7007" s="25"/>
      <c r="E7007" s="10"/>
      <c r="O7007" s="10"/>
      <c r="V7007" s="10"/>
    </row>
    <row r="7008" spans="2:22" x14ac:dyDescent="0.2">
      <c r="B7008" s="25"/>
      <c r="E7008" s="10"/>
      <c r="O7008" s="10"/>
      <c r="V7008" s="10"/>
    </row>
    <row r="7009" spans="2:22" x14ac:dyDescent="0.2">
      <c r="B7009" s="25"/>
      <c r="E7009" s="10"/>
      <c r="O7009" s="10"/>
      <c r="V7009" s="10"/>
    </row>
    <row r="7010" spans="2:22" x14ac:dyDescent="0.2">
      <c r="B7010" s="25"/>
      <c r="E7010" s="10"/>
      <c r="O7010" s="10"/>
      <c r="V7010" s="10"/>
    </row>
    <row r="7011" spans="2:22" x14ac:dyDescent="0.2">
      <c r="B7011" s="25"/>
      <c r="E7011" s="10"/>
      <c r="O7011" s="10"/>
      <c r="V7011" s="10"/>
    </row>
    <row r="7012" spans="2:22" x14ac:dyDescent="0.2">
      <c r="B7012" s="25"/>
      <c r="E7012" s="10"/>
      <c r="O7012" s="10"/>
      <c r="V7012" s="10"/>
    </row>
    <row r="7013" spans="2:22" x14ac:dyDescent="0.2">
      <c r="B7013" s="25"/>
      <c r="E7013" s="10"/>
      <c r="O7013" s="10"/>
      <c r="V7013" s="10"/>
    </row>
    <row r="7014" spans="2:22" x14ac:dyDescent="0.2">
      <c r="B7014" s="25"/>
      <c r="E7014" s="10"/>
      <c r="V7014" s="10"/>
    </row>
    <row r="7015" spans="2:22" x14ac:dyDescent="0.2">
      <c r="B7015" s="25"/>
      <c r="E7015" s="10"/>
      <c r="O7015" s="10"/>
      <c r="V7015" s="10"/>
    </row>
    <row r="7016" spans="2:22" x14ac:dyDescent="0.2">
      <c r="B7016" s="25"/>
      <c r="E7016" s="10"/>
      <c r="O7016" s="10"/>
      <c r="V7016" s="10"/>
    </row>
    <row r="7017" spans="2:22" x14ac:dyDescent="0.2">
      <c r="B7017" s="25"/>
      <c r="E7017" s="10"/>
      <c r="O7017" s="10"/>
      <c r="V7017" s="10"/>
    </row>
    <row r="7018" spans="2:22" x14ac:dyDescent="0.2">
      <c r="B7018" s="25"/>
      <c r="E7018" s="10"/>
      <c r="V7018" s="10"/>
    </row>
    <row r="7019" spans="2:22" x14ac:dyDescent="0.2">
      <c r="B7019" s="25"/>
      <c r="E7019" s="10"/>
      <c r="O7019" s="10"/>
      <c r="V7019" s="10"/>
    </row>
    <row r="7020" spans="2:22" x14ac:dyDescent="0.2">
      <c r="B7020" s="25"/>
      <c r="E7020" s="10"/>
      <c r="O7020" s="10"/>
      <c r="V7020" s="10"/>
    </row>
    <row r="7021" spans="2:22" x14ac:dyDescent="0.2">
      <c r="B7021" s="25"/>
      <c r="E7021" s="10"/>
      <c r="O7021" s="10"/>
      <c r="V7021" s="10"/>
    </row>
    <row r="7022" spans="2:22" x14ac:dyDescent="0.2">
      <c r="B7022" s="25"/>
      <c r="E7022" s="10"/>
      <c r="O7022" s="10"/>
      <c r="V7022" s="10"/>
    </row>
    <row r="7023" spans="2:22" x14ac:dyDescent="0.2">
      <c r="B7023" s="25"/>
      <c r="E7023" s="10"/>
      <c r="O7023" s="10"/>
      <c r="V7023" s="10"/>
    </row>
    <row r="7024" spans="2:22" x14ac:dyDescent="0.2">
      <c r="B7024" s="25"/>
      <c r="E7024" s="10"/>
      <c r="O7024" s="10"/>
      <c r="V7024" s="10"/>
    </row>
    <row r="7025" spans="2:22" x14ac:dyDescent="0.2">
      <c r="B7025" s="25"/>
      <c r="E7025" s="10"/>
      <c r="O7025" s="10"/>
      <c r="V7025" s="10"/>
    </row>
    <row r="7026" spans="2:22" x14ac:dyDescent="0.2">
      <c r="B7026" s="25"/>
      <c r="E7026" s="10"/>
      <c r="O7026" s="10"/>
      <c r="V7026" s="10"/>
    </row>
    <row r="7027" spans="2:22" x14ac:dyDescent="0.2">
      <c r="B7027" s="25"/>
      <c r="E7027" s="10"/>
      <c r="O7027" s="10"/>
      <c r="V7027" s="10"/>
    </row>
    <row r="7028" spans="2:22" x14ac:dyDescent="0.2">
      <c r="B7028" s="25"/>
      <c r="E7028" s="10"/>
      <c r="O7028" s="10"/>
      <c r="V7028" s="10"/>
    </row>
    <row r="7029" spans="2:22" x14ac:dyDescent="0.2">
      <c r="B7029" s="25"/>
      <c r="E7029" s="10"/>
      <c r="O7029" s="10"/>
      <c r="V7029" s="10"/>
    </row>
    <row r="7030" spans="2:22" x14ac:dyDescent="0.2">
      <c r="B7030" s="25"/>
      <c r="E7030" s="10"/>
      <c r="O7030" s="10"/>
      <c r="V7030" s="10"/>
    </row>
    <row r="7031" spans="2:22" x14ac:dyDescent="0.2">
      <c r="B7031" s="25"/>
      <c r="E7031" s="10"/>
      <c r="O7031" s="10"/>
      <c r="V7031" s="10"/>
    </row>
    <row r="7032" spans="2:22" x14ac:dyDescent="0.2">
      <c r="B7032" s="25"/>
      <c r="E7032" s="10"/>
      <c r="O7032" s="10"/>
      <c r="V7032" s="10"/>
    </row>
    <row r="7033" spans="2:22" x14ac:dyDescent="0.2">
      <c r="B7033" s="25"/>
      <c r="E7033" s="10"/>
      <c r="O7033" s="10"/>
      <c r="V7033" s="10"/>
    </row>
    <row r="7034" spans="2:22" x14ac:dyDescent="0.2">
      <c r="B7034" s="25"/>
      <c r="E7034" s="10"/>
      <c r="O7034" s="10"/>
      <c r="V7034" s="10"/>
    </row>
    <row r="7035" spans="2:22" x14ac:dyDescent="0.2">
      <c r="B7035" s="25"/>
      <c r="E7035" s="10"/>
      <c r="O7035" s="10"/>
      <c r="V7035" s="10"/>
    </row>
    <row r="7036" spans="2:22" x14ac:dyDescent="0.2">
      <c r="B7036" s="25"/>
      <c r="E7036" s="10"/>
      <c r="O7036" s="10"/>
      <c r="V7036" s="10"/>
    </row>
    <row r="7037" spans="2:22" x14ac:dyDescent="0.2">
      <c r="B7037" s="25"/>
      <c r="E7037" s="10"/>
      <c r="O7037" s="10"/>
      <c r="V7037" s="10"/>
    </row>
    <row r="7038" spans="2:22" x14ac:dyDescent="0.2">
      <c r="B7038" s="25"/>
      <c r="E7038" s="10"/>
      <c r="O7038" s="10"/>
      <c r="V7038" s="10"/>
    </row>
    <row r="7039" spans="2:22" x14ac:dyDescent="0.2">
      <c r="B7039" s="25"/>
      <c r="E7039" s="10"/>
      <c r="O7039" s="10"/>
      <c r="V7039" s="10"/>
    </row>
    <row r="7040" spans="2:22" x14ac:dyDescent="0.2">
      <c r="B7040" s="25"/>
      <c r="E7040" s="10"/>
      <c r="O7040" s="10"/>
      <c r="V7040" s="10"/>
    </row>
    <row r="7041" spans="2:22" x14ac:dyDescent="0.2">
      <c r="B7041" s="25"/>
      <c r="E7041" s="10"/>
      <c r="O7041" s="10"/>
      <c r="V7041" s="10"/>
    </row>
    <row r="7042" spans="2:22" x14ac:dyDescent="0.2">
      <c r="B7042" s="25"/>
      <c r="E7042" s="10"/>
      <c r="O7042" s="10"/>
      <c r="V7042" s="10"/>
    </row>
    <row r="7043" spans="2:22" x14ac:dyDescent="0.2">
      <c r="B7043" s="25"/>
      <c r="E7043" s="10"/>
      <c r="O7043" s="10"/>
      <c r="V7043" s="10"/>
    </row>
    <row r="7044" spans="2:22" x14ac:dyDescent="0.2">
      <c r="B7044" s="25"/>
      <c r="E7044" s="10"/>
      <c r="O7044" s="10"/>
      <c r="V7044" s="10"/>
    </row>
    <row r="7045" spans="2:22" x14ac:dyDescent="0.2">
      <c r="B7045" s="25"/>
      <c r="E7045" s="10"/>
      <c r="O7045" s="10"/>
      <c r="V7045" s="10"/>
    </row>
    <row r="7046" spans="2:22" x14ac:dyDescent="0.2">
      <c r="B7046" s="25"/>
      <c r="E7046" s="10"/>
      <c r="O7046" s="10"/>
      <c r="V7046" s="10"/>
    </row>
    <row r="7047" spans="2:22" x14ac:dyDescent="0.2">
      <c r="B7047" s="25"/>
      <c r="E7047" s="10"/>
      <c r="O7047" s="10"/>
      <c r="V7047" s="10"/>
    </row>
    <row r="7048" spans="2:22" x14ac:dyDescent="0.2">
      <c r="B7048" s="25"/>
      <c r="E7048" s="10"/>
      <c r="O7048" s="10"/>
      <c r="V7048" s="10"/>
    </row>
    <row r="7049" spans="2:22" x14ac:dyDescent="0.2">
      <c r="B7049" s="25"/>
      <c r="E7049" s="10"/>
      <c r="O7049" s="10"/>
      <c r="V7049" s="10"/>
    </row>
    <row r="7050" spans="2:22" x14ac:dyDescent="0.2">
      <c r="B7050" s="25"/>
      <c r="E7050" s="10"/>
      <c r="O7050" s="10"/>
      <c r="V7050" s="10"/>
    </row>
    <row r="7051" spans="2:22" x14ac:dyDescent="0.2">
      <c r="B7051" s="25"/>
      <c r="E7051" s="10"/>
      <c r="O7051" s="10"/>
      <c r="V7051" s="10"/>
    </row>
    <row r="7052" spans="2:22" x14ac:dyDescent="0.2">
      <c r="B7052" s="25"/>
      <c r="E7052" s="10"/>
      <c r="O7052" s="10"/>
      <c r="V7052" s="10"/>
    </row>
    <row r="7053" spans="2:22" x14ac:dyDescent="0.2">
      <c r="B7053" s="25"/>
      <c r="E7053" s="10"/>
      <c r="O7053" s="10"/>
      <c r="V7053" s="10"/>
    </row>
    <row r="7054" spans="2:22" x14ac:dyDescent="0.2">
      <c r="B7054" s="25"/>
      <c r="E7054" s="10"/>
      <c r="O7054" s="10"/>
      <c r="V7054" s="10"/>
    </row>
    <row r="7055" spans="2:22" x14ac:dyDescent="0.2">
      <c r="B7055" s="25"/>
      <c r="E7055" s="10"/>
      <c r="O7055" s="10"/>
      <c r="V7055" s="10"/>
    </row>
    <row r="7056" spans="2:22" x14ac:dyDescent="0.2">
      <c r="B7056" s="25"/>
      <c r="E7056" s="10"/>
      <c r="O7056" s="10"/>
      <c r="V7056" s="10"/>
    </row>
    <row r="7057" spans="2:22" x14ac:dyDescent="0.2">
      <c r="B7057" s="25"/>
      <c r="E7057" s="10"/>
      <c r="O7057" s="10"/>
      <c r="V7057" s="10"/>
    </row>
    <row r="7058" spans="2:22" x14ac:dyDescent="0.2">
      <c r="B7058" s="25"/>
      <c r="E7058" s="10"/>
      <c r="O7058" s="10"/>
      <c r="V7058" s="10"/>
    </row>
    <row r="7059" spans="2:22" x14ac:dyDescent="0.2">
      <c r="B7059" s="25"/>
      <c r="E7059" s="10"/>
      <c r="O7059" s="10"/>
      <c r="V7059" s="10"/>
    </row>
    <row r="7060" spans="2:22" x14ac:dyDescent="0.2">
      <c r="B7060" s="25"/>
      <c r="E7060" s="10"/>
      <c r="O7060" s="10"/>
      <c r="V7060" s="10"/>
    </row>
    <row r="7061" spans="2:22" x14ac:dyDescent="0.2">
      <c r="B7061" s="25"/>
      <c r="E7061" s="10"/>
      <c r="O7061" s="10"/>
      <c r="V7061" s="10"/>
    </row>
    <row r="7062" spans="2:22" x14ac:dyDescent="0.2">
      <c r="B7062" s="25"/>
      <c r="E7062" s="10"/>
      <c r="O7062" s="10"/>
      <c r="V7062" s="10"/>
    </row>
    <row r="7063" spans="2:22" x14ac:dyDescent="0.2">
      <c r="B7063" s="25"/>
      <c r="E7063" s="10"/>
      <c r="O7063" s="10"/>
      <c r="V7063" s="10"/>
    </row>
    <row r="7064" spans="2:22" x14ac:dyDescent="0.2">
      <c r="B7064" s="25"/>
      <c r="E7064" s="10"/>
      <c r="O7064" s="10"/>
      <c r="V7064" s="10"/>
    </row>
    <row r="7065" spans="2:22" x14ac:dyDescent="0.2">
      <c r="B7065" s="25"/>
      <c r="E7065" s="10"/>
      <c r="O7065" s="10"/>
      <c r="V7065" s="10"/>
    </row>
    <row r="7066" spans="2:22" x14ac:dyDescent="0.2">
      <c r="B7066" s="25"/>
      <c r="E7066" s="10"/>
      <c r="O7066" s="10"/>
      <c r="V7066" s="10"/>
    </row>
    <row r="7067" spans="2:22" x14ac:dyDescent="0.2">
      <c r="B7067" s="25"/>
      <c r="E7067" s="10"/>
      <c r="O7067" s="10"/>
      <c r="V7067" s="10"/>
    </row>
    <row r="7068" spans="2:22" x14ac:dyDescent="0.2">
      <c r="B7068" s="25"/>
      <c r="E7068" s="10"/>
      <c r="O7068" s="10"/>
      <c r="V7068" s="10"/>
    </row>
    <row r="7069" spans="2:22" x14ac:dyDescent="0.2">
      <c r="B7069" s="25"/>
      <c r="E7069" s="10"/>
      <c r="O7069" s="10"/>
      <c r="V7069" s="10"/>
    </row>
    <row r="7070" spans="2:22" x14ac:dyDescent="0.2">
      <c r="B7070" s="25"/>
      <c r="E7070" s="10"/>
      <c r="O7070" s="10"/>
      <c r="V7070" s="10"/>
    </row>
    <row r="7071" spans="2:22" x14ac:dyDescent="0.2">
      <c r="B7071" s="25"/>
      <c r="E7071" s="10"/>
      <c r="O7071" s="10"/>
      <c r="V7071" s="10"/>
    </row>
    <row r="7072" spans="2:22" x14ac:dyDescent="0.2">
      <c r="B7072" s="25"/>
      <c r="E7072" s="10"/>
      <c r="O7072" s="10"/>
      <c r="V7072" s="10"/>
    </row>
    <row r="7073" spans="2:22" x14ac:dyDescent="0.2">
      <c r="B7073" s="25"/>
      <c r="E7073" s="10"/>
      <c r="O7073" s="10"/>
      <c r="V7073" s="10"/>
    </row>
    <row r="7074" spans="2:22" x14ac:dyDescent="0.2">
      <c r="B7074" s="25"/>
      <c r="E7074" s="10"/>
      <c r="O7074" s="10"/>
      <c r="V7074" s="10"/>
    </row>
    <row r="7075" spans="2:22" x14ac:dyDescent="0.2">
      <c r="B7075" s="25"/>
      <c r="E7075" s="10"/>
      <c r="O7075" s="10"/>
      <c r="V7075" s="10"/>
    </row>
    <row r="7076" spans="2:22" x14ac:dyDescent="0.2">
      <c r="B7076" s="25"/>
      <c r="E7076" s="10"/>
      <c r="O7076" s="10"/>
      <c r="V7076" s="10"/>
    </row>
    <row r="7077" spans="2:22" x14ac:dyDescent="0.2">
      <c r="B7077" s="25"/>
      <c r="E7077" s="10"/>
      <c r="O7077" s="10"/>
      <c r="V7077" s="10"/>
    </row>
    <row r="7078" spans="2:22" x14ac:dyDescent="0.2">
      <c r="B7078" s="25"/>
      <c r="E7078" s="10"/>
      <c r="O7078" s="10"/>
      <c r="V7078" s="10"/>
    </row>
    <row r="7079" spans="2:22" x14ac:dyDescent="0.2">
      <c r="B7079" s="25"/>
      <c r="E7079" s="10"/>
      <c r="O7079" s="10"/>
      <c r="V7079" s="10"/>
    </row>
    <row r="7080" spans="2:22" x14ac:dyDescent="0.2">
      <c r="B7080" s="25"/>
      <c r="E7080" s="10"/>
      <c r="O7080" s="10"/>
      <c r="V7080" s="10"/>
    </row>
    <row r="7081" spans="2:22" x14ac:dyDescent="0.2">
      <c r="B7081" s="25"/>
      <c r="E7081" s="10"/>
      <c r="O7081" s="10"/>
      <c r="V7081" s="10"/>
    </row>
    <row r="7082" spans="2:22" x14ac:dyDescent="0.2">
      <c r="B7082" s="25"/>
      <c r="E7082" s="10"/>
      <c r="O7082" s="10"/>
      <c r="V7082" s="10"/>
    </row>
    <row r="7083" spans="2:22" x14ac:dyDescent="0.2">
      <c r="B7083" s="25"/>
      <c r="E7083" s="10"/>
      <c r="O7083" s="10"/>
      <c r="V7083" s="10"/>
    </row>
    <row r="7084" spans="2:22" x14ac:dyDescent="0.2">
      <c r="B7084" s="25"/>
      <c r="E7084" s="10"/>
      <c r="O7084" s="10"/>
      <c r="V7084" s="10"/>
    </row>
    <row r="7085" spans="2:22" x14ac:dyDescent="0.2">
      <c r="B7085" s="25"/>
      <c r="E7085" s="10"/>
      <c r="O7085" s="10"/>
      <c r="V7085" s="10"/>
    </row>
    <row r="7086" spans="2:22" x14ac:dyDescent="0.2">
      <c r="B7086" s="25"/>
      <c r="E7086" s="10"/>
      <c r="O7086" s="10"/>
      <c r="V7086" s="10"/>
    </row>
    <row r="7087" spans="2:22" x14ac:dyDescent="0.2">
      <c r="B7087" s="25"/>
      <c r="E7087" s="10"/>
      <c r="O7087" s="10"/>
      <c r="V7087" s="10"/>
    </row>
    <row r="7088" spans="2:22" x14ac:dyDescent="0.2">
      <c r="B7088" s="25"/>
      <c r="E7088" s="10"/>
      <c r="O7088" s="10"/>
      <c r="V7088" s="10"/>
    </row>
    <row r="7089" spans="2:22" x14ac:dyDescent="0.2">
      <c r="B7089" s="25"/>
      <c r="E7089" s="10"/>
      <c r="O7089" s="10"/>
      <c r="V7089" s="10"/>
    </row>
    <row r="7090" spans="2:22" x14ac:dyDescent="0.2">
      <c r="B7090" s="25"/>
      <c r="E7090" s="10"/>
      <c r="O7090" s="10"/>
      <c r="V7090" s="10"/>
    </row>
    <row r="7091" spans="2:22" x14ac:dyDescent="0.2">
      <c r="B7091" s="25"/>
      <c r="E7091" s="10"/>
      <c r="O7091" s="10"/>
      <c r="V7091" s="10"/>
    </row>
    <row r="7092" spans="2:22" x14ac:dyDescent="0.2">
      <c r="B7092" s="25"/>
      <c r="E7092" s="10"/>
      <c r="O7092" s="10"/>
      <c r="V7092" s="10"/>
    </row>
    <row r="7093" spans="2:22" x14ac:dyDescent="0.2">
      <c r="B7093" s="25"/>
      <c r="E7093" s="10"/>
      <c r="O7093" s="10"/>
      <c r="V7093" s="10"/>
    </row>
    <row r="7094" spans="2:22" x14ac:dyDescent="0.2">
      <c r="B7094" s="25"/>
      <c r="E7094" s="10"/>
      <c r="O7094" s="10"/>
      <c r="V7094" s="10"/>
    </row>
    <row r="7095" spans="2:22" x14ac:dyDescent="0.2">
      <c r="B7095" s="25"/>
      <c r="E7095" s="10"/>
      <c r="O7095" s="10"/>
      <c r="V7095" s="10"/>
    </row>
    <row r="7096" spans="2:22" x14ac:dyDescent="0.2">
      <c r="B7096" s="25"/>
      <c r="E7096" s="10"/>
      <c r="O7096" s="10"/>
      <c r="V7096" s="10"/>
    </row>
    <row r="7097" spans="2:22" x14ac:dyDescent="0.2">
      <c r="B7097" s="25"/>
      <c r="E7097" s="10"/>
      <c r="O7097" s="10"/>
      <c r="V7097" s="10"/>
    </row>
    <row r="7098" spans="2:22" x14ac:dyDescent="0.2">
      <c r="B7098" s="25"/>
      <c r="E7098" s="10"/>
      <c r="O7098" s="10"/>
      <c r="V7098" s="10"/>
    </row>
    <row r="7099" spans="2:22" x14ac:dyDescent="0.2">
      <c r="B7099" s="25"/>
      <c r="E7099" s="10"/>
      <c r="O7099" s="10"/>
      <c r="V7099" s="10"/>
    </row>
    <row r="7100" spans="2:22" x14ac:dyDescent="0.2">
      <c r="B7100" s="25"/>
      <c r="E7100" s="10"/>
      <c r="O7100" s="10"/>
      <c r="V7100" s="10"/>
    </row>
    <row r="7101" spans="2:22" x14ac:dyDescent="0.2">
      <c r="B7101" s="25"/>
      <c r="E7101" s="10"/>
      <c r="O7101" s="10"/>
      <c r="V7101" s="10"/>
    </row>
    <row r="7102" spans="2:22" x14ac:dyDescent="0.2">
      <c r="B7102" s="25"/>
      <c r="E7102" s="10"/>
      <c r="O7102" s="10"/>
      <c r="V7102" s="10"/>
    </row>
    <row r="7103" spans="2:22" x14ac:dyDescent="0.2">
      <c r="B7103" s="25"/>
      <c r="E7103" s="10"/>
      <c r="O7103" s="10"/>
      <c r="V7103" s="10"/>
    </row>
    <row r="7104" spans="2:22" x14ac:dyDescent="0.2">
      <c r="B7104" s="25"/>
      <c r="E7104" s="10"/>
      <c r="O7104" s="10"/>
      <c r="V7104" s="10"/>
    </row>
    <row r="7105" spans="2:22" x14ac:dyDescent="0.2">
      <c r="B7105" s="25"/>
      <c r="E7105" s="10"/>
      <c r="O7105" s="10"/>
      <c r="V7105" s="10"/>
    </row>
    <row r="7106" spans="2:22" x14ac:dyDescent="0.2">
      <c r="B7106" s="25"/>
      <c r="E7106" s="10"/>
      <c r="O7106" s="10"/>
      <c r="V7106" s="10"/>
    </row>
    <row r="7107" spans="2:22" x14ac:dyDescent="0.2">
      <c r="B7107" s="25"/>
      <c r="E7107" s="10"/>
      <c r="O7107" s="10"/>
      <c r="V7107" s="10"/>
    </row>
    <row r="7108" spans="2:22" x14ac:dyDescent="0.2">
      <c r="B7108" s="25"/>
      <c r="E7108" s="10"/>
      <c r="O7108" s="10"/>
      <c r="V7108" s="10"/>
    </row>
    <row r="7109" spans="2:22" x14ac:dyDescent="0.2">
      <c r="B7109" s="25"/>
      <c r="E7109" s="10"/>
      <c r="O7109" s="10"/>
      <c r="V7109" s="10"/>
    </row>
    <row r="7110" spans="2:22" x14ac:dyDescent="0.2">
      <c r="B7110" s="25"/>
      <c r="E7110" s="10"/>
      <c r="O7110" s="10"/>
      <c r="V7110" s="10"/>
    </row>
    <row r="7111" spans="2:22" x14ac:dyDescent="0.2">
      <c r="B7111" s="25"/>
      <c r="E7111" s="10"/>
      <c r="O7111" s="10"/>
      <c r="V7111" s="10"/>
    </row>
    <row r="7112" spans="2:22" x14ac:dyDescent="0.2">
      <c r="B7112" s="25"/>
      <c r="E7112" s="10"/>
      <c r="O7112" s="10"/>
      <c r="V7112" s="10"/>
    </row>
    <row r="7113" spans="2:22" x14ac:dyDescent="0.2">
      <c r="B7113" s="25"/>
      <c r="E7113" s="10"/>
      <c r="O7113" s="10"/>
      <c r="V7113" s="10"/>
    </row>
    <row r="7114" spans="2:22" x14ac:dyDescent="0.2">
      <c r="B7114" s="25"/>
      <c r="E7114" s="10"/>
      <c r="O7114" s="10"/>
      <c r="V7114" s="10"/>
    </row>
    <row r="7115" spans="2:22" x14ac:dyDescent="0.2">
      <c r="B7115" s="25"/>
      <c r="E7115" s="10"/>
      <c r="O7115" s="10"/>
      <c r="V7115" s="10"/>
    </row>
    <row r="7116" spans="2:22" x14ac:dyDescent="0.2">
      <c r="B7116" s="25"/>
      <c r="E7116" s="10"/>
      <c r="O7116" s="10"/>
      <c r="V7116" s="10"/>
    </row>
    <row r="7117" spans="2:22" x14ac:dyDescent="0.2">
      <c r="B7117" s="25"/>
      <c r="E7117" s="10"/>
      <c r="O7117" s="10"/>
      <c r="V7117" s="10"/>
    </row>
    <row r="7118" spans="2:22" x14ac:dyDescent="0.2">
      <c r="B7118" s="25"/>
      <c r="E7118" s="10"/>
      <c r="O7118" s="10"/>
      <c r="V7118" s="10"/>
    </row>
    <row r="7119" spans="2:22" x14ac:dyDescent="0.2">
      <c r="B7119" s="25"/>
      <c r="E7119" s="10"/>
      <c r="O7119" s="10"/>
      <c r="V7119" s="10"/>
    </row>
    <row r="7120" spans="2:22" x14ac:dyDescent="0.2">
      <c r="B7120" s="25"/>
      <c r="E7120" s="10"/>
      <c r="O7120" s="10"/>
      <c r="V7120" s="10"/>
    </row>
    <row r="7121" spans="2:22" x14ac:dyDescent="0.2">
      <c r="B7121" s="25"/>
      <c r="E7121" s="10"/>
      <c r="O7121" s="10"/>
      <c r="V7121" s="10"/>
    </row>
    <row r="7122" spans="2:22" x14ac:dyDescent="0.2">
      <c r="B7122" s="25"/>
      <c r="E7122" s="10"/>
      <c r="O7122" s="10"/>
      <c r="V7122" s="10"/>
    </row>
    <row r="7123" spans="2:22" x14ac:dyDescent="0.2">
      <c r="B7123" s="25"/>
      <c r="E7123" s="10"/>
      <c r="O7123" s="10"/>
      <c r="V7123" s="10"/>
    </row>
    <row r="7124" spans="2:22" x14ac:dyDescent="0.2">
      <c r="B7124" s="25"/>
      <c r="E7124" s="10"/>
      <c r="O7124" s="10"/>
      <c r="V7124" s="10"/>
    </row>
    <row r="7125" spans="2:22" x14ac:dyDescent="0.2">
      <c r="B7125" s="25"/>
      <c r="E7125" s="10"/>
      <c r="O7125" s="10"/>
      <c r="V7125" s="10"/>
    </row>
    <row r="7126" spans="2:22" x14ac:dyDescent="0.2">
      <c r="B7126" s="25"/>
      <c r="E7126" s="10"/>
      <c r="O7126" s="10"/>
      <c r="V7126" s="10"/>
    </row>
    <row r="7127" spans="2:22" x14ac:dyDescent="0.2">
      <c r="B7127" s="25"/>
      <c r="E7127" s="10"/>
      <c r="O7127" s="10"/>
      <c r="V7127" s="10"/>
    </row>
    <row r="7128" spans="2:22" x14ac:dyDescent="0.2">
      <c r="B7128" s="25"/>
      <c r="E7128" s="10"/>
      <c r="O7128" s="10"/>
      <c r="V7128" s="10"/>
    </row>
    <row r="7129" spans="2:22" x14ac:dyDescent="0.2">
      <c r="B7129" s="25"/>
      <c r="E7129" s="10"/>
      <c r="O7129" s="10"/>
      <c r="V7129" s="10"/>
    </row>
    <row r="7130" spans="2:22" x14ac:dyDescent="0.2">
      <c r="B7130" s="25"/>
      <c r="E7130" s="10"/>
      <c r="O7130" s="10"/>
      <c r="V7130" s="10"/>
    </row>
    <row r="7131" spans="2:22" x14ac:dyDescent="0.2">
      <c r="B7131" s="25"/>
      <c r="E7131" s="10"/>
      <c r="O7131" s="10"/>
      <c r="V7131" s="10"/>
    </row>
    <row r="7132" spans="2:22" x14ac:dyDescent="0.2">
      <c r="B7132" s="25"/>
      <c r="E7132" s="10"/>
      <c r="O7132" s="10"/>
      <c r="V7132" s="10"/>
    </row>
    <row r="7133" spans="2:22" x14ac:dyDescent="0.2">
      <c r="B7133" s="25"/>
      <c r="E7133" s="10"/>
      <c r="O7133" s="10"/>
      <c r="V7133" s="10"/>
    </row>
    <row r="7134" spans="2:22" x14ac:dyDescent="0.2">
      <c r="B7134" s="25"/>
      <c r="E7134" s="10"/>
      <c r="O7134" s="10"/>
      <c r="V7134" s="10"/>
    </row>
    <row r="7135" spans="2:22" x14ac:dyDescent="0.2">
      <c r="B7135" s="25"/>
      <c r="E7135" s="10"/>
      <c r="O7135" s="10"/>
      <c r="V7135" s="10"/>
    </row>
    <row r="7136" spans="2:22" x14ac:dyDescent="0.2">
      <c r="B7136" s="25"/>
      <c r="E7136" s="10"/>
      <c r="O7136" s="10"/>
      <c r="V7136" s="10"/>
    </row>
    <row r="7137" spans="2:22" x14ac:dyDescent="0.2">
      <c r="B7137" s="25"/>
      <c r="E7137" s="10"/>
      <c r="O7137" s="10"/>
      <c r="V7137" s="10"/>
    </row>
    <row r="7138" spans="2:22" x14ac:dyDescent="0.2">
      <c r="B7138" s="25"/>
      <c r="E7138" s="10"/>
      <c r="O7138" s="10"/>
      <c r="V7138" s="10"/>
    </row>
    <row r="7139" spans="2:22" x14ac:dyDescent="0.2">
      <c r="B7139" s="25"/>
      <c r="E7139" s="10"/>
      <c r="O7139" s="10"/>
      <c r="V7139" s="10"/>
    </row>
    <row r="7140" spans="2:22" x14ac:dyDescent="0.2">
      <c r="B7140" s="25"/>
      <c r="E7140" s="10"/>
      <c r="O7140" s="10"/>
      <c r="V7140" s="10"/>
    </row>
    <row r="7141" spans="2:22" x14ac:dyDescent="0.2">
      <c r="B7141" s="25"/>
      <c r="E7141" s="10"/>
      <c r="O7141" s="10"/>
      <c r="V7141" s="10"/>
    </row>
    <row r="7142" spans="2:22" x14ac:dyDescent="0.2">
      <c r="B7142" s="25"/>
      <c r="E7142" s="10"/>
      <c r="O7142" s="10"/>
      <c r="V7142" s="10"/>
    </row>
    <row r="7143" spans="2:22" x14ac:dyDescent="0.2">
      <c r="B7143" s="25"/>
      <c r="E7143" s="10"/>
      <c r="O7143" s="10"/>
      <c r="V7143" s="10"/>
    </row>
    <row r="7144" spans="2:22" x14ac:dyDescent="0.2">
      <c r="B7144" s="25"/>
      <c r="E7144" s="10"/>
      <c r="O7144" s="10"/>
      <c r="V7144" s="10"/>
    </row>
    <row r="7145" spans="2:22" x14ac:dyDescent="0.2">
      <c r="B7145" s="25"/>
      <c r="E7145" s="10"/>
      <c r="O7145" s="10"/>
      <c r="V7145" s="10"/>
    </row>
    <row r="7146" spans="2:22" x14ac:dyDescent="0.2">
      <c r="B7146" s="25"/>
      <c r="E7146" s="10"/>
      <c r="O7146" s="10"/>
      <c r="V7146" s="10"/>
    </row>
    <row r="7147" spans="2:22" x14ac:dyDescent="0.2">
      <c r="B7147" s="25"/>
      <c r="E7147" s="10"/>
      <c r="O7147" s="10"/>
      <c r="V7147" s="10"/>
    </row>
    <row r="7148" spans="2:22" x14ac:dyDescent="0.2">
      <c r="B7148" s="25"/>
      <c r="E7148" s="10"/>
      <c r="O7148" s="10"/>
      <c r="V7148" s="10"/>
    </row>
    <row r="7149" spans="2:22" x14ac:dyDescent="0.2">
      <c r="B7149" s="25"/>
      <c r="E7149" s="10"/>
      <c r="O7149" s="10"/>
      <c r="V7149" s="10"/>
    </row>
    <row r="7150" spans="2:22" x14ac:dyDescent="0.2">
      <c r="B7150" s="25"/>
      <c r="E7150" s="10"/>
      <c r="O7150" s="10"/>
      <c r="V7150" s="10"/>
    </row>
    <row r="7151" spans="2:22" x14ac:dyDescent="0.2">
      <c r="B7151" s="25"/>
      <c r="E7151" s="10"/>
      <c r="O7151" s="10"/>
      <c r="V7151" s="10"/>
    </row>
    <row r="7152" spans="2:22" x14ac:dyDescent="0.2">
      <c r="B7152" s="25"/>
      <c r="E7152" s="10"/>
      <c r="O7152" s="10"/>
      <c r="V7152" s="10"/>
    </row>
    <row r="7153" spans="2:22" x14ac:dyDescent="0.2">
      <c r="B7153" s="25"/>
      <c r="E7153" s="10"/>
      <c r="O7153" s="10"/>
      <c r="V7153" s="10"/>
    </row>
    <row r="7154" spans="2:22" x14ac:dyDescent="0.2">
      <c r="B7154" s="25"/>
      <c r="E7154" s="10"/>
      <c r="O7154" s="10"/>
      <c r="V7154" s="10"/>
    </row>
    <row r="7155" spans="2:22" x14ac:dyDescent="0.2">
      <c r="B7155" s="25"/>
      <c r="E7155" s="10"/>
      <c r="O7155" s="10"/>
      <c r="V7155" s="10"/>
    </row>
    <row r="7156" spans="2:22" x14ac:dyDescent="0.2">
      <c r="B7156" s="25"/>
      <c r="E7156" s="10"/>
      <c r="O7156" s="10"/>
      <c r="V7156" s="10"/>
    </row>
    <row r="7157" spans="2:22" x14ac:dyDescent="0.2">
      <c r="B7157" s="25"/>
      <c r="E7157" s="10"/>
      <c r="O7157" s="10"/>
      <c r="V7157" s="10"/>
    </row>
    <row r="7158" spans="2:22" x14ac:dyDescent="0.2">
      <c r="B7158" s="25"/>
      <c r="E7158" s="10"/>
      <c r="O7158" s="10"/>
      <c r="V7158" s="10"/>
    </row>
    <row r="7159" spans="2:22" x14ac:dyDescent="0.2">
      <c r="B7159" s="25"/>
      <c r="E7159" s="10"/>
      <c r="O7159" s="10"/>
      <c r="V7159" s="10"/>
    </row>
    <row r="7160" spans="2:22" x14ac:dyDescent="0.2">
      <c r="B7160" s="25"/>
      <c r="E7160" s="10"/>
      <c r="O7160" s="10"/>
      <c r="V7160" s="10"/>
    </row>
    <row r="7161" spans="2:22" x14ac:dyDescent="0.2">
      <c r="B7161" s="25"/>
      <c r="E7161" s="10"/>
      <c r="O7161" s="10"/>
      <c r="V7161" s="10"/>
    </row>
    <row r="7162" spans="2:22" x14ac:dyDescent="0.2">
      <c r="B7162" s="25"/>
      <c r="E7162" s="10"/>
      <c r="O7162" s="10"/>
      <c r="V7162" s="10"/>
    </row>
    <row r="7163" spans="2:22" x14ac:dyDescent="0.2">
      <c r="B7163" s="25"/>
      <c r="E7163" s="10"/>
      <c r="O7163" s="10"/>
      <c r="V7163" s="10"/>
    </row>
  </sheetData>
  <autoFilter ref="B2:AG5097" xr:uid="{92032476-ED38-9241-8A6F-DD9FF3F67C19}">
    <sortState ref="B3:AG5097">
      <sortCondition ref="P2:P5097"/>
    </sortState>
  </autoFilter>
  <sortState ref="B3:AH336">
    <sortCondition ref="AH3:AH336"/>
  </sortState>
  <mergeCells count="1">
    <mergeCell ref="A1:A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oadFromFile">
                <anchor moveWithCells="1" sizeWithCells="1">
                  <from>
                    <xdr:col>1</xdr:col>
                    <xdr:colOff>38100</xdr:colOff>
                    <xdr:row>0</xdr:row>
                    <xdr:rowOff>0</xdr:rowOff>
                  </from>
                  <to>
                    <xdr:col>1</xdr:col>
                    <xdr:colOff>977900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filterData">
                <anchor moveWithCells="1" sizeWithCells="1">
                  <from>
                    <xdr:col>1</xdr:col>
                    <xdr:colOff>1016000</xdr:colOff>
                    <xdr:row>0</xdr:row>
                    <xdr:rowOff>0</xdr:rowOff>
                  </from>
                  <to>
                    <xdr:col>2</xdr:col>
                    <xdr:colOff>292100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uildMailer">
                <anchor moveWithCells="1" sizeWithCells="1">
                  <from>
                    <xdr:col>2</xdr:col>
                    <xdr:colOff>317500</xdr:colOff>
                    <xdr:row>0</xdr:row>
                    <xdr:rowOff>0</xdr:rowOff>
                  </from>
                  <to>
                    <xdr:col>3</xdr:col>
                    <xdr:colOff>876300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D915C-5305-F947-A99A-E1B89D2CC83D}">
  <sheetPr codeName="Sheet1">
    <tabColor rgb="FF00B0F0"/>
  </sheetPr>
  <dimension ref="A1:F728"/>
  <sheetViews>
    <sheetView workbookViewId="0"/>
  </sheetViews>
  <sheetFormatPr baseColWidth="10" defaultRowHeight="16" x14ac:dyDescent="0.2"/>
  <sheetData>
    <row r="1" spans="1:6" ht="24" x14ac:dyDescent="0.3">
      <c r="A1" s="3"/>
    </row>
    <row r="3" spans="1:6" ht="16" customHeight="1" x14ac:dyDescent="0.25">
      <c r="A3" s="4"/>
    </row>
    <row r="4" spans="1:6" ht="19" x14ac:dyDescent="0.25">
      <c r="A4" s="4"/>
      <c r="B4" s="4"/>
      <c r="C4" s="4"/>
      <c r="D4" s="4"/>
      <c r="E4" s="4"/>
      <c r="F4" s="4"/>
    </row>
    <row r="5" spans="1:6" x14ac:dyDescent="0.2">
      <c r="A5" s="5"/>
      <c r="B5" s="5"/>
      <c r="C5" s="8"/>
      <c r="D5" s="5"/>
      <c r="E5" s="5"/>
      <c r="F5" s="5"/>
    </row>
    <row r="6" spans="1:6" ht="19" x14ac:dyDescent="0.25">
      <c r="A6" s="4"/>
    </row>
    <row r="7" spans="1:6" x14ac:dyDescent="0.2">
      <c r="A7" s="5"/>
      <c r="B7" s="5"/>
      <c r="C7" s="8"/>
      <c r="D7" s="5"/>
      <c r="E7" s="5"/>
      <c r="F7" s="5"/>
    </row>
    <row r="8" spans="1:6" ht="19" x14ac:dyDescent="0.25">
      <c r="A8" s="4"/>
    </row>
    <row r="9" spans="1:6" x14ac:dyDescent="0.2">
      <c r="A9" s="5"/>
      <c r="B9" s="5"/>
      <c r="C9" s="8"/>
      <c r="D9" s="5"/>
      <c r="E9" s="5"/>
      <c r="F9" s="5"/>
    </row>
    <row r="10" spans="1:6" ht="19" x14ac:dyDescent="0.25">
      <c r="A10" s="4"/>
    </row>
    <row r="11" spans="1:6" x14ac:dyDescent="0.2">
      <c r="A11" s="5"/>
      <c r="B11" s="5"/>
      <c r="C11" s="8"/>
      <c r="D11" s="5"/>
      <c r="E11" s="5"/>
      <c r="F11" s="5"/>
    </row>
    <row r="12" spans="1:6" ht="19" x14ac:dyDescent="0.25">
      <c r="A12" s="4"/>
    </row>
    <row r="13" spans="1:6" x14ac:dyDescent="0.2">
      <c r="A13" s="5"/>
      <c r="B13" s="5"/>
      <c r="C13" s="8"/>
      <c r="D13" s="5"/>
      <c r="E13" s="5"/>
      <c r="F13" s="5"/>
    </row>
    <row r="14" spans="1:6" ht="19" x14ac:dyDescent="0.25">
      <c r="A14" s="4"/>
    </row>
    <row r="15" spans="1:6" x14ac:dyDescent="0.2">
      <c r="A15" s="5"/>
      <c r="B15" s="5"/>
      <c r="C15" s="8"/>
      <c r="D15" s="5"/>
      <c r="E15" s="5"/>
      <c r="F15" s="5"/>
    </row>
    <row r="16" spans="1:6" ht="19" x14ac:dyDescent="0.25">
      <c r="A16" s="4"/>
    </row>
    <row r="17" spans="1:6" x14ac:dyDescent="0.2">
      <c r="A17" s="5"/>
      <c r="B17" s="5"/>
      <c r="C17" s="8"/>
      <c r="D17" s="5"/>
      <c r="E17" s="5"/>
      <c r="F17" s="5"/>
    </row>
    <row r="18" spans="1:6" ht="19" x14ac:dyDescent="0.25">
      <c r="A18" s="4"/>
    </row>
    <row r="19" spans="1:6" x14ac:dyDescent="0.2">
      <c r="A19" s="5"/>
      <c r="B19" s="5"/>
      <c r="C19" s="8"/>
      <c r="D19" s="5"/>
      <c r="E19" s="5"/>
      <c r="F19" s="5"/>
    </row>
    <row r="20" spans="1:6" ht="19" x14ac:dyDescent="0.25">
      <c r="A20" s="4"/>
    </row>
    <row r="21" spans="1:6" x14ac:dyDescent="0.2">
      <c r="A21" s="5"/>
      <c r="B21" s="5"/>
      <c r="C21" s="8"/>
      <c r="D21" s="5"/>
      <c r="E21" s="5"/>
      <c r="F21" s="5"/>
    </row>
    <row r="22" spans="1:6" ht="19" x14ac:dyDescent="0.25">
      <c r="A22" s="4"/>
    </row>
    <row r="23" spans="1:6" x14ac:dyDescent="0.2">
      <c r="A23" s="5"/>
      <c r="B23" s="5"/>
      <c r="C23" s="8"/>
      <c r="D23" s="5"/>
      <c r="E23" s="5"/>
      <c r="F23" s="5"/>
    </row>
    <row r="24" spans="1:6" ht="19" x14ac:dyDescent="0.25">
      <c r="A24" s="4"/>
    </row>
    <row r="25" spans="1:6" x14ac:dyDescent="0.2">
      <c r="A25" s="5"/>
      <c r="B25" s="5"/>
      <c r="C25" s="8"/>
      <c r="D25" s="5"/>
      <c r="E25" s="5"/>
      <c r="F25" s="5"/>
    </row>
    <row r="26" spans="1:6" ht="19" x14ac:dyDescent="0.25">
      <c r="A26" s="4"/>
    </row>
    <row r="27" spans="1:6" x14ac:dyDescent="0.2">
      <c r="A27" s="5"/>
      <c r="B27" s="5"/>
      <c r="C27" s="8"/>
      <c r="D27" s="5"/>
      <c r="E27" s="5"/>
      <c r="F27" s="5"/>
    </row>
    <row r="28" spans="1:6" ht="19" x14ac:dyDescent="0.25">
      <c r="A28" s="4"/>
    </row>
    <row r="29" spans="1:6" x14ac:dyDescent="0.2">
      <c r="A29" s="5"/>
      <c r="B29" s="5"/>
      <c r="C29" s="8"/>
      <c r="D29" s="5"/>
      <c r="E29" s="5"/>
      <c r="F29" s="5"/>
    </row>
    <row r="30" spans="1:6" ht="19" x14ac:dyDescent="0.25">
      <c r="A30" s="4"/>
    </row>
    <row r="31" spans="1:6" x14ac:dyDescent="0.2">
      <c r="A31" s="5"/>
      <c r="B31" s="5"/>
      <c r="C31" s="8"/>
      <c r="D31" s="5"/>
      <c r="E31" s="5"/>
      <c r="F31" s="5"/>
    </row>
    <row r="32" spans="1:6" ht="19" x14ac:dyDescent="0.25">
      <c r="A32" s="4"/>
    </row>
    <row r="33" spans="1:6" x14ac:dyDescent="0.2">
      <c r="A33" s="5"/>
      <c r="B33" s="5"/>
      <c r="C33" s="8"/>
      <c r="D33" s="5"/>
      <c r="E33" s="5"/>
      <c r="F33" s="5"/>
    </row>
    <row r="34" spans="1:6" ht="19" x14ac:dyDescent="0.25">
      <c r="A34" s="4"/>
    </row>
    <row r="35" spans="1:6" x14ac:dyDescent="0.2">
      <c r="A35" s="5"/>
      <c r="B35" s="5"/>
      <c r="C35" s="8"/>
      <c r="D35" s="5"/>
      <c r="E35" s="5"/>
      <c r="F35" s="5"/>
    </row>
    <row r="36" spans="1:6" ht="19" x14ac:dyDescent="0.25">
      <c r="A36" s="4"/>
    </row>
    <row r="37" spans="1:6" x14ac:dyDescent="0.2">
      <c r="A37" s="5"/>
      <c r="B37" s="5"/>
      <c r="C37" s="8"/>
      <c r="D37" s="5"/>
      <c r="E37" s="5"/>
      <c r="F37" s="5"/>
    </row>
    <row r="38" spans="1:6" ht="19" x14ac:dyDescent="0.25">
      <c r="A38" s="4"/>
    </row>
    <row r="39" spans="1:6" x14ac:dyDescent="0.2">
      <c r="A39" s="5"/>
      <c r="B39" s="5"/>
      <c r="C39" s="8"/>
      <c r="D39" s="5"/>
      <c r="E39" s="5"/>
      <c r="F39" s="5"/>
    </row>
    <row r="40" spans="1:6" ht="19" x14ac:dyDescent="0.25">
      <c r="A40" s="4"/>
    </row>
    <row r="41" spans="1:6" x14ac:dyDescent="0.2">
      <c r="A41" s="5"/>
      <c r="B41" s="5"/>
      <c r="C41" s="8"/>
      <c r="D41" s="5"/>
      <c r="E41" s="5"/>
      <c r="F41" s="5"/>
    </row>
    <row r="42" spans="1:6" ht="19" x14ac:dyDescent="0.25">
      <c r="A42" s="4"/>
    </row>
    <row r="43" spans="1:6" x14ac:dyDescent="0.2">
      <c r="A43" s="5"/>
      <c r="B43" s="5"/>
      <c r="C43" s="8"/>
      <c r="D43" s="5"/>
      <c r="E43" s="5"/>
      <c r="F43" s="5"/>
    </row>
    <row r="44" spans="1:6" ht="19" x14ac:dyDescent="0.25">
      <c r="A44" s="4"/>
    </row>
    <row r="45" spans="1:6" x14ac:dyDescent="0.2">
      <c r="A45" s="5"/>
      <c r="B45" s="5"/>
      <c r="C45" s="8"/>
      <c r="D45" s="5"/>
      <c r="E45" s="5"/>
      <c r="F45" s="5"/>
    </row>
    <row r="46" spans="1:6" ht="19" x14ac:dyDescent="0.25">
      <c r="A46" s="4"/>
    </row>
    <row r="47" spans="1:6" x14ac:dyDescent="0.2">
      <c r="A47" s="5"/>
      <c r="B47" s="5"/>
      <c r="C47" s="8"/>
      <c r="D47" s="5"/>
      <c r="E47" s="5"/>
      <c r="F47" s="5"/>
    </row>
    <row r="48" spans="1:6" ht="19" x14ac:dyDescent="0.25">
      <c r="A48" s="4"/>
    </row>
    <row r="49" spans="1:6" x14ac:dyDescent="0.2">
      <c r="A49" s="5"/>
      <c r="B49" s="5"/>
      <c r="C49" s="8"/>
      <c r="D49" s="5"/>
      <c r="E49" s="5"/>
      <c r="F49" s="5"/>
    </row>
    <row r="50" spans="1:6" ht="19" x14ac:dyDescent="0.25">
      <c r="A50" s="4"/>
    </row>
    <row r="51" spans="1:6" x14ac:dyDescent="0.2">
      <c r="A51" s="5"/>
      <c r="B51" s="5"/>
      <c r="C51" s="8"/>
      <c r="D51" s="5"/>
      <c r="E51" s="5"/>
      <c r="F51" s="5"/>
    </row>
    <row r="52" spans="1:6" ht="19" x14ac:dyDescent="0.25">
      <c r="A52" s="4"/>
    </row>
    <row r="53" spans="1:6" x14ac:dyDescent="0.2">
      <c r="A53" s="5"/>
      <c r="B53" s="5"/>
      <c r="C53" s="8"/>
      <c r="D53" s="5"/>
      <c r="E53" s="5"/>
      <c r="F53" s="5"/>
    </row>
    <row r="54" spans="1:6" ht="19" x14ac:dyDescent="0.25">
      <c r="A54" s="4"/>
    </row>
    <row r="55" spans="1:6" x14ac:dyDescent="0.2">
      <c r="A55" s="5"/>
      <c r="B55" s="5"/>
      <c r="C55" s="8"/>
      <c r="D55" s="5"/>
      <c r="E55" s="5"/>
      <c r="F55" s="5"/>
    </row>
    <row r="56" spans="1:6" ht="19" x14ac:dyDescent="0.25">
      <c r="A56" s="4"/>
    </row>
    <row r="57" spans="1:6" x14ac:dyDescent="0.2">
      <c r="A57" s="5"/>
      <c r="B57" s="5"/>
      <c r="C57" s="8"/>
      <c r="D57" s="5"/>
      <c r="E57" s="5"/>
      <c r="F57" s="5"/>
    </row>
    <row r="58" spans="1:6" ht="19" x14ac:dyDescent="0.25">
      <c r="A58" s="4"/>
    </row>
    <row r="59" spans="1:6" x14ac:dyDescent="0.2">
      <c r="A59" s="5"/>
      <c r="B59" s="5"/>
      <c r="C59" s="8"/>
      <c r="D59" s="5"/>
      <c r="E59" s="5"/>
      <c r="F59" s="5"/>
    </row>
    <row r="60" spans="1:6" ht="19" x14ac:dyDescent="0.25">
      <c r="A60" s="4"/>
    </row>
    <row r="61" spans="1:6" x14ac:dyDescent="0.2">
      <c r="A61" s="5"/>
      <c r="B61" s="5"/>
      <c r="C61" s="8"/>
      <c r="D61" s="5"/>
      <c r="E61" s="5"/>
      <c r="F61" s="5"/>
    </row>
    <row r="62" spans="1:6" ht="19" x14ac:dyDescent="0.25">
      <c r="A62" s="4"/>
    </row>
    <row r="63" spans="1:6" x14ac:dyDescent="0.2">
      <c r="A63" s="5"/>
      <c r="B63" s="5"/>
      <c r="C63" s="8"/>
      <c r="D63" s="5"/>
      <c r="E63" s="5"/>
      <c r="F63" s="5"/>
    </row>
    <row r="64" spans="1:6" ht="19" x14ac:dyDescent="0.25">
      <c r="A64" s="4"/>
    </row>
    <row r="65" spans="1:6" x14ac:dyDescent="0.2">
      <c r="A65" s="5"/>
      <c r="B65" s="5"/>
      <c r="C65" s="8"/>
      <c r="D65" s="5"/>
      <c r="E65" s="5"/>
      <c r="F65" s="5"/>
    </row>
    <row r="66" spans="1:6" ht="19" x14ac:dyDescent="0.25">
      <c r="A66" s="4"/>
    </row>
    <row r="67" spans="1:6" x14ac:dyDescent="0.2">
      <c r="A67" s="5"/>
      <c r="B67" s="5"/>
      <c r="C67" s="8"/>
      <c r="D67" s="5"/>
      <c r="E67" s="5"/>
      <c r="F67" s="5"/>
    </row>
    <row r="68" spans="1:6" ht="19" x14ac:dyDescent="0.25">
      <c r="A68" s="4"/>
    </row>
    <row r="69" spans="1:6" x14ac:dyDescent="0.2">
      <c r="A69" s="5"/>
      <c r="B69" s="5"/>
      <c r="C69" s="8"/>
      <c r="D69" s="5"/>
      <c r="E69" s="5"/>
      <c r="F69" s="5"/>
    </row>
    <row r="70" spans="1:6" ht="19" x14ac:dyDescent="0.25">
      <c r="A70" s="4"/>
    </row>
    <row r="71" spans="1:6" x14ac:dyDescent="0.2">
      <c r="A71" s="5"/>
      <c r="B71" s="5"/>
      <c r="C71" s="8"/>
      <c r="D71" s="5"/>
      <c r="E71" s="5"/>
      <c r="F71" s="5"/>
    </row>
    <row r="72" spans="1:6" ht="19" x14ac:dyDescent="0.25">
      <c r="A72" s="4"/>
    </row>
    <row r="73" spans="1:6" x14ac:dyDescent="0.2">
      <c r="A73" s="5"/>
      <c r="B73" s="5"/>
      <c r="C73" s="8"/>
      <c r="D73" s="5"/>
      <c r="E73" s="5"/>
      <c r="F73" s="5"/>
    </row>
    <row r="74" spans="1:6" ht="19" x14ac:dyDescent="0.25">
      <c r="A74" s="4"/>
    </row>
    <row r="75" spans="1:6" x14ac:dyDescent="0.2">
      <c r="A75" s="5"/>
      <c r="B75" s="5"/>
      <c r="C75" s="8"/>
      <c r="D75" s="5"/>
      <c r="E75" s="5"/>
      <c r="F75" s="5"/>
    </row>
    <row r="76" spans="1:6" ht="19" x14ac:dyDescent="0.25">
      <c r="A76" s="4"/>
    </row>
    <row r="77" spans="1:6" x14ac:dyDescent="0.2">
      <c r="A77" s="5"/>
      <c r="B77" s="5"/>
      <c r="C77" s="8"/>
      <c r="D77" s="5"/>
      <c r="E77" s="5"/>
      <c r="F77" s="5"/>
    </row>
    <row r="78" spans="1:6" ht="19" x14ac:dyDescent="0.25">
      <c r="A78" s="4"/>
    </row>
    <row r="79" spans="1:6" x14ac:dyDescent="0.2">
      <c r="A79" s="5"/>
      <c r="B79" s="5"/>
      <c r="C79" s="8"/>
      <c r="D79" s="5"/>
      <c r="E79" s="5"/>
      <c r="F79" s="5"/>
    </row>
    <row r="80" spans="1:6" ht="19" x14ac:dyDescent="0.25">
      <c r="A80" s="4"/>
    </row>
    <row r="81" spans="1:6" x14ac:dyDescent="0.2">
      <c r="A81" s="5"/>
      <c r="B81" s="5"/>
      <c r="C81" s="8"/>
      <c r="D81" s="5"/>
      <c r="E81" s="5"/>
      <c r="F81" s="5"/>
    </row>
    <row r="82" spans="1:6" ht="19" x14ac:dyDescent="0.25">
      <c r="A82" s="4"/>
    </row>
    <row r="83" spans="1:6" x14ac:dyDescent="0.2">
      <c r="A83" s="5"/>
      <c r="B83" s="5"/>
      <c r="C83" s="8"/>
      <c r="D83" s="5"/>
      <c r="E83" s="5"/>
      <c r="F83" s="5"/>
    </row>
    <row r="84" spans="1:6" ht="19" x14ac:dyDescent="0.25">
      <c r="A84" s="4"/>
    </row>
    <row r="85" spans="1:6" x14ac:dyDescent="0.2">
      <c r="A85" s="5"/>
      <c r="B85" s="5"/>
      <c r="C85" s="8"/>
      <c r="D85" s="5"/>
      <c r="E85" s="5"/>
      <c r="F85" s="5"/>
    </row>
    <row r="86" spans="1:6" ht="19" x14ac:dyDescent="0.25">
      <c r="A86" s="4"/>
    </row>
    <row r="87" spans="1:6" x14ac:dyDescent="0.2">
      <c r="A87" s="5"/>
      <c r="B87" s="5"/>
      <c r="C87" s="8"/>
      <c r="D87" s="5"/>
      <c r="E87" s="5"/>
      <c r="F87" s="5"/>
    </row>
    <row r="88" spans="1:6" ht="19" x14ac:dyDescent="0.25">
      <c r="A88" s="4"/>
    </row>
    <row r="89" spans="1:6" x14ac:dyDescent="0.2">
      <c r="A89" s="5"/>
      <c r="B89" s="5"/>
      <c r="C89" s="8"/>
      <c r="D89" s="5"/>
      <c r="E89" s="5"/>
      <c r="F89" s="5"/>
    </row>
    <row r="90" spans="1:6" ht="19" x14ac:dyDescent="0.25">
      <c r="A90" s="4"/>
    </row>
    <row r="91" spans="1:6" x14ac:dyDescent="0.2">
      <c r="A91" s="5"/>
      <c r="B91" s="5"/>
      <c r="C91" s="8"/>
      <c r="D91" s="5"/>
      <c r="E91" s="5"/>
      <c r="F91" s="5"/>
    </row>
    <row r="92" spans="1:6" ht="19" x14ac:dyDescent="0.25">
      <c r="A92" s="4"/>
    </row>
    <row r="93" spans="1:6" x14ac:dyDescent="0.2">
      <c r="A93" s="5"/>
      <c r="B93" s="5"/>
      <c r="C93" s="8"/>
      <c r="D93" s="5"/>
      <c r="E93" s="5"/>
      <c r="F93" s="5"/>
    </row>
    <row r="94" spans="1:6" ht="19" x14ac:dyDescent="0.25">
      <c r="A94" s="4"/>
    </row>
    <row r="95" spans="1:6" x14ac:dyDescent="0.2">
      <c r="A95" s="5"/>
      <c r="B95" s="5"/>
      <c r="C95" s="8"/>
      <c r="D95" s="5"/>
      <c r="E95" s="5"/>
      <c r="F95" s="5"/>
    </row>
    <row r="96" spans="1:6" ht="19" x14ac:dyDescent="0.25">
      <c r="A96" s="4"/>
    </row>
    <row r="97" spans="1:6" x14ac:dyDescent="0.2">
      <c r="A97" s="5"/>
      <c r="B97" s="5"/>
      <c r="C97" s="8"/>
      <c r="D97" s="5"/>
      <c r="E97" s="5"/>
      <c r="F97" s="5"/>
    </row>
    <row r="98" spans="1:6" ht="19" x14ac:dyDescent="0.25">
      <c r="A98" s="4"/>
    </row>
    <row r="99" spans="1:6" x14ac:dyDescent="0.2">
      <c r="A99" s="5"/>
      <c r="B99" s="5"/>
      <c r="C99" s="8"/>
      <c r="D99" s="5"/>
      <c r="E99" s="5"/>
      <c r="F99" s="5"/>
    </row>
    <row r="100" spans="1:6" ht="19" x14ac:dyDescent="0.25">
      <c r="A100" s="4"/>
    </row>
    <row r="101" spans="1:6" x14ac:dyDescent="0.2">
      <c r="A101" s="5"/>
      <c r="B101" s="5"/>
      <c r="C101" s="8"/>
      <c r="D101" s="5"/>
      <c r="E101" s="5"/>
      <c r="F101" s="5"/>
    </row>
    <row r="102" spans="1:6" ht="19" x14ac:dyDescent="0.25">
      <c r="A102" s="4"/>
    </row>
    <row r="103" spans="1:6" x14ac:dyDescent="0.2">
      <c r="A103" s="5"/>
      <c r="B103" s="5"/>
      <c r="C103" s="8"/>
      <c r="D103" s="5"/>
      <c r="E103" s="5"/>
      <c r="F103" s="5"/>
    </row>
    <row r="104" spans="1:6" ht="19" x14ac:dyDescent="0.25">
      <c r="A104" s="4"/>
    </row>
    <row r="105" spans="1:6" x14ac:dyDescent="0.2">
      <c r="A105" s="5"/>
      <c r="B105" s="5"/>
      <c r="C105" s="8"/>
      <c r="D105" s="5"/>
      <c r="E105" s="5"/>
      <c r="F105" s="5"/>
    </row>
    <row r="106" spans="1:6" ht="19" x14ac:dyDescent="0.25">
      <c r="A106" s="4"/>
    </row>
    <row r="107" spans="1:6" x14ac:dyDescent="0.2">
      <c r="A107" s="5"/>
      <c r="B107" s="5"/>
      <c r="C107" s="8"/>
      <c r="D107" s="5"/>
      <c r="E107" s="5"/>
      <c r="F107" s="5"/>
    </row>
    <row r="108" spans="1:6" ht="19" x14ac:dyDescent="0.25">
      <c r="A108" s="4"/>
    </row>
    <row r="109" spans="1:6" x14ac:dyDescent="0.2">
      <c r="A109" s="5"/>
      <c r="B109" s="5"/>
      <c r="C109" s="8"/>
      <c r="D109" s="5"/>
      <c r="E109" s="5"/>
      <c r="F109" s="5"/>
    </row>
    <row r="110" spans="1:6" ht="19" x14ac:dyDescent="0.25">
      <c r="A110" s="4"/>
    </row>
    <row r="111" spans="1:6" x14ac:dyDescent="0.2">
      <c r="A111" s="5"/>
      <c r="B111" s="5"/>
      <c r="C111" s="8"/>
      <c r="D111" s="5"/>
      <c r="E111" s="5"/>
      <c r="F111" s="5"/>
    </row>
    <row r="112" spans="1:6" ht="19" x14ac:dyDescent="0.25">
      <c r="A112" s="4"/>
    </row>
    <row r="113" spans="1:6" x14ac:dyDescent="0.2">
      <c r="A113" s="5"/>
      <c r="B113" s="5"/>
      <c r="C113" s="8"/>
      <c r="D113" s="5"/>
      <c r="E113" s="5"/>
      <c r="F113" s="5"/>
    </row>
    <row r="114" spans="1:6" ht="19" x14ac:dyDescent="0.25">
      <c r="A114" s="4"/>
    </row>
    <row r="115" spans="1:6" x14ac:dyDescent="0.2">
      <c r="A115" s="5"/>
      <c r="B115" s="5"/>
      <c r="C115" s="8"/>
      <c r="D115" s="5"/>
      <c r="E115" s="5"/>
      <c r="F115" s="5"/>
    </row>
    <row r="116" spans="1:6" ht="19" x14ac:dyDescent="0.25">
      <c r="A116" s="4"/>
    </row>
    <row r="117" spans="1:6" x14ac:dyDescent="0.2">
      <c r="A117" s="5"/>
      <c r="B117" s="5"/>
      <c r="C117" s="8"/>
      <c r="D117" s="5"/>
      <c r="E117" s="5"/>
      <c r="F117" s="5"/>
    </row>
    <row r="118" spans="1:6" ht="19" x14ac:dyDescent="0.25">
      <c r="A118" s="4"/>
    </row>
    <row r="119" spans="1:6" x14ac:dyDescent="0.2">
      <c r="A119" s="5"/>
      <c r="B119" s="5"/>
      <c r="C119" s="8"/>
      <c r="D119" s="5"/>
      <c r="E119" s="5"/>
      <c r="F119" s="5"/>
    </row>
    <row r="120" spans="1:6" ht="19" x14ac:dyDescent="0.25">
      <c r="A120" s="4"/>
    </row>
    <row r="121" spans="1:6" x14ac:dyDescent="0.2">
      <c r="A121" s="5"/>
      <c r="B121" s="5"/>
      <c r="C121" s="8"/>
      <c r="D121" s="5"/>
      <c r="E121" s="5"/>
      <c r="F121" s="5"/>
    </row>
    <row r="122" spans="1:6" ht="19" x14ac:dyDescent="0.25">
      <c r="A122" s="4"/>
    </row>
    <row r="123" spans="1:6" x14ac:dyDescent="0.2">
      <c r="A123" s="5"/>
      <c r="B123" s="5"/>
      <c r="C123" s="8"/>
      <c r="D123" s="5"/>
      <c r="E123" s="5"/>
      <c r="F123" s="5"/>
    </row>
    <row r="124" spans="1:6" ht="19" x14ac:dyDescent="0.25">
      <c r="A124" s="4"/>
    </row>
    <row r="125" spans="1:6" x14ac:dyDescent="0.2">
      <c r="A125" s="5"/>
      <c r="B125" s="5"/>
      <c r="C125" s="8"/>
      <c r="D125" s="5"/>
      <c r="E125" s="5"/>
      <c r="F125" s="5"/>
    </row>
    <row r="126" spans="1:6" ht="19" x14ac:dyDescent="0.25">
      <c r="A126" s="4"/>
    </row>
    <row r="127" spans="1:6" x14ac:dyDescent="0.2">
      <c r="A127" s="5"/>
      <c r="B127" s="5"/>
      <c r="C127" s="8"/>
      <c r="D127" s="5"/>
      <c r="E127" s="5"/>
      <c r="F127" s="5"/>
    </row>
    <row r="128" spans="1:6" ht="19" x14ac:dyDescent="0.25">
      <c r="A128" s="4"/>
    </row>
    <row r="129" spans="1:6" x14ac:dyDescent="0.2">
      <c r="A129" s="5"/>
      <c r="B129" s="5"/>
      <c r="C129" s="8"/>
      <c r="D129" s="5"/>
      <c r="E129" s="5"/>
      <c r="F129" s="5"/>
    </row>
    <row r="130" spans="1:6" ht="19" x14ac:dyDescent="0.25">
      <c r="A130" s="4"/>
    </row>
    <row r="131" spans="1:6" x14ac:dyDescent="0.2">
      <c r="A131" s="5"/>
      <c r="B131" s="5"/>
      <c r="C131" s="8"/>
      <c r="D131" s="5"/>
      <c r="E131" s="5"/>
      <c r="F131" s="5"/>
    </row>
    <row r="132" spans="1:6" ht="19" x14ac:dyDescent="0.25">
      <c r="A132" s="4"/>
    </row>
    <row r="133" spans="1:6" x14ac:dyDescent="0.2">
      <c r="A133" s="5"/>
      <c r="B133" s="5"/>
      <c r="C133" s="8"/>
      <c r="D133" s="5"/>
      <c r="E133" s="5"/>
      <c r="F133" s="5"/>
    </row>
    <row r="134" spans="1:6" ht="19" x14ac:dyDescent="0.25">
      <c r="A134" s="4"/>
    </row>
    <row r="135" spans="1:6" x14ac:dyDescent="0.2">
      <c r="A135" s="5"/>
      <c r="B135" s="5"/>
      <c r="C135" s="8"/>
      <c r="D135" s="5"/>
      <c r="E135" s="5"/>
      <c r="F135" s="5"/>
    </row>
    <row r="136" spans="1:6" ht="19" x14ac:dyDescent="0.25">
      <c r="A136" s="4"/>
    </row>
    <row r="137" spans="1:6" x14ac:dyDescent="0.2">
      <c r="A137" s="5"/>
      <c r="B137" s="5"/>
      <c r="C137" s="8"/>
      <c r="D137" s="5"/>
      <c r="E137" s="5"/>
      <c r="F137" s="5"/>
    </row>
    <row r="138" spans="1:6" ht="19" x14ac:dyDescent="0.25">
      <c r="A138" s="4"/>
    </row>
    <row r="139" spans="1:6" x14ac:dyDescent="0.2">
      <c r="A139" s="5"/>
      <c r="B139" s="5"/>
      <c r="C139" s="8"/>
      <c r="D139" s="5"/>
      <c r="E139" s="5"/>
      <c r="F139" s="5"/>
    </row>
    <row r="140" spans="1:6" ht="19" x14ac:dyDescent="0.25">
      <c r="A140" s="4"/>
    </row>
    <row r="141" spans="1:6" x14ac:dyDescent="0.2">
      <c r="A141" s="5"/>
      <c r="B141" s="5"/>
      <c r="C141" s="8"/>
      <c r="D141" s="5"/>
      <c r="E141" s="5"/>
      <c r="F141" s="5"/>
    </row>
    <row r="142" spans="1:6" ht="19" x14ac:dyDescent="0.25">
      <c r="A142" s="4"/>
    </row>
    <row r="143" spans="1:6" x14ac:dyDescent="0.2">
      <c r="A143" s="5"/>
      <c r="B143" s="5"/>
      <c r="C143" s="8"/>
      <c r="D143" s="5"/>
      <c r="E143" s="5"/>
      <c r="F143" s="5"/>
    </row>
    <row r="144" spans="1:6" ht="19" x14ac:dyDescent="0.25">
      <c r="A144" s="4"/>
    </row>
    <row r="145" spans="1:6" x14ac:dyDescent="0.2">
      <c r="A145" s="5"/>
      <c r="B145" s="5"/>
      <c r="C145" s="8"/>
      <c r="D145" s="5"/>
      <c r="E145" s="5"/>
      <c r="F145" s="5"/>
    </row>
    <row r="146" spans="1:6" ht="19" x14ac:dyDescent="0.25">
      <c r="A146" s="4"/>
    </row>
    <row r="147" spans="1:6" x14ac:dyDescent="0.2">
      <c r="A147" s="5"/>
      <c r="B147" s="5"/>
      <c r="C147" s="8"/>
      <c r="D147" s="5"/>
      <c r="E147" s="5"/>
      <c r="F147" s="5"/>
    </row>
    <row r="148" spans="1:6" ht="19" x14ac:dyDescent="0.25">
      <c r="A148" s="4"/>
    </row>
    <row r="149" spans="1:6" x14ac:dyDescent="0.2">
      <c r="A149" s="5"/>
      <c r="B149" s="5"/>
      <c r="C149" s="8"/>
      <c r="D149" s="5"/>
      <c r="E149" s="5"/>
      <c r="F149" s="5"/>
    </row>
    <row r="150" spans="1:6" ht="19" x14ac:dyDescent="0.25">
      <c r="A150" s="4"/>
    </row>
    <row r="151" spans="1:6" x14ac:dyDescent="0.2">
      <c r="A151" s="5"/>
      <c r="B151" s="5"/>
      <c r="C151" s="8"/>
      <c r="D151" s="5"/>
      <c r="E151" s="5"/>
      <c r="F151" s="5"/>
    </row>
    <row r="152" spans="1:6" ht="19" x14ac:dyDescent="0.25">
      <c r="A152" s="4"/>
    </row>
    <row r="153" spans="1:6" x14ac:dyDescent="0.2">
      <c r="A153" s="5"/>
      <c r="B153" s="5"/>
      <c r="C153" s="8"/>
      <c r="D153" s="5"/>
      <c r="E153" s="5"/>
      <c r="F153" s="5"/>
    </row>
    <row r="154" spans="1:6" ht="19" x14ac:dyDescent="0.25">
      <c r="A154" s="4"/>
    </row>
    <row r="155" spans="1:6" x14ac:dyDescent="0.2">
      <c r="A155" s="5"/>
      <c r="B155" s="5"/>
      <c r="C155" s="8"/>
      <c r="D155" s="5"/>
      <c r="E155" s="5"/>
      <c r="F155" s="5"/>
    </row>
    <row r="156" spans="1:6" ht="19" x14ac:dyDescent="0.25">
      <c r="A156" s="4"/>
    </row>
    <row r="157" spans="1:6" x14ac:dyDescent="0.2">
      <c r="A157" s="5"/>
      <c r="B157" s="5"/>
      <c r="C157" s="8"/>
      <c r="D157" s="5"/>
      <c r="E157" s="5"/>
      <c r="F157" s="5"/>
    </row>
    <row r="158" spans="1:6" ht="19" x14ac:dyDescent="0.25">
      <c r="A158" s="4"/>
    </row>
    <row r="159" spans="1:6" x14ac:dyDescent="0.2">
      <c r="A159" s="5"/>
      <c r="B159" s="5"/>
      <c r="C159" s="8"/>
      <c r="D159" s="5"/>
      <c r="E159" s="5"/>
      <c r="F159" s="5"/>
    </row>
    <row r="160" spans="1:6" ht="19" x14ac:dyDescent="0.25">
      <c r="A160" s="4"/>
    </row>
    <row r="161" spans="1:6" x14ac:dyDescent="0.2">
      <c r="A161" s="5"/>
      <c r="B161" s="5"/>
      <c r="C161" s="8"/>
      <c r="D161" s="5"/>
      <c r="E161" s="5"/>
      <c r="F161" s="5"/>
    </row>
    <row r="162" spans="1:6" ht="19" x14ac:dyDescent="0.25">
      <c r="A162" s="4"/>
    </row>
    <row r="163" spans="1:6" x14ac:dyDescent="0.2">
      <c r="A163" s="5"/>
      <c r="B163" s="5"/>
      <c r="C163" s="8"/>
      <c r="D163" s="5"/>
      <c r="E163" s="5"/>
      <c r="F163" s="5"/>
    </row>
    <row r="164" spans="1:6" ht="19" x14ac:dyDescent="0.25">
      <c r="A164" s="4"/>
    </row>
    <row r="165" spans="1:6" x14ac:dyDescent="0.2">
      <c r="A165" s="5"/>
      <c r="B165" s="5"/>
      <c r="C165" s="8"/>
      <c r="D165" s="5"/>
      <c r="E165" s="5"/>
      <c r="F165" s="5"/>
    </row>
    <row r="166" spans="1:6" ht="19" x14ac:dyDescent="0.25">
      <c r="A166" s="4"/>
    </row>
    <row r="167" spans="1:6" x14ac:dyDescent="0.2">
      <c r="A167" s="5"/>
      <c r="B167" s="5"/>
      <c r="C167" s="8"/>
      <c r="D167" s="5"/>
      <c r="E167" s="5"/>
      <c r="F167" s="5"/>
    </row>
    <row r="168" spans="1:6" ht="19" x14ac:dyDescent="0.25">
      <c r="A168" s="4"/>
    </row>
    <row r="169" spans="1:6" x14ac:dyDescent="0.2">
      <c r="A169" s="5"/>
      <c r="B169" s="5"/>
      <c r="C169" s="8"/>
      <c r="D169" s="5"/>
      <c r="E169" s="5"/>
      <c r="F169" s="5"/>
    </row>
    <row r="170" spans="1:6" ht="19" x14ac:dyDescent="0.25">
      <c r="A170" s="4"/>
    </row>
    <row r="171" spans="1:6" x14ac:dyDescent="0.2">
      <c r="A171" s="5"/>
      <c r="B171" s="5"/>
      <c r="C171" s="8"/>
      <c r="D171" s="5"/>
      <c r="E171" s="5"/>
      <c r="F171" s="5"/>
    </row>
    <row r="172" spans="1:6" ht="19" x14ac:dyDescent="0.25">
      <c r="A172" s="4"/>
    </row>
    <row r="173" spans="1:6" x14ac:dyDescent="0.2">
      <c r="A173" s="5"/>
      <c r="B173" s="5"/>
      <c r="C173" s="8"/>
      <c r="D173" s="5"/>
      <c r="E173" s="5"/>
      <c r="F173" s="5"/>
    </row>
    <row r="174" spans="1:6" ht="19" x14ac:dyDescent="0.25">
      <c r="A174" s="4"/>
    </row>
    <row r="175" spans="1:6" x14ac:dyDescent="0.2">
      <c r="A175" s="5"/>
      <c r="B175" s="5"/>
      <c r="C175" s="8"/>
      <c r="D175" s="5"/>
      <c r="E175" s="5"/>
      <c r="F175" s="5"/>
    </row>
    <row r="176" spans="1:6" ht="19" x14ac:dyDescent="0.25">
      <c r="A176" s="4"/>
    </row>
    <row r="177" spans="1:6" x14ac:dyDescent="0.2">
      <c r="A177" s="5"/>
      <c r="B177" s="5"/>
      <c r="C177" s="8"/>
      <c r="D177" s="5"/>
      <c r="E177" s="5"/>
      <c r="F177" s="5"/>
    </row>
    <row r="178" spans="1:6" ht="19" x14ac:dyDescent="0.25">
      <c r="A178" s="4"/>
    </row>
    <row r="179" spans="1:6" x14ac:dyDescent="0.2">
      <c r="A179" s="5"/>
      <c r="B179" s="5"/>
      <c r="C179" s="8"/>
      <c r="D179" s="5"/>
      <c r="E179" s="5"/>
      <c r="F179" s="5"/>
    </row>
    <row r="180" spans="1:6" ht="19" x14ac:dyDescent="0.25">
      <c r="A180" s="4"/>
    </row>
    <row r="181" spans="1:6" x14ac:dyDescent="0.2">
      <c r="A181" s="5"/>
      <c r="B181" s="5"/>
      <c r="C181" s="8"/>
      <c r="D181" s="5"/>
      <c r="E181" s="5"/>
      <c r="F181" s="5"/>
    </row>
    <row r="182" spans="1:6" ht="19" x14ac:dyDescent="0.25">
      <c r="A182" s="4"/>
    </row>
    <row r="183" spans="1:6" x14ac:dyDescent="0.2">
      <c r="A183" s="5"/>
      <c r="B183" s="5"/>
      <c r="C183" s="8"/>
      <c r="D183" s="5"/>
      <c r="E183" s="5"/>
      <c r="F183" s="5"/>
    </row>
    <row r="184" spans="1:6" ht="19" x14ac:dyDescent="0.25">
      <c r="A184" s="4"/>
    </row>
    <row r="185" spans="1:6" x14ac:dyDescent="0.2">
      <c r="A185" s="5"/>
      <c r="B185" s="5"/>
      <c r="C185" s="8"/>
      <c r="D185" s="5"/>
      <c r="E185" s="5"/>
      <c r="F185" s="5"/>
    </row>
    <row r="186" spans="1:6" ht="19" x14ac:dyDescent="0.25">
      <c r="A186" s="4"/>
    </row>
    <row r="187" spans="1:6" x14ac:dyDescent="0.2">
      <c r="A187" s="5"/>
      <c r="B187" s="5"/>
      <c r="C187" s="8"/>
      <c r="D187" s="5"/>
      <c r="E187" s="5"/>
      <c r="F187" s="5"/>
    </row>
    <row r="188" spans="1:6" ht="19" x14ac:dyDescent="0.25">
      <c r="A188" s="4"/>
    </row>
    <row r="189" spans="1:6" x14ac:dyDescent="0.2">
      <c r="A189" s="5"/>
      <c r="B189" s="5"/>
      <c r="C189" s="8"/>
      <c r="D189" s="5"/>
      <c r="E189" s="5"/>
      <c r="F189" s="5"/>
    </row>
    <row r="190" spans="1:6" ht="19" x14ac:dyDescent="0.25">
      <c r="A190" s="4"/>
    </row>
    <row r="191" spans="1:6" x14ac:dyDescent="0.2">
      <c r="A191" s="5"/>
      <c r="B191" s="5"/>
      <c r="C191" s="8"/>
      <c r="D191" s="5"/>
      <c r="E191" s="5"/>
      <c r="F191" s="5"/>
    </row>
    <row r="192" spans="1:6" ht="19" x14ac:dyDescent="0.25">
      <c r="A192" s="4"/>
    </row>
    <row r="193" spans="1:6" x14ac:dyDescent="0.2">
      <c r="A193" s="5"/>
      <c r="B193" s="5"/>
      <c r="C193" s="8"/>
      <c r="D193" s="5"/>
      <c r="E193" s="5"/>
      <c r="F193" s="5"/>
    </row>
    <row r="194" spans="1:6" ht="19" x14ac:dyDescent="0.25">
      <c r="A194" s="4"/>
    </row>
    <row r="195" spans="1:6" x14ac:dyDescent="0.2">
      <c r="A195" s="5"/>
      <c r="B195" s="5"/>
      <c r="C195" s="8"/>
      <c r="D195" s="5"/>
      <c r="E195" s="5"/>
      <c r="F195" s="5"/>
    </row>
    <row r="196" spans="1:6" ht="19" x14ac:dyDescent="0.25">
      <c r="A196" s="4"/>
    </row>
    <row r="197" spans="1:6" x14ac:dyDescent="0.2">
      <c r="A197" s="5"/>
      <c r="B197" s="5"/>
      <c r="C197" s="8"/>
      <c r="D197" s="5"/>
      <c r="E197" s="5"/>
      <c r="F197" s="5"/>
    </row>
    <row r="198" spans="1:6" ht="19" x14ac:dyDescent="0.25">
      <c r="A198" s="4"/>
    </row>
    <row r="199" spans="1:6" x14ac:dyDescent="0.2">
      <c r="A199" s="5"/>
      <c r="B199" s="5"/>
      <c r="C199" s="8"/>
      <c r="D199" s="5"/>
      <c r="E199" s="5"/>
      <c r="F199" s="5"/>
    </row>
    <row r="200" spans="1:6" ht="19" x14ac:dyDescent="0.25">
      <c r="A200" s="4"/>
    </row>
    <row r="201" spans="1:6" x14ac:dyDescent="0.2">
      <c r="A201" s="5"/>
      <c r="B201" s="5"/>
      <c r="C201" s="8"/>
      <c r="D201" s="5"/>
      <c r="E201" s="5"/>
      <c r="F201" s="5"/>
    </row>
    <row r="202" spans="1:6" ht="19" x14ac:dyDescent="0.25">
      <c r="A202" s="4"/>
    </row>
    <row r="203" spans="1:6" x14ac:dyDescent="0.2">
      <c r="A203" s="5"/>
      <c r="B203" s="5"/>
      <c r="C203" s="8"/>
      <c r="D203" s="5"/>
      <c r="E203" s="5"/>
      <c r="F203" s="5"/>
    </row>
    <row r="204" spans="1:6" ht="19" x14ac:dyDescent="0.25">
      <c r="A204" s="4"/>
    </row>
    <row r="206" spans="1:6" x14ac:dyDescent="0.2">
      <c r="C206" s="1"/>
    </row>
    <row r="209" spans="3:3" x14ac:dyDescent="0.2">
      <c r="C209" s="1"/>
    </row>
    <row r="212" spans="3:3" x14ac:dyDescent="0.2">
      <c r="C212" s="1"/>
    </row>
    <row r="215" spans="3:3" x14ac:dyDescent="0.2">
      <c r="C215" s="1"/>
    </row>
    <row r="218" spans="3:3" x14ac:dyDescent="0.2">
      <c r="C218" s="1"/>
    </row>
    <row r="221" spans="3:3" x14ac:dyDescent="0.2">
      <c r="C221" s="1"/>
    </row>
    <row r="224" spans="3:3" x14ac:dyDescent="0.2">
      <c r="C224" s="1"/>
    </row>
    <row r="227" spans="3:3" x14ac:dyDescent="0.2">
      <c r="C227" s="1"/>
    </row>
    <row r="230" spans="3:3" x14ac:dyDescent="0.2">
      <c r="C230" s="1"/>
    </row>
    <row r="233" spans="3:3" x14ac:dyDescent="0.2">
      <c r="C233" s="1"/>
    </row>
    <row r="236" spans="3:3" x14ac:dyDescent="0.2">
      <c r="C236" s="1"/>
    </row>
    <row r="239" spans="3:3" x14ac:dyDescent="0.2">
      <c r="C239" s="1"/>
    </row>
    <row r="242" spans="3:3" x14ac:dyDescent="0.2">
      <c r="C242" s="1"/>
    </row>
    <row r="245" spans="3:3" x14ac:dyDescent="0.2">
      <c r="C245" s="1"/>
    </row>
    <row r="248" spans="3:3" x14ac:dyDescent="0.2">
      <c r="C248" s="1"/>
    </row>
    <row r="251" spans="3:3" x14ac:dyDescent="0.2">
      <c r="C251" s="1"/>
    </row>
    <row r="254" spans="3:3" x14ac:dyDescent="0.2">
      <c r="C254" s="1"/>
    </row>
    <row r="257" spans="3:3" x14ac:dyDescent="0.2">
      <c r="C257" s="1"/>
    </row>
    <row r="260" spans="3:3" x14ac:dyDescent="0.2">
      <c r="C260" s="1"/>
    </row>
    <row r="263" spans="3:3" x14ac:dyDescent="0.2">
      <c r="C263" s="1"/>
    </row>
    <row r="266" spans="3:3" x14ac:dyDescent="0.2">
      <c r="C266" s="1"/>
    </row>
    <row r="269" spans="3:3" x14ac:dyDescent="0.2">
      <c r="C269" s="1"/>
    </row>
    <row r="272" spans="3:3" x14ac:dyDescent="0.2">
      <c r="C272" s="1"/>
    </row>
    <row r="275" spans="3:3" x14ac:dyDescent="0.2">
      <c r="C275" s="1"/>
    </row>
    <row r="278" spans="3:3" x14ac:dyDescent="0.2">
      <c r="C278" s="1"/>
    </row>
    <row r="281" spans="3:3" x14ac:dyDescent="0.2">
      <c r="C281" s="1"/>
    </row>
    <row r="284" spans="3:3" x14ac:dyDescent="0.2">
      <c r="C284" s="1"/>
    </row>
    <row r="287" spans="3:3" x14ac:dyDescent="0.2">
      <c r="C287" s="1"/>
    </row>
    <row r="290" spans="3:3" x14ac:dyDescent="0.2">
      <c r="C290" s="1"/>
    </row>
    <row r="293" spans="3:3" x14ac:dyDescent="0.2">
      <c r="C293" s="1"/>
    </row>
    <row r="296" spans="3:3" x14ac:dyDescent="0.2">
      <c r="C296" s="1"/>
    </row>
    <row r="299" spans="3:3" x14ac:dyDescent="0.2">
      <c r="C299" s="1"/>
    </row>
    <row r="302" spans="3:3" x14ac:dyDescent="0.2">
      <c r="C302" s="1"/>
    </row>
    <row r="305" spans="3:3" x14ac:dyDescent="0.2">
      <c r="C305" s="1"/>
    </row>
    <row r="308" spans="3:3" x14ac:dyDescent="0.2">
      <c r="C308" s="1"/>
    </row>
    <row r="311" spans="3:3" x14ac:dyDescent="0.2">
      <c r="C311" s="1"/>
    </row>
    <row r="314" spans="3:3" x14ac:dyDescent="0.2">
      <c r="C314" s="1"/>
    </row>
    <row r="317" spans="3:3" x14ac:dyDescent="0.2">
      <c r="C317" s="1"/>
    </row>
    <row r="320" spans="3:3" x14ac:dyDescent="0.2">
      <c r="C320" s="1"/>
    </row>
    <row r="323" spans="3:3" x14ac:dyDescent="0.2">
      <c r="C323" s="1"/>
    </row>
    <row r="326" spans="3:3" x14ac:dyDescent="0.2">
      <c r="C326" s="1"/>
    </row>
    <row r="329" spans="3:3" x14ac:dyDescent="0.2">
      <c r="C329" s="1"/>
    </row>
    <row r="332" spans="3:3" x14ac:dyDescent="0.2">
      <c r="C332" s="1"/>
    </row>
    <row r="335" spans="3:3" x14ac:dyDescent="0.2">
      <c r="C335" s="1"/>
    </row>
    <row r="338" spans="3:3" x14ac:dyDescent="0.2">
      <c r="C338" s="1"/>
    </row>
    <row r="341" spans="3:3" x14ac:dyDescent="0.2">
      <c r="C341" s="1"/>
    </row>
    <row r="344" spans="3:3" x14ac:dyDescent="0.2">
      <c r="C344" s="1"/>
    </row>
    <row r="347" spans="3:3" x14ac:dyDescent="0.2">
      <c r="C347" s="1"/>
    </row>
    <row r="350" spans="3:3" x14ac:dyDescent="0.2">
      <c r="C350" s="1"/>
    </row>
    <row r="353" spans="3:3" x14ac:dyDescent="0.2">
      <c r="C353" s="1"/>
    </row>
    <row r="356" spans="3:3" x14ac:dyDescent="0.2">
      <c r="C356" s="1"/>
    </row>
    <row r="359" spans="3:3" x14ac:dyDescent="0.2">
      <c r="C359" s="1"/>
    </row>
    <row r="362" spans="3:3" x14ac:dyDescent="0.2">
      <c r="C362" s="1"/>
    </row>
    <row r="365" spans="3:3" x14ac:dyDescent="0.2">
      <c r="C365" s="1"/>
    </row>
    <row r="368" spans="3:3" x14ac:dyDescent="0.2">
      <c r="C368" s="1"/>
    </row>
    <row r="371" spans="3:3" x14ac:dyDescent="0.2">
      <c r="C371" s="1"/>
    </row>
    <row r="374" spans="3:3" x14ac:dyDescent="0.2">
      <c r="C374" s="1"/>
    </row>
    <row r="377" spans="3:3" x14ac:dyDescent="0.2">
      <c r="C377" s="1"/>
    </row>
    <row r="380" spans="3:3" x14ac:dyDescent="0.2">
      <c r="C380" s="1"/>
    </row>
    <row r="383" spans="3:3" x14ac:dyDescent="0.2">
      <c r="C383" s="1"/>
    </row>
    <row r="386" spans="3:3" x14ac:dyDescent="0.2">
      <c r="C386" s="1"/>
    </row>
    <row r="389" spans="3:3" x14ac:dyDescent="0.2">
      <c r="C389" s="1"/>
    </row>
    <row r="392" spans="3:3" x14ac:dyDescent="0.2">
      <c r="C392" s="1"/>
    </row>
    <row r="395" spans="3:3" x14ac:dyDescent="0.2">
      <c r="C395" s="1"/>
    </row>
    <row r="398" spans="3:3" x14ac:dyDescent="0.2">
      <c r="C398" s="1"/>
    </row>
    <row r="401" spans="3:3" x14ac:dyDescent="0.2">
      <c r="C401" s="1"/>
    </row>
    <row r="404" spans="3:3" x14ac:dyDescent="0.2">
      <c r="C404" s="1"/>
    </row>
    <row r="407" spans="3:3" x14ac:dyDescent="0.2">
      <c r="C407" s="1"/>
    </row>
    <row r="410" spans="3:3" x14ac:dyDescent="0.2">
      <c r="C410" s="1"/>
    </row>
    <row r="413" spans="3:3" x14ac:dyDescent="0.2">
      <c r="C413" s="1"/>
    </row>
    <row r="416" spans="3:3" x14ac:dyDescent="0.2">
      <c r="C416" s="1"/>
    </row>
    <row r="419" spans="3:3" x14ac:dyDescent="0.2">
      <c r="C419" s="1"/>
    </row>
    <row r="422" spans="3:3" x14ac:dyDescent="0.2">
      <c r="C422" s="1"/>
    </row>
    <row r="425" spans="3:3" x14ac:dyDescent="0.2">
      <c r="C425" s="1"/>
    </row>
    <row r="428" spans="3:3" x14ac:dyDescent="0.2">
      <c r="C428" s="1"/>
    </row>
    <row r="431" spans="3:3" x14ac:dyDescent="0.2">
      <c r="C431" s="1"/>
    </row>
    <row r="434" spans="3:3" x14ac:dyDescent="0.2">
      <c r="C434" s="1"/>
    </row>
    <row r="437" spans="3:3" x14ac:dyDescent="0.2">
      <c r="C437" s="1"/>
    </row>
    <row r="440" spans="3:3" x14ac:dyDescent="0.2">
      <c r="C440" s="1"/>
    </row>
    <row r="443" spans="3:3" x14ac:dyDescent="0.2">
      <c r="C443" s="1"/>
    </row>
    <row r="446" spans="3:3" x14ac:dyDescent="0.2">
      <c r="C446" s="1"/>
    </row>
    <row r="449" spans="3:3" x14ac:dyDescent="0.2">
      <c r="C449" s="1"/>
    </row>
    <row r="452" spans="3:3" x14ac:dyDescent="0.2">
      <c r="C452" s="1"/>
    </row>
    <row r="455" spans="3:3" x14ac:dyDescent="0.2">
      <c r="C455" s="1"/>
    </row>
    <row r="458" spans="3:3" x14ac:dyDescent="0.2">
      <c r="C458" s="1"/>
    </row>
    <row r="461" spans="3:3" x14ac:dyDescent="0.2">
      <c r="C461" s="1"/>
    </row>
    <row r="464" spans="3:3" x14ac:dyDescent="0.2">
      <c r="C464" s="1"/>
    </row>
    <row r="467" spans="3:3" x14ac:dyDescent="0.2">
      <c r="C467" s="1"/>
    </row>
    <row r="470" spans="3:3" x14ac:dyDescent="0.2">
      <c r="C470" s="1"/>
    </row>
    <row r="473" spans="3:3" x14ac:dyDescent="0.2">
      <c r="C473" s="1"/>
    </row>
    <row r="476" spans="3:3" x14ac:dyDescent="0.2">
      <c r="C476" s="1"/>
    </row>
    <row r="479" spans="3:3" x14ac:dyDescent="0.2">
      <c r="C479" s="1"/>
    </row>
    <row r="482" spans="3:3" x14ac:dyDescent="0.2">
      <c r="C482" s="1"/>
    </row>
    <row r="485" spans="3:3" x14ac:dyDescent="0.2">
      <c r="C485" s="1"/>
    </row>
    <row r="488" spans="3:3" x14ac:dyDescent="0.2">
      <c r="C488" s="1"/>
    </row>
    <row r="491" spans="3:3" x14ac:dyDescent="0.2">
      <c r="C491" s="1"/>
    </row>
    <row r="494" spans="3:3" x14ac:dyDescent="0.2">
      <c r="C494" s="1"/>
    </row>
    <row r="497" spans="3:3" x14ac:dyDescent="0.2">
      <c r="C497" s="1"/>
    </row>
    <row r="500" spans="3:3" x14ac:dyDescent="0.2">
      <c r="C500" s="1"/>
    </row>
    <row r="503" spans="3:3" x14ac:dyDescent="0.2">
      <c r="C503" s="1"/>
    </row>
    <row r="506" spans="3:3" x14ac:dyDescent="0.2">
      <c r="C506" s="1"/>
    </row>
    <row r="509" spans="3:3" x14ac:dyDescent="0.2">
      <c r="C509" s="1"/>
    </row>
    <row r="512" spans="3:3" x14ac:dyDescent="0.2">
      <c r="C512" s="1"/>
    </row>
    <row r="515" spans="3:3" x14ac:dyDescent="0.2">
      <c r="C515" s="1"/>
    </row>
    <row r="518" spans="3:3" x14ac:dyDescent="0.2">
      <c r="C518" s="1"/>
    </row>
    <row r="521" spans="3:3" x14ac:dyDescent="0.2">
      <c r="C521" s="1"/>
    </row>
    <row r="524" spans="3:3" x14ac:dyDescent="0.2">
      <c r="C524" s="1"/>
    </row>
    <row r="527" spans="3:3" x14ac:dyDescent="0.2">
      <c r="C527" s="1"/>
    </row>
    <row r="530" spans="3:3" x14ac:dyDescent="0.2">
      <c r="C530" s="1"/>
    </row>
    <row r="533" spans="3:3" x14ac:dyDescent="0.2">
      <c r="C533" s="1"/>
    </row>
    <row r="536" spans="3:3" x14ac:dyDescent="0.2">
      <c r="C536" s="1"/>
    </row>
    <row r="539" spans="3:3" x14ac:dyDescent="0.2">
      <c r="C539" s="1"/>
    </row>
    <row r="542" spans="3:3" x14ac:dyDescent="0.2">
      <c r="C542" s="1"/>
    </row>
    <row r="545" spans="3:3" x14ac:dyDescent="0.2">
      <c r="C545" s="1"/>
    </row>
    <row r="548" spans="3:3" x14ac:dyDescent="0.2">
      <c r="C548" s="1"/>
    </row>
    <row r="551" spans="3:3" x14ac:dyDescent="0.2">
      <c r="C551" s="1"/>
    </row>
    <row r="554" spans="3:3" x14ac:dyDescent="0.2">
      <c r="C554" s="1"/>
    </row>
    <row r="557" spans="3:3" x14ac:dyDescent="0.2">
      <c r="C557" s="1"/>
    </row>
    <row r="560" spans="3:3" x14ac:dyDescent="0.2">
      <c r="C560" s="1"/>
    </row>
    <row r="563" spans="3:3" x14ac:dyDescent="0.2">
      <c r="C563" s="1"/>
    </row>
    <row r="566" spans="3:3" x14ac:dyDescent="0.2">
      <c r="C566" s="1"/>
    </row>
    <row r="569" spans="3:3" x14ac:dyDescent="0.2">
      <c r="C569" s="1"/>
    </row>
    <row r="572" spans="3:3" x14ac:dyDescent="0.2">
      <c r="C572" s="1"/>
    </row>
    <row r="575" spans="3:3" x14ac:dyDescent="0.2">
      <c r="C575" s="1"/>
    </row>
    <row r="578" spans="3:3" x14ac:dyDescent="0.2">
      <c r="C578" s="1"/>
    </row>
    <row r="581" spans="3:3" x14ac:dyDescent="0.2">
      <c r="C581" s="1"/>
    </row>
    <row r="584" spans="3:3" x14ac:dyDescent="0.2">
      <c r="C584" s="1"/>
    </row>
    <row r="587" spans="3:3" x14ac:dyDescent="0.2">
      <c r="C587" s="1"/>
    </row>
    <row r="590" spans="3:3" x14ac:dyDescent="0.2">
      <c r="C590" s="1"/>
    </row>
    <row r="593" spans="3:3" x14ac:dyDescent="0.2">
      <c r="C593" s="1"/>
    </row>
    <row r="596" spans="3:3" x14ac:dyDescent="0.2">
      <c r="C596" s="1"/>
    </row>
    <row r="599" spans="3:3" x14ac:dyDescent="0.2">
      <c r="C599" s="1"/>
    </row>
    <row r="602" spans="3:3" x14ac:dyDescent="0.2">
      <c r="C602" s="1"/>
    </row>
    <row r="605" spans="3:3" x14ac:dyDescent="0.2">
      <c r="C605" s="1"/>
    </row>
    <row r="608" spans="3:3" x14ac:dyDescent="0.2">
      <c r="C608" s="1"/>
    </row>
    <row r="611" spans="3:3" x14ac:dyDescent="0.2">
      <c r="C611" s="1"/>
    </row>
    <row r="614" spans="3:3" x14ac:dyDescent="0.2">
      <c r="C614" s="1"/>
    </row>
    <row r="617" spans="3:3" x14ac:dyDescent="0.2">
      <c r="C617" s="1"/>
    </row>
    <row r="620" spans="3:3" x14ac:dyDescent="0.2">
      <c r="C620" s="1"/>
    </row>
    <row r="623" spans="3:3" x14ac:dyDescent="0.2">
      <c r="C623" s="1"/>
    </row>
    <row r="626" spans="3:3" x14ac:dyDescent="0.2">
      <c r="C626" s="1"/>
    </row>
    <row r="629" spans="3:3" x14ac:dyDescent="0.2">
      <c r="C629" s="1"/>
    </row>
    <row r="632" spans="3:3" x14ac:dyDescent="0.2">
      <c r="C632" s="1"/>
    </row>
    <row r="635" spans="3:3" x14ac:dyDescent="0.2">
      <c r="C635" s="1"/>
    </row>
    <row r="638" spans="3:3" x14ac:dyDescent="0.2">
      <c r="C638" s="1"/>
    </row>
    <row r="641" spans="3:3" x14ac:dyDescent="0.2">
      <c r="C641" s="1"/>
    </row>
    <row r="644" spans="3:3" x14ac:dyDescent="0.2">
      <c r="C644" s="1"/>
    </row>
    <row r="647" spans="3:3" x14ac:dyDescent="0.2">
      <c r="C647" s="1"/>
    </row>
    <row r="650" spans="3:3" x14ac:dyDescent="0.2">
      <c r="C650" s="1"/>
    </row>
    <row r="653" spans="3:3" x14ac:dyDescent="0.2">
      <c r="C653" s="1"/>
    </row>
    <row r="656" spans="3:3" x14ac:dyDescent="0.2">
      <c r="C656" s="1"/>
    </row>
    <row r="659" spans="3:3" x14ac:dyDescent="0.2">
      <c r="C659" s="1"/>
    </row>
    <row r="662" spans="3:3" x14ac:dyDescent="0.2">
      <c r="C662" s="1"/>
    </row>
    <row r="665" spans="3:3" x14ac:dyDescent="0.2">
      <c r="C665" s="1"/>
    </row>
    <row r="668" spans="3:3" x14ac:dyDescent="0.2">
      <c r="C668" s="1"/>
    </row>
    <row r="671" spans="3:3" x14ac:dyDescent="0.2">
      <c r="C671" s="1"/>
    </row>
    <row r="674" spans="3:3" x14ac:dyDescent="0.2">
      <c r="C674" s="1"/>
    </row>
    <row r="677" spans="3:3" x14ac:dyDescent="0.2">
      <c r="C677" s="1"/>
    </row>
    <row r="680" spans="3:3" x14ac:dyDescent="0.2">
      <c r="C680" s="1"/>
    </row>
    <row r="683" spans="3:3" x14ac:dyDescent="0.2">
      <c r="C683" s="1"/>
    </row>
    <row r="686" spans="3:3" x14ac:dyDescent="0.2">
      <c r="C686" s="1"/>
    </row>
    <row r="689" spans="3:3" x14ac:dyDescent="0.2">
      <c r="C689" s="1"/>
    </row>
    <row r="692" spans="3:3" x14ac:dyDescent="0.2">
      <c r="C692" s="1"/>
    </row>
    <row r="695" spans="3:3" x14ac:dyDescent="0.2">
      <c r="C695" s="1"/>
    </row>
    <row r="698" spans="3:3" x14ac:dyDescent="0.2">
      <c r="C698" s="1"/>
    </row>
    <row r="701" spans="3:3" x14ac:dyDescent="0.2">
      <c r="C701" s="1"/>
    </row>
    <row r="704" spans="3:3" x14ac:dyDescent="0.2">
      <c r="C704" s="1"/>
    </row>
    <row r="707" spans="3:3" x14ac:dyDescent="0.2">
      <c r="C707" s="1"/>
    </row>
    <row r="710" spans="3:3" x14ac:dyDescent="0.2">
      <c r="C710" s="1"/>
    </row>
    <row r="713" spans="3:3" x14ac:dyDescent="0.2">
      <c r="C713" s="1"/>
    </row>
    <row r="716" spans="3:3" x14ac:dyDescent="0.2">
      <c r="C716" s="1"/>
    </row>
    <row r="719" spans="3:3" x14ac:dyDescent="0.2">
      <c r="C719" s="1"/>
    </row>
    <row r="722" spans="3:3" x14ac:dyDescent="0.2">
      <c r="C722" s="1"/>
    </row>
    <row r="725" spans="3:3" x14ac:dyDescent="0.2">
      <c r="C725" s="1"/>
    </row>
    <row r="728" spans="3:3" x14ac:dyDescent="0.2">
      <c r="C72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79592-D5BF-0C43-9E01-0437DC9C6826}">
  <sheetPr codeName="Sheet2">
    <tabColor rgb="FF0070C0"/>
  </sheetPr>
  <dimension ref="B1:J399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J6" sqref="J6"/>
    </sheetView>
  </sheetViews>
  <sheetFormatPr baseColWidth="10" defaultRowHeight="16" x14ac:dyDescent="0.2"/>
  <cols>
    <col min="1" max="1" width="3" customWidth="1"/>
    <col min="2" max="2" width="14.83203125" bestFit="1" customWidth="1"/>
    <col min="3" max="3" width="49.6640625" bestFit="1" customWidth="1"/>
    <col min="4" max="4" width="11.1640625" bestFit="1" customWidth="1"/>
    <col min="5" max="5" width="10.83203125" style="6" bestFit="1" customWidth="1"/>
    <col min="6" max="6" width="13.6640625" bestFit="1" customWidth="1"/>
    <col min="7" max="7" width="45.1640625" bestFit="1" customWidth="1"/>
    <col min="8" max="8" width="3.5" customWidth="1"/>
    <col min="9" max="9" width="11.6640625" customWidth="1"/>
  </cols>
  <sheetData>
    <row r="1" spans="2:10" x14ac:dyDescent="0.2">
      <c r="E1"/>
    </row>
    <row r="2" spans="2:10" x14ac:dyDescent="0.2">
      <c r="B2" s="2" t="s">
        <v>0</v>
      </c>
      <c r="C2" s="2" t="s">
        <v>1</v>
      </c>
      <c r="D2" s="2" t="s">
        <v>2</v>
      </c>
      <c r="E2" s="2" t="s">
        <v>3</v>
      </c>
      <c r="F2" s="2" t="s">
        <v>5</v>
      </c>
      <c r="G2" s="2" t="s">
        <v>4</v>
      </c>
    </row>
    <row r="3" spans="2:10" x14ac:dyDescent="0.2">
      <c r="D3" s="1"/>
      <c r="G3" s="1"/>
    </row>
    <row r="4" spans="2:10" x14ac:dyDescent="0.2">
      <c r="D4" s="1"/>
      <c r="G4" s="1"/>
    </row>
    <row r="5" spans="2:10" x14ac:dyDescent="0.2">
      <c r="D5" s="1"/>
      <c r="G5" s="1"/>
      <c r="J5" t="s">
        <v>4756</v>
      </c>
    </row>
    <row r="6" spans="2:10" x14ac:dyDescent="0.2">
      <c r="D6" s="1"/>
      <c r="G6" s="1"/>
    </row>
    <row r="7" spans="2:10" x14ac:dyDescent="0.2">
      <c r="C7" s="1"/>
      <c r="D7" s="1"/>
      <c r="G7" s="1"/>
    </row>
    <row r="8" spans="2:10" x14ac:dyDescent="0.2">
      <c r="D8" s="1"/>
      <c r="G8" s="1"/>
    </row>
    <row r="9" spans="2:10" x14ac:dyDescent="0.2">
      <c r="D9" s="1"/>
      <c r="G9" s="1"/>
    </row>
    <row r="10" spans="2:10" x14ac:dyDescent="0.2">
      <c r="D10" s="1"/>
      <c r="G10" s="1"/>
    </row>
    <row r="11" spans="2:10" x14ac:dyDescent="0.2">
      <c r="D11" s="1"/>
      <c r="G11" s="1"/>
    </row>
    <row r="12" spans="2:10" x14ac:dyDescent="0.2">
      <c r="D12" s="1"/>
      <c r="G12" s="1"/>
    </row>
    <row r="13" spans="2:10" x14ac:dyDescent="0.2">
      <c r="D13" s="1"/>
      <c r="F13" s="1"/>
      <c r="G13" s="1"/>
    </row>
    <row r="14" spans="2:10" x14ac:dyDescent="0.2">
      <c r="D14" s="1"/>
      <c r="G14" s="1"/>
    </row>
    <row r="15" spans="2:10" x14ac:dyDescent="0.2">
      <c r="D15" s="1"/>
      <c r="G15" s="1"/>
    </row>
    <row r="16" spans="2:10" x14ac:dyDescent="0.2">
      <c r="D16" s="1"/>
      <c r="G16" s="1"/>
    </row>
    <row r="17" spans="3:7" x14ac:dyDescent="0.2">
      <c r="D17" s="1"/>
      <c r="G17" s="1"/>
    </row>
    <row r="18" spans="3:7" x14ac:dyDescent="0.2">
      <c r="D18" s="1"/>
      <c r="G18" s="1"/>
    </row>
    <row r="19" spans="3:7" x14ac:dyDescent="0.2">
      <c r="D19" s="1"/>
      <c r="F19" s="1"/>
      <c r="G19" s="1"/>
    </row>
    <row r="20" spans="3:7" x14ac:dyDescent="0.2">
      <c r="D20" s="1"/>
      <c r="G20" s="1"/>
    </row>
    <row r="21" spans="3:7" x14ac:dyDescent="0.2">
      <c r="D21" s="1"/>
      <c r="G21" s="1"/>
    </row>
    <row r="22" spans="3:7" x14ac:dyDescent="0.2">
      <c r="C22" s="1"/>
      <c r="D22" s="1"/>
      <c r="G22" s="1"/>
    </row>
    <row r="23" spans="3:7" x14ac:dyDescent="0.2">
      <c r="D23" s="1"/>
      <c r="F23" s="1"/>
      <c r="G23" s="1"/>
    </row>
    <row r="24" spans="3:7" x14ac:dyDescent="0.2">
      <c r="C24" s="1"/>
      <c r="D24" s="1"/>
      <c r="G24" s="1"/>
    </row>
    <row r="25" spans="3:7" x14ac:dyDescent="0.2">
      <c r="D25" s="1"/>
      <c r="G25" s="1"/>
    </row>
    <row r="26" spans="3:7" x14ac:dyDescent="0.2">
      <c r="D26" s="1"/>
      <c r="G26" s="1"/>
    </row>
    <row r="27" spans="3:7" x14ac:dyDescent="0.2">
      <c r="C27" s="1"/>
      <c r="D27" s="1"/>
      <c r="G27" s="1"/>
    </row>
    <row r="28" spans="3:7" x14ac:dyDescent="0.2">
      <c r="D28" s="1"/>
      <c r="F28" s="1"/>
      <c r="G28" s="1"/>
    </row>
    <row r="29" spans="3:7" x14ac:dyDescent="0.2">
      <c r="D29" s="1"/>
      <c r="E29" s="1"/>
      <c r="F29" s="1"/>
      <c r="G29" s="1"/>
    </row>
    <row r="30" spans="3:7" x14ac:dyDescent="0.2">
      <c r="C30" s="1"/>
      <c r="D30" s="1"/>
      <c r="G30" s="1"/>
    </row>
    <row r="31" spans="3:7" x14ac:dyDescent="0.2">
      <c r="D31" s="1"/>
      <c r="E31" s="1"/>
      <c r="G31" s="1"/>
    </row>
    <row r="32" spans="3:7" x14ac:dyDescent="0.2">
      <c r="D32" s="1"/>
      <c r="G32" s="1"/>
    </row>
    <row r="33" spans="3:7" x14ac:dyDescent="0.2">
      <c r="D33" s="1"/>
      <c r="E33" s="1"/>
      <c r="G33" s="1"/>
    </row>
    <row r="34" spans="3:7" x14ac:dyDescent="0.2">
      <c r="C34" s="1"/>
      <c r="D34" s="1"/>
      <c r="G34" s="1"/>
    </row>
    <row r="35" spans="3:7" x14ac:dyDescent="0.2">
      <c r="D35" s="1"/>
      <c r="E35" s="1"/>
      <c r="G35" s="1"/>
    </row>
    <row r="36" spans="3:7" x14ac:dyDescent="0.2">
      <c r="C36" s="1"/>
      <c r="D36" s="1"/>
      <c r="F36" s="1"/>
      <c r="G36" s="1"/>
    </row>
    <row r="37" spans="3:7" x14ac:dyDescent="0.2">
      <c r="D37" s="1"/>
      <c r="G37" s="1"/>
    </row>
    <row r="38" spans="3:7" x14ac:dyDescent="0.2">
      <c r="D38" s="1"/>
      <c r="G38" s="1"/>
    </row>
    <row r="39" spans="3:7" x14ac:dyDescent="0.2">
      <c r="D39" s="1"/>
      <c r="G39" s="1"/>
    </row>
    <row r="40" spans="3:7" x14ac:dyDescent="0.2">
      <c r="C40" s="1"/>
      <c r="D40" s="1"/>
      <c r="G40" s="1"/>
    </row>
    <row r="41" spans="3:7" x14ac:dyDescent="0.2">
      <c r="D41" s="1"/>
      <c r="G41" s="1"/>
    </row>
    <row r="42" spans="3:7" x14ac:dyDescent="0.2">
      <c r="C42" s="1"/>
      <c r="D42" s="1"/>
      <c r="G42" s="1"/>
    </row>
    <row r="43" spans="3:7" x14ac:dyDescent="0.2">
      <c r="D43" s="1"/>
      <c r="G43" s="1"/>
    </row>
    <row r="44" spans="3:7" x14ac:dyDescent="0.2">
      <c r="C44" s="1"/>
      <c r="D44" s="1"/>
      <c r="G44" s="1"/>
    </row>
    <row r="45" spans="3:7" x14ac:dyDescent="0.2">
      <c r="D45" s="1"/>
      <c r="G45" s="1"/>
    </row>
    <row r="46" spans="3:7" x14ac:dyDescent="0.2">
      <c r="C46" s="1"/>
      <c r="D46" s="1"/>
      <c r="G46" s="1"/>
    </row>
    <row r="47" spans="3:7" x14ac:dyDescent="0.2">
      <c r="D47" s="1"/>
      <c r="G47" s="1"/>
    </row>
    <row r="48" spans="3:7" x14ac:dyDescent="0.2">
      <c r="D48" s="1"/>
      <c r="G48" s="1"/>
    </row>
    <row r="49" spans="3:7" x14ac:dyDescent="0.2">
      <c r="D49" s="1"/>
      <c r="G49" s="1"/>
    </row>
    <row r="50" spans="3:7" x14ac:dyDescent="0.2">
      <c r="C50" s="1"/>
      <c r="D50" s="1"/>
      <c r="G50" s="1"/>
    </row>
    <row r="51" spans="3:7" x14ac:dyDescent="0.2">
      <c r="D51" s="1"/>
      <c r="G51" s="1"/>
    </row>
    <row r="52" spans="3:7" x14ac:dyDescent="0.2">
      <c r="D52" s="1"/>
      <c r="F52" s="1"/>
      <c r="G52" s="1"/>
    </row>
    <row r="53" spans="3:7" x14ac:dyDescent="0.2">
      <c r="D53" s="1"/>
      <c r="F53" s="1"/>
      <c r="G53" s="1"/>
    </row>
    <row r="54" spans="3:7" x14ac:dyDescent="0.2">
      <c r="C54" s="1"/>
      <c r="D54" s="1"/>
      <c r="G54" s="1"/>
    </row>
    <row r="55" spans="3:7" x14ac:dyDescent="0.2">
      <c r="D55" s="1"/>
      <c r="G55" s="1"/>
    </row>
    <row r="56" spans="3:7" x14ac:dyDescent="0.2">
      <c r="D56" s="1"/>
      <c r="F56" s="1"/>
      <c r="G56" s="1"/>
    </row>
    <row r="57" spans="3:7" x14ac:dyDescent="0.2">
      <c r="D57" s="1"/>
      <c r="G57" s="1"/>
    </row>
    <row r="58" spans="3:7" x14ac:dyDescent="0.2">
      <c r="C58" s="1"/>
      <c r="D58" s="1"/>
      <c r="G58" s="1"/>
    </row>
    <row r="59" spans="3:7" x14ac:dyDescent="0.2">
      <c r="D59" s="1"/>
      <c r="G59" s="1"/>
    </row>
    <row r="60" spans="3:7" x14ac:dyDescent="0.2">
      <c r="D60" s="1"/>
      <c r="G60" s="1"/>
    </row>
    <row r="61" spans="3:7" x14ac:dyDescent="0.2">
      <c r="D61" s="1"/>
      <c r="G61" s="1"/>
    </row>
    <row r="62" spans="3:7" x14ac:dyDescent="0.2">
      <c r="D62" s="1"/>
      <c r="G62" s="1"/>
    </row>
    <row r="63" spans="3:7" x14ac:dyDescent="0.2">
      <c r="D63" s="1"/>
      <c r="F63" s="1"/>
      <c r="G63" s="1"/>
    </row>
    <row r="64" spans="3:7" x14ac:dyDescent="0.2">
      <c r="D64" s="1"/>
      <c r="G64" s="1"/>
    </row>
    <row r="65" spans="3:7" x14ac:dyDescent="0.2">
      <c r="D65" s="1"/>
      <c r="F65" s="1"/>
      <c r="G65" s="1"/>
    </row>
    <row r="66" spans="3:7" x14ac:dyDescent="0.2">
      <c r="D66" s="1"/>
      <c r="G66" s="1"/>
    </row>
    <row r="67" spans="3:7" x14ac:dyDescent="0.2">
      <c r="D67" s="1"/>
      <c r="G67" s="1"/>
    </row>
    <row r="68" spans="3:7" x14ac:dyDescent="0.2">
      <c r="D68" s="1"/>
      <c r="E68" s="1"/>
      <c r="G68" s="1"/>
    </row>
    <row r="69" spans="3:7" x14ac:dyDescent="0.2">
      <c r="D69" s="1"/>
      <c r="G69" s="1"/>
    </row>
    <row r="70" spans="3:7" x14ac:dyDescent="0.2">
      <c r="C70" s="1"/>
      <c r="D70" s="1"/>
      <c r="G70" s="1"/>
    </row>
    <row r="71" spans="3:7" x14ac:dyDescent="0.2">
      <c r="D71" s="1"/>
      <c r="G71" s="1"/>
    </row>
    <row r="72" spans="3:7" x14ac:dyDescent="0.2">
      <c r="C72" s="1"/>
      <c r="D72" s="1"/>
      <c r="G72" s="1"/>
    </row>
    <row r="73" spans="3:7" x14ac:dyDescent="0.2">
      <c r="C73" s="1"/>
      <c r="D73" s="1"/>
      <c r="G73" s="1"/>
    </row>
    <row r="74" spans="3:7" x14ac:dyDescent="0.2">
      <c r="D74" s="1"/>
      <c r="G74" s="1"/>
    </row>
    <row r="75" spans="3:7" x14ac:dyDescent="0.2">
      <c r="D75" s="1"/>
      <c r="G75" s="1"/>
    </row>
    <row r="76" spans="3:7" x14ac:dyDescent="0.2">
      <c r="C76" s="1"/>
      <c r="D76" s="1"/>
      <c r="G76" s="1"/>
    </row>
    <row r="77" spans="3:7" x14ac:dyDescent="0.2">
      <c r="D77" s="1"/>
      <c r="G77" s="1"/>
    </row>
    <row r="78" spans="3:7" x14ac:dyDescent="0.2">
      <c r="D78" s="1"/>
      <c r="G78" s="1"/>
    </row>
    <row r="79" spans="3:7" x14ac:dyDescent="0.2">
      <c r="D79" s="1"/>
      <c r="G79" s="1"/>
    </row>
    <row r="80" spans="3:7" x14ac:dyDescent="0.2">
      <c r="C80" s="1"/>
      <c r="D80" s="1"/>
      <c r="G80" s="1"/>
    </row>
    <row r="81" spans="3:7" x14ac:dyDescent="0.2">
      <c r="D81" s="1"/>
      <c r="G81" s="1"/>
    </row>
    <row r="82" spans="3:7" x14ac:dyDescent="0.2">
      <c r="D82" s="1"/>
      <c r="G82" s="1"/>
    </row>
    <row r="83" spans="3:7" x14ac:dyDescent="0.2">
      <c r="D83" s="1"/>
      <c r="G83" s="1"/>
    </row>
    <row r="84" spans="3:7" x14ac:dyDescent="0.2">
      <c r="C84" s="1"/>
      <c r="D84" s="1"/>
      <c r="G84" s="1"/>
    </row>
    <row r="85" spans="3:7" x14ac:dyDescent="0.2">
      <c r="D85" s="1"/>
      <c r="F85" s="1"/>
      <c r="G85" s="1"/>
    </row>
    <row r="86" spans="3:7" x14ac:dyDescent="0.2">
      <c r="D86" s="1"/>
      <c r="G86" s="1"/>
    </row>
    <row r="87" spans="3:7" x14ac:dyDescent="0.2">
      <c r="D87" s="1"/>
      <c r="G87" s="1"/>
    </row>
    <row r="88" spans="3:7" x14ac:dyDescent="0.2">
      <c r="D88" s="1"/>
      <c r="G88" s="1"/>
    </row>
    <row r="89" spans="3:7" x14ac:dyDescent="0.2">
      <c r="D89" s="1"/>
      <c r="G89" s="1"/>
    </row>
    <row r="90" spans="3:7" x14ac:dyDescent="0.2">
      <c r="D90" s="1"/>
      <c r="G90" s="1"/>
    </row>
    <row r="91" spans="3:7" x14ac:dyDescent="0.2">
      <c r="D91" s="1"/>
      <c r="G91" s="1"/>
    </row>
    <row r="92" spans="3:7" x14ac:dyDescent="0.2">
      <c r="D92" s="1"/>
      <c r="G92" s="1"/>
    </row>
    <row r="93" spans="3:7" x14ac:dyDescent="0.2">
      <c r="D93" s="1"/>
      <c r="G93" s="1"/>
    </row>
    <row r="94" spans="3:7" x14ac:dyDescent="0.2">
      <c r="C94" s="1"/>
      <c r="D94" s="1"/>
      <c r="G94" s="1"/>
    </row>
    <row r="95" spans="3:7" x14ac:dyDescent="0.2">
      <c r="D95" s="1"/>
      <c r="G95" s="1"/>
    </row>
    <row r="96" spans="3:7" x14ac:dyDescent="0.2">
      <c r="D96" s="1"/>
      <c r="G96" s="1"/>
    </row>
    <row r="97" spans="3:7" x14ac:dyDescent="0.2">
      <c r="D97" s="1"/>
      <c r="G97" s="1"/>
    </row>
    <row r="98" spans="3:7" x14ac:dyDescent="0.2">
      <c r="D98" s="1"/>
      <c r="G98" s="1"/>
    </row>
    <row r="99" spans="3:7" x14ac:dyDescent="0.2">
      <c r="D99" s="1"/>
      <c r="G99" s="1"/>
    </row>
    <row r="100" spans="3:7" x14ac:dyDescent="0.2">
      <c r="C100" s="1"/>
      <c r="D100" s="1"/>
      <c r="G100" s="1"/>
    </row>
    <row r="101" spans="3:7" x14ac:dyDescent="0.2">
      <c r="D101" s="1"/>
      <c r="F101" s="1"/>
      <c r="G101" s="1"/>
    </row>
    <row r="102" spans="3:7" x14ac:dyDescent="0.2">
      <c r="C102" s="1"/>
      <c r="D102" s="1"/>
      <c r="G102" s="1"/>
    </row>
    <row r="103" spans="3:7" x14ac:dyDescent="0.2">
      <c r="D103" s="1"/>
      <c r="G103" s="1"/>
    </row>
    <row r="104" spans="3:7" x14ac:dyDescent="0.2">
      <c r="D104" s="1"/>
      <c r="G104" s="1"/>
    </row>
    <row r="105" spans="3:7" x14ac:dyDescent="0.2">
      <c r="D105" s="1"/>
      <c r="G105" s="1"/>
    </row>
    <row r="106" spans="3:7" x14ac:dyDescent="0.2">
      <c r="D106" s="1"/>
      <c r="F106" s="1"/>
      <c r="G106" s="1"/>
    </row>
    <row r="107" spans="3:7" x14ac:dyDescent="0.2">
      <c r="D107" s="1"/>
      <c r="G107" s="1"/>
    </row>
    <row r="108" spans="3:7" x14ac:dyDescent="0.2">
      <c r="D108" s="1"/>
      <c r="G108" s="1"/>
    </row>
    <row r="109" spans="3:7" x14ac:dyDescent="0.2">
      <c r="D109" s="1"/>
      <c r="G109" s="1"/>
    </row>
    <row r="110" spans="3:7" x14ac:dyDescent="0.2">
      <c r="D110" s="1"/>
      <c r="F110" s="1"/>
      <c r="G110" s="1"/>
    </row>
    <row r="111" spans="3:7" x14ac:dyDescent="0.2">
      <c r="D111" s="1"/>
      <c r="G111" s="1"/>
    </row>
    <row r="112" spans="3:7" x14ac:dyDescent="0.2">
      <c r="C112" s="1"/>
      <c r="D112" s="1"/>
      <c r="G112" s="1"/>
    </row>
    <row r="113" spans="3:7" x14ac:dyDescent="0.2">
      <c r="D113" s="1"/>
      <c r="F113" s="1"/>
      <c r="G113" s="1"/>
    </row>
    <row r="114" spans="3:7" x14ac:dyDescent="0.2">
      <c r="C114" s="1"/>
      <c r="D114" s="1"/>
      <c r="G114" s="1"/>
    </row>
    <row r="115" spans="3:7" x14ac:dyDescent="0.2">
      <c r="D115" s="1"/>
      <c r="G115" s="1"/>
    </row>
    <row r="116" spans="3:7" x14ac:dyDescent="0.2">
      <c r="C116" s="1"/>
      <c r="D116" s="1"/>
      <c r="G116" s="1"/>
    </row>
    <row r="117" spans="3:7" x14ac:dyDescent="0.2">
      <c r="D117" s="1"/>
      <c r="G117" s="1"/>
    </row>
    <row r="118" spans="3:7" x14ac:dyDescent="0.2">
      <c r="D118" s="1"/>
      <c r="G118" s="1"/>
    </row>
    <row r="119" spans="3:7" x14ac:dyDescent="0.2">
      <c r="D119" s="1"/>
      <c r="F119" s="1"/>
      <c r="G119" s="1"/>
    </row>
    <row r="120" spans="3:7" x14ac:dyDescent="0.2">
      <c r="C120" s="1"/>
      <c r="D120" s="1"/>
      <c r="G120" s="1"/>
    </row>
    <row r="121" spans="3:7" x14ac:dyDescent="0.2">
      <c r="C121" s="1"/>
      <c r="D121" s="1"/>
      <c r="G121" s="1"/>
    </row>
    <row r="122" spans="3:7" x14ac:dyDescent="0.2">
      <c r="D122" s="1"/>
      <c r="G122" s="1"/>
    </row>
    <row r="123" spans="3:7" x14ac:dyDescent="0.2">
      <c r="D123" s="1"/>
      <c r="G123" s="1"/>
    </row>
    <row r="124" spans="3:7" x14ac:dyDescent="0.2">
      <c r="D124" s="1"/>
      <c r="G124" s="1"/>
    </row>
    <row r="125" spans="3:7" x14ac:dyDescent="0.2">
      <c r="D125" s="1"/>
      <c r="G125" s="1"/>
    </row>
    <row r="126" spans="3:7" x14ac:dyDescent="0.2">
      <c r="C126" s="1"/>
      <c r="D126" s="1"/>
      <c r="G126" s="1"/>
    </row>
    <row r="127" spans="3:7" x14ac:dyDescent="0.2">
      <c r="D127" s="1"/>
      <c r="G127" s="1"/>
    </row>
    <row r="128" spans="3:7" x14ac:dyDescent="0.2">
      <c r="D128" s="1"/>
      <c r="G128" s="1"/>
    </row>
    <row r="129" spans="3:7" x14ac:dyDescent="0.2">
      <c r="D129" s="1"/>
      <c r="G129" s="1"/>
    </row>
    <row r="130" spans="3:7" x14ac:dyDescent="0.2">
      <c r="D130" s="1"/>
      <c r="G130" s="1"/>
    </row>
    <row r="131" spans="3:7" x14ac:dyDescent="0.2">
      <c r="D131" s="1"/>
      <c r="G131" s="1"/>
    </row>
    <row r="132" spans="3:7" x14ac:dyDescent="0.2">
      <c r="D132" s="1"/>
      <c r="G132" s="1"/>
    </row>
    <row r="133" spans="3:7" x14ac:dyDescent="0.2">
      <c r="D133" s="1"/>
      <c r="G133" s="1"/>
    </row>
    <row r="134" spans="3:7" x14ac:dyDescent="0.2">
      <c r="C134" s="1"/>
      <c r="D134" s="1"/>
      <c r="G134" s="1"/>
    </row>
    <row r="135" spans="3:7" x14ac:dyDescent="0.2">
      <c r="D135" s="1"/>
      <c r="G135" s="1"/>
    </row>
    <row r="136" spans="3:7" x14ac:dyDescent="0.2">
      <c r="C136" s="1"/>
      <c r="D136" s="1"/>
      <c r="G136" s="1"/>
    </row>
    <row r="137" spans="3:7" x14ac:dyDescent="0.2">
      <c r="D137" s="1"/>
      <c r="G137" s="1"/>
    </row>
    <row r="138" spans="3:7" x14ac:dyDescent="0.2">
      <c r="D138" s="1"/>
      <c r="G138" s="1"/>
    </row>
    <row r="139" spans="3:7" x14ac:dyDescent="0.2">
      <c r="D139" s="1"/>
      <c r="F139" s="1"/>
      <c r="G139" s="1"/>
    </row>
    <row r="140" spans="3:7" x14ac:dyDescent="0.2">
      <c r="D140" s="1"/>
      <c r="G140" s="1"/>
    </row>
    <row r="141" spans="3:7" x14ac:dyDescent="0.2">
      <c r="D141" s="1"/>
      <c r="G141" s="1"/>
    </row>
    <row r="142" spans="3:7" x14ac:dyDescent="0.2">
      <c r="D142" s="1"/>
      <c r="G142" s="1"/>
    </row>
    <row r="143" spans="3:7" x14ac:dyDescent="0.2">
      <c r="D143" s="1"/>
      <c r="F143" s="1"/>
      <c r="G143" s="1"/>
    </row>
    <row r="144" spans="3:7" x14ac:dyDescent="0.2">
      <c r="D144" s="1"/>
      <c r="G144" s="1"/>
    </row>
    <row r="145" spans="3:7" x14ac:dyDescent="0.2">
      <c r="D145" s="1"/>
      <c r="G145" s="1"/>
    </row>
    <row r="146" spans="3:7" x14ac:dyDescent="0.2">
      <c r="D146" s="1"/>
      <c r="G146" s="1"/>
    </row>
    <row r="147" spans="3:7" x14ac:dyDescent="0.2">
      <c r="C147" s="1"/>
      <c r="D147" s="1"/>
      <c r="G147" s="1"/>
    </row>
    <row r="148" spans="3:7" x14ac:dyDescent="0.2">
      <c r="D148" s="1"/>
      <c r="F148" s="1"/>
      <c r="G148" s="1"/>
    </row>
    <row r="149" spans="3:7" x14ac:dyDescent="0.2">
      <c r="D149" s="1"/>
      <c r="G149" s="1"/>
    </row>
    <row r="150" spans="3:7" x14ac:dyDescent="0.2">
      <c r="D150" s="1"/>
      <c r="G150" s="1"/>
    </row>
    <row r="151" spans="3:7" x14ac:dyDescent="0.2">
      <c r="C151" s="1"/>
      <c r="D151" s="1"/>
      <c r="G151" s="1"/>
    </row>
    <row r="152" spans="3:7" x14ac:dyDescent="0.2">
      <c r="D152" s="1"/>
      <c r="G152" s="1"/>
    </row>
    <row r="153" spans="3:7" x14ac:dyDescent="0.2">
      <c r="C153" s="1"/>
      <c r="D153" s="1"/>
      <c r="G153" s="1"/>
    </row>
    <row r="154" spans="3:7" x14ac:dyDescent="0.2">
      <c r="D154" s="1"/>
      <c r="G154" s="1"/>
    </row>
    <row r="155" spans="3:7" x14ac:dyDescent="0.2">
      <c r="D155" s="1"/>
      <c r="G155" s="1"/>
    </row>
    <row r="156" spans="3:7" x14ac:dyDescent="0.2">
      <c r="D156" s="1"/>
      <c r="F156" s="1"/>
      <c r="G156" s="1"/>
    </row>
    <row r="157" spans="3:7" x14ac:dyDescent="0.2">
      <c r="C157" s="1"/>
      <c r="D157" s="1"/>
      <c r="G157" s="1"/>
    </row>
    <row r="158" spans="3:7" x14ac:dyDescent="0.2">
      <c r="D158" s="1"/>
      <c r="G158" s="1"/>
    </row>
    <row r="159" spans="3:7" x14ac:dyDescent="0.2">
      <c r="C159" s="1"/>
      <c r="D159" s="1"/>
      <c r="G159" s="1"/>
    </row>
    <row r="160" spans="3:7" x14ac:dyDescent="0.2">
      <c r="D160" s="1"/>
      <c r="G160" s="1"/>
    </row>
    <row r="161" spans="3:7" x14ac:dyDescent="0.2">
      <c r="D161" s="1"/>
      <c r="F161" s="1"/>
      <c r="G161" s="1"/>
    </row>
    <row r="162" spans="3:7" x14ac:dyDescent="0.2">
      <c r="D162" s="1"/>
      <c r="G162" s="1"/>
    </row>
    <row r="163" spans="3:7" x14ac:dyDescent="0.2">
      <c r="D163" s="1"/>
      <c r="G163" s="1"/>
    </row>
    <row r="164" spans="3:7" x14ac:dyDescent="0.2">
      <c r="D164" s="1"/>
      <c r="G164" s="1"/>
    </row>
    <row r="165" spans="3:7" x14ac:dyDescent="0.2">
      <c r="D165" s="1"/>
      <c r="G165" s="1"/>
    </row>
    <row r="166" spans="3:7" x14ac:dyDescent="0.2">
      <c r="D166" s="1"/>
      <c r="G166" s="1"/>
    </row>
    <row r="167" spans="3:7" x14ac:dyDescent="0.2">
      <c r="D167" s="1"/>
      <c r="F167" s="1"/>
      <c r="G167" s="1"/>
    </row>
    <row r="168" spans="3:7" x14ac:dyDescent="0.2">
      <c r="D168" s="1"/>
      <c r="G168" s="1"/>
    </row>
    <row r="169" spans="3:7" x14ac:dyDescent="0.2">
      <c r="C169" s="1"/>
      <c r="D169" s="1"/>
      <c r="G169" s="1"/>
    </row>
    <row r="170" spans="3:7" x14ac:dyDescent="0.2">
      <c r="D170" s="1"/>
      <c r="G170" s="1"/>
    </row>
    <row r="171" spans="3:7" x14ac:dyDescent="0.2">
      <c r="D171" s="1"/>
      <c r="G171" s="1"/>
    </row>
    <row r="172" spans="3:7" x14ac:dyDescent="0.2">
      <c r="D172" s="1"/>
      <c r="G172" s="1"/>
    </row>
    <row r="173" spans="3:7" x14ac:dyDescent="0.2">
      <c r="D173" s="1"/>
      <c r="G173" s="1"/>
    </row>
    <row r="174" spans="3:7" x14ac:dyDescent="0.2">
      <c r="D174" s="1"/>
      <c r="G174" s="1"/>
    </row>
    <row r="175" spans="3:7" x14ac:dyDescent="0.2">
      <c r="D175" s="1"/>
      <c r="G175" s="1"/>
    </row>
    <row r="176" spans="3:7" x14ac:dyDescent="0.2">
      <c r="D176" s="1"/>
      <c r="G176" s="1"/>
    </row>
    <row r="177" spans="3:7" x14ac:dyDescent="0.2">
      <c r="D177" s="1"/>
      <c r="F177" s="1"/>
      <c r="G177" s="1"/>
    </row>
    <row r="178" spans="3:7" x14ac:dyDescent="0.2">
      <c r="D178" s="1"/>
      <c r="F178" s="1"/>
      <c r="G178" s="1"/>
    </row>
    <row r="179" spans="3:7" x14ac:dyDescent="0.2">
      <c r="D179" s="1"/>
      <c r="G179" s="1"/>
    </row>
    <row r="180" spans="3:7" x14ac:dyDescent="0.2">
      <c r="D180" s="1"/>
      <c r="F180" s="1"/>
      <c r="G180" s="1"/>
    </row>
    <row r="181" spans="3:7" x14ac:dyDescent="0.2">
      <c r="D181" s="1"/>
      <c r="G181" s="1"/>
    </row>
    <row r="182" spans="3:7" x14ac:dyDescent="0.2">
      <c r="D182" s="1"/>
      <c r="G182" s="1"/>
    </row>
    <row r="183" spans="3:7" x14ac:dyDescent="0.2">
      <c r="C183" s="1"/>
      <c r="D183" s="1"/>
      <c r="G183" s="1"/>
    </row>
    <row r="184" spans="3:7" x14ac:dyDescent="0.2">
      <c r="D184" s="1"/>
      <c r="G184" s="1"/>
    </row>
    <row r="185" spans="3:7" x14ac:dyDescent="0.2">
      <c r="C185" s="1"/>
      <c r="D185" s="1"/>
      <c r="G185" s="1"/>
    </row>
    <row r="186" spans="3:7" x14ac:dyDescent="0.2">
      <c r="D186" s="1"/>
      <c r="G186" s="1"/>
    </row>
    <row r="187" spans="3:7" x14ac:dyDescent="0.2">
      <c r="D187" s="1"/>
      <c r="G187" s="1"/>
    </row>
    <row r="188" spans="3:7" x14ac:dyDescent="0.2">
      <c r="D188" s="1"/>
      <c r="G188" s="1"/>
    </row>
    <row r="189" spans="3:7" x14ac:dyDescent="0.2">
      <c r="D189" s="1"/>
      <c r="G189" s="1"/>
    </row>
    <row r="190" spans="3:7" x14ac:dyDescent="0.2">
      <c r="D190" s="1"/>
      <c r="G190" s="1"/>
    </row>
    <row r="191" spans="3:7" x14ac:dyDescent="0.2">
      <c r="C191" s="1"/>
      <c r="D191" s="1"/>
      <c r="G191" s="1"/>
    </row>
    <row r="192" spans="3:7" x14ac:dyDescent="0.2">
      <c r="D192" s="1"/>
      <c r="G192" s="1"/>
    </row>
    <row r="193" spans="3:7" x14ac:dyDescent="0.2">
      <c r="D193" s="1"/>
      <c r="G193" s="1"/>
    </row>
    <row r="194" spans="3:7" x14ac:dyDescent="0.2">
      <c r="D194" s="1"/>
      <c r="G194" s="1"/>
    </row>
    <row r="195" spans="3:7" x14ac:dyDescent="0.2">
      <c r="C195" s="1"/>
      <c r="D195" s="1"/>
      <c r="G195" s="1"/>
    </row>
    <row r="196" spans="3:7" x14ac:dyDescent="0.2">
      <c r="D196" s="1"/>
      <c r="G196" s="1"/>
    </row>
    <row r="197" spans="3:7" x14ac:dyDescent="0.2">
      <c r="D197" s="1"/>
      <c r="G197" s="1"/>
    </row>
    <row r="198" spans="3:7" x14ac:dyDescent="0.2">
      <c r="D198" s="1"/>
      <c r="G198" s="1"/>
    </row>
    <row r="199" spans="3:7" x14ac:dyDescent="0.2">
      <c r="D199" s="1"/>
      <c r="G199" s="1"/>
    </row>
    <row r="200" spans="3:7" x14ac:dyDescent="0.2">
      <c r="D200" s="1"/>
      <c r="G200" s="1"/>
    </row>
    <row r="201" spans="3:7" x14ac:dyDescent="0.2">
      <c r="D201" s="1"/>
      <c r="G201" s="1"/>
    </row>
    <row r="202" spans="3:7" x14ac:dyDescent="0.2">
      <c r="D202" s="1"/>
      <c r="F202" s="1"/>
      <c r="G202" s="1"/>
    </row>
    <row r="203" spans="3:7" x14ac:dyDescent="0.2">
      <c r="D203" s="1"/>
      <c r="G203" s="1"/>
    </row>
    <row r="204" spans="3:7" x14ac:dyDescent="0.2">
      <c r="D204" s="1"/>
      <c r="G204" s="1"/>
    </row>
    <row r="205" spans="3:7" x14ac:dyDescent="0.2">
      <c r="D205" s="1"/>
      <c r="G205" s="1"/>
    </row>
    <row r="206" spans="3:7" x14ac:dyDescent="0.2">
      <c r="D206" s="1"/>
      <c r="G206" s="1"/>
    </row>
    <row r="207" spans="3:7" x14ac:dyDescent="0.2">
      <c r="D207" s="1"/>
      <c r="G207" s="1"/>
    </row>
    <row r="208" spans="3:7" x14ac:dyDescent="0.2">
      <c r="D208" s="1"/>
      <c r="G208" s="1"/>
    </row>
    <row r="209" spans="4:7" x14ac:dyDescent="0.2">
      <c r="D209" s="1"/>
      <c r="G209" s="1"/>
    </row>
    <row r="210" spans="4:7" x14ac:dyDescent="0.2">
      <c r="D210" s="1"/>
      <c r="G210" s="1"/>
    </row>
    <row r="211" spans="4:7" x14ac:dyDescent="0.2">
      <c r="D211" s="1"/>
      <c r="G211" s="1"/>
    </row>
    <row r="212" spans="4:7" x14ac:dyDescent="0.2">
      <c r="D212" s="1"/>
      <c r="G212" s="1"/>
    </row>
    <row r="213" spans="4:7" x14ac:dyDescent="0.2">
      <c r="D213" s="1"/>
      <c r="G213" s="1"/>
    </row>
    <row r="214" spans="4:7" x14ac:dyDescent="0.2">
      <c r="D214" s="1"/>
      <c r="G214" s="1"/>
    </row>
    <row r="215" spans="4:7" x14ac:dyDescent="0.2">
      <c r="D215" s="1"/>
      <c r="G215" s="1"/>
    </row>
    <row r="216" spans="4:7" x14ac:dyDescent="0.2">
      <c r="D216" s="1"/>
      <c r="G216" s="1"/>
    </row>
    <row r="217" spans="4:7" x14ac:dyDescent="0.2">
      <c r="D217" s="1"/>
      <c r="G217" s="1"/>
    </row>
    <row r="218" spans="4:7" x14ac:dyDescent="0.2">
      <c r="D218" s="1"/>
      <c r="G218" s="1"/>
    </row>
    <row r="219" spans="4:7" x14ac:dyDescent="0.2">
      <c r="D219" s="1"/>
      <c r="G219" s="1"/>
    </row>
    <row r="220" spans="4:7" x14ac:dyDescent="0.2">
      <c r="D220" s="1"/>
      <c r="G220" s="1"/>
    </row>
    <row r="221" spans="4:7" x14ac:dyDescent="0.2">
      <c r="D221" s="1"/>
      <c r="G221" s="1"/>
    </row>
    <row r="222" spans="4:7" x14ac:dyDescent="0.2">
      <c r="D222" s="1"/>
      <c r="G222" s="1"/>
    </row>
    <row r="223" spans="4:7" x14ac:dyDescent="0.2">
      <c r="D223" s="1"/>
      <c r="G223" s="1"/>
    </row>
    <row r="224" spans="4:7" x14ac:dyDescent="0.2">
      <c r="D224" s="1"/>
      <c r="G224" s="1"/>
    </row>
    <row r="225" spans="4:7" x14ac:dyDescent="0.2">
      <c r="D225" s="1"/>
      <c r="G225" s="1"/>
    </row>
    <row r="226" spans="4:7" x14ac:dyDescent="0.2">
      <c r="D226" s="1"/>
      <c r="G226" s="1"/>
    </row>
    <row r="227" spans="4:7" x14ac:dyDescent="0.2">
      <c r="D227" s="1"/>
      <c r="G227" s="1"/>
    </row>
    <row r="228" spans="4:7" x14ac:dyDescent="0.2">
      <c r="D228" s="1"/>
      <c r="G228" s="1"/>
    </row>
    <row r="229" spans="4:7" x14ac:dyDescent="0.2">
      <c r="D229" s="1"/>
      <c r="G229" s="1"/>
    </row>
    <row r="230" spans="4:7" x14ac:dyDescent="0.2">
      <c r="D230" s="1"/>
      <c r="G230" s="1"/>
    </row>
    <row r="231" spans="4:7" x14ac:dyDescent="0.2">
      <c r="D231" s="1"/>
      <c r="G231" s="1"/>
    </row>
    <row r="232" spans="4:7" x14ac:dyDescent="0.2">
      <c r="D232" s="1"/>
      <c r="G232" s="1"/>
    </row>
    <row r="233" spans="4:7" x14ac:dyDescent="0.2">
      <c r="D233" s="1"/>
      <c r="G233" s="1"/>
    </row>
    <row r="234" spans="4:7" x14ac:dyDescent="0.2">
      <c r="D234" s="1"/>
      <c r="G234" s="1"/>
    </row>
    <row r="235" spans="4:7" x14ac:dyDescent="0.2">
      <c r="D235" s="1"/>
      <c r="G235" s="1"/>
    </row>
    <row r="236" spans="4:7" x14ac:dyDescent="0.2">
      <c r="D236" s="1"/>
      <c r="G236" s="1"/>
    </row>
    <row r="237" spans="4:7" x14ac:dyDescent="0.2">
      <c r="D237" s="1"/>
      <c r="G237" s="1"/>
    </row>
    <row r="238" spans="4:7" x14ac:dyDescent="0.2">
      <c r="D238" s="1"/>
      <c r="G238" s="1"/>
    </row>
    <row r="239" spans="4:7" x14ac:dyDescent="0.2">
      <c r="D239" s="1"/>
      <c r="G239" s="1"/>
    </row>
    <row r="240" spans="4:7" x14ac:dyDescent="0.2">
      <c r="D240" s="1"/>
      <c r="G240" s="1"/>
    </row>
    <row r="241" spans="4:7" x14ac:dyDescent="0.2">
      <c r="D241" s="1"/>
      <c r="G241" s="1"/>
    </row>
    <row r="242" spans="4:7" x14ac:dyDescent="0.2">
      <c r="D242" s="1"/>
      <c r="G242" s="1"/>
    </row>
    <row r="243" spans="4:7" x14ac:dyDescent="0.2">
      <c r="D243" s="1"/>
      <c r="G243" s="1"/>
    </row>
    <row r="244" spans="4:7" x14ac:dyDescent="0.2">
      <c r="D244" s="1"/>
      <c r="G244" s="1"/>
    </row>
    <row r="245" spans="4:7" x14ac:dyDescent="0.2">
      <c r="D245" s="1"/>
      <c r="G245" s="1"/>
    </row>
    <row r="246" spans="4:7" x14ac:dyDescent="0.2">
      <c r="D246" s="1"/>
      <c r="G246" s="1"/>
    </row>
    <row r="247" spans="4:7" x14ac:dyDescent="0.2">
      <c r="D247" s="1"/>
      <c r="G247" s="1"/>
    </row>
    <row r="248" spans="4:7" x14ac:dyDescent="0.2">
      <c r="D248" s="1"/>
      <c r="G248" s="1"/>
    </row>
    <row r="249" spans="4:7" x14ac:dyDescent="0.2">
      <c r="D249" s="1"/>
      <c r="G249" s="1"/>
    </row>
    <row r="250" spans="4:7" x14ac:dyDescent="0.2">
      <c r="D250" s="1"/>
      <c r="G250" s="1"/>
    </row>
    <row r="251" spans="4:7" x14ac:dyDescent="0.2">
      <c r="D251" s="1"/>
      <c r="G251" s="1"/>
    </row>
    <row r="252" spans="4:7" x14ac:dyDescent="0.2">
      <c r="D252" s="1"/>
      <c r="G252" s="1"/>
    </row>
    <row r="253" spans="4:7" x14ac:dyDescent="0.2">
      <c r="D253" s="1"/>
      <c r="G253" s="1"/>
    </row>
    <row r="254" spans="4:7" x14ac:dyDescent="0.2">
      <c r="D254" s="1"/>
      <c r="G254" s="1"/>
    </row>
    <row r="255" spans="4:7" x14ac:dyDescent="0.2">
      <c r="D255" s="1"/>
      <c r="G255" s="1"/>
    </row>
    <row r="256" spans="4:7" x14ac:dyDescent="0.2">
      <c r="D256" s="1"/>
      <c r="G256" s="1"/>
    </row>
    <row r="257" spans="4:7" x14ac:dyDescent="0.2">
      <c r="D257" s="1"/>
      <c r="G257" s="1"/>
    </row>
    <row r="258" spans="4:7" x14ac:dyDescent="0.2">
      <c r="D258" s="1"/>
      <c r="G258" s="1"/>
    </row>
    <row r="259" spans="4:7" x14ac:dyDescent="0.2">
      <c r="D259" s="1"/>
      <c r="G259" s="1"/>
    </row>
    <row r="260" spans="4:7" x14ac:dyDescent="0.2">
      <c r="D260" s="1"/>
      <c r="G260" s="1"/>
    </row>
    <row r="261" spans="4:7" x14ac:dyDescent="0.2">
      <c r="D261" s="1"/>
      <c r="G261" s="1"/>
    </row>
    <row r="262" spans="4:7" x14ac:dyDescent="0.2">
      <c r="D262" s="1"/>
      <c r="G262" s="1"/>
    </row>
    <row r="263" spans="4:7" x14ac:dyDescent="0.2">
      <c r="D263" s="1"/>
      <c r="G263" s="1"/>
    </row>
    <row r="264" spans="4:7" x14ac:dyDescent="0.2">
      <c r="D264" s="1"/>
      <c r="G264" s="1"/>
    </row>
    <row r="265" spans="4:7" x14ac:dyDescent="0.2">
      <c r="D265" s="1"/>
      <c r="G265" s="1"/>
    </row>
    <row r="266" spans="4:7" x14ac:dyDescent="0.2">
      <c r="D266" s="1"/>
      <c r="G266" s="1"/>
    </row>
    <row r="267" spans="4:7" x14ac:dyDescent="0.2">
      <c r="D267" s="1"/>
      <c r="G267" s="1"/>
    </row>
    <row r="268" spans="4:7" x14ac:dyDescent="0.2">
      <c r="D268" s="1"/>
      <c r="G268" s="1"/>
    </row>
    <row r="269" spans="4:7" x14ac:dyDescent="0.2">
      <c r="D269" s="1"/>
      <c r="G269" s="1"/>
    </row>
    <row r="270" spans="4:7" x14ac:dyDescent="0.2">
      <c r="D270" s="1"/>
      <c r="G270" s="1"/>
    </row>
    <row r="271" spans="4:7" x14ac:dyDescent="0.2">
      <c r="D271" s="1"/>
      <c r="G271" s="1"/>
    </row>
    <row r="272" spans="4:7" x14ac:dyDescent="0.2">
      <c r="D272" s="1"/>
      <c r="G272" s="1"/>
    </row>
    <row r="273" spans="4:7" x14ac:dyDescent="0.2">
      <c r="D273" s="1"/>
      <c r="G273" s="1"/>
    </row>
    <row r="274" spans="4:7" x14ac:dyDescent="0.2">
      <c r="D274" s="1"/>
      <c r="G274" s="1"/>
    </row>
    <row r="275" spans="4:7" x14ac:dyDescent="0.2">
      <c r="D275" s="1"/>
      <c r="G275" s="1"/>
    </row>
    <row r="276" spans="4:7" x14ac:dyDescent="0.2">
      <c r="D276" s="1"/>
      <c r="G276" s="1"/>
    </row>
    <row r="277" spans="4:7" x14ac:dyDescent="0.2">
      <c r="D277" s="1"/>
      <c r="G277" s="1"/>
    </row>
    <row r="278" spans="4:7" x14ac:dyDescent="0.2">
      <c r="D278" s="1"/>
      <c r="G278" s="1"/>
    </row>
    <row r="279" spans="4:7" x14ac:dyDescent="0.2">
      <c r="D279" s="1"/>
      <c r="G279" s="1"/>
    </row>
    <row r="280" spans="4:7" x14ac:dyDescent="0.2">
      <c r="D280" s="1"/>
      <c r="G280" s="1"/>
    </row>
    <row r="281" spans="4:7" x14ac:dyDescent="0.2">
      <c r="D281" s="1"/>
      <c r="G281" s="1"/>
    </row>
    <row r="282" spans="4:7" x14ac:dyDescent="0.2">
      <c r="D282" s="1"/>
      <c r="G282" s="1"/>
    </row>
    <row r="283" spans="4:7" x14ac:dyDescent="0.2">
      <c r="D283" s="1"/>
      <c r="G283" s="1"/>
    </row>
    <row r="284" spans="4:7" x14ac:dyDescent="0.2">
      <c r="D284" s="1"/>
      <c r="G284" s="1"/>
    </row>
    <row r="285" spans="4:7" x14ac:dyDescent="0.2">
      <c r="D285" s="1"/>
      <c r="G285" s="1"/>
    </row>
    <row r="286" spans="4:7" x14ac:dyDescent="0.2">
      <c r="D286" s="1"/>
      <c r="G286" s="1"/>
    </row>
    <row r="287" spans="4:7" x14ac:dyDescent="0.2">
      <c r="D287" s="1"/>
      <c r="G287" s="1"/>
    </row>
    <row r="288" spans="4:7" x14ac:dyDescent="0.2">
      <c r="D288" s="1"/>
      <c r="G288" s="1"/>
    </row>
    <row r="289" spans="4:7" x14ac:dyDescent="0.2">
      <c r="D289" s="1"/>
      <c r="G289" s="1"/>
    </row>
    <row r="290" spans="4:7" x14ac:dyDescent="0.2">
      <c r="D290" s="1"/>
      <c r="G290" s="1"/>
    </row>
    <row r="291" spans="4:7" x14ac:dyDescent="0.2">
      <c r="D291" s="1"/>
      <c r="G291" s="1"/>
    </row>
    <row r="292" spans="4:7" x14ac:dyDescent="0.2">
      <c r="D292" s="1"/>
      <c r="G292" s="1"/>
    </row>
    <row r="293" spans="4:7" x14ac:dyDescent="0.2">
      <c r="D293" s="1"/>
      <c r="G293" s="1"/>
    </row>
    <row r="294" spans="4:7" x14ac:dyDescent="0.2">
      <c r="D294" s="1"/>
      <c r="G294" s="1"/>
    </row>
    <row r="295" spans="4:7" x14ac:dyDescent="0.2">
      <c r="D295" s="1"/>
      <c r="G295" s="1"/>
    </row>
    <row r="296" spans="4:7" x14ac:dyDescent="0.2">
      <c r="D296" s="1"/>
      <c r="G296" s="1"/>
    </row>
    <row r="297" spans="4:7" x14ac:dyDescent="0.2">
      <c r="D297" s="1"/>
      <c r="G297" s="1"/>
    </row>
    <row r="298" spans="4:7" x14ac:dyDescent="0.2">
      <c r="D298" s="1"/>
      <c r="G298" s="1"/>
    </row>
    <row r="299" spans="4:7" x14ac:dyDescent="0.2">
      <c r="D299" s="1"/>
      <c r="G299" s="1"/>
    </row>
    <row r="300" spans="4:7" x14ac:dyDescent="0.2">
      <c r="D300" s="1"/>
      <c r="G300" s="1"/>
    </row>
    <row r="301" spans="4:7" x14ac:dyDescent="0.2">
      <c r="D301" s="1"/>
      <c r="F301" s="1"/>
    </row>
    <row r="302" spans="4:7" x14ac:dyDescent="0.2">
      <c r="D302" s="1"/>
      <c r="F302" s="1"/>
    </row>
    <row r="303" spans="4:7" x14ac:dyDescent="0.2">
      <c r="D303" s="1"/>
      <c r="F303" s="1"/>
    </row>
    <row r="304" spans="4:7" x14ac:dyDescent="0.2">
      <c r="D304" s="1"/>
      <c r="F304" s="1"/>
    </row>
    <row r="305" spans="4:7" x14ac:dyDescent="0.2">
      <c r="D305" s="1"/>
      <c r="F305" s="1"/>
    </row>
    <row r="306" spans="4:7" x14ac:dyDescent="0.2">
      <c r="D306" s="1"/>
      <c r="F306" s="1"/>
    </row>
    <row r="307" spans="4:7" x14ac:dyDescent="0.2">
      <c r="D307" s="1"/>
      <c r="F307" s="1"/>
    </row>
    <row r="308" spans="4:7" x14ac:dyDescent="0.2">
      <c r="D308" s="1"/>
      <c r="F308" s="1"/>
    </row>
    <row r="309" spans="4:7" x14ac:dyDescent="0.2">
      <c r="D309" s="1"/>
      <c r="G309" s="1"/>
    </row>
    <row r="310" spans="4:7" x14ac:dyDescent="0.2">
      <c r="D310" s="1"/>
      <c r="G310" s="1"/>
    </row>
    <row r="311" spans="4:7" x14ac:dyDescent="0.2">
      <c r="D311" s="1"/>
      <c r="G311" s="1"/>
    </row>
    <row r="312" spans="4:7" x14ac:dyDescent="0.2">
      <c r="D312" s="1"/>
      <c r="G312" s="1"/>
    </row>
    <row r="313" spans="4:7" x14ac:dyDescent="0.2">
      <c r="D313" s="1"/>
      <c r="G313" s="1"/>
    </row>
    <row r="314" spans="4:7" x14ac:dyDescent="0.2">
      <c r="D314" s="1"/>
      <c r="G314" s="1"/>
    </row>
    <row r="315" spans="4:7" x14ac:dyDescent="0.2">
      <c r="D315" s="1"/>
      <c r="G315" s="1"/>
    </row>
    <row r="316" spans="4:7" x14ac:dyDescent="0.2">
      <c r="D316" s="1"/>
      <c r="G316" s="1"/>
    </row>
    <row r="317" spans="4:7" x14ac:dyDescent="0.2">
      <c r="D317" s="1"/>
      <c r="G317" s="1"/>
    </row>
    <row r="318" spans="4:7" x14ac:dyDescent="0.2">
      <c r="D318" s="1"/>
      <c r="G318" s="1"/>
    </row>
    <row r="319" spans="4:7" x14ac:dyDescent="0.2">
      <c r="D319" s="1"/>
      <c r="G319" s="1"/>
    </row>
    <row r="320" spans="4:7" x14ac:dyDescent="0.2">
      <c r="D320" s="1"/>
      <c r="G320" s="1"/>
    </row>
    <row r="321" spans="4:7" x14ac:dyDescent="0.2">
      <c r="D321" s="1"/>
      <c r="G321" s="1"/>
    </row>
    <row r="322" spans="4:7" x14ac:dyDescent="0.2">
      <c r="D322" s="1"/>
      <c r="G322" s="1"/>
    </row>
    <row r="323" spans="4:7" x14ac:dyDescent="0.2">
      <c r="D323" s="1"/>
      <c r="G323" s="1"/>
    </row>
    <row r="324" spans="4:7" x14ac:dyDescent="0.2">
      <c r="D324" s="1"/>
      <c r="G324" s="1"/>
    </row>
    <row r="325" spans="4:7" x14ac:dyDescent="0.2">
      <c r="D325" s="1"/>
      <c r="G325" s="1"/>
    </row>
    <row r="326" spans="4:7" x14ac:dyDescent="0.2">
      <c r="D326" s="1"/>
      <c r="G326" s="1"/>
    </row>
    <row r="327" spans="4:7" x14ac:dyDescent="0.2">
      <c r="D327" s="1"/>
      <c r="G327" s="1"/>
    </row>
    <row r="328" spans="4:7" x14ac:dyDescent="0.2">
      <c r="D328" s="1"/>
      <c r="G328" s="1"/>
    </row>
    <row r="329" spans="4:7" x14ac:dyDescent="0.2">
      <c r="D329" s="1"/>
      <c r="G329" s="1"/>
    </row>
    <row r="330" spans="4:7" x14ac:dyDescent="0.2">
      <c r="D330" s="1"/>
      <c r="G330" s="1"/>
    </row>
    <row r="331" spans="4:7" x14ac:dyDescent="0.2">
      <c r="D331" s="1"/>
      <c r="G331" s="1"/>
    </row>
    <row r="332" spans="4:7" x14ac:dyDescent="0.2">
      <c r="D332" s="1"/>
      <c r="G332" s="1"/>
    </row>
    <row r="333" spans="4:7" x14ac:dyDescent="0.2">
      <c r="D333" s="1"/>
      <c r="G333" s="1"/>
    </row>
    <row r="334" spans="4:7" x14ac:dyDescent="0.2">
      <c r="D334" s="1"/>
      <c r="G334" s="1"/>
    </row>
    <row r="335" spans="4:7" x14ac:dyDescent="0.2">
      <c r="D335" s="1"/>
      <c r="G335" s="1"/>
    </row>
    <row r="336" spans="4:7" x14ac:dyDescent="0.2">
      <c r="D336" s="1"/>
      <c r="G336" s="1"/>
    </row>
    <row r="337" spans="4:7" x14ac:dyDescent="0.2">
      <c r="D337" s="1"/>
      <c r="G337" s="1"/>
    </row>
    <row r="338" spans="4:7" x14ac:dyDescent="0.2">
      <c r="D338" s="1"/>
      <c r="G338" s="1"/>
    </row>
    <row r="339" spans="4:7" x14ac:dyDescent="0.2">
      <c r="D339" s="1"/>
      <c r="G339" s="1"/>
    </row>
    <row r="340" spans="4:7" x14ac:dyDescent="0.2">
      <c r="D340" s="1"/>
      <c r="G340" s="1"/>
    </row>
    <row r="341" spans="4:7" x14ac:dyDescent="0.2">
      <c r="D341" s="1"/>
      <c r="G341" s="1"/>
    </row>
    <row r="342" spans="4:7" x14ac:dyDescent="0.2">
      <c r="D342" s="1"/>
      <c r="G342" s="1"/>
    </row>
    <row r="343" spans="4:7" x14ac:dyDescent="0.2">
      <c r="D343" s="1"/>
      <c r="G343" s="1"/>
    </row>
    <row r="344" spans="4:7" x14ac:dyDescent="0.2">
      <c r="D344" s="1"/>
      <c r="G344" s="1"/>
    </row>
    <row r="345" spans="4:7" x14ac:dyDescent="0.2">
      <c r="D345" s="1"/>
      <c r="G345" s="1"/>
    </row>
    <row r="346" spans="4:7" x14ac:dyDescent="0.2">
      <c r="G346" s="1"/>
    </row>
    <row r="347" spans="4:7" x14ac:dyDescent="0.2">
      <c r="G347" s="1"/>
    </row>
    <row r="348" spans="4:7" x14ac:dyDescent="0.2">
      <c r="G348" s="1"/>
    </row>
    <row r="349" spans="4:7" x14ac:dyDescent="0.2">
      <c r="G349" s="1"/>
    </row>
    <row r="350" spans="4:7" x14ac:dyDescent="0.2">
      <c r="G350" s="1"/>
    </row>
    <row r="351" spans="4:7" x14ac:dyDescent="0.2">
      <c r="G351" s="1"/>
    </row>
    <row r="352" spans="4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</sheetData>
  <autoFilter ref="B2:G2" xr:uid="{9312E6AC-C8B4-4D4D-88D2-D9AE740381DA}">
    <sortState ref="B3:G202">
      <sortCondition ref="C2:C20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erData">
                <anchor>
                  <from>
                    <xdr:col>7</xdr:col>
                    <xdr:colOff>101600</xdr:colOff>
                    <xdr:row>5</xdr:row>
                    <xdr:rowOff>25400</xdr:rowOff>
                  </from>
                  <to>
                    <xdr:col>8</xdr:col>
                    <xdr:colOff>698500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mportWebData">
                <anchor>
                  <from>
                    <xdr:col>7</xdr:col>
                    <xdr:colOff>101600</xdr:colOff>
                    <xdr:row>1</xdr:row>
                    <xdr:rowOff>12700</xdr:rowOff>
                  </from>
                  <to>
                    <xdr:col>8</xdr:col>
                    <xdr:colOff>698500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ortData">
                <anchor>
                  <from>
                    <xdr:col>7</xdr:col>
                    <xdr:colOff>101600</xdr:colOff>
                    <xdr:row>3</xdr:row>
                    <xdr:rowOff>12700</xdr:rowOff>
                  </from>
                  <to>
                    <xdr:col>8</xdr:col>
                    <xdr:colOff>698500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utton5_Click" altText="Upload data to server">
                <anchor>
                  <from>
                    <xdr:col>8</xdr:col>
                    <xdr:colOff>787400</xdr:colOff>
                    <xdr:row>1</xdr:row>
                    <xdr:rowOff>12700</xdr:rowOff>
                  </from>
                  <to>
                    <xdr:col>10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2863-C0B2-714D-A7EA-EC0842BA3001}">
  <sheetPr codeName="Sheet5">
    <tabColor theme="5"/>
  </sheetPr>
  <dimension ref="A1:I381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baseColWidth="10" defaultRowHeight="16" x14ac:dyDescent="0.2"/>
  <cols>
    <col min="1" max="1" width="3.33203125" customWidth="1"/>
    <col min="2" max="2" width="19.1640625" customWidth="1"/>
    <col min="3" max="3" width="39.33203125" bestFit="1" customWidth="1"/>
    <col min="4" max="4" width="33.33203125" bestFit="1" customWidth="1"/>
    <col min="5" max="5" width="22.83203125" bestFit="1" customWidth="1"/>
    <col min="6" max="6" width="130.33203125" bestFit="1" customWidth="1"/>
  </cols>
  <sheetData>
    <row r="1" spans="1:9" x14ac:dyDescent="0.2">
      <c r="A1" s="27">
        <f>MAX(A3:A3372)</f>
        <v>2</v>
      </c>
      <c r="B1" s="26"/>
      <c r="C1" s="27"/>
      <c r="D1" s="27"/>
      <c r="E1" s="27"/>
      <c r="F1" s="27"/>
    </row>
    <row r="2" spans="1:9" x14ac:dyDescent="0.2">
      <c r="A2" s="27"/>
      <c r="B2" s="2" t="s">
        <v>391</v>
      </c>
      <c r="C2" s="2" t="s">
        <v>392</v>
      </c>
      <c r="D2" s="2" t="s">
        <v>393</v>
      </c>
      <c r="E2" s="2" t="s">
        <v>394</v>
      </c>
      <c r="F2" s="2" t="s">
        <v>395</v>
      </c>
    </row>
    <row r="3" spans="1:9" x14ac:dyDescent="0.2">
      <c r="A3" s="27">
        <f>COUNTIFS(C:C,C3,D:D,D3)</f>
        <v>1</v>
      </c>
      <c r="B3" s="30">
        <v>202101150139</v>
      </c>
      <c r="C3" t="s">
        <v>2605</v>
      </c>
      <c r="D3" t="s">
        <v>2606</v>
      </c>
      <c r="E3" t="s">
        <v>4886</v>
      </c>
      <c r="F3" t="s">
        <v>183</v>
      </c>
      <c r="G3" s="27" t="str">
        <f>D3&amp;" "&amp;MID(E3,1,FIND(" TX",E3)-1)</f>
        <v>12500 SANDPIPPER DR  HOUSTON</v>
      </c>
      <c r="H3" s="27" t="str">
        <f>"HOUSTON "&amp;MID(E3,FIND("TX",E3),8)</f>
        <v>HOUSTON TX 77035</v>
      </c>
      <c r="I3" s="27"/>
    </row>
    <row r="4" spans="1:9" x14ac:dyDescent="0.2">
      <c r="A4" s="27">
        <f>COUNTIFS(C:C,C4,D:D,D4)</f>
        <v>1</v>
      </c>
      <c r="B4" s="30">
        <v>202101150147</v>
      </c>
      <c r="C4" s="28" t="s">
        <v>1758</v>
      </c>
      <c r="D4" s="28" t="s">
        <v>1759</v>
      </c>
      <c r="E4" s="28" t="s">
        <v>4893</v>
      </c>
      <c r="F4" s="28" t="s">
        <v>186</v>
      </c>
      <c r="G4" s="27" t="str">
        <f t="shared" ref="G4:G41" si="0">D4&amp;" "&amp;MID(E4,1,FIND(" TX",E4)-1)</f>
        <v>3422 RIPPLEBROOK DR  HOUSTON</v>
      </c>
      <c r="H4" s="27" t="str">
        <f t="shared" ref="H4:H41" si="1">"HOUSTON "&amp;MID(E4,FIND("TX",E4),8)</f>
        <v>HOUSTON TX 77045</v>
      </c>
    </row>
    <row r="5" spans="1:9" x14ac:dyDescent="0.2">
      <c r="A5" s="27">
        <f>COUNTIFS(C:C,C5,D:D,D5)</f>
        <v>1</v>
      </c>
      <c r="B5" s="30">
        <v>202101150152</v>
      </c>
      <c r="C5" t="s">
        <v>3392</v>
      </c>
      <c r="D5" t="s">
        <v>3393</v>
      </c>
      <c r="E5" t="s">
        <v>5075</v>
      </c>
      <c r="F5" t="s">
        <v>188</v>
      </c>
      <c r="G5" s="27" t="str">
        <f t="shared" si="0"/>
        <v>16918 MIDNIGHT SKY CT  RICHMOND</v>
      </c>
      <c r="H5" s="27" t="str">
        <f t="shared" si="1"/>
        <v>HOUSTON TX 77407</v>
      </c>
    </row>
    <row r="6" spans="1:9" x14ac:dyDescent="0.2">
      <c r="A6" s="27">
        <f>COUNTIFS(C:C,C6,D:D,D6)</f>
        <v>1</v>
      </c>
      <c r="B6" s="30">
        <v>202101150156</v>
      </c>
      <c r="C6" s="28" t="s">
        <v>1044</v>
      </c>
      <c r="D6" s="28" t="s">
        <v>1045</v>
      </c>
      <c r="E6" s="28" t="s">
        <v>4934</v>
      </c>
      <c r="F6" s="28" t="s">
        <v>189</v>
      </c>
      <c r="G6" s="27" t="str">
        <f t="shared" si="0"/>
        <v>6837 AVENUE S  HOUSTON</v>
      </c>
      <c r="H6" s="27" t="str">
        <f t="shared" si="1"/>
        <v>HOUSTON TX 77011</v>
      </c>
    </row>
    <row r="7" spans="1:9" x14ac:dyDescent="0.2">
      <c r="A7" s="27">
        <f>COUNTIFS(C:C,C7,D:D,D7)</f>
        <v>1</v>
      </c>
      <c r="B7" s="30">
        <v>202101150159</v>
      </c>
      <c r="C7" s="28" t="s">
        <v>544</v>
      </c>
      <c r="D7" s="28" t="s">
        <v>545</v>
      </c>
      <c r="E7" s="28" t="s">
        <v>4879</v>
      </c>
      <c r="F7" s="28" t="s">
        <v>189</v>
      </c>
      <c r="G7" s="27" t="str">
        <f t="shared" si="0"/>
        <v>5625 ANTOINE DR  HOUSTON</v>
      </c>
      <c r="H7" s="27" t="str">
        <f t="shared" si="1"/>
        <v>HOUSTON TX 77091</v>
      </c>
    </row>
    <row r="8" spans="1:9" x14ac:dyDescent="0.2">
      <c r="A8" s="27">
        <f>COUNTIFS(C:C,C8,D:D,D8)</f>
        <v>1</v>
      </c>
      <c r="B8" s="30">
        <v>202101150169</v>
      </c>
      <c r="C8" s="28" t="s">
        <v>744</v>
      </c>
      <c r="D8" s="28" t="s">
        <v>745</v>
      </c>
      <c r="E8" s="28" t="s">
        <v>4880</v>
      </c>
      <c r="F8" s="28" t="s">
        <v>184</v>
      </c>
      <c r="G8" s="27" t="str">
        <f t="shared" si="0"/>
        <v>3629 N MACGREGOR WAY  HOUSTON</v>
      </c>
      <c r="H8" s="27" t="str">
        <f t="shared" si="1"/>
        <v>HOUSTON TX 77004</v>
      </c>
    </row>
    <row r="9" spans="1:9" x14ac:dyDescent="0.2">
      <c r="A9" s="27">
        <f>COUNTIFS(C:C,C9,D:D,D9)</f>
        <v>1</v>
      </c>
      <c r="B9" s="30">
        <v>202101150170</v>
      </c>
      <c r="C9" t="s">
        <v>3328</v>
      </c>
      <c r="D9" t="s">
        <v>3329</v>
      </c>
      <c r="E9" t="s">
        <v>5181</v>
      </c>
      <c r="F9" t="s">
        <v>4828</v>
      </c>
      <c r="G9" s="27" t="str">
        <f t="shared" si="0"/>
        <v>11718 PARKRIVER DR  HARRIS CO</v>
      </c>
      <c r="H9" s="27" t="str">
        <f t="shared" si="1"/>
        <v>HOUSTON TX 77070</v>
      </c>
    </row>
    <row r="10" spans="1:9" x14ac:dyDescent="0.2">
      <c r="A10" s="27">
        <f>COUNTIFS(C:C,C10,D:D,D10)</f>
        <v>1</v>
      </c>
      <c r="B10" s="30">
        <v>202101150171</v>
      </c>
      <c r="C10" t="s">
        <v>3230</v>
      </c>
      <c r="D10" t="s">
        <v>3231</v>
      </c>
      <c r="E10" t="s">
        <v>5177</v>
      </c>
      <c r="F10" t="s">
        <v>197</v>
      </c>
      <c r="G10" s="27" t="str">
        <f t="shared" si="0"/>
        <v>502 SOUTH POST OAK LANE SUGAR LAND</v>
      </c>
      <c r="H10" s="27" t="str">
        <f t="shared" si="1"/>
        <v>HOUSTON TX 77056</v>
      </c>
    </row>
    <row r="11" spans="1:9" x14ac:dyDescent="0.2">
      <c r="A11" s="27">
        <f>COUNTIFS(C:C,C11,D:D,D11)</f>
        <v>1</v>
      </c>
      <c r="B11" s="30">
        <v>202101150174</v>
      </c>
      <c r="C11" t="s">
        <v>3098</v>
      </c>
      <c r="D11" t="s">
        <v>3099</v>
      </c>
      <c r="E11" t="s">
        <v>5169</v>
      </c>
      <c r="F11" t="s">
        <v>182</v>
      </c>
      <c r="G11" s="27" t="e">
        <f t="shared" si="0"/>
        <v>#VALUE!</v>
      </c>
      <c r="H11" s="27" t="e">
        <f t="shared" si="1"/>
        <v>#VALUE!</v>
      </c>
    </row>
    <row r="12" spans="1:9" x14ac:dyDescent="0.2">
      <c r="A12" s="27">
        <f>COUNTIFS(C:C,C12,D:D,D12)</f>
        <v>1</v>
      </c>
      <c r="B12" s="30">
        <v>202101150183</v>
      </c>
      <c r="C12" s="28" t="s">
        <v>1364</v>
      </c>
      <c r="D12" s="28" t="s">
        <v>1365</v>
      </c>
      <c r="E12" s="28" t="s">
        <v>4952</v>
      </c>
      <c r="F12" s="28" t="s">
        <v>194</v>
      </c>
      <c r="G12" s="27" t="str">
        <f t="shared" si="0"/>
        <v>304 W MARVICK  PASADENA</v>
      </c>
      <c r="H12" s="27" t="str">
        <f t="shared" si="1"/>
        <v>HOUSTON TX 77506</v>
      </c>
    </row>
    <row r="13" spans="1:9" x14ac:dyDescent="0.2">
      <c r="A13" s="27">
        <f>COUNTIFS(C:C,C13,D:D,D13)</f>
        <v>1</v>
      </c>
      <c r="B13" s="30">
        <v>202101150195</v>
      </c>
      <c r="C13" t="s">
        <v>3428</v>
      </c>
      <c r="D13" t="s">
        <v>3429</v>
      </c>
      <c r="E13" t="s">
        <v>4907</v>
      </c>
      <c r="F13" t="s">
        <v>182</v>
      </c>
      <c r="G13" s="27" t="str">
        <f t="shared" si="0"/>
        <v>2304 WICHITA STREET  PASADENA</v>
      </c>
      <c r="H13" s="27" t="str">
        <f t="shared" si="1"/>
        <v>HOUSTON TX 77502</v>
      </c>
    </row>
    <row r="14" spans="1:9" x14ac:dyDescent="0.2">
      <c r="A14" s="27">
        <f>COUNTIFS(C:C,C14,D:D,D14)</f>
        <v>1</v>
      </c>
      <c r="B14" s="30">
        <v>202101150198</v>
      </c>
      <c r="C14" s="28" t="s">
        <v>579</v>
      </c>
      <c r="D14" s="28" t="s">
        <v>580</v>
      </c>
      <c r="E14" s="28" t="s">
        <v>4880</v>
      </c>
      <c r="F14" s="28" t="s">
        <v>199</v>
      </c>
      <c r="G14" s="27" t="str">
        <f t="shared" si="0"/>
        <v>2823 ISABELLA ST  HOUSTON</v>
      </c>
      <c r="H14" s="27" t="str">
        <f t="shared" si="1"/>
        <v>HOUSTON TX 77004</v>
      </c>
    </row>
    <row r="15" spans="1:9" x14ac:dyDescent="0.2">
      <c r="A15" s="27">
        <f>COUNTIFS(C:C,C15,D:D,D15)</f>
        <v>1</v>
      </c>
      <c r="B15" s="30">
        <v>202101150200</v>
      </c>
      <c r="C15" s="28" t="s">
        <v>5062</v>
      </c>
      <c r="D15" s="28" t="s">
        <v>1637</v>
      </c>
      <c r="E15" s="28" t="s">
        <v>5063</v>
      </c>
      <c r="F15" s="28" t="s">
        <v>318</v>
      </c>
      <c r="G15" s="27" t="str">
        <f t="shared" si="0"/>
        <v>7011 CHASEWOOD DR  HOUSTON</v>
      </c>
      <c r="H15" s="27" t="str">
        <f t="shared" si="1"/>
        <v>HOUSTON TX 77489</v>
      </c>
    </row>
    <row r="16" spans="1:9" x14ac:dyDescent="0.2">
      <c r="A16" s="27">
        <f>COUNTIFS(C:C,C16,D:D,D16)</f>
        <v>1</v>
      </c>
      <c r="B16" s="30">
        <v>202101150212</v>
      </c>
      <c r="C16" t="s">
        <v>1955</v>
      </c>
      <c r="D16" t="s">
        <v>1956</v>
      </c>
      <c r="E16" t="s">
        <v>4901</v>
      </c>
      <c r="F16" t="s">
        <v>204</v>
      </c>
      <c r="G16" s="27" t="str">
        <f t="shared" si="0"/>
        <v>4131 WILLOW BEACH DR  HOUSTON</v>
      </c>
      <c r="H16" s="27" t="str">
        <f t="shared" si="1"/>
        <v>HOUSTON TX 77072</v>
      </c>
    </row>
    <row r="17" spans="1:8" x14ac:dyDescent="0.2">
      <c r="A17" s="27">
        <f>COUNTIFS(C:C,C17,D:D,D17)</f>
        <v>1</v>
      </c>
      <c r="B17" s="30">
        <v>202101150215</v>
      </c>
      <c r="C17" t="s">
        <v>3366</v>
      </c>
      <c r="D17" t="s">
        <v>3367</v>
      </c>
      <c r="E17" t="s">
        <v>5064</v>
      </c>
      <c r="F17" t="s">
        <v>202</v>
      </c>
      <c r="G17" s="27" t="str">
        <f t="shared" si="0"/>
        <v>300 MARKET ST  GALVESTON</v>
      </c>
      <c r="H17" s="27" t="str">
        <f t="shared" si="1"/>
        <v>HOUSTON TX 77550</v>
      </c>
    </row>
    <row r="18" spans="1:8" x14ac:dyDescent="0.2">
      <c r="A18" s="27">
        <f>COUNTIFS(C:C,C18,D:D,D18)</f>
        <v>1</v>
      </c>
      <c r="B18" s="30">
        <v>202101150218</v>
      </c>
      <c r="C18" s="28" t="s">
        <v>702</v>
      </c>
      <c r="D18" s="28" t="s">
        <v>703</v>
      </c>
      <c r="E18" s="28" t="s">
        <v>4938</v>
      </c>
      <c r="F18" s="28" t="s">
        <v>202</v>
      </c>
      <c r="G18" s="27" t="str">
        <f t="shared" si="0"/>
        <v>312 B HAWKINS  HOUSTON</v>
      </c>
      <c r="H18" s="27" t="str">
        <f t="shared" si="1"/>
        <v>HOUSTON TX 77037</v>
      </c>
    </row>
    <row r="19" spans="1:8" x14ac:dyDescent="0.2">
      <c r="A19" s="27">
        <f>COUNTIFS(C:C,C19,D:D,D19)</f>
        <v>1</v>
      </c>
      <c r="B19" s="30">
        <v>202101150219</v>
      </c>
      <c r="C19" t="s">
        <v>3434</v>
      </c>
      <c r="D19" t="s">
        <v>3435</v>
      </c>
      <c r="E19" t="s">
        <v>4986</v>
      </c>
      <c r="F19" t="s">
        <v>207</v>
      </c>
      <c r="G19" s="27" t="str">
        <f t="shared" si="0"/>
        <v>19920 FOXWOOD FOREST  HUMBLE</v>
      </c>
      <c r="H19" s="27" t="str">
        <f t="shared" si="1"/>
        <v>HOUSTON TX 77338</v>
      </c>
    </row>
    <row r="20" spans="1:8" x14ac:dyDescent="0.2">
      <c r="A20" s="27">
        <f>COUNTIFS(C:C,C20,D:D,D20)</f>
        <v>1</v>
      </c>
      <c r="B20" s="30">
        <v>202101150220</v>
      </c>
      <c r="C20" t="s">
        <v>2146</v>
      </c>
      <c r="D20" t="s">
        <v>2147</v>
      </c>
      <c r="E20" t="s">
        <v>4854</v>
      </c>
      <c r="F20" t="s">
        <v>185</v>
      </c>
      <c r="G20" s="27" t="str">
        <f t="shared" si="0"/>
        <v>6225 LIBERTY RD  HOUSTON</v>
      </c>
      <c r="H20" s="27" t="str">
        <f t="shared" si="1"/>
        <v>HOUSTON TX 77026</v>
      </c>
    </row>
    <row r="21" spans="1:8" x14ac:dyDescent="0.2">
      <c r="A21" s="27">
        <f>COUNTIFS(C:C,C21,D:D,D21)</f>
        <v>1</v>
      </c>
      <c r="B21" s="30">
        <v>202101150224</v>
      </c>
      <c r="C21" t="s">
        <v>3436</v>
      </c>
      <c r="D21" t="s">
        <v>3437</v>
      </c>
      <c r="E21" t="s">
        <v>4850</v>
      </c>
      <c r="F21" t="s">
        <v>211</v>
      </c>
      <c r="G21" s="27" t="str">
        <f t="shared" si="0"/>
        <v>11107 SAGEBURROW DR  HOUSTON</v>
      </c>
      <c r="H21" s="27" t="str">
        <f t="shared" si="1"/>
        <v>HOUSTON TX 77089</v>
      </c>
    </row>
    <row r="22" spans="1:8" x14ac:dyDescent="0.2">
      <c r="A22" s="27">
        <f>COUNTIFS(C:C,C22,D:D,D22)</f>
        <v>1</v>
      </c>
      <c r="B22" s="30">
        <v>202101150228</v>
      </c>
      <c r="C22" t="s">
        <v>3438</v>
      </c>
      <c r="D22" t="s">
        <v>3439</v>
      </c>
      <c r="E22" t="s">
        <v>5174</v>
      </c>
      <c r="F22" t="s">
        <v>213</v>
      </c>
      <c r="G22" s="27" t="str">
        <f t="shared" si="0"/>
        <v>4503 TOLDEO BEND DR  RICHMOND</v>
      </c>
      <c r="H22" s="27" t="str">
        <f t="shared" si="1"/>
        <v>HOUSTON TX 77406</v>
      </c>
    </row>
    <row r="23" spans="1:8" x14ac:dyDescent="0.2">
      <c r="A23" s="27">
        <f>COUNTIFS(C:C,C23,D:D,D23)</f>
        <v>1</v>
      </c>
      <c r="B23" s="30">
        <v>202101150245</v>
      </c>
      <c r="C23" t="s">
        <v>2177</v>
      </c>
      <c r="D23" t="s">
        <v>2178</v>
      </c>
      <c r="E23" t="s">
        <v>4910</v>
      </c>
      <c r="F23" t="s">
        <v>193</v>
      </c>
      <c r="G23" s="27" t="str">
        <f t="shared" si="0"/>
        <v>15415 N BRENTWOOD DR  CHANNELVIE</v>
      </c>
      <c r="H23" s="27" t="str">
        <f t="shared" si="1"/>
        <v>HOUSTON TX 77530</v>
      </c>
    </row>
    <row r="24" spans="1:8" x14ac:dyDescent="0.2">
      <c r="A24" s="27">
        <f>COUNTIFS(C:C,C24,D:D,D24)</f>
        <v>1</v>
      </c>
      <c r="B24" s="30">
        <v>202101150252</v>
      </c>
      <c r="C24" s="28" t="s">
        <v>1177</v>
      </c>
      <c r="D24" s="28" t="s">
        <v>1178</v>
      </c>
      <c r="E24" s="28" t="s">
        <v>4860</v>
      </c>
      <c r="F24" s="28" t="s">
        <v>202</v>
      </c>
      <c r="G24" s="27" t="str">
        <f t="shared" si="0"/>
        <v>301 TRI CITY BEACH RD BAYTOWN</v>
      </c>
      <c r="H24" s="27" t="str">
        <f t="shared" si="1"/>
        <v>HOUSTON TX 77520</v>
      </c>
    </row>
    <row r="25" spans="1:8" x14ac:dyDescent="0.2">
      <c r="A25" s="27">
        <f>COUNTIFS(C:C,C25,D:D,D25)</f>
        <v>1</v>
      </c>
      <c r="B25" s="30">
        <v>202101150256</v>
      </c>
      <c r="C25" t="s">
        <v>2855</v>
      </c>
      <c r="D25" t="s">
        <v>2856</v>
      </c>
      <c r="E25" t="s">
        <v>5023</v>
      </c>
      <c r="F25" t="s">
        <v>352</v>
      </c>
      <c r="G25" s="27" t="str">
        <f t="shared" si="0"/>
        <v>2301 LAZY HOLLOW DR APT 303A HOUSTON</v>
      </c>
      <c r="H25" s="27" t="str">
        <f t="shared" si="1"/>
        <v>HOUSTON TX 77063</v>
      </c>
    </row>
    <row r="26" spans="1:8" x14ac:dyDescent="0.2">
      <c r="A26" s="27">
        <f>COUNTIFS(C:C,C26,D:D,D26)</f>
        <v>1</v>
      </c>
      <c r="B26" s="30">
        <v>202101150260</v>
      </c>
      <c r="C26" s="28" t="s">
        <v>1221</v>
      </c>
      <c r="D26" s="28" t="s">
        <v>1222</v>
      </c>
      <c r="E26" s="28" t="s">
        <v>4984</v>
      </c>
      <c r="F26" s="28" t="s">
        <v>215</v>
      </c>
      <c r="G26" s="27" t="str">
        <f t="shared" si="0"/>
        <v>5006 MONTEITH DR  SPRING</v>
      </c>
      <c r="H26" s="27" t="str">
        <f t="shared" si="1"/>
        <v>HOUSTON TX 77373</v>
      </c>
    </row>
    <row r="27" spans="1:8" x14ac:dyDescent="0.2">
      <c r="A27" s="27">
        <f>COUNTIFS(C:C,C27,D:D,D27)</f>
        <v>1</v>
      </c>
      <c r="B27" s="30">
        <v>202101150266</v>
      </c>
      <c r="C27" s="28" t="s">
        <v>710</v>
      </c>
      <c r="D27" s="28" t="s">
        <v>711</v>
      </c>
      <c r="E27" s="28" t="s">
        <v>4852</v>
      </c>
      <c r="F27" s="28" t="s">
        <v>4771</v>
      </c>
      <c r="G27" s="27" t="str">
        <f t="shared" si="0"/>
        <v>5307 KNIGHTWOOD ST  HOUSTON</v>
      </c>
      <c r="H27" s="27" t="str">
        <f t="shared" si="1"/>
        <v>HOUSTON TX 77016</v>
      </c>
    </row>
    <row r="28" spans="1:8" x14ac:dyDescent="0.2">
      <c r="A28" s="27">
        <f>COUNTIFS(C:C,C28,D:D,D28)</f>
        <v>1</v>
      </c>
      <c r="B28" s="30">
        <v>202101150268</v>
      </c>
      <c r="C28" s="28" t="s">
        <v>1032</v>
      </c>
      <c r="D28" s="28" t="s">
        <v>1033</v>
      </c>
      <c r="E28" s="28" t="s">
        <v>4889</v>
      </c>
      <c r="F28" s="28" t="s">
        <v>4775</v>
      </c>
      <c r="G28" s="27" t="str">
        <f t="shared" si="0"/>
        <v>810 FOREST IVY LN  HOUSTON</v>
      </c>
      <c r="H28" s="27" t="str">
        <f t="shared" si="1"/>
        <v>HOUSTON TX 77067</v>
      </c>
    </row>
    <row r="29" spans="1:8" x14ac:dyDescent="0.2">
      <c r="A29" s="27">
        <f>COUNTIFS(C:C,C29,D:D,D29)</f>
        <v>1</v>
      </c>
      <c r="B29" s="30">
        <v>202101150269</v>
      </c>
      <c r="C29" s="28" t="s">
        <v>1744</v>
      </c>
      <c r="D29" s="28" t="s">
        <v>1745</v>
      </c>
      <c r="E29" s="28" t="s">
        <v>4862</v>
      </c>
      <c r="F29" s="28" t="s">
        <v>198</v>
      </c>
      <c r="G29" s="27" t="str">
        <f t="shared" si="0"/>
        <v>211 DOMINION PARK D R HOUSTON</v>
      </c>
      <c r="H29" s="27" t="str">
        <f t="shared" si="1"/>
        <v>HOUSTON TX 77090</v>
      </c>
    </row>
    <row r="30" spans="1:8" x14ac:dyDescent="0.2">
      <c r="A30" s="27">
        <f>COUNTIFS(C:C,C30,D:D,D30)</f>
        <v>1</v>
      </c>
      <c r="B30" s="30">
        <v>202101150271</v>
      </c>
      <c r="C30" t="s">
        <v>2967</v>
      </c>
      <c r="D30" t="s">
        <v>2968</v>
      </c>
      <c r="E30" t="s">
        <v>4924</v>
      </c>
      <c r="F30" t="s">
        <v>216</v>
      </c>
      <c r="G30" s="27" t="str">
        <f t="shared" si="0"/>
        <v>4782 COUNTY ROAD 138  ALVIN</v>
      </c>
      <c r="H30" s="27" t="str">
        <f t="shared" si="1"/>
        <v>HOUSTON TX 77511</v>
      </c>
    </row>
    <row r="31" spans="1:8" x14ac:dyDescent="0.2">
      <c r="A31" s="27">
        <f>COUNTIFS(C:C,C31,D:D,D31)</f>
        <v>1</v>
      </c>
      <c r="B31" s="30">
        <v>202101150272</v>
      </c>
      <c r="C31" t="s">
        <v>2107</v>
      </c>
      <c r="D31" t="s">
        <v>2108</v>
      </c>
      <c r="E31" t="s">
        <v>4870</v>
      </c>
      <c r="F31" t="s">
        <v>202</v>
      </c>
      <c r="G31" s="27" t="str">
        <f t="shared" si="0"/>
        <v>3501 7TH ST  PORT ARTHU</v>
      </c>
      <c r="H31" s="27" t="str">
        <f t="shared" si="1"/>
        <v>HOUSTON TX 77642</v>
      </c>
    </row>
    <row r="32" spans="1:8" x14ac:dyDescent="0.2">
      <c r="A32" s="27">
        <f>COUNTIFS(C:C,C32,D:D,D32)</f>
        <v>1</v>
      </c>
      <c r="B32" s="30">
        <v>202101150273</v>
      </c>
      <c r="C32" t="s">
        <v>3444</v>
      </c>
      <c r="D32" t="s">
        <v>3445</v>
      </c>
      <c r="E32" t="s">
        <v>4893</v>
      </c>
      <c r="F32" t="s">
        <v>217</v>
      </c>
      <c r="G32" s="27" t="str">
        <f t="shared" si="0"/>
        <v>13210 GLENWYCK ST  HOUSTON</v>
      </c>
      <c r="H32" s="27" t="str">
        <f t="shared" si="1"/>
        <v>HOUSTON TX 77045</v>
      </c>
    </row>
    <row r="33" spans="1:8" x14ac:dyDescent="0.2">
      <c r="A33" s="27">
        <f>COUNTIFS(C:C,C33,D:D,D33)</f>
        <v>1</v>
      </c>
      <c r="B33" s="30">
        <v>202101150275</v>
      </c>
      <c r="C33" t="s">
        <v>2105</v>
      </c>
      <c r="D33" t="s">
        <v>2106</v>
      </c>
      <c r="E33" t="s">
        <v>4869</v>
      </c>
      <c r="F33" t="s">
        <v>187</v>
      </c>
      <c r="G33" s="27" t="str">
        <f t="shared" si="0"/>
        <v>638 HEIDRICH ST  HOUSTON</v>
      </c>
      <c r="H33" s="27" t="str">
        <f t="shared" si="1"/>
        <v>HOUSTON TX 77018</v>
      </c>
    </row>
    <row r="34" spans="1:8" x14ac:dyDescent="0.2">
      <c r="A34" s="27">
        <f>COUNTIFS(C:C,C34,D:D,D34)</f>
        <v>1</v>
      </c>
      <c r="B34" s="30">
        <v>202101150282</v>
      </c>
      <c r="C34" s="28" t="s">
        <v>728</v>
      </c>
      <c r="D34" s="28" t="s">
        <v>729</v>
      </c>
      <c r="E34" s="28" t="s">
        <v>4864</v>
      </c>
      <c r="F34" s="28" t="s">
        <v>217</v>
      </c>
      <c r="G34" s="27" t="str">
        <f t="shared" si="0"/>
        <v>4611 COKE ST  HOUSTON</v>
      </c>
      <c r="H34" s="27" t="str">
        <f t="shared" si="1"/>
        <v>HOUSTON TX 77020</v>
      </c>
    </row>
    <row r="35" spans="1:8" x14ac:dyDescent="0.2">
      <c r="A35" s="27">
        <f>COUNTIFS(C:C,C35,D:D,D35)</f>
        <v>1</v>
      </c>
      <c r="B35" s="30">
        <v>202101150287</v>
      </c>
      <c r="C35" t="s">
        <v>2138</v>
      </c>
      <c r="D35" t="s">
        <v>2139</v>
      </c>
      <c r="E35" t="s">
        <v>5005</v>
      </c>
      <c r="F35" t="s">
        <v>318</v>
      </c>
      <c r="G35" s="27" t="str">
        <f t="shared" si="0"/>
        <v>5015 ALDINE BENDER  HOUSTON</v>
      </c>
      <c r="H35" s="27" t="str">
        <f t="shared" si="1"/>
        <v>HOUSTON TX 77032</v>
      </c>
    </row>
    <row r="36" spans="1:8" x14ac:dyDescent="0.2">
      <c r="A36" s="27">
        <f>COUNTIFS(C:C,C36,D:D,D36)</f>
        <v>1</v>
      </c>
      <c r="B36" s="30">
        <v>202101150290</v>
      </c>
      <c r="C36" s="28" t="s">
        <v>804</v>
      </c>
      <c r="D36" s="28" t="s">
        <v>805</v>
      </c>
      <c r="E36" s="28" t="s">
        <v>4960</v>
      </c>
      <c r="F36" s="28" t="s">
        <v>184</v>
      </c>
      <c r="G36" s="27" t="str">
        <f t="shared" si="0"/>
        <v>702 N SAM HOUSTON P KWY E HOUSTON</v>
      </c>
      <c r="H36" s="27" t="str">
        <f t="shared" si="1"/>
        <v>HOUSTON TX 77060</v>
      </c>
    </row>
    <row r="37" spans="1:8" x14ac:dyDescent="0.2">
      <c r="A37" s="27">
        <f>COUNTIFS(C:C,C37,D:D,D37)</f>
        <v>1</v>
      </c>
      <c r="B37" s="30">
        <v>202101150292</v>
      </c>
      <c r="C37" s="28" t="s">
        <v>1030</v>
      </c>
      <c r="D37" s="28" t="s">
        <v>1031</v>
      </c>
      <c r="E37" s="28" t="s">
        <v>4998</v>
      </c>
      <c r="F37" s="28" t="s">
        <v>202</v>
      </c>
      <c r="G37" s="27" t="str">
        <f t="shared" si="0"/>
        <v>32522 EDGE WATER DR  MAGNOLIA</v>
      </c>
      <c r="H37" s="27" t="str">
        <f t="shared" si="1"/>
        <v>HOUSTON TX 77354</v>
      </c>
    </row>
    <row r="38" spans="1:8" x14ac:dyDescent="0.2">
      <c r="A38" s="27">
        <f>COUNTIFS(C:C,C38,D:D,D38)</f>
        <v>1</v>
      </c>
      <c r="B38" s="30">
        <v>202101150295</v>
      </c>
      <c r="C38" t="s">
        <v>2260</v>
      </c>
      <c r="D38" t="s">
        <v>2261</v>
      </c>
      <c r="E38" t="s">
        <v>4960</v>
      </c>
      <c r="F38" t="s">
        <v>220</v>
      </c>
      <c r="G38" s="27" t="str">
        <f t="shared" si="0"/>
        <v>555 SEMINAR DR  HOUSTON</v>
      </c>
      <c r="H38" s="27" t="str">
        <f t="shared" si="1"/>
        <v>HOUSTON TX 77060</v>
      </c>
    </row>
    <row r="39" spans="1:8" x14ac:dyDescent="0.2">
      <c r="A39" s="27">
        <f>COUNTIFS(C:C,C39,D:D,D39)</f>
        <v>1</v>
      </c>
      <c r="B39" s="30">
        <v>202101150314</v>
      </c>
      <c r="C39" s="28" t="s">
        <v>1920</v>
      </c>
      <c r="D39" s="28" t="s">
        <v>1921</v>
      </c>
      <c r="E39" s="28" t="s">
        <v>5086</v>
      </c>
      <c r="F39" s="28" t="s">
        <v>222</v>
      </c>
      <c r="G39" s="27" t="str">
        <f t="shared" si="0"/>
        <v>601 ELSBETH  HARRIS CO</v>
      </c>
      <c r="H39" s="27" t="str">
        <f t="shared" si="1"/>
        <v>HOUSTON TX 77530</v>
      </c>
    </row>
    <row r="40" spans="1:8" x14ac:dyDescent="0.2">
      <c r="A40" s="27">
        <f>COUNTIFS(C:C,C40,D:D,D40)</f>
        <v>1</v>
      </c>
      <c r="B40" s="30">
        <v>202101150315</v>
      </c>
      <c r="C40" s="28" t="s">
        <v>1766</v>
      </c>
      <c r="D40" s="28" t="s">
        <v>1767</v>
      </c>
      <c r="E40" s="28" t="s">
        <v>4864</v>
      </c>
      <c r="F40" s="28" t="s">
        <v>203</v>
      </c>
      <c r="G40" s="27" t="str">
        <f t="shared" si="0"/>
        <v>1122 MEADOW ST  HOUSTON</v>
      </c>
      <c r="H40" s="27" t="str">
        <f t="shared" si="1"/>
        <v>HOUSTON TX 77020</v>
      </c>
    </row>
    <row r="41" spans="1:8" x14ac:dyDescent="0.2">
      <c r="A41" s="27">
        <f>COUNTIFS(C:C,C41,D:D,D41)</f>
        <v>1</v>
      </c>
      <c r="B41" s="30">
        <v>202101150317</v>
      </c>
      <c r="C41" t="s">
        <v>3240</v>
      </c>
      <c r="D41" t="s">
        <v>3241</v>
      </c>
      <c r="E41" t="s">
        <v>4982</v>
      </c>
      <c r="F41" t="s">
        <v>207</v>
      </c>
      <c r="G41" s="27" t="str">
        <f t="shared" si="0"/>
        <v>1614 WILSHIRE PARK D RIVE HOUSTON</v>
      </c>
      <c r="H41" s="27" t="str">
        <f t="shared" si="1"/>
        <v>HOUSTON TX 77038</v>
      </c>
    </row>
    <row r="42" spans="1:8" x14ac:dyDescent="0.2">
      <c r="A42" s="27">
        <f>COUNTIFS(C:C,C42,D:D,D42)</f>
        <v>1</v>
      </c>
      <c r="B42" s="30">
        <v>202101150321</v>
      </c>
      <c r="C42" t="s">
        <v>3452</v>
      </c>
      <c r="D42" t="s">
        <v>7887</v>
      </c>
      <c r="E42" t="s">
        <v>4874</v>
      </c>
      <c r="F42" t="s">
        <v>192</v>
      </c>
      <c r="G42" s="27" t="str">
        <f t="shared" ref="G42:G105" si="2">D42&amp;" "&amp;MID(E42,1,FIND(" TX",E42)-1)</f>
        <v>5334 LYNDHURST HOUSTON</v>
      </c>
      <c r="H42" s="27" t="str">
        <f t="shared" ref="H42:H105" si="3">"HOUSTON "&amp;MID(E42,FIND("TX",E42),8)</f>
        <v>HOUSTON TX 77033</v>
      </c>
    </row>
    <row r="43" spans="1:8" x14ac:dyDescent="0.2">
      <c r="A43" s="27">
        <f>COUNTIFS(C:C,C43,D:D,D43)</f>
        <v>1</v>
      </c>
      <c r="B43" s="30">
        <v>202101150323</v>
      </c>
      <c r="C43" s="28" t="s">
        <v>1179</v>
      </c>
      <c r="D43" s="28" t="s">
        <v>1180</v>
      </c>
      <c r="E43" s="28" t="s">
        <v>4958</v>
      </c>
      <c r="F43" s="28" t="s">
        <v>187</v>
      </c>
      <c r="G43" s="27" t="str">
        <f t="shared" si="2"/>
        <v>3901 OMEARA DR  HOUSTON</v>
      </c>
      <c r="H43" s="27" t="str">
        <f t="shared" si="3"/>
        <v>HOUSTON TX 77025</v>
      </c>
    </row>
    <row r="44" spans="1:8" x14ac:dyDescent="0.2">
      <c r="A44" s="27">
        <f>COUNTIFS(C:C,C44,D:D,D44)</f>
        <v>1</v>
      </c>
      <c r="B44" s="30">
        <v>202101150331</v>
      </c>
      <c r="C44" s="28" t="s">
        <v>982</v>
      </c>
      <c r="D44" s="28" t="s">
        <v>983</v>
      </c>
      <c r="E44" s="28" t="s">
        <v>4889</v>
      </c>
      <c r="F44" s="28" t="s">
        <v>214</v>
      </c>
      <c r="G44" s="27" t="str">
        <f t="shared" si="2"/>
        <v>11334 CLOVER GREEN LN  HOUSTON</v>
      </c>
      <c r="H44" s="27" t="str">
        <f t="shared" si="3"/>
        <v>HOUSTON TX 77067</v>
      </c>
    </row>
    <row r="45" spans="1:8" x14ac:dyDescent="0.2">
      <c r="A45" s="27">
        <f>COUNTIFS(C:C,C45,D:D,D45)</f>
        <v>1</v>
      </c>
      <c r="B45" s="30">
        <v>202101150332</v>
      </c>
      <c r="C45" s="28" t="s">
        <v>808</v>
      </c>
      <c r="D45" s="28" t="s">
        <v>809</v>
      </c>
      <c r="E45" s="28" t="s">
        <v>4961</v>
      </c>
      <c r="F45" s="28" t="s">
        <v>188</v>
      </c>
      <c r="G45" s="27" t="str">
        <f t="shared" si="2"/>
        <v>163 CR283  HARWOOD</v>
      </c>
      <c r="H45" s="27" t="str">
        <f t="shared" si="3"/>
        <v>HOUSTON TX 78632</v>
      </c>
    </row>
    <row r="46" spans="1:8" x14ac:dyDescent="0.2">
      <c r="A46" s="27">
        <f>COUNTIFS(C:C,C46,D:D,D46)</f>
        <v>1</v>
      </c>
      <c r="B46" s="30">
        <v>202101150338</v>
      </c>
      <c r="C46" s="28" t="s">
        <v>778</v>
      </c>
      <c r="D46" s="28" t="s">
        <v>779</v>
      </c>
      <c r="E46" s="28" t="s">
        <v>4917</v>
      </c>
      <c r="F46" s="28" t="s">
        <v>182</v>
      </c>
      <c r="G46" s="27" t="str">
        <f t="shared" si="2"/>
        <v>11505 KEEGANS RIDGE R D HOUSTON</v>
      </c>
      <c r="H46" s="27" t="str">
        <f t="shared" si="3"/>
        <v>HOUSTON TX 77031</v>
      </c>
    </row>
    <row r="47" spans="1:8" x14ac:dyDescent="0.2">
      <c r="A47" s="27">
        <f>COUNTIFS(C:C,C47,D:D,D47)</f>
        <v>1</v>
      </c>
      <c r="B47" s="30">
        <v>202101150339</v>
      </c>
      <c r="C47" s="28" t="s">
        <v>988</v>
      </c>
      <c r="D47" s="28" t="s">
        <v>989</v>
      </c>
      <c r="E47" s="28" t="s">
        <v>4950</v>
      </c>
      <c r="F47" s="28" t="s">
        <v>183</v>
      </c>
      <c r="G47" s="27" t="str">
        <f t="shared" si="2"/>
        <v>335 WYNELL ST  HOUSTON</v>
      </c>
      <c r="H47" s="27" t="str">
        <f t="shared" si="3"/>
        <v>HOUSTON TX 77022</v>
      </c>
    </row>
    <row r="48" spans="1:8" x14ac:dyDescent="0.2">
      <c r="A48" s="27">
        <f>COUNTIFS(C:C,C48,D:D,D48)</f>
        <v>1</v>
      </c>
      <c r="B48" s="30">
        <v>202101150343</v>
      </c>
      <c r="C48" t="s">
        <v>2464</v>
      </c>
      <c r="D48" t="s">
        <v>2465</v>
      </c>
      <c r="E48" t="s">
        <v>4999</v>
      </c>
      <c r="F48" t="s">
        <v>4808</v>
      </c>
      <c r="G48" s="27" t="str">
        <f t="shared" si="2"/>
        <v>2015 OPAL SPRINGS  KATY</v>
      </c>
      <c r="H48" s="27" t="str">
        <f t="shared" si="3"/>
        <v>HOUSTON TX 77450</v>
      </c>
    </row>
    <row r="49" spans="1:8" x14ac:dyDescent="0.2">
      <c r="A49" s="27">
        <f>COUNTIFS(C:C,C49,D:D,D49)</f>
        <v>1</v>
      </c>
      <c r="B49" s="30">
        <v>202101150353</v>
      </c>
      <c r="C49" s="28" t="s">
        <v>886</v>
      </c>
      <c r="D49" s="28" t="s">
        <v>887</v>
      </c>
      <c r="E49" s="28" t="s">
        <v>4898</v>
      </c>
      <c r="F49" s="28" t="s">
        <v>182</v>
      </c>
      <c r="G49" s="27" t="str">
        <f t="shared" si="2"/>
        <v>10950 TANNER PARK CT  HOUSTON</v>
      </c>
      <c r="H49" s="27" t="str">
        <f t="shared" si="3"/>
        <v>HOUSTON TX 77075</v>
      </c>
    </row>
    <row r="50" spans="1:8" x14ac:dyDescent="0.2">
      <c r="A50" s="27">
        <f>COUNTIFS(C:C,C50,D:D,D50)</f>
        <v>1</v>
      </c>
      <c r="B50" s="30">
        <v>202101150355</v>
      </c>
      <c r="C50" s="28" t="s">
        <v>4990</v>
      </c>
      <c r="D50" s="28" t="s">
        <v>407</v>
      </c>
      <c r="E50" s="28" t="s">
        <v>4854</v>
      </c>
      <c r="F50" s="28" t="s">
        <v>293</v>
      </c>
      <c r="G50" s="27" t="str">
        <f t="shared" si="2"/>
        <v>4718 KRESS ST  HOUSTON</v>
      </c>
      <c r="H50" s="27" t="str">
        <f t="shared" si="3"/>
        <v>HOUSTON TX 77026</v>
      </c>
    </row>
    <row r="51" spans="1:8" x14ac:dyDescent="0.2">
      <c r="A51" s="27">
        <f>COUNTIFS(C:C,C51,D:D,D51)</f>
        <v>1</v>
      </c>
      <c r="B51" s="30">
        <v>202101150357</v>
      </c>
      <c r="C51" t="s">
        <v>2346</v>
      </c>
      <c r="D51" t="s">
        <v>2347</v>
      </c>
      <c r="E51" t="s">
        <v>4949</v>
      </c>
      <c r="F51" t="s">
        <v>202</v>
      </c>
      <c r="G51" s="27" t="str">
        <f t="shared" si="2"/>
        <v>14025 VILLAGROVE  HOUSTON</v>
      </c>
      <c r="H51" s="27" t="str">
        <f t="shared" si="3"/>
        <v>HOUSTON TX 77049</v>
      </c>
    </row>
    <row r="52" spans="1:8" x14ac:dyDescent="0.2">
      <c r="A52" s="27">
        <f>COUNTIFS(C:C,C52,D:D,D52)</f>
        <v>1</v>
      </c>
      <c r="B52" s="30">
        <v>202101150362</v>
      </c>
      <c r="C52" s="28" t="s">
        <v>1514</v>
      </c>
      <c r="D52" s="28" t="s">
        <v>1515</v>
      </c>
      <c r="E52" s="28" t="s">
        <v>4874</v>
      </c>
      <c r="F52" s="28" t="s">
        <v>210</v>
      </c>
      <c r="G52" s="27" t="str">
        <f t="shared" si="2"/>
        <v>9027 MARTIN LUTHER K ING BLVD HOUSTON</v>
      </c>
      <c r="H52" s="27" t="str">
        <f t="shared" si="3"/>
        <v>HOUSTON TX 77033</v>
      </c>
    </row>
    <row r="53" spans="1:8" x14ac:dyDescent="0.2">
      <c r="A53" s="27">
        <f>COUNTIFS(C:C,C53,D:D,D53)</f>
        <v>1</v>
      </c>
      <c r="B53" s="30">
        <v>202101150367</v>
      </c>
      <c r="C53" t="s">
        <v>2298</v>
      </c>
      <c r="D53" t="s">
        <v>2299</v>
      </c>
      <c r="E53" t="s">
        <v>4853</v>
      </c>
      <c r="F53" t="s">
        <v>181</v>
      </c>
      <c r="G53" s="27" t="str">
        <f t="shared" si="2"/>
        <v>13421 TURLIN  HOUSTON</v>
      </c>
      <c r="H53" s="27" t="str">
        <f t="shared" si="3"/>
        <v>HOUSTON TX 77039</v>
      </c>
    </row>
    <row r="54" spans="1:8" x14ac:dyDescent="0.2">
      <c r="A54" s="27">
        <f>COUNTIFS(C:C,C54,D:D,D54)</f>
        <v>1</v>
      </c>
      <c r="B54" s="30">
        <v>202101150371</v>
      </c>
      <c r="C54" s="28" t="s">
        <v>1571</v>
      </c>
      <c r="D54" s="28" t="s">
        <v>1572</v>
      </c>
      <c r="E54" s="28" t="s">
        <v>4875</v>
      </c>
      <c r="F54" s="28" t="s">
        <v>226</v>
      </c>
      <c r="G54" s="27" t="str">
        <f t="shared" si="2"/>
        <v>2528 WILLIAM TELL ST  HOUSTON</v>
      </c>
      <c r="H54" s="27" t="str">
        <f t="shared" si="3"/>
        <v>HOUSTON TX 77093</v>
      </c>
    </row>
    <row r="55" spans="1:8" x14ac:dyDescent="0.2">
      <c r="A55" s="27">
        <f>COUNTIFS(C:C,C55,D:D,D55)</f>
        <v>1</v>
      </c>
      <c r="B55" s="30">
        <v>202101150376</v>
      </c>
      <c r="C55" t="s">
        <v>2398</v>
      </c>
      <c r="D55" t="s">
        <v>2399</v>
      </c>
      <c r="E55" t="s">
        <v>5129</v>
      </c>
      <c r="F55" t="s">
        <v>227</v>
      </c>
      <c r="G55" s="27" t="str">
        <f t="shared" si="2"/>
        <v>9218 SCOTFORD  HELOTES</v>
      </c>
      <c r="H55" s="27" t="str">
        <f t="shared" si="3"/>
        <v>HOUSTON TX 78023</v>
      </c>
    </row>
    <row r="56" spans="1:8" x14ac:dyDescent="0.2">
      <c r="A56" s="27">
        <f>COUNTIFS(C:C,C56,D:D,D56)</f>
        <v>1</v>
      </c>
      <c r="B56" s="30">
        <v>202101150381</v>
      </c>
      <c r="C56" s="28" t="s">
        <v>990</v>
      </c>
      <c r="D56" s="28" t="s">
        <v>991</v>
      </c>
      <c r="E56" s="28" t="s">
        <v>4893</v>
      </c>
      <c r="F56" s="28" t="s">
        <v>193</v>
      </c>
      <c r="G56" s="27" t="str">
        <f t="shared" si="2"/>
        <v>12707 PASO DEL FLORES DR HOUSTON</v>
      </c>
      <c r="H56" s="27" t="str">
        <f t="shared" si="3"/>
        <v>HOUSTON TX 77045</v>
      </c>
    </row>
    <row r="57" spans="1:8" x14ac:dyDescent="0.2">
      <c r="A57" s="27">
        <f>COUNTIFS(C:C,C57,D:D,D57)</f>
        <v>1</v>
      </c>
      <c r="B57" s="30">
        <v>202101150382</v>
      </c>
      <c r="C57" s="28" t="s">
        <v>398</v>
      </c>
      <c r="D57" s="28" t="s">
        <v>399</v>
      </c>
      <c r="E57" s="28" t="s">
        <v>4850</v>
      </c>
      <c r="F57" s="28" t="s">
        <v>4765</v>
      </c>
      <c r="G57" s="27" t="str">
        <f t="shared" si="2"/>
        <v>11677 SABO ROAD  HOUSTON</v>
      </c>
      <c r="H57" s="27" t="str">
        <f t="shared" si="3"/>
        <v>HOUSTON TX 77089</v>
      </c>
    </row>
    <row r="58" spans="1:8" x14ac:dyDescent="0.2">
      <c r="A58" s="27">
        <f>COUNTIFS(C:C,C58,D:D,D58)</f>
        <v>1</v>
      </c>
      <c r="B58" s="30">
        <v>202101150384</v>
      </c>
      <c r="C58" t="s">
        <v>2657</v>
      </c>
      <c r="D58" t="s">
        <v>2658</v>
      </c>
      <c r="E58" t="s">
        <v>4874</v>
      </c>
      <c r="F58" t="s">
        <v>207</v>
      </c>
      <c r="G58" s="27" t="str">
        <f t="shared" si="2"/>
        <v>5751 RUE ST  HOUSTON</v>
      </c>
      <c r="H58" s="27" t="str">
        <f t="shared" si="3"/>
        <v>HOUSTON TX 77033</v>
      </c>
    </row>
    <row r="59" spans="1:8" x14ac:dyDescent="0.2">
      <c r="A59" s="27">
        <f>COUNTIFS(C:C,C59,D:D,D59)</f>
        <v>1</v>
      </c>
      <c r="B59" s="30">
        <v>202101150385</v>
      </c>
      <c r="C59" t="s">
        <v>3460</v>
      </c>
      <c r="D59" t="s">
        <v>3461</v>
      </c>
      <c r="E59" t="s">
        <v>4970</v>
      </c>
      <c r="F59" t="s">
        <v>230</v>
      </c>
      <c r="G59" s="27" t="str">
        <f t="shared" si="2"/>
        <v>10800 FONDREN RD 2421  HOUSTON</v>
      </c>
      <c r="H59" s="27" t="str">
        <f t="shared" si="3"/>
        <v>HOUSTON TX 77096</v>
      </c>
    </row>
    <row r="60" spans="1:8" x14ac:dyDescent="0.2">
      <c r="A60" s="27">
        <f>COUNTIFS(C:C,C60,D:D,D60)</f>
        <v>1</v>
      </c>
      <c r="B60" s="30">
        <v>202101150386</v>
      </c>
      <c r="C60" t="s">
        <v>3462</v>
      </c>
      <c r="D60" t="s">
        <v>3463</v>
      </c>
      <c r="E60" t="s">
        <v>4876</v>
      </c>
      <c r="F60" t="s">
        <v>187</v>
      </c>
      <c r="G60" s="27" t="str">
        <f t="shared" si="2"/>
        <v>135 3 N THORNTREE  HOUSTON</v>
      </c>
      <c r="H60" s="27" t="str">
        <f t="shared" si="3"/>
        <v>HOUSTON TX 77015</v>
      </c>
    </row>
    <row r="61" spans="1:8" x14ac:dyDescent="0.2">
      <c r="A61" s="27">
        <f>COUNTIFS(C:C,C61,D:D,D61)</f>
        <v>1</v>
      </c>
      <c r="B61" s="30">
        <v>202101150388</v>
      </c>
      <c r="C61" s="28" t="s">
        <v>1772</v>
      </c>
      <c r="D61" s="28" t="s">
        <v>1773</v>
      </c>
      <c r="E61" s="28" t="s">
        <v>4973</v>
      </c>
      <c r="F61" s="28" t="s">
        <v>225</v>
      </c>
      <c r="G61" s="27" t="str">
        <f t="shared" si="2"/>
        <v>8945 SOUTH GESSNER A PT 129 HOUSTON</v>
      </c>
      <c r="H61" s="27" t="str">
        <f t="shared" si="3"/>
        <v>HOUSTON TX 77074</v>
      </c>
    </row>
    <row r="62" spans="1:8" x14ac:dyDescent="0.2">
      <c r="A62" s="27">
        <f>COUNTIFS(C:C,C62,D:D,D62)</f>
        <v>1</v>
      </c>
      <c r="B62" s="30">
        <v>202101150396</v>
      </c>
      <c r="C62" t="s">
        <v>2026</v>
      </c>
      <c r="D62" t="s">
        <v>2027</v>
      </c>
      <c r="E62" t="s">
        <v>4860</v>
      </c>
      <c r="F62" t="s">
        <v>230</v>
      </c>
      <c r="G62" s="27" t="str">
        <f t="shared" si="2"/>
        <v>222 W MURRILL AVE  BAYTOWN</v>
      </c>
      <c r="H62" s="27" t="str">
        <f t="shared" si="3"/>
        <v>HOUSTON TX 77520</v>
      </c>
    </row>
    <row r="63" spans="1:8" x14ac:dyDescent="0.2">
      <c r="A63" s="27">
        <f>COUNTIFS(C:C,C63,D:D,D63)</f>
        <v>1</v>
      </c>
      <c r="B63" s="30">
        <v>202101150398</v>
      </c>
      <c r="C63" s="28" t="s">
        <v>1088</v>
      </c>
      <c r="D63" s="28" t="s">
        <v>1089</v>
      </c>
      <c r="E63" s="28" t="s">
        <v>5002</v>
      </c>
      <c r="F63" s="28" t="s">
        <v>193</v>
      </c>
      <c r="G63" s="27" t="str">
        <f t="shared" si="2"/>
        <v>12360 RICHMOND AVE  HOUSTON</v>
      </c>
      <c r="H63" s="27" t="str">
        <f t="shared" si="3"/>
        <v>HOUSTON TX 77082</v>
      </c>
    </row>
    <row r="64" spans="1:8" x14ac:dyDescent="0.2">
      <c r="A64" s="27">
        <f>COUNTIFS(C:C,C64,D:D,D64)</f>
        <v>1</v>
      </c>
      <c r="B64" s="30">
        <v>202101150399</v>
      </c>
      <c r="C64" s="28" t="s">
        <v>1086</v>
      </c>
      <c r="D64" s="28" t="s">
        <v>1087</v>
      </c>
      <c r="E64" s="28" t="s">
        <v>4855</v>
      </c>
      <c r="F64" s="28" t="s">
        <v>181</v>
      </c>
      <c r="G64" s="27" t="str">
        <f t="shared" si="2"/>
        <v>10950 BEAUMONT HWY  HOUSTON</v>
      </c>
      <c r="H64" s="27" t="str">
        <f t="shared" si="3"/>
        <v>HOUSTON TX 77078</v>
      </c>
    </row>
    <row r="65" spans="1:8" x14ac:dyDescent="0.2">
      <c r="A65" s="27">
        <f>COUNTIFS(C:C,C65,D:D,D65)</f>
        <v>1</v>
      </c>
      <c r="B65" s="30">
        <v>202101150415</v>
      </c>
      <c r="C65" s="28" t="s">
        <v>984</v>
      </c>
      <c r="D65" s="28" t="s">
        <v>985</v>
      </c>
      <c r="E65" s="28" t="s">
        <v>4993</v>
      </c>
      <c r="F65" s="28" t="s">
        <v>295</v>
      </c>
      <c r="G65" s="27" t="str">
        <f t="shared" si="2"/>
        <v>3295 FM 3514  BEAUMONT</v>
      </c>
      <c r="H65" s="27" t="str">
        <f t="shared" si="3"/>
        <v>HOUSTON TX 77705</v>
      </c>
    </row>
    <row r="66" spans="1:8" x14ac:dyDescent="0.2">
      <c r="A66" s="27">
        <f>COUNTIFS(C:C,C66,D:D,D66)</f>
        <v>1</v>
      </c>
      <c r="B66" s="30">
        <v>202101150418</v>
      </c>
      <c r="C66" t="s">
        <v>3466</v>
      </c>
      <c r="D66" t="s">
        <v>3467</v>
      </c>
      <c r="E66" t="s">
        <v>4975</v>
      </c>
      <c r="F66" t="s">
        <v>193</v>
      </c>
      <c r="G66" s="27" t="str">
        <f t="shared" si="2"/>
        <v>11714 CHETMAN DR APT A HOUSTON</v>
      </c>
      <c r="H66" s="27" t="str">
        <f t="shared" si="3"/>
        <v>HOUSTON TX 77065</v>
      </c>
    </row>
    <row r="67" spans="1:8" x14ac:dyDescent="0.2">
      <c r="A67" s="27">
        <f>COUNTIFS(C:C,C67,D:D,D67)</f>
        <v>1</v>
      </c>
      <c r="B67" s="30">
        <v>202101150422</v>
      </c>
      <c r="C67" s="28" t="s">
        <v>1764</v>
      </c>
      <c r="D67" s="28" t="s">
        <v>1765</v>
      </c>
      <c r="E67" s="28" t="s">
        <v>4862</v>
      </c>
      <c r="F67" s="28" t="s">
        <v>4796</v>
      </c>
      <c r="G67" s="27" t="str">
        <f t="shared" si="2"/>
        <v>200 DOMINION PARK D R HOUSTON</v>
      </c>
      <c r="H67" s="27" t="str">
        <f t="shared" si="3"/>
        <v>HOUSTON TX 77090</v>
      </c>
    </row>
    <row r="68" spans="1:8" x14ac:dyDescent="0.2">
      <c r="A68" s="27">
        <f>COUNTIFS(C:C,C68,D:D,D68)</f>
        <v>1</v>
      </c>
      <c r="B68" s="30">
        <v>202101150424</v>
      </c>
      <c r="C68" s="28" t="s">
        <v>559</v>
      </c>
      <c r="D68" s="28" t="s">
        <v>560</v>
      </c>
      <c r="E68" s="28" t="s">
        <v>4907</v>
      </c>
      <c r="F68" s="28" t="s">
        <v>234</v>
      </c>
      <c r="G68" s="27" t="str">
        <f t="shared" si="2"/>
        <v>618 FINFROCK  PASADENA</v>
      </c>
      <c r="H68" s="27" t="str">
        <f t="shared" si="3"/>
        <v>HOUSTON TX 77502</v>
      </c>
    </row>
    <row r="69" spans="1:8" x14ac:dyDescent="0.2">
      <c r="A69" s="27">
        <f>COUNTIFS(C:C,C69,D:D,D69)</f>
        <v>1</v>
      </c>
      <c r="B69" s="30">
        <v>202101150429</v>
      </c>
      <c r="C69" s="28" t="s">
        <v>1076</v>
      </c>
      <c r="D69" s="28" t="s">
        <v>1077</v>
      </c>
      <c r="E69" s="28" t="s">
        <v>4928</v>
      </c>
      <c r="F69" s="28" t="s">
        <v>4776</v>
      </c>
      <c r="G69" s="27" t="str">
        <f t="shared" si="2"/>
        <v>500 VANN RD  HIGHLANDS</v>
      </c>
      <c r="H69" s="27" t="str">
        <f t="shared" si="3"/>
        <v>HOUSTON TX 77562</v>
      </c>
    </row>
    <row r="70" spans="1:8" x14ac:dyDescent="0.2">
      <c r="A70" s="27">
        <f>COUNTIFS(C:C,C70,D:D,D70)</f>
        <v>1</v>
      </c>
      <c r="B70" s="30">
        <v>202101150436</v>
      </c>
      <c r="C70" t="s">
        <v>2018</v>
      </c>
      <c r="D70" t="s">
        <v>2019</v>
      </c>
      <c r="E70" t="s">
        <v>4875</v>
      </c>
      <c r="F70" t="s">
        <v>202</v>
      </c>
      <c r="G70" s="27" t="str">
        <f t="shared" si="2"/>
        <v>10434 WILLIE ST  HOUSTON</v>
      </c>
      <c r="H70" s="27" t="str">
        <f t="shared" si="3"/>
        <v>HOUSTON TX 77093</v>
      </c>
    </row>
    <row r="71" spans="1:8" x14ac:dyDescent="0.2">
      <c r="A71" s="27">
        <f>COUNTIFS(C:C,C71,D:D,D71)</f>
        <v>1</v>
      </c>
      <c r="B71" s="30">
        <v>202101150441</v>
      </c>
      <c r="C71" t="s">
        <v>2865</v>
      </c>
      <c r="D71" t="s">
        <v>2866</v>
      </c>
      <c r="E71" t="s">
        <v>4937</v>
      </c>
      <c r="F71" t="s">
        <v>4819</v>
      </c>
      <c r="G71" s="27" t="str">
        <f t="shared" si="2"/>
        <v>2215 BAUER DR  HOUSTON</v>
      </c>
      <c r="H71" s="27" t="str">
        <f t="shared" si="3"/>
        <v>HOUSTON TX 77087</v>
      </c>
    </row>
    <row r="72" spans="1:8" x14ac:dyDescent="0.2">
      <c r="A72" s="27">
        <f>COUNTIFS(C:C,C72,D:D,D72)</f>
        <v>1</v>
      </c>
      <c r="B72" s="30">
        <v>202101150443</v>
      </c>
      <c r="C72" t="s">
        <v>2522</v>
      </c>
      <c r="D72" t="s">
        <v>2523</v>
      </c>
      <c r="E72" t="s">
        <v>4918</v>
      </c>
      <c r="F72" t="s">
        <v>202</v>
      </c>
      <c r="G72" s="27" t="str">
        <f t="shared" si="2"/>
        <v>5110 AZALEA  HOUSTON</v>
      </c>
      <c r="H72" s="27" t="str">
        <f t="shared" si="3"/>
        <v>HOUSTON TX 77066</v>
      </c>
    </row>
    <row r="73" spans="1:8" x14ac:dyDescent="0.2">
      <c r="A73" s="27">
        <f>COUNTIFS(C:C,C73,D:D,D73)</f>
        <v>1</v>
      </c>
      <c r="B73" s="30">
        <v>202101150450</v>
      </c>
      <c r="C73" s="28" t="s">
        <v>1803</v>
      </c>
      <c r="D73" s="28" t="s">
        <v>1804</v>
      </c>
      <c r="E73" s="28" t="s">
        <v>4872</v>
      </c>
      <c r="F73" s="28" t="s">
        <v>4797</v>
      </c>
      <c r="G73" s="27" t="str">
        <f t="shared" si="2"/>
        <v>6038 HAIGHT ST  HOUSTON</v>
      </c>
      <c r="H73" s="27" t="str">
        <f t="shared" si="3"/>
        <v>HOUSTON TX 77028</v>
      </c>
    </row>
    <row r="74" spans="1:8" x14ac:dyDescent="0.2">
      <c r="A74" s="27">
        <f>COUNTIFS(C:C,C74,D:D,D74)</f>
        <v>1</v>
      </c>
      <c r="B74" s="30">
        <v>202101150451</v>
      </c>
      <c r="C74" t="s">
        <v>2436</v>
      </c>
      <c r="D74" t="s">
        <v>2437</v>
      </c>
      <c r="E74" t="s">
        <v>5026</v>
      </c>
      <c r="F74" t="s">
        <v>213</v>
      </c>
      <c r="G74" s="27" t="str">
        <f t="shared" si="2"/>
        <v>15240 OLD GALVESTON R OAD 904 WEBSTER</v>
      </c>
      <c r="H74" s="27" t="str">
        <f t="shared" si="3"/>
        <v>HOUSTON TX 77598</v>
      </c>
    </row>
    <row r="75" spans="1:8" x14ac:dyDescent="0.2">
      <c r="A75" s="27">
        <f>COUNTIFS(C:C,C75,D:D,D75)</f>
        <v>1</v>
      </c>
      <c r="B75" s="30">
        <v>202101150461</v>
      </c>
      <c r="C75" t="s">
        <v>3471</v>
      </c>
      <c r="D75" t="s">
        <v>3472</v>
      </c>
      <c r="E75" t="s">
        <v>4950</v>
      </c>
      <c r="F75" t="s">
        <v>183</v>
      </c>
      <c r="G75" s="27" t="str">
        <f t="shared" si="2"/>
        <v>329 WYNELL TERRACE  HOUSTON</v>
      </c>
      <c r="H75" s="27" t="str">
        <f t="shared" si="3"/>
        <v>HOUSTON TX 77022</v>
      </c>
    </row>
    <row r="76" spans="1:8" x14ac:dyDescent="0.2">
      <c r="A76" s="27">
        <f>COUNTIFS(C:C,C76,D:D,D76)</f>
        <v>1</v>
      </c>
      <c r="B76" s="30">
        <v>202101150464</v>
      </c>
      <c r="C76" t="s">
        <v>3242</v>
      </c>
      <c r="D76" t="s">
        <v>3243</v>
      </c>
      <c r="E76" t="s">
        <v>4944</v>
      </c>
      <c r="F76" t="s">
        <v>221</v>
      </c>
      <c r="G76" s="27" t="str">
        <f t="shared" si="2"/>
        <v>2134 LITTLE CEDAR DR  KINGWOOD</v>
      </c>
      <c r="H76" s="27" t="str">
        <f t="shared" si="3"/>
        <v>HOUSTON TX 77339</v>
      </c>
    </row>
    <row r="77" spans="1:8" x14ac:dyDescent="0.2">
      <c r="A77" s="27">
        <f>COUNTIFS(C:C,C77,D:D,D77)</f>
        <v>1</v>
      </c>
      <c r="B77" s="30">
        <v>202101150469</v>
      </c>
      <c r="C77" t="s">
        <v>3477</v>
      </c>
      <c r="D77" t="s">
        <v>3478</v>
      </c>
      <c r="E77" t="s">
        <v>4933</v>
      </c>
      <c r="F77" t="s">
        <v>188</v>
      </c>
      <c r="G77" s="27" t="str">
        <f t="shared" si="2"/>
        <v>2001 LAVERNE ST 716  HOUSTON</v>
      </c>
      <c r="H77" s="27" t="str">
        <f t="shared" si="3"/>
        <v>HOUSTON TX 77080</v>
      </c>
    </row>
    <row r="78" spans="1:8" x14ac:dyDescent="0.2">
      <c r="A78" s="27">
        <f>COUNTIFS(C:C,C78,D:D,D78)</f>
        <v>1</v>
      </c>
      <c r="B78" s="30">
        <v>202101150475</v>
      </c>
      <c r="C78" s="28" t="s">
        <v>1607</v>
      </c>
      <c r="D78" s="28" t="s">
        <v>1608</v>
      </c>
      <c r="E78" s="28" t="s">
        <v>4872</v>
      </c>
      <c r="F78" s="28" t="s">
        <v>203</v>
      </c>
      <c r="G78" s="27" t="str">
        <f t="shared" si="2"/>
        <v>7509 S FINCH CIR  HOUSTON</v>
      </c>
      <c r="H78" s="27" t="str">
        <f t="shared" si="3"/>
        <v>HOUSTON TX 77028</v>
      </c>
    </row>
    <row r="79" spans="1:8" x14ac:dyDescent="0.2">
      <c r="A79" s="27">
        <f>COUNTIFS(C:C,C79,D:D,D79)</f>
        <v>1</v>
      </c>
      <c r="B79" s="30">
        <v>202101150476</v>
      </c>
      <c r="C79" t="s">
        <v>2551</v>
      </c>
      <c r="D79" t="s">
        <v>2552</v>
      </c>
      <c r="E79" t="s">
        <v>4934</v>
      </c>
      <c r="F79" t="s">
        <v>237</v>
      </c>
      <c r="G79" s="27" t="str">
        <f t="shared" si="2"/>
        <v>6711 AVENUE H  HOUSTON</v>
      </c>
      <c r="H79" s="27" t="str">
        <f t="shared" si="3"/>
        <v>HOUSTON TX 77011</v>
      </c>
    </row>
    <row r="80" spans="1:8" x14ac:dyDescent="0.2">
      <c r="A80" s="27">
        <f>COUNTIFS(C:C,C80,D:D,D80)</f>
        <v>1</v>
      </c>
      <c r="B80" s="30">
        <v>202101150479</v>
      </c>
      <c r="C80" t="s">
        <v>3166</v>
      </c>
      <c r="D80" t="s">
        <v>3167</v>
      </c>
      <c r="E80" t="s">
        <v>4874</v>
      </c>
      <c r="F80" t="s">
        <v>219</v>
      </c>
      <c r="G80" s="27" t="str">
        <f t="shared" si="2"/>
        <v>5771 BELNEATH ST  HOUSTON</v>
      </c>
      <c r="H80" s="27" t="str">
        <f t="shared" si="3"/>
        <v>HOUSTON TX 77033</v>
      </c>
    </row>
    <row r="81" spans="1:8" x14ac:dyDescent="0.2">
      <c r="A81" s="27">
        <f>COUNTIFS(C:C,C81,D:D,D81)</f>
        <v>1</v>
      </c>
      <c r="B81" s="30">
        <v>202101150480</v>
      </c>
      <c r="C81" s="28" t="s">
        <v>1068</v>
      </c>
      <c r="D81" s="28" t="s">
        <v>1069</v>
      </c>
      <c r="E81" s="28" t="s">
        <v>4933</v>
      </c>
      <c r="F81" s="28" t="s">
        <v>193</v>
      </c>
      <c r="G81" s="27" t="str">
        <f t="shared" si="2"/>
        <v>8415 SONNEVILLE DR  HOUSTON</v>
      </c>
      <c r="H81" s="27" t="str">
        <f t="shared" si="3"/>
        <v>HOUSTON TX 77080</v>
      </c>
    </row>
    <row r="82" spans="1:8" x14ac:dyDescent="0.2">
      <c r="A82" s="27">
        <f>COUNTIFS(C:C,C82,D:D,D82)</f>
        <v>1</v>
      </c>
      <c r="B82" s="30">
        <v>202101150482</v>
      </c>
      <c r="C82" t="s">
        <v>2334</v>
      </c>
      <c r="D82" t="s">
        <v>2335</v>
      </c>
      <c r="E82" t="s">
        <v>4988</v>
      </c>
      <c r="F82" t="s">
        <v>238</v>
      </c>
      <c r="G82" s="27" t="str">
        <f t="shared" si="2"/>
        <v>1919 ROBCREST WAY  MISSOURI C</v>
      </c>
      <c r="H82" s="27" t="str">
        <f t="shared" si="3"/>
        <v>HOUSTON TX 77489</v>
      </c>
    </row>
    <row r="83" spans="1:8" x14ac:dyDescent="0.2">
      <c r="A83" s="27">
        <f>COUNTIFS(C:C,C83,D:D,D83)</f>
        <v>1</v>
      </c>
      <c r="B83" s="30">
        <v>202101150483</v>
      </c>
      <c r="C83" t="s">
        <v>3479</v>
      </c>
      <c r="D83" t="s">
        <v>3480</v>
      </c>
      <c r="E83" t="s">
        <v>5137</v>
      </c>
      <c r="F83" t="s">
        <v>200</v>
      </c>
      <c r="G83" s="27" t="str">
        <f t="shared" si="2"/>
        <v>2636 YORKTOWN ST 348  HOUSTON</v>
      </c>
      <c r="H83" s="27" t="str">
        <f t="shared" si="3"/>
        <v>HOUSTON TX 77056</v>
      </c>
    </row>
    <row r="84" spans="1:8" x14ac:dyDescent="0.2">
      <c r="A84" s="27">
        <f>COUNTIFS(C:C,C84,D:D,D84)</f>
        <v>1</v>
      </c>
      <c r="B84" s="30">
        <v>202101150488</v>
      </c>
      <c r="C84" t="s">
        <v>3236</v>
      </c>
      <c r="D84" t="s">
        <v>3237</v>
      </c>
      <c r="E84" t="s">
        <v>5178</v>
      </c>
      <c r="F84" t="s">
        <v>202</v>
      </c>
      <c r="G84" s="27" t="str">
        <f t="shared" si="2"/>
        <v>30476 REIDS PRARIE RD  WALLER</v>
      </c>
      <c r="H84" s="27" t="str">
        <f t="shared" si="3"/>
        <v>HOUSTON TX 77484</v>
      </c>
    </row>
    <row r="85" spans="1:8" x14ac:dyDescent="0.2">
      <c r="A85" s="27">
        <f>COUNTIFS(C:C,C85,D:D,D85)</f>
        <v>1</v>
      </c>
      <c r="B85" s="30">
        <v>202101150489</v>
      </c>
      <c r="C85" s="28" t="s">
        <v>1658</v>
      </c>
      <c r="D85" s="28" t="s">
        <v>1659</v>
      </c>
      <c r="E85" s="28" t="s">
        <v>4891</v>
      </c>
      <c r="F85" s="28" t="s">
        <v>203</v>
      </c>
      <c r="G85" s="27" t="str">
        <f t="shared" si="2"/>
        <v>7727 ALPERTON DR  HOUSTON</v>
      </c>
      <c r="H85" s="27" t="str">
        <f t="shared" si="3"/>
        <v>HOUSTON TX 77088</v>
      </c>
    </row>
    <row r="86" spans="1:8" x14ac:dyDescent="0.2">
      <c r="A86" s="27">
        <f>COUNTIFS(C:C,C86,D:D,D86)</f>
        <v>1</v>
      </c>
      <c r="B86" s="30">
        <v>202101150490</v>
      </c>
      <c r="C86" s="28" t="s">
        <v>1133</v>
      </c>
      <c r="D86" s="28" t="s">
        <v>1134</v>
      </c>
      <c r="E86" s="28" t="s">
        <v>4889</v>
      </c>
      <c r="F86" s="28" t="s">
        <v>182</v>
      </c>
      <c r="G86" s="27" t="str">
        <f t="shared" si="2"/>
        <v>1226 BAERTLETT COVE DR HOUSTON</v>
      </c>
      <c r="H86" s="27" t="str">
        <f t="shared" si="3"/>
        <v>HOUSTON TX 77067</v>
      </c>
    </row>
    <row r="87" spans="1:8" x14ac:dyDescent="0.2">
      <c r="A87" s="27">
        <f>COUNTIFS(C:C,C87,D:D,D87)</f>
        <v>1</v>
      </c>
      <c r="B87" s="30">
        <v>202101150494</v>
      </c>
      <c r="C87" s="28" t="s">
        <v>956</v>
      </c>
      <c r="D87" s="28" t="s">
        <v>957</v>
      </c>
      <c r="E87" s="28" t="s">
        <v>4862</v>
      </c>
      <c r="F87" s="28" t="s">
        <v>215</v>
      </c>
      <c r="G87" s="27" t="str">
        <f t="shared" si="2"/>
        <v>100 HOLLOW TREE  HOUSTON</v>
      </c>
      <c r="H87" s="27" t="str">
        <f t="shared" si="3"/>
        <v>HOUSTON TX 77090</v>
      </c>
    </row>
    <row r="88" spans="1:8" x14ac:dyDescent="0.2">
      <c r="A88" s="27">
        <f>COUNTIFS(C:C,C88,D:D,D88)</f>
        <v>1</v>
      </c>
      <c r="B88" s="30">
        <v>202101150502</v>
      </c>
      <c r="C88" t="s">
        <v>2506</v>
      </c>
      <c r="D88" t="s">
        <v>2507</v>
      </c>
      <c r="E88" t="s">
        <v>5134</v>
      </c>
      <c r="F88" t="s">
        <v>213</v>
      </c>
      <c r="G88" s="27" t="str">
        <f t="shared" si="2"/>
        <v>3826 LILES  ATASCOCITA</v>
      </c>
      <c r="H88" s="27" t="str">
        <f t="shared" si="3"/>
        <v xml:space="preserve">HOUSTON TX      </v>
      </c>
    </row>
    <row r="89" spans="1:8" x14ac:dyDescent="0.2">
      <c r="A89" s="27">
        <f>COUNTIFS(C:C,C89,D:D,D89)</f>
        <v>1</v>
      </c>
      <c r="B89" s="30">
        <v>202101150504</v>
      </c>
      <c r="C89" s="28" t="s">
        <v>1233</v>
      </c>
      <c r="D89" s="28" t="s">
        <v>1234</v>
      </c>
      <c r="E89" s="28" t="s">
        <v>4859</v>
      </c>
      <c r="F89" s="28" t="s">
        <v>187</v>
      </c>
      <c r="G89" s="27" t="str">
        <f t="shared" si="2"/>
        <v>411 HIGHLAND CROSS  HOUSTON</v>
      </c>
      <c r="H89" s="27" t="str">
        <f t="shared" si="3"/>
        <v>HOUSTON TX 77073</v>
      </c>
    </row>
    <row r="90" spans="1:8" x14ac:dyDescent="0.2">
      <c r="A90" s="27">
        <f>COUNTIFS(C:C,C90,D:D,D90)</f>
        <v>1</v>
      </c>
      <c r="B90" s="30">
        <v>202101150506</v>
      </c>
      <c r="C90" t="s">
        <v>5136</v>
      </c>
      <c r="D90" t="s">
        <v>2548</v>
      </c>
      <c r="E90" t="s">
        <v>4860</v>
      </c>
      <c r="F90" t="s">
        <v>386</v>
      </c>
      <c r="G90" s="27" t="str">
        <f t="shared" si="2"/>
        <v>3406 WISCONSIN ST  BAYTOWN</v>
      </c>
      <c r="H90" s="27" t="str">
        <f t="shared" si="3"/>
        <v>HOUSTON TX 77520</v>
      </c>
    </row>
    <row r="91" spans="1:8" x14ac:dyDescent="0.2">
      <c r="A91" s="27">
        <f>COUNTIFS(C:C,C91,D:D,D91)</f>
        <v>1</v>
      </c>
      <c r="B91" s="30">
        <v>202101150508</v>
      </c>
      <c r="C91" t="s">
        <v>2631</v>
      </c>
      <c r="D91" t="s">
        <v>2632</v>
      </c>
      <c r="E91" t="s">
        <v>4851</v>
      </c>
      <c r="F91" t="s">
        <v>239</v>
      </c>
      <c r="G91" s="27" t="str">
        <f t="shared" si="2"/>
        <v>320 MASSEY TOMKINS RD BAYTOWN</v>
      </c>
      <c r="H91" s="27" t="str">
        <f t="shared" si="3"/>
        <v>HOUSTON TX 77521</v>
      </c>
    </row>
    <row r="92" spans="1:8" x14ac:dyDescent="0.2">
      <c r="A92" s="27">
        <f>COUNTIFS(C:C,C92,D:D,D92)</f>
        <v>1</v>
      </c>
      <c r="B92" s="30">
        <v>202101150519</v>
      </c>
      <c r="C92" s="28" t="s">
        <v>474</v>
      </c>
      <c r="D92" s="28" t="s">
        <v>475</v>
      </c>
      <c r="E92" s="28" t="s">
        <v>4852</v>
      </c>
      <c r="F92" s="28" t="s">
        <v>240</v>
      </c>
      <c r="G92" s="27" t="str">
        <f t="shared" si="2"/>
        <v>9622 LOCKWOOD DR  HOUSTON</v>
      </c>
      <c r="H92" s="27" t="str">
        <f t="shared" si="3"/>
        <v>HOUSTON TX 77016</v>
      </c>
    </row>
    <row r="93" spans="1:8" x14ac:dyDescent="0.2">
      <c r="A93" s="27">
        <f>COUNTIFS(C:C,C93,D:D,D93)</f>
        <v>1</v>
      </c>
      <c r="B93" s="30">
        <v>202101150525</v>
      </c>
      <c r="C93" s="28" t="s">
        <v>1262</v>
      </c>
      <c r="D93" s="28" t="s">
        <v>1263</v>
      </c>
      <c r="E93" s="28" t="s">
        <v>4901</v>
      </c>
      <c r="F93" s="28" t="s">
        <v>302</v>
      </c>
      <c r="G93" s="27" t="str">
        <f t="shared" si="2"/>
        <v>7132 CROWN WEST  HOUSTON</v>
      </c>
      <c r="H93" s="27" t="str">
        <f t="shared" si="3"/>
        <v>HOUSTON TX 77072</v>
      </c>
    </row>
    <row r="94" spans="1:8" x14ac:dyDescent="0.2">
      <c r="A94" s="27">
        <f>COUNTIFS(C:C,C94,D:D,D94)</f>
        <v>1</v>
      </c>
      <c r="B94" s="30">
        <v>202101150528</v>
      </c>
      <c r="C94" t="s">
        <v>2676</v>
      </c>
      <c r="D94" t="s">
        <v>2677</v>
      </c>
      <c r="E94" t="s">
        <v>4993</v>
      </c>
      <c r="F94" t="s">
        <v>193</v>
      </c>
      <c r="G94" s="27" t="str">
        <f t="shared" si="2"/>
        <v>4365 S 4TH ST  BEAUMONT</v>
      </c>
      <c r="H94" s="27" t="str">
        <f t="shared" si="3"/>
        <v>HOUSTON TX 77705</v>
      </c>
    </row>
    <row r="95" spans="1:8" x14ac:dyDescent="0.2">
      <c r="A95" s="27">
        <f>COUNTIFS(C:C,C95,D:D,D95)</f>
        <v>1</v>
      </c>
      <c r="B95" s="30">
        <v>202101150538</v>
      </c>
      <c r="C95" t="s">
        <v>3497</v>
      </c>
      <c r="D95" t="s">
        <v>3498</v>
      </c>
      <c r="E95" t="s">
        <v>4850</v>
      </c>
      <c r="F95" t="s">
        <v>188</v>
      </c>
      <c r="G95" s="27" t="str">
        <f t="shared" si="2"/>
        <v>10925 BEAMER RD 390  HOUSTON</v>
      </c>
      <c r="H95" s="27" t="str">
        <f t="shared" si="3"/>
        <v>HOUSTON TX 77089</v>
      </c>
    </row>
    <row r="96" spans="1:8" x14ac:dyDescent="0.2">
      <c r="A96" s="27">
        <f>COUNTIFS(C:C,C96,D:D,D96)</f>
        <v>1</v>
      </c>
      <c r="B96" s="30">
        <v>202101150543</v>
      </c>
      <c r="C96" s="28" t="s">
        <v>750</v>
      </c>
      <c r="D96" s="28" t="s">
        <v>751</v>
      </c>
      <c r="E96" s="28" t="s">
        <v>4875</v>
      </c>
      <c r="F96" s="28" t="s">
        <v>221</v>
      </c>
      <c r="G96" s="27" t="str">
        <f t="shared" si="2"/>
        <v>7320 JENSEN DR  HOUSTON</v>
      </c>
      <c r="H96" s="27" t="str">
        <f t="shared" si="3"/>
        <v>HOUSTON TX 77093</v>
      </c>
    </row>
    <row r="97" spans="1:8" x14ac:dyDescent="0.2">
      <c r="A97" s="27">
        <f>COUNTIFS(C:C,C97,D:D,D97)</f>
        <v>1</v>
      </c>
      <c r="B97" s="30">
        <v>202101150544</v>
      </c>
      <c r="C97" t="s">
        <v>3252</v>
      </c>
      <c r="D97" t="s">
        <v>3253</v>
      </c>
      <c r="E97" t="s">
        <v>4896</v>
      </c>
      <c r="F97" t="s">
        <v>182</v>
      </c>
      <c r="G97" s="27" t="str">
        <f t="shared" si="2"/>
        <v>7005 S GESSNER RD  HOUSTON</v>
      </c>
      <c r="H97" s="27" t="str">
        <f t="shared" si="3"/>
        <v>HOUSTON TX 77036</v>
      </c>
    </row>
    <row r="98" spans="1:8" x14ac:dyDescent="0.2">
      <c r="A98" s="27">
        <f>COUNTIFS(C:C,C98,D:D,D98)</f>
        <v>1</v>
      </c>
      <c r="B98" s="30">
        <v>202101150547</v>
      </c>
      <c r="C98" s="28" t="s">
        <v>408</v>
      </c>
      <c r="D98" s="28" t="s">
        <v>409</v>
      </c>
      <c r="E98" s="28" t="s">
        <v>4854</v>
      </c>
      <c r="F98" s="28" t="s">
        <v>221</v>
      </c>
      <c r="G98" s="27" t="str">
        <f t="shared" si="2"/>
        <v>6103 CRANE ST  HOUSTON</v>
      </c>
      <c r="H98" s="27" t="str">
        <f t="shared" si="3"/>
        <v>HOUSTON TX 77026</v>
      </c>
    </row>
    <row r="99" spans="1:8" x14ac:dyDescent="0.2">
      <c r="A99" s="27">
        <f>COUNTIFS(C:C,C99,D:D,D99)</f>
        <v>1</v>
      </c>
      <c r="B99" s="30">
        <v>202101150559</v>
      </c>
      <c r="C99" s="28" t="s">
        <v>1038</v>
      </c>
      <c r="D99" s="28" t="s">
        <v>1039</v>
      </c>
      <c r="E99" s="28" t="s">
        <v>4951</v>
      </c>
      <c r="F99" s="28" t="s">
        <v>189</v>
      </c>
      <c r="G99" s="27" t="str">
        <f t="shared" si="2"/>
        <v>9530 CURRY LANDING D R HOUSTON</v>
      </c>
      <c r="H99" s="27" t="str">
        <f t="shared" si="3"/>
        <v>HOUSTON TX 77095</v>
      </c>
    </row>
    <row r="100" spans="1:8" x14ac:dyDescent="0.2">
      <c r="A100" s="27">
        <f>COUNTIFS(C:C,C100,D:D,D100)</f>
        <v>1</v>
      </c>
      <c r="B100" s="30">
        <v>202101150563</v>
      </c>
      <c r="C100" t="s">
        <v>2227</v>
      </c>
      <c r="D100" t="s">
        <v>2228</v>
      </c>
      <c r="E100" t="s">
        <v>4891</v>
      </c>
      <c r="F100" t="s">
        <v>337</v>
      </c>
      <c r="G100" s="27" t="str">
        <f t="shared" si="2"/>
        <v>5414 CACTUS FOREST D R HOUSTON</v>
      </c>
      <c r="H100" s="27" t="str">
        <f t="shared" si="3"/>
        <v>HOUSTON TX 77088</v>
      </c>
    </row>
    <row r="101" spans="1:8" x14ac:dyDescent="0.2">
      <c r="A101" s="27">
        <f>COUNTIFS(C:C,C101,D:D,D101)</f>
        <v>1</v>
      </c>
      <c r="B101" s="30">
        <v>202101150565</v>
      </c>
      <c r="C101" s="28" t="s">
        <v>716</v>
      </c>
      <c r="D101" s="28" t="s">
        <v>717</v>
      </c>
      <c r="E101" s="28" t="s">
        <v>4942</v>
      </c>
      <c r="F101" s="28" t="s">
        <v>181</v>
      </c>
      <c r="G101" s="27" t="str">
        <f t="shared" si="2"/>
        <v>3509 EVERGREEN DR  HOUSTON</v>
      </c>
      <c r="H101" s="27" t="str">
        <f t="shared" si="3"/>
        <v>HOUSTON TX 77365</v>
      </c>
    </row>
    <row r="102" spans="1:8" x14ac:dyDescent="0.2">
      <c r="A102" s="27">
        <f>COUNTIFS(C:C,C102,D:D,D102)</f>
        <v>1</v>
      </c>
      <c r="B102" s="30">
        <v>202101150572</v>
      </c>
      <c r="C102" s="28" t="s">
        <v>1719</v>
      </c>
      <c r="D102" s="28" t="s">
        <v>1720</v>
      </c>
      <c r="E102" s="28" t="s">
        <v>4952</v>
      </c>
      <c r="F102" s="28" t="s">
        <v>184</v>
      </c>
      <c r="G102" s="27" t="str">
        <f t="shared" si="2"/>
        <v>1705 JENKINS  PASADENA</v>
      </c>
      <c r="H102" s="27" t="str">
        <f t="shared" si="3"/>
        <v>HOUSTON TX 77506</v>
      </c>
    </row>
    <row r="103" spans="1:8" x14ac:dyDescent="0.2">
      <c r="A103" s="27">
        <f>COUNTIFS(C:C,C103,D:D,D103)</f>
        <v>1</v>
      </c>
      <c r="B103" s="30">
        <v>202101150574</v>
      </c>
      <c r="C103" t="s">
        <v>2741</v>
      </c>
      <c r="D103" t="s">
        <v>2742</v>
      </c>
      <c r="E103" t="s">
        <v>4915</v>
      </c>
      <c r="F103" t="s">
        <v>4815</v>
      </c>
      <c r="G103" s="27" t="str">
        <f t="shared" si="2"/>
        <v>3722 SEABROOK ST  HOUSTON</v>
      </c>
      <c r="H103" s="27" t="str">
        <f t="shared" si="3"/>
        <v>HOUSTON TX 77021</v>
      </c>
    </row>
    <row r="104" spans="1:8" x14ac:dyDescent="0.2">
      <c r="A104" s="27">
        <f>COUNTIFS(C:C,C104,D:D,D104)</f>
        <v>1</v>
      </c>
      <c r="B104" s="30">
        <v>202101150575</v>
      </c>
      <c r="C104" t="s">
        <v>3503</v>
      </c>
      <c r="D104" t="s">
        <v>3504</v>
      </c>
      <c r="E104" t="s">
        <v>4915</v>
      </c>
      <c r="F104" t="s">
        <v>370</v>
      </c>
      <c r="G104" s="27" t="str">
        <f t="shared" si="2"/>
        <v>3547 BACON ST  HOUSTON</v>
      </c>
      <c r="H104" s="27" t="str">
        <f t="shared" si="3"/>
        <v>HOUSTON TX 77021</v>
      </c>
    </row>
    <row r="105" spans="1:8" x14ac:dyDescent="0.2">
      <c r="A105" s="27">
        <f>COUNTIFS(C:C,C105,D:D,D105)</f>
        <v>1</v>
      </c>
      <c r="B105" s="30">
        <v>202101150577</v>
      </c>
      <c r="C105" t="s">
        <v>3505</v>
      </c>
      <c r="D105" t="s">
        <v>3506</v>
      </c>
      <c r="E105" t="s">
        <v>5194</v>
      </c>
      <c r="F105" t="s">
        <v>200</v>
      </c>
      <c r="G105" s="27" t="str">
        <f t="shared" si="2"/>
        <v>815 W ABRAMS ST  ARLINGTON</v>
      </c>
      <c r="H105" s="27" t="str">
        <f t="shared" si="3"/>
        <v>HOUSTON TX 76013</v>
      </c>
    </row>
    <row r="106" spans="1:8" x14ac:dyDescent="0.2">
      <c r="A106" s="27">
        <f>COUNTIFS(C:C,C106,D:D,D106)</f>
        <v>1</v>
      </c>
      <c r="B106" s="30">
        <v>202101150578</v>
      </c>
      <c r="C106" t="s">
        <v>2482</v>
      </c>
      <c r="D106" t="s">
        <v>2483</v>
      </c>
      <c r="E106" t="s">
        <v>4852</v>
      </c>
      <c r="F106" t="s">
        <v>185</v>
      </c>
      <c r="G106" s="27" t="str">
        <f t="shared" ref="G106:G169" si="4">D106&amp;" "&amp;MID(E106,1,FIND(" TX",E106)-1)</f>
        <v>7203 ORLANDO ST  HOUSTON</v>
      </c>
      <c r="H106" s="27" t="str">
        <f t="shared" ref="H106:H169" si="5">"HOUSTON "&amp;MID(E106,FIND("TX",E106),8)</f>
        <v>HOUSTON TX 77016</v>
      </c>
    </row>
    <row r="107" spans="1:8" x14ac:dyDescent="0.2">
      <c r="A107" s="27">
        <f>COUNTIFS(C:C,C107,D:D,D107)</f>
        <v>1</v>
      </c>
      <c r="B107" s="30">
        <v>202101150582</v>
      </c>
      <c r="C107" t="s">
        <v>3507</v>
      </c>
      <c r="D107" t="s">
        <v>3508</v>
      </c>
      <c r="E107" t="s">
        <v>5195</v>
      </c>
      <c r="F107" t="s">
        <v>242</v>
      </c>
      <c r="G107" s="27" t="str">
        <f t="shared" si="4"/>
        <v>224 AUSTIN ST  ANGLETON</v>
      </c>
      <c r="H107" s="27" t="str">
        <f t="shared" si="5"/>
        <v>HOUSTON TX 77515</v>
      </c>
    </row>
    <row r="108" spans="1:8" x14ac:dyDescent="0.2">
      <c r="A108" s="27">
        <f>COUNTIFS(C:C,C108,D:D,D108)</f>
        <v>1</v>
      </c>
      <c r="B108" s="30">
        <v>202101150585</v>
      </c>
      <c r="C108" t="s">
        <v>2745</v>
      </c>
      <c r="D108" t="s">
        <v>2746</v>
      </c>
      <c r="E108" t="s">
        <v>5152</v>
      </c>
      <c r="F108" t="s">
        <v>243</v>
      </c>
      <c r="G108" s="27" t="str">
        <f t="shared" si="4"/>
        <v>130 BLUEBAY DR  BAYTOWN</v>
      </c>
      <c r="H108" s="27" t="str">
        <f t="shared" si="5"/>
        <v>HOUSTON TX 77523</v>
      </c>
    </row>
    <row r="109" spans="1:8" x14ac:dyDescent="0.2">
      <c r="A109" s="27">
        <f>COUNTIFS(C:C,C109,D:D,D109)</f>
        <v>1</v>
      </c>
      <c r="B109" s="30">
        <v>202101150586</v>
      </c>
      <c r="C109" s="28" t="s">
        <v>1362</v>
      </c>
      <c r="D109" s="28" t="s">
        <v>1363</v>
      </c>
      <c r="E109" s="28" t="s">
        <v>4982</v>
      </c>
      <c r="F109" s="28" t="s">
        <v>213</v>
      </c>
      <c r="G109" s="27" t="str">
        <f t="shared" si="4"/>
        <v>12807 EDGEWOOD PARK D R HOUSTON</v>
      </c>
      <c r="H109" s="27" t="str">
        <f t="shared" si="5"/>
        <v>HOUSTON TX 77038</v>
      </c>
    </row>
    <row r="110" spans="1:8" x14ac:dyDescent="0.2">
      <c r="A110" s="27">
        <f>COUNTIFS(C:C,C110,D:D,D110)</f>
        <v>1</v>
      </c>
      <c r="B110" s="30">
        <v>202101150589</v>
      </c>
      <c r="C110" t="s">
        <v>3183</v>
      </c>
      <c r="D110" t="s">
        <v>3184</v>
      </c>
      <c r="E110" t="s">
        <v>4981</v>
      </c>
      <c r="F110" t="s">
        <v>236</v>
      </c>
      <c r="G110" s="27" t="str">
        <f t="shared" si="4"/>
        <v>116 E EDGEBROOK DR  HOUSTON</v>
      </c>
      <c r="H110" s="27" t="str">
        <f t="shared" si="5"/>
        <v>HOUSTON TX 77034</v>
      </c>
    </row>
    <row r="111" spans="1:8" x14ac:dyDescent="0.2">
      <c r="A111" s="27">
        <f>COUNTIFS(C:C,C111,D:D,D111)</f>
        <v>1</v>
      </c>
      <c r="B111" s="30">
        <v>202101150590</v>
      </c>
      <c r="C111" s="28" t="s">
        <v>868</v>
      </c>
      <c r="D111" s="28" t="s">
        <v>869</v>
      </c>
      <c r="E111" s="28" t="s">
        <v>4960</v>
      </c>
      <c r="F111" s="28" t="s">
        <v>187</v>
      </c>
      <c r="G111" s="27" t="str">
        <f t="shared" si="4"/>
        <v>17103 IMPERIAL VALLEY DR HOUSTON</v>
      </c>
      <c r="H111" s="27" t="str">
        <f t="shared" si="5"/>
        <v>HOUSTON TX 77060</v>
      </c>
    </row>
    <row r="112" spans="1:8" x14ac:dyDescent="0.2">
      <c r="A112" s="27">
        <f>COUNTIFS(C:C,C112,D:D,D112)</f>
        <v>1</v>
      </c>
      <c r="B112" s="30">
        <v>202101150591</v>
      </c>
      <c r="C112" t="s">
        <v>2779</v>
      </c>
      <c r="D112" t="s">
        <v>2780</v>
      </c>
      <c r="E112" t="s">
        <v>4898</v>
      </c>
      <c r="F112" t="s">
        <v>223</v>
      </c>
      <c r="G112" s="27" t="str">
        <f t="shared" si="4"/>
        <v>9514 GULFBRIDGE ST  HOUSTON</v>
      </c>
      <c r="H112" s="27" t="str">
        <f t="shared" si="5"/>
        <v>HOUSTON TX 77075</v>
      </c>
    </row>
    <row r="113" spans="1:8" x14ac:dyDescent="0.2">
      <c r="A113" s="27">
        <f>COUNTIFS(C:C,C113,D:D,D113)</f>
        <v>1</v>
      </c>
      <c r="B113" s="30">
        <v>202101150594</v>
      </c>
      <c r="C113" s="28" t="s">
        <v>756</v>
      </c>
      <c r="D113" s="28" t="s">
        <v>757</v>
      </c>
      <c r="E113" s="28" t="s">
        <v>4951</v>
      </c>
      <c r="F113" s="28" t="s">
        <v>187</v>
      </c>
      <c r="G113" s="27" t="str">
        <f t="shared" si="4"/>
        <v>8727 POINT PARK  HOUSTON</v>
      </c>
      <c r="H113" s="27" t="str">
        <f t="shared" si="5"/>
        <v>HOUSTON TX 77095</v>
      </c>
    </row>
    <row r="114" spans="1:8" x14ac:dyDescent="0.2">
      <c r="A114" s="27">
        <f>COUNTIFS(C:C,C114,D:D,D114)</f>
        <v>1</v>
      </c>
      <c r="B114" s="30">
        <v>202101150596</v>
      </c>
      <c r="C114" s="28" t="s">
        <v>1540</v>
      </c>
      <c r="D114" s="28" t="s">
        <v>1541</v>
      </c>
      <c r="E114" s="28" t="s">
        <v>4991</v>
      </c>
      <c r="F114" s="28" t="s">
        <v>193</v>
      </c>
      <c r="G114" s="27" t="str">
        <f t="shared" si="4"/>
        <v>10075 WESTPARK DR  HOUSTON</v>
      </c>
      <c r="H114" s="27" t="str">
        <f t="shared" si="5"/>
        <v>HOUSTON TX 77042</v>
      </c>
    </row>
    <row r="115" spans="1:8" x14ac:dyDescent="0.2">
      <c r="A115" s="27">
        <f>COUNTIFS(C:C,C115,D:D,D115)</f>
        <v>1</v>
      </c>
      <c r="B115" s="30">
        <v>202101150597</v>
      </c>
      <c r="C115" t="s">
        <v>3511</v>
      </c>
      <c r="D115" t="s">
        <v>3512</v>
      </c>
      <c r="E115" t="s">
        <v>5196</v>
      </c>
      <c r="F115" t="s">
        <v>339</v>
      </c>
      <c r="G115" s="27" t="str">
        <f t="shared" si="4"/>
        <v>7506 CORRIE CV  AUSTIN</v>
      </c>
      <c r="H115" s="27" t="str">
        <f t="shared" si="5"/>
        <v xml:space="preserve">HOUSTON TX      </v>
      </c>
    </row>
    <row r="116" spans="1:8" x14ac:dyDescent="0.2">
      <c r="A116" s="27">
        <f>COUNTIFS(C:C,C116,D:D,D116)</f>
        <v>1</v>
      </c>
      <c r="B116" s="30">
        <v>202101150598</v>
      </c>
      <c r="C116" t="s">
        <v>3513</v>
      </c>
      <c r="D116" t="s">
        <v>3514</v>
      </c>
      <c r="E116" t="s">
        <v>4914</v>
      </c>
      <c r="F116" t="s">
        <v>371</v>
      </c>
      <c r="G116" s="27" t="str">
        <f t="shared" si="4"/>
        <v>12401 OVERBROOK LN  HOUSTON</v>
      </c>
      <c r="H116" s="27" t="str">
        <f t="shared" si="5"/>
        <v>HOUSTON TX 77077</v>
      </c>
    </row>
    <row r="117" spans="1:8" x14ac:dyDescent="0.2">
      <c r="A117" s="27">
        <f>COUNTIFS(C:C,C117,D:D,D117)</f>
        <v>1</v>
      </c>
      <c r="B117" s="30">
        <v>202101150606</v>
      </c>
      <c r="C117" t="s">
        <v>2586</v>
      </c>
      <c r="D117" t="s">
        <v>2587</v>
      </c>
      <c r="E117" t="s">
        <v>4900</v>
      </c>
      <c r="F117" t="s">
        <v>348</v>
      </c>
      <c r="G117" s="27" t="str">
        <f t="shared" si="4"/>
        <v>20606 RAINSTONE CT  KATY</v>
      </c>
      <c r="H117" s="27" t="str">
        <f t="shared" si="5"/>
        <v>HOUSTON TX 77449</v>
      </c>
    </row>
    <row r="118" spans="1:8" x14ac:dyDescent="0.2">
      <c r="A118" s="27">
        <f>COUNTIFS(C:C,C118,D:D,D118)</f>
        <v>1</v>
      </c>
      <c r="B118" s="30">
        <v>202101150609</v>
      </c>
      <c r="C118" s="28" t="s">
        <v>1848</v>
      </c>
      <c r="D118" s="28" t="s">
        <v>1849</v>
      </c>
      <c r="E118" s="28" t="s">
        <v>5050</v>
      </c>
      <c r="F118" s="28" t="s">
        <v>211</v>
      </c>
      <c r="G118" s="27" t="str">
        <f t="shared" si="4"/>
        <v>13223 CHAMPIONS CENTR E DR 217 HOUSTON</v>
      </c>
      <c r="H118" s="27" t="str">
        <f t="shared" si="5"/>
        <v>HOUSTON TX 77069</v>
      </c>
    </row>
    <row r="119" spans="1:8" x14ac:dyDescent="0.2">
      <c r="A119" s="27">
        <f>COUNTIFS(C:C,C119,D:D,D119)</f>
        <v>1</v>
      </c>
      <c r="B119" s="30">
        <v>202101150623</v>
      </c>
      <c r="C119" t="s">
        <v>2229</v>
      </c>
      <c r="D119" t="s">
        <v>2230</v>
      </c>
      <c r="E119" t="s">
        <v>4917</v>
      </c>
      <c r="F119" t="s">
        <v>202</v>
      </c>
      <c r="G119" s="27" t="str">
        <f t="shared" si="4"/>
        <v>8800 GUSTINE LN  HOUSTON</v>
      </c>
      <c r="H119" s="27" t="str">
        <f t="shared" si="5"/>
        <v>HOUSTON TX 77031</v>
      </c>
    </row>
    <row r="120" spans="1:8" x14ac:dyDescent="0.2">
      <c r="A120" s="27">
        <f>COUNTIFS(C:C,C120,D:D,D120)</f>
        <v>1</v>
      </c>
      <c r="B120" s="30">
        <v>202101150625</v>
      </c>
      <c r="C120" s="28" t="s">
        <v>978</v>
      </c>
      <c r="D120" s="28" t="s">
        <v>979</v>
      </c>
      <c r="E120" s="28" t="s">
        <v>4891</v>
      </c>
      <c r="F120" s="28" t="s">
        <v>202</v>
      </c>
      <c r="G120" s="27" t="str">
        <f t="shared" si="4"/>
        <v>1006 TWIN FALLS RD  HOUSTON</v>
      </c>
      <c r="H120" s="27" t="str">
        <f t="shared" si="5"/>
        <v>HOUSTON TX 77088</v>
      </c>
    </row>
    <row r="121" spans="1:8" x14ac:dyDescent="0.2">
      <c r="A121" s="27">
        <f>COUNTIFS(C:C,C121,D:D,D121)</f>
        <v>1</v>
      </c>
      <c r="B121" s="30">
        <v>202101150631</v>
      </c>
      <c r="C121" s="28" t="s">
        <v>526</v>
      </c>
      <c r="D121" s="28" t="s">
        <v>527</v>
      </c>
      <c r="E121" s="28" t="s">
        <v>4856</v>
      </c>
      <c r="F121" s="28" t="s">
        <v>246</v>
      </c>
      <c r="G121" s="27" t="str">
        <f t="shared" si="4"/>
        <v>8282 PARK PLACE BLVD  HOUSTON</v>
      </c>
      <c r="H121" s="27" t="str">
        <f t="shared" si="5"/>
        <v>HOUSTON TX 77017</v>
      </c>
    </row>
    <row r="122" spans="1:8" x14ac:dyDescent="0.2">
      <c r="A122" s="27">
        <f>COUNTIFS(C:C,C122,D:D,D122)</f>
        <v>1</v>
      </c>
      <c r="B122" s="30">
        <v>202101150632</v>
      </c>
      <c r="C122" t="s">
        <v>3519</v>
      </c>
      <c r="D122" t="s">
        <v>3520</v>
      </c>
      <c r="E122" t="s">
        <v>4952</v>
      </c>
      <c r="F122" t="s">
        <v>200</v>
      </c>
      <c r="G122" s="27" t="str">
        <f t="shared" si="4"/>
        <v>347 RICHEY ST 57  PASADENA</v>
      </c>
      <c r="H122" s="27" t="str">
        <f t="shared" si="5"/>
        <v>HOUSTON TX 77506</v>
      </c>
    </row>
    <row r="123" spans="1:8" x14ac:dyDescent="0.2">
      <c r="A123" s="27">
        <f>COUNTIFS(C:C,C123,D:D,D123)</f>
        <v>1</v>
      </c>
      <c r="B123" s="30">
        <v>202101150633</v>
      </c>
      <c r="C123" t="s">
        <v>2594</v>
      </c>
      <c r="D123" t="s">
        <v>2595</v>
      </c>
      <c r="E123" t="s">
        <v>4862</v>
      </c>
      <c r="F123" t="s">
        <v>185</v>
      </c>
      <c r="G123" s="27" t="str">
        <f t="shared" si="4"/>
        <v>1602 ANVIL DR  HOUSTON</v>
      </c>
      <c r="H123" s="27" t="str">
        <f t="shared" si="5"/>
        <v>HOUSTON TX 77090</v>
      </c>
    </row>
    <row r="124" spans="1:8" x14ac:dyDescent="0.2">
      <c r="A124" s="27">
        <f>COUNTIFS(C:C,C124,D:D,D124)</f>
        <v>1</v>
      </c>
      <c r="B124" s="30">
        <v>202101150635</v>
      </c>
      <c r="C124" s="28" t="s">
        <v>510</v>
      </c>
      <c r="D124" s="28" t="s">
        <v>511</v>
      </c>
      <c r="E124" s="28" t="s">
        <v>4894</v>
      </c>
      <c r="F124" s="28" t="s">
        <v>182</v>
      </c>
      <c r="G124" s="27" t="str">
        <f t="shared" si="4"/>
        <v>1909 CHAPMAN ST  HOUSTON</v>
      </c>
      <c r="H124" s="27" t="str">
        <f t="shared" si="5"/>
        <v>HOUSTON TX 77009</v>
      </c>
    </row>
    <row r="125" spans="1:8" x14ac:dyDescent="0.2">
      <c r="A125" s="27">
        <f>COUNTIFS(C:C,C125,D:D,D125)</f>
        <v>1</v>
      </c>
      <c r="B125" s="30">
        <v>202101150643</v>
      </c>
      <c r="C125" s="28" t="s">
        <v>1942</v>
      </c>
      <c r="D125" s="28" t="s">
        <v>1943</v>
      </c>
      <c r="E125" s="28" t="s">
        <v>5060</v>
      </c>
      <c r="F125" s="28" t="s">
        <v>245</v>
      </c>
      <c r="G125" s="27" t="str">
        <f t="shared" si="4"/>
        <v>10430 EARLY SQUARE CT  HOUSTON</v>
      </c>
      <c r="H125" s="27" t="str">
        <f t="shared" si="5"/>
        <v>HOUSTON TX 77070</v>
      </c>
    </row>
    <row r="126" spans="1:8" x14ac:dyDescent="0.2">
      <c r="A126" s="27">
        <f>COUNTIFS(C:C,C126,D:D,D126)</f>
        <v>1</v>
      </c>
      <c r="B126" s="30">
        <v>202101150644</v>
      </c>
      <c r="C126" t="s">
        <v>3523</v>
      </c>
      <c r="D126" t="s">
        <v>3524</v>
      </c>
      <c r="E126" t="s">
        <v>4988</v>
      </c>
      <c r="F126" t="s">
        <v>185</v>
      </c>
      <c r="G126" s="27" t="str">
        <f t="shared" si="4"/>
        <v>15806 WILLMORE LN  MISSOURI C</v>
      </c>
      <c r="H126" s="27" t="str">
        <f t="shared" si="5"/>
        <v>HOUSTON TX 77489</v>
      </c>
    </row>
    <row r="127" spans="1:8" x14ac:dyDescent="0.2">
      <c r="A127" s="27">
        <f>COUNTIFS(C:C,C127,D:D,D127)</f>
        <v>1</v>
      </c>
      <c r="B127" s="30">
        <v>202101150649</v>
      </c>
      <c r="C127" t="s">
        <v>3202</v>
      </c>
      <c r="D127" t="s">
        <v>3203</v>
      </c>
      <c r="E127" t="s">
        <v>4988</v>
      </c>
      <c r="F127" t="s">
        <v>204</v>
      </c>
      <c r="G127" s="27" t="str">
        <f t="shared" si="4"/>
        <v>6603 ROCKERGATE DR  MISSOURI C</v>
      </c>
      <c r="H127" s="27" t="str">
        <f t="shared" si="5"/>
        <v>HOUSTON TX 77489</v>
      </c>
    </row>
    <row r="128" spans="1:8" x14ac:dyDescent="0.2">
      <c r="A128" s="27">
        <f>COUNTIFS(C:C,C128,D:D,D128)</f>
        <v>1</v>
      </c>
      <c r="B128" s="30">
        <v>202101150654</v>
      </c>
      <c r="C128" s="28" t="s">
        <v>1127</v>
      </c>
      <c r="D128" s="28" t="s">
        <v>1128</v>
      </c>
      <c r="E128" s="28" t="s">
        <v>4936</v>
      </c>
      <c r="F128" s="28" t="s">
        <v>299</v>
      </c>
      <c r="G128" s="27" t="str">
        <f t="shared" si="4"/>
        <v>7618 DAWNRIDGE DR  HOUSTON</v>
      </c>
      <c r="H128" s="27" t="str">
        <f t="shared" si="5"/>
        <v>HOUSTON TX 77071</v>
      </c>
    </row>
    <row r="129" spans="1:8" x14ac:dyDescent="0.2">
      <c r="A129" s="27">
        <f>COUNTIFS(C:C,C129,D:D,D129)</f>
        <v>1</v>
      </c>
      <c r="B129" s="30">
        <v>202101150656</v>
      </c>
      <c r="C129" t="s">
        <v>2725</v>
      </c>
      <c r="D129" t="s">
        <v>2726</v>
      </c>
      <c r="E129" t="s">
        <v>4931</v>
      </c>
      <c r="F129" t="s">
        <v>203</v>
      </c>
      <c r="G129" s="27" t="str">
        <f t="shared" si="4"/>
        <v>14400 ELLA BLVD APT 2 6 HOUSTON</v>
      </c>
      <c r="H129" s="27" t="str">
        <f t="shared" si="5"/>
        <v>HOUSTON TX 77014</v>
      </c>
    </row>
    <row r="130" spans="1:8" x14ac:dyDescent="0.2">
      <c r="A130" s="27">
        <f>COUNTIFS(C:C,C130,D:D,D130)</f>
        <v>1</v>
      </c>
      <c r="B130" s="30">
        <v>202101150660</v>
      </c>
      <c r="C130" s="28" t="s">
        <v>538</v>
      </c>
      <c r="D130" s="28" t="s">
        <v>539</v>
      </c>
      <c r="E130" s="28" t="s">
        <v>4893</v>
      </c>
      <c r="F130" s="28" t="s">
        <v>200</v>
      </c>
      <c r="G130" s="27" t="str">
        <f t="shared" si="4"/>
        <v>13033 LANDMARK #3  HOUSTON</v>
      </c>
      <c r="H130" s="27" t="str">
        <f t="shared" si="5"/>
        <v>HOUSTON TX 77045</v>
      </c>
    </row>
    <row r="131" spans="1:8" x14ac:dyDescent="0.2">
      <c r="A131" s="27">
        <f>COUNTIFS(C:C,C131,D:D,D131)</f>
        <v>1</v>
      </c>
      <c r="B131" s="30">
        <v>202101150661</v>
      </c>
      <c r="C131" t="s">
        <v>3402</v>
      </c>
      <c r="D131" t="s">
        <v>3403</v>
      </c>
      <c r="E131" t="s">
        <v>5185</v>
      </c>
      <c r="F131" t="s">
        <v>230</v>
      </c>
      <c r="G131" s="27" t="str">
        <f t="shared" si="4"/>
        <v>1269 STEPHENSON BROW N LUFKIN</v>
      </c>
      <c r="H131" s="27" t="str">
        <f t="shared" si="5"/>
        <v>HOUSTON TX 75904</v>
      </c>
    </row>
    <row r="132" spans="1:8" x14ac:dyDescent="0.2">
      <c r="A132" s="27">
        <f>COUNTIFS(C:C,C132,D:D,D132)</f>
        <v>1</v>
      </c>
      <c r="B132" s="30">
        <v>202101150663</v>
      </c>
      <c r="C132" s="28" t="s">
        <v>1609</v>
      </c>
      <c r="D132" s="28" t="s">
        <v>1610</v>
      </c>
      <c r="E132" s="28" t="s">
        <v>4986</v>
      </c>
      <c r="F132" s="28" t="s">
        <v>233</v>
      </c>
      <c r="G132" s="27" t="str">
        <f t="shared" si="4"/>
        <v>831 WILSON RD  HUMBLE</v>
      </c>
      <c r="H132" s="27" t="str">
        <f t="shared" si="5"/>
        <v>HOUSTON TX 77338</v>
      </c>
    </row>
    <row r="133" spans="1:8" x14ac:dyDescent="0.2">
      <c r="A133" s="27">
        <f>COUNTIFS(C:C,C133,D:D,D133)</f>
        <v>1</v>
      </c>
      <c r="B133" s="30">
        <v>202101150664</v>
      </c>
      <c r="C133" t="s">
        <v>2384</v>
      </c>
      <c r="D133" t="s">
        <v>2385</v>
      </c>
      <c r="E133" t="s">
        <v>4862</v>
      </c>
      <c r="F133" t="s">
        <v>247</v>
      </c>
      <c r="G133" s="27" t="str">
        <f t="shared" si="4"/>
        <v>14923 RAIN DANCE DRIV E HOUSTON</v>
      </c>
      <c r="H133" s="27" t="str">
        <f t="shared" si="5"/>
        <v>HOUSTON TX 77090</v>
      </c>
    </row>
    <row r="134" spans="1:8" x14ac:dyDescent="0.2">
      <c r="A134" s="27">
        <f>COUNTIFS(C:C,C134,D:D,D134)</f>
        <v>1</v>
      </c>
      <c r="B134" s="30">
        <v>202101150665</v>
      </c>
      <c r="C134" t="s">
        <v>3535</v>
      </c>
      <c r="D134" t="s">
        <v>3536</v>
      </c>
      <c r="E134" t="s">
        <v>4887</v>
      </c>
      <c r="F134" t="s">
        <v>185</v>
      </c>
      <c r="G134" s="27" t="str">
        <f t="shared" si="4"/>
        <v>9914 SMOKEY QUARTZ L N ROSHARON</v>
      </c>
      <c r="H134" s="27" t="str">
        <f t="shared" si="5"/>
        <v>HOUSTON TX 77583</v>
      </c>
    </row>
    <row r="135" spans="1:8" x14ac:dyDescent="0.2">
      <c r="A135" s="27">
        <f>COUNTIFS(C:C,C135,D:D,D135)</f>
        <v>1</v>
      </c>
      <c r="B135" s="30">
        <v>202101150666</v>
      </c>
      <c r="C135" t="s">
        <v>2528</v>
      </c>
      <c r="D135" t="s">
        <v>2529</v>
      </c>
      <c r="E135" t="s">
        <v>4879</v>
      </c>
      <c r="F135" t="s">
        <v>248</v>
      </c>
      <c r="G135" s="27" t="str">
        <f t="shared" si="4"/>
        <v>6806 COVINGTON DR  HOUSTON</v>
      </c>
      <c r="H135" s="27" t="str">
        <f t="shared" si="5"/>
        <v>HOUSTON TX 77091</v>
      </c>
    </row>
    <row r="136" spans="1:8" x14ac:dyDescent="0.2">
      <c r="A136" s="27">
        <f>COUNTIFS(C:C,C136,D:D,D136)</f>
        <v>1</v>
      </c>
      <c r="B136" s="30">
        <v>202101150668</v>
      </c>
      <c r="C136" s="28" t="s">
        <v>1587</v>
      </c>
      <c r="D136" s="28" t="s">
        <v>1588</v>
      </c>
      <c r="E136" s="28" t="s">
        <v>4889</v>
      </c>
      <c r="F136" s="28" t="s">
        <v>249</v>
      </c>
      <c r="G136" s="27" t="str">
        <f t="shared" si="4"/>
        <v>633 RUSHCREEK  HOUSTON</v>
      </c>
      <c r="H136" s="27" t="str">
        <f t="shared" si="5"/>
        <v>HOUSTON TX 77067</v>
      </c>
    </row>
    <row r="137" spans="1:8" x14ac:dyDescent="0.2">
      <c r="A137" s="27">
        <f>COUNTIFS(C:C,C137,D:D,D137)</f>
        <v>1</v>
      </c>
      <c r="B137" s="30">
        <v>202101150675</v>
      </c>
      <c r="C137" s="28" t="s">
        <v>1105</v>
      </c>
      <c r="D137" s="28" t="s">
        <v>1106</v>
      </c>
      <c r="E137" s="28" t="s">
        <v>4852</v>
      </c>
      <c r="F137" s="28" t="s">
        <v>213</v>
      </c>
      <c r="G137" s="27" t="str">
        <f t="shared" si="4"/>
        <v>10610 CASTLETON ST  HOUSTON</v>
      </c>
      <c r="H137" s="27" t="str">
        <f t="shared" si="5"/>
        <v>HOUSTON TX 77016</v>
      </c>
    </row>
    <row r="138" spans="1:8" x14ac:dyDescent="0.2">
      <c r="A138" s="27">
        <f>COUNTIFS(C:C,C138,D:D,D138)</f>
        <v>1</v>
      </c>
      <c r="B138" s="30">
        <v>202101150677</v>
      </c>
      <c r="C138" t="s">
        <v>3238</v>
      </c>
      <c r="D138" t="s">
        <v>3239</v>
      </c>
      <c r="E138" t="s">
        <v>4860</v>
      </c>
      <c r="F138" t="s">
        <v>185</v>
      </c>
      <c r="G138" s="27" t="str">
        <f t="shared" si="4"/>
        <v>3113.5 MICHIGAN ST  BAYTOWN</v>
      </c>
      <c r="H138" s="27" t="str">
        <f t="shared" si="5"/>
        <v>HOUSTON TX 77520</v>
      </c>
    </row>
    <row r="139" spans="1:8" x14ac:dyDescent="0.2">
      <c r="A139" s="27">
        <f>COUNTIFS(C:C,C139,D:D,D139)</f>
        <v>1</v>
      </c>
      <c r="B139" s="30">
        <v>202101150678</v>
      </c>
      <c r="C139" t="s">
        <v>3537</v>
      </c>
      <c r="D139" t="s">
        <v>3538</v>
      </c>
      <c r="E139" t="s">
        <v>5199</v>
      </c>
      <c r="F139" t="s">
        <v>182</v>
      </c>
      <c r="G139" s="27" t="e">
        <f t="shared" si="4"/>
        <v>#VALUE!</v>
      </c>
      <c r="H139" s="27" t="e">
        <f t="shared" si="5"/>
        <v>#VALUE!</v>
      </c>
    </row>
    <row r="140" spans="1:8" x14ac:dyDescent="0.2">
      <c r="A140" s="27">
        <f>COUNTIFS(C:C,C140,D:D,D140)</f>
        <v>1</v>
      </c>
      <c r="B140" s="30">
        <v>202101150682</v>
      </c>
      <c r="C140" s="28" t="s">
        <v>754</v>
      </c>
      <c r="D140" s="28" t="s">
        <v>755</v>
      </c>
      <c r="E140" s="28" t="s">
        <v>4950</v>
      </c>
      <c r="F140" s="28" t="s">
        <v>203</v>
      </c>
      <c r="G140" s="27" t="str">
        <f t="shared" si="4"/>
        <v>4040 EUROPA  HOUSTON</v>
      </c>
      <c r="H140" s="27" t="str">
        <f t="shared" si="5"/>
        <v>HOUSTON TX 77022</v>
      </c>
    </row>
    <row r="141" spans="1:8" x14ac:dyDescent="0.2">
      <c r="A141" s="27">
        <f>COUNTIFS(C:C,C141,D:D,D141)</f>
        <v>1</v>
      </c>
      <c r="B141" s="30">
        <v>202101150684</v>
      </c>
      <c r="C141" t="s">
        <v>2173</v>
      </c>
      <c r="D141" t="s">
        <v>2174</v>
      </c>
      <c r="E141" t="s">
        <v>5107</v>
      </c>
      <c r="F141" t="s">
        <v>204</v>
      </c>
      <c r="G141" s="27" t="str">
        <f t="shared" si="4"/>
        <v>1000 MAIN ST  HOUSOTN</v>
      </c>
      <c r="H141" s="27" t="str">
        <f t="shared" si="5"/>
        <v>HOUSTON TX 77030</v>
      </c>
    </row>
    <row r="142" spans="1:8" x14ac:dyDescent="0.2">
      <c r="A142" s="27">
        <f>COUNTIFS(C:C,C142,D:D,D142)</f>
        <v>1</v>
      </c>
      <c r="B142" s="30">
        <v>202101150688</v>
      </c>
      <c r="C142" t="s">
        <v>2130</v>
      </c>
      <c r="D142" t="s">
        <v>2131</v>
      </c>
      <c r="E142" t="s">
        <v>4867</v>
      </c>
      <c r="F142" t="s">
        <v>206</v>
      </c>
      <c r="G142" s="27" t="str">
        <f t="shared" si="4"/>
        <v>2504 MUNGER ST  HOUSTON</v>
      </c>
      <c r="H142" s="27" t="str">
        <f t="shared" si="5"/>
        <v>HOUSTON TX 77023</v>
      </c>
    </row>
    <row r="143" spans="1:8" x14ac:dyDescent="0.2">
      <c r="A143" s="27">
        <f>COUNTIFS(C:C,C143,D:D,D143)</f>
        <v>1</v>
      </c>
      <c r="B143" s="30">
        <v>202101150689</v>
      </c>
      <c r="C143" t="s">
        <v>2683</v>
      </c>
      <c r="D143" t="s">
        <v>2684</v>
      </c>
      <c r="E143" t="s">
        <v>4851</v>
      </c>
      <c r="F143" t="s">
        <v>187</v>
      </c>
      <c r="G143" s="27" t="str">
        <f t="shared" si="4"/>
        <v>3400 SHADY HILL DR  BAYTOWN</v>
      </c>
      <c r="H143" s="27" t="str">
        <f t="shared" si="5"/>
        <v>HOUSTON TX 77521</v>
      </c>
    </row>
    <row r="144" spans="1:8" x14ac:dyDescent="0.2">
      <c r="A144" s="27">
        <f>COUNTIFS(C:C,C144,D:D,D144)</f>
        <v>1</v>
      </c>
      <c r="B144" s="30">
        <v>202101150693</v>
      </c>
      <c r="C144" t="s">
        <v>2739</v>
      </c>
      <c r="D144" t="s">
        <v>2740</v>
      </c>
      <c r="E144" t="s">
        <v>4853</v>
      </c>
      <c r="F144" t="s">
        <v>185</v>
      </c>
      <c r="G144" s="27" t="str">
        <f t="shared" si="4"/>
        <v>3802 CONNORVALE RD  HOUSTON</v>
      </c>
      <c r="H144" s="27" t="str">
        <f t="shared" si="5"/>
        <v>HOUSTON TX 77039</v>
      </c>
    </row>
    <row r="145" spans="1:8" x14ac:dyDescent="0.2">
      <c r="A145" s="27">
        <f>COUNTIFS(C:C,C145,D:D,D145)</f>
        <v>1</v>
      </c>
      <c r="B145" s="30">
        <v>202101150699</v>
      </c>
      <c r="C145" s="28" t="s">
        <v>1551</v>
      </c>
      <c r="D145" s="28" t="s">
        <v>1552</v>
      </c>
      <c r="E145" s="28" t="s">
        <v>4862</v>
      </c>
      <c r="F145" s="28" t="s">
        <v>315</v>
      </c>
      <c r="G145" s="27" t="str">
        <f t="shared" si="4"/>
        <v>17417 RED OOOAK DR  HOUSTON</v>
      </c>
      <c r="H145" s="27" t="str">
        <f t="shared" si="5"/>
        <v>HOUSTON TX 77090</v>
      </c>
    </row>
    <row r="146" spans="1:8" x14ac:dyDescent="0.2">
      <c r="A146" s="27">
        <f>COUNTIFS(C:C,C146,D:D,D146)</f>
        <v>1</v>
      </c>
      <c r="B146" s="30">
        <v>202101150705</v>
      </c>
      <c r="C146" t="s">
        <v>3547</v>
      </c>
      <c r="D146" t="s">
        <v>3548</v>
      </c>
      <c r="E146" t="s">
        <v>4901</v>
      </c>
      <c r="F146" t="s">
        <v>224</v>
      </c>
      <c r="G146" s="27" t="str">
        <f t="shared" si="4"/>
        <v>11615 SANDSTONE  HOUSTON</v>
      </c>
      <c r="H146" s="27" t="str">
        <f t="shared" si="5"/>
        <v>HOUSTON TX 77072</v>
      </c>
    </row>
    <row r="147" spans="1:8" x14ac:dyDescent="0.2">
      <c r="A147" s="27">
        <f>COUNTIFS(C:C,C147,D:D,D147)</f>
        <v>1</v>
      </c>
      <c r="B147" s="30">
        <v>202101150706</v>
      </c>
      <c r="C147" t="s">
        <v>2304</v>
      </c>
      <c r="D147" t="s">
        <v>2305</v>
      </c>
      <c r="E147" t="s">
        <v>4952</v>
      </c>
      <c r="F147" t="s">
        <v>200</v>
      </c>
      <c r="G147" s="27" t="str">
        <f t="shared" si="4"/>
        <v>212 OAKDALE ST  PASADENA</v>
      </c>
      <c r="H147" s="27" t="str">
        <f t="shared" si="5"/>
        <v>HOUSTON TX 77506</v>
      </c>
    </row>
    <row r="148" spans="1:8" x14ac:dyDescent="0.2">
      <c r="A148" s="27">
        <f>COUNTIFS(C:C,C148,D:D,D148)</f>
        <v>1</v>
      </c>
      <c r="B148" s="30">
        <v>202101150713</v>
      </c>
      <c r="C148" s="28" t="s">
        <v>1559</v>
      </c>
      <c r="D148" s="28" t="s">
        <v>1560</v>
      </c>
      <c r="E148" s="28" t="s">
        <v>4852</v>
      </c>
      <c r="F148" s="28" t="s">
        <v>182</v>
      </c>
      <c r="G148" s="27" t="str">
        <f t="shared" si="4"/>
        <v>3913 LYNNFIELD  HOUSTON</v>
      </c>
      <c r="H148" s="27" t="str">
        <f t="shared" si="5"/>
        <v>HOUSTON TX 77016</v>
      </c>
    </row>
    <row r="149" spans="1:8" x14ac:dyDescent="0.2">
      <c r="A149" s="27">
        <f>COUNTIFS(C:C,C149,D:D,D149)</f>
        <v>1</v>
      </c>
      <c r="B149" s="30">
        <v>202101150717</v>
      </c>
      <c r="C149" t="s">
        <v>3551</v>
      </c>
      <c r="D149" t="s">
        <v>3552</v>
      </c>
      <c r="E149" t="s">
        <v>4973</v>
      </c>
      <c r="F149" t="s">
        <v>192</v>
      </c>
      <c r="G149" s="27" t="str">
        <f t="shared" si="4"/>
        <v>6600 DUNLAP ST  HOUSTON</v>
      </c>
      <c r="H149" s="27" t="str">
        <f t="shared" si="5"/>
        <v>HOUSTON TX 77074</v>
      </c>
    </row>
    <row r="150" spans="1:8" x14ac:dyDescent="0.2">
      <c r="A150" s="27">
        <f>COUNTIFS(C:C,C150,D:D,D150)</f>
        <v>1</v>
      </c>
      <c r="B150" s="30">
        <v>202101150718</v>
      </c>
      <c r="C150" t="s">
        <v>3404</v>
      </c>
      <c r="D150" t="s">
        <v>3405</v>
      </c>
      <c r="E150" t="s">
        <v>4973</v>
      </c>
      <c r="F150" t="s">
        <v>192</v>
      </c>
      <c r="G150" s="27" t="str">
        <f t="shared" si="4"/>
        <v>6600 DUNLAP ST 3049  HOUSTON</v>
      </c>
      <c r="H150" s="27" t="str">
        <f t="shared" si="5"/>
        <v>HOUSTON TX 77074</v>
      </c>
    </row>
    <row r="151" spans="1:8" x14ac:dyDescent="0.2">
      <c r="A151" s="27">
        <f>COUNTIFS(C:C,C151,D:D,D151)</f>
        <v>1</v>
      </c>
      <c r="B151" s="30">
        <v>202101150723</v>
      </c>
      <c r="C151" t="s">
        <v>2578</v>
      </c>
      <c r="D151" t="s">
        <v>2579</v>
      </c>
      <c r="E151" t="s">
        <v>5139</v>
      </c>
      <c r="F151" t="s">
        <v>4780</v>
      </c>
      <c r="G151" s="27" t="str">
        <f t="shared" si="4"/>
        <v>293 COUNTY RD 2637  ALTO</v>
      </c>
      <c r="H151" s="27" t="str">
        <f t="shared" si="5"/>
        <v>HOUSTON TX 75925</v>
      </c>
    </row>
    <row r="152" spans="1:8" x14ac:dyDescent="0.2">
      <c r="A152" s="27">
        <f>COUNTIFS(C:C,C152,D:D,D152)</f>
        <v>1</v>
      </c>
      <c r="B152" s="30">
        <v>202101150724</v>
      </c>
      <c r="C152" s="28" t="s">
        <v>1266</v>
      </c>
      <c r="D152" s="28" t="s">
        <v>1267</v>
      </c>
      <c r="E152" s="28" t="s">
        <v>4880</v>
      </c>
      <c r="F152" s="28" t="s">
        <v>203</v>
      </c>
      <c r="G152" s="27" t="str">
        <f t="shared" si="4"/>
        <v>2505 BURKETT  HOUSTON</v>
      </c>
      <c r="H152" s="27" t="str">
        <f t="shared" si="5"/>
        <v>HOUSTON TX 77004</v>
      </c>
    </row>
    <row r="153" spans="1:8" x14ac:dyDescent="0.2">
      <c r="A153" s="27">
        <f>COUNTIFS(C:C,C153,D:D,D153)</f>
        <v>1</v>
      </c>
      <c r="B153" s="30">
        <v>202101150725</v>
      </c>
      <c r="C153" t="s">
        <v>3543</v>
      </c>
      <c r="D153" t="s">
        <v>3544</v>
      </c>
      <c r="E153" t="s">
        <v>4924</v>
      </c>
      <c r="F153" t="s">
        <v>4833</v>
      </c>
      <c r="G153" s="27" t="str">
        <f t="shared" si="4"/>
        <v>1214 WEST TALMAGE ST  ALVIN</v>
      </c>
      <c r="H153" s="27" t="str">
        <f t="shared" si="5"/>
        <v>HOUSTON TX 77511</v>
      </c>
    </row>
    <row r="154" spans="1:8" x14ac:dyDescent="0.2">
      <c r="A154" s="27">
        <f>COUNTIFS(C:C,C154,D:D,D154)</f>
        <v>1</v>
      </c>
      <c r="B154" s="30">
        <v>202101150731</v>
      </c>
      <c r="C154" s="28" t="s">
        <v>815</v>
      </c>
      <c r="D154" s="28" t="s">
        <v>816</v>
      </c>
      <c r="E154" s="28" t="s">
        <v>4901</v>
      </c>
      <c r="F154" s="28" t="s">
        <v>194</v>
      </c>
      <c r="G154" s="27" t="str">
        <f t="shared" si="4"/>
        <v>8323 WILCREST DR  HOUSTON</v>
      </c>
      <c r="H154" s="27" t="str">
        <f t="shared" si="5"/>
        <v>HOUSTON TX 77072</v>
      </c>
    </row>
    <row r="155" spans="1:8" x14ac:dyDescent="0.2">
      <c r="A155" s="27">
        <f>COUNTIFS(C:C,C155,D:D,D155)</f>
        <v>1</v>
      </c>
      <c r="B155" s="30">
        <v>202101150732</v>
      </c>
      <c r="C155" s="28" t="s">
        <v>1346</v>
      </c>
      <c r="D155" s="28" t="s">
        <v>1347</v>
      </c>
      <c r="E155" s="28" t="s">
        <v>4991</v>
      </c>
      <c r="F155" s="28" t="s">
        <v>203</v>
      </c>
      <c r="G155" s="27" t="str">
        <f t="shared" si="4"/>
        <v>9797 MEADOWGLEN LN.  HOUSTON</v>
      </c>
      <c r="H155" s="27" t="str">
        <f t="shared" si="5"/>
        <v>HOUSTON TX 77042</v>
      </c>
    </row>
    <row r="156" spans="1:8" x14ac:dyDescent="0.2">
      <c r="A156" s="27">
        <f>COUNTIFS(C:C,C156,D:D,D156)</f>
        <v>1</v>
      </c>
      <c r="B156" s="30">
        <v>202101150735</v>
      </c>
      <c r="C156" s="28" t="s">
        <v>619</v>
      </c>
      <c r="D156" s="28" t="s">
        <v>620</v>
      </c>
      <c r="E156" s="28" t="s">
        <v>4874</v>
      </c>
      <c r="F156" s="28" t="s">
        <v>215</v>
      </c>
      <c r="G156" s="27" t="str">
        <f t="shared" si="4"/>
        <v>4902 REED RD  HOUSTON</v>
      </c>
      <c r="H156" s="27" t="str">
        <f t="shared" si="5"/>
        <v>HOUSTON TX 77033</v>
      </c>
    </row>
    <row r="157" spans="1:8" x14ac:dyDescent="0.2">
      <c r="A157" s="27">
        <f>COUNTIFS(C:C,C157,D:D,D157)</f>
        <v>1</v>
      </c>
      <c r="B157" s="30">
        <v>202101150741</v>
      </c>
      <c r="C157" t="s">
        <v>1953</v>
      </c>
      <c r="D157" t="s">
        <v>1954</v>
      </c>
      <c r="E157" t="s">
        <v>4949</v>
      </c>
      <c r="F157" t="s">
        <v>188</v>
      </c>
      <c r="G157" s="27" t="str">
        <f t="shared" si="4"/>
        <v>14114 MORINSCOTT DR  HOUSTON</v>
      </c>
      <c r="H157" s="27" t="str">
        <f t="shared" si="5"/>
        <v>HOUSTON TX 77049</v>
      </c>
    </row>
    <row r="158" spans="1:8" x14ac:dyDescent="0.2">
      <c r="A158" s="27">
        <f>COUNTIFS(C:C,C158,D:D,D158)</f>
        <v>1</v>
      </c>
      <c r="B158" s="30">
        <v>202101150750</v>
      </c>
      <c r="C158" t="s">
        <v>3193</v>
      </c>
      <c r="D158" t="s">
        <v>3194</v>
      </c>
      <c r="E158" t="s">
        <v>4960</v>
      </c>
      <c r="F158" t="s">
        <v>213</v>
      </c>
      <c r="G158" s="27" t="str">
        <f t="shared" si="4"/>
        <v>17435 IMPERIAL VALLEY DR HOUSTON</v>
      </c>
      <c r="H158" s="27" t="str">
        <f t="shared" si="5"/>
        <v>HOUSTON TX 77060</v>
      </c>
    </row>
    <row r="159" spans="1:8" x14ac:dyDescent="0.2">
      <c r="A159" s="27">
        <f>COUNTIFS(C:C,C159,D:D,D159)</f>
        <v>1</v>
      </c>
      <c r="B159" s="30">
        <v>202101150752</v>
      </c>
      <c r="C159" t="s">
        <v>3558</v>
      </c>
      <c r="D159" t="s">
        <v>3559</v>
      </c>
      <c r="E159" t="s">
        <v>5160</v>
      </c>
      <c r="F159" t="s">
        <v>209</v>
      </c>
      <c r="G159" s="27" t="str">
        <f t="shared" si="4"/>
        <v>602 GIRARD  HOUSTON</v>
      </c>
      <c r="H159" s="27" t="str">
        <f t="shared" si="5"/>
        <v>HOUSTON TX 77002</v>
      </c>
    </row>
    <row r="160" spans="1:8" x14ac:dyDescent="0.2">
      <c r="A160" s="27">
        <f>COUNTIFS(C:C,C160,D:D,D160)</f>
        <v>1</v>
      </c>
      <c r="B160" s="30">
        <v>202101150753</v>
      </c>
      <c r="C160" s="28" t="s">
        <v>1314</v>
      </c>
      <c r="D160" s="28" t="s">
        <v>1315</v>
      </c>
      <c r="E160" s="28" t="s">
        <v>4886</v>
      </c>
      <c r="F160" s="28" t="s">
        <v>182</v>
      </c>
      <c r="G160" s="27" t="str">
        <f t="shared" si="4"/>
        <v>6473 DAWNRIDGE DRIVE  HOUSTON</v>
      </c>
      <c r="H160" s="27" t="str">
        <f t="shared" si="5"/>
        <v>HOUSTON TX 77035</v>
      </c>
    </row>
    <row r="161" spans="1:8" x14ac:dyDescent="0.2">
      <c r="A161" s="27">
        <f>COUNTIFS(C:C,C161,D:D,D161)</f>
        <v>1</v>
      </c>
      <c r="B161" s="30">
        <v>202101150755</v>
      </c>
      <c r="C161" t="s">
        <v>3096</v>
      </c>
      <c r="D161" t="s">
        <v>3097</v>
      </c>
      <c r="E161" t="s">
        <v>4981</v>
      </c>
      <c r="F161" t="s">
        <v>187</v>
      </c>
      <c r="G161" s="27" t="str">
        <f t="shared" si="4"/>
        <v>15313 GULF FWY IB  HOUSTON</v>
      </c>
      <c r="H161" s="27" t="str">
        <f t="shared" si="5"/>
        <v>HOUSTON TX 77034</v>
      </c>
    </row>
    <row r="162" spans="1:8" x14ac:dyDescent="0.2">
      <c r="A162" s="27">
        <f>COUNTIFS(C:C,C162,D:D,D162)</f>
        <v>1</v>
      </c>
      <c r="B162" s="30">
        <v>202101150759</v>
      </c>
      <c r="C162" s="28" t="s">
        <v>1440</v>
      </c>
      <c r="D162" s="28" t="s">
        <v>1441</v>
      </c>
      <c r="E162" s="28" t="s">
        <v>5038</v>
      </c>
      <c r="F162" s="28" t="s">
        <v>339</v>
      </c>
      <c r="G162" s="27" t="str">
        <f t="shared" si="4"/>
        <v>4555 FM 521  BRAZORIA</v>
      </c>
      <c r="H162" s="27" t="str">
        <f t="shared" si="5"/>
        <v>HOUSTON TX 77422</v>
      </c>
    </row>
    <row r="163" spans="1:8" x14ac:dyDescent="0.2">
      <c r="A163" s="27">
        <f>COUNTIFS(C:C,C163,D:D,D163)</f>
        <v>1</v>
      </c>
      <c r="B163" s="30">
        <v>202101150762</v>
      </c>
      <c r="C163" s="28" t="s">
        <v>864</v>
      </c>
      <c r="D163" s="28" t="s">
        <v>865</v>
      </c>
      <c r="E163" s="28" t="s">
        <v>4972</v>
      </c>
      <c r="F163" s="28" t="s">
        <v>203</v>
      </c>
      <c r="G163" s="27" t="str">
        <f t="shared" si="4"/>
        <v>114 PRIVATE RD 4303  HONDO</v>
      </c>
      <c r="H163" s="27" t="str">
        <f t="shared" si="5"/>
        <v>HOUSTON TX 78861</v>
      </c>
    </row>
    <row r="164" spans="1:8" x14ac:dyDescent="0.2">
      <c r="A164" s="27">
        <f>COUNTIFS(C:C,C164,D:D,D164)</f>
        <v>1</v>
      </c>
      <c r="B164" s="30">
        <v>202101150767</v>
      </c>
      <c r="C164" s="28" t="s">
        <v>1368</v>
      </c>
      <c r="D164" s="28" t="s">
        <v>1369</v>
      </c>
      <c r="E164" s="28" t="s">
        <v>4862</v>
      </c>
      <c r="F164" s="28" t="s">
        <v>196</v>
      </c>
      <c r="G164" s="27" t="str">
        <f t="shared" si="4"/>
        <v>17111 HAFER RD  HOUSTON</v>
      </c>
      <c r="H164" s="27" t="str">
        <f t="shared" si="5"/>
        <v>HOUSTON TX 77090</v>
      </c>
    </row>
    <row r="165" spans="1:8" x14ac:dyDescent="0.2">
      <c r="A165" s="27">
        <f>COUNTIFS(C:C,C165,D:D,D165)</f>
        <v>1</v>
      </c>
      <c r="B165" s="30">
        <v>202101150768</v>
      </c>
      <c r="C165" t="s">
        <v>3564</v>
      </c>
      <c r="D165" t="s">
        <v>3565</v>
      </c>
      <c r="E165" t="s">
        <v>4939</v>
      </c>
      <c r="F165" t="s">
        <v>181</v>
      </c>
      <c r="G165" s="27" t="str">
        <f t="shared" si="4"/>
        <v>9502 HANGING MOSS TR AIL HOUSTON</v>
      </c>
      <c r="H165" s="27" t="str">
        <f t="shared" si="5"/>
        <v>HOUSTON TX 77064</v>
      </c>
    </row>
    <row r="166" spans="1:8" x14ac:dyDescent="0.2">
      <c r="A166" s="27">
        <f>COUNTIFS(C:C,C166,D:D,D166)</f>
        <v>1</v>
      </c>
      <c r="B166" s="30">
        <v>202101150771</v>
      </c>
      <c r="C166" s="28" t="s">
        <v>1530</v>
      </c>
      <c r="D166" s="28" t="s">
        <v>1531</v>
      </c>
      <c r="E166" s="28" t="s">
        <v>4890</v>
      </c>
      <c r="F166" s="28" t="s">
        <v>204</v>
      </c>
      <c r="G166" s="27" t="str">
        <f t="shared" si="4"/>
        <v>7922 PECAN VILLAS  HOUSTON</v>
      </c>
      <c r="H166" s="27" t="str">
        <f t="shared" si="5"/>
        <v>HOUSTON TX 77061</v>
      </c>
    </row>
    <row r="167" spans="1:8" x14ac:dyDescent="0.2">
      <c r="A167" s="27">
        <f>COUNTIFS(C:C,C167,D:D,D167)</f>
        <v>1</v>
      </c>
      <c r="B167" s="30">
        <v>202101150773</v>
      </c>
      <c r="C167" s="28" t="s">
        <v>1394</v>
      </c>
      <c r="D167" s="28" t="s">
        <v>1395</v>
      </c>
      <c r="E167" s="28" t="s">
        <v>4931</v>
      </c>
      <c r="F167" s="28" t="s">
        <v>4782</v>
      </c>
      <c r="G167" s="27" t="str">
        <f t="shared" si="4"/>
        <v>2930 NAPOLEONIC COUR T HOUSTON</v>
      </c>
      <c r="H167" s="27" t="str">
        <f t="shared" si="5"/>
        <v>HOUSTON TX 77014</v>
      </c>
    </row>
    <row r="168" spans="1:8" x14ac:dyDescent="0.2">
      <c r="A168" s="27">
        <f>COUNTIFS(C:C,C168,D:D,D168)</f>
        <v>1</v>
      </c>
      <c r="B168" s="30">
        <v>202101150774</v>
      </c>
      <c r="C168" s="28" t="s">
        <v>894</v>
      </c>
      <c r="D168" s="28" t="s">
        <v>895</v>
      </c>
      <c r="E168" s="28" t="s">
        <v>4975</v>
      </c>
      <c r="F168" s="28" t="s">
        <v>194</v>
      </c>
      <c r="G168" s="27" t="str">
        <f t="shared" si="4"/>
        <v>9606 RED MAPLE DR  HOUSTON</v>
      </c>
      <c r="H168" s="27" t="str">
        <f t="shared" si="5"/>
        <v>HOUSTON TX 77065</v>
      </c>
    </row>
    <row r="169" spans="1:8" x14ac:dyDescent="0.2">
      <c r="A169" s="27">
        <f>COUNTIFS(C:C,C169,D:D,D169)</f>
        <v>1</v>
      </c>
      <c r="B169" s="30">
        <v>202101150777</v>
      </c>
      <c r="C169" s="28" t="s">
        <v>1002</v>
      </c>
      <c r="D169" s="28" t="s">
        <v>1003</v>
      </c>
      <c r="E169" s="28" t="s">
        <v>4994</v>
      </c>
      <c r="F169" s="28" t="s">
        <v>191</v>
      </c>
      <c r="G169" s="27" t="str">
        <f t="shared" si="4"/>
        <v>21507 MANDARIN GLEN C IR SPRING</v>
      </c>
      <c r="H169" s="27" t="str">
        <f t="shared" si="5"/>
        <v>HOUSTON TX 77388</v>
      </c>
    </row>
    <row r="170" spans="1:8" x14ac:dyDescent="0.2">
      <c r="A170" s="27">
        <f>COUNTIFS(C:C,C170,D:D,D170)</f>
        <v>1</v>
      </c>
      <c r="B170" s="30">
        <v>202101150781</v>
      </c>
      <c r="C170" s="28" t="s">
        <v>426</v>
      </c>
      <c r="D170" s="28" t="s">
        <v>427</v>
      </c>
      <c r="E170" s="28" t="s">
        <v>4861</v>
      </c>
      <c r="F170" s="28" t="s">
        <v>203</v>
      </c>
      <c r="G170" s="27" t="str">
        <f t="shared" ref="G170:G233" si="6">D170&amp;" "&amp;MID(E170,1,FIND(" TX",E170)-1)</f>
        <v>4410 MALLOW STREET  HOUSTON</v>
      </c>
      <c r="H170" s="27" t="str">
        <f t="shared" ref="H170:H233" si="7">"HOUSTON "&amp;MID(E170,FIND("TX",E170),8)</f>
        <v>HOUSTON TX 77051</v>
      </c>
    </row>
    <row r="171" spans="1:8" x14ac:dyDescent="0.2">
      <c r="A171" s="27">
        <f>COUNTIFS(C:C,C171,D:D,D171)</f>
        <v>1</v>
      </c>
      <c r="B171" s="30">
        <v>202101150783</v>
      </c>
      <c r="C171" s="28" t="s">
        <v>551</v>
      </c>
      <c r="D171" s="28" t="s">
        <v>552</v>
      </c>
      <c r="E171" s="28" t="s">
        <v>4904</v>
      </c>
      <c r="F171" s="28" t="s">
        <v>194</v>
      </c>
      <c r="G171" s="27" t="str">
        <f t="shared" si="6"/>
        <v>8803 CANDY ST  HOUSTON</v>
      </c>
      <c r="H171" s="27" t="str">
        <f t="shared" si="7"/>
        <v>HOUSTON TX 77029</v>
      </c>
    </row>
    <row r="172" spans="1:8" x14ac:dyDescent="0.2">
      <c r="A172" s="27">
        <f>COUNTIFS(C:C,C172,D:D,D172)</f>
        <v>1</v>
      </c>
      <c r="B172" s="30">
        <v>202101150792</v>
      </c>
      <c r="C172" t="s">
        <v>3576</v>
      </c>
      <c r="D172" t="s">
        <v>3577</v>
      </c>
      <c r="E172" t="s">
        <v>5203</v>
      </c>
      <c r="F172" t="s">
        <v>230</v>
      </c>
      <c r="G172" s="27" t="e">
        <f t="shared" si="6"/>
        <v>#VALUE!</v>
      </c>
      <c r="H172" s="27" t="e">
        <f t="shared" si="7"/>
        <v>#VALUE!</v>
      </c>
    </row>
    <row r="173" spans="1:8" x14ac:dyDescent="0.2">
      <c r="A173" s="27">
        <f>COUNTIFS(C:C,C173,D:D,D173)</f>
        <v>1</v>
      </c>
      <c r="B173" s="30">
        <v>202101150794</v>
      </c>
      <c r="C173" s="28" t="s">
        <v>1185</v>
      </c>
      <c r="D173" s="28" t="s">
        <v>1186</v>
      </c>
      <c r="E173" s="28" t="s">
        <v>4956</v>
      </c>
      <c r="F173" s="28" t="s">
        <v>4779</v>
      </c>
      <c r="G173" s="27" t="str">
        <f t="shared" si="6"/>
        <v>11910 SUNSET RANGE DR  HUMBLE</v>
      </c>
      <c r="H173" s="27" t="str">
        <f t="shared" si="7"/>
        <v>HOUSTON TX 77346</v>
      </c>
    </row>
    <row r="174" spans="1:8" x14ac:dyDescent="0.2">
      <c r="A174" s="27">
        <f>COUNTIFS(C:C,C174,D:D,D174)</f>
        <v>1</v>
      </c>
      <c r="B174" s="30">
        <v>202101150795</v>
      </c>
      <c r="C174" s="28" t="s">
        <v>470</v>
      </c>
      <c r="D174" s="28" t="s">
        <v>471</v>
      </c>
      <c r="E174" s="28" t="s">
        <v>4855</v>
      </c>
      <c r="F174" s="28" t="s">
        <v>200</v>
      </c>
      <c r="G174" s="27" t="str">
        <f t="shared" si="6"/>
        <v>9315 BALSAM LN  HOUSTON</v>
      </c>
      <c r="H174" s="27" t="str">
        <f t="shared" si="7"/>
        <v>HOUSTON TX 77078</v>
      </c>
    </row>
    <row r="175" spans="1:8" x14ac:dyDescent="0.2">
      <c r="A175" s="27">
        <f>COUNTIFS(C:C,C175,D:D,D175)</f>
        <v>1</v>
      </c>
      <c r="B175" s="30">
        <v>202101150798</v>
      </c>
      <c r="C175" s="28" t="s">
        <v>591</v>
      </c>
      <c r="D175" s="28" t="s">
        <v>592</v>
      </c>
      <c r="E175" s="28" t="s">
        <v>4917</v>
      </c>
      <c r="F175" s="28" t="s">
        <v>200</v>
      </c>
      <c r="G175" s="27" t="str">
        <f t="shared" si="6"/>
        <v>10965 S GESSNER RD  HOUSTON</v>
      </c>
      <c r="H175" s="27" t="str">
        <f t="shared" si="7"/>
        <v>HOUSTON TX 77031</v>
      </c>
    </row>
    <row r="176" spans="1:8" x14ac:dyDescent="0.2">
      <c r="A176" s="27">
        <f>COUNTIFS(C:C,C176,D:D,D176)</f>
        <v>1</v>
      </c>
      <c r="B176" s="30">
        <v>202101150799</v>
      </c>
      <c r="C176" s="28" t="s">
        <v>1414</v>
      </c>
      <c r="D176" s="28" t="s">
        <v>1415</v>
      </c>
      <c r="E176" s="28" t="s">
        <v>4880</v>
      </c>
      <c r="F176" s="28" t="s">
        <v>187</v>
      </c>
      <c r="G176" s="27" t="str">
        <f t="shared" si="6"/>
        <v>3002 ENNIS STREET  HOUSTON</v>
      </c>
      <c r="H176" s="27" t="str">
        <f t="shared" si="7"/>
        <v>HOUSTON TX 77004</v>
      </c>
    </row>
    <row r="177" spans="1:8" x14ac:dyDescent="0.2">
      <c r="A177" s="27">
        <f>COUNTIFS(C:C,C177,D:D,D177)</f>
        <v>1</v>
      </c>
      <c r="B177" s="30">
        <v>202101150802</v>
      </c>
      <c r="C177" t="s">
        <v>3578</v>
      </c>
      <c r="D177" t="s">
        <v>3579</v>
      </c>
      <c r="E177" t="s">
        <v>5204</v>
      </c>
      <c r="F177" t="s">
        <v>187</v>
      </c>
      <c r="G177" s="27" t="str">
        <f t="shared" si="6"/>
        <v>23010 FRANZ ROAD  KATY</v>
      </c>
      <c r="H177" s="27" t="str">
        <f t="shared" si="7"/>
        <v>HOUSTON TX 77084</v>
      </c>
    </row>
    <row r="178" spans="1:8" x14ac:dyDescent="0.2">
      <c r="A178" s="27">
        <f>COUNTIFS(C:C,C178,D:D,D178)</f>
        <v>1</v>
      </c>
      <c r="B178" s="30">
        <v>202101150803</v>
      </c>
      <c r="C178" t="s">
        <v>3580</v>
      </c>
      <c r="D178" t="s">
        <v>3581</v>
      </c>
      <c r="E178" t="s">
        <v>4889</v>
      </c>
      <c r="F178" t="s">
        <v>204</v>
      </c>
      <c r="G178" s="27" t="str">
        <f t="shared" si="6"/>
        <v>1351 GREENS PKWY  HOUSTON</v>
      </c>
      <c r="H178" s="27" t="str">
        <f t="shared" si="7"/>
        <v>HOUSTON TX 77067</v>
      </c>
    </row>
    <row r="179" spans="1:8" x14ac:dyDescent="0.2">
      <c r="A179" s="27">
        <f>COUNTIFS(C:C,C179,D:D,D179)</f>
        <v>1</v>
      </c>
      <c r="B179" s="30">
        <v>202101150804</v>
      </c>
      <c r="C179" t="s">
        <v>3582</v>
      </c>
      <c r="D179" t="s">
        <v>3583</v>
      </c>
      <c r="E179" t="s">
        <v>4901</v>
      </c>
      <c r="F179" t="s">
        <v>209</v>
      </c>
      <c r="G179" s="27" t="str">
        <f t="shared" si="6"/>
        <v>10960 VILLAGE BEND LN C HOUSTON</v>
      </c>
      <c r="H179" s="27" t="str">
        <f t="shared" si="7"/>
        <v>HOUSTON TX 77072</v>
      </c>
    </row>
    <row r="180" spans="1:8" x14ac:dyDescent="0.2">
      <c r="A180" s="27">
        <f>COUNTIFS(C:C,C180,D:D,D180)</f>
        <v>1</v>
      </c>
      <c r="B180" s="30">
        <v>202101150807</v>
      </c>
      <c r="C180" t="s">
        <v>2067</v>
      </c>
      <c r="D180" t="s">
        <v>2068</v>
      </c>
      <c r="E180" t="s">
        <v>4879</v>
      </c>
      <c r="F180" t="s">
        <v>203</v>
      </c>
      <c r="G180" s="27" t="str">
        <f t="shared" si="6"/>
        <v>1502 MANSFIELD ST  HOUSTON</v>
      </c>
      <c r="H180" s="27" t="str">
        <f t="shared" si="7"/>
        <v>HOUSTON TX 77091</v>
      </c>
    </row>
    <row r="181" spans="1:8" x14ac:dyDescent="0.2">
      <c r="A181" s="27">
        <f>COUNTIFS(C:C,C181,D:D,D181)</f>
        <v>1</v>
      </c>
      <c r="B181" s="30">
        <v>202101150809</v>
      </c>
      <c r="C181" t="s">
        <v>3584</v>
      </c>
      <c r="D181" t="s">
        <v>3585</v>
      </c>
      <c r="E181" t="s">
        <v>4861</v>
      </c>
      <c r="F181" t="s">
        <v>208</v>
      </c>
      <c r="G181" s="27" t="str">
        <f t="shared" si="6"/>
        <v>2605 REED RD 2207  HOUSTON</v>
      </c>
      <c r="H181" s="27" t="str">
        <f t="shared" si="7"/>
        <v>HOUSTON TX 77051</v>
      </c>
    </row>
    <row r="182" spans="1:8" x14ac:dyDescent="0.2">
      <c r="A182" s="27">
        <f>COUNTIFS(C:C,C182,D:D,D182)</f>
        <v>1</v>
      </c>
      <c r="B182" s="30">
        <v>202101150811</v>
      </c>
      <c r="C182" t="s">
        <v>3110</v>
      </c>
      <c r="D182" t="s">
        <v>3111</v>
      </c>
      <c r="E182" t="s">
        <v>4900</v>
      </c>
      <c r="F182" t="s">
        <v>192</v>
      </c>
      <c r="G182" s="27" t="str">
        <f t="shared" si="6"/>
        <v>19547 LITTLE PINE LN  KATY</v>
      </c>
      <c r="H182" s="27" t="str">
        <f t="shared" si="7"/>
        <v>HOUSTON TX 77449</v>
      </c>
    </row>
    <row r="183" spans="1:8" x14ac:dyDescent="0.2">
      <c r="A183" s="27">
        <f>COUNTIFS(C:C,C183,D:D,D183)</f>
        <v>1</v>
      </c>
      <c r="B183" s="30">
        <v>202101150813</v>
      </c>
      <c r="C183" t="s">
        <v>3416</v>
      </c>
      <c r="D183" t="s">
        <v>3417</v>
      </c>
      <c r="E183" t="s">
        <v>4889</v>
      </c>
      <c r="F183" t="s">
        <v>4831</v>
      </c>
      <c r="G183" s="27" t="str">
        <f t="shared" si="6"/>
        <v>633 RUSHCREEK DR  HOUSTON</v>
      </c>
      <c r="H183" s="27" t="str">
        <f t="shared" si="7"/>
        <v>HOUSTON TX 77067</v>
      </c>
    </row>
    <row r="184" spans="1:8" x14ac:dyDescent="0.2">
      <c r="A184" s="27">
        <f>COUNTIFS(C:C,C184,D:D,D184)</f>
        <v>1</v>
      </c>
      <c r="B184" s="30">
        <v>202101150822</v>
      </c>
      <c r="C184" s="28" t="s">
        <v>396</v>
      </c>
      <c r="D184" s="28" t="s">
        <v>397</v>
      </c>
      <c r="E184" s="28" t="s">
        <v>4849</v>
      </c>
      <c r="F184" s="28" t="s">
        <v>4764</v>
      </c>
      <c r="G184" s="27" t="str">
        <f t="shared" si="6"/>
        <v>7 BRIAR DALE CT A PT A HOUSTON</v>
      </c>
      <c r="H184" s="27" t="str">
        <f t="shared" si="7"/>
        <v>HOUSTON TX 77027</v>
      </c>
    </row>
    <row r="185" spans="1:8" x14ac:dyDescent="0.2">
      <c r="A185" s="27">
        <f>COUNTIFS(C:C,C185,D:D,D185)</f>
        <v>1</v>
      </c>
      <c r="B185" s="30">
        <v>202101150823</v>
      </c>
      <c r="C185" s="28" t="s">
        <v>1557</v>
      </c>
      <c r="D185" s="28" t="s">
        <v>1558</v>
      </c>
      <c r="E185" s="28" t="s">
        <v>4865</v>
      </c>
      <c r="F185" s="28" t="s">
        <v>296</v>
      </c>
      <c r="G185" s="27" t="str">
        <f t="shared" si="6"/>
        <v>1207 BLALOCK DRIVE  HOUSTON</v>
      </c>
      <c r="H185" s="27" t="str">
        <f t="shared" si="7"/>
        <v xml:space="preserve">HOUSTON TX      </v>
      </c>
    </row>
    <row r="186" spans="1:8" x14ac:dyDescent="0.2">
      <c r="A186" s="27">
        <f>COUNTIFS(C:C,C186,D:D,D186)</f>
        <v>1</v>
      </c>
      <c r="B186" s="30">
        <v>202101150827</v>
      </c>
      <c r="C186" t="s">
        <v>3382</v>
      </c>
      <c r="D186" t="s">
        <v>3383</v>
      </c>
      <c r="E186" t="s">
        <v>4936</v>
      </c>
      <c r="F186" t="s">
        <v>252</v>
      </c>
      <c r="G186" s="27" t="str">
        <f t="shared" si="6"/>
        <v>12102 FONDREN BEND DR  HOUSTON</v>
      </c>
      <c r="H186" s="27" t="str">
        <f t="shared" si="7"/>
        <v>HOUSTON TX 77071</v>
      </c>
    </row>
    <row r="187" spans="1:8" x14ac:dyDescent="0.2">
      <c r="A187" s="27">
        <f>COUNTIFS(C:C,C187,D:D,D187)</f>
        <v>1</v>
      </c>
      <c r="B187" s="30">
        <v>202101150835</v>
      </c>
      <c r="C187" t="s">
        <v>1977</v>
      </c>
      <c r="D187" t="s">
        <v>1978</v>
      </c>
      <c r="E187" t="s">
        <v>4950</v>
      </c>
      <c r="F187" t="s">
        <v>224</v>
      </c>
      <c r="G187" s="27" t="str">
        <f t="shared" si="6"/>
        <v>605 BERRY RD  HOUSTON</v>
      </c>
      <c r="H187" s="27" t="str">
        <f t="shared" si="7"/>
        <v>HOUSTON TX 77022</v>
      </c>
    </row>
    <row r="188" spans="1:8" x14ac:dyDescent="0.2">
      <c r="A188" s="27">
        <f>COUNTIFS(C:C,C188,D:D,D188)</f>
        <v>1</v>
      </c>
      <c r="B188" s="30">
        <v>202101150836</v>
      </c>
      <c r="C188" s="28" t="s">
        <v>1908</v>
      </c>
      <c r="D188" s="28" t="s">
        <v>1909</v>
      </c>
      <c r="E188" s="28" t="s">
        <v>4900</v>
      </c>
      <c r="F188" s="28" t="s">
        <v>185</v>
      </c>
      <c r="G188" s="27" t="str">
        <f t="shared" si="6"/>
        <v>3026 FRESCO WELLS DR  KATY</v>
      </c>
      <c r="H188" s="27" t="str">
        <f t="shared" si="7"/>
        <v>HOUSTON TX 77449</v>
      </c>
    </row>
    <row r="189" spans="1:8" x14ac:dyDescent="0.2">
      <c r="A189" s="27">
        <f>COUNTIFS(C:C,C189,D:D,D189)</f>
        <v>1</v>
      </c>
      <c r="B189" s="30">
        <v>202101150837</v>
      </c>
      <c r="C189" s="28" t="s">
        <v>1442</v>
      </c>
      <c r="D189" s="28" t="s">
        <v>1443</v>
      </c>
      <c r="E189" s="28" t="s">
        <v>5014</v>
      </c>
      <c r="F189" s="28" t="s">
        <v>194</v>
      </c>
      <c r="G189" s="27" t="str">
        <f t="shared" si="6"/>
        <v>865 S COUNTRY CLUB DR LA PORTE</v>
      </c>
      <c r="H189" s="27" t="str">
        <f t="shared" si="7"/>
        <v>HOUSTON TX 77571</v>
      </c>
    </row>
    <row r="190" spans="1:8" x14ac:dyDescent="0.2">
      <c r="A190" s="27">
        <f>COUNTIFS(C:C,C190,D:D,D190)</f>
        <v>1</v>
      </c>
      <c r="B190" s="30">
        <v>202101150838</v>
      </c>
      <c r="C190" s="28" t="s">
        <v>484</v>
      </c>
      <c r="D190" s="28" t="s">
        <v>485</v>
      </c>
      <c r="E190" s="28" t="s">
        <v>4883</v>
      </c>
      <c r="F190" s="28" t="s">
        <v>187</v>
      </c>
      <c r="G190" s="27" t="str">
        <f t="shared" si="6"/>
        <v>215 HOLYHEAD DR  HARRIS CO</v>
      </c>
      <c r="H190" s="27" t="str">
        <f t="shared" si="7"/>
        <v>HOUSTON TX 77015</v>
      </c>
    </row>
    <row r="191" spans="1:8" x14ac:dyDescent="0.2">
      <c r="A191" s="27">
        <f>COUNTIFS(C:C,C191,D:D,D191)</f>
        <v>1</v>
      </c>
      <c r="B191" s="30">
        <v>202101150851</v>
      </c>
      <c r="C191" s="28" t="s">
        <v>678</v>
      </c>
      <c r="D191" s="28" t="s">
        <v>679</v>
      </c>
      <c r="E191" s="28" t="s">
        <v>4908</v>
      </c>
      <c r="F191" s="28" t="s">
        <v>194</v>
      </c>
      <c r="G191" s="27" t="str">
        <f t="shared" si="6"/>
        <v>1227 DUNSTON FALLS D R SPRING</v>
      </c>
      <c r="H191" s="27" t="str">
        <f t="shared" si="7"/>
        <v>HOUSTON TX 77379</v>
      </c>
    </row>
    <row r="192" spans="1:8" x14ac:dyDescent="0.2">
      <c r="A192" s="27">
        <f>COUNTIFS(C:C,C192,D:D,D192)</f>
        <v>1</v>
      </c>
      <c r="B192" s="30">
        <v>202101150853</v>
      </c>
      <c r="C192" t="s">
        <v>3618</v>
      </c>
      <c r="D192" t="s">
        <v>3619</v>
      </c>
      <c r="E192" t="s">
        <v>4874</v>
      </c>
      <c r="F192" t="s">
        <v>200</v>
      </c>
      <c r="G192" s="27" t="str">
        <f t="shared" si="6"/>
        <v>5122 MYRTLEWOOD ST  HOUSTON</v>
      </c>
      <c r="H192" s="27" t="str">
        <f t="shared" si="7"/>
        <v>HOUSTON TX 77033</v>
      </c>
    </row>
    <row r="193" spans="1:8" x14ac:dyDescent="0.2">
      <c r="A193" s="27">
        <f>COUNTIFS(C:C,C193,D:D,D193)</f>
        <v>1</v>
      </c>
      <c r="B193" s="30">
        <v>202101150855</v>
      </c>
      <c r="C193" s="28" t="s">
        <v>928</v>
      </c>
      <c r="D193" s="28" t="s">
        <v>929</v>
      </c>
      <c r="E193" s="28" t="s">
        <v>4861</v>
      </c>
      <c r="F193" s="28" t="s">
        <v>193</v>
      </c>
      <c r="G193" s="27" t="str">
        <f t="shared" si="6"/>
        <v>9115 BRANDON ST  HOUSTON</v>
      </c>
      <c r="H193" s="27" t="str">
        <f t="shared" si="7"/>
        <v>HOUSTON TX 77051</v>
      </c>
    </row>
    <row r="194" spans="1:8" x14ac:dyDescent="0.2">
      <c r="A194" s="27">
        <f>COUNTIFS(C:C,C194,D:D,D194)</f>
        <v>1</v>
      </c>
      <c r="B194" s="30">
        <v>202101150862</v>
      </c>
      <c r="C194" t="s">
        <v>3623</v>
      </c>
      <c r="D194" t="s">
        <v>3624</v>
      </c>
      <c r="E194" t="s">
        <v>4914</v>
      </c>
      <c r="F194" t="s">
        <v>313</v>
      </c>
      <c r="G194" s="27" t="str">
        <f t="shared" si="6"/>
        <v>12750 BRIAR FOREST DR APT 406 HOUSTON</v>
      </c>
      <c r="H194" s="27" t="str">
        <f t="shared" si="7"/>
        <v>HOUSTON TX 77077</v>
      </c>
    </row>
    <row r="195" spans="1:8" x14ac:dyDescent="0.2">
      <c r="A195" s="27">
        <f>COUNTIFS(C:C,C195,D:D,D195)</f>
        <v>1</v>
      </c>
      <c r="B195" s="30">
        <v>202101150864</v>
      </c>
      <c r="C195" t="s">
        <v>2282</v>
      </c>
      <c r="D195" t="s">
        <v>2283</v>
      </c>
      <c r="E195" t="s">
        <v>4983</v>
      </c>
      <c r="F195" t="s">
        <v>313</v>
      </c>
      <c r="G195" s="27" t="str">
        <f t="shared" si="6"/>
        <v>549 SUMMER PARK DR  STAFFORD</v>
      </c>
      <c r="H195" s="27" t="str">
        <f t="shared" si="7"/>
        <v>HOUSTON TX 77477</v>
      </c>
    </row>
    <row r="196" spans="1:8" x14ac:dyDescent="0.2">
      <c r="A196" s="27">
        <f>COUNTIFS(C:C,C196,D:D,D196)</f>
        <v>1</v>
      </c>
      <c r="B196" s="30">
        <v>202101150865</v>
      </c>
      <c r="C196" t="s">
        <v>2217</v>
      </c>
      <c r="D196" t="s">
        <v>2218</v>
      </c>
      <c r="E196" t="s">
        <v>5114</v>
      </c>
      <c r="F196" t="s">
        <v>202</v>
      </c>
      <c r="G196" s="27" t="str">
        <f t="shared" si="6"/>
        <v>444 ORCHARD HILL  CEDAR HILL</v>
      </c>
      <c r="H196" s="27" t="str">
        <f t="shared" si="7"/>
        <v>HOUSTON TX 75104</v>
      </c>
    </row>
    <row r="197" spans="1:8" x14ac:dyDescent="0.2">
      <c r="A197" s="27">
        <f>COUNTIFS(C:C,C197,D:D,D197)</f>
        <v>1</v>
      </c>
      <c r="B197" s="30">
        <v>202101150867</v>
      </c>
      <c r="C197" t="s">
        <v>2412</v>
      </c>
      <c r="D197" t="s">
        <v>2413</v>
      </c>
      <c r="E197" t="s">
        <v>4966</v>
      </c>
      <c r="F197" t="s">
        <v>208</v>
      </c>
      <c r="G197" s="27" t="str">
        <f t="shared" si="6"/>
        <v>2405 GEORGIA AVE  DEER PARK</v>
      </c>
      <c r="H197" s="27" t="str">
        <f t="shared" si="7"/>
        <v>HOUSTON TX 77536</v>
      </c>
    </row>
    <row r="198" spans="1:8" x14ac:dyDescent="0.2">
      <c r="A198" s="27">
        <f>COUNTIFS(C:C,C198,D:D,D198)</f>
        <v>1</v>
      </c>
      <c r="B198" s="30">
        <v>202101150872</v>
      </c>
      <c r="C198" t="s">
        <v>2707</v>
      </c>
      <c r="D198" t="s">
        <v>2708</v>
      </c>
      <c r="E198" t="s">
        <v>4915</v>
      </c>
      <c r="F198" t="s">
        <v>189</v>
      </c>
      <c r="G198" s="27" t="str">
        <f t="shared" si="6"/>
        <v>6516 SHERWOOD DR  HOUSTON</v>
      </c>
      <c r="H198" s="27" t="str">
        <f t="shared" si="7"/>
        <v>HOUSTON TX 77021</v>
      </c>
    </row>
    <row r="199" spans="1:8" x14ac:dyDescent="0.2">
      <c r="A199" s="27">
        <f>COUNTIFS(C:C,C199,D:D,D199)</f>
        <v>1</v>
      </c>
      <c r="B199" s="30">
        <v>202101150877</v>
      </c>
      <c r="C199" t="s">
        <v>3629</v>
      </c>
      <c r="D199" t="s">
        <v>3630</v>
      </c>
      <c r="E199" t="s">
        <v>4903</v>
      </c>
      <c r="F199" t="s">
        <v>187</v>
      </c>
      <c r="G199" s="27" t="str">
        <f t="shared" si="6"/>
        <v>7926 ASHLAND SPRINGS LN CYPRESS</v>
      </c>
      <c r="H199" s="27" t="str">
        <f t="shared" si="7"/>
        <v>HOUSTON TX 77433</v>
      </c>
    </row>
    <row r="200" spans="1:8" x14ac:dyDescent="0.2">
      <c r="A200" s="27">
        <f>COUNTIFS(C:C,C200,D:D,D200)</f>
        <v>1</v>
      </c>
      <c r="B200" s="30">
        <v>202101150880</v>
      </c>
      <c r="C200" s="28" t="s">
        <v>1438</v>
      </c>
      <c r="D200" s="28" t="s">
        <v>1439</v>
      </c>
      <c r="E200" s="28" t="s">
        <v>4872</v>
      </c>
      <c r="F200" s="28" t="s">
        <v>231</v>
      </c>
      <c r="G200" s="27" t="str">
        <f t="shared" si="6"/>
        <v>6921 BACHER ST  HOUSTON</v>
      </c>
      <c r="H200" s="27" t="str">
        <f t="shared" si="7"/>
        <v>HOUSTON TX 77028</v>
      </c>
    </row>
    <row r="201" spans="1:8" x14ac:dyDescent="0.2">
      <c r="A201" s="27">
        <f>COUNTIFS(C:C,C201,D:D,D201)</f>
        <v>1</v>
      </c>
      <c r="B201" s="30">
        <v>202101150883</v>
      </c>
      <c r="C201" t="s">
        <v>3635</v>
      </c>
      <c r="D201" t="s">
        <v>3636</v>
      </c>
      <c r="E201" t="s">
        <v>4982</v>
      </c>
      <c r="F201" t="s">
        <v>4836</v>
      </c>
      <c r="G201" s="27" t="str">
        <f t="shared" si="6"/>
        <v>2628 ORIOLE WOOD CT  HOUSTON</v>
      </c>
      <c r="H201" s="27" t="str">
        <f t="shared" si="7"/>
        <v>HOUSTON TX 77038</v>
      </c>
    </row>
    <row r="202" spans="1:8" x14ac:dyDescent="0.2">
      <c r="A202" s="27">
        <f>COUNTIFS(C:C,C202,D:D,D202)</f>
        <v>1</v>
      </c>
      <c r="B202" s="30">
        <v>202101150884</v>
      </c>
      <c r="C202" s="28" t="s">
        <v>680</v>
      </c>
      <c r="D202" s="28" t="s">
        <v>681</v>
      </c>
      <c r="E202" s="28" t="s">
        <v>4874</v>
      </c>
      <c r="F202" s="28" t="s">
        <v>203</v>
      </c>
      <c r="G202" s="27" t="str">
        <f t="shared" si="6"/>
        <v>5130 MALMEDY RD  HOUSTON</v>
      </c>
      <c r="H202" s="27" t="str">
        <f t="shared" si="7"/>
        <v>HOUSTON TX 77033</v>
      </c>
    </row>
    <row r="203" spans="1:8" x14ac:dyDescent="0.2">
      <c r="A203" s="27">
        <f>COUNTIFS(C:C,C203,D:D,D203)</f>
        <v>1</v>
      </c>
      <c r="B203" s="30">
        <v>202101150885</v>
      </c>
      <c r="C203" t="s">
        <v>3637</v>
      </c>
      <c r="D203" t="s">
        <v>3638</v>
      </c>
      <c r="E203" t="s">
        <v>4956</v>
      </c>
      <c r="F203" t="s">
        <v>253</v>
      </c>
      <c r="G203" s="27" t="str">
        <f t="shared" si="6"/>
        <v>19835 ATASCOCITA PINE S DR HUMBLE</v>
      </c>
      <c r="H203" s="27" t="str">
        <f t="shared" si="7"/>
        <v>HOUSTON TX 77346</v>
      </c>
    </row>
    <row r="204" spans="1:8" x14ac:dyDescent="0.2">
      <c r="A204" s="27">
        <f>COUNTIFS(C:C,C204,D:D,D204)</f>
        <v>1</v>
      </c>
      <c r="B204" s="30">
        <v>202101150887</v>
      </c>
      <c r="C204" t="s">
        <v>2156</v>
      </c>
      <c r="D204" t="s">
        <v>2157</v>
      </c>
      <c r="E204" t="s">
        <v>4943</v>
      </c>
      <c r="F204" t="s">
        <v>182</v>
      </c>
      <c r="G204" s="27" t="str">
        <f t="shared" si="6"/>
        <v>3222 EAGLE RIDGE WAY  HOUSTON</v>
      </c>
      <c r="H204" s="27" t="str">
        <f t="shared" si="7"/>
        <v>HOUSTON TX 77084</v>
      </c>
    </row>
    <row r="205" spans="1:8" x14ac:dyDescent="0.2">
      <c r="A205" s="27">
        <f>COUNTIFS(C:C,C205,D:D,D205)</f>
        <v>1</v>
      </c>
      <c r="B205" s="30">
        <v>202101150888</v>
      </c>
      <c r="C205" t="s">
        <v>2004</v>
      </c>
      <c r="D205" t="s">
        <v>2005</v>
      </c>
      <c r="E205" t="s">
        <v>4860</v>
      </c>
      <c r="F205" t="s">
        <v>185</v>
      </c>
      <c r="G205" s="27" t="str">
        <f t="shared" si="6"/>
        <v>500 GRESHAM AVE  BAYTOWN</v>
      </c>
      <c r="H205" s="27" t="str">
        <f t="shared" si="7"/>
        <v>HOUSTON TX 77520</v>
      </c>
    </row>
    <row r="206" spans="1:8" x14ac:dyDescent="0.2">
      <c r="A206" s="27">
        <f>COUNTIFS(C:C,C206,D:D,D206)</f>
        <v>1</v>
      </c>
      <c r="B206" s="30">
        <v>202101150896</v>
      </c>
      <c r="C206" t="s">
        <v>1988</v>
      </c>
      <c r="D206" t="s">
        <v>1989</v>
      </c>
      <c r="E206" t="s">
        <v>4917</v>
      </c>
      <c r="F206" t="s">
        <v>202</v>
      </c>
      <c r="G206" s="27" t="str">
        <f t="shared" si="6"/>
        <v>11500 KEEGANS RIDGE 5 05 HOUSTON</v>
      </c>
      <c r="H206" s="27" t="str">
        <f t="shared" si="7"/>
        <v>HOUSTON TX 77031</v>
      </c>
    </row>
    <row r="207" spans="1:8" x14ac:dyDescent="0.2">
      <c r="A207" s="27">
        <f>COUNTIFS(C:C,C207,D:D,D207)</f>
        <v>1</v>
      </c>
      <c r="B207" s="30">
        <v>202101150899</v>
      </c>
      <c r="C207" s="28" t="s">
        <v>1500</v>
      </c>
      <c r="D207" s="28" t="s">
        <v>1501</v>
      </c>
      <c r="E207" s="28" t="s">
        <v>4874</v>
      </c>
      <c r="F207" s="28" t="s">
        <v>181</v>
      </c>
      <c r="G207" s="27" t="str">
        <f t="shared" si="6"/>
        <v>5939 BELLFORT ST  HOUSTON</v>
      </c>
      <c r="H207" s="27" t="str">
        <f t="shared" si="7"/>
        <v>HOUSTON TX 77033</v>
      </c>
    </row>
    <row r="208" spans="1:8" x14ac:dyDescent="0.2">
      <c r="A208" s="27">
        <f>COUNTIFS(C:C,C208,D:D,D208)</f>
        <v>1</v>
      </c>
      <c r="B208" s="30">
        <v>202101150900</v>
      </c>
      <c r="C208" s="28" t="s">
        <v>1022</v>
      </c>
      <c r="D208" s="28" t="s">
        <v>1023</v>
      </c>
      <c r="E208" s="28" t="s">
        <v>4880</v>
      </c>
      <c r="F208" s="28" t="s">
        <v>182</v>
      </c>
      <c r="G208" s="27" t="str">
        <f t="shared" si="6"/>
        <v>2608 CALUMET APT 51  HOUSTON</v>
      </c>
      <c r="H208" s="27" t="str">
        <f t="shared" si="7"/>
        <v>HOUSTON TX 77004</v>
      </c>
    </row>
    <row r="209" spans="1:8" x14ac:dyDescent="0.2">
      <c r="A209" s="27">
        <f>COUNTIFS(C:C,C209,D:D,D209)</f>
        <v>1</v>
      </c>
      <c r="B209" s="30">
        <v>202101150902</v>
      </c>
      <c r="C209" t="s">
        <v>3641</v>
      </c>
      <c r="D209" t="s">
        <v>3642</v>
      </c>
      <c r="E209" t="s">
        <v>4892</v>
      </c>
      <c r="F209" t="s">
        <v>182</v>
      </c>
      <c r="G209" s="27" t="str">
        <f t="shared" si="6"/>
        <v>1130 LONG PRAIRIE DR  HARRIS CO</v>
      </c>
      <c r="H209" s="27" t="str">
        <f t="shared" si="7"/>
        <v>HOUSTON TX 77450</v>
      </c>
    </row>
    <row r="210" spans="1:8" x14ac:dyDescent="0.2">
      <c r="A210" s="27">
        <f>COUNTIFS(C:C,C210,D:D,D210)</f>
        <v>1</v>
      </c>
      <c r="B210" s="30">
        <v>202101150906</v>
      </c>
      <c r="C210" t="s">
        <v>3047</v>
      </c>
      <c r="D210" t="s">
        <v>3048</v>
      </c>
      <c r="E210" t="s">
        <v>4897</v>
      </c>
      <c r="F210" t="s">
        <v>182</v>
      </c>
      <c r="G210" s="27" t="str">
        <f t="shared" si="6"/>
        <v>1106 MISSOURI ST  SOUTH HOUS</v>
      </c>
      <c r="H210" s="27" t="str">
        <f t="shared" si="7"/>
        <v>HOUSTON TX 77587</v>
      </c>
    </row>
    <row r="211" spans="1:8" x14ac:dyDescent="0.2">
      <c r="A211" s="27">
        <f>COUNTIFS(C:C,C211,D:D,D211)</f>
        <v>1</v>
      </c>
      <c r="B211" s="30">
        <v>202101150909</v>
      </c>
      <c r="C211" s="28" t="s">
        <v>575</v>
      </c>
      <c r="D211" s="28" t="s">
        <v>576</v>
      </c>
      <c r="E211" s="28" t="s">
        <v>4913</v>
      </c>
      <c r="F211" s="28" t="s">
        <v>202</v>
      </c>
      <c r="G211" s="27" t="str">
        <f t="shared" si="6"/>
        <v>8389 NORTH HAMILTON RD BROOKSHIRE</v>
      </c>
      <c r="H211" s="27" t="str">
        <f t="shared" si="7"/>
        <v>HOUSTON TX 77423</v>
      </c>
    </row>
    <row r="212" spans="1:8" x14ac:dyDescent="0.2">
      <c r="A212" s="27">
        <f>COUNTIFS(C:C,C212,D:D,D212)</f>
        <v>1</v>
      </c>
      <c r="B212" s="30">
        <v>202101150912</v>
      </c>
      <c r="C212" t="s">
        <v>3643</v>
      </c>
      <c r="D212" t="s">
        <v>3644</v>
      </c>
      <c r="E212" t="s">
        <v>5170</v>
      </c>
      <c r="F212" t="s">
        <v>233</v>
      </c>
      <c r="G212" s="27" t="str">
        <f t="shared" si="6"/>
        <v>8310 ACHGILL ST  JERSEY VIL</v>
      </c>
      <c r="H212" s="27" t="str">
        <f t="shared" si="7"/>
        <v>HOUSTON TX 77040</v>
      </c>
    </row>
    <row r="213" spans="1:8" x14ac:dyDescent="0.2">
      <c r="A213" s="27">
        <f>COUNTIFS(C:C,C213,D:D,D213)</f>
        <v>1</v>
      </c>
      <c r="B213" s="30">
        <v>202101150914</v>
      </c>
      <c r="C213" s="28" t="s">
        <v>700</v>
      </c>
      <c r="D213" s="28" t="s">
        <v>701</v>
      </c>
      <c r="E213" s="28" t="s">
        <v>4937</v>
      </c>
      <c r="F213" s="28" t="s">
        <v>182</v>
      </c>
      <c r="G213" s="27" t="str">
        <f t="shared" si="6"/>
        <v>7123 FAIRWAY DR  HOUSTON</v>
      </c>
      <c r="H213" s="27" t="str">
        <f t="shared" si="7"/>
        <v>HOUSTON TX 77087</v>
      </c>
    </row>
    <row r="214" spans="1:8" x14ac:dyDescent="0.2">
      <c r="A214" s="27">
        <f>COUNTIFS(C:C,C214,D:D,D214)</f>
        <v>1</v>
      </c>
      <c r="B214" s="30">
        <v>202101150920</v>
      </c>
      <c r="C214" t="s">
        <v>2264</v>
      </c>
      <c r="D214" t="s">
        <v>2265</v>
      </c>
      <c r="E214" t="s">
        <v>4973</v>
      </c>
      <c r="F214" t="s">
        <v>224</v>
      </c>
      <c r="G214" s="27" t="str">
        <f t="shared" si="6"/>
        <v>9200 BISSONNET  HOUSTON</v>
      </c>
      <c r="H214" s="27" t="str">
        <f t="shared" si="7"/>
        <v>HOUSTON TX 77074</v>
      </c>
    </row>
    <row r="215" spans="1:8" x14ac:dyDescent="0.2">
      <c r="A215" s="27">
        <f>COUNTIFS(C:C,C215,D:D,D215)</f>
        <v>1</v>
      </c>
      <c r="B215" s="30">
        <v>202101150921</v>
      </c>
      <c r="C215" t="s">
        <v>3649</v>
      </c>
      <c r="D215" t="s">
        <v>3650</v>
      </c>
      <c r="E215" t="s">
        <v>4937</v>
      </c>
      <c r="F215" t="s">
        <v>206</v>
      </c>
      <c r="G215" s="27" t="str">
        <f t="shared" si="6"/>
        <v>7627 DIXIE DR  HOUSTON</v>
      </c>
      <c r="H215" s="27" t="str">
        <f t="shared" si="7"/>
        <v>HOUSTON TX 77087</v>
      </c>
    </row>
    <row r="216" spans="1:8" x14ac:dyDescent="0.2">
      <c r="A216" s="27">
        <f>COUNTIFS(C:C,C216,D:D,D216)</f>
        <v>1</v>
      </c>
      <c r="B216" s="30">
        <v>202101150925</v>
      </c>
      <c r="C216" s="28" t="s">
        <v>682</v>
      </c>
      <c r="D216" s="28" t="s">
        <v>683</v>
      </c>
      <c r="E216" s="28" t="s">
        <v>4935</v>
      </c>
      <c r="F216" s="28" t="s">
        <v>202</v>
      </c>
      <c r="G216" s="27" t="str">
        <f t="shared" si="6"/>
        <v>5451 QUAILTREE LN  HUMBLE</v>
      </c>
      <c r="H216" s="27" t="str">
        <f t="shared" si="7"/>
        <v>HOUSTON TX 77396</v>
      </c>
    </row>
    <row r="217" spans="1:8" x14ac:dyDescent="0.2">
      <c r="A217" s="27">
        <f>COUNTIFS(C:C,C217,D:D,D217)</f>
        <v>1</v>
      </c>
      <c r="B217" s="30">
        <v>202101150928</v>
      </c>
      <c r="C217" s="28" t="s">
        <v>414</v>
      </c>
      <c r="D217" s="28" t="s">
        <v>415</v>
      </c>
      <c r="E217" s="28" t="s">
        <v>4857</v>
      </c>
      <c r="F217" s="28" t="s">
        <v>194</v>
      </c>
      <c r="G217" s="27" t="str">
        <f t="shared" si="6"/>
        <v>7878 SPENCER HWY 904  PASADENA</v>
      </c>
      <c r="H217" s="27" t="str">
        <f t="shared" si="7"/>
        <v>HOUSTON TX 77505</v>
      </c>
    </row>
    <row r="218" spans="1:8" x14ac:dyDescent="0.2">
      <c r="A218" s="27">
        <f>COUNTIFS(C:C,C218,D:D,D218)</f>
        <v>1</v>
      </c>
      <c r="B218" s="30">
        <v>202101150929</v>
      </c>
      <c r="C218" s="28" t="s">
        <v>1711</v>
      </c>
      <c r="D218" s="28" t="s">
        <v>1712</v>
      </c>
      <c r="E218" s="28" t="s">
        <v>5023</v>
      </c>
      <c r="F218" s="28" t="s">
        <v>224</v>
      </c>
      <c r="G218" s="27" t="str">
        <f t="shared" si="6"/>
        <v>8201 RICHMOND AVE  HOUSTON</v>
      </c>
      <c r="H218" s="27" t="str">
        <f t="shared" si="7"/>
        <v>HOUSTON TX 77063</v>
      </c>
    </row>
    <row r="219" spans="1:8" x14ac:dyDescent="0.2">
      <c r="A219" s="27">
        <f>COUNTIFS(C:C,C219,D:D,D219)</f>
        <v>1</v>
      </c>
      <c r="B219" s="30">
        <v>202101150931</v>
      </c>
      <c r="C219" t="s">
        <v>3116</v>
      </c>
      <c r="D219" t="s">
        <v>3117</v>
      </c>
      <c r="E219" t="s">
        <v>5014</v>
      </c>
      <c r="F219" t="s">
        <v>182</v>
      </c>
      <c r="G219" s="27" t="str">
        <f t="shared" si="6"/>
        <v>10826 MESQUITE  LA PORTE</v>
      </c>
      <c r="H219" s="27" t="str">
        <f t="shared" si="7"/>
        <v>HOUSTON TX 77571</v>
      </c>
    </row>
    <row r="220" spans="1:8" x14ac:dyDescent="0.2">
      <c r="A220" s="27">
        <f>COUNTIFS(C:C,C220,D:D,D220)</f>
        <v>1</v>
      </c>
      <c r="B220" s="30">
        <v>202101150932</v>
      </c>
      <c r="C220" t="s">
        <v>2542</v>
      </c>
      <c r="D220" t="s">
        <v>2543</v>
      </c>
      <c r="E220" t="s">
        <v>4951</v>
      </c>
      <c r="F220" t="s">
        <v>182</v>
      </c>
      <c r="G220" s="27" t="str">
        <f t="shared" si="6"/>
        <v>8255 SUNBURY LANE  HOUSTON</v>
      </c>
      <c r="H220" s="27" t="str">
        <f t="shared" si="7"/>
        <v>HOUSTON TX 77095</v>
      </c>
    </row>
    <row r="221" spans="1:8" x14ac:dyDescent="0.2">
      <c r="A221" s="27">
        <f>COUNTIFS(C:C,C221,D:D,D221)</f>
        <v>1</v>
      </c>
      <c r="B221" s="30">
        <v>202101150936</v>
      </c>
      <c r="C221" t="s">
        <v>2703</v>
      </c>
      <c r="D221" t="s">
        <v>2704</v>
      </c>
      <c r="E221" t="s">
        <v>4918</v>
      </c>
      <c r="F221" t="s">
        <v>214</v>
      </c>
      <c r="G221" s="27" t="str">
        <f t="shared" si="6"/>
        <v>4718 BROOKLAWN DR  HOUSTON</v>
      </c>
      <c r="H221" s="27" t="str">
        <f t="shared" si="7"/>
        <v>HOUSTON TX 77066</v>
      </c>
    </row>
    <row r="222" spans="1:8" x14ac:dyDescent="0.2">
      <c r="A222" s="27">
        <f>COUNTIFS(C:C,C222,D:D,D222)</f>
        <v>1</v>
      </c>
      <c r="B222" s="30">
        <v>202101150939</v>
      </c>
      <c r="C222" s="28" t="s">
        <v>1625</v>
      </c>
      <c r="D222" s="28" t="s">
        <v>1626</v>
      </c>
      <c r="E222" s="28" t="s">
        <v>4987</v>
      </c>
      <c r="F222" s="28" t="s">
        <v>4791</v>
      </c>
      <c r="G222" s="27" t="str">
        <f t="shared" si="6"/>
        <v>1910 COULCREST DR  HOUSTON</v>
      </c>
      <c r="H222" s="27" t="str">
        <f t="shared" si="7"/>
        <v>HOUSTON TX 77055</v>
      </c>
    </row>
    <row r="223" spans="1:8" x14ac:dyDescent="0.2">
      <c r="A223" s="27">
        <f>COUNTIFS(C:C,C223,D:D,D223)</f>
        <v>1</v>
      </c>
      <c r="B223" s="30">
        <v>202101150943</v>
      </c>
      <c r="C223" s="28" t="s">
        <v>1276</v>
      </c>
      <c r="D223" s="28" t="s">
        <v>1277</v>
      </c>
      <c r="E223" s="28" t="s">
        <v>4863</v>
      </c>
      <c r="F223" s="28" t="s">
        <v>202</v>
      </c>
      <c r="G223" s="27" t="str">
        <f t="shared" si="6"/>
        <v>14511 TISHA LN  TOMBALL</v>
      </c>
      <c r="H223" s="27" t="str">
        <f t="shared" si="7"/>
        <v>HOUSTON TX 77377</v>
      </c>
    </row>
    <row r="224" spans="1:8" x14ac:dyDescent="0.2">
      <c r="A224" s="27">
        <f>COUNTIFS(C:C,C224,D:D,D224)</f>
        <v>1</v>
      </c>
      <c r="B224" s="30">
        <v>202101150952</v>
      </c>
      <c r="C224" s="28" t="s">
        <v>1101</v>
      </c>
      <c r="D224" s="28" t="s">
        <v>1102</v>
      </c>
      <c r="E224" s="28" t="s">
        <v>5003</v>
      </c>
      <c r="F224" s="28" t="s">
        <v>182</v>
      </c>
      <c r="G224" s="27" t="str">
        <f t="shared" si="6"/>
        <v>15602 SIERRA VALLE  FORT BEND</v>
      </c>
      <c r="H224" s="27" t="str">
        <f t="shared" si="7"/>
        <v>HOUSTON TX 77083</v>
      </c>
    </row>
    <row r="225" spans="1:8" x14ac:dyDescent="0.2">
      <c r="A225" s="27">
        <f>COUNTIFS(C:C,C225,D:D,D225)</f>
        <v>1</v>
      </c>
      <c r="B225" s="30">
        <v>202101150955</v>
      </c>
      <c r="C225" t="s">
        <v>2134</v>
      </c>
      <c r="D225" t="s">
        <v>2135</v>
      </c>
      <c r="E225" t="s">
        <v>4900</v>
      </c>
      <c r="F225" t="s">
        <v>187</v>
      </c>
      <c r="G225" s="27" t="str">
        <f t="shared" si="6"/>
        <v>5507 LONG ARBOR LANE  KATY</v>
      </c>
      <c r="H225" s="27" t="str">
        <f t="shared" si="7"/>
        <v>HOUSTON TX 77449</v>
      </c>
    </row>
    <row r="226" spans="1:8" x14ac:dyDescent="0.2">
      <c r="A226" s="27">
        <f>COUNTIFS(C:C,C226,D:D,D226)</f>
        <v>1</v>
      </c>
      <c r="B226" s="30">
        <v>202101150957</v>
      </c>
      <c r="C226" t="s">
        <v>3665</v>
      </c>
      <c r="D226" t="s">
        <v>3666</v>
      </c>
      <c r="E226" t="s">
        <v>4900</v>
      </c>
      <c r="F226" t="s">
        <v>4764</v>
      </c>
      <c r="G226" s="27" t="str">
        <f t="shared" si="6"/>
        <v>22303 MAPLEWOOD DR  KATY</v>
      </c>
      <c r="H226" s="27" t="str">
        <f t="shared" si="7"/>
        <v>HOUSTON TX 77449</v>
      </c>
    </row>
    <row r="227" spans="1:8" x14ac:dyDescent="0.2">
      <c r="A227" s="27">
        <f>COUNTIFS(C:C,C227,D:D,D227)</f>
        <v>1</v>
      </c>
      <c r="B227" s="30">
        <v>202101150959</v>
      </c>
      <c r="C227" s="28" t="s">
        <v>640</v>
      </c>
      <c r="D227" s="28" t="s">
        <v>641</v>
      </c>
      <c r="E227" s="28" t="s">
        <v>4850</v>
      </c>
      <c r="F227" s="28" t="s">
        <v>203</v>
      </c>
      <c r="G227" s="27" t="str">
        <f t="shared" si="6"/>
        <v>10326 KIRKDALE  HOUSTON</v>
      </c>
      <c r="H227" s="27" t="str">
        <f t="shared" si="7"/>
        <v>HOUSTON TX 77089</v>
      </c>
    </row>
    <row r="228" spans="1:8" x14ac:dyDescent="0.2">
      <c r="A228" s="27">
        <f>COUNTIFS(C:C,C228,D:D,D228)</f>
        <v>1</v>
      </c>
      <c r="B228" s="30">
        <v>202101150961</v>
      </c>
      <c r="C228" t="s">
        <v>3342</v>
      </c>
      <c r="D228" t="s">
        <v>3343</v>
      </c>
      <c r="E228" t="s">
        <v>4874</v>
      </c>
      <c r="F228" t="s">
        <v>185</v>
      </c>
      <c r="G228" s="27" t="str">
        <f t="shared" si="6"/>
        <v>5207 MYRTLEWOOD ST  HOUSTON</v>
      </c>
      <c r="H228" s="27" t="str">
        <f t="shared" si="7"/>
        <v>HOUSTON TX 77033</v>
      </c>
    </row>
    <row r="229" spans="1:8" x14ac:dyDescent="0.2">
      <c r="A229" s="27">
        <f>COUNTIFS(C:C,C229,D:D,D229)</f>
        <v>1</v>
      </c>
      <c r="B229" s="30">
        <v>202101150966</v>
      </c>
      <c r="C229" t="s">
        <v>3673</v>
      </c>
      <c r="D229" t="s">
        <v>3674</v>
      </c>
      <c r="E229" t="s">
        <v>4903</v>
      </c>
      <c r="F229" t="s">
        <v>191</v>
      </c>
      <c r="G229" s="27" t="str">
        <f t="shared" si="6"/>
        <v>220406 TIMBER TRAIL WA Y CYPRESS</v>
      </c>
      <c r="H229" s="27" t="str">
        <f t="shared" si="7"/>
        <v>HOUSTON TX 77433</v>
      </c>
    </row>
    <row r="230" spans="1:8" x14ac:dyDescent="0.2">
      <c r="A230" s="27">
        <f>COUNTIFS(C:C,C230,D:D,D230)</f>
        <v>1</v>
      </c>
      <c r="B230" s="30">
        <v>202101150969</v>
      </c>
      <c r="C230" s="28" t="s">
        <v>1520</v>
      </c>
      <c r="D230" s="28" t="s">
        <v>1521</v>
      </c>
      <c r="E230" s="28" t="s">
        <v>5051</v>
      </c>
      <c r="F230" s="28" t="s">
        <v>200</v>
      </c>
      <c r="G230" s="27" t="str">
        <f t="shared" si="6"/>
        <v>1603 ATUMN SPRINGS D R MISSOURI C</v>
      </c>
      <c r="H230" s="27" t="str">
        <f t="shared" si="7"/>
        <v>HOUSTON TX 77450</v>
      </c>
    </row>
    <row r="231" spans="1:8" x14ac:dyDescent="0.2">
      <c r="A231" s="27">
        <f>COUNTIFS(C:C,C231,D:D,D231)</f>
        <v>1</v>
      </c>
      <c r="B231" s="30">
        <v>202101150970</v>
      </c>
      <c r="C231" s="28" t="s">
        <v>1175</v>
      </c>
      <c r="D231" s="28" t="s">
        <v>1176</v>
      </c>
      <c r="E231" s="28" t="s">
        <v>5009</v>
      </c>
      <c r="F231" s="28" t="s">
        <v>193</v>
      </c>
      <c r="G231" s="27" t="str">
        <f t="shared" si="6"/>
        <v>2555 N REPSDORPH RD APT 212 SEABROOK</v>
      </c>
      <c r="H231" s="27" t="str">
        <f t="shared" si="7"/>
        <v>HOUSTON TX 77586</v>
      </c>
    </row>
    <row r="232" spans="1:8" x14ac:dyDescent="0.2">
      <c r="A232" s="27">
        <f>COUNTIFS(C:C,C232,D:D,D232)</f>
        <v>1</v>
      </c>
      <c r="B232" s="30">
        <v>202101150972</v>
      </c>
      <c r="C232" t="s">
        <v>3679</v>
      </c>
      <c r="D232" t="s">
        <v>3680</v>
      </c>
      <c r="E232" t="s">
        <v>5161</v>
      </c>
      <c r="F232" t="s">
        <v>185</v>
      </c>
      <c r="G232" s="27" t="str">
        <f t="shared" si="6"/>
        <v>2331 BAMMELWOOD DR 2 15 HARRIS CO</v>
      </c>
      <c r="H232" s="27" t="str">
        <f t="shared" si="7"/>
        <v>HOUSTON TX 77014</v>
      </c>
    </row>
    <row r="233" spans="1:8" x14ac:dyDescent="0.2">
      <c r="A233" s="27">
        <f>COUNTIFS(C:C,C233,D:D,D233)</f>
        <v>1</v>
      </c>
      <c r="B233" s="30">
        <v>202101150981</v>
      </c>
      <c r="C233" t="s">
        <v>3675</v>
      </c>
      <c r="D233" t="s">
        <v>3676</v>
      </c>
      <c r="E233" t="s">
        <v>4951</v>
      </c>
      <c r="F233" t="s">
        <v>187</v>
      </c>
      <c r="G233" s="27" t="str">
        <f t="shared" si="6"/>
        <v>16115 KINTYRE POINT R D HOUSTON</v>
      </c>
      <c r="H233" s="27" t="str">
        <f t="shared" si="7"/>
        <v>HOUSTON TX 77095</v>
      </c>
    </row>
    <row r="234" spans="1:8" x14ac:dyDescent="0.2">
      <c r="A234" s="27">
        <f>COUNTIFS(C:C,C234,D:D,D234)</f>
        <v>1</v>
      </c>
      <c r="B234" s="30">
        <v>202101150984</v>
      </c>
      <c r="C234" t="s">
        <v>3681</v>
      </c>
      <c r="D234" t="s">
        <v>3682</v>
      </c>
      <c r="E234" t="s">
        <v>4915</v>
      </c>
      <c r="F234" t="s">
        <v>182</v>
      </c>
      <c r="G234" s="27" t="str">
        <f t="shared" ref="G234:G297" si="8">D234&amp;" "&amp;MID(E234,1,FIND(" TX",E234)-1)</f>
        <v>7705 SPRINGHILL  HOUSTON</v>
      </c>
      <c r="H234" s="27" t="str">
        <f t="shared" ref="H234:H297" si="9">"HOUSTON "&amp;MID(E234,FIND("TX",E234),8)</f>
        <v>HOUSTON TX 77021</v>
      </c>
    </row>
    <row r="235" spans="1:8" x14ac:dyDescent="0.2">
      <c r="A235" s="27">
        <f>COUNTIFS(C:C,C235,D:D,D235)</f>
        <v>1</v>
      </c>
      <c r="B235" s="30">
        <v>202101150990</v>
      </c>
      <c r="C235" t="s">
        <v>2278</v>
      </c>
      <c r="D235" t="s">
        <v>2279</v>
      </c>
      <c r="E235" t="s">
        <v>5120</v>
      </c>
      <c r="F235" t="s">
        <v>324</v>
      </c>
      <c r="G235" s="27" t="str">
        <f t="shared" si="8"/>
        <v>1131 PEACH FORD LN  HOUSTON</v>
      </c>
      <c r="H235" s="27" t="str">
        <f t="shared" si="9"/>
        <v>HOUSTON TX 77062</v>
      </c>
    </row>
    <row r="236" spans="1:8" x14ac:dyDescent="0.2">
      <c r="A236" s="27">
        <f>COUNTIFS(C:C,C236,D:D,D236)</f>
        <v>1</v>
      </c>
      <c r="B236" s="30">
        <v>202101150992</v>
      </c>
      <c r="C236" t="s">
        <v>2987</v>
      </c>
      <c r="D236" t="s">
        <v>2988</v>
      </c>
      <c r="E236" t="s">
        <v>4915</v>
      </c>
      <c r="F236" t="s">
        <v>187</v>
      </c>
      <c r="G236" s="27" t="str">
        <f t="shared" si="8"/>
        <v>4002 CORDER ST  HOUSTON</v>
      </c>
      <c r="H236" s="27" t="str">
        <f t="shared" si="9"/>
        <v>HOUSTON TX 77021</v>
      </c>
    </row>
    <row r="237" spans="1:8" x14ac:dyDescent="0.2">
      <c r="A237" s="27">
        <f>COUNTIFS(C:C,C237,D:D,D237)</f>
        <v>1</v>
      </c>
      <c r="B237" s="30">
        <v>202101150994</v>
      </c>
      <c r="C237" s="28" t="s">
        <v>1352</v>
      </c>
      <c r="D237" s="28" t="s">
        <v>1353</v>
      </c>
      <c r="E237" s="28" t="s">
        <v>5019</v>
      </c>
      <c r="F237" s="28" t="s">
        <v>182</v>
      </c>
      <c r="G237" s="27" t="str">
        <f t="shared" si="8"/>
        <v>555 NORMANDY ST  HOUSTON</v>
      </c>
      <c r="H237" s="27" t="str">
        <f t="shared" si="9"/>
        <v>HOUSTON TX 77530</v>
      </c>
    </row>
    <row r="238" spans="1:8" x14ac:dyDescent="0.2">
      <c r="A238" s="27">
        <f>COUNTIFS(C:C,C238,D:D,D238)</f>
        <v>1</v>
      </c>
      <c r="B238" s="30">
        <v>202101150995</v>
      </c>
      <c r="C238" t="s">
        <v>2600</v>
      </c>
      <c r="D238" t="s">
        <v>1353</v>
      </c>
      <c r="E238" t="s">
        <v>4876</v>
      </c>
      <c r="F238" t="s">
        <v>182</v>
      </c>
      <c r="G238" s="27" t="str">
        <f t="shared" si="8"/>
        <v>555 NORMANDY ST  HOUSTON</v>
      </c>
      <c r="H238" s="27" t="str">
        <f t="shared" si="9"/>
        <v>HOUSTON TX 77015</v>
      </c>
    </row>
    <row r="239" spans="1:8" x14ac:dyDescent="0.2">
      <c r="A239" s="27">
        <f>COUNTIFS(C:C,C239,D:D,D239)</f>
        <v>1</v>
      </c>
      <c r="B239" s="30">
        <v>202101150997</v>
      </c>
      <c r="C239" t="s">
        <v>3689</v>
      </c>
      <c r="D239" t="s">
        <v>3690</v>
      </c>
      <c r="E239" t="s">
        <v>5210</v>
      </c>
      <c r="F239" t="s">
        <v>235</v>
      </c>
      <c r="G239" s="27" t="e">
        <f t="shared" si="8"/>
        <v>#VALUE!</v>
      </c>
      <c r="H239" s="27" t="e">
        <f t="shared" si="9"/>
        <v>#VALUE!</v>
      </c>
    </row>
    <row r="240" spans="1:8" x14ac:dyDescent="0.2">
      <c r="A240" s="27">
        <f>COUNTIFS(C:C,C240,D:D,D240)</f>
        <v>1</v>
      </c>
      <c r="B240" s="30">
        <v>202101151002</v>
      </c>
      <c r="C240" s="28" t="s">
        <v>1052</v>
      </c>
      <c r="D240" s="28" t="s">
        <v>1053</v>
      </c>
      <c r="E240" s="28" t="s">
        <v>4851</v>
      </c>
      <c r="F240" s="28" t="s">
        <v>213</v>
      </c>
      <c r="G240" s="27" t="str">
        <f t="shared" si="8"/>
        <v>2319 B. HODGES  BAYTOWN</v>
      </c>
      <c r="H240" s="27" t="str">
        <f t="shared" si="9"/>
        <v>HOUSTON TX 77521</v>
      </c>
    </row>
    <row r="241" spans="1:8" x14ac:dyDescent="0.2">
      <c r="A241" s="27">
        <f>COUNTIFS(C:C,C241,D:D,D241)</f>
        <v>1</v>
      </c>
      <c r="B241" s="30">
        <v>202101151005</v>
      </c>
      <c r="C241" t="s">
        <v>3695</v>
      </c>
      <c r="D241" t="s">
        <v>3696</v>
      </c>
      <c r="E241" t="s">
        <v>4918</v>
      </c>
      <c r="F241" t="s">
        <v>244</v>
      </c>
      <c r="G241" s="27" t="str">
        <f t="shared" si="8"/>
        <v>12909 BLACKPOOL LN  HOUSTON</v>
      </c>
      <c r="H241" s="27" t="str">
        <f t="shared" si="9"/>
        <v>HOUSTON TX 77066</v>
      </c>
    </row>
    <row r="242" spans="1:8" x14ac:dyDescent="0.2">
      <c r="A242" s="27">
        <f>COUNTIFS(C:C,C242,D:D,D242)</f>
        <v>1</v>
      </c>
      <c r="B242" s="30">
        <v>202101151007</v>
      </c>
      <c r="C242" s="28" t="s">
        <v>1484</v>
      </c>
      <c r="D242" s="28" t="s">
        <v>1485</v>
      </c>
      <c r="E242" s="28" t="s">
        <v>4952</v>
      </c>
      <c r="F242" s="28" t="s">
        <v>182</v>
      </c>
      <c r="G242" s="27" t="str">
        <f t="shared" si="8"/>
        <v>2513 HARRIS AVE  PASADENA</v>
      </c>
      <c r="H242" s="27" t="str">
        <f t="shared" si="9"/>
        <v>HOUSTON TX 77506</v>
      </c>
    </row>
    <row r="243" spans="1:8" x14ac:dyDescent="0.2">
      <c r="A243" s="27">
        <f>COUNTIFS(C:C,C243,D:D,D243)</f>
        <v>1</v>
      </c>
      <c r="B243" s="30">
        <v>202101151008</v>
      </c>
      <c r="C243" s="28" t="s">
        <v>784</v>
      </c>
      <c r="D243" s="28" t="s">
        <v>785</v>
      </c>
      <c r="E243" s="28" t="s">
        <v>4866</v>
      </c>
      <c r="F243" s="28" t="s">
        <v>187</v>
      </c>
      <c r="G243" s="27" t="str">
        <f t="shared" si="8"/>
        <v>7313 NORTH LINE DR  HOUSTON</v>
      </c>
      <c r="H243" s="27" t="str">
        <f t="shared" si="9"/>
        <v>HOUSTON TX 77076</v>
      </c>
    </row>
    <row r="244" spans="1:8" x14ac:dyDescent="0.2">
      <c r="A244" s="27">
        <f>COUNTIFS(C:C,C244,D:D,D244)</f>
        <v>1</v>
      </c>
      <c r="B244" s="30">
        <v>202101151010</v>
      </c>
      <c r="C244" t="s">
        <v>3130</v>
      </c>
      <c r="D244" t="s">
        <v>3131</v>
      </c>
      <c r="E244" t="s">
        <v>4901</v>
      </c>
      <c r="F244" t="s">
        <v>209</v>
      </c>
      <c r="G244" s="27" t="str">
        <f t="shared" si="8"/>
        <v>10734 CONCHO ST  HOUSTON</v>
      </c>
      <c r="H244" s="27" t="str">
        <f t="shared" si="9"/>
        <v>HOUSTON TX 77072</v>
      </c>
    </row>
    <row r="245" spans="1:8" x14ac:dyDescent="0.2">
      <c r="A245" s="27">
        <f>COUNTIFS(C:C,C245,D:D,D245)</f>
        <v>1</v>
      </c>
      <c r="B245" s="30">
        <v>202101151011</v>
      </c>
      <c r="C245" t="s">
        <v>3541</v>
      </c>
      <c r="D245" t="s">
        <v>3542</v>
      </c>
      <c r="E245" t="s">
        <v>4937</v>
      </c>
      <c r="F245" t="s">
        <v>255</v>
      </c>
      <c r="G245" s="27" t="str">
        <f t="shared" si="8"/>
        <v>3214 ASKEW STREET  HOUSTON</v>
      </c>
      <c r="H245" s="27" t="str">
        <f t="shared" si="9"/>
        <v>HOUSTON TX 77087</v>
      </c>
    </row>
    <row r="246" spans="1:8" x14ac:dyDescent="0.2">
      <c r="A246" s="27">
        <f>COUNTIFS(C:C,C246,D:D,D246)</f>
        <v>1</v>
      </c>
      <c r="B246" s="30">
        <v>202101151014</v>
      </c>
      <c r="C246" t="s">
        <v>2392</v>
      </c>
      <c r="D246" t="s">
        <v>2393</v>
      </c>
      <c r="E246" t="s">
        <v>5128</v>
      </c>
      <c r="F246" t="s">
        <v>185</v>
      </c>
      <c r="G246" s="27" t="str">
        <f t="shared" si="8"/>
        <v>9207 WATER EDGE POIN T LN HARRIS CO</v>
      </c>
      <c r="H246" s="27" t="str">
        <f t="shared" si="9"/>
        <v>HOUSTON TX 77396</v>
      </c>
    </row>
    <row r="247" spans="1:8" x14ac:dyDescent="0.2">
      <c r="A247" s="27">
        <f>COUNTIFS(C:C,C247,D:D,D247)</f>
        <v>1</v>
      </c>
      <c r="B247" s="30">
        <v>202101151024</v>
      </c>
      <c r="C247" t="s">
        <v>3707</v>
      </c>
      <c r="D247" t="s">
        <v>3708</v>
      </c>
      <c r="E247" t="s">
        <v>4905</v>
      </c>
      <c r="F247" t="s">
        <v>187</v>
      </c>
      <c r="G247" s="27" t="str">
        <f t="shared" si="8"/>
        <v>3120 PASADENA BLVD 9 0 PASADENA</v>
      </c>
      <c r="H247" s="27" t="str">
        <f t="shared" si="9"/>
        <v>HOUSTON TX 77503</v>
      </c>
    </row>
    <row r="248" spans="1:8" x14ac:dyDescent="0.2">
      <c r="A248" s="27">
        <f>COUNTIFS(C:C,C248,D:D,D248)</f>
        <v>1</v>
      </c>
      <c r="B248" s="30">
        <v>202101151027</v>
      </c>
      <c r="C248" t="s">
        <v>3711</v>
      </c>
      <c r="D248" t="s">
        <v>3712</v>
      </c>
      <c r="E248" t="s">
        <v>4987</v>
      </c>
      <c r="F248" t="s">
        <v>200</v>
      </c>
      <c r="G248" s="27" t="str">
        <f t="shared" si="8"/>
        <v>7100 WESTVIEW DR APT 1606 HOUSTON</v>
      </c>
      <c r="H248" s="27" t="str">
        <f t="shared" si="9"/>
        <v>HOUSTON TX 77055</v>
      </c>
    </row>
    <row r="249" spans="1:8" x14ac:dyDescent="0.2">
      <c r="A249" s="27">
        <f>COUNTIFS(C:C,C249,D:D,D249)</f>
        <v>1</v>
      </c>
      <c r="B249" s="30">
        <v>202101151028</v>
      </c>
      <c r="C249" t="s">
        <v>3118</v>
      </c>
      <c r="D249" t="s">
        <v>3119</v>
      </c>
      <c r="E249" t="s">
        <v>5002</v>
      </c>
      <c r="F249" t="s">
        <v>187</v>
      </c>
      <c r="G249" s="27" t="str">
        <f t="shared" si="8"/>
        <v>12025 RICHMOND AVE 43 02 HOUSTON</v>
      </c>
      <c r="H249" s="27" t="str">
        <f t="shared" si="9"/>
        <v>HOUSTON TX 77082</v>
      </c>
    </row>
    <row r="250" spans="1:8" x14ac:dyDescent="0.2">
      <c r="A250" s="27">
        <f>COUNTIFS(C:C,C250,D:D,D250)</f>
        <v>1</v>
      </c>
      <c r="B250" s="30">
        <v>202101151030</v>
      </c>
      <c r="C250" t="s">
        <v>3055</v>
      </c>
      <c r="D250" t="s">
        <v>3056</v>
      </c>
      <c r="E250" t="s">
        <v>4903</v>
      </c>
      <c r="F250" t="s">
        <v>194</v>
      </c>
      <c r="G250" s="27" t="str">
        <f t="shared" si="8"/>
        <v>14927 VINE GROVE FALL S CT CYPRESS</v>
      </c>
      <c r="H250" s="27" t="str">
        <f t="shared" si="9"/>
        <v>HOUSTON TX 77433</v>
      </c>
    </row>
    <row r="251" spans="1:8" x14ac:dyDescent="0.2">
      <c r="A251" s="27">
        <f>COUNTIFS(C:C,C251,D:D,D251)</f>
        <v>1</v>
      </c>
      <c r="B251" s="30">
        <v>202101151032</v>
      </c>
      <c r="C251" s="28" t="s">
        <v>942</v>
      </c>
      <c r="D251" s="28" t="s">
        <v>943</v>
      </c>
      <c r="E251" s="28" t="s">
        <v>4909</v>
      </c>
      <c r="F251" s="28" t="s">
        <v>256</v>
      </c>
      <c r="G251" s="27" t="str">
        <f t="shared" si="8"/>
        <v>15747 HIRAM CLARKE RD  HOUSTON</v>
      </c>
      <c r="H251" s="27" t="str">
        <f t="shared" si="9"/>
        <v>HOUSTON TX 77053</v>
      </c>
    </row>
    <row r="252" spans="1:8" x14ac:dyDescent="0.2">
      <c r="A252" s="27">
        <f>COUNTIFS(C:C,C252,D:D,D252)</f>
        <v>1</v>
      </c>
      <c r="B252" s="30">
        <v>202101151033</v>
      </c>
      <c r="C252" s="28" t="s">
        <v>1536</v>
      </c>
      <c r="D252" s="28" t="s">
        <v>1537</v>
      </c>
      <c r="E252" s="28" t="s">
        <v>4933</v>
      </c>
      <c r="F252" s="28" t="s">
        <v>4785</v>
      </c>
      <c r="G252" s="27" t="str">
        <f t="shared" si="8"/>
        <v>8606 KEMPRIDGE  HOUSTON</v>
      </c>
      <c r="H252" s="27" t="str">
        <f t="shared" si="9"/>
        <v>HOUSTON TX 77080</v>
      </c>
    </row>
    <row r="253" spans="1:8" x14ac:dyDescent="0.2">
      <c r="A253" s="27">
        <f>COUNTIFS(C:C,C253,D:D,D253)</f>
        <v>1</v>
      </c>
      <c r="B253" s="30">
        <v>202101151036</v>
      </c>
      <c r="C253" t="s">
        <v>2607</v>
      </c>
      <c r="D253" t="s">
        <v>2608</v>
      </c>
      <c r="E253" t="s">
        <v>4984</v>
      </c>
      <c r="F253" t="s">
        <v>244</v>
      </c>
      <c r="G253" s="27" t="str">
        <f t="shared" si="8"/>
        <v>23831 GOODFELLOW DR  SPRING</v>
      </c>
      <c r="H253" s="27" t="str">
        <f t="shared" si="9"/>
        <v>HOUSTON TX 77373</v>
      </c>
    </row>
    <row r="254" spans="1:8" x14ac:dyDescent="0.2">
      <c r="A254" s="27">
        <f>COUNTIFS(C:C,C254,D:D,D254)</f>
        <v>1</v>
      </c>
      <c r="B254" s="30">
        <v>202101151037</v>
      </c>
      <c r="C254" s="28" t="s">
        <v>878</v>
      </c>
      <c r="D254" s="28" t="s">
        <v>879</v>
      </c>
      <c r="E254" s="28" t="s">
        <v>4891</v>
      </c>
      <c r="F254" s="28" t="s">
        <v>181</v>
      </c>
      <c r="G254" s="27" t="str">
        <f t="shared" si="8"/>
        <v>1042 MARCOLIN ST  HOUSTON</v>
      </c>
      <c r="H254" s="27" t="str">
        <f t="shared" si="9"/>
        <v>HOUSTON TX 77088</v>
      </c>
    </row>
    <row r="255" spans="1:8" x14ac:dyDescent="0.2">
      <c r="A255" s="27">
        <f>COUNTIFS(C:C,C255,D:D,D255)</f>
        <v>1</v>
      </c>
      <c r="B255" s="30">
        <v>202101151042</v>
      </c>
      <c r="C255" s="28" t="s">
        <v>534</v>
      </c>
      <c r="D255" s="28" t="s">
        <v>535</v>
      </c>
      <c r="E255" s="28" t="s">
        <v>4902</v>
      </c>
      <c r="F255" s="28" t="s">
        <v>182</v>
      </c>
      <c r="G255" s="27" t="str">
        <f t="shared" si="8"/>
        <v>409 BLUE POINT RD  GALVESTON</v>
      </c>
      <c r="H255" s="27" t="str">
        <f t="shared" si="9"/>
        <v>HOUSTON TX 77565</v>
      </c>
    </row>
    <row r="256" spans="1:8" x14ac:dyDescent="0.2">
      <c r="A256" s="27">
        <f>COUNTIFS(C:C,C256,D:D,D256)</f>
        <v>1</v>
      </c>
      <c r="B256" s="30">
        <v>202101151043</v>
      </c>
      <c r="C256" t="s">
        <v>2028</v>
      </c>
      <c r="D256" t="s">
        <v>2029</v>
      </c>
      <c r="E256" t="s">
        <v>4991</v>
      </c>
      <c r="F256" t="s">
        <v>4802</v>
      </c>
      <c r="G256" s="27" t="str">
        <f t="shared" si="8"/>
        <v>10550 VALLEY FORGE DR  HOUSTON</v>
      </c>
      <c r="H256" s="27" t="str">
        <f t="shared" si="9"/>
        <v>HOUSTON TX 77042</v>
      </c>
    </row>
    <row r="257" spans="1:8" x14ac:dyDescent="0.2">
      <c r="A257" s="27">
        <f>COUNTIFS(C:C,C257,D:D,D257)</f>
        <v>1</v>
      </c>
      <c r="B257" s="30">
        <v>202101151047</v>
      </c>
      <c r="C257" s="28" t="s">
        <v>1591</v>
      </c>
      <c r="D257" s="28" t="s">
        <v>1592</v>
      </c>
      <c r="E257" s="28" t="s">
        <v>4950</v>
      </c>
      <c r="F257" s="28" t="s">
        <v>207</v>
      </c>
      <c r="G257" s="27" t="str">
        <f t="shared" si="8"/>
        <v>1404 E 36TH ST  HOUSTON</v>
      </c>
      <c r="H257" s="27" t="str">
        <f t="shared" si="9"/>
        <v>HOUSTON TX 77022</v>
      </c>
    </row>
    <row r="258" spans="1:8" x14ac:dyDescent="0.2">
      <c r="A258" s="27">
        <f>COUNTIFS(C:C,C258,D:D,D258)</f>
        <v>1</v>
      </c>
      <c r="B258" s="30">
        <v>202101151048</v>
      </c>
      <c r="C258" t="s">
        <v>1963</v>
      </c>
      <c r="D258" t="s">
        <v>1964</v>
      </c>
      <c r="E258" t="s">
        <v>5023</v>
      </c>
      <c r="F258" t="s">
        <v>187</v>
      </c>
      <c r="G258" s="27" t="str">
        <f t="shared" si="8"/>
        <v>8162 RICHMOND AVE  HOUSTON</v>
      </c>
      <c r="H258" s="27" t="str">
        <f t="shared" si="9"/>
        <v>HOUSTON TX 77063</v>
      </c>
    </row>
    <row r="259" spans="1:8" x14ac:dyDescent="0.2">
      <c r="A259" s="27">
        <f>COUNTIFS(C:C,C259,D:D,D259)</f>
        <v>1</v>
      </c>
      <c r="B259" s="30">
        <v>202101151054</v>
      </c>
      <c r="C259" s="28" t="s">
        <v>1494</v>
      </c>
      <c r="D259" s="28" t="s">
        <v>1495</v>
      </c>
      <c r="E259" s="28" t="s">
        <v>5047</v>
      </c>
      <c r="F259" s="28" t="s">
        <v>4784</v>
      </c>
      <c r="G259" s="27" t="str">
        <f t="shared" si="8"/>
        <v>2893 STATE HIGHWAY 6  MARLIN</v>
      </c>
      <c r="H259" s="27" t="str">
        <f t="shared" si="9"/>
        <v>HOUSTON TX 76661</v>
      </c>
    </row>
    <row r="260" spans="1:8" x14ac:dyDescent="0.2">
      <c r="A260" s="27">
        <f>COUNTIFS(C:C,C260,D:D,D260)</f>
        <v>1</v>
      </c>
      <c r="B260" s="30">
        <v>202101151055</v>
      </c>
      <c r="C260" s="28" t="s">
        <v>1158</v>
      </c>
      <c r="D260" s="28" t="s">
        <v>1159</v>
      </c>
      <c r="E260" s="28" t="s">
        <v>5007</v>
      </c>
      <c r="F260" s="28" t="s">
        <v>202</v>
      </c>
      <c r="G260" s="27" t="str">
        <f t="shared" si="8"/>
        <v>208 S TIMBERLAND DR  LUFKIN</v>
      </c>
      <c r="H260" s="27" t="str">
        <f t="shared" si="9"/>
        <v>HOUSTON TX 75901</v>
      </c>
    </row>
    <row r="261" spans="1:8" x14ac:dyDescent="0.2">
      <c r="A261" s="27">
        <f>COUNTIFS(C:C,C261,D:D,D261)</f>
        <v>1</v>
      </c>
      <c r="B261" s="30">
        <v>202101151058</v>
      </c>
      <c r="C261" t="s">
        <v>3720</v>
      </c>
      <c r="D261" t="s">
        <v>3721</v>
      </c>
      <c r="E261" t="s">
        <v>4991</v>
      </c>
      <c r="F261" t="s">
        <v>195</v>
      </c>
      <c r="G261" s="27" t="str">
        <f t="shared" si="8"/>
        <v>3100 W SAM HOUSTON P KWY S 131 HOUSTON</v>
      </c>
      <c r="H261" s="27" t="str">
        <f t="shared" si="9"/>
        <v>HOUSTON TX 77042</v>
      </c>
    </row>
    <row r="262" spans="1:8" x14ac:dyDescent="0.2">
      <c r="A262" s="27">
        <f>COUNTIFS(C:C,C262,D:D,D262)</f>
        <v>1</v>
      </c>
      <c r="B262" s="30">
        <v>202101151059</v>
      </c>
      <c r="C262" s="28" t="s">
        <v>1801</v>
      </c>
      <c r="D262" s="28" t="s">
        <v>1802</v>
      </c>
      <c r="E262" s="28" t="s">
        <v>4960</v>
      </c>
      <c r="F262" s="28" t="s">
        <v>203</v>
      </c>
      <c r="G262" s="27" t="str">
        <f t="shared" si="8"/>
        <v>18204 CHISHOLM  HOUSTON</v>
      </c>
      <c r="H262" s="27" t="str">
        <f t="shared" si="9"/>
        <v>HOUSTON TX 77060</v>
      </c>
    </row>
    <row r="263" spans="1:8" x14ac:dyDescent="0.2">
      <c r="A263" s="27">
        <f>COUNTIFS(C:C,C263,D:D,D263)</f>
        <v>1</v>
      </c>
      <c r="B263" s="30">
        <v>202101151061</v>
      </c>
      <c r="C263" t="s">
        <v>2085</v>
      </c>
      <c r="D263" t="s">
        <v>2086</v>
      </c>
      <c r="E263" t="s">
        <v>5026</v>
      </c>
      <c r="F263" t="s">
        <v>187</v>
      </c>
      <c r="G263" s="27" t="str">
        <f t="shared" si="8"/>
        <v>1799 FM 528 12102  WEBSTER</v>
      </c>
      <c r="H263" s="27" t="str">
        <f t="shared" si="9"/>
        <v>HOUSTON TX 77598</v>
      </c>
    </row>
    <row r="264" spans="1:8" x14ac:dyDescent="0.2">
      <c r="A264" s="27">
        <f>COUNTIFS(C:C,C264,D:D,D264)</f>
        <v>1</v>
      </c>
      <c r="B264" s="30">
        <v>202101151062</v>
      </c>
      <c r="C264" t="s">
        <v>2785</v>
      </c>
      <c r="D264" t="s">
        <v>2786</v>
      </c>
      <c r="E264" t="s">
        <v>5154</v>
      </c>
      <c r="F264" t="s">
        <v>202</v>
      </c>
      <c r="G264" s="27" t="str">
        <f t="shared" si="8"/>
        <v>101 SOUTH POINT CT  ALLEN</v>
      </c>
      <c r="H264" s="27" t="str">
        <f t="shared" si="9"/>
        <v>HOUSTON TX 75002</v>
      </c>
    </row>
    <row r="265" spans="1:8" x14ac:dyDescent="0.2">
      <c r="A265" s="27">
        <f>COUNTIFS(C:C,C265,D:D,D265)</f>
        <v>1</v>
      </c>
      <c r="B265" s="30">
        <v>202101151069</v>
      </c>
      <c r="C265" s="28" t="s">
        <v>1836</v>
      </c>
      <c r="D265" s="28" t="s">
        <v>1837</v>
      </c>
      <c r="E265" s="28" t="s">
        <v>4967</v>
      </c>
      <c r="F265" s="28" t="s">
        <v>4800</v>
      </c>
      <c r="G265" s="27" t="str">
        <f t="shared" si="8"/>
        <v>5800 HOLLISTER ST  HOUSTON</v>
      </c>
      <c r="H265" s="27" t="str">
        <f t="shared" si="9"/>
        <v>HOUSTON TX 77040</v>
      </c>
    </row>
    <row r="266" spans="1:8" x14ac:dyDescent="0.2">
      <c r="A266" s="27">
        <f>COUNTIFS(C:C,C266,D:D,D266)</f>
        <v>1</v>
      </c>
      <c r="B266" s="30">
        <v>202101151072</v>
      </c>
      <c r="C266" t="s">
        <v>3719</v>
      </c>
      <c r="D266" t="s">
        <v>1214</v>
      </c>
      <c r="E266" t="s">
        <v>4943</v>
      </c>
      <c r="F266" t="s">
        <v>4775</v>
      </c>
      <c r="G266" s="27" t="str">
        <f t="shared" si="8"/>
        <v>15203 NEWLY DR  HOUSTON</v>
      </c>
      <c r="H266" s="27" t="str">
        <f t="shared" si="9"/>
        <v>HOUSTON TX 77084</v>
      </c>
    </row>
    <row r="267" spans="1:8" x14ac:dyDescent="0.2">
      <c r="A267" s="27">
        <f>COUNTIFS(C:C,C267,D:D,D267)</f>
        <v>1</v>
      </c>
      <c r="B267" s="30">
        <v>202101151082</v>
      </c>
      <c r="C267" s="28" t="s">
        <v>642</v>
      </c>
      <c r="D267" s="28" t="s">
        <v>643</v>
      </c>
      <c r="E267" s="28" t="s">
        <v>4915</v>
      </c>
      <c r="F267" s="28" t="s">
        <v>240</v>
      </c>
      <c r="G267" s="27" t="str">
        <f t="shared" si="8"/>
        <v>5720 BELVEDERE ST  HOUSTON</v>
      </c>
      <c r="H267" s="27" t="str">
        <f t="shared" si="9"/>
        <v>HOUSTON TX 77021</v>
      </c>
    </row>
    <row r="268" spans="1:8" x14ac:dyDescent="0.2">
      <c r="A268" s="27">
        <f>COUNTIFS(C:C,C268,D:D,D268)</f>
        <v>1</v>
      </c>
      <c r="B268" s="30">
        <v>202101151084</v>
      </c>
      <c r="C268" s="28" t="s">
        <v>1538</v>
      </c>
      <c r="D268" s="28" t="s">
        <v>1539</v>
      </c>
      <c r="E268" s="28" t="s">
        <v>4891</v>
      </c>
      <c r="F268" s="28" t="s">
        <v>181</v>
      </c>
      <c r="G268" s="27" t="str">
        <f t="shared" si="8"/>
        <v>5350 W GULF BANK  HOUSTON</v>
      </c>
      <c r="H268" s="27" t="str">
        <f t="shared" si="9"/>
        <v>HOUSTON TX 77088</v>
      </c>
    </row>
    <row r="269" spans="1:8" x14ac:dyDescent="0.2">
      <c r="A269" s="27">
        <f>COUNTIFS(C:C,C269,D:D,D269)</f>
        <v>1</v>
      </c>
      <c r="B269" s="30">
        <v>202101151098</v>
      </c>
      <c r="C269" s="28" t="s">
        <v>1813</v>
      </c>
      <c r="D269" s="28" t="s">
        <v>1814</v>
      </c>
      <c r="E269" s="28" t="s">
        <v>5076</v>
      </c>
      <c r="F269" s="28" t="s">
        <v>182</v>
      </c>
      <c r="G269" s="27" t="str">
        <f t="shared" si="8"/>
        <v>626 SAIPAN PL  SAN ANTONI</v>
      </c>
      <c r="H269" s="27" t="str">
        <f t="shared" si="9"/>
        <v>HOUSTON TX 78221</v>
      </c>
    </row>
    <row r="270" spans="1:8" x14ac:dyDescent="0.2">
      <c r="A270" s="27">
        <f>COUNTIFS(C:C,C270,D:D,D270)</f>
        <v>1</v>
      </c>
      <c r="B270" s="30">
        <v>202101151099</v>
      </c>
      <c r="C270" t="s">
        <v>2563</v>
      </c>
      <c r="D270" t="s">
        <v>2564</v>
      </c>
      <c r="E270" t="s">
        <v>5138</v>
      </c>
      <c r="F270" t="s">
        <v>189</v>
      </c>
      <c r="G270" s="27" t="str">
        <f t="shared" si="8"/>
        <v>34 N HIGHLAND CT  WOODLANDS</v>
      </c>
      <c r="H270" s="27" t="str">
        <f t="shared" si="9"/>
        <v>HOUSTON TX 77381</v>
      </c>
    </row>
    <row r="271" spans="1:8" x14ac:dyDescent="0.2">
      <c r="A271" s="27">
        <f>COUNTIFS(C:C,C271,D:D,D271)</f>
        <v>1</v>
      </c>
      <c r="B271" s="30">
        <v>202101151101</v>
      </c>
      <c r="C271" s="28" t="s">
        <v>688</v>
      </c>
      <c r="D271" s="28" t="s">
        <v>689</v>
      </c>
      <c r="E271" s="28" t="s">
        <v>4871</v>
      </c>
      <c r="F271" s="28" t="s">
        <v>4770</v>
      </c>
      <c r="G271" s="27" t="str">
        <f t="shared" si="8"/>
        <v>129826 SOUTHBRIDGE  HOUSTON</v>
      </c>
      <c r="H271" s="27" t="str">
        <f t="shared" si="9"/>
        <v>HOUSTON TX 77047</v>
      </c>
    </row>
    <row r="272" spans="1:8" x14ac:dyDescent="0.2">
      <c r="A272" s="27">
        <f>COUNTIFS(C:C,C272,D:D,D272)</f>
        <v>1</v>
      </c>
      <c r="B272" s="30">
        <v>202101151108</v>
      </c>
      <c r="C272" t="s">
        <v>2221</v>
      </c>
      <c r="D272" t="s">
        <v>2222</v>
      </c>
      <c r="E272" t="s">
        <v>4891</v>
      </c>
      <c r="F272" t="s">
        <v>202</v>
      </c>
      <c r="G272" s="27" t="str">
        <f t="shared" si="8"/>
        <v>1914 RAINY RIVER DR  HOUSTON</v>
      </c>
      <c r="H272" s="27" t="str">
        <f t="shared" si="9"/>
        <v>HOUSTON TX 77088</v>
      </c>
    </row>
    <row r="273" spans="1:8" x14ac:dyDescent="0.2">
      <c r="A273" s="27">
        <f>COUNTIFS(C:C,C273,D:D,D273)</f>
        <v>1</v>
      </c>
      <c r="B273" s="30">
        <v>202101151109</v>
      </c>
      <c r="C273" t="s">
        <v>2825</v>
      </c>
      <c r="D273" t="s">
        <v>2826</v>
      </c>
      <c r="E273" t="s">
        <v>5002</v>
      </c>
      <c r="F273" t="s">
        <v>4817</v>
      </c>
      <c r="G273" s="27" t="str">
        <f t="shared" si="8"/>
        <v>15155 RICHMOND AVE 12 34 HOUSTON</v>
      </c>
      <c r="H273" s="27" t="str">
        <f t="shared" si="9"/>
        <v>HOUSTON TX 77082</v>
      </c>
    </row>
    <row r="274" spans="1:8" x14ac:dyDescent="0.2">
      <c r="A274" s="27">
        <f>COUNTIFS(C:C,C274,D:D,D274)</f>
        <v>1</v>
      </c>
      <c r="B274" s="30">
        <v>202101151111</v>
      </c>
      <c r="C274" t="s">
        <v>3206</v>
      </c>
      <c r="D274" t="s">
        <v>3207</v>
      </c>
      <c r="E274" t="s">
        <v>4967</v>
      </c>
      <c r="F274" t="s">
        <v>182</v>
      </c>
      <c r="G274" s="27" t="str">
        <f t="shared" si="8"/>
        <v>7500 PINEMONT DR  HOUSTON</v>
      </c>
      <c r="H274" s="27" t="str">
        <f t="shared" si="9"/>
        <v>HOUSTON TX 77040</v>
      </c>
    </row>
    <row r="275" spans="1:8" x14ac:dyDescent="0.2">
      <c r="A275" s="27">
        <f>COUNTIFS(C:C,C275,D:D,D275)</f>
        <v>1</v>
      </c>
      <c r="B275" s="30">
        <v>202101151121</v>
      </c>
      <c r="C275" t="s">
        <v>3728</v>
      </c>
      <c r="D275" t="s">
        <v>3729</v>
      </c>
      <c r="E275" t="s">
        <v>4862</v>
      </c>
      <c r="F275" t="s">
        <v>236</v>
      </c>
      <c r="G275" s="27" t="str">
        <f t="shared" si="8"/>
        <v>16755 ELLA BLVD  HOUSTON</v>
      </c>
      <c r="H275" s="27" t="str">
        <f t="shared" si="9"/>
        <v>HOUSTON TX 77090</v>
      </c>
    </row>
    <row r="276" spans="1:8" x14ac:dyDescent="0.2">
      <c r="A276" s="27">
        <f>COUNTIFS(C:C,C276,D:D,D276)</f>
        <v>1</v>
      </c>
      <c r="B276" s="30">
        <v>202101151123</v>
      </c>
      <c r="C276" s="28" t="s">
        <v>1333</v>
      </c>
      <c r="D276" s="28" t="s">
        <v>1334</v>
      </c>
      <c r="E276" s="28" t="s">
        <v>4967</v>
      </c>
      <c r="F276" s="28" t="s">
        <v>209</v>
      </c>
      <c r="G276" s="27" t="str">
        <f t="shared" si="8"/>
        <v>9443 RIPPLING FIELDS  HOUSTON</v>
      </c>
      <c r="H276" s="27" t="str">
        <f t="shared" si="9"/>
        <v>HOUSTON TX 77040</v>
      </c>
    </row>
    <row r="277" spans="1:8" x14ac:dyDescent="0.2">
      <c r="A277" s="27">
        <f>COUNTIFS(C:C,C277,D:D,D277)</f>
        <v>1</v>
      </c>
      <c r="B277" s="30">
        <v>202101151125</v>
      </c>
      <c r="C277" t="s">
        <v>2444</v>
      </c>
      <c r="D277" t="s">
        <v>2445</v>
      </c>
      <c r="E277" t="s">
        <v>4933</v>
      </c>
      <c r="F277" t="s">
        <v>204</v>
      </c>
      <c r="G277" s="27" t="str">
        <f t="shared" si="8"/>
        <v>903 HAMMERLY BLVE 2 03 HOUSTON</v>
      </c>
      <c r="H277" s="27" t="str">
        <f t="shared" si="9"/>
        <v>HOUSTON TX 77080</v>
      </c>
    </row>
    <row r="278" spans="1:8" x14ac:dyDescent="0.2">
      <c r="A278" s="27">
        <f>COUNTIFS(C:C,C278,D:D,D278)</f>
        <v>1</v>
      </c>
      <c r="B278" s="30">
        <v>202101151127</v>
      </c>
      <c r="C278" s="28" t="s">
        <v>884</v>
      </c>
      <c r="D278" s="28" t="s">
        <v>885</v>
      </c>
      <c r="E278" s="28" t="s">
        <v>4878</v>
      </c>
      <c r="F278" s="28" t="s">
        <v>189</v>
      </c>
      <c r="G278" s="27" t="str">
        <f t="shared" si="8"/>
        <v>1911 MLK BLVD 1212  HOUSTON</v>
      </c>
      <c r="H278" s="27" t="str">
        <f t="shared" si="9"/>
        <v>HOUSTON TX 77048</v>
      </c>
    </row>
    <row r="279" spans="1:8" x14ac:dyDescent="0.2">
      <c r="A279" s="27">
        <f>COUNTIFS(C:C,C279,D:D,D279)</f>
        <v>1</v>
      </c>
      <c r="B279" s="30">
        <v>202101151128</v>
      </c>
      <c r="C279" s="28" t="s">
        <v>994</v>
      </c>
      <c r="D279" s="28" t="s">
        <v>995</v>
      </c>
      <c r="E279" s="28" t="s">
        <v>4982</v>
      </c>
      <c r="F279" s="28" t="s">
        <v>204</v>
      </c>
      <c r="G279" s="27" t="str">
        <f t="shared" si="8"/>
        <v>1227 FORESTBURG DR  HOUSTON</v>
      </c>
      <c r="H279" s="27" t="str">
        <f t="shared" si="9"/>
        <v>HOUSTON TX 77038</v>
      </c>
    </row>
    <row r="280" spans="1:8" x14ac:dyDescent="0.2">
      <c r="A280" s="27">
        <f>COUNTIFS(C:C,C280,D:D,D280)</f>
        <v>1</v>
      </c>
      <c r="B280" s="30">
        <v>202101151129</v>
      </c>
      <c r="C280" s="28" t="s">
        <v>1844</v>
      </c>
      <c r="D280" s="28" t="s">
        <v>1845</v>
      </c>
      <c r="E280" s="28" t="s">
        <v>4875</v>
      </c>
      <c r="F280" s="28" t="s">
        <v>215</v>
      </c>
      <c r="G280" s="27" t="str">
        <f t="shared" si="8"/>
        <v>7601 CURRY RD  HOUSTON</v>
      </c>
      <c r="H280" s="27" t="str">
        <f t="shared" si="9"/>
        <v>HOUSTON TX 77093</v>
      </c>
    </row>
    <row r="281" spans="1:8" x14ac:dyDescent="0.2">
      <c r="A281" s="27">
        <f>COUNTIFS(C:C,C281,D:D,D281)</f>
        <v>1</v>
      </c>
      <c r="B281" s="30">
        <v>202101151131</v>
      </c>
      <c r="C281" s="28" t="s">
        <v>581</v>
      </c>
      <c r="D281" s="28" t="s">
        <v>582</v>
      </c>
      <c r="E281" s="28" t="s">
        <v>4914</v>
      </c>
      <c r="F281" s="28" t="s">
        <v>182</v>
      </c>
      <c r="G281" s="27" t="str">
        <f t="shared" si="8"/>
        <v>1600 ELDRIDGE PKWY  HOUSTON</v>
      </c>
      <c r="H281" s="27" t="str">
        <f t="shared" si="9"/>
        <v>HOUSTON TX 77077</v>
      </c>
    </row>
    <row r="282" spans="1:8" x14ac:dyDescent="0.2">
      <c r="A282" s="27">
        <f>COUNTIFS(C:C,C282,D:D,D282)</f>
        <v>1</v>
      </c>
      <c r="B282" s="30">
        <v>202101151132</v>
      </c>
      <c r="C282" t="s">
        <v>2617</v>
      </c>
      <c r="D282" t="s">
        <v>2618</v>
      </c>
      <c r="E282" t="s">
        <v>4982</v>
      </c>
      <c r="F282" t="s">
        <v>215</v>
      </c>
      <c r="G282" s="27" t="str">
        <f t="shared" si="8"/>
        <v>906 W MOUNT HOUSTON RD HOUSTON</v>
      </c>
      <c r="H282" s="27" t="str">
        <f t="shared" si="9"/>
        <v>HOUSTON TX 77038</v>
      </c>
    </row>
    <row r="283" spans="1:8" x14ac:dyDescent="0.2">
      <c r="A283" s="27">
        <f>COUNTIFS(C:C,C283,D:D,D283)</f>
        <v>1</v>
      </c>
      <c r="B283" s="30">
        <v>202101151148</v>
      </c>
      <c r="C283" t="s">
        <v>3263</v>
      </c>
      <c r="D283" t="s">
        <v>3264</v>
      </c>
      <c r="E283" t="s">
        <v>4905</v>
      </c>
      <c r="F283" t="s">
        <v>193</v>
      </c>
      <c r="G283" s="27" t="str">
        <f t="shared" si="8"/>
        <v>3510 RAMSEY DR  PASADENA</v>
      </c>
      <c r="H283" s="27" t="str">
        <f t="shared" si="9"/>
        <v>HOUSTON TX 77503</v>
      </c>
    </row>
    <row r="284" spans="1:8" x14ac:dyDescent="0.2">
      <c r="A284" s="27">
        <f>COUNTIFS(C:C,C284,D:D,D284)</f>
        <v>1</v>
      </c>
      <c r="B284" s="30">
        <v>202101151158</v>
      </c>
      <c r="C284" s="28" t="s">
        <v>888</v>
      </c>
      <c r="D284" s="28" t="s">
        <v>889</v>
      </c>
      <c r="E284" s="28" t="s">
        <v>4905</v>
      </c>
      <c r="F284" s="28" t="s">
        <v>235</v>
      </c>
      <c r="G284" s="27" t="str">
        <f t="shared" si="8"/>
        <v>3607 NEWTON  PASADENA</v>
      </c>
      <c r="H284" s="27" t="str">
        <f t="shared" si="9"/>
        <v>HOUSTON TX 77503</v>
      </c>
    </row>
    <row r="285" spans="1:8" x14ac:dyDescent="0.2">
      <c r="A285" s="27">
        <f>COUNTIFS(C:C,C285,D:D,D285)</f>
        <v>1</v>
      </c>
      <c r="B285" s="30">
        <v>202101151159</v>
      </c>
      <c r="C285" s="28" t="s">
        <v>500</v>
      </c>
      <c r="D285" s="28" t="s">
        <v>501</v>
      </c>
      <c r="E285" s="28" t="s">
        <v>4890</v>
      </c>
      <c r="F285" s="28" t="s">
        <v>202</v>
      </c>
      <c r="G285" s="27" t="str">
        <f t="shared" si="8"/>
        <v>7341 EVANS  HOUSTON</v>
      </c>
      <c r="H285" s="27" t="str">
        <f t="shared" si="9"/>
        <v>HOUSTON TX 77061</v>
      </c>
    </row>
    <row r="286" spans="1:8" x14ac:dyDescent="0.2">
      <c r="A286" s="27">
        <f>COUNTIFS(C:C,C286,D:D,D286)</f>
        <v>1</v>
      </c>
      <c r="B286" s="30">
        <v>202101151169</v>
      </c>
      <c r="C286" t="s">
        <v>2596</v>
      </c>
      <c r="D286" t="s">
        <v>2597</v>
      </c>
      <c r="E286" t="s">
        <v>4943</v>
      </c>
      <c r="F286" t="s">
        <v>186</v>
      </c>
      <c r="G286" s="27" t="str">
        <f t="shared" si="8"/>
        <v>6539 LANGHAM WAY  HOUSTON</v>
      </c>
      <c r="H286" s="27" t="str">
        <f t="shared" si="9"/>
        <v>HOUSTON TX 77084</v>
      </c>
    </row>
    <row r="287" spans="1:8" x14ac:dyDescent="0.2">
      <c r="A287" s="27">
        <f>COUNTIFS(C:C,C287,D:D,D287)</f>
        <v>1</v>
      </c>
      <c r="B287" s="30">
        <v>202101151175</v>
      </c>
      <c r="C287" t="s">
        <v>3737</v>
      </c>
      <c r="D287" t="s">
        <v>3738</v>
      </c>
      <c r="E287" t="s">
        <v>4969</v>
      </c>
      <c r="F287" t="s">
        <v>204</v>
      </c>
      <c r="G287" s="27" t="str">
        <f t="shared" si="8"/>
        <v>9902 MEMORIAL CROSSI NG TOMBALL</v>
      </c>
      <c r="H287" s="27" t="str">
        <f t="shared" si="9"/>
        <v>HOUSTON TX 77375</v>
      </c>
    </row>
    <row r="288" spans="1:8" x14ac:dyDescent="0.2">
      <c r="A288" s="27">
        <f>COUNTIFS(C:C,C288,D:D,D288)</f>
        <v>1</v>
      </c>
      <c r="B288" s="30">
        <v>202101151180</v>
      </c>
      <c r="C288" s="28" t="s">
        <v>402</v>
      </c>
      <c r="D288" s="28" t="s">
        <v>403</v>
      </c>
      <c r="E288" s="28" t="s">
        <v>4852</v>
      </c>
      <c r="F288" s="28" t="s">
        <v>193</v>
      </c>
      <c r="G288" s="27" t="str">
        <f t="shared" si="8"/>
        <v>5501 PARKER RD  HOUSTON</v>
      </c>
      <c r="H288" s="27" t="str">
        <f t="shared" si="9"/>
        <v>HOUSTON TX 77016</v>
      </c>
    </row>
    <row r="289" spans="1:8" x14ac:dyDescent="0.2">
      <c r="A289" s="27">
        <f>COUNTIFS(C:C,C289,D:D,D289)</f>
        <v>1</v>
      </c>
      <c r="B289" s="30">
        <v>202101151182</v>
      </c>
      <c r="C289" t="s">
        <v>3739</v>
      </c>
      <c r="D289" t="s">
        <v>3740</v>
      </c>
      <c r="E289" t="s">
        <v>5214</v>
      </c>
      <c r="F289" t="s">
        <v>202</v>
      </c>
      <c r="G289" s="27" t="str">
        <f t="shared" si="8"/>
        <v>4826 ALDINE MAIL RD  HOUSTNO</v>
      </c>
      <c r="H289" s="27" t="str">
        <f t="shared" si="9"/>
        <v>HOUSTON TX 77039</v>
      </c>
    </row>
    <row r="290" spans="1:8" x14ac:dyDescent="0.2">
      <c r="A290" s="27">
        <f>COUNTIFS(C:C,C290,D:D,D290)</f>
        <v>1</v>
      </c>
      <c r="B290" s="30">
        <v>202101151183</v>
      </c>
      <c r="C290" t="s">
        <v>2670</v>
      </c>
      <c r="D290" t="s">
        <v>2671</v>
      </c>
      <c r="E290" t="s">
        <v>5143</v>
      </c>
      <c r="F290" t="s">
        <v>205</v>
      </c>
      <c r="G290" s="27" t="str">
        <f t="shared" si="8"/>
        <v>2330 SOUTHWEST FWY 3 31 HOUSTON</v>
      </c>
      <c r="H290" s="27" t="str">
        <f t="shared" si="9"/>
        <v>HOUSTON TX 77098</v>
      </c>
    </row>
    <row r="291" spans="1:8" x14ac:dyDescent="0.2">
      <c r="A291" s="27">
        <f>COUNTIFS(C:C,C291,D:D,D291)</f>
        <v>1</v>
      </c>
      <c r="B291" s="30">
        <v>202101151186</v>
      </c>
      <c r="C291" t="s">
        <v>2430</v>
      </c>
      <c r="D291" t="s">
        <v>2431</v>
      </c>
      <c r="E291" t="s">
        <v>4936</v>
      </c>
      <c r="F291" t="s">
        <v>203</v>
      </c>
      <c r="G291" s="27" t="str">
        <f t="shared" si="8"/>
        <v>7957 W AIRPORT BLVD  HOUSTON</v>
      </c>
      <c r="H291" s="27" t="str">
        <f t="shared" si="9"/>
        <v>HOUSTON TX 77071</v>
      </c>
    </row>
    <row r="292" spans="1:8" x14ac:dyDescent="0.2">
      <c r="A292" s="27">
        <f>COUNTIFS(C:C,C292,D:D,D292)</f>
        <v>1</v>
      </c>
      <c r="B292" s="30">
        <v>202101151188</v>
      </c>
      <c r="C292" t="s">
        <v>3743</v>
      </c>
      <c r="D292" t="s">
        <v>3744</v>
      </c>
      <c r="E292" t="s">
        <v>4987</v>
      </c>
      <c r="F292" t="s">
        <v>208</v>
      </c>
      <c r="G292" s="27" t="str">
        <f t="shared" si="8"/>
        <v>1502 ZORA ST  HOUSTON</v>
      </c>
      <c r="H292" s="27" t="str">
        <f t="shared" si="9"/>
        <v>HOUSTON TX 77055</v>
      </c>
    </row>
    <row r="293" spans="1:8" x14ac:dyDescent="0.2">
      <c r="A293" s="27">
        <f>COUNTIFS(C:C,C293,D:D,D293)</f>
        <v>1</v>
      </c>
      <c r="B293" s="30">
        <v>202101151189</v>
      </c>
      <c r="C293" t="s">
        <v>3745</v>
      </c>
      <c r="D293" t="s">
        <v>3746</v>
      </c>
      <c r="E293" t="s">
        <v>4865</v>
      </c>
      <c r="F293" t="s">
        <v>203</v>
      </c>
      <c r="G293" s="27" t="str">
        <f t="shared" si="8"/>
        <v>8732 FOXXGATE DR  HOUSTON</v>
      </c>
      <c r="H293" s="27" t="str">
        <f t="shared" si="9"/>
        <v xml:space="preserve">HOUSTON TX      </v>
      </c>
    </row>
    <row r="294" spans="1:8" x14ac:dyDescent="0.2">
      <c r="A294" s="27">
        <f>COUNTIFS(C:C,C294,D:D,D294)</f>
        <v>1</v>
      </c>
      <c r="B294" s="30">
        <v>202101151190</v>
      </c>
      <c r="C294" t="s">
        <v>2569</v>
      </c>
      <c r="D294" t="s">
        <v>2570</v>
      </c>
      <c r="E294" t="s">
        <v>4859</v>
      </c>
      <c r="F294" t="s">
        <v>215</v>
      </c>
      <c r="G294" s="27" t="str">
        <f t="shared" si="8"/>
        <v>311 HIGHLAND CROSS DRIVE HOUSTON</v>
      </c>
      <c r="H294" s="27" t="str">
        <f t="shared" si="9"/>
        <v>HOUSTON TX 77073</v>
      </c>
    </row>
    <row r="295" spans="1:8" x14ac:dyDescent="0.2">
      <c r="A295" s="27">
        <f>COUNTIFS(C:C,C295,D:D,D295)</f>
        <v>1</v>
      </c>
      <c r="B295" s="30">
        <v>202101151195</v>
      </c>
      <c r="C295" t="s">
        <v>2973</v>
      </c>
      <c r="D295" t="s">
        <v>2974</v>
      </c>
      <c r="E295" t="s">
        <v>5050</v>
      </c>
      <c r="F295" t="s">
        <v>251</v>
      </c>
      <c r="G295" s="27" t="str">
        <f t="shared" si="8"/>
        <v>14126 BURTCLIFF ST  HOUSTON</v>
      </c>
      <c r="H295" s="27" t="str">
        <f t="shared" si="9"/>
        <v>HOUSTON TX 77069</v>
      </c>
    </row>
    <row r="296" spans="1:8" x14ac:dyDescent="0.2">
      <c r="A296" s="27">
        <f>COUNTIFS(C:C,C296,D:D,D296)</f>
        <v>1</v>
      </c>
      <c r="B296" s="30">
        <v>202101151197</v>
      </c>
      <c r="C296" s="28" t="s">
        <v>1462</v>
      </c>
      <c r="D296" s="28" t="s">
        <v>1463</v>
      </c>
      <c r="E296" s="28" t="s">
        <v>4876</v>
      </c>
      <c r="F296" s="28" t="s">
        <v>198</v>
      </c>
      <c r="G296" s="27" t="str">
        <f t="shared" si="8"/>
        <v>13375 EMPORIA ST  HOUSTON</v>
      </c>
      <c r="H296" s="27" t="str">
        <f t="shared" si="9"/>
        <v>HOUSTON TX 77015</v>
      </c>
    </row>
    <row r="297" spans="1:8" x14ac:dyDescent="0.2">
      <c r="A297" s="27">
        <f>COUNTIFS(C:C,C297,D:D,D297)</f>
        <v>1</v>
      </c>
      <c r="B297" s="30">
        <v>202101151199</v>
      </c>
      <c r="C297" s="28" t="s">
        <v>810</v>
      </c>
      <c r="D297" s="28" t="s">
        <v>811</v>
      </c>
      <c r="E297" s="28" t="s">
        <v>4962</v>
      </c>
      <c r="F297" s="28" t="s">
        <v>4773</v>
      </c>
      <c r="G297" s="27" t="str">
        <f t="shared" si="8"/>
        <v>2411 19TH AVE N  TEXAS CITY</v>
      </c>
      <c r="H297" s="27" t="str">
        <f t="shared" si="9"/>
        <v>HOUSTON TX 77590</v>
      </c>
    </row>
    <row r="298" spans="1:8" x14ac:dyDescent="0.2">
      <c r="A298" s="27">
        <f>COUNTIFS(C:C,C298,D:D,D298)</f>
        <v>1</v>
      </c>
      <c r="B298" s="30">
        <v>202101151202</v>
      </c>
      <c r="C298" t="s">
        <v>2598</v>
      </c>
      <c r="D298" t="s">
        <v>2599</v>
      </c>
      <c r="E298" t="s">
        <v>4991</v>
      </c>
      <c r="F298" t="s">
        <v>226</v>
      </c>
      <c r="G298" s="27" t="str">
        <f t="shared" ref="G298:G361" si="10">D298&amp;" "&amp;MID(E298,1,FIND(" TX",E298)-1)</f>
        <v>10550 VALLEY FORGE DR APT 139 HOUSTON</v>
      </c>
      <c r="H298" s="27" t="str">
        <f t="shared" ref="H298:H361" si="11">"HOUSTON "&amp;MID(E298,FIND("TX",E298),8)</f>
        <v>HOUSTON TX 77042</v>
      </c>
    </row>
    <row r="299" spans="1:8" x14ac:dyDescent="0.2">
      <c r="A299" s="27">
        <f>COUNTIFS(C:C,C299,D:D,D299)</f>
        <v>1</v>
      </c>
      <c r="B299" s="30">
        <v>202101151206</v>
      </c>
      <c r="C299" t="s">
        <v>2625</v>
      </c>
      <c r="D299" t="s">
        <v>2626</v>
      </c>
      <c r="E299" t="s">
        <v>5140</v>
      </c>
      <c r="F299" t="s">
        <v>218</v>
      </c>
      <c r="G299" s="27" t="str">
        <f t="shared" si="10"/>
        <v>10818 MOONLIT MEADOWS CT HARRIS CO</v>
      </c>
      <c r="H299" s="27" t="str">
        <f t="shared" si="11"/>
        <v>HOUSTON TX 77064</v>
      </c>
    </row>
    <row r="300" spans="1:8" x14ac:dyDescent="0.2">
      <c r="A300" s="27">
        <f>COUNTIFS(C:C,C300,D:D,D300)</f>
        <v>1</v>
      </c>
      <c r="B300" s="30">
        <v>202101151208</v>
      </c>
      <c r="C300" t="s">
        <v>3751</v>
      </c>
      <c r="D300" t="s">
        <v>3752</v>
      </c>
      <c r="E300" t="s">
        <v>5096</v>
      </c>
      <c r="F300" t="s">
        <v>213</v>
      </c>
      <c r="G300" s="27" t="str">
        <f t="shared" si="10"/>
        <v>5484 CR538B  ALVIN</v>
      </c>
      <c r="H300" s="27" t="str">
        <f t="shared" si="11"/>
        <v xml:space="preserve">HOUSTON TX      </v>
      </c>
    </row>
    <row r="301" spans="1:8" x14ac:dyDescent="0.2">
      <c r="A301" s="27">
        <f>COUNTIFS(C:C,C301,D:D,D301)</f>
        <v>1</v>
      </c>
      <c r="B301" s="30">
        <v>202101151212</v>
      </c>
      <c r="C301" s="28" t="s">
        <v>1305</v>
      </c>
      <c r="D301" s="28" t="s">
        <v>1306</v>
      </c>
      <c r="E301" s="28" t="s">
        <v>5026</v>
      </c>
      <c r="F301" s="28" t="s">
        <v>257</v>
      </c>
      <c r="G301" s="27" t="str">
        <f t="shared" si="10"/>
        <v>527 EL DORADO  WEBSTER</v>
      </c>
      <c r="H301" s="27" t="str">
        <f t="shared" si="11"/>
        <v>HOUSTON TX 77598</v>
      </c>
    </row>
    <row r="302" spans="1:8" x14ac:dyDescent="0.2">
      <c r="A302" s="27">
        <f>COUNTIFS(C:C,C302,D:D,D302)</f>
        <v>1</v>
      </c>
      <c r="B302" s="30">
        <v>202101151216</v>
      </c>
      <c r="C302" s="28" t="s">
        <v>1490</v>
      </c>
      <c r="D302" s="28" t="s">
        <v>1491</v>
      </c>
      <c r="E302" s="28" t="s">
        <v>4931</v>
      </c>
      <c r="F302" s="28" t="s">
        <v>189</v>
      </c>
      <c r="G302" s="27" t="str">
        <f t="shared" si="10"/>
        <v>12710 LAUREL VALE WAY  HOUSTON</v>
      </c>
      <c r="H302" s="27" t="str">
        <f t="shared" si="11"/>
        <v>HOUSTON TX 77014</v>
      </c>
    </row>
    <row r="303" spans="1:8" x14ac:dyDescent="0.2">
      <c r="A303" s="27">
        <f>COUNTIFS(C:C,C303,D:D,D303)</f>
        <v>1</v>
      </c>
      <c r="B303" s="30">
        <v>202101151233</v>
      </c>
      <c r="C303" t="s">
        <v>2853</v>
      </c>
      <c r="D303" t="s">
        <v>2854</v>
      </c>
      <c r="E303" t="s">
        <v>4872</v>
      </c>
      <c r="F303" t="s">
        <v>183</v>
      </c>
      <c r="G303" s="27" t="str">
        <f t="shared" si="10"/>
        <v>8160 RECORD ST  HOUSTON</v>
      </c>
      <c r="H303" s="27" t="str">
        <f t="shared" si="11"/>
        <v>HOUSTON TX 77028</v>
      </c>
    </row>
    <row r="304" spans="1:8" x14ac:dyDescent="0.2">
      <c r="A304" s="27">
        <f>COUNTIFS(C:C,C304,D:D,D304)</f>
        <v>1</v>
      </c>
      <c r="B304" s="30">
        <v>202101151237</v>
      </c>
      <c r="C304" s="28" t="s">
        <v>587</v>
      </c>
      <c r="D304" s="28" t="s">
        <v>588</v>
      </c>
      <c r="E304" s="28" t="s">
        <v>4915</v>
      </c>
      <c r="F304" s="28" t="s">
        <v>187</v>
      </c>
      <c r="G304" s="27" t="str">
        <f t="shared" si="10"/>
        <v>5938 SCHROEDER RD  HOUSTON</v>
      </c>
      <c r="H304" s="27" t="str">
        <f t="shared" si="11"/>
        <v>HOUSTON TX 77021</v>
      </c>
    </row>
    <row r="305" spans="1:8" x14ac:dyDescent="0.2">
      <c r="A305" s="27">
        <f>COUNTIFS(C:C,C305,D:D,D305)</f>
        <v>1</v>
      </c>
      <c r="B305" s="30">
        <v>202101151238</v>
      </c>
      <c r="C305" s="28" t="s">
        <v>1912</v>
      </c>
      <c r="D305" s="28" t="s">
        <v>1913</v>
      </c>
      <c r="E305" s="28" t="s">
        <v>4964</v>
      </c>
      <c r="F305" s="28" t="s">
        <v>183</v>
      </c>
      <c r="G305" s="27" t="str">
        <f t="shared" si="10"/>
        <v>2505 14 TH  GALENA PAR</v>
      </c>
      <c r="H305" s="27" t="str">
        <f t="shared" si="11"/>
        <v>HOUSTON TX 77547</v>
      </c>
    </row>
    <row r="306" spans="1:8" x14ac:dyDescent="0.2">
      <c r="A306" s="27">
        <f>COUNTIFS(C:C,C306,D:D,D306)</f>
        <v>1</v>
      </c>
      <c r="B306" s="30">
        <v>202101151239</v>
      </c>
      <c r="C306" t="s">
        <v>3362</v>
      </c>
      <c r="D306" t="s">
        <v>3363</v>
      </c>
      <c r="E306" t="s">
        <v>4876</v>
      </c>
      <c r="F306" t="s">
        <v>183</v>
      </c>
      <c r="G306" s="27" t="str">
        <f t="shared" si="10"/>
        <v>4822 E SAM HOUSTON P KWY N HOUSTON</v>
      </c>
      <c r="H306" s="27" t="str">
        <f t="shared" si="11"/>
        <v>HOUSTON TX 77015</v>
      </c>
    </row>
    <row r="307" spans="1:8" x14ac:dyDescent="0.2">
      <c r="A307" s="27">
        <f>COUNTIFS(C:C,C307,D:D,D307)</f>
        <v>1</v>
      </c>
      <c r="B307" s="30">
        <v>202101151240</v>
      </c>
      <c r="C307" s="28" t="s">
        <v>1486</v>
      </c>
      <c r="D307" s="28" t="s">
        <v>1487</v>
      </c>
      <c r="E307" s="28" t="s">
        <v>4896</v>
      </c>
      <c r="F307" s="28" t="s">
        <v>258</v>
      </c>
      <c r="G307" s="27" t="str">
        <f t="shared" si="10"/>
        <v>6555 HARBOR TOWN DR 509 HOUSTON</v>
      </c>
      <c r="H307" s="27" t="str">
        <f t="shared" si="11"/>
        <v>HOUSTON TX 77036</v>
      </c>
    </row>
    <row r="308" spans="1:8" x14ac:dyDescent="0.2">
      <c r="A308" s="27">
        <f>COUNTIFS(C:C,C308,D:D,D308)</f>
        <v>1</v>
      </c>
      <c r="B308" s="30">
        <v>202101151242</v>
      </c>
      <c r="C308" t="s">
        <v>3132</v>
      </c>
      <c r="D308" t="s">
        <v>3133</v>
      </c>
      <c r="E308" t="s">
        <v>5079</v>
      </c>
      <c r="F308" t="s">
        <v>195</v>
      </c>
      <c r="G308" s="27" t="str">
        <f t="shared" si="10"/>
        <v>14805 GRISBY RD  HOUSTON</v>
      </c>
      <c r="H308" s="27" t="str">
        <f t="shared" si="11"/>
        <v>HOUSTON TX 77079</v>
      </c>
    </row>
    <row r="309" spans="1:8" x14ac:dyDescent="0.2">
      <c r="A309" s="27">
        <f>COUNTIFS(C:C,C309,D:D,D309)</f>
        <v>1</v>
      </c>
      <c r="B309" s="30">
        <v>202101151244</v>
      </c>
      <c r="C309" t="s">
        <v>3753</v>
      </c>
      <c r="D309" t="s">
        <v>3754</v>
      </c>
      <c r="E309" t="s">
        <v>4900</v>
      </c>
      <c r="F309" t="s">
        <v>193</v>
      </c>
      <c r="G309" s="27" t="str">
        <f t="shared" si="10"/>
        <v>2000 WESTBROURGH 201  KATY</v>
      </c>
      <c r="H309" s="27" t="str">
        <f t="shared" si="11"/>
        <v>HOUSTON TX 77449</v>
      </c>
    </row>
    <row r="310" spans="1:8" x14ac:dyDescent="0.2">
      <c r="A310" s="27">
        <f>COUNTIFS(C:C,C310,D:D,D310)</f>
        <v>1</v>
      </c>
      <c r="B310" s="30">
        <v>202101151248</v>
      </c>
      <c r="C310" t="s">
        <v>2689</v>
      </c>
      <c r="D310" t="s">
        <v>2690</v>
      </c>
      <c r="E310" t="s">
        <v>5064</v>
      </c>
      <c r="F310" t="s">
        <v>213</v>
      </c>
      <c r="G310" s="27" t="str">
        <f t="shared" si="10"/>
        <v>2509 AVE K  GALVESTON</v>
      </c>
      <c r="H310" s="27" t="str">
        <f t="shared" si="11"/>
        <v>HOUSTON TX 77550</v>
      </c>
    </row>
    <row r="311" spans="1:8" x14ac:dyDescent="0.2">
      <c r="A311" s="27">
        <f>COUNTIFS(C:C,C311,D:D,D311)</f>
        <v>1</v>
      </c>
      <c r="B311" s="30">
        <v>202101151249</v>
      </c>
      <c r="C311" s="28" t="s">
        <v>1227</v>
      </c>
      <c r="D311" s="28" t="s">
        <v>1228</v>
      </c>
      <c r="E311" s="28" t="s">
        <v>4931</v>
      </c>
      <c r="F311" s="28" t="s">
        <v>224</v>
      </c>
      <c r="G311" s="27" t="str">
        <f t="shared" si="10"/>
        <v>14531 ELLA BLVD  HOUSTON</v>
      </c>
      <c r="H311" s="27" t="str">
        <f t="shared" si="11"/>
        <v>HOUSTON TX 77014</v>
      </c>
    </row>
    <row r="312" spans="1:8" x14ac:dyDescent="0.2">
      <c r="A312" s="27">
        <f>COUNTIFS(C:C,C312,D:D,D312)</f>
        <v>1</v>
      </c>
      <c r="B312" s="30">
        <v>202101151250</v>
      </c>
      <c r="C312" s="28" t="s">
        <v>1797</v>
      </c>
      <c r="D312" s="28" t="s">
        <v>1798</v>
      </c>
      <c r="E312" s="28" t="s">
        <v>4986</v>
      </c>
      <c r="F312" s="28" t="s">
        <v>187</v>
      </c>
      <c r="G312" s="27" t="str">
        <f t="shared" si="10"/>
        <v>9393 FM 1960 BYPASS RD W HUMBLE</v>
      </c>
      <c r="H312" s="27" t="str">
        <f t="shared" si="11"/>
        <v>HOUSTON TX 77338</v>
      </c>
    </row>
    <row r="313" spans="1:8" x14ac:dyDescent="0.2">
      <c r="A313" s="27">
        <f>COUNTIFS(C:C,C313,D:D,D313)</f>
        <v>1</v>
      </c>
      <c r="B313" s="30">
        <v>202101151259</v>
      </c>
      <c r="C313" t="s">
        <v>2649</v>
      </c>
      <c r="D313" t="s">
        <v>2650</v>
      </c>
      <c r="E313" t="s">
        <v>4887</v>
      </c>
      <c r="F313" t="s">
        <v>190</v>
      </c>
      <c r="G313" s="27" t="str">
        <f t="shared" si="10"/>
        <v>7234 VICTORVILLE RD  ROSHARON</v>
      </c>
      <c r="H313" s="27" t="str">
        <f t="shared" si="11"/>
        <v>HOUSTON TX 77583</v>
      </c>
    </row>
    <row r="314" spans="1:8" x14ac:dyDescent="0.2">
      <c r="A314" s="27">
        <f>COUNTIFS(C:C,C314,D:D,D314)</f>
        <v>1</v>
      </c>
      <c r="B314" s="30">
        <v>202101151262</v>
      </c>
      <c r="C314" s="28" t="s">
        <v>1648</v>
      </c>
      <c r="D314" s="28" t="s">
        <v>1649</v>
      </c>
      <c r="E314" s="28" t="s">
        <v>5065</v>
      </c>
      <c r="F314" s="28" t="s">
        <v>182</v>
      </c>
      <c r="G314" s="27" t="str">
        <f t="shared" si="10"/>
        <v>1028 OAK HOLLOW DR.  DICKINSON</v>
      </c>
      <c r="H314" s="27" t="str">
        <f t="shared" si="11"/>
        <v>HOUSTON TX 77539</v>
      </c>
    </row>
    <row r="315" spans="1:8" x14ac:dyDescent="0.2">
      <c r="A315" s="27">
        <f>COUNTIFS(C:C,C315,D:D,D315)</f>
        <v>1</v>
      </c>
      <c r="B315" s="30">
        <v>202101151263</v>
      </c>
      <c r="C315" s="28" t="s">
        <v>1876</v>
      </c>
      <c r="D315" s="28" t="s">
        <v>1877</v>
      </c>
      <c r="E315" s="28" t="s">
        <v>4850</v>
      </c>
      <c r="F315" s="28" t="s">
        <v>293</v>
      </c>
      <c r="G315" s="27" t="str">
        <f t="shared" si="10"/>
        <v>9231 COMANCHE PEAK L N HOUSTON</v>
      </c>
      <c r="H315" s="27" t="str">
        <f t="shared" si="11"/>
        <v>HOUSTON TX 77089</v>
      </c>
    </row>
    <row r="316" spans="1:8" x14ac:dyDescent="0.2">
      <c r="A316" s="27">
        <f>COUNTIFS(C:C,C316,D:D,D316)</f>
        <v>1</v>
      </c>
      <c r="B316" s="30">
        <v>202101151267</v>
      </c>
      <c r="C316" s="28" t="s">
        <v>1164</v>
      </c>
      <c r="D316" s="28" t="s">
        <v>1165</v>
      </c>
      <c r="E316" s="28" t="s">
        <v>4861</v>
      </c>
      <c r="F316" s="28" t="s">
        <v>184</v>
      </c>
      <c r="G316" s="27" t="str">
        <f t="shared" si="10"/>
        <v>4215 BARBERRY DR  HOUSTON</v>
      </c>
      <c r="H316" s="27" t="str">
        <f t="shared" si="11"/>
        <v>HOUSTON TX 77051</v>
      </c>
    </row>
    <row r="317" spans="1:8" x14ac:dyDescent="0.2">
      <c r="A317" s="27">
        <f>COUNTIFS(C:C,C317,D:D,D317)</f>
        <v>1</v>
      </c>
      <c r="B317" s="30">
        <v>202101151268</v>
      </c>
      <c r="C317" s="28" t="s">
        <v>966</v>
      </c>
      <c r="D317" s="28" t="s">
        <v>967</v>
      </c>
      <c r="E317" s="28" t="s">
        <v>4875</v>
      </c>
      <c r="F317" s="28" t="s">
        <v>182</v>
      </c>
      <c r="G317" s="27" t="str">
        <f t="shared" si="10"/>
        <v>1909 LONE OAK  HOUSTON</v>
      </c>
      <c r="H317" s="27" t="str">
        <f t="shared" si="11"/>
        <v>HOUSTON TX 77093</v>
      </c>
    </row>
    <row r="318" spans="1:8" x14ac:dyDescent="0.2">
      <c r="A318" s="27">
        <f>COUNTIFS(C:C,C318,D:D,D318)</f>
        <v>1</v>
      </c>
      <c r="B318" s="30">
        <v>202101151270</v>
      </c>
      <c r="C318" s="28" t="s">
        <v>1166</v>
      </c>
      <c r="D318" s="28" t="s">
        <v>1167</v>
      </c>
      <c r="E318" s="28" t="s">
        <v>4988</v>
      </c>
      <c r="F318" s="28" t="s">
        <v>4775</v>
      </c>
      <c r="G318" s="27" t="str">
        <f t="shared" si="10"/>
        <v>906 KENFOREST DR  MISSOURI C</v>
      </c>
      <c r="H318" s="27" t="str">
        <f t="shared" si="11"/>
        <v>HOUSTON TX 77489</v>
      </c>
    </row>
    <row r="319" spans="1:8" x14ac:dyDescent="0.2">
      <c r="A319" s="27">
        <f>COUNTIFS(C:C,C319,D:D,D319)</f>
        <v>1</v>
      </c>
      <c r="B319" s="30">
        <v>202101151277</v>
      </c>
      <c r="C319" s="28" t="s">
        <v>1829</v>
      </c>
      <c r="D319" s="28" t="s">
        <v>1749</v>
      </c>
      <c r="E319" s="28" t="s">
        <v>4862</v>
      </c>
      <c r="F319" s="28" t="s">
        <v>217</v>
      </c>
      <c r="G319" s="27" t="str">
        <f t="shared" si="10"/>
        <v>13100 STONEFIELD DR  HOUSTON</v>
      </c>
      <c r="H319" s="27" t="str">
        <f t="shared" si="11"/>
        <v>HOUSTON TX 77090</v>
      </c>
    </row>
    <row r="320" spans="1:8" x14ac:dyDescent="0.2">
      <c r="A320" s="27">
        <f>COUNTIFS(C:C,C320,D:D,D320)</f>
        <v>1</v>
      </c>
      <c r="B320" s="30">
        <v>202101151286</v>
      </c>
      <c r="C320" t="s">
        <v>3265</v>
      </c>
      <c r="D320" t="s">
        <v>3266</v>
      </c>
      <c r="E320" t="s">
        <v>5080</v>
      </c>
      <c r="F320" t="s">
        <v>293</v>
      </c>
      <c r="G320" s="27" t="str">
        <f t="shared" si="10"/>
        <v>2718 DURBAN DR  HOUSTON</v>
      </c>
      <c r="H320" s="27" t="str">
        <f t="shared" si="11"/>
        <v>HOUSTON TX 77043</v>
      </c>
    </row>
    <row r="321" spans="1:8" x14ac:dyDescent="0.2">
      <c r="A321" s="27">
        <f>COUNTIFS(C:C,C321,D:D,D321)</f>
        <v>1</v>
      </c>
      <c r="B321" s="30">
        <v>202101151288</v>
      </c>
      <c r="C321" t="s">
        <v>3763</v>
      </c>
      <c r="D321" t="s">
        <v>3764</v>
      </c>
      <c r="E321" t="s">
        <v>5152</v>
      </c>
      <c r="F321" t="s">
        <v>182</v>
      </c>
      <c r="G321" s="27" t="str">
        <f t="shared" si="10"/>
        <v>2607 RICEFLOWER  BAYTOWN</v>
      </c>
      <c r="H321" s="27" t="str">
        <f t="shared" si="11"/>
        <v>HOUSTON TX 77523</v>
      </c>
    </row>
    <row r="322" spans="1:8" x14ac:dyDescent="0.2">
      <c r="A322" s="27">
        <f>COUNTIFS(C:C,C322,D:D,D322)</f>
        <v>1</v>
      </c>
      <c r="B322" s="30">
        <v>202101151290</v>
      </c>
      <c r="C322" s="28" t="s">
        <v>934</v>
      </c>
      <c r="D322" s="28" t="s">
        <v>935</v>
      </c>
      <c r="E322" s="28" t="s">
        <v>4852</v>
      </c>
      <c r="F322" s="28" t="s">
        <v>213</v>
      </c>
      <c r="G322" s="27" t="str">
        <f t="shared" si="10"/>
        <v>4414 PLAAG  HOUSTON</v>
      </c>
      <c r="H322" s="27" t="str">
        <f t="shared" si="11"/>
        <v>HOUSTON TX 77016</v>
      </c>
    </row>
    <row r="323" spans="1:8" x14ac:dyDescent="0.2">
      <c r="A323" s="27">
        <f>COUNTIFS(C:C,C323,D:D,D323)</f>
        <v>1</v>
      </c>
      <c r="B323" s="30">
        <v>202101151291</v>
      </c>
      <c r="C323" t="s">
        <v>2813</v>
      </c>
      <c r="D323" t="s">
        <v>2814</v>
      </c>
      <c r="E323" t="s">
        <v>4853</v>
      </c>
      <c r="F323" t="s">
        <v>241</v>
      </c>
      <c r="G323" s="27" t="str">
        <f t="shared" si="10"/>
        <v>5711 EASTHAMPTON DR  HOUSTON</v>
      </c>
      <c r="H323" s="27" t="str">
        <f t="shared" si="11"/>
        <v>HOUSTON TX 77039</v>
      </c>
    </row>
    <row r="324" spans="1:8" x14ac:dyDescent="0.2">
      <c r="A324" s="27">
        <f>COUNTIFS(C:C,C324,D:D,D324)</f>
        <v>1</v>
      </c>
      <c r="B324" s="30">
        <v>202101151304</v>
      </c>
      <c r="C324" t="s">
        <v>2248</v>
      </c>
      <c r="D324" t="s">
        <v>2249</v>
      </c>
      <c r="E324" t="s">
        <v>4973</v>
      </c>
      <c r="F324" t="s">
        <v>198</v>
      </c>
      <c r="G324" s="27" t="str">
        <f t="shared" si="10"/>
        <v>7511 BEECHNUT ST APT 241 HOUSTON</v>
      </c>
      <c r="H324" s="27" t="str">
        <f t="shared" si="11"/>
        <v>HOUSTON TX 77074</v>
      </c>
    </row>
    <row r="325" spans="1:8" x14ac:dyDescent="0.2">
      <c r="A325" s="27">
        <f>COUNTIFS(C:C,C325,D:D,D325)</f>
        <v>1</v>
      </c>
      <c r="B325" s="30">
        <v>202101151308</v>
      </c>
      <c r="C325" s="28" t="s">
        <v>1036</v>
      </c>
      <c r="D325" s="28" t="s">
        <v>1037</v>
      </c>
      <c r="E325" s="28" t="s">
        <v>4936</v>
      </c>
      <c r="F325" s="28" t="s">
        <v>215</v>
      </c>
      <c r="G325" s="27" t="str">
        <f t="shared" si="10"/>
        <v>7711 TWIN HILLS DR  HOUSTON</v>
      </c>
      <c r="H325" s="27" t="str">
        <f t="shared" si="11"/>
        <v>HOUSTON TX 77071</v>
      </c>
    </row>
    <row r="326" spans="1:8" x14ac:dyDescent="0.2">
      <c r="A326" s="27">
        <f>COUNTIFS(C:C,C326,D:D,D326)</f>
        <v>1</v>
      </c>
      <c r="B326" s="30">
        <v>202101151311</v>
      </c>
      <c r="C326" t="s">
        <v>3767</v>
      </c>
      <c r="D326" t="s">
        <v>3768</v>
      </c>
      <c r="E326" t="s">
        <v>4900</v>
      </c>
      <c r="F326" t="s">
        <v>373</v>
      </c>
      <c r="G326" s="27" t="str">
        <f t="shared" si="10"/>
        <v>4119 SAND RIPPLE LAN E KATY</v>
      </c>
      <c r="H326" s="27" t="str">
        <f t="shared" si="11"/>
        <v>HOUSTON TX 77449</v>
      </c>
    </row>
    <row r="327" spans="1:8" x14ac:dyDescent="0.2">
      <c r="A327" s="27">
        <f>COUNTIFS(C:C,C327,D:D,D327)</f>
        <v>1</v>
      </c>
      <c r="B327" s="30">
        <v>202101151318</v>
      </c>
      <c r="C327" t="s">
        <v>2949</v>
      </c>
      <c r="D327" t="s">
        <v>2950</v>
      </c>
      <c r="E327" t="s">
        <v>4915</v>
      </c>
      <c r="F327" t="s">
        <v>259</v>
      </c>
      <c r="G327" s="27" t="str">
        <f t="shared" si="10"/>
        <v>3829 SOUTHLAWN ST  HOUSTON</v>
      </c>
      <c r="H327" s="27" t="str">
        <f t="shared" si="11"/>
        <v>HOUSTON TX 77021</v>
      </c>
    </row>
    <row r="328" spans="1:8" x14ac:dyDescent="0.2">
      <c r="A328" s="27">
        <f>COUNTIFS(C:C,C328,D:D,D328)</f>
        <v>1</v>
      </c>
      <c r="B328" s="30">
        <v>202101151319</v>
      </c>
      <c r="C328" t="s">
        <v>3275</v>
      </c>
      <c r="D328" t="s">
        <v>3276</v>
      </c>
      <c r="E328" t="s">
        <v>4967</v>
      </c>
      <c r="F328" t="s">
        <v>188</v>
      </c>
      <c r="G328" s="27" t="str">
        <f t="shared" si="10"/>
        <v>7702 KEMPSEY LANE  HOUSTON</v>
      </c>
      <c r="H328" s="27" t="str">
        <f t="shared" si="11"/>
        <v>HOUSTON TX 77040</v>
      </c>
    </row>
    <row r="329" spans="1:8" x14ac:dyDescent="0.2">
      <c r="A329" s="27">
        <f>COUNTIFS(C:C,C329,D:D,D329)</f>
        <v>1</v>
      </c>
      <c r="B329" s="30">
        <v>202101151322</v>
      </c>
      <c r="C329" s="28" t="s">
        <v>1729</v>
      </c>
      <c r="D329" s="28" t="s">
        <v>1730</v>
      </c>
      <c r="E329" s="28" t="s">
        <v>4875</v>
      </c>
      <c r="F329" s="28" t="s">
        <v>200</v>
      </c>
      <c r="G329" s="27" t="str">
        <f t="shared" si="10"/>
        <v>2000 TIDWELL RD  HOUSTON</v>
      </c>
      <c r="H329" s="27" t="str">
        <f t="shared" si="11"/>
        <v>HOUSTON TX 77093</v>
      </c>
    </row>
    <row r="330" spans="1:8" x14ac:dyDescent="0.2">
      <c r="A330" s="27">
        <f>COUNTIFS(C:C,C330,D:D,D330)</f>
        <v>1</v>
      </c>
      <c r="B330" s="30">
        <v>202101151329</v>
      </c>
      <c r="C330" s="28" t="s">
        <v>1914</v>
      </c>
      <c r="D330" s="28" t="s">
        <v>1915</v>
      </c>
      <c r="E330" s="28" t="s">
        <v>5085</v>
      </c>
      <c r="F330" s="28" t="s">
        <v>233</v>
      </c>
      <c r="G330" s="27" t="str">
        <f t="shared" si="10"/>
        <v>23382 HIGH POINT  HEMPSTEAD</v>
      </c>
      <c r="H330" s="27" t="str">
        <f t="shared" si="11"/>
        <v>HOUSTON TX 77445</v>
      </c>
    </row>
    <row r="331" spans="1:8" x14ac:dyDescent="0.2">
      <c r="A331" s="27">
        <f>COUNTIFS(C:C,C331,D:D,D331)</f>
        <v>1</v>
      </c>
      <c r="B331" s="30">
        <v>202101151330</v>
      </c>
      <c r="C331" t="s">
        <v>3771</v>
      </c>
      <c r="D331" t="s">
        <v>3772</v>
      </c>
      <c r="E331" t="s">
        <v>5217</v>
      </c>
      <c r="F331" t="s">
        <v>213</v>
      </c>
      <c r="G331" s="27" t="str">
        <f t="shared" si="10"/>
        <v>1100 WEST GATEWAY BL VD APT 132 FORNEY</v>
      </c>
      <c r="H331" s="27" t="str">
        <f t="shared" si="11"/>
        <v>HOUSTON TX 75126</v>
      </c>
    </row>
    <row r="332" spans="1:8" x14ac:dyDescent="0.2">
      <c r="A332" s="27">
        <f>COUNTIFS(C:C,C332,D:D,D332)</f>
        <v>1</v>
      </c>
      <c r="B332" s="30">
        <v>202101151331</v>
      </c>
      <c r="C332" t="s">
        <v>3773</v>
      </c>
      <c r="D332" t="s">
        <v>3774</v>
      </c>
      <c r="E332" t="s">
        <v>4951</v>
      </c>
      <c r="F332" t="s">
        <v>193</v>
      </c>
      <c r="G332" s="27" t="str">
        <f t="shared" si="10"/>
        <v>17414 HAMILWOOD DR  HOUSTON</v>
      </c>
      <c r="H332" s="27" t="str">
        <f t="shared" si="11"/>
        <v>HOUSTON TX 77095</v>
      </c>
    </row>
    <row r="333" spans="1:8" x14ac:dyDescent="0.2">
      <c r="A333" s="27">
        <f>COUNTIFS(C:C,C333,D:D,D333)</f>
        <v>1</v>
      </c>
      <c r="B333" s="30">
        <v>202101151332</v>
      </c>
      <c r="C333" t="s">
        <v>2077</v>
      </c>
      <c r="D333" t="s">
        <v>2078</v>
      </c>
      <c r="E333" t="s">
        <v>4937</v>
      </c>
      <c r="F333" t="s">
        <v>182</v>
      </c>
      <c r="G333" s="27" t="str">
        <f t="shared" si="10"/>
        <v>6920 SCHLEY  HOUSTON</v>
      </c>
      <c r="H333" s="27" t="str">
        <f t="shared" si="11"/>
        <v>HOUSTON TX 77087</v>
      </c>
    </row>
    <row r="334" spans="1:8" x14ac:dyDescent="0.2">
      <c r="A334" s="27">
        <f>COUNTIFS(C:C,C334,D:D,D334)</f>
        <v>1</v>
      </c>
      <c r="B334" s="30">
        <v>202101151336</v>
      </c>
      <c r="C334" t="s">
        <v>3777</v>
      </c>
      <c r="D334" t="s">
        <v>3778</v>
      </c>
      <c r="E334" t="s">
        <v>4953</v>
      </c>
      <c r="F334" t="s">
        <v>200</v>
      </c>
      <c r="G334" s="27" t="str">
        <f t="shared" si="10"/>
        <v>7575 PLUM CREEK DR 7 904 HOUSTON</v>
      </c>
      <c r="H334" s="27" t="str">
        <f t="shared" si="11"/>
        <v>HOUSTON TX 77012</v>
      </c>
    </row>
    <row r="335" spans="1:8" x14ac:dyDescent="0.2">
      <c r="A335" s="27">
        <f>COUNTIFS(C:C,C335,D:D,D335)</f>
        <v>1</v>
      </c>
      <c r="B335" s="30">
        <v>202101151337</v>
      </c>
      <c r="C335" t="s">
        <v>3779</v>
      </c>
      <c r="D335" t="s">
        <v>3780</v>
      </c>
      <c r="E335" t="s">
        <v>4941</v>
      </c>
      <c r="F335" t="s">
        <v>182</v>
      </c>
      <c r="G335" s="27" t="str">
        <f t="shared" si="10"/>
        <v>15522 MOSSY PARK  CYPRESS</v>
      </c>
      <c r="H335" s="27" t="str">
        <f t="shared" si="11"/>
        <v>HOUSTON TX 77429</v>
      </c>
    </row>
    <row r="336" spans="1:8" x14ac:dyDescent="0.2">
      <c r="A336" s="27">
        <f>COUNTIFS(C:C,C336,D:D,D336)</f>
        <v>1</v>
      </c>
      <c r="B336" s="30">
        <v>202101151338</v>
      </c>
      <c r="C336" s="28" t="s">
        <v>1328</v>
      </c>
      <c r="D336" s="28" t="s">
        <v>1329</v>
      </c>
      <c r="E336" s="28" t="s">
        <v>4898</v>
      </c>
      <c r="F336" s="28" t="s">
        <v>307</v>
      </c>
      <c r="G336" s="27" t="str">
        <f t="shared" si="10"/>
        <v>10950 TANNER PARK CT APT 4001 HOUSTON</v>
      </c>
      <c r="H336" s="27" t="str">
        <f t="shared" si="11"/>
        <v>HOUSTON TX 77075</v>
      </c>
    </row>
    <row r="337" spans="1:8" x14ac:dyDescent="0.2">
      <c r="A337" s="27">
        <f>COUNTIFS(C:C,C337,D:D,D337)</f>
        <v>1</v>
      </c>
      <c r="B337" s="30">
        <v>202101151343</v>
      </c>
      <c r="C337" s="28" t="s">
        <v>1097</v>
      </c>
      <c r="D337" s="28" t="s">
        <v>1098</v>
      </c>
      <c r="E337" s="28" t="s">
        <v>5002</v>
      </c>
      <c r="F337" s="28" t="s">
        <v>202</v>
      </c>
      <c r="G337" s="27" t="str">
        <f t="shared" si="10"/>
        <v>13127 HOLLOWCREEK PAR K DR HOUSTON</v>
      </c>
      <c r="H337" s="27" t="str">
        <f t="shared" si="11"/>
        <v>HOUSTON TX 77082</v>
      </c>
    </row>
    <row r="338" spans="1:8" x14ac:dyDescent="0.2">
      <c r="A338" s="27">
        <f>COUNTIFS(C:C,C338,D:D,D338)</f>
        <v>1</v>
      </c>
      <c r="B338" s="30">
        <v>202101151344</v>
      </c>
      <c r="C338" t="s">
        <v>3781</v>
      </c>
      <c r="D338" t="s">
        <v>3782</v>
      </c>
      <c r="E338" t="s">
        <v>4960</v>
      </c>
      <c r="F338" t="s">
        <v>4837</v>
      </c>
      <c r="G338" s="27" t="str">
        <f t="shared" si="10"/>
        <v>802 SEMINAR DR  HOUSTON</v>
      </c>
      <c r="H338" s="27" t="str">
        <f t="shared" si="11"/>
        <v>HOUSTON TX 77060</v>
      </c>
    </row>
    <row r="339" spans="1:8" x14ac:dyDescent="0.2">
      <c r="A339" s="27">
        <f>COUNTIFS(C:C,C339,D:D,D339)</f>
        <v>1</v>
      </c>
      <c r="B339" s="30">
        <v>202101151345</v>
      </c>
      <c r="C339" s="28" t="s">
        <v>1229</v>
      </c>
      <c r="D339" s="28" t="s">
        <v>1230</v>
      </c>
      <c r="E339" s="28" t="s">
        <v>4867</v>
      </c>
      <c r="F339" s="28" t="s">
        <v>204</v>
      </c>
      <c r="G339" s="27" t="str">
        <f t="shared" si="10"/>
        <v>2227 RAINBOW DR  HOUSTON</v>
      </c>
      <c r="H339" s="27" t="str">
        <f t="shared" si="11"/>
        <v>HOUSTON TX 77023</v>
      </c>
    </row>
    <row r="340" spans="1:8" x14ac:dyDescent="0.2">
      <c r="A340" s="27">
        <f>COUNTIFS(C:C,C340,D:D,D340)</f>
        <v>1</v>
      </c>
      <c r="B340" s="30">
        <v>202101151348</v>
      </c>
      <c r="C340" s="28" t="s">
        <v>817</v>
      </c>
      <c r="D340" s="28" t="s">
        <v>818</v>
      </c>
      <c r="E340" s="28" t="s">
        <v>4951</v>
      </c>
      <c r="F340" s="28" t="s">
        <v>189</v>
      </c>
      <c r="G340" s="27" t="str">
        <f t="shared" si="10"/>
        <v>8522 PEARL LAKE DR  HOUSTON</v>
      </c>
      <c r="H340" s="27" t="str">
        <f t="shared" si="11"/>
        <v>HOUSTON TX 77095</v>
      </c>
    </row>
    <row r="341" spans="1:8" x14ac:dyDescent="0.2">
      <c r="A341" s="27">
        <f>COUNTIFS(C:C,C341,D:D,D341)</f>
        <v>1</v>
      </c>
      <c r="B341" s="30">
        <v>202101151350</v>
      </c>
      <c r="C341" s="28" t="s">
        <v>1219</v>
      </c>
      <c r="D341" s="28" t="s">
        <v>1220</v>
      </c>
      <c r="E341" s="28" t="s">
        <v>4896</v>
      </c>
      <c r="F341" s="28" t="s">
        <v>186</v>
      </c>
      <c r="G341" s="27" t="str">
        <f t="shared" si="10"/>
        <v>6602 HARBOR TOWN DR  HOUSTON</v>
      </c>
      <c r="H341" s="27" t="str">
        <f t="shared" si="11"/>
        <v>HOUSTON TX 77036</v>
      </c>
    </row>
    <row r="342" spans="1:8" x14ac:dyDescent="0.2">
      <c r="A342" s="27">
        <f>COUNTIFS(C:C,C342,D:D,D342)</f>
        <v>1</v>
      </c>
      <c r="B342" s="30">
        <v>202101151351</v>
      </c>
      <c r="C342" t="s">
        <v>2020</v>
      </c>
      <c r="D342" t="s">
        <v>2021</v>
      </c>
      <c r="E342" t="s">
        <v>4989</v>
      </c>
      <c r="F342" t="s">
        <v>185</v>
      </c>
      <c r="G342" s="27" t="str">
        <f t="shared" si="10"/>
        <v>2205 W WALKER STREET  LEAGUE CIT</v>
      </c>
      <c r="H342" s="27" t="str">
        <f t="shared" si="11"/>
        <v>HOUSTON TX 77573</v>
      </c>
    </row>
    <row r="343" spans="1:8" x14ac:dyDescent="0.2">
      <c r="A343" s="27">
        <f>COUNTIFS(C:C,C343,D:D,D343)</f>
        <v>1</v>
      </c>
      <c r="B343" s="30">
        <v>202101151353</v>
      </c>
      <c r="C343" t="s">
        <v>3783</v>
      </c>
      <c r="D343" t="s">
        <v>3784</v>
      </c>
      <c r="E343" t="s">
        <v>4918</v>
      </c>
      <c r="F343" t="s">
        <v>194</v>
      </c>
      <c r="G343" s="27" t="str">
        <f t="shared" si="10"/>
        <v>3319 CHALFONT DR  HOUSTON</v>
      </c>
      <c r="H343" s="27" t="str">
        <f t="shared" si="11"/>
        <v>HOUSTON TX 77066</v>
      </c>
    </row>
    <row r="344" spans="1:8" x14ac:dyDescent="0.2">
      <c r="A344" s="27">
        <f>COUNTIFS(C:C,C344,D:D,D344)</f>
        <v>1</v>
      </c>
      <c r="B344" s="30">
        <v>202101151355</v>
      </c>
      <c r="C344" t="s">
        <v>2256</v>
      </c>
      <c r="D344" t="s">
        <v>2257</v>
      </c>
      <c r="E344" t="s">
        <v>4914</v>
      </c>
      <c r="F344" t="s">
        <v>4804</v>
      </c>
      <c r="G344" s="27" t="str">
        <f t="shared" si="10"/>
        <v>13131 FALLSVIEW LN  HOUSTON</v>
      </c>
      <c r="H344" s="27" t="str">
        <f t="shared" si="11"/>
        <v>HOUSTON TX 77077</v>
      </c>
    </row>
    <row r="345" spans="1:8" x14ac:dyDescent="0.2">
      <c r="A345" s="27">
        <f>COUNTIFS(C:C,C345,D:D,D345)</f>
        <v>1</v>
      </c>
      <c r="B345" s="30">
        <v>202101151357</v>
      </c>
      <c r="C345" s="28" t="s">
        <v>1340</v>
      </c>
      <c r="D345" s="28" t="s">
        <v>1341</v>
      </c>
      <c r="E345" s="28" t="s">
        <v>4893</v>
      </c>
      <c r="F345" s="28" t="s">
        <v>309</v>
      </c>
      <c r="G345" s="27" t="str">
        <f t="shared" si="10"/>
        <v>11900 OAKMOOR PKWY  HOUSTON</v>
      </c>
      <c r="H345" s="27" t="str">
        <f t="shared" si="11"/>
        <v>HOUSTON TX 77045</v>
      </c>
    </row>
    <row r="346" spans="1:8" x14ac:dyDescent="0.2">
      <c r="A346" s="27">
        <f>COUNTIFS(C:C,C346,D:D,D346)</f>
        <v>1</v>
      </c>
      <c r="B346" s="30">
        <v>202101151359</v>
      </c>
      <c r="C346" t="s">
        <v>3023</v>
      </c>
      <c r="D346" t="s">
        <v>3024</v>
      </c>
      <c r="E346" t="s">
        <v>4889</v>
      </c>
      <c r="F346" t="s">
        <v>387</v>
      </c>
      <c r="G346" s="27" t="str">
        <f t="shared" si="10"/>
        <v>633 RUSH ST  HOUSTON</v>
      </c>
      <c r="H346" s="27" t="str">
        <f t="shared" si="11"/>
        <v>HOUSTON TX 77067</v>
      </c>
    </row>
    <row r="347" spans="1:8" x14ac:dyDescent="0.2">
      <c r="A347" s="27">
        <f>COUNTIFS(C:C,C347,D:D,D347)</f>
        <v>1</v>
      </c>
      <c r="B347" s="30">
        <v>202101151362</v>
      </c>
      <c r="C347" t="s">
        <v>2904</v>
      </c>
      <c r="D347" t="s">
        <v>2905</v>
      </c>
      <c r="E347" t="s">
        <v>5163</v>
      </c>
      <c r="F347" t="s">
        <v>182</v>
      </c>
      <c r="G347" s="27" t="str">
        <f t="shared" si="10"/>
        <v>9903 RODGERS RD  SPRING</v>
      </c>
      <c r="H347" s="27" t="str">
        <f t="shared" si="11"/>
        <v>HOUSTON TX 77070</v>
      </c>
    </row>
    <row r="348" spans="1:8" x14ac:dyDescent="0.2">
      <c r="A348" s="27">
        <f>COUNTIFS(C:C,C348,D:D,D348)</f>
        <v>1</v>
      </c>
      <c r="B348" s="30">
        <v>202101151364</v>
      </c>
      <c r="C348" s="28" t="s">
        <v>1543</v>
      </c>
      <c r="D348" s="28" t="s">
        <v>1544</v>
      </c>
      <c r="E348" s="28" t="s">
        <v>4984</v>
      </c>
      <c r="F348" s="28" t="s">
        <v>4786</v>
      </c>
      <c r="G348" s="27" t="str">
        <f t="shared" si="10"/>
        <v>23327 GOOD DALE LN  SPRING</v>
      </c>
      <c r="H348" s="27" t="str">
        <f t="shared" si="11"/>
        <v>HOUSTON TX 77373</v>
      </c>
    </row>
    <row r="349" spans="1:8" x14ac:dyDescent="0.2">
      <c r="A349" s="27">
        <f>COUNTIFS(C:C,C349,D:D,D349)</f>
        <v>1</v>
      </c>
      <c r="B349" s="30">
        <v>202101151365</v>
      </c>
      <c r="C349" s="28" t="s">
        <v>1492</v>
      </c>
      <c r="D349" s="28" t="s">
        <v>1493</v>
      </c>
      <c r="E349" s="28" t="s">
        <v>5046</v>
      </c>
      <c r="F349" s="28" t="s">
        <v>213</v>
      </c>
      <c r="G349" s="27" t="str">
        <f t="shared" si="10"/>
        <v>513 OLD WEST HWY 15 4 HARLETON</v>
      </c>
      <c r="H349" s="27" t="str">
        <f t="shared" si="11"/>
        <v>HOUSTON TX 75651</v>
      </c>
    </row>
    <row r="350" spans="1:8" x14ac:dyDescent="0.2">
      <c r="A350" s="27">
        <f>COUNTIFS(C:C,C350,D:D,D350)</f>
        <v>1</v>
      </c>
      <c r="B350" s="30">
        <v>202101151366</v>
      </c>
      <c r="C350" t="s">
        <v>2512</v>
      </c>
      <c r="D350" t="s">
        <v>2513</v>
      </c>
      <c r="E350" t="s">
        <v>4879</v>
      </c>
      <c r="F350" t="s">
        <v>202</v>
      </c>
      <c r="G350" s="27" t="str">
        <f t="shared" si="10"/>
        <v>5667 YALE ST  HOUSTON</v>
      </c>
      <c r="H350" s="27" t="str">
        <f t="shared" si="11"/>
        <v>HOUSTON TX 77091</v>
      </c>
    </row>
    <row r="351" spans="1:8" x14ac:dyDescent="0.2">
      <c r="A351" s="27">
        <f>COUNTIFS(C:C,C351,D:D,D351)</f>
        <v>1</v>
      </c>
      <c r="B351" s="30">
        <v>202101151367</v>
      </c>
      <c r="C351" s="28" t="s">
        <v>1640</v>
      </c>
      <c r="D351" s="28" t="s">
        <v>1641</v>
      </c>
      <c r="E351" s="28" t="s">
        <v>4866</v>
      </c>
      <c r="F351" s="28" t="s">
        <v>200</v>
      </c>
      <c r="G351" s="27" t="str">
        <f t="shared" si="10"/>
        <v>7313 NORTHLINE DR 31 7 HOUSTON</v>
      </c>
      <c r="H351" s="27" t="str">
        <f t="shared" si="11"/>
        <v>HOUSTON TX 77076</v>
      </c>
    </row>
    <row r="352" spans="1:8" x14ac:dyDescent="0.2">
      <c r="A352" s="27">
        <f>COUNTIFS(C:C,C352,D:D,D352)</f>
        <v>1</v>
      </c>
      <c r="B352" s="30">
        <v>202101151369</v>
      </c>
      <c r="C352" s="28" t="s">
        <v>1372</v>
      </c>
      <c r="D352" s="28" t="s">
        <v>1373</v>
      </c>
      <c r="E352" s="28" t="s">
        <v>4967</v>
      </c>
      <c r="F352" s="28" t="s">
        <v>4764</v>
      </c>
      <c r="G352" s="27" t="str">
        <f t="shared" si="10"/>
        <v>5915 FLINTLOCK RD AP T 211 HOUSTON</v>
      </c>
      <c r="H352" s="27" t="str">
        <f t="shared" si="11"/>
        <v>HOUSTON TX 77040</v>
      </c>
    </row>
    <row r="353" spans="1:8" x14ac:dyDescent="0.2">
      <c r="A353" s="27">
        <f>COUNTIFS(C:C,C353,D:D,D353)</f>
        <v>1</v>
      </c>
      <c r="B353" s="30">
        <v>202101151370</v>
      </c>
      <c r="C353" t="s">
        <v>2024</v>
      </c>
      <c r="D353" t="s">
        <v>2025</v>
      </c>
      <c r="E353" t="s">
        <v>4906</v>
      </c>
      <c r="F353" t="s">
        <v>182</v>
      </c>
      <c r="G353" s="27" t="str">
        <f t="shared" si="10"/>
        <v>3635 S SHAVER ST  PASADENA</v>
      </c>
      <c r="H353" s="27" t="str">
        <f t="shared" si="11"/>
        <v>HOUSTON TX 77504</v>
      </c>
    </row>
    <row r="354" spans="1:8" x14ac:dyDescent="0.2">
      <c r="A354" s="27">
        <f>COUNTIFS(C:C,C354,D:D,D354)</f>
        <v>1</v>
      </c>
      <c r="B354" s="30">
        <v>202101151371</v>
      </c>
      <c r="C354" t="s">
        <v>3803</v>
      </c>
      <c r="D354" t="s">
        <v>3804</v>
      </c>
      <c r="E354" t="s">
        <v>4901</v>
      </c>
      <c r="F354" t="s">
        <v>193</v>
      </c>
      <c r="G354" s="27" t="str">
        <f t="shared" si="10"/>
        <v>11490 HARWIN DR 518  HOUSTON</v>
      </c>
      <c r="H354" s="27" t="str">
        <f t="shared" si="11"/>
        <v>HOUSTON TX 77072</v>
      </c>
    </row>
    <row r="355" spans="1:8" x14ac:dyDescent="0.2">
      <c r="A355" s="27">
        <f>COUNTIFS(C:C,C355,D:D,D355)</f>
        <v>1</v>
      </c>
      <c r="B355" s="30">
        <v>202101151372</v>
      </c>
      <c r="C355" s="28" t="s">
        <v>732</v>
      </c>
      <c r="D355" s="28" t="s">
        <v>733</v>
      </c>
      <c r="E355" s="28" t="s">
        <v>4891</v>
      </c>
      <c r="F355" s="28" t="s">
        <v>221</v>
      </c>
      <c r="G355" s="27" t="str">
        <f t="shared" si="10"/>
        <v>5728 W MOUNT HOUSTON RD HOUSTON</v>
      </c>
      <c r="H355" s="27" t="str">
        <f t="shared" si="11"/>
        <v>HOUSTON TX 77088</v>
      </c>
    </row>
    <row r="356" spans="1:8" x14ac:dyDescent="0.2">
      <c r="A356" s="27">
        <f>COUNTIFS(C:C,C356,D:D,D356)</f>
        <v>1</v>
      </c>
      <c r="B356" s="30">
        <v>202101151373</v>
      </c>
      <c r="C356" t="s">
        <v>2787</v>
      </c>
      <c r="D356" t="s">
        <v>2788</v>
      </c>
      <c r="E356" t="s">
        <v>5157</v>
      </c>
      <c r="F356" t="s">
        <v>201</v>
      </c>
      <c r="G356" s="27" t="str">
        <f t="shared" si="10"/>
        <v>649 NORTH POST OAK LN HOUSTON</v>
      </c>
      <c r="H356" s="27" t="str">
        <f t="shared" si="11"/>
        <v>HOUSTON TX 77024</v>
      </c>
    </row>
    <row r="357" spans="1:8" x14ac:dyDescent="0.2">
      <c r="A357" s="27">
        <f>COUNTIFS(C:C,C357,D:D,D357)</f>
        <v>1</v>
      </c>
      <c r="B357" s="30">
        <v>202101151380</v>
      </c>
      <c r="C357" s="28" t="s">
        <v>1851</v>
      </c>
      <c r="D357" s="28" t="s">
        <v>1852</v>
      </c>
      <c r="E357" s="28" t="s">
        <v>4891</v>
      </c>
      <c r="F357" s="28" t="s">
        <v>215</v>
      </c>
      <c r="G357" s="27" t="str">
        <f t="shared" si="10"/>
        <v>2533 GLEN AVE  HOUSTON</v>
      </c>
      <c r="H357" s="27" t="str">
        <f t="shared" si="11"/>
        <v>HOUSTON TX 77088</v>
      </c>
    </row>
    <row r="358" spans="1:8" x14ac:dyDescent="0.2">
      <c r="A358" s="27">
        <f>COUNTIFS(C:C,C358,D:D,D358)</f>
        <v>1</v>
      </c>
      <c r="B358" s="30">
        <v>202101151383</v>
      </c>
      <c r="C358" s="28" t="s">
        <v>1168</v>
      </c>
      <c r="D358" s="28" t="s">
        <v>7606</v>
      </c>
      <c r="E358" s="28" t="s">
        <v>4915</v>
      </c>
      <c r="F358" s="28" t="s">
        <v>236</v>
      </c>
      <c r="G358" s="27" t="str">
        <f t="shared" si="10"/>
        <v>3710 FAULKNER HOUSTON</v>
      </c>
      <c r="H358" s="27" t="str">
        <f t="shared" si="11"/>
        <v>HOUSTON TX 77021</v>
      </c>
    </row>
    <row r="359" spans="1:8" x14ac:dyDescent="0.2">
      <c r="A359" s="27">
        <f>COUNTIFS(C:C,C359,D:D,D359)</f>
        <v>1</v>
      </c>
      <c r="B359" s="30">
        <v>202101151384</v>
      </c>
      <c r="C359" s="28" t="s">
        <v>782</v>
      </c>
      <c r="D359" s="28" t="s">
        <v>783</v>
      </c>
      <c r="E359" s="28" t="s">
        <v>4954</v>
      </c>
      <c r="F359" s="28" t="s">
        <v>203</v>
      </c>
      <c r="G359" s="27" t="str">
        <f t="shared" si="10"/>
        <v>12501 BROADWAY ST APT 6104 PEARLAND</v>
      </c>
      <c r="H359" s="27" t="str">
        <f t="shared" si="11"/>
        <v>HOUSTON TX 77584</v>
      </c>
    </row>
    <row r="360" spans="1:8" x14ac:dyDescent="0.2">
      <c r="A360" s="27">
        <f>COUNTIFS(C:C,C360,D:D,D360)</f>
        <v>1</v>
      </c>
      <c r="B360" s="30">
        <v>202101151386</v>
      </c>
      <c r="C360" t="s">
        <v>2460</v>
      </c>
      <c r="D360" t="s">
        <v>2461</v>
      </c>
      <c r="E360" t="s">
        <v>4988</v>
      </c>
      <c r="F360" t="s">
        <v>187</v>
      </c>
      <c r="G360" s="27" t="str">
        <f t="shared" si="10"/>
        <v>17202 QUIET COVEY CT  MISSOURI C</v>
      </c>
      <c r="H360" s="27" t="str">
        <f t="shared" si="11"/>
        <v>HOUSTON TX 77489</v>
      </c>
    </row>
    <row r="361" spans="1:8" x14ac:dyDescent="0.2">
      <c r="A361" s="27">
        <f>COUNTIFS(C:C,C361,D:D,D361)</f>
        <v>1</v>
      </c>
      <c r="B361" s="30">
        <v>202101151387</v>
      </c>
      <c r="C361" t="s">
        <v>2358</v>
      </c>
      <c r="D361" t="s">
        <v>2359</v>
      </c>
      <c r="E361" t="s">
        <v>4859</v>
      </c>
      <c r="F361" t="s">
        <v>181</v>
      </c>
      <c r="G361" s="27" t="str">
        <f t="shared" si="10"/>
        <v>22921 PARRAMATTA LN  HOUSTON</v>
      </c>
      <c r="H361" s="27" t="str">
        <f t="shared" si="11"/>
        <v>HOUSTON TX 77073</v>
      </c>
    </row>
    <row r="362" spans="1:8" x14ac:dyDescent="0.2">
      <c r="A362" s="27">
        <f>COUNTIFS(C:C,C362,D:D,D362)</f>
        <v>1</v>
      </c>
      <c r="B362" s="30">
        <v>202101151399</v>
      </c>
      <c r="C362" s="28" t="s">
        <v>1004</v>
      </c>
      <c r="D362" s="28" t="s">
        <v>1005</v>
      </c>
      <c r="E362" s="28" t="s">
        <v>4995</v>
      </c>
      <c r="F362" s="28" t="s">
        <v>209</v>
      </c>
      <c r="G362" s="27" t="str">
        <f t="shared" ref="G362:G425" si="12">D362&amp;" "&amp;MID(E362,1,FIND(" TX",E362)-1)</f>
        <v>12813 SLEEPY TONE LN  CROSBY</v>
      </c>
      <c r="H362" s="27" t="str">
        <f t="shared" ref="H362:H425" si="13">"HOUSTON "&amp;MID(E362,FIND("TX",E362),8)</f>
        <v>HOUSTON TX 77535</v>
      </c>
    </row>
    <row r="363" spans="1:8" x14ac:dyDescent="0.2">
      <c r="A363" s="27">
        <f>COUNTIFS(C:C,C363,D:D,D363)</f>
        <v>1</v>
      </c>
      <c r="B363" s="30">
        <v>202101151400</v>
      </c>
      <c r="C363" s="28" t="s">
        <v>892</v>
      </c>
      <c r="D363" s="28" t="s">
        <v>893</v>
      </c>
      <c r="E363" s="28" t="s">
        <v>4969</v>
      </c>
      <c r="F363" s="28" t="s">
        <v>211</v>
      </c>
      <c r="G363" s="27" t="str">
        <f t="shared" si="12"/>
        <v>10019 SUGARVINE LN  TOMBALL</v>
      </c>
      <c r="H363" s="27" t="str">
        <f t="shared" si="13"/>
        <v>HOUSTON TX 77375</v>
      </c>
    </row>
    <row r="364" spans="1:8" x14ac:dyDescent="0.2">
      <c r="A364" s="27">
        <f>COUNTIFS(C:C,C364,D:D,D364)</f>
        <v>1</v>
      </c>
      <c r="B364" s="30">
        <v>202101151410</v>
      </c>
      <c r="C364" t="s">
        <v>2320</v>
      </c>
      <c r="D364" t="s">
        <v>2321</v>
      </c>
      <c r="E364" t="s">
        <v>4899</v>
      </c>
      <c r="F364" t="s">
        <v>200</v>
      </c>
      <c r="G364" s="27" t="str">
        <f t="shared" si="12"/>
        <v>7531 BUBBLING SPRING LN HOUSTON</v>
      </c>
      <c r="H364" s="27" t="str">
        <f t="shared" si="13"/>
        <v>HOUSTON TX 77086</v>
      </c>
    </row>
    <row r="365" spans="1:8" x14ac:dyDescent="0.2">
      <c r="A365" s="27">
        <f>COUNTIFS(C:C,C365,D:D,D365)</f>
        <v>1</v>
      </c>
      <c r="B365" s="30">
        <v>202101151411</v>
      </c>
      <c r="C365" s="28" t="s">
        <v>1938</v>
      </c>
      <c r="D365" s="28" t="s">
        <v>1939</v>
      </c>
      <c r="E365" s="28" t="s">
        <v>5023</v>
      </c>
      <c r="F365" s="28" t="s">
        <v>187</v>
      </c>
      <c r="G365" s="27" t="str">
        <f t="shared" si="12"/>
        <v>2401 LAZY HOLLOW DR  HOUSTON</v>
      </c>
      <c r="H365" s="27" t="str">
        <f t="shared" si="13"/>
        <v>HOUSTON TX 77063</v>
      </c>
    </row>
    <row r="366" spans="1:8" x14ac:dyDescent="0.2">
      <c r="A366" s="27">
        <f>COUNTIFS(C:C,C366,D:D,D366)</f>
        <v>1</v>
      </c>
      <c r="B366" s="30">
        <v>202101151413</v>
      </c>
      <c r="C366" s="28" t="s">
        <v>1768</v>
      </c>
      <c r="D366" s="28" t="s">
        <v>1769</v>
      </c>
      <c r="E366" s="28" t="s">
        <v>5025</v>
      </c>
      <c r="F366" s="28" t="s">
        <v>260</v>
      </c>
      <c r="G366" s="27" t="str">
        <f t="shared" si="12"/>
        <v>24910 ALBERTI SONATA DR KATY</v>
      </c>
      <c r="H366" s="27" t="str">
        <f t="shared" si="13"/>
        <v>HOUSTON TX 77493</v>
      </c>
    </row>
    <row r="367" spans="1:8" x14ac:dyDescent="0.2">
      <c r="A367" s="27">
        <f>COUNTIFS(C:C,C367,D:D,D367)</f>
        <v>1</v>
      </c>
      <c r="B367" s="30">
        <v>202101151422</v>
      </c>
      <c r="C367" t="s">
        <v>2833</v>
      </c>
      <c r="D367" t="s">
        <v>5158</v>
      </c>
      <c r="E367" t="s">
        <v>5026</v>
      </c>
      <c r="F367" t="s">
        <v>209</v>
      </c>
      <c r="G367" s="27" t="str">
        <f t="shared" si="12"/>
        <v>506 S AUSTIN ST  WEBSTER</v>
      </c>
      <c r="H367" s="27" t="str">
        <f t="shared" si="13"/>
        <v>HOUSTON TX 77598</v>
      </c>
    </row>
    <row r="368" spans="1:8" x14ac:dyDescent="0.2">
      <c r="A368" s="27">
        <f>COUNTIFS(C:C,C368,D:D,D368)</f>
        <v>1</v>
      </c>
      <c r="B368" s="30">
        <v>202101151423</v>
      </c>
      <c r="C368" s="28" t="s">
        <v>1776</v>
      </c>
      <c r="D368" s="28" t="s">
        <v>1777</v>
      </c>
      <c r="E368" s="28" t="s">
        <v>4862</v>
      </c>
      <c r="F368" s="28" t="s">
        <v>187</v>
      </c>
      <c r="G368" s="27" t="str">
        <f t="shared" si="12"/>
        <v>810 DUNSEN GLEN DRI VE HOUSTON</v>
      </c>
      <c r="H368" s="27" t="str">
        <f t="shared" si="13"/>
        <v>HOUSTON TX 77090</v>
      </c>
    </row>
    <row r="369" spans="1:8" x14ac:dyDescent="0.2">
      <c r="A369" s="27">
        <f>COUNTIFS(C:C,C369,D:D,D369)</f>
        <v>1</v>
      </c>
      <c r="B369" s="30">
        <v>202101151427</v>
      </c>
      <c r="C369" s="28" t="s">
        <v>1733</v>
      </c>
      <c r="D369" s="28" t="s">
        <v>1734</v>
      </c>
      <c r="E369" s="28" t="s">
        <v>4960</v>
      </c>
      <c r="F369" s="28" t="s">
        <v>4794</v>
      </c>
      <c r="G369" s="27" t="str">
        <f t="shared" si="12"/>
        <v>12500 N FREEWAY  HOUSTON</v>
      </c>
      <c r="H369" s="27" t="str">
        <f t="shared" si="13"/>
        <v>HOUSTON TX 77060</v>
      </c>
    </row>
    <row r="370" spans="1:8" x14ac:dyDescent="0.2">
      <c r="A370" s="27">
        <f>COUNTIFS(C:C,C370,D:D,D370)</f>
        <v>1</v>
      </c>
      <c r="B370" s="30">
        <v>202101151432</v>
      </c>
      <c r="C370" t="s">
        <v>2930</v>
      </c>
      <c r="D370" t="s">
        <v>2931</v>
      </c>
      <c r="E370" t="s">
        <v>5050</v>
      </c>
      <c r="F370" t="s">
        <v>187</v>
      </c>
      <c r="G370" s="27" t="str">
        <f t="shared" si="12"/>
        <v>14630 SIERRA GARDEN D R HOUSTON</v>
      </c>
      <c r="H370" s="27" t="str">
        <f t="shared" si="13"/>
        <v>HOUSTON TX 77069</v>
      </c>
    </row>
    <row r="371" spans="1:8" x14ac:dyDescent="0.2">
      <c r="A371" s="27">
        <f>COUNTIFS(C:C,C371,D:D,D371)</f>
        <v>1</v>
      </c>
      <c r="B371" s="30">
        <v>202101151436</v>
      </c>
      <c r="C371" t="s">
        <v>3812</v>
      </c>
      <c r="D371" t="s">
        <v>3813</v>
      </c>
      <c r="E371" t="s">
        <v>4875</v>
      </c>
      <c r="F371" t="s">
        <v>193</v>
      </c>
      <c r="G371" s="27" t="str">
        <f t="shared" si="12"/>
        <v>4007 MONITOR ST  HOUSTON</v>
      </c>
      <c r="H371" s="27" t="str">
        <f t="shared" si="13"/>
        <v>HOUSTON TX 77093</v>
      </c>
    </row>
    <row r="372" spans="1:8" x14ac:dyDescent="0.2">
      <c r="A372" s="27">
        <f>COUNTIFS(C:C,C372,D:D,D372)</f>
        <v>1</v>
      </c>
      <c r="B372" s="30">
        <v>202101151439</v>
      </c>
      <c r="C372" t="s">
        <v>3814</v>
      </c>
      <c r="D372" t="s">
        <v>3815</v>
      </c>
      <c r="E372" t="s">
        <v>4900</v>
      </c>
      <c r="F372" t="s">
        <v>185</v>
      </c>
      <c r="G372" s="27" t="str">
        <f t="shared" si="12"/>
        <v>6510 HOLLY COVE LN  KATY</v>
      </c>
      <c r="H372" s="27" t="str">
        <f t="shared" si="13"/>
        <v>HOUSTON TX 77449</v>
      </c>
    </row>
    <row r="373" spans="1:8" x14ac:dyDescent="0.2">
      <c r="A373" s="27">
        <f>COUNTIFS(C:C,C373,D:D,D373)</f>
        <v>1</v>
      </c>
      <c r="B373" s="30">
        <v>202101151444</v>
      </c>
      <c r="C373" s="28" t="s">
        <v>766</v>
      </c>
      <c r="D373" s="28" t="s">
        <v>767</v>
      </c>
      <c r="E373" s="28" t="s">
        <v>4919</v>
      </c>
      <c r="F373" s="28" t="s">
        <v>182</v>
      </c>
      <c r="G373" s="27" t="str">
        <f t="shared" si="12"/>
        <v>7525 HILLCROFT  HOUSTON</v>
      </c>
      <c r="H373" s="27" t="str">
        <f t="shared" si="13"/>
        <v>HOUSTON TX 77081</v>
      </c>
    </row>
    <row r="374" spans="1:8" x14ac:dyDescent="0.2">
      <c r="A374" s="27">
        <f>COUNTIFS(C:C,C374,D:D,D374)</f>
        <v>1</v>
      </c>
      <c r="B374" s="30">
        <v>202101151449</v>
      </c>
      <c r="C374" s="28" t="s">
        <v>1815</v>
      </c>
      <c r="D374" s="28" t="s">
        <v>1816</v>
      </c>
      <c r="E374" s="28" t="s">
        <v>4891</v>
      </c>
      <c r="F374" s="28" t="s">
        <v>182</v>
      </c>
      <c r="G374" s="27" t="str">
        <f t="shared" si="12"/>
        <v>945 REV BJ LEWIS DR  HOUSTON</v>
      </c>
      <c r="H374" s="27" t="str">
        <f t="shared" si="13"/>
        <v>HOUSTON TX 77088</v>
      </c>
    </row>
    <row r="375" spans="1:8" x14ac:dyDescent="0.2">
      <c r="A375" s="27">
        <f>COUNTIFS(C:C,C375,D:D,D375)</f>
        <v>1</v>
      </c>
      <c r="B375" s="30">
        <v>202101151454</v>
      </c>
      <c r="C375" t="s">
        <v>3181</v>
      </c>
      <c r="D375" t="s">
        <v>3182</v>
      </c>
      <c r="E375" t="s">
        <v>4894</v>
      </c>
      <c r="F375" t="s">
        <v>4825</v>
      </c>
      <c r="G375" s="27" t="str">
        <f t="shared" si="12"/>
        <v>1205 NOBLE ST  HOUSTON</v>
      </c>
      <c r="H375" s="27" t="str">
        <f t="shared" si="13"/>
        <v>HOUSTON TX 77009</v>
      </c>
    </row>
    <row r="376" spans="1:8" x14ac:dyDescent="0.2">
      <c r="A376" s="27">
        <f>COUNTIFS(C:C,C376,D:D,D376)</f>
        <v>1</v>
      </c>
      <c r="B376" s="30">
        <v>202101151461</v>
      </c>
      <c r="C376" t="s">
        <v>1979</v>
      </c>
      <c r="D376" t="s">
        <v>1047</v>
      </c>
      <c r="E376" t="s">
        <v>4880</v>
      </c>
      <c r="F376" t="s">
        <v>331</v>
      </c>
      <c r="G376" s="27" t="str">
        <f t="shared" si="12"/>
        <v>3711 SOUTHMORE BLVD  HOUSTON</v>
      </c>
      <c r="H376" s="27" t="str">
        <f t="shared" si="13"/>
        <v>HOUSTON TX 77004</v>
      </c>
    </row>
    <row r="377" spans="1:8" x14ac:dyDescent="0.2">
      <c r="A377" s="27">
        <f>COUNTIFS(C:C,C377,D:D,D377)</f>
        <v>1</v>
      </c>
      <c r="B377" s="30">
        <v>202101151463</v>
      </c>
      <c r="C377" t="s">
        <v>3820</v>
      </c>
      <c r="D377" t="s">
        <v>3821</v>
      </c>
      <c r="E377" t="s">
        <v>5086</v>
      </c>
      <c r="F377" t="s">
        <v>221</v>
      </c>
      <c r="G377" s="27" t="str">
        <f t="shared" si="12"/>
        <v>811 PEMBERTON  HARRIS CO</v>
      </c>
      <c r="H377" s="27" t="str">
        <f t="shared" si="13"/>
        <v>HOUSTON TX 77530</v>
      </c>
    </row>
    <row r="378" spans="1:8" x14ac:dyDescent="0.2">
      <c r="A378" s="27">
        <f>COUNTIFS(C:C,C378,D:D,D378)</f>
        <v>1</v>
      </c>
      <c r="B378" s="30">
        <v>202101151464</v>
      </c>
      <c r="C378" t="s">
        <v>3822</v>
      </c>
      <c r="D378" t="s">
        <v>3823</v>
      </c>
      <c r="E378" t="s">
        <v>5221</v>
      </c>
      <c r="F378" t="s">
        <v>250</v>
      </c>
      <c r="G378" s="27" t="str">
        <f t="shared" si="12"/>
        <v>735 WEST RIDGE DR  DUNCANVILL</v>
      </c>
      <c r="H378" s="27" t="str">
        <f t="shared" si="13"/>
        <v>HOUSTON TX 75116</v>
      </c>
    </row>
    <row r="379" spans="1:8" x14ac:dyDescent="0.2">
      <c r="A379" s="27">
        <f>COUNTIFS(C:C,C379,D:D,D379)</f>
        <v>1</v>
      </c>
      <c r="B379" s="30">
        <v>202101151468</v>
      </c>
      <c r="C379" s="28" t="s">
        <v>615</v>
      </c>
      <c r="D379" s="28" t="s">
        <v>616</v>
      </c>
      <c r="E379" s="28" t="s">
        <v>4906</v>
      </c>
      <c r="F379" s="28" t="s">
        <v>182</v>
      </c>
      <c r="G379" s="27" t="str">
        <f t="shared" si="12"/>
        <v>3637 S SHAVER ST  PASADENA</v>
      </c>
      <c r="H379" s="27" t="str">
        <f t="shared" si="13"/>
        <v>HOUSTON TX 77504</v>
      </c>
    </row>
    <row r="380" spans="1:8" x14ac:dyDescent="0.2">
      <c r="A380" s="27">
        <f>COUNTIFS(C:C,C380,D:D,D380)</f>
        <v>1</v>
      </c>
      <c r="B380" s="30">
        <v>202101151470</v>
      </c>
      <c r="C380" t="s">
        <v>3824</v>
      </c>
      <c r="D380" t="s">
        <v>3825</v>
      </c>
      <c r="E380" t="s">
        <v>5222</v>
      </c>
      <c r="F380" t="s">
        <v>182</v>
      </c>
      <c r="G380" s="27" t="str">
        <f t="shared" si="12"/>
        <v>20210 BIG TIMBER CT  HARRIS CO</v>
      </c>
      <c r="H380" s="27" t="str">
        <f t="shared" si="13"/>
        <v>HOUSTON TX 77346</v>
      </c>
    </row>
    <row r="381" spans="1:8" x14ac:dyDescent="0.2">
      <c r="A381" s="27">
        <f>COUNTIFS(C:C,C381,D:D,D381)</f>
        <v>1</v>
      </c>
      <c r="B381" s="30">
        <v>202101151473</v>
      </c>
      <c r="C381" t="s">
        <v>3271</v>
      </c>
      <c r="D381" t="s">
        <v>3272</v>
      </c>
      <c r="E381" t="s">
        <v>4968</v>
      </c>
      <c r="F381" t="s">
        <v>221</v>
      </c>
      <c r="G381" s="27" t="str">
        <f t="shared" si="12"/>
        <v>5606 CUNNINGHAM DR  PEARLAND</v>
      </c>
      <c r="H381" s="27" t="str">
        <f t="shared" si="13"/>
        <v>HOUSTON TX 77581</v>
      </c>
    </row>
    <row r="382" spans="1:8" x14ac:dyDescent="0.2">
      <c r="A382" s="27">
        <f>COUNTIFS(C:C,C382,D:D,D382)</f>
        <v>1</v>
      </c>
      <c r="B382" s="30">
        <v>202101151474</v>
      </c>
      <c r="C382" t="s">
        <v>3302</v>
      </c>
      <c r="D382" t="s">
        <v>3303</v>
      </c>
      <c r="E382" t="s">
        <v>5120</v>
      </c>
      <c r="F382" t="s">
        <v>365</v>
      </c>
      <c r="G382" s="27" t="str">
        <f t="shared" si="12"/>
        <v>16407 EL CAMINO REAL  HOUSTON</v>
      </c>
      <c r="H382" s="27" t="str">
        <f t="shared" si="13"/>
        <v>HOUSTON TX 77062</v>
      </c>
    </row>
    <row r="383" spans="1:8" x14ac:dyDescent="0.2">
      <c r="A383" s="27">
        <f>COUNTIFS(C:C,C383,D:D,D383)</f>
        <v>1</v>
      </c>
      <c r="B383" s="30">
        <v>202101151479</v>
      </c>
      <c r="C383" s="28" t="s">
        <v>1258</v>
      </c>
      <c r="D383" s="28" t="s">
        <v>1259</v>
      </c>
      <c r="E383" s="28" t="s">
        <v>4891</v>
      </c>
      <c r="F383" s="28" t="s">
        <v>193</v>
      </c>
      <c r="G383" s="27" t="str">
        <f t="shared" si="12"/>
        <v>9601 W MONTGOMERY RD 241 HOUSTON</v>
      </c>
      <c r="H383" s="27" t="str">
        <f t="shared" si="13"/>
        <v>HOUSTON TX 77088</v>
      </c>
    </row>
    <row r="384" spans="1:8" x14ac:dyDescent="0.2">
      <c r="A384" s="27">
        <f>COUNTIFS(C:C,C384,D:D,D384)</f>
        <v>1</v>
      </c>
      <c r="B384" s="30">
        <v>202101151483</v>
      </c>
      <c r="C384" s="28" t="s">
        <v>652</v>
      </c>
      <c r="D384" s="28" t="s">
        <v>653</v>
      </c>
      <c r="E384" s="28" t="s">
        <v>4932</v>
      </c>
      <c r="F384" s="28" t="s">
        <v>283</v>
      </c>
      <c r="G384" s="27" t="str">
        <f t="shared" si="12"/>
        <v>5325 W 43RD ST  HOUSTON</v>
      </c>
      <c r="H384" s="27" t="str">
        <f t="shared" si="13"/>
        <v>HOUSTON TX 77092</v>
      </c>
    </row>
    <row r="385" spans="1:8" x14ac:dyDescent="0.2">
      <c r="A385" s="27">
        <f>COUNTIFS(C:C,C385,D:D,D385)</f>
        <v>1</v>
      </c>
      <c r="B385" s="30">
        <v>202101151485</v>
      </c>
      <c r="C385" t="s">
        <v>1965</v>
      </c>
      <c r="D385" t="s">
        <v>1966</v>
      </c>
      <c r="E385" t="s">
        <v>4874</v>
      </c>
      <c r="F385" t="s">
        <v>189</v>
      </c>
      <c r="G385" s="27" t="str">
        <f t="shared" si="12"/>
        <v>5834 SOUTHLEA ST  HOUSTON</v>
      </c>
      <c r="H385" s="27" t="str">
        <f t="shared" si="13"/>
        <v>HOUSTON TX 77033</v>
      </c>
    </row>
    <row r="386" spans="1:8" x14ac:dyDescent="0.2">
      <c r="A386" s="27">
        <f>COUNTIFS(C:C,C386,D:D,D386)</f>
        <v>1</v>
      </c>
      <c r="B386" s="30">
        <v>202101151487</v>
      </c>
      <c r="C386" s="28" t="s">
        <v>1143</v>
      </c>
      <c r="D386" s="28" t="s">
        <v>1144</v>
      </c>
      <c r="E386" s="28" t="s">
        <v>4860</v>
      </c>
      <c r="F386" s="28" t="s">
        <v>202</v>
      </c>
      <c r="G386" s="27" t="str">
        <f t="shared" si="12"/>
        <v>301 TRI CITY BEACH  BAYTOWN</v>
      </c>
      <c r="H386" s="27" t="str">
        <f t="shared" si="13"/>
        <v>HOUSTON TX 77520</v>
      </c>
    </row>
    <row r="387" spans="1:8" x14ac:dyDescent="0.2">
      <c r="A387" s="27">
        <f>COUNTIFS(C:C,C387,D:D,D387)</f>
        <v>1</v>
      </c>
      <c r="B387" s="30">
        <v>202101151488</v>
      </c>
      <c r="C387" s="28" t="s">
        <v>1312</v>
      </c>
      <c r="D387" s="28" t="s">
        <v>1313</v>
      </c>
      <c r="E387" s="28" t="s">
        <v>4857</v>
      </c>
      <c r="F387" s="28" t="s">
        <v>4781</v>
      </c>
      <c r="G387" s="27" t="str">
        <f t="shared" si="12"/>
        <v>5025 OLD VISTA RD  PASADENA</v>
      </c>
      <c r="H387" s="27" t="str">
        <f t="shared" si="13"/>
        <v>HOUSTON TX 77505</v>
      </c>
    </row>
    <row r="388" spans="1:8" x14ac:dyDescent="0.2">
      <c r="A388" s="27">
        <f>COUNTIFS(C:C,C388,D:D,D388)</f>
        <v>1</v>
      </c>
      <c r="B388" s="30">
        <v>202101151492</v>
      </c>
      <c r="C388" s="28" t="s">
        <v>772</v>
      </c>
      <c r="D388" s="28" t="s">
        <v>773</v>
      </c>
      <c r="E388" s="28" t="s">
        <v>4943</v>
      </c>
      <c r="F388" s="28" t="s">
        <v>194</v>
      </c>
      <c r="G388" s="27" t="str">
        <f t="shared" si="12"/>
        <v>17703 AUTUMN HILLS DR  HOUSTON</v>
      </c>
      <c r="H388" s="27" t="str">
        <f t="shared" si="13"/>
        <v>HOUSTON TX 77084</v>
      </c>
    </row>
    <row r="389" spans="1:8" x14ac:dyDescent="0.2">
      <c r="A389" s="27">
        <f>COUNTIFS(C:C,C389,D:D,D389)</f>
        <v>1</v>
      </c>
      <c r="B389" s="30">
        <v>202101151493</v>
      </c>
      <c r="C389" t="s">
        <v>3826</v>
      </c>
      <c r="D389" t="s">
        <v>3827</v>
      </c>
      <c r="E389" t="s">
        <v>5223</v>
      </c>
      <c r="F389" t="s">
        <v>181</v>
      </c>
      <c r="G389" s="27" t="str">
        <f t="shared" si="12"/>
        <v>21300 HWY 16 N  MEDINA</v>
      </c>
      <c r="H389" s="27" t="str">
        <f t="shared" si="13"/>
        <v>HOUSTON TX 78055</v>
      </c>
    </row>
    <row r="390" spans="1:8" x14ac:dyDescent="0.2">
      <c r="A390" s="27">
        <f>COUNTIFS(C:C,C390,D:D,D390)</f>
        <v>1</v>
      </c>
      <c r="B390" s="30">
        <v>202101151501</v>
      </c>
      <c r="C390" s="28" t="s">
        <v>1846</v>
      </c>
      <c r="D390" s="28" t="s">
        <v>1847</v>
      </c>
      <c r="E390" s="28" t="s">
        <v>4910</v>
      </c>
      <c r="F390" s="28" t="s">
        <v>182</v>
      </c>
      <c r="G390" s="27" t="str">
        <f t="shared" si="12"/>
        <v>918 MOORSIDE LANE  CHANNELVIE</v>
      </c>
      <c r="H390" s="27" t="str">
        <f t="shared" si="13"/>
        <v>HOUSTON TX 77530</v>
      </c>
    </row>
    <row r="391" spans="1:8" x14ac:dyDescent="0.2">
      <c r="A391" s="27">
        <f>COUNTIFS(C:C,C391,D:D,D391)</f>
        <v>1</v>
      </c>
      <c r="B391" s="30">
        <v>202101151503</v>
      </c>
      <c r="C391" t="s">
        <v>3828</v>
      </c>
      <c r="D391" t="s">
        <v>3829</v>
      </c>
      <c r="E391" t="s">
        <v>4875</v>
      </c>
      <c r="F391" t="s">
        <v>182</v>
      </c>
      <c r="G391" s="27" t="str">
        <f t="shared" si="12"/>
        <v>10417 ALDINE WESTFIEL D RD HOUSTON</v>
      </c>
      <c r="H391" s="27" t="str">
        <f t="shared" si="13"/>
        <v>HOUSTON TX 77093</v>
      </c>
    </row>
    <row r="392" spans="1:8" x14ac:dyDescent="0.2">
      <c r="A392" s="27">
        <f>COUNTIFS(C:C,C392,D:D,D392)</f>
        <v>1</v>
      </c>
      <c r="B392" s="30">
        <v>202101151510</v>
      </c>
      <c r="C392" t="s">
        <v>3832</v>
      </c>
      <c r="D392" t="s">
        <v>3833</v>
      </c>
      <c r="E392" t="s">
        <v>4865</v>
      </c>
      <c r="F392" t="s">
        <v>218</v>
      </c>
      <c r="G392" s="27" t="str">
        <f t="shared" si="12"/>
        <v>12550 JFK 1402  HOUSTON</v>
      </c>
      <c r="H392" s="27" t="str">
        <f t="shared" si="13"/>
        <v xml:space="preserve">HOUSTON TX      </v>
      </c>
    </row>
    <row r="393" spans="1:8" x14ac:dyDescent="0.2">
      <c r="A393" s="27">
        <f>COUNTIFS(C:C,C393,D:D,D393)</f>
        <v>1</v>
      </c>
      <c r="B393" s="30">
        <v>202101151515</v>
      </c>
      <c r="C393" s="28" t="s">
        <v>1225</v>
      </c>
      <c r="D393" s="28" t="s">
        <v>1226</v>
      </c>
      <c r="E393" s="28" t="s">
        <v>4879</v>
      </c>
      <c r="F393" s="28" t="s">
        <v>238</v>
      </c>
      <c r="G393" s="27" t="str">
        <f t="shared" si="12"/>
        <v>3230 W LITTLE YORK R D HOUSTON</v>
      </c>
      <c r="H393" s="27" t="str">
        <f t="shared" si="13"/>
        <v>HOUSTON TX 77091</v>
      </c>
    </row>
    <row r="394" spans="1:8" x14ac:dyDescent="0.2">
      <c r="A394" s="27">
        <f>COUNTIFS(C:C,C394,D:D,D394)</f>
        <v>1</v>
      </c>
      <c r="B394" s="30">
        <v>202101151518</v>
      </c>
      <c r="C394" s="28" t="s">
        <v>740</v>
      </c>
      <c r="D394" s="28" t="s">
        <v>741</v>
      </c>
      <c r="E394" s="28" t="s">
        <v>4876</v>
      </c>
      <c r="F394" s="28" t="s">
        <v>58</v>
      </c>
      <c r="G394" s="27" t="str">
        <f t="shared" si="12"/>
        <v>14830 SCOTTER DR  HOUSTON</v>
      </c>
      <c r="H394" s="27" t="str">
        <f t="shared" si="13"/>
        <v>HOUSTON TX 77015</v>
      </c>
    </row>
    <row r="395" spans="1:8" x14ac:dyDescent="0.2">
      <c r="A395" s="27">
        <f>COUNTIFS(C:C,C395,D:D,D395)</f>
        <v>1</v>
      </c>
      <c r="B395" s="30">
        <v>202101151519</v>
      </c>
      <c r="C395" s="28" t="s">
        <v>1012</v>
      </c>
      <c r="D395" s="28" t="s">
        <v>1013</v>
      </c>
      <c r="E395" s="28" t="s">
        <v>4893</v>
      </c>
      <c r="F395" s="28" t="s">
        <v>296</v>
      </c>
      <c r="G395" s="27" t="str">
        <f t="shared" si="12"/>
        <v>2826 TIDEWATER  HOUSTON</v>
      </c>
      <c r="H395" s="27" t="str">
        <f t="shared" si="13"/>
        <v>HOUSTON TX 77045</v>
      </c>
    </row>
    <row r="396" spans="1:8" x14ac:dyDescent="0.2">
      <c r="A396" s="27">
        <f>COUNTIFS(C:C,C396,D:D,D396)</f>
        <v>1</v>
      </c>
      <c r="B396" s="30">
        <v>202101151521</v>
      </c>
      <c r="C396" s="28" t="s">
        <v>768</v>
      </c>
      <c r="D396" s="28" t="s">
        <v>769</v>
      </c>
      <c r="E396" s="28" t="s">
        <v>4944</v>
      </c>
      <c r="F396" s="28" t="s">
        <v>184</v>
      </c>
      <c r="G396" s="27" t="str">
        <f t="shared" si="12"/>
        <v>3930 HIDDEN GLEN DR  KINGWOOD</v>
      </c>
      <c r="H396" s="27" t="str">
        <f t="shared" si="13"/>
        <v>HOUSTON TX 77339</v>
      </c>
    </row>
    <row r="397" spans="1:8" x14ac:dyDescent="0.2">
      <c r="A397" s="27">
        <f>COUNTIFS(C:C,C397,D:D,D397)</f>
        <v>1</v>
      </c>
      <c r="B397" s="30">
        <v>202101151522</v>
      </c>
      <c r="C397" t="s">
        <v>2012</v>
      </c>
      <c r="D397" t="s">
        <v>2013</v>
      </c>
      <c r="E397" t="s">
        <v>4915</v>
      </c>
      <c r="F397" t="s">
        <v>254</v>
      </c>
      <c r="G397" s="27" t="str">
        <f t="shared" si="12"/>
        <v>3565 AMOS ST  HOUSTON</v>
      </c>
      <c r="H397" s="27" t="str">
        <f t="shared" si="13"/>
        <v>HOUSTON TX 77021</v>
      </c>
    </row>
    <row r="398" spans="1:8" x14ac:dyDescent="0.2">
      <c r="A398" s="27">
        <f>COUNTIFS(C:C,C398,D:D,D398)</f>
        <v>1</v>
      </c>
      <c r="B398" s="30">
        <v>202101151527</v>
      </c>
      <c r="C398" t="s">
        <v>2472</v>
      </c>
      <c r="D398" t="s">
        <v>2473</v>
      </c>
      <c r="E398" t="s">
        <v>5023</v>
      </c>
      <c r="F398" t="s">
        <v>200</v>
      </c>
      <c r="G398" s="27" t="str">
        <f t="shared" si="12"/>
        <v>2502 WESTERLAND DR  HOUSTON</v>
      </c>
      <c r="H398" s="27" t="str">
        <f t="shared" si="13"/>
        <v>HOUSTON TX 77063</v>
      </c>
    </row>
    <row r="399" spans="1:8" x14ac:dyDescent="0.2">
      <c r="A399" s="27">
        <f>COUNTIFS(C:C,C399,D:D,D399)</f>
        <v>1</v>
      </c>
      <c r="B399" s="30">
        <v>202101151529</v>
      </c>
      <c r="C399" t="s">
        <v>5220</v>
      </c>
      <c r="D399" t="s">
        <v>3811</v>
      </c>
      <c r="E399" t="s">
        <v>4952</v>
      </c>
      <c r="F399" t="s">
        <v>4838</v>
      </c>
      <c r="G399" s="27" t="str">
        <f t="shared" si="12"/>
        <v>2009 HARRIS AVE  PASADENA</v>
      </c>
      <c r="H399" s="27" t="str">
        <f t="shared" si="13"/>
        <v>HOUSTON TX 77506</v>
      </c>
    </row>
    <row r="400" spans="1:8" x14ac:dyDescent="0.2">
      <c r="A400" s="27">
        <f>COUNTIFS(C:C,C400,D:D,D400)</f>
        <v>1</v>
      </c>
      <c r="B400" s="30">
        <v>202101151533</v>
      </c>
      <c r="C400" s="28" t="s">
        <v>1223</v>
      </c>
      <c r="D400" s="28" t="s">
        <v>1224</v>
      </c>
      <c r="E400" s="28" t="s">
        <v>4931</v>
      </c>
      <c r="F400" s="28" t="s">
        <v>215</v>
      </c>
      <c r="G400" s="27" t="str">
        <f t="shared" si="12"/>
        <v>12231 TURCHIN DR  HOUSTON</v>
      </c>
      <c r="H400" s="27" t="str">
        <f t="shared" si="13"/>
        <v>HOUSTON TX 77014</v>
      </c>
    </row>
    <row r="401" spans="1:8" x14ac:dyDescent="0.2">
      <c r="A401" s="27">
        <f>COUNTIFS(C:C,C401,D:D,D401)</f>
        <v>1</v>
      </c>
      <c r="B401" s="30">
        <v>202101151534</v>
      </c>
      <c r="C401" t="s">
        <v>3838</v>
      </c>
      <c r="D401" t="s">
        <v>3839</v>
      </c>
      <c r="E401" t="s">
        <v>4890</v>
      </c>
      <c r="F401" t="s">
        <v>4839</v>
      </c>
      <c r="G401" s="27" t="str">
        <f t="shared" si="12"/>
        <v>7526 SANTA FE DR  HOUSTON</v>
      </c>
      <c r="H401" s="27" t="str">
        <f t="shared" si="13"/>
        <v>HOUSTON TX 77061</v>
      </c>
    </row>
    <row r="402" spans="1:8" x14ac:dyDescent="0.2">
      <c r="A402" s="27">
        <f>COUNTIFS(C:C,C402,D:D,D402)</f>
        <v>1</v>
      </c>
      <c r="B402" s="30">
        <v>202101151536</v>
      </c>
      <c r="C402" s="28" t="s">
        <v>1251</v>
      </c>
      <c r="D402" s="28" t="s">
        <v>618</v>
      </c>
      <c r="E402" s="28" t="s">
        <v>5019</v>
      </c>
      <c r="F402" s="28" t="s">
        <v>296</v>
      </c>
      <c r="G402" s="27" t="str">
        <f t="shared" si="12"/>
        <v>975 SHELDON RD  HOUSTON</v>
      </c>
      <c r="H402" s="27" t="str">
        <f t="shared" si="13"/>
        <v>HOUSTON TX 77530</v>
      </c>
    </row>
    <row r="403" spans="1:8" x14ac:dyDescent="0.2">
      <c r="A403" s="27">
        <f>COUNTIFS(C:C,C403,D:D,D403)</f>
        <v>1</v>
      </c>
      <c r="B403" s="30">
        <v>202101151537</v>
      </c>
      <c r="C403" t="s">
        <v>3842</v>
      </c>
      <c r="D403" t="s">
        <v>3843</v>
      </c>
      <c r="E403" t="s">
        <v>5143</v>
      </c>
      <c r="F403" t="s">
        <v>222</v>
      </c>
      <c r="G403" s="27" t="str">
        <f t="shared" si="12"/>
        <v>1903 LEXINGTON ST  HOUSTON</v>
      </c>
      <c r="H403" s="27" t="str">
        <f t="shared" si="13"/>
        <v>HOUSTON TX 77098</v>
      </c>
    </row>
    <row r="404" spans="1:8" x14ac:dyDescent="0.2">
      <c r="A404" s="27">
        <f>COUNTIFS(C:C,C404,D:D,D404)</f>
        <v>1</v>
      </c>
      <c r="B404" s="30">
        <v>202101151542</v>
      </c>
      <c r="C404" t="s">
        <v>3846</v>
      </c>
      <c r="D404" t="s">
        <v>3847</v>
      </c>
      <c r="E404" t="s">
        <v>4915</v>
      </c>
      <c r="F404" t="s">
        <v>209</v>
      </c>
      <c r="G404" s="27" t="str">
        <f t="shared" si="12"/>
        <v>4510 IDAHO ST  HOUSTON</v>
      </c>
      <c r="H404" s="27" t="str">
        <f t="shared" si="13"/>
        <v>HOUSTON TX 77021</v>
      </c>
    </row>
    <row r="405" spans="1:8" x14ac:dyDescent="0.2">
      <c r="A405" s="27">
        <f>COUNTIFS(C:C,C405,D:D,D405)</f>
        <v>1</v>
      </c>
      <c r="B405" s="30">
        <v>202101151547</v>
      </c>
      <c r="C405" s="28" t="s">
        <v>1157</v>
      </c>
      <c r="D405" s="28" t="s">
        <v>805</v>
      </c>
      <c r="E405" s="28" t="s">
        <v>4960</v>
      </c>
      <c r="F405" s="28" t="s">
        <v>214</v>
      </c>
      <c r="G405" s="27" t="str">
        <f t="shared" si="12"/>
        <v>702 N SAM HOUSTON P KWY E HOUSTON</v>
      </c>
      <c r="H405" s="27" t="str">
        <f t="shared" si="13"/>
        <v>HOUSTON TX 77060</v>
      </c>
    </row>
    <row r="406" spans="1:8" x14ac:dyDescent="0.2">
      <c r="A406" s="27">
        <f>COUNTIFS(C:C,C406,D:D,D406)</f>
        <v>1</v>
      </c>
      <c r="B406" s="30">
        <v>202101151549</v>
      </c>
      <c r="C406" s="28" t="s">
        <v>802</v>
      </c>
      <c r="D406" s="28" t="s">
        <v>803</v>
      </c>
      <c r="E406" s="28" t="s">
        <v>4959</v>
      </c>
      <c r="F406" s="28" t="s">
        <v>228</v>
      </c>
      <c r="G406" s="27" t="str">
        <f t="shared" si="12"/>
        <v>6734 DEER RIDGE LN  HARRIS CO</v>
      </c>
      <c r="H406" s="27" t="str">
        <f t="shared" si="13"/>
        <v>HOUSTON TX 77086</v>
      </c>
    </row>
    <row r="407" spans="1:8" x14ac:dyDescent="0.2">
      <c r="A407" s="27">
        <f>COUNTIFS(C:C,C407,D:D,D407)</f>
        <v>1</v>
      </c>
      <c r="B407" s="30">
        <v>202101151564</v>
      </c>
      <c r="C407" s="28" t="s">
        <v>1508</v>
      </c>
      <c r="D407" s="28" t="s">
        <v>1509</v>
      </c>
      <c r="E407" s="28" t="s">
        <v>4860</v>
      </c>
      <c r="F407" s="28" t="s">
        <v>193</v>
      </c>
      <c r="G407" s="27" t="str">
        <f t="shared" si="12"/>
        <v>401 PARK STREET  BAYTOWN</v>
      </c>
      <c r="H407" s="27" t="str">
        <f t="shared" si="13"/>
        <v>HOUSTON TX 77520</v>
      </c>
    </row>
    <row r="408" spans="1:8" x14ac:dyDescent="0.2">
      <c r="A408" s="27">
        <f>COUNTIFS(C:C,C408,D:D,D408)</f>
        <v>1</v>
      </c>
      <c r="B408" s="30">
        <v>202101151565</v>
      </c>
      <c r="C408" t="s">
        <v>3856</v>
      </c>
      <c r="D408" t="s">
        <v>3857</v>
      </c>
      <c r="E408" t="s">
        <v>4861</v>
      </c>
      <c r="F408" t="s">
        <v>188</v>
      </c>
      <c r="G408" s="27" t="str">
        <f t="shared" si="12"/>
        <v>4621 LARKSPUR ST  HOUSTON</v>
      </c>
      <c r="H408" s="27" t="str">
        <f t="shared" si="13"/>
        <v>HOUSTON TX 77051</v>
      </c>
    </row>
    <row r="409" spans="1:8" x14ac:dyDescent="0.2">
      <c r="A409" s="27">
        <f>COUNTIFS(C:C,C409,D:D,D409)</f>
        <v>1</v>
      </c>
      <c r="B409" s="30">
        <v>202101151566</v>
      </c>
      <c r="C409" t="s">
        <v>3858</v>
      </c>
      <c r="D409" t="s">
        <v>3859</v>
      </c>
      <c r="E409" t="s">
        <v>4874</v>
      </c>
      <c r="F409" t="s">
        <v>188</v>
      </c>
      <c r="G409" s="27" t="str">
        <f t="shared" si="12"/>
        <v>7402 CALHOUN RD 3  HOUSTON</v>
      </c>
      <c r="H409" s="27" t="str">
        <f t="shared" si="13"/>
        <v>HOUSTON TX 77033</v>
      </c>
    </row>
    <row r="410" spans="1:8" x14ac:dyDescent="0.2">
      <c r="A410" s="27">
        <f>COUNTIFS(C:C,C410,D:D,D410)</f>
        <v>1</v>
      </c>
      <c r="B410" s="30">
        <v>202101151567</v>
      </c>
      <c r="C410" t="s">
        <v>2536</v>
      </c>
      <c r="D410" t="s">
        <v>2537</v>
      </c>
      <c r="E410" t="s">
        <v>4860</v>
      </c>
      <c r="F410" t="s">
        <v>233</v>
      </c>
      <c r="G410" s="27" t="str">
        <f t="shared" si="12"/>
        <v>405 W HOMAN AVE  BAYTOWN</v>
      </c>
      <c r="H410" s="27" t="str">
        <f t="shared" si="13"/>
        <v>HOUSTON TX 77520</v>
      </c>
    </row>
    <row r="411" spans="1:8" x14ac:dyDescent="0.2">
      <c r="A411" s="27">
        <f>COUNTIFS(C:C,C411,D:D,D411)</f>
        <v>1</v>
      </c>
      <c r="B411" s="30">
        <v>202101151577</v>
      </c>
      <c r="C411" s="28" t="s">
        <v>583</v>
      </c>
      <c r="D411" s="28" t="s">
        <v>584</v>
      </c>
      <c r="E411" s="28" t="s">
        <v>4915</v>
      </c>
      <c r="F411" s="28" t="s">
        <v>203</v>
      </c>
      <c r="G411" s="27" t="str">
        <f t="shared" si="12"/>
        <v>4743 WINNETKA ST  HOUSTON</v>
      </c>
      <c r="H411" s="27" t="str">
        <f t="shared" si="13"/>
        <v>HOUSTON TX 77021</v>
      </c>
    </row>
    <row r="412" spans="1:8" x14ac:dyDescent="0.2">
      <c r="A412" s="27">
        <f>COUNTIFS(C:C,C412,D:D,D412)</f>
        <v>1</v>
      </c>
      <c r="B412" s="30">
        <v>202101151579</v>
      </c>
      <c r="C412" t="s">
        <v>2699</v>
      </c>
      <c r="D412" t="s">
        <v>2700</v>
      </c>
      <c r="E412" t="s">
        <v>5150</v>
      </c>
      <c r="F412" t="s">
        <v>241</v>
      </c>
      <c r="G412" s="27" t="str">
        <f t="shared" si="12"/>
        <v>4206 PANOLA DR  GALVESTON</v>
      </c>
      <c r="H412" s="27" t="str">
        <f t="shared" si="13"/>
        <v>HOUSTON TX 77386</v>
      </c>
    </row>
    <row r="413" spans="1:8" x14ac:dyDescent="0.2">
      <c r="A413" s="27">
        <f>COUNTIFS(C:C,C413,D:D,D413)</f>
        <v>1</v>
      </c>
      <c r="B413" s="30">
        <v>202101151582</v>
      </c>
      <c r="C413" s="28" t="s">
        <v>1094</v>
      </c>
      <c r="D413" s="28" t="s">
        <v>1095</v>
      </c>
      <c r="E413" s="28" t="s">
        <v>4860</v>
      </c>
      <c r="F413" s="28" t="s">
        <v>184</v>
      </c>
      <c r="G413" s="27" t="str">
        <f t="shared" si="12"/>
        <v>701 ALVA  BAYTOWN</v>
      </c>
      <c r="H413" s="27" t="str">
        <f t="shared" si="13"/>
        <v>HOUSTON TX 77520</v>
      </c>
    </row>
    <row r="414" spans="1:8" x14ac:dyDescent="0.2">
      <c r="A414" s="27">
        <f>COUNTIFS(C:C,C414,D:D,D414)</f>
        <v>1</v>
      </c>
      <c r="B414" s="30">
        <v>202101151585</v>
      </c>
      <c r="C414" s="28" t="s">
        <v>1823</v>
      </c>
      <c r="D414" s="28" t="s">
        <v>1824</v>
      </c>
      <c r="E414" s="28" t="s">
        <v>4984</v>
      </c>
      <c r="F414" s="28" t="s">
        <v>4798</v>
      </c>
      <c r="G414" s="27" t="str">
        <f t="shared" si="12"/>
        <v>22117 DIANE DR  SPRING</v>
      </c>
      <c r="H414" s="27" t="str">
        <f t="shared" si="13"/>
        <v>HOUSTON TX 77373</v>
      </c>
    </row>
    <row r="415" spans="1:8" x14ac:dyDescent="0.2">
      <c r="A415" s="27">
        <f>COUNTIFS(C:C,C415,D:D,D415)</f>
        <v>1</v>
      </c>
      <c r="B415" s="30">
        <v>202101151586</v>
      </c>
      <c r="C415" t="s">
        <v>2165</v>
      </c>
      <c r="D415" t="s">
        <v>2166</v>
      </c>
      <c r="E415" t="s">
        <v>5106</v>
      </c>
      <c r="F415" t="s">
        <v>192</v>
      </c>
      <c r="G415" s="27" t="str">
        <f t="shared" si="12"/>
        <v>3442 CARBERNET SHORE S DR FULSHER</v>
      </c>
      <c r="H415" s="27" t="str">
        <f t="shared" si="13"/>
        <v>HOUSTON TX 77042</v>
      </c>
    </row>
    <row r="416" spans="1:8" x14ac:dyDescent="0.2">
      <c r="A416" s="27">
        <f>COUNTIFS(C:C,C416,D:D,D416)</f>
        <v>1</v>
      </c>
      <c r="B416" s="30">
        <v>202101151595</v>
      </c>
      <c r="C416" t="s">
        <v>2914</v>
      </c>
      <c r="D416" t="s">
        <v>2915</v>
      </c>
      <c r="E416" t="s">
        <v>4984</v>
      </c>
      <c r="F416" t="s">
        <v>182</v>
      </c>
      <c r="G416" s="27" t="str">
        <f t="shared" si="12"/>
        <v>25415 LYNBRIAR  SPRING</v>
      </c>
      <c r="H416" s="27" t="str">
        <f t="shared" si="13"/>
        <v>HOUSTON TX 77373</v>
      </c>
    </row>
    <row r="417" spans="1:8" x14ac:dyDescent="0.2">
      <c r="A417" s="27">
        <f>COUNTIFS(C:C,C417,D:D,D417)</f>
        <v>1</v>
      </c>
      <c r="B417" s="30">
        <v>202101151601</v>
      </c>
      <c r="C417" t="s">
        <v>3864</v>
      </c>
      <c r="D417" t="s">
        <v>3865</v>
      </c>
      <c r="E417" t="s">
        <v>4982</v>
      </c>
      <c r="F417" t="s">
        <v>198</v>
      </c>
      <c r="G417" s="27" t="str">
        <f t="shared" si="12"/>
        <v>201 PLAZA VERDE DRI VE HOUSTON</v>
      </c>
      <c r="H417" s="27" t="str">
        <f t="shared" si="13"/>
        <v>HOUSTON TX 77038</v>
      </c>
    </row>
    <row r="418" spans="1:8" x14ac:dyDescent="0.2">
      <c r="A418" s="27">
        <f>COUNTIFS(C:C,C418,D:D,D418)</f>
        <v>1</v>
      </c>
      <c r="B418" s="30">
        <v>202101151605</v>
      </c>
      <c r="C418" s="28" t="s">
        <v>896</v>
      </c>
      <c r="D418" s="28" t="s">
        <v>897</v>
      </c>
      <c r="E418" s="28" t="s">
        <v>4976</v>
      </c>
      <c r="F418" s="28" t="s">
        <v>182</v>
      </c>
      <c r="G418" s="27" t="str">
        <f t="shared" si="12"/>
        <v>2501 JULIE ST  PEARLAND</v>
      </c>
      <c r="H418" s="27" t="str">
        <f t="shared" si="13"/>
        <v xml:space="preserve">HOUSTON TX      </v>
      </c>
    </row>
    <row r="419" spans="1:8" x14ac:dyDescent="0.2">
      <c r="A419" s="27">
        <f>COUNTIFS(C:C,C419,D:D,D419)</f>
        <v>1</v>
      </c>
      <c r="B419" s="30">
        <v>202101151606</v>
      </c>
      <c r="C419" s="28" t="s">
        <v>1318</v>
      </c>
      <c r="D419" s="28" t="s">
        <v>1319</v>
      </c>
      <c r="E419" s="28" t="s">
        <v>4876</v>
      </c>
      <c r="F419" s="28" t="s">
        <v>187</v>
      </c>
      <c r="G419" s="27" t="str">
        <f t="shared" si="12"/>
        <v>614 FRANKIE ST  HOUSTON</v>
      </c>
      <c r="H419" s="27" t="str">
        <f t="shared" si="13"/>
        <v>HOUSTON TX 77015</v>
      </c>
    </row>
    <row r="420" spans="1:8" x14ac:dyDescent="0.2">
      <c r="A420" s="27">
        <f>COUNTIFS(C:C,C420,D:D,D420)</f>
        <v>1</v>
      </c>
      <c r="B420" s="30">
        <v>202101151610</v>
      </c>
      <c r="C420" s="28" t="s">
        <v>1084</v>
      </c>
      <c r="D420" s="28" t="s">
        <v>1085</v>
      </c>
      <c r="E420" s="28" t="s">
        <v>4878</v>
      </c>
      <c r="F420" s="28" t="s">
        <v>189</v>
      </c>
      <c r="G420" s="27" t="str">
        <f t="shared" si="12"/>
        <v>11111 ROCKFORD RD  HOUSTON</v>
      </c>
      <c r="H420" s="27" t="str">
        <f t="shared" si="13"/>
        <v>HOUSTON TX 77048</v>
      </c>
    </row>
    <row r="421" spans="1:8" x14ac:dyDescent="0.2">
      <c r="A421" s="27">
        <f>COUNTIFS(C:C,C421,D:D,D421)</f>
        <v>1</v>
      </c>
      <c r="B421" s="30">
        <v>202101151611</v>
      </c>
      <c r="C421" t="s">
        <v>3866</v>
      </c>
      <c r="D421" t="s">
        <v>3867</v>
      </c>
      <c r="E421" t="s">
        <v>5137</v>
      </c>
      <c r="F421" t="s">
        <v>194</v>
      </c>
      <c r="G421" s="27" t="str">
        <f t="shared" si="12"/>
        <v>5151 HIDALGO ST 261  HOUSTON</v>
      </c>
      <c r="H421" s="27" t="str">
        <f t="shared" si="13"/>
        <v>HOUSTON TX 77056</v>
      </c>
    </row>
    <row r="422" spans="1:8" x14ac:dyDescent="0.2">
      <c r="A422" s="27">
        <f>COUNTIFS(C:C,C422,D:D,D422)</f>
        <v>1</v>
      </c>
      <c r="B422" s="30">
        <v>202101151613</v>
      </c>
      <c r="C422" s="28" t="s">
        <v>1623</v>
      </c>
      <c r="D422" s="28" t="s">
        <v>1624</v>
      </c>
      <c r="E422" s="28" t="s">
        <v>4991</v>
      </c>
      <c r="F422" s="28" t="s">
        <v>4790</v>
      </c>
      <c r="G422" s="27" t="str">
        <f t="shared" si="12"/>
        <v>3045 WALNUT BEND LN  HOUSTON</v>
      </c>
      <c r="H422" s="27" t="str">
        <f t="shared" si="13"/>
        <v>HOUSTON TX 77042</v>
      </c>
    </row>
    <row r="423" spans="1:8" x14ac:dyDescent="0.2">
      <c r="A423" s="27">
        <f>COUNTIFS(C:C,C423,D:D,D423)</f>
        <v>1</v>
      </c>
      <c r="B423" s="30">
        <v>202101151614</v>
      </c>
      <c r="C423" t="s">
        <v>2014</v>
      </c>
      <c r="D423" t="s">
        <v>2015</v>
      </c>
      <c r="E423" t="s">
        <v>4895</v>
      </c>
      <c r="F423" t="s">
        <v>187</v>
      </c>
      <c r="G423" s="27" t="str">
        <f t="shared" si="12"/>
        <v>535 NORTH MILBY STR EET HOUSTON</v>
      </c>
      <c r="H423" s="27" t="str">
        <f t="shared" si="13"/>
        <v>HOUSTON TX 77003</v>
      </c>
    </row>
    <row r="424" spans="1:8" x14ac:dyDescent="0.2">
      <c r="A424" s="27">
        <f>COUNTIFS(C:C,C424,D:D,D424)</f>
        <v>1</v>
      </c>
      <c r="B424" s="30">
        <v>202101151617</v>
      </c>
      <c r="C424" t="s">
        <v>3246</v>
      </c>
      <c r="D424" t="s">
        <v>3247</v>
      </c>
      <c r="E424" t="s">
        <v>4889</v>
      </c>
      <c r="F424" t="s">
        <v>202</v>
      </c>
      <c r="G424" s="27" t="str">
        <f t="shared" si="12"/>
        <v>12010 KUYKENDAHL RD  HOUSTON</v>
      </c>
      <c r="H424" s="27" t="str">
        <f t="shared" si="13"/>
        <v>HOUSTON TX 77067</v>
      </c>
    </row>
    <row r="425" spans="1:8" x14ac:dyDescent="0.2">
      <c r="A425" s="27">
        <f>COUNTIFS(C:C,C425,D:D,D425)</f>
        <v>1</v>
      </c>
      <c r="B425" s="30">
        <v>202101151618</v>
      </c>
      <c r="C425" t="s">
        <v>3357</v>
      </c>
      <c r="D425" t="s">
        <v>3358</v>
      </c>
      <c r="E425" t="s">
        <v>5157</v>
      </c>
      <c r="F425" t="s">
        <v>261</v>
      </c>
      <c r="G425" s="27" t="str">
        <f t="shared" si="12"/>
        <v>11954 LONGLEAF LN  HOUSTON</v>
      </c>
      <c r="H425" s="27" t="str">
        <f t="shared" si="13"/>
        <v>HOUSTON TX 77024</v>
      </c>
    </row>
    <row r="426" spans="1:8" x14ac:dyDescent="0.2">
      <c r="A426" s="27">
        <f>COUNTIFS(C:C,C426,D:D,D426)</f>
        <v>1</v>
      </c>
      <c r="B426" s="30">
        <v>202101151623</v>
      </c>
      <c r="C426" s="28" t="s">
        <v>730</v>
      </c>
      <c r="D426" s="28" t="s">
        <v>731</v>
      </c>
      <c r="E426" s="28" t="s">
        <v>4944</v>
      </c>
      <c r="F426" s="28" t="s">
        <v>189</v>
      </c>
      <c r="G426" s="27" t="str">
        <f t="shared" ref="G426:G489" si="14">D426&amp;" "&amp;MID(E426,1,FIND(" TX",E426)-1)</f>
        <v>200 KELLINGTON  KINGWOOD</v>
      </c>
      <c r="H426" s="27" t="str">
        <f t="shared" ref="H426:H489" si="15">"HOUSTON "&amp;MID(E426,FIND("TX",E426),8)</f>
        <v>HOUSTON TX 77339</v>
      </c>
    </row>
    <row r="427" spans="1:8" x14ac:dyDescent="0.2">
      <c r="A427" s="27">
        <f>COUNTIFS(C:C,C427,D:D,D427)</f>
        <v>1</v>
      </c>
      <c r="B427" s="30">
        <v>202101151624</v>
      </c>
      <c r="C427" s="28" t="s">
        <v>1482</v>
      </c>
      <c r="D427" s="28" t="s">
        <v>1483</v>
      </c>
      <c r="E427" s="28" t="s">
        <v>4936</v>
      </c>
      <c r="F427" s="28" t="s">
        <v>309</v>
      </c>
      <c r="G427" s="27" t="str">
        <f t="shared" si="14"/>
        <v>7809 W BELLFORT  HOUSTON</v>
      </c>
      <c r="H427" s="27" t="str">
        <f t="shared" si="15"/>
        <v>HOUSTON TX 77071</v>
      </c>
    </row>
    <row r="428" spans="1:8" x14ac:dyDescent="0.2">
      <c r="A428" s="27">
        <f>COUNTIFS(C:C,C428,D:D,D428)</f>
        <v>1</v>
      </c>
      <c r="B428" s="30">
        <v>202101151631</v>
      </c>
      <c r="C428" t="s">
        <v>3201</v>
      </c>
      <c r="D428" t="s">
        <v>1749</v>
      </c>
      <c r="E428" t="s">
        <v>4931</v>
      </c>
      <c r="F428" t="s">
        <v>4826</v>
      </c>
      <c r="G428" s="27" t="str">
        <f t="shared" si="14"/>
        <v>13100 STONEFIELD DR  HOUSTON</v>
      </c>
      <c r="H428" s="27" t="str">
        <f t="shared" si="15"/>
        <v>HOUSTON TX 77014</v>
      </c>
    </row>
    <row r="429" spans="1:8" x14ac:dyDescent="0.2">
      <c r="A429" s="27">
        <f>COUNTIFS(C:C,C429,D:D,D429)</f>
        <v>1</v>
      </c>
      <c r="B429" s="30">
        <v>202101151633</v>
      </c>
      <c r="C429" s="28" t="s">
        <v>1589</v>
      </c>
      <c r="D429" s="28" t="s">
        <v>1590</v>
      </c>
      <c r="E429" s="28" t="s">
        <v>4984</v>
      </c>
      <c r="F429" s="28" t="s">
        <v>233</v>
      </c>
      <c r="G429" s="27" t="str">
        <f t="shared" si="14"/>
        <v>2347 LOYANNE DR  SPRING</v>
      </c>
      <c r="H429" s="27" t="str">
        <f t="shared" si="15"/>
        <v>HOUSTON TX 77373</v>
      </c>
    </row>
    <row r="430" spans="1:8" x14ac:dyDescent="0.2">
      <c r="A430" s="27">
        <f>COUNTIFS(C:C,C430,D:D,D430)</f>
        <v>1</v>
      </c>
      <c r="B430" s="30">
        <v>202101151635</v>
      </c>
      <c r="C430" t="s">
        <v>3412</v>
      </c>
      <c r="D430" t="s">
        <v>3121</v>
      </c>
      <c r="E430" t="s">
        <v>4886</v>
      </c>
      <c r="F430" t="s">
        <v>193</v>
      </c>
      <c r="G430" s="27" t="str">
        <f t="shared" si="14"/>
        <v>12600 DUNLAP ST  HOUSTON</v>
      </c>
      <c r="H430" s="27" t="str">
        <f t="shared" si="15"/>
        <v>HOUSTON TX 77035</v>
      </c>
    </row>
    <row r="431" spans="1:8" x14ac:dyDescent="0.2">
      <c r="A431" s="27">
        <f>COUNTIFS(C:C,C431,D:D,D431)</f>
        <v>1</v>
      </c>
      <c r="B431" s="30">
        <v>202101151636</v>
      </c>
      <c r="C431" s="28" t="s">
        <v>720</v>
      </c>
      <c r="D431" s="28" t="s">
        <v>721</v>
      </c>
      <c r="E431" s="28" t="s">
        <v>4852</v>
      </c>
      <c r="F431" s="28" t="s">
        <v>189</v>
      </c>
      <c r="G431" s="27" t="str">
        <f t="shared" si="14"/>
        <v>9603 HOMESTEAD APT 4 4D HOUSTON</v>
      </c>
      <c r="H431" s="27" t="str">
        <f t="shared" si="15"/>
        <v>HOUSTON TX 77016</v>
      </c>
    </row>
    <row r="432" spans="1:8" x14ac:dyDescent="0.2">
      <c r="A432" s="27">
        <f>COUNTIFS(C:C,C432,D:D,D432)</f>
        <v>1</v>
      </c>
      <c r="B432" s="30">
        <v>202101151640</v>
      </c>
      <c r="C432" t="s">
        <v>2093</v>
      </c>
      <c r="D432" t="s">
        <v>2094</v>
      </c>
      <c r="E432" t="s">
        <v>4889</v>
      </c>
      <c r="F432" t="s">
        <v>182</v>
      </c>
      <c r="G432" s="27" t="str">
        <f t="shared" si="14"/>
        <v>1415 GREENS PKWY 20  HOUSTON</v>
      </c>
      <c r="H432" s="27" t="str">
        <f t="shared" si="15"/>
        <v>HOUSTON TX 77067</v>
      </c>
    </row>
    <row r="433" spans="1:8" x14ac:dyDescent="0.2">
      <c r="A433" s="27">
        <f>COUNTIFS(C:C,C433,D:D,D433)</f>
        <v>1</v>
      </c>
      <c r="B433" s="30">
        <v>202101151642</v>
      </c>
      <c r="C433" s="28" t="s">
        <v>974</v>
      </c>
      <c r="D433" s="28" t="s">
        <v>975</v>
      </c>
      <c r="E433" s="28" t="s">
        <v>4879</v>
      </c>
      <c r="F433" s="28" t="s">
        <v>213</v>
      </c>
      <c r="G433" s="27" t="str">
        <f t="shared" si="14"/>
        <v>4514 FALLEN OAKS DR  HOUSTON</v>
      </c>
      <c r="H433" s="27" t="str">
        <f t="shared" si="15"/>
        <v>HOUSTON TX 77091</v>
      </c>
    </row>
    <row r="434" spans="1:8" x14ac:dyDescent="0.2">
      <c r="A434" s="27">
        <f>COUNTIFS(C:C,C434,D:D,D434)</f>
        <v>1</v>
      </c>
      <c r="B434" s="30">
        <v>202101151643</v>
      </c>
      <c r="C434" s="28" t="s">
        <v>605</v>
      </c>
      <c r="D434" s="28" t="s">
        <v>606</v>
      </c>
      <c r="E434" s="28" t="s">
        <v>4864</v>
      </c>
      <c r="F434" s="28" t="s">
        <v>202</v>
      </c>
      <c r="G434" s="27" t="str">
        <f t="shared" si="14"/>
        <v>7209 HERSHE  HOUSTON</v>
      </c>
      <c r="H434" s="27" t="str">
        <f t="shared" si="15"/>
        <v>HOUSTON TX 77020</v>
      </c>
    </row>
    <row r="435" spans="1:8" x14ac:dyDescent="0.2">
      <c r="A435" s="27">
        <f>COUNTIFS(C:C,C435,D:D,D435)</f>
        <v>1</v>
      </c>
      <c r="B435" s="30">
        <v>202101151648</v>
      </c>
      <c r="C435" t="s">
        <v>3359</v>
      </c>
      <c r="D435" t="s">
        <v>3360</v>
      </c>
      <c r="E435" t="s">
        <v>4936</v>
      </c>
      <c r="F435" t="s">
        <v>198</v>
      </c>
      <c r="G435" s="27" t="str">
        <f t="shared" si="14"/>
        <v>10101 S GESSNER RD AP T 307 HOUSTON</v>
      </c>
      <c r="H435" s="27" t="str">
        <f t="shared" si="15"/>
        <v>HOUSTON TX 77071</v>
      </c>
    </row>
    <row r="436" spans="1:8" x14ac:dyDescent="0.2">
      <c r="A436" s="27">
        <f>COUNTIFS(C:C,C436,D:D,D436)</f>
        <v>1</v>
      </c>
      <c r="B436" s="30">
        <v>202101151651</v>
      </c>
      <c r="C436" s="28" t="s">
        <v>1575</v>
      </c>
      <c r="D436" s="28" t="s">
        <v>1576</v>
      </c>
      <c r="E436" s="28" t="s">
        <v>4934</v>
      </c>
      <c r="F436" s="28" t="s">
        <v>192</v>
      </c>
      <c r="G436" s="27" t="str">
        <f t="shared" si="14"/>
        <v>6631 AVENUE P  HOUSTON</v>
      </c>
      <c r="H436" s="27" t="str">
        <f t="shared" si="15"/>
        <v>HOUSTON TX 77011</v>
      </c>
    </row>
    <row r="437" spans="1:8" x14ac:dyDescent="0.2">
      <c r="A437" s="27">
        <f>COUNTIFS(C:C,C437,D:D,D437)</f>
        <v>1</v>
      </c>
      <c r="B437" s="30">
        <v>202101151658</v>
      </c>
      <c r="C437" t="s">
        <v>3876</v>
      </c>
      <c r="D437" t="s">
        <v>3877</v>
      </c>
      <c r="E437" t="s">
        <v>5080</v>
      </c>
      <c r="F437" t="s">
        <v>376</v>
      </c>
      <c r="G437" s="27" t="str">
        <f t="shared" si="14"/>
        <v>10580 HAMMERLY BLVD  HOUSTON</v>
      </c>
      <c r="H437" s="27" t="str">
        <f t="shared" si="15"/>
        <v>HOUSTON TX 77043</v>
      </c>
    </row>
    <row r="438" spans="1:8" x14ac:dyDescent="0.2">
      <c r="A438" s="27">
        <f>COUNTIFS(C:C,C438,D:D,D438)</f>
        <v>1</v>
      </c>
      <c r="B438" s="30">
        <v>202101151660</v>
      </c>
      <c r="C438" s="28" t="s">
        <v>1360</v>
      </c>
      <c r="D438" s="28" t="s">
        <v>1361</v>
      </c>
      <c r="E438" s="28" t="s">
        <v>4931</v>
      </c>
      <c r="F438" s="28" t="s">
        <v>203</v>
      </c>
      <c r="G438" s="27" t="str">
        <f t="shared" si="14"/>
        <v>14330 TORREY VISTA DR  HOUSTON</v>
      </c>
      <c r="H438" s="27" t="str">
        <f t="shared" si="15"/>
        <v>HOUSTON TX 77014</v>
      </c>
    </row>
    <row r="439" spans="1:8" x14ac:dyDescent="0.2">
      <c r="A439" s="27">
        <f>COUNTIFS(C:C,C439,D:D,D439)</f>
        <v>1</v>
      </c>
      <c r="B439" s="30">
        <v>202101151664</v>
      </c>
      <c r="C439" s="28" t="s">
        <v>1078</v>
      </c>
      <c r="D439" s="28" t="s">
        <v>1079</v>
      </c>
      <c r="E439" s="28" t="s">
        <v>5001</v>
      </c>
      <c r="F439" s="28" t="s">
        <v>182</v>
      </c>
      <c r="G439" s="27" t="str">
        <f t="shared" si="14"/>
        <v>875 UNION STATION P KWY APT 15 LEWISVILLE</v>
      </c>
      <c r="H439" s="27" t="str">
        <f t="shared" si="15"/>
        <v>HOUSTON TX 75057</v>
      </c>
    </row>
    <row r="440" spans="1:8" x14ac:dyDescent="0.2">
      <c r="A440" s="27">
        <f>COUNTIFS(C:C,C440,D:D,D440)</f>
        <v>1</v>
      </c>
      <c r="B440" s="30">
        <v>202101151667</v>
      </c>
      <c r="C440" s="28" t="s">
        <v>1567</v>
      </c>
      <c r="D440" s="28" t="s">
        <v>1568</v>
      </c>
      <c r="E440" s="28" t="s">
        <v>4935</v>
      </c>
      <c r="F440" s="28" t="s">
        <v>189</v>
      </c>
      <c r="G440" s="27" t="str">
        <f t="shared" si="14"/>
        <v>2350 ATASCOCITA ROAD  HUMBLE</v>
      </c>
      <c r="H440" s="27" t="str">
        <f t="shared" si="15"/>
        <v>HOUSTON TX 77396</v>
      </c>
    </row>
    <row r="441" spans="1:8" x14ac:dyDescent="0.2">
      <c r="A441" s="27">
        <f>COUNTIFS(C:C,C441,D:D,D441)</f>
        <v>1</v>
      </c>
      <c r="B441" s="30">
        <v>202101151668</v>
      </c>
      <c r="C441" t="s">
        <v>3878</v>
      </c>
      <c r="D441" t="s">
        <v>3879</v>
      </c>
      <c r="E441" t="s">
        <v>4931</v>
      </c>
      <c r="F441" t="s">
        <v>185</v>
      </c>
      <c r="G441" s="27" t="str">
        <f t="shared" si="14"/>
        <v>13875 ELLA BLVD  HOUSTON</v>
      </c>
      <c r="H441" s="27" t="str">
        <f t="shared" si="15"/>
        <v>HOUSTON TX 77014</v>
      </c>
    </row>
    <row r="442" spans="1:8" x14ac:dyDescent="0.2">
      <c r="A442" s="27">
        <f>COUNTIFS(C:C,C442,D:D,D442)</f>
        <v>1</v>
      </c>
      <c r="B442" s="30">
        <v>202101151673</v>
      </c>
      <c r="C442" s="28" t="s">
        <v>1731</v>
      </c>
      <c r="D442" s="28" t="s">
        <v>1732</v>
      </c>
      <c r="E442" s="28" t="s">
        <v>4909</v>
      </c>
      <c r="F442" s="28" t="s">
        <v>203</v>
      </c>
      <c r="G442" s="27" t="str">
        <f t="shared" si="14"/>
        <v>4611 CROKER RIDGE RD  HOUSTON</v>
      </c>
      <c r="H442" s="27" t="str">
        <f t="shared" si="15"/>
        <v>HOUSTON TX 77053</v>
      </c>
    </row>
    <row r="443" spans="1:8" x14ac:dyDescent="0.2">
      <c r="A443" s="27">
        <f>COUNTIFS(C:C,C443,D:D,D443)</f>
        <v>1</v>
      </c>
      <c r="B443" s="30">
        <v>202101151675</v>
      </c>
      <c r="C443" s="28" t="s">
        <v>1199</v>
      </c>
      <c r="D443" s="28" t="s">
        <v>1200</v>
      </c>
      <c r="E443" s="28" t="s">
        <v>4991</v>
      </c>
      <c r="F443" s="28" t="s">
        <v>4780</v>
      </c>
      <c r="G443" s="27" t="str">
        <f t="shared" si="14"/>
        <v>201 WILCREST DR APT 836 HOUSTON</v>
      </c>
      <c r="H443" s="27" t="str">
        <f t="shared" si="15"/>
        <v>HOUSTON TX 77042</v>
      </c>
    </row>
    <row r="444" spans="1:8" x14ac:dyDescent="0.2">
      <c r="A444" s="27">
        <f>COUNTIFS(C:C,C444,D:D,D444)</f>
        <v>1</v>
      </c>
      <c r="B444" s="30">
        <v>202101151676</v>
      </c>
      <c r="C444" s="28" t="s">
        <v>1736</v>
      </c>
      <c r="D444" s="28" t="s">
        <v>1737</v>
      </c>
      <c r="E444" s="28" t="s">
        <v>4865</v>
      </c>
      <c r="F444" s="28" t="s">
        <v>182</v>
      </c>
      <c r="G444" s="27" t="str">
        <f t="shared" si="14"/>
        <v>7700 BLALOCK  HOUSTON</v>
      </c>
      <c r="H444" s="27" t="str">
        <f t="shared" si="15"/>
        <v xml:space="preserve">HOUSTON TX      </v>
      </c>
    </row>
    <row r="445" spans="1:8" x14ac:dyDescent="0.2">
      <c r="A445" s="27">
        <f>COUNTIFS(C:C,C445,D:D,D445)</f>
        <v>1</v>
      </c>
      <c r="B445" s="30">
        <v>202101151678</v>
      </c>
      <c r="C445" s="28" t="s">
        <v>722</v>
      </c>
      <c r="D445" s="28" t="s">
        <v>723</v>
      </c>
      <c r="E445" s="28" t="s">
        <v>4854</v>
      </c>
      <c r="F445" s="28" t="s">
        <v>320</v>
      </c>
      <c r="G445" s="27" t="str">
        <f t="shared" si="14"/>
        <v>4514 WIPPRECHT ST.  HOUSTON</v>
      </c>
      <c r="H445" s="27" t="str">
        <f t="shared" si="15"/>
        <v>HOUSTON TX 77026</v>
      </c>
    </row>
    <row r="446" spans="1:8" x14ac:dyDescent="0.2">
      <c r="A446" s="27">
        <f>COUNTIFS(C:C,C446,D:D,D446)</f>
        <v>1</v>
      </c>
      <c r="B446" s="30">
        <v>202101151679</v>
      </c>
      <c r="C446" t="s">
        <v>2534</v>
      </c>
      <c r="D446" t="s">
        <v>2535</v>
      </c>
      <c r="E446" t="s">
        <v>4888</v>
      </c>
      <c r="F446" t="s">
        <v>182</v>
      </c>
      <c r="G446" s="27" t="str">
        <f t="shared" si="14"/>
        <v>1640 DECKER ST  CONROE</v>
      </c>
      <c r="H446" s="27" t="str">
        <f t="shared" si="15"/>
        <v>HOUSTON TX 77301</v>
      </c>
    </row>
    <row r="447" spans="1:8" x14ac:dyDescent="0.2">
      <c r="A447" s="27">
        <f>COUNTIFS(C:C,C447,D:D,D447)</f>
        <v>1</v>
      </c>
      <c r="B447" s="30">
        <v>202101151683</v>
      </c>
      <c r="C447" s="28" t="s">
        <v>1432</v>
      </c>
      <c r="D447" s="28" t="s">
        <v>1433</v>
      </c>
      <c r="E447" s="28" t="s">
        <v>4880</v>
      </c>
      <c r="F447" s="28" t="s">
        <v>182</v>
      </c>
      <c r="G447" s="27" t="str">
        <f t="shared" si="14"/>
        <v>3008 SOUTHMORE BLVD  HOUSTON</v>
      </c>
      <c r="H447" s="27" t="str">
        <f t="shared" si="15"/>
        <v>HOUSTON TX 77004</v>
      </c>
    </row>
    <row r="448" spans="1:8" x14ac:dyDescent="0.2">
      <c r="A448" s="27">
        <f>COUNTIFS(C:C,C448,D:D,D448)</f>
        <v>1</v>
      </c>
      <c r="B448" s="30">
        <v>202101151684</v>
      </c>
      <c r="C448" t="s">
        <v>2290</v>
      </c>
      <c r="D448" t="s">
        <v>2291</v>
      </c>
      <c r="E448" t="s">
        <v>5122</v>
      </c>
      <c r="F448" t="s">
        <v>340</v>
      </c>
      <c r="G448" s="27" t="str">
        <f t="shared" si="14"/>
        <v>20403 GREENMONT DR  GUY</v>
      </c>
      <c r="H448" s="27" t="str">
        <f t="shared" si="15"/>
        <v>HOUSTON TX 77444</v>
      </c>
    </row>
    <row r="449" spans="1:8" x14ac:dyDescent="0.2">
      <c r="A449" s="27">
        <f>COUNTIFS(C:C,C449,D:D,D449)</f>
        <v>1</v>
      </c>
      <c r="B449" s="30">
        <v>202101151686</v>
      </c>
      <c r="C449" s="28" t="s">
        <v>849</v>
      </c>
      <c r="D449" s="28" t="s">
        <v>850</v>
      </c>
      <c r="E449" s="28" t="s">
        <v>4889</v>
      </c>
      <c r="F449" s="28" t="s">
        <v>182</v>
      </c>
      <c r="G449" s="27" t="str">
        <f t="shared" si="14"/>
        <v>11201 VETERANS MEMORI AL DR HOUSTON</v>
      </c>
      <c r="H449" s="27" t="str">
        <f t="shared" si="15"/>
        <v>HOUSTON TX 77067</v>
      </c>
    </row>
    <row r="450" spans="1:8" x14ac:dyDescent="0.2">
      <c r="A450" s="27">
        <f>COUNTIFS(C:C,C450,D:D,D450)</f>
        <v>1</v>
      </c>
      <c r="B450" s="30">
        <v>202101151689</v>
      </c>
      <c r="C450" t="s">
        <v>2735</v>
      </c>
      <c r="D450" t="s">
        <v>2736</v>
      </c>
      <c r="E450" t="s">
        <v>4899</v>
      </c>
      <c r="F450" t="s">
        <v>182</v>
      </c>
      <c r="G450" s="27" t="str">
        <f t="shared" si="14"/>
        <v>7642 CRISP WOOD LN  HOUSTON</v>
      </c>
      <c r="H450" s="27" t="str">
        <f t="shared" si="15"/>
        <v>HOUSTON TX 77086</v>
      </c>
    </row>
    <row r="451" spans="1:8" x14ac:dyDescent="0.2">
      <c r="A451" s="27">
        <f>COUNTIFS(C:C,C451,D:D,D451)</f>
        <v>1</v>
      </c>
      <c r="B451" s="30">
        <v>202101151690</v>
      </c>
      <c r="C451" s="28" t="s">
        <v>1125</v>
      </c>
      <c r="D451" s="28" t="s">
        <v>1126</v>
      </c>
      <c r="E451" s="28" t="s">
        <v>4977</v>
      </c>
      <c r="F451" s="28" t="s">
        <v>182</v>
      </c>
      <c r="G451" s="27" t="str">
        <f t="shared" si="14"/>
        <v>6121 WINSOME LN  HOUSTON</v>
      </c>
      <c r="H451" s="27" t="str">
        <f t="shared" si="15"/>
        <v>HOUSTON TX 77057</v>
      </c>
    </row>
    <row r="452" spans="1:8" x14ac:dyDescent="0.2">
      <c r="A452" s="27">
        <f>COUNTIFS(C:C,C452,D:D,D452)</f>
        <v>1</v>
      </c>
      <c r="B452" s="30">
        <v>202101151691</v>
      </c>
      <c r="C452" t="s">
        <v>2388</v>
      </c>
      <c r="D452" t="s">
        <v>2389</v>
      </c>
      <c r="E452" t="s">
        <v>5127</v>
      </c>
      <c r="F452" t="s">
        <v>182</v>
      </c>
      <c r="G452" s="27" t="e">
        <f t="shared" si="14"/>
        <v>#VALUE!</v>
      </c>
      <c r="H452" s="27" t="e">
        <f t="shared" si="15"/>
        <v>#VALUE!</v>
      </c>
    </row>
    <row r="453" spans="1:8" x14ac:dyDescent="0.2">
      <c r="A453" s="27">
        <f>COUNTIFS(C:C,C453,D:D,D453)</f>
        <v>1</v>
      </c>
      <c r="B453" s="30">
        <v>202101151695</v>
      </c>
      <c r="C453" s="28" t="s">
        <v>1040</v>
      </c>
      <c r="D453" s="28" t="s">
        <v>1041</v>
      </c>
      <c r="E453" s="28" t="s">
        <v>4977</v>
      </c>
      <c r="F453" s="28" t="s">
        <v>202</v>
      </c>
      <c r="G453" s="27" t="str">
        <f t="shared" si="14"/>
        <v>6220 FAIRDALE LANE  HOUSTON</v>
      </c>
      <c r="H453" s="27" t="str">
        <f t="shared" si="15"/>
        <v>HOUSTON TX 77057</v>
      </c>
    </row>
    <row r="454" spans="1:8" x14ac:dyDescent="0.2">
      <c r="A454" s="27">
        <f>COUNTIFS(C:C,C454,D:D,D454)</f>
        <v>1</v>
      </c>
      <c r="B454" s="30">
        <v>202101151697</v>
      </c>
      <c r="C454" t="s">
        <v>2312</v>
      </c>
      <c r="D454" t="s">
        <v>2313</v>
      </c>
      <c r="E454" t="s">
        <v>5123</v>
      </c>
      <c r="F454" t="s">
        <v>243</v>
      </c>
      <c r="G454" s="27" t="str">
        <f t="shared" si="14"/>
        <v>14015 BROWNWOOD ST  CHANNELVIE</v>
      </c>
      <c r="H454" s="27" t="str">
        <f t="shared" si="15"/>
        <v>HOUSTON TX 77015</v>
      </c>
    </row>
    <row r="455" spans="1:8" x14ac:dyDescent="0.2">
      <c r="A455" s="27">
        <f>COUNTIFS(C:C,C455,D:D,D455)</f>
        <v>1</v>
      </c>
      <c r="B455" s="30">
        <v>202101151700</v>
      </c>
      <c r="C455" t="s">
        <v>2737</v>
      </c>
      <c r="D455" t="s">
        <v>2738</v>
      </c>
      <c r="E455" t="s">
        <v>5090</v>
      </c>
      <c r="F455" t="s">
        <v>233</v>
      </c>
      <c r="G455" s="27" t="str">
        <f t="shared" si="14"/>
        <v>169 BEECHWOOD DR  LUMBERTON</v>
      </c>
      <c r="H455" s="27" t="str">
        <f t="shared" si="15"/>
        <v>HOUSTON TX 77657</v>
      </c>
    </row>
    <row r="456" spans="1:8" x14ac:dyDescent="0.2">
      <c r="A456" s="27">
        <f>COUNTIFS(C:C,C456,D:D,D456)</f>
        <v>1</v>
      </c>
      <c r="B456" s="30">
        <v>202101151702</v>
      </c>
      <c r="C456" s="28" t="s">
        <v>1162</v>
      </c>
      <c r="D456" s="28" t="s">
        <v>1163</v>
      </c>
      <c r="E456" s="28" t="s">
        <v>4851</v>
      </c>
      <c r="F456" s="28" t="s">
        <v>232</v>
      </c>
      <c r="G456" s="27" t="str">
        <f t="shared" si="14"/>
        <v>5310 LOUISE  BAYTOWN</v>
      </c>
      <c r="H456" s="27" t="str">
        <f t="shared" si="15"/>
        <v>HOUSTON TX 77521</v>
      </c>
    </row>
    <row r="457" spans="1:8" x14ac:dyDescent="0.2">
      <c r="A457" s="27">
        <f>COUNTIFS(C:C,C457,D:D,D457)</f>
        <v>1</v>
      </c>
      <c r="B457" s="30">
        <v>202101151705</v>
      </c>
      <c r="C457" t="s">
        <v>3136</v>
      </c>
      <c r="D457" t="s">
        <v>3137</v>
      </c>
      <c r="E457" t="s">
        <v>4931</v>
      </c>
      <c r="F457" t="s">
        <v>200</v>
      </c>
      <c r="G457" s="27" t="str">
        <f t="shared" si="14"/>
        <v>14127 ASTONSHIRE LN  HOUSTON</v>
      </c>
      <c r="H457" s="27" t="str">
        <f t="shared" si="15"/>
        <v>HOUSTON TX 77014</v>
      </c>
    </row>
    <row r="458" spans="1:8" x14ac:dyDescent="0.2">
      <c r="A458" s="27">
        <f>COUNTIFS(C:C,C458,D:D,D458)</f>
        <v>1</v>
      </c>
      <c r="B458" s="30">
        <v>202101151708</v>
      </c>
      <c r="C458" s="28" t="s">
        <v>1880</v>
      </c>
      <c r="D458" s="28" t="s">
        <v>1881</v>
      </c>
      <c r="E458" s="28" t="s">
        <v>4960</v>
      </c>
      <c r="F458" s="28" t="s">
        <v>181</v>
      </c>
      <c r="G458" s="27" t="str">
        <f t="shared" si="14"/>
        <v>12500 NORTH FREEWAY  HOUSTON</v>
      </c>
      <c r="H458" s="27" t="str">
        <f t="shared" si="15"/>
        <v>HOUSTON TX 77060</v>
      </c>
    </row>
    <row r="459" spans="1:8" x14ac:dyDescent="0.2">
      <c r="A459" s="27">
        <f>COUNTIFS(C:C,C459,D:D,D459)</f>
        <v>1</v>
      </c>
      <c r="B459" s="30">
        <v>202101151711</v>
      </c>
      <c r="C459" s="28" t="s">
        <v>1644</v>
      </c>
      <c r="D459" s="28" t="s">
        <v>1645</v>
      </c>
      <c r="E459" s="28" t="s">
        <v>4851</v>
      </c>
      <c r="F459" s="28" t="s">
        <v>241</v>
      </c>
      <c r="G459" s="27" t="str">
        <f t="shared" si="14"/>
        <v>4601 VILLAGE LN  BAYTOWN</v>
      </c>
      <c r="H459" s="27" t="str">
        <f t="shared" si="15"/>
        <v>HOUSTON TX 77521</v>
      </c>
    </row>
    <row r="460" spans="1:8" x14ac:dyDescent="0.2">
      <c r="A460" s="27">
        <f>COUNTIFS(C:C,C460,D:D,D460)</f>
        <v>1</v>
      </c>
      <c r="B460" s="30">
        <v>202101151712</v>
      </c>
      <c r="C460" t="s">
        <v>2723</v>
      </c>
      <c r="D460" t="s">
        <v>2724</v>
      </c>
      <c r="E460" t="s">
        <v>4939</v>
      </c>
      <c r="F460" t="s">
        <v>4814</v>
      </c>
      <c r="G460" s="27" t="str">
        <f t="shared" si="14"/>
        <v>10222 HORSESHOE BEND DR HOUSTON</v>
      </c>
      <c r="H460" s="27" t="str">
        <f t="shared" si="15"/>
        <v>HOUSTON TX 77064</v>
      </c>
    </row>
    <row r="461" spans="1:8" x14ac:dyDescent="0.2">
      <c r="A461" s="27">
        <f>COUNTIFS(C:C,C461,D:D,D461)</f>
        <v>1</v>
      </c>
      <c r="B461" s="30">
        <v>202101151716</v>
      </c>
      <c r="C461" s="28" t="s">
        <v>1160</v>
      </c>
      <c r="D461" s="28" t="s">
        <v>1161</v>
      </c>
      <c r="E461" s="28" t="s">
        <v>4941</v>
      </c>
      <c r="F461" s="28" t="s">
        <v>182</v>
      </c>
      <c r="G461" s="27" t="str">
        <f t="shared" si="14"/>
        <v>12926 YORKMONT DR  CYPRESS</v>
      </c>
      <c r="H461" s="27" t="str">
        <f t="shared" si="15"/>
        <v>HOUSTON TX 77429</v>
      </c>
    </row>
    <row r="462" spans="1:8" x14ac:dyDescent="0.2">
      <c r="A462" s="27">
        <f>COUNTIFS(C:C,C462,D:D,D462)</f>
        <v>1</v>
      </c>
      <c r="B462" s="30">
        <v>202101151723</v>
      </c>
      <c r="C462" s="28" t="s">
        <v>1788</v>
      </c>
      <c r="D462" s="28" t="s">
        <v>1789</v>
      </c>
      <c r="E462" s="28" t="s">
        <v>4938</v>
      </c>
      <c r="F462" s="28" t="s">
        <v>338</v>
      </c>
      <c r="G462" s="27" t="str">
        <f t="shared" si="14"/>
        <v>11238 HARTWICK  HOUSTON</v>
      </c>
      <c r="H462" s="27" t="str">
        <f t="shared" si="15"/>
        <v>HOUSTON TX 77037</v>
      </c>
    </row>
    <row r="463" spans="1:8" x14ac:dyDescent="0.2">
      <c r="A463" s="27">
        <f>COUNTIFS(C:C,C463,D:D,D463)</f>
        <v>1</v>
      </c>
      <c r="B463" s="30">
        <v>202101151724</v>
      </c>
      <c r="C463" s="28" t="s">
        <v>1207</v>
      </c>
      <c r="D463" s="28" t="s">
        <v>1208</v>
      </c>
      <c r="E463" s="28" t="s">
        <v>4865</v>
      </c>
      <c r="F463" s="28" t="s">
        <v>182</v>
      </c>
      <c r="G463" s="27" t="str">
        <f t="shared" si="14"/>
        <v>400 GREENS RD  HOUSTON</v>
      </c>
      <c r="H463" s="27" t="str">
        <f t="shared" si="15"/>
        <v xml:space="preserve">HOUSTON TX      </v>
      </c>
    </row>
    <row r="464" spans="1:8" x14ac:dyDescent="0.2">
      <c r="A464" s="27">
        <f>COUNTIFS(C:C,C464,D:D,D464)</f>
        <v>1</v>
      </c>
      <c r="B464" s="30">
        <v>202101151726</v>
      </c>
      <c r="C464" s="28" t="s">
        <v>1665</v>
      </c>
      <c r="D464" s="28" t="s">
        <v>1666</v>
      </c>
      <c r="E464" s="28" t="s">
        <v>4871</v>
      </c>
      <c r="F464" s="28" t="s">
        <v>285</v>
      </c>
      <c r="G464" s="27" t="str">
        <f t="shared" si="14"/>
        <v>13803 ROSEMERE ST  HOUSTON</v>
      </c>
      <c r="H464" s="27" t="str">
        <f t="shared" si="15"/>
        <v>HOUSTON TX 77047</v>
      </c>
    </row>
    <row r="465" spans="1:8" x14ac:dyDescent="0.2">
      <c r="A465" s="27">
        <f>COUNTIFS(C:C,C465,D:D,D465)</f>
        <v>1</v>
      </c>
      <c r="B465" s="30">
        <v>202101151730</v>
      </c>
      <c r="C465" t="s">
        <v>2524</v>
      </c>
      <c r="D465" t="s">
        <v>2525</v>
      </c>
      <c r="E465" t="s">
        <v>4893</v>
      </c>
      <c r="F465" t="s">
        <v>202</v>
      </c>
      <c r="G465" s="27" t="str">
        <f t="shared" si="14"/>
        <v>4439 GRAPEVINE ST  HOUSTON</v>
      </c>
      <c r="H465" s="27" t="str">
        <f t="shared" si="15"/>
        <v>HOUSTON TX 77045</v>
      </c>
    </row>
    <row r="466" spans="1:8" x14ac:dyDescent="0.2">
      <c r="A466" s="27">
        <f>COUNTIFS(C:C,C466,D:D,D466)</f>
        <v>1</v>
      </c>
      <c r="B466" s="30">
        <v>202101151737</v>
      </c>
      <c r="C466" s="28" t="s">
        <v>1189</v>
      </c>
      <c r="D466" s="28" t="s">
        <v>1190</v>
      </c>
      <c r="E466" s="28" t="s">
        <v>4900</v>
      </c>
      <c r="F466" s="28" t="s">
        <v>184</v>
      </c>
      <c r="G466" s="27" t="str">
        <f t="shared" si="14"/>
        <v>2207 CROSSCOACH LN  KATY</v>
      </c>
      <c r="H466" s="27" t="str">
        <f t="shared" si="15"/>
        <v>HOUSTON TX 77449</v>
      </c>
    </row>
    <row r="467" spans="1:8" x14ac:dyDescent="0.2">
      <c r="A467" s="27">
        <f>COUNTIFS(C:C,C467,D:D,D467)</f>
        <v>1</v>
      </c>
      <c r="B467" s="30">
        <v>202101151740</v>
      </c>
      <c r="C467" t="s">
        <v>2071</v>
      </c>
      <c r="D467" t="s">
        <v>2072</v>
      </c>
      <c r="E467" t="s">
        <v>4932</v>
      </c>
      <c r="F467" t="s">
        <v>187</v>
      </c>
      <c r="G467" s="27" t="str">
        <f t="shared" si="14"/>
        <v>4000 W 34TH ST  HOUSTON</v>
      </c>
      <c r="H467" s="27" t="str">
        <f t="shared" si="15"/>
        <v>HOUSTON TX 77092</v>
      </c>
    </row>
    <row r="468" spans="1:8" x14ac:dyDescent="0.2">
      <c r="A468" s="27">
        <f>COUNTIFS(C:C,C468,D:D,D468)</f>
        <v>1</v>
      </c>
      <c r="B468" s="30">
        <v>202101151743</v>
      </c>
      <c r="C468" t="s">
        <v>2615</v>
      </c>
      <c r="D468" t="s">
        <v>2616</v>
      </c>
      <c r="E468" t="s">
        <v>5050</v>
      </c>
      <c r="F468" t="s">
        <v>4810</v>
      </c>
      <c r="G468" s="27" t="str">
        <f t="shared" si="14"/>
        <v>14230 WUNDERLICH DR  HOUSTON</v>
      </c>
      <c r="H468" s="27" t="str">
        <f t="shared" si="15"/>
        <v>HOUSTON TX 77069</v>
      </c>
    </row>
    <row r="469" spans="1:8" x14ac:dyDescent="0.2">
      <c r="A469" s="27">
        <f>COUNTIFS(C:C,C469,D:D,D469)</f>
        <v>1</v>
      </c>
      <c r="B469" s="30">
        <v>202101151748</v>
      </c>
      <c r="C469" t="s">
        <v>3897</v>
      </c>
      <c r="D469" t="s">
        <v>3898</v>
      </c>
      <c r="E469" t="s">
        <v>4888</v>
      </c>
      <c r="F469" t="s">
        <v>202</v>
      </c>
      <c r="G469" s="27" t="str">
        <f t="shared" si="14"/>
        <v>907 BELLSHIRE DR 12 1 CONROE</v>
      </c>
      <c r="H469" s="27" t="str">
        <f t="shared" si="15"/>
        <v>HOUSTON TX 77301</v>
      </c>
    </row>
    <row r="470" spans="1:8" x14ac:dyDescent="0.2">
      <c r="A470" s="27">
        <f>COUNTIFS(C:C,C470,D:D,D470)</f>
        <v>1</v>
      </c>
      <c r="B470" s="30">
        <v>202101151754</v>
      </c>
      <c r="C470" t="s">
        <v>3901</v>
      </c>
      <c r="D470" t="s">
        <v>3902</v>
      </c>
      <c r="E470" t="s">
        <v>5137</v>
      </c>
      <c r="F470" t="s">
        <v>191</v>
      </c>
      <c r="G470" s="27" t="str">
        <f t="shared" si="14"/>
        <v>3350 MCCUE RD 302  HOUSTON</v>
      </c>
      <c r="H470" s="27" t="str">
        <f t="shared" si="15"/>
        <v>HOUSTON TX 77056</v>
      </c>
    </row>
    <row r="471" spans="1:8" x14ac:dyDescent="0.2">
      <c r="A471" s="27">
        <f>COUNTIFS(C:C,C471,D:D,D471)</f>
        <v>1</v>
      </c>
      <c r="B471" s="30">
        <v>202101151766</v>
      </c>
      <c r="C471" s="28" t="s">
        <v>1209</v>
      </c>
      <c r="D471" s="28" t="s">
        <v>1210</v>
      </c>
      <c r="E471" s="28" t="s">
        <v>4887</v>
      </c>
      <c r="F471" s="28" t="s">
        <v>182</v>
      </c>
      <c r="G471" s="27" t="str">
        <f t="shared" si="14"/>
        <v>5312 RIO RAMOS ST  ROSHARON</v>
      </c>
      <c r="H471" s="27" t="str">
        <f t="shared" si="15"/>
        <v>HOUSTON TX 77583</v>
      </c>
    </row>
    <row r="472" spans="1:8" x14ac:dyDescent="0.2">
      <c r="A472" s="27">
        <f>COUNTIFS(C:C,C472,D:D,D472)</f>
        <v>1</v>
      </c>
      <c r="B472" s="30">
        <v>202101151772</v>
      </c>
      <c r="C472" t="s">
        <v>3267</v>
      </c>
      <c r="D472" t="s">
        <v>3268</v>
      </c>
      <c r="E472" t="s">
        <v>4969</v>
      </c>
      <c r="F472" t="s">
        <v>364</v>
      </c>
      <c r="G472" s="27" t="str">
        <f t="shared" si="14"/>
        <v>19426 SANDY WOODS DR  TOMBALL</v>
      </c>
      <c r="H472" s="27" t="str">
        <f t="shared" si="15"/>
        <v>HOUSTON TX 77375</v>
      </c>
    </row>
    <row r="473" spans="1:8" x14ac:dyDescent="0.2">
      <c r="A473" s="27">
        <f>COUNTIFS(C:C,C473,D:D,D473)</f>
        <v>1</v>
      </c>
      <c r="B473" s="30">
        <v>202101151773</v>
      </c>
      <c r="C473" t="s">
        <v>3903</v>
      </c>
      <c r="D473" t="s">
        <v>3904</v>
      </c>
      <c r="E473" t="s">
        <v>5070</v>
      </c>
      <c r="F473" t="s">
        <v>198</v>
      </c>
      <c r="G473" s="27" t="str">
        <f t="shared" si="14"/>
        <v>8914 BULL RUN STREET  LAPORTE</v>
      </c>
      <c r="H473" s="27" t="str">
        <f t="shared" si="15"/>
        <v>HOUSTON TX 77571</v>
      </c>
    </row>
    <row r="474" spans="1:8" x14ac:dyDescent="0.2">
      <c r="A474" s="27">
        <f>COUNTIFS(C:C,C474,D:D,D474)</f>
        <v>1</v>
      </c>
      <c r="B474" s="30">
        <v>202101151774</v>
      </c>
      <c r="C474" t="s">
        <v>2030</v>
      </c>
      <c r="D474" t="s">
        <v>2031</v>
      </c>
      <c r="E474" t="s">
        <v>4997</v>
      </c>
      <c r="F474" t="s">
        <v>200</v>
      </c>
      <c r="G474" s="27" t="str">
        <f t="shared" si="14"/>
        <v>9797 LEAWOOD BLVD  HOUSTON</v>
      </c>
      <c r="H474" s="27" t="str">
        <f t="shared" si="15"/>
        <v>HOUSTON TX 77099</v>
      </c>
    </row>
    <row r="475" spans="1:8" x14ac:dyDescent="0.2">
      <c r="A475" s="27">
        <f>COUNTIFS(C:C,C475,D:D,D475)</f>
        <v>1</v>
      </c>
      <c r="B475" s="30">
        <v>202101151776</v>
      </c>
      <c r="C475" s="28" t="s">
        <v>1561</v>
      </c>
      <c r="D475" s="28" t="s">
        <v>1562</v>
      </c>
      <c r="E475" s="28" t="s">
        <v>4856</v>
      </c>
      <c r="F475" s="28" t="s">
        <v>4787</v>
      </c>
      <c r="G475" s="27" t="str">
        <f t="shared" si="14"/>
        <v>5145 SILVER CREEK DR IVE HOUSTON</v>
      </c>
      <c r="H475" s="27" t="str">
        <f t="shared" si="15"/>
        <v>HOUSTON TX 77017</v>
      </c>
    </row>
    <row r="476" spans="1:8" x14ac:dyDescent="0.2">
      <c r="A476" s="27">
        <f>COUNTIFS(C:C,C476,D:D,D476)</f>
        <v>1</v>
      </c>
      <c r="B476" s="30">
        <v>202101151779</v>
      </c>
      <c r="C476" t="s">
        <v>2416</v>
      </c>
      <c r="D476" t="s">
        <v>2417</v>
      </c>
      <c r="E476" t="s">
        <v>4908</v>
      </c>
      <c r="F476" t="s">
        <v>215</v>
      </c>
      <c r="G476" s="27" t="str">
        <f t="shared" si="14"/>
        <v>17515 RUSTINGTON DR  SPRING</v>
      </c>
      <c r="H476" s="27" t="str">
        <f t="shared" si="15"/>
        <v>HOUSTON TX 77379</v>
      </c>
    </row>
    <row r="477" spans="1:8" x14ac:dyDescent="0.2">
      <c r="A477" s="27">
        <f>COUNTIFS(C:C,C477,D:D,D477)</f>
        <v>1</v>
      </c>
      <c r="B477" s="30">
        <v>202101151780</v>
      </c>
      <c r="C477" t="s">
        <v>2906</v>
      </c>
      <c r="D477" t="s">
        <v>2907</v>
      </c>
      <c r="E477" t="s">
        <v>4878</v>
      </c>
      <c r="F477" t="s">
        <v>4822</v>
      </c>
      <c r="G477" s="27" t="str">
        <f t="shared" si="14"/>
        <v>11318 MURR WAY  HOUSTON</v>
      </c>
      <c r="H477" s="27" t="str">
        <f t="shared" si="15"/>
        <v>HOUSTON TX 77048</v>
      </c>
    </row>
    <row r="478" spans="1:8" x14ac:dyDescent="0.2">
      <c r="A478" s="27">
        <f>COUNTIFS(C:C,C478,D:D,D478)</f>
        <v>1</v>
      </c>
      <c r="B478" s="30">
        <v>202101151781</v>
      </c>
      <c r="C478" s="28" t="s">
        <v>1827</v>
      </c>
      <c r="D478" s="28" t="s">
        <v>1828</v>
      </c>
      <c r="E478" s="28" t="s">
        <v>4891</v>
      </c>
      <c r="F478" s="28" t="s">
        <v>4799</v>
      </c>
      <c r="G478" s="27" t="str">
        <f t="shared" si="14"/>
        <v>910 CYPRESS STATION  HOUSTON</v>
      </c>
      <c r="H478" s="27" t="str">
        <f t="shared" si="15"/>
        <v>HOUSTON TX 77088</v>
      </c>
    </row>
    <row r="479" spans="1:8" x14ac:dyDescent="0.2">
      <c r="A479" s="27">
        <f>COUNTIFS(C:C,C479,D:D,D479)</f>
        <v>1</v>
      </c>
      <c r="B479" s="30">
        <v>202101151789</v>
      </c>
      <c r="C479" t="s">
        <v>3907</v>
      </c>
      <c r="D479" t="s">
        <v>3908</v>
      </c>
      <c r="E479" t="s">
        <v>4855</v>
      </c>
      <c r="F479" t="s">
        <v>182</v>
      </c>
      <c r="G479" s="27" t="str">
        <f t="shared" si="14"/>
        <v>9002 STERLINGSHIRE S T 302 HOUSTON</v>
      </c>
      <c r="H479" s="27" t="str">
        <f t="shared" si="15"/>
        <v>HOUSTON TX 77078</v>
      </c>
    </row>
    <row r="480" spans="1:8" x14ac:dyDescent="0.2">
      <c r="A480" s="27">
        <f>COUNTIFS(C:C,C480,D:D,D480)</f>
        <v>1</v>
      </c>
      <c r="B480" s="30">
        <v>202101151790</v>
      </c>
      <c r="C480" t="s">
        <v>2219</v>
      </c>
      <c r="D480" t="s">
        <v>2220</v>
      </c>
      <c r="E480" t="s">
        <v>4943</v>
      </c>
      <c r="F480" t="s">
        <v>187</v>
      </c>
      <c r="G480" s="27" t="str">
        <f t="shared" si="14"/>
        <v>19403 LAKE HOLLOW LN  HOUSTON</v>
      </c>
      <c r="H480" s="27" t="str">
        <f t="shared" si="15"/>
        <v>HOUSTON TX 77084</v>
      </c>
    </row>
    <row r="481" spans="1:8" x14ac:dyDescent="0.2">
      <c r="A481" s="27">
        <f>COUNTIFS(C:C,C481,D:D,D481)</f>
        <v>1</v>
      </c>
      <c r="B481" s="30">
        <v>202101151797</v>
      </c>
      <c r="C481" t="s">
        <v>2577</v>
      </c>
      <c r="D481" t="s">
        <v>2421</v>
      </c>
      <c r="E481" t="s">
        <v>5132</v>
      </c>
      <c r="F481" t="s">
        <v>187</v>
      </c>
      <c r="G481" s="27" t="str">
        <f t="shared" si="14"/>
        <v>696 PINELOCH DR  HOUSTON</v>
      </c>
      <c r="H481" s="27" t="str">
        <f t="shared" si="15"/>
        <v>HOUSTON TX 77598</v>
      </c>
    </row>
    <row r="482" spans="1:8" x14ac:dyDescent="0.2">
      <c r="A482" s="27">
        <f>COUNTIFS(C:C,C482,D:D,D482)</f>
        <v>1</v>
      </c>
      <c r="B482" s="30">
        <v>202101151802</v>
      </c>
      <c r="C482" s="28" t="s">
        <v>944</v>
      </c>
      <c r="D482" s="28" t="s">
        <v>945</v>
      </c>
      <c r="E482" s="28" t="s">
        <v>4909</v>
      </c>
      <c r="F482" s="28" t="s">
        <v>185</v>
      </c>
      <c r="G482" s="27" t="str">
        <f t="shared" si="14"/>
        <v>5030 RIDGE MANOR DR  HOUSTON</v>
      </c>
      <c r="H482" s="27" t="str">
        <f t="shared" si="15"/>
        <v>HOUSTON TX 77053</v>
      </c>
    </row>
    <row r="483" spans="1:8" x14ac:dyDescent="0.2">
      <c r="A483" s="27">
        <f>COUNTIFS(C:C,C483,D:D,D483)</f>
        <v>1</v>
      </c>
      <c r="B483" s="30">
        <v>202101151807</v>
      </c>
      <c r="C483" s="28" t="s">
        <v>1752</v>
      </c>
      <c r="D483" s="28" t="s">
        <v>1753</v>
      </c>
      <c r="E483" s="28" t="s">
        <v>5072</v>
      </c>
      <c r="F483" s="28" t="s">
        <v>181</v>
      </c>
      <c r="G483" s="27" t="str">
        <f t="shared" si="14"/>
        <v>18310 MABLE POND LN  FORT BEND</v>
      </c>
      <c r="H483" s="27" t="str">
        <f t="shared" si="15"/>
        <v>HOUSTON TX 77469</v>
      </c>
    </row>
    <row r="484" spans="1:8" x14ac:dyDescent="0.2">
      <c r="A484" s="27">
        <f>COUNTIFS(C:C,C484,D:D,D484)</f>
        <v>1</v>
      </c>
      <c r="B484" s="30">
        <v>202101151824</v>
      </c>
      <c r="C484" t="s">
        <v>3911</v>
      </c>
      <c r="D484" t="s">
        <v>3912</v>
      </c>
      <c r="E484" t="s">
        <v>4859</v>
      </c>
      <c r="F484" t="s">
        <v>208</v>
      </c>
      <c r="G484" s="27" t="str">
        <f t="shared" si="14"/>
        <v>1114 LAVENDER SHADE CT HOUSTON</v>
      </c>
      <c r="H484" s="27" t="str">
        <f t="shared" si="15"/>
        <v>HOUSTON TX 77073</v>
      </c>
    </row>
    <row r="485" spans="1:8" x14ac:dyDescent="0.2">
      <c r="A485" s="27">
        <f>COUNTIFS(C:C,C485,D:D,D485)</f>
        <v>1</v>
      </c>
      <c r="B485" s="30">
        <v>202101151830</v>
      </c>
      <c r="C485" t="s">
        <v>1593</v>
      </c>
      <c r="D485" t="s">
        <v>3293</v>
      </c>
      <c r="E485" t="s">
        <v>4977</v>
      </c>
      <c r="F485" t="s">
        <v>229</v>
      </c>
      <c r="G485" s="27" t="str">
        <f t="shared" si="14"/>
        <v>6533 BAYOU GLEN RD  HOUSTON</v>
      </c>
      <c r="H485" s="27" t="str">
        <f t="shared" si="15"/>
        <v>HOUSTON TX 77057</v>
      </c>
    </row>
    <row r="486" spans="1:8" x14ac:dyDescent="0.2">
      <c r="A486" s="27">
        <f>COUNTIFS(C:C,C486,D:D,D486)</f>
        <v>1</v>
      </c>
      <c r="B486" s="30">
        <v>202101151831</v>
      </c>
      <c r="C486" t="s">
        <v>2672</v>
      </c>
      <c r="D486" t="s">
        <v>2673</v>
      </c>
      <c r="E486" t="s">
        <v>4906</v>
      </c>
      <c r="F486" t="s">
        <v>4802</v>
      </c>
      <c r="G486" s="27" t="str">
        <f t="shared" si="14"/>
        <v>4100 VISTA RD  PASADENA</v>
      </c>
      <c r="H486" s="27" t="str">
        <f t="shared" si="15"/>
        <v>HOUSTON TX 77504</v>
      </c>
    </row>
    <row r="487" spans="1:8" x14ac:dyDescent="0.2">
      <c r="A487" s="27">
        <f>COUNTIFS(C:C,C487,D:D,D487)</f>
        <v>1</v>
      </c>
      <c r="B487" s="30">
        <v>202101151832</v>
      </c>
      <c r="C487" s="28" t="s">
        <v>1929</v>
      </c>
      <c r="D487" s="28" t="s">
        <v>1930</v>
      </c>
      <c r="E487" s="28" t="s">
        <v>4879</v>
      </c>
      <c r="F487" s="28" t="s">
        <v>191</v>
      </c>
      <c r="G487" s="27" t="str">
        <f t="shared" si="14"/>
        <v>6902 BETHUNE DR  HOUSTON</v>
      </c>
      <c r="H487" s="27" t="str">
        <f t="shared" si="15"/>
        <v>HOUSTON TX 77091</v>
      </c>
    </row>
    <row r="488" spans="1:8" x14ac:dyDescent="0.2">
      <c r="A488" s="27">
        <f>COUNTIFS(C:C,C488,D:D,D488)</f>
        <v>1</v>
      </c>
      <c r="B488" s="30">
        <v>202101151835</v>
      </c>
      <c r="C488" t="s">
        <v>3102</v>
      </c>
      <c r="D488" t="s">
        <v>3103</v>
      </c>
      <c r="E488" t="s">
        <v>4958</v>
      </c>
      <c r="F488" t="s">
        <v>200</v>
      </c>
      <c r="G488" s="27" t="str">
        <f t="shared" si="14"/>
        <v>3800 OMEARA DR  HOUSTON</v>
      </c>
      <c r="H488" s="27" t="str">
        <f t="shared" si="15"/>
        <v>HOUSTON TX 77025</v>
      </c>
    </row>
    <row r="489" spans="1:8" x14ac:dyDescent="0.2">
      <c r="A489" s="27">
        <f>COUNTIFS(C:C,C489,D:D,D489)</f>
        <v>1</v>
      </c>
      <c r="B489" s="30">
        <v>202101151837</v>
      </c>
      <c r="C489" s="28" t="s">
        <v>1070</v>
      </c>
      <c r="D489" s="28" t="s">
        <v>1071</v>
      </c>
      <c r="E489" s="28" t="s">
        <v>4893</v>
      </c>
      <c r="F489" s="28" t="s">
        <v>262</v>
      </c>
      <c r="G489" s="27" t="str">
        <f t="shared" si="14"/>
        <v>5323 DARLING HURST D R HOUSTON</v>
      </c>
      <c r="H489" s="27" t="str">
        <f t="shared" si="15"/>
        <v>HOUSTON TX 77045</v>
      </c>
    </row>
    <row r="490" spans="1:8" x14ac:dyDescent="0.2">
      <c r="A490" s="27">
        <f>COUNTIFS(C:C,C490,D:D,D490)</f>
        <v>1</v>
      </c>
      <c r="B490" s="30">
        <v>202101151844</v>
      </c>
      <c r="C490" t="s">
        <v>3915</v>
      </c>
      <c r="D490" t="s">
        <v>3916</v>
      </c>
      <c r="E490" t="s">
        <v>5091</v>
      </c>
      <c r="F490" t="s">
        <v>222</v>
      </c>
      <c r="G490" s="27" t="str">
        <f t="shared" ref="G490:G553" si="16">D490&amp;" "&amp;MID(E490,1,FIND(" TX",E490)-1)</f>
        <v>3326 REDFIELD DR  HOUSTON</v>
      </c>
      <c r="H490" s="27" t="str">
        <f t="shared" ref="H490:H553" si="17">"HOUSTON "&amp;MID(E490,FIND("TX",E490),8)</f>
        <v>HOUSTON TX 77503</v>
      </c>
    </row>
    <row r="491" spans="1:8" x14ac:dyDescent="0.2">
      <c r="A491" s="27">
        <f>COUNTIFS(C:C,C491,D:D,D491)</f>
        <v>1</v>
      </c>
      <c r="B491" s="30">
        <v>202101151849</v>
      </c>
      <c r="C491" s="28" t="s">
        <v>1619</v>
      </c>
      <c r="D491" s="28" t="s">
        <v>1620</v>
      </c>
      <c r="E491" s="28" t="s">
        <v>4951</v>
      </c>
      <c r="F491" s="28" t="s">
        <v>194</v>
      </c>
      <c r="G491" s="27" t="str">
        <f t="shared" si="16"/>
        <v>9125 N HWY 6  HOUSTON</v>
      </c>
      <c r="H491" s="27" t="str">
        <f t="shared" si="17"/>
        <v>HOUSTON TX 77095</v>
      </c>
    </row>
    <row r="492" spans="1:8" x14ac:dyDescent="0.2">
      <c r="A492" s="27">
        <f>COUNTIFS(C:C,C492,D:D,D492)</f>
        <v>1</v>
      </c>
      <c r="B492" s="30">
        <v>202101151850</v>
      </c>
      <c r="C492" t="s">
        <v>5166</v>
      </c>
      <c r="D492" t="s">
        <v>2951</v>
      </c>
      <c r="E492" t="s">
        <v>5061</v>
      </c>
      <c r="F492" t="s">
        <v>4823</v>
      </c>
      <c r="G492" s="27" t="str">
        <f t="shared" si="16"/>
        <v>498 CR 4281  DAYTON</v>
      </c>
      <c r="H492" s="27" t="str">
        <f t="shared" si="17"/>
        <v>HOUSTON TX 77535</v>
      </c>
    </row>
    <row r="493" spans="1:8" x14ac:dyDescent="0.2">
      <c r="A493" s="27">
        <f>COUNTIFS(C:C,C493,D:D,D493)</f>
        <v>1</v>
      </c>
      <c r="B493" s="30">
        <v>202101151851</v>
      </c>
      <c r="C493" t="s">
        <v>3921</v>
      </c>
      <c r="D493" t="s">
        <v>3922</v>
      </c>
      <c r="E493" t="s">
        <v>4987</v>
      </c>
      <c r="F493" t="s">
        <v>184</v>
      </c>
      <c r="G493" s="27" t="str">
        <f t="shared" si="16"/>
        <v>1742 WOOD VINE DR  HOUSTON</v>
      </c>
      <c r="H493" s="27" t="str">
        <f t="shared" si="17"/>
        <v>HOUSTON TX 77055</v>
      </c>
    </row>
    <row r="494" spans="1:8" x14ac:dyDescent="0.2">
      <c r="A494" s="27">
        <f>COUNTIFS(C:C,C494,D:D,D494)</f>
        <v>1</v>
      </c>
      <c r="B494" s="30">
        <v>202101151854</v>
      </c>
      <c r="C494" t="s">
        <v>3925</v>
      </c>
      <c r="D494" t="s">
        <v>3926</v>
      </c>
      <c r="E494" t="s">
        <v>4900</v>
      </c>
      <c r="F494" t="s">
        <v>187</v>
      </c>
      <c r="G494" s="27" t="str">
        <f t="shared" si="16"/>
        <v>4903 JARL COURT  KATY</v>
      </c>
      <c r="H494" s="27" t="str">
        <f t="shared" si="17"/>
        <v>HOUSTON TX 77449</v>
      </c>
    </row>
    <row r="495" spans="1:8" x14ac:dyDescent="0.2">
      <c r="A495" s="27">
        <f>COUNTIFS(C:C,C495,D:D,D495)</f>
        <v>1</v>
      </c>
      <c r="B495" s="30">
        <v>202101151855</v>
      </c>
      <c r="C495" t="s">
        <v>3927</v>
      </c>
      <c r="D495" t="s">
        <v>3928</v>
      </c>
      <c r="E495" t="s">
        <v>5230</v>
      </c>
      <c r="F495" t="s">
        <v>224</v>
      </c>
      <c r="G495" s="27" t="str">
        <f t="shared" si="16"/>
        <v>1073 TAFELSKY DR  NEW WAVERL</v>
      </c>
      <c r="H495" s="27" t="str">
        <f t="shared" si="17"/>
        <v>HOUSTON TX 77358</v>
      </c>
    </row>
    <row r="496" spans="1:8" x14ac:dyDescent="0.2">
      <c r="A496" s="27">
        <f>COUNTIFS(C:C,C496,D:D,D496)</f>
        <v>1</v>
      </c>
      <c r="B496" s="30">
        <v>202101151856</v>
      </c>
      <c r="C496" s="28" t="s">
        <v>656</v>
      </c>
      <c r="D496" s="28" t="s">
        <v>657</v>
      </c>
      <c r="E496" s="28" t="s">
        <v>4874</v>
      </c>
      <c r="F496" s="28" t="s">
        <v>203</v>
      </c>
      <c r="G496" s="27" t="str">
        <f t="shared" si="16"/>
        <v>5330 WILLOW GLEN DR  HOUSTON</v>
      </c>
      <c r="H496" s="27" t="str">
        <f t="shared" si="17"/>
        <v>HOUSTON TX 77033</v>
      </c>
    </row>
    <row r="497" spans="1:8" x14ac:dyDescent="0.2">
      <c r="A497" s="27">
        <f>COUNTIFS(C:C,C497,D:D,D497)</f>
        <v>1</v>
      </c>
      <c r="B497" s="30">
        <v>202101151857</v>
      </c>
      <c r="C497" t="s">
        <v>5094</v>
      </c>
      <c r="D497" t="s">
        <v>5095</v>
      </c>
      <c r="E497" t="s">
        <v>4851</v>
      </c>
      <c r="F497" t="s">
        <v>203</v>
      </c>
      <c r="G497" s="27" t="str">
        <f t="shared" si="16"/>
        <v>711 LLYOD LN  BAYTOWN</v>
      </c>
      <c r="H497" s="27" t="str">
        <f t="shared" si="17"/>
        <v>HOUSTON TX 77521</v>
      </c>
    </row>
    <row r="498" spans="1:8" x14ac:dyDescent="0.2">
      <c r="A498" s="27">
        <f>COUNTIFS(C:C,C498,D:D,D498)</f>
        <v>1</v>
      </c>
      <c r="B498" s="30">
        <v>202101151861</v>
      </c>
      <c r="C498" t="s">
        <v>5102</v>
      </c>
      <c r="D498" t="s">
        <v>5103</v>
      </c>
      <c r="E498" t="s">
        <v>4881</v>
      </c>
      <c r="F498" t="s">
        <v>4803</v>
      </c>
      <c r="G498" s="27" t="str">
        <f t="shared" si="16"/>
        <v>1703 FAIRTIDE CT  CROSBY</v>
      </c>
      <c r="H498" s="27" t="str">
        <f t="shared" si="17"/>
        <v>HOUSTON TX 77532</v>
      </c>
    </row>
    <row r="499" spans="1:8" x14ac:dyDescent="0.2">
      <c r="A499" s="27">
        <f>COUNTIFS(C:C,C499,D:D,D499)</f>
        <v>1</v>
      </c>
      <c r="B499" s="30">
        <v>202101151864</v>
      </c>
      <c r="C499" t="s">
        <v>5130</v>
      </c>
      <c r="D499" t="s">
        <v>5131</v>
      </c>
      <c r="E499" t="s">
        <v>4851</v>
      </c>
      <c r="F499" t="s">
        <v>203</v>
      </c>
      <c r="G499" s="27" t="str">
        <f t="shared" si="16"/>
        <v>4222 E LINDBERGH CT  BAYTOWN</v>
      </c>
      <c r="H499" s="27" t="str">
        <f t="shared" si="17"/>
        <v>HOUSTON TX 77521</v>
      </c>
    </row>
    <row r="500" spans="1:8" x14ac:dyDescent="0.2">
      <c r="A500" s="27">
        <f>COUNTIFS(C:C,C500,D:D,D500)</f>
        <v>1</v>
      </c>
      <c r="B500" s="30">
        <v>202101151865</v>
      </c>
      <c r="C500" s="28" t="s">
        <v>5010</v>
      </c>
      <c r="D500" s="28" t="s">
        <v>5011</v>
      </c>
      <c r="E500" s="28" t="s">
        <v>4891</v>
      </c>
      <c r="F500" s="28" t="s">
        <v>182</v>
      </c>
      <c r="G500" s="27" t="str">
        <f t="shared" si="16"/>
        <v>10706 CORA  HOUSTON</v>
      </c>
      <c r="H500" s="27" t="str">
        <f t="shared" si="17"/>
        <v>HOUSTON TX 77088</v>
      </c>
    </row>
    <row r="501" spans="1:8" x14ac:dyDescent="0.2">
      <c r="A501" s="27">
        <f>COUNTIFS(C:C,C501,D:D,D501)</f>
        <v>1</v>
      </c>
      <c r="B501" s="30">
        <v>202101151868</v>
      </c>
      <c r="C501" t="s">
        <v>5183</v>
      </c>
      <c r="D501" t="s">
        <v>5184</v>
      </c>
      <c r="E501" t="s">
        <v>4975</v>
      </c>
      <c r="F501" t="s">
        <v>200</v>
      </c>
      <c r="G501" s="27" t="str">
        <f t="shared" si="16"/>
        <v>11802 CHETMAN DR  HOUSTON</v>
      </c>
      <c r="H501" s="27" t="str">
        <f t="shared" si="17"/>
        <v>HOUSTON TX 77065</v>
      </c>
    </row>
    <row r="502" spans="1:8" x14ac:dyDescent="0.2">
      <c r="A502" s="27">
        <f>COUNTIFS(C:C,C502,D:D,D502)</f>
        <v>1</v>
      </c>
      <c r="B502" s="30">
        <v>202101151876</v>
      </c>
      <c r="C502" t="s">
        <v>4129</v>
      </c>
      <c r="D502" t="s">
        <v>5110</v>
      </c>
      <c r="E502" t="s">
        <v>5078</v>
      </c>
      <c r="F502" t="s">
        <v>194</v>
      </c>
      <c r="G502" s="27" t="str">
        <f t="shared" si="16"/>
        <v>22010 RIVERMEAD DR  HARRIS CO</v>
      </c>
      <c r="H502" s="27" t="str">
        <f t="shared" si="17"/>
        <v>HOUSTON TX 77449</v>
      </c>
    </row>
    <row r="503" spans="1:8" x14ac:dyDescent="0.2">
      <c r="A503" s="27">
        <f>COUNTIFS(C:C,C503,D:D,D503)</f>
        <v>1</v>
      </c>
      <c r="B503" s="30">
        <v>202101151878</v>
      </c>
      <c r="C503" s="28" t="s">
        <v>5035</v>
      </c>
      <c r="D503" s="28" t="s">
        <v>5036</v>
      </c>
      <c r="E503" s="28" t="s">
        <v>4891</v>
      </c>
      <c r="F503" s="28" t="s">
        <v>215</v>
      </c>
      <c r="G503" s="27" t="str">
        <f t="shared" si="16"/>
        <v>8111 SEALEY ST  HOUSTON</v>
      </c>
      <c r="H503" s="27" t="str">
        <f t="shared" si="17"/>
        <v>HOUSTON TX 77088</v>
      </c>
    </row>
    <row r="504" spans="1:8" x14ac:dyDescent="0.2">
      <c r="A504" s="27">
        <f>COUNTIFS(C:C,C504,D:D,D504)</f>
        <v>1</v>
      </c>
      <c r="B504" s="30">
        <v>202101151879</v>
      </c>
      <c r="C504" s="28" t="s">
        <v>4946</v>
      </c>
      <c r="D504" s="28" t="s">
        <v>4947</v>
      </c>
      <c r="E504" s="28" t="s">
        <v>4865</v>
      </c>
      <c r="F504" s="28" t="s">
        <v>202</v>
      </c>
      <c r="G504" s="27" t="str">
        <f t="shared" si="16"/>
        <v>14901 TILLEY DR  HOUSTON</v>
      </c>
      <c r="H504" s="27" t="str">
        <f t="shared" si="17"/>
        <v xml:space="preserve">HOUSTON TX      </v>
      </c>
    </row>
    <row r="505" spans="1:8" x14ac:dyDescent="0.2">
      <c r="A505" s="27">
        <f>COUNTIFS(C:C,C505,D:D,D505)</f>
        <v>1</v>
      </c>
      <c r="B505" s="30">
        <v>202101151881</v>
      </c>
      <c r="C505" s="28" t="s">
        <v>5039</v>
      </c>
      <c r="D505" s="28" t="s">
        <v>5040</v>
      </c>
      <c r="E505" s="28" t="s">
        <v>4950</v>
      </c>
      <c r="F505" s="28" t="s">
        <v>203</v>
      </c>
      <c r="G505" s="27" t="str">
        <f t="shared" si="16"/>
        <v>1424 EAST 36TH ST  HOUSTON</v>
      </c>
      <c r="H505" s="27" t="str">
        <f t="shared" si="17"/>
        <v>HOUSTON TX 77022</v>
      </c>
    </row>
    <row r="506" spans="1:8" x14ac:dyDescent="0.2">
      <c r="A506" s="27">
        <f>COUNTIFS(C:C,C506,D:D,D506)</f>
        <v>1</v>
      </c>
      <c r="B506" s="30">
        <v>202101151882</v>
      </c>
      <c r="C506" s="28" t="s">
        <v>4921</v>
      </c>
      <c r="D506" s="28" t="s">
        <v>4922</v>
      </c>
      <c r="E506" s="28" t="s">
        <v>4923</v>
      </c>
      <c r="F506" s="28" t="s">
        <v>198</v>
      </c>
      <c r="G506" s="27" t="e">
        <f t="shared" si="16"/>
        <v>#VALUE!</v>
      </c>
      <c r="H506" s="27" t="e">
        <f t="shared" si="17"/>
        <v>#VALUE!</v>
      </c>
    </row>
    <row r="507" spans="1:8" x14ac:dyDescent="0.2">
      <c r="A507" s="27">
        <f>COUNTIFS(C:C,C507,D:D,D507)</f>
        <v>1</v>
      </c>
      <c r="B507" s="30">
        <v>202101151884</v>
      </c>
      <c r="C507" t="s">
        <v>5148</v>
      </c>
      <c r="D507" t="s">
        <v>5149</v>
      </c>
      <c r="E507" t="s">
        <v>5009</v>
      </c>
      <c r="F507" t="s">
        <v>195</v>
      </c>
      <c r="G507" s="27" t="str">
        <f t="shared" si="16"/>
        <v>12206 FLUSHING MEADOW  SEABROOK</v>
      </c>
      <c r="H507" s="27" t="str">
        <f t="shared" si="17"/>
        <v>HOUSTON TX 77586</v>
      </c>
    </row>
    <row r="508" spans="1:8" x14ac:dyDescent="0.2">
      <c r="A508" s="27">
        <f>COUNTIFS(C:C,C508,D:D,D508)</f>
        <v>1</v>
      </c>
      <c r="B508" s="30">
        <v>202101151885</v>
      </c>
      <c r="C508" t="s">
        <v>5234</v>
      </c>
      <c r="D508" t="s">
        <v>5235</v>
      </c>
      <c r="E508" t="s">
        <v>4896</v>
      </c>
      <c r="F508" t="s">
        <v>235</v>
      </c>
      <c r="G508" s="27" t="str">
        <f t="shared" si="16"/>
        <v>9802 FORUM PARK DR 3 153 HOUSTON</v>
      </c>
      <c r="H508" s="27" t="str">
        <f t="shared" si="17"/>
        <v>HOUSTON TX 77036</v>
      </c>
    </row>
    <row r="509" spans="1:8" x14ac:dyDescent="0.2">
      <c r="A509" s="27">
        <f>COUNTIFS(C:C,C509,D:D,D509)</f>
        <v>1</v>
      </c>
      <c r="B509" s="30">
        <v>202101151886</v>
      </c>
      <c r="C509" s="28" t="s">
        <v>5012</v>
      </c>
      <c r="D509" s="28" t="s">
        <v>5013</v>
      </c>
      <c r="E509" s="28" t="s">
        <v>4852</v>
      </c>
      <c r="F509" s="28" t="s">
        <v>4763</v>
      </c>
      <c r="G509" s="27" t="str">
        <f t="shared" si="16"/>
        <v>10619 WOLBROOK ST  HOUSTON</v>
      </c>
      <c r="H509" s="27" t="str">
        <f t="shared" si="17"/>
        <v>HOUSTON TX 77016</v>
      </c>
    </row>
    <row r="510" spans="1:8" x14ac:dyDescent="0.2">
      <c r="A510" s="27">
        <f>COUNTIFS(C:C,C510,D:D,D510)</f>
        <v>1</v>
      </c>
      <c r="B510" s="30">
        <v>202101151887</v>
      </c>
      <c r="C510" t="s">
        <v>5236</v>
      </c>
      <c r="D510" t="s">
        <v>5237</v>
      </c>
      <c r="E510" t="s">
        <v>5238</v>
      </c>
      <c r="F510" t="s">
        <v>182</v>
      </c>
      <c r="G510" s="27" t="str">
        <f t="shared" si="16"/>
        <v>314 BRETTONWOOD  SAN ANTONI</v>
      </c>
      <c r="H510" s="27" t="str">
        <f t="shared" si="17"/>
        <v>HOUSTON TX 78218</v>
      </c>
    </row>
    <row r="511" spans="1:8" x14ac:dyDescent="0.2">
      <c r="A511" s="27">
        <f>COUNTIFS(C:C,C511,D:D,D511)</f>
        <v>1</v>
      </c>
      <c r="B511" s="30">
        <v>202101151888</v>
      </c>
      <c r="C511" t="s">
        <v>5098</v>
      </c>
      <c r="D511" t="s">
        <v>5099</v>
      </c>
      <c r="E511" t="s">
        <v>5100</v>
      </c>
      <c r="F511" t="s">
        <v>203</v>
      </c>
      <c r="G511" s="27" t="str">
        <f t="shared" si="16"/>
        <v>4250 HWY 202  BEEVILLE</v>
      </c>
      <c r="H511" s="27" t="str">
        <f t="shared" si="17"/>
        <v>HOUSTON TX 78102</v>
      </c>
    </row>
    <row r="512" spans="1:8" x14ac:dyDescent="0.2">
      <c r="A512" s="27">
        <f>COUNTIFS(C:C,C512,D:D,D512)</f>
        <v>1</v>
      </c>
      <c r="B512" s="30">
        <v>202101151890</v>
      </c>
      <c r="C512" s="28" t="s">
        <v>5044</v>
      </c>
      <c r="D512" s="28" t="s">
        <v>5045</v>
      </c>
      <c r="E512" s="28" t="s">
        <v>4937</v>
      </c>
      <c r="F512" s="28" t="s">
        <v>187</v>
      </c>
      <c r="G512" s="27" t="str">
        <f t="shared" si="16"/>
        <v>7226 MCHENRY ST  HOUSTON</v>
      </c>
      <c r="H512" s="27" t="str">
        <f t="shared" si="17"/>
        <v>HOUSTON TX 77087</v>
      </c>
    </row>
    <row r="513" spans="1:8" x14ac:dyDescent="0.2">
      <c r="A513" s="27">
        <f>COUNTIFS(C:C,C513,D:D,D513)</f>
        <v>1</v>
      </c>
      <c r="B513" s="30">
        <v>202101151893</v>
      </c>
      <c r="C513" s="28" t="s">
        <v>628</v>
      </c>
      <c r="D513" s="28" t="s">
        <v>629</v>
      </c>
      <c r="E513" s="28" t="s">
        <v>4867</v>
      </c>
      <c r="F513" s="28" t="s">
        <v>4769</v>
      </c>
      <c r="G513" s="27" t="str">
        <f t="shared" si="16"/>
        <v>5336 CLAY ST  HOUSTON</v>
      </c>
      <c r="H513" s="27" t="str">
        <f t="shared" si="17"/>
        <v>HOUSTON TX 77023</v>
      </c>
    </row>
    <row r="514" spans="1:8" x14ac:dyDescent="0.2">
      <c r="A514" s="27">
        <f>COUNTIFS(C:C,C514,D:D,D514)</f>
        <v>1</v>
      </c>
      <c r="B514" s="30">
        <v>202101151896</v>
      </c>
      <c r="C514" s="28" t="s">
        <v>4911</v>
      </c>
      <c r="D514" s="28" t="s">
        <v>4912</v>
      </c>
      <c r="E514" s="28" t="s">
        <v>4896</v>
      </c>
      <c r="F514" s="28" t="s">
        <v>189</v>
      </c>
      <c r="G514" s="27" t="str">
        <f t="shared" si="16"/>
        <v>8015 HAZEN ST  HOUSTON</v>
      </c>
      <c r="H514" s="27" t="str">
        <f t="shared" si="17"/>
        <v>HOUSTON TX 77036</v>
      </c>
    </row>
    <row r="515" spans="1:8" x14ac:dyDescent="0.2">
      <c r="A515" s="27">
        <f>COUNTIFS(C:C,C515,D:D,D515)</f>
        <v>1</v>
      </c>
      <c r="B515" s="30">
        <v>202101151901</v>
      </c>
      <c r="C515" s="28" t="s">
        <v>4979</v>
      </c>
      <c r="D515" s="28" t="s">
        <v>4980</v>
      </c>
      <c r="E515" s="28" t="s">
        <v>4981</v>
      </c>
      <c r="F515" s="28" t="s">
        <v>194</v>
      </c>
      <c r="G515" s="27" t="str">
        <f t="shared" si="16"/>
        <v>262 E EDGEBROOK DR  HOUSTON</v>
      </c>
      <c r="H515" s="27" t="str">
        <f t="shared" si="17"/>
        <v>HOUSTON TX 77034</v>
      </c>
    </row>
    <row r="516" spans="1:8" x14ac:dyDescent="0.2">
      <c r="A516" s="27">
        <f>COUNTIFS(C:C,C516,D:D,D516)</f>
        <v>1</v>
      </c>
      <c r="B516" s="30">
        <v>202101151912</v>
      </c>
      <c r="C516" t="s">
        <v>5241</v>
      </c>
      <c r="D516" t="s">
        <v>5242</v>
      </c>
      <c r="E516" t="s">
        <v>4986</v>
      </c>
      <c r="F516" t="s">
        <v>200</v>
      </c>
      <c r="G516" s="27" t="str">
        <f t="shared" si="16"/>
        <v>8730 FARM RIDGE LN  HUMBLE</v>
      </c>
      <c r="H516" s="27" t="str">
        <f t="shared" si="17"/>
        <v>HOUSTON TX 77338</v>
      </c>
    </row>
    <row r="517" spans="1:8" x14ac:dyDescent="0.2">
      <c r="A517" s="27">
        <f>COUNTIFS(C:C,C517,D:D,D517)</f>
        <v>1</v>
      </c>
      <c r="B517" s="30">
        <v>202101155192</v>
      </c>
      <c r="C517" s="28" t="s">
        <v>1870</v>
      </c>
      <c r="D517" s="28" t="s">
        <v>1871</v>
      </c>
      <c r="E517" s="28" t="s">
        <v>4895</v>
      </c>
      <c r="F517" s="28" t="s">
        <v>53</v>
      </c>
      <c r="G517" s="27" t="str">
        <f t="shared" si="16"/>
        <v>1919 RUNNELS ST  HOUSTON</v>
      </c>
      <c r="H517" s="27" t="str">
        <f t="shared" si="17"/>
        <v>HOUSTON TX 77003</v>
      </c>
    </row>
    <row r="518" spans="1:8" x14ac:dyDescent="0.2">
      <c r="A518" s="27">
        <f>COUNTIFS(C:C,C518,D:D,D518)</f>
        <v>1</v>
      </c>
      <c r="B518" s="30">
        <v>202101155195</v>
      </c>
      <c r="C518" t="s">
        <v>2769</v>
      </c>
      <c r="D518" t="s">
        <v>2770</v>
      </c>
      <c r="E518" t="s">
        <v>4943</v>
      </c>
      <c r="F518" t="s">
        <v>99</v>
      </c>
      <c r="G518" s="27" t="str">
        <f t="shared" si="16"/>
        <v>14618 TAYMOUTH DR  HOUSTON</v>
      </c>
      <c r="H518" s="27" t="str">
        <f t="shared" si="17"/>
        <v>HOUSTON TX 77084</v>
      </c>
    </row>
    <row r="519" spans="1:8" x14ac:dyDescent="0.2">
      <c r="A519" s="27">
        <f>COUNTIFS(C:C,C519,D:D,D519)</f>
        <v>1</v>
      </c>
      <c r="B519" s="30">
        <v>202101155197</v>
      </c>
      <c r="C519" t="s">
        <v>1980</v>
      </c>
      <c r="D519" t="s">
        <v>1981</v>
      </c>
      <c r="E519" t="s">
        <v>4966</v>
      </c>
      <c r="F519" t="s">
        <v>4801</v>
      </c>
      <c r="G519" s="27" t="str">
        <f t="shared" si="16"/>
        <v>1002 JAMES ST  DEER PARK</v>
      </c>
      <c r="H519" s="27" t="str">
        <f t="shared" si="17"/>
        <v>HOUSTON TX 77536</v>
      </c>
    </row>
    <row r="520" spans="1:8" x14ac:dyDescent="0.2">
      <c r="A520" s="27">
        <f>COUNTIFS(C:C,C520,D:D,D520)</f>
        <v>1</v>
      </c>
      <c r="B520" s="30">
        <v>202101155202</v>
      </c>
      <c r="C520" t="s">
        <v>2871</v>
      </c>
      <c r="D520" t="s">
        <v>2872</v>
      </c>
      <c r="E520" t="s">
        <v>5160</v>
      </c>
      <c r="F520" t="s">
        <v>56</v>
      </c>
      <c r="G520" s="27" t="str">
        <f t="shared" si="16"/>
        <v>101 CRAWFORD ST 202  HOUSTON</v>
      </c>
      <c r="H520" s="27" t="str">
        <f t="shared" si="17"/>
        <v>HOUSTON TX 77002</v>
      </c>
    </row>
    <row r="521" spans="1:8" x14ac:dyDescent="0.2">
      <c r="A521" s="27">
        <f>COUNTIFS(C:C,C521,D:D,D521)</f>
        <v>1</v>
      </c>
      <c r="B521" s="30">
        <v>202101155206</v>
      </c>
      <c r="C521" s="28" t="s">
        <v>1297</v>
      </c>
      <c r="D521" s="28" t="s">
        <v>1298</v>
      </c>
      <c r="E521" s="28" t="s">
        <v>4852</v>
      </c>
      <c r="F521" s="28" t="s">
        <v>68</v>
      </c>
      <c r="G521" s="27" t="str">
        <f t="shared" si="16"/>
        <v>7302 BRETSHIRE DR  HOUSTON</v>
      </c>
      <c r="H521" s="27" t="str">
        <f t="shared" si="17"/>
        <v>HOUSTON TX 77016</v>
      </c>
    </row>
    <row r="522" spans="1:8" x14ac:dyDescent="0.2">
      <c r="A522" s="27">
        <f>COUNTIFS(C:C,C522,D:D,D522)</f>
        <v>1</v>
      </c>
      <c r="B522" s="30">
        <v>202101155208</v>
      </c>
      <c r="C522" t="s">
        <v>3420</v>
      </c>
      <c r="D522" t="s">
        <v>3421</v>
      </c>
      <c r="E522" t="s">
        <v>4948</v>
      </c>
      <c r="F522" t="s">
        <v>57</v>
      </c>
      <c r="G522" s="27" t="str">
        <f t="shared" si="16"/>
        <v>416 E 9TH ST  HOUSTON</v>
      </c>
      <c r="H522" s="27" t="str">
        <f t="shared" si="17"/>
        <v>HOUSTON TX 77007</v>
      </c>
    </row>
    <row r="523" spans="1:8" x14ac:dyDescent="0.2">
      <c r="A523" s="27">
        <f>COUNTIFS(C:C,C523,D:D,D523)</f>
        <v>1</v>
      </c>
      <c r="B523" s="30">
        <v>202101155209</v>
      </c>
      <c r="C523" t="s">
        <v>3063</v>
      </c>
      <c r="D523" t="s">
        <v>3064</v>
      </c>
      <c r="E523" t="s">
        <v>4906</v>
      </c>
      <c r="F523" t="s">
        <v>53</v>
      </c>
      <c r="G523" s="27" t="str">
        <f t="shared" si="16"/>
        <v>3340 FEDERAL RD  PASADENA</v>
      </c>
      <c r="H523" s="27" t="str">
        <f t="shared" si="17"/>
        <v>HOUSTON TX 77504</v>
      </c>
    </row>
    <row r="524" spans="1:8" x14ac:dyDescent="0.2">
      <c r="A524" s="27">
        <f>COUNTIFS(C:C,C524,D:D,D524)</f>
        <v>1</v>
      </c>
      <c r="B524" s="30">
        <v>202101155210</v>
      </c>
      <c r="C524" s="28" t="s">
        <v>958</v>
      </c>
      <c r="D524" s="28" t="s">
        <v>959</v>
      </c>
      <c r="E524" s="28" t="s">
        <v>4951</v>
      </c>
      <c r="F524" s="28" t="s">
        <v>154</v>
      </c>
      <c r="G524" s="27" t="str">
        <f t="shared" si="16"/>
        <v>8300 QUEENSTON BLVD 537 HOUSTON</v>
      </c>
      <c r="H524" s="27" t="str">
        <f t="shared" si="17"/>
        <v>HOUSTON TX 77095</v>
      </c>
    </row>
    <row r="525" spans="1:8" x14ac:dyDescent="0.2">
      <c r="A525" s="27">
        <f>COUNTIFS(C:C,C525,D:D,D525)</f>
        <v>1</v>
      </c>
      <c r="B525" s="30">
        <v>202101155217</v>
      </c>
      <c r="C525" s="28" t="s">
        <v>1642</v>
      </c>
      <c r="D525" s="28" t="s">
        <v>1643</v>
      </c>
      <c r="E525" s="28" t="s">
        <v>4908</v>
      </c>
      <c r="F525" s="28" t="s">
        <v>53</v>
      </c>
      <c r="G525" s="27" t="str">
        <f t="shared" si="16"/>
        <v>22306 BRIDGESTONE CAN YON DR SPRING</v>
      </c>
      <c r="H525" s="27" t="str">
        <f t="shared" si="17"/>
        <v>HOUSTON TX 77379</v>
      </c>
    </row>
    <row r="526" spans="1:8" x14ac:dyDescent="0.2">
      <c r="A526" s="27">
        <f>COUNTIFS(C:C,C526,D:D,D526)</f>
        <v>1</v>
      </c>
      <c r="B526" s="30">
        <v>202101155220</v>
      </c>
      <c r="C526" s="28" t="s">
        <v>1545</v>
      </c>
      <c r="D526" s="28" t="s">
        <v>1546</v>
      </c>
      <c r="E526" s="28" t="s">
        <v>4917</v>
      </c>
      <c r="F526" s="28" t="s">
        <v>53</v>
      </c>
      <c r="G526" s="27" t="str">
        <f t="shared" si="16"/>
        <v>8801 SOUTH BRAESWOOD  HOUSTON</v>
      </c>
      <c r="H526" s="27" t="str">
        <f t="shared" si="17"/>
        <v>HOUSTON TX 77031</v>
      </c>
    </row>
    <row r="527" spans="1:8" x14ac:dyDescent="0.2">
      <c r="A527" s="27">
        <f>COUNTIFS(C:C,C527,D:D,D527)</f>
        <v>1</v>
      </c>
      <c r="B527" s="30">
        <v>202101155223</v>
      </c>
      <c r="C527" t="s">
        <v>3330</v>
      </c>
      <c r="D527" t="s">
        <v>3331</v>
      </c>
      <c r="E527" t="s">
        <v>4964</v>
      </c>
      <c r="F527" t="s">
        <v>361</v>
      </c>
      <c r="G527" s="27" t="str">
        <f t="shared" si="16"/>
        <v>2511 2ND ST  GALENA PAR</v>
      </c>
      <c r="H527" s="27" t="str">
        <f t="shared" si="17"/>
        <v>HOUSTON TX 77547</v>
      </c>
    </row>
    <row r="528" spans="1:8" x14ac:dyDescent="0.2">
      <c r="A528" s="27">
        <f>COUNTIFS(C:C,C528,D:D,D528)</f>
        <v>1</v>
      </c>
      <c r="B528" s="30">
        <v>202101155226</v>
      </c>
      <c r="C528" t="s">
        <v>2140</v>
      </c>
      <c r="D528" t="s">
        <v>2141</v>
      </c>
      <c r="E528" t="s">
        <v>5105</v>
      </c>
      <c r="F528" t="s">
        <v>87</v>
      </c>
      <c r="G528" s="27" t="str">
        <f t="shared" si="16"/>
        <v>1143 COUNTY ROAD 219  EAST BERNA</v>
      </c>
      <c r="H528" s="27" t="str">
        <f t="shared" si="17"/>
        <v>HOUSTON TX 77435</v>
      </c>
    </row>
    <row r="529" spans="1:8" x14ac:dyDescent="0.2">
      <c r="A529" s="27">
        <f>COUNTIFS(C:C,C529,D:D,D529)</f>
        <v>1</v>
      </c>
      <c r="B529" s="30">
        <v>202101155229</v>
      </c>
      <c r="C529" t="s">
        <v>3422</v>
      </c>
      <c r="D529" t="s">
        <v>3423</v>
      </c>
      <c r="E529" t="s">
        <v>4878</v>
      </c>
      <c r="F529" t="s">
        <v>56</v>
      </c>
      <c r="G529" s="27" t="str">
        <f t="shared" si="16"/>
        <v>5715 VISION LN  HOUSTON</v>
      </c>
      <c r="H529" s="27" t="str">
        <f t="shared" si="17"/>
        <v>HOUSTON TX 77048</v>
      </c>
    </row>
    <row r="530" spans="1:8" x14ac:dyDescent="0.2">
      <c r="A530" s="27">
        <f>COUNTIFS(C:C,C530,D:D,D530)</f>
        <v>1</v>
      </c>
      <c r="B530" s="30">
        <v>202101155230</v>
      </c>
      <c r="C530" t="s">
        <v>3424</v>
      </c>
      <c r="D530" t="s">
        <v>3425</v>
      </c>
      <c r="E530" t="s">
        <v>4968</v>
      </c>
      <c r="F530" t="s">
        <v>88</v>
      </c>
      <c r="G530" s="27" t="str">
        <f t="shared" si="16"/>
        <v>1118 SUNSET LAKES DR  PEARLAND</v>
      </c>
      <c r="H530" s="27" t="str">
        <f t="shared" si="17"/>
        <v>HOUSTON TX 77581</v>
      </c>
    </row>
    <row r="531" spans="1:8" x14ac:dyDescent="0.2">
      <c r="A531" s="27">
        <f>COUNTIFS(C:C,C531,D:D,D531)</f>
        <v>1</v>
      </c>
      <c r="B531" s="30">
        <v>202101155231</v>
      </c>
      <c r="C531" t="s">
        <v>3426</v>
      </c>
      <c r="D531" t="s">
        <v>3427</v>
      </c>
      <c r="E531" t="s">
        <v>4862</v>
      </c>
      <c r="F531" t="s">
        <v>88</v>
      </c>
      <c r="G531" s="27" t="str">
        <f t="shared" si="16"/>
        <v>12655 KUYKENDAHL RD 5 303 HOUSTON</v>
      </c>
      <c r="H531" s="27" t="str">
        <f t="shared" si="17"/>
        <v>HOUSTON TX 77090</v>
      </c>
    </row>
    <row r="532" spans="1:8" x14ac:dyDescent="0.2">
      <c r="A532" s="27">
        <f>COUNTIFS(C:C,C532,D:D,D532)</f>
        <v>1</v>
      </c>
      <c r="B532" s="30">
        <v>202101155235</v>
      </c>
      <c r="C532" s="28" t="s">
        <v>876</v>
      </c>
      <c r="D532" s="28" t="s">
        <v>877</v>
      </c>
      <c r="E532" s="28" t="s">
        <v>4900</v>
      </c>
      <c r="F532" s="28" t="s">
        <v>86</v>
      </c>
      <c r="G532" s="27" t="str">
        <f t="shared" si="16"/>
        <v>22110 PEARL LAKE DR  KATY</v>
      </c>
      <c r="H532" s="27" t="str">
        <f t="shared" si="17"/>
        <v>HOUSTON TX 77449</v>
      </c>
    </row>
    <row r="533" spans="1:8" x14ac:dyDescent="0.2">
      <c r="A533" s="27">
        <f>COUNTIFS(C:C,C533,D:D,D533)</f>
        <v>1</v>
      </c>
      <c r="B533" s="30">
        <v>202101155236</v>
      </c>
      <c r="C533" t="s">
        <v>2308</v>
      </c>
      <c r="D533" t="s">
        <v>2309</v>
      </c>
      <c r="E533" t="s">
        <v>4991</v>
      </c>
      <c r="F533" t="s">
        <v>88</v>
      </c>
      <c r="G533" s="27" t="str">
        <f t="shared" si="16"/>
        <v>9707 RICHMOND AVE  HOUSTON</v>
      </c>
      <c r="H533" s="27" t="str">
        <f t="shared" si="17"/>
        <v>HOUSTON TX 77042</v>
      </c>
    </row>
    <row r="534" spans="1:8" x14ac:dyDescent="0.2">
      <c r="A534" s="27">
        <f>COUNTIFS(C:C,C534,D:D,D534)</f>
        <v>1</v>
      </c>
      <c r="B534" s="30">
        <v>202101155246</v>
      </c>
      <c r="C534" t="s">
        <v>3430</v>
      </c>
      <c r="D534" t="s">
        <v>3431</v>
      </c>
      <c r="E534" t="s">
        <v>4905</v>
      </c>
      <c r="F534" t="s">
        <v>66</v>
      </c>
      <c r="G534" s="27" t="str">
        <f t="shared" si="16"/>
        <v>703 TEABURY AVE  PASADENA</v>
      </c>
      <c r="H534" s="27" t="str">
        <f t="shared" si="17"/>
        <v>HOUSTON TX 77503</v>
      </c>
    </row>
    <row r="535" spans="1:8" x14ac:dyDescent="0.2">
      <c r="A535" s="27">
        <f>COUNTIFS(C:C,C535,D:D,D535)</f>
        <v>1</v>
      </c>
      <c r="B535" s="30">
        <v>202101155250</v>
      </c>
      <c r="C535" t="s">
        <v>3432</v>
      </c>
      <c r="D535" t="s">
        <v>3433</v>
      </c>
      <c r="E535" t="s">
        <v>4887</v>
      </c>
      <c r="F535" t="s">
        <v>53</v>
      </c>
      <c r="G535" s="27" t="str">
        <f t="shared" si="16"/>
        <v>235 KESTREL LN  ROSHARON</v>
      </c>
      <c r="H535" s="27" t="str">
        <f t="shared" si="17"/>
        <v>HOUSTON TX 77583</v>
      </c>
    </row>
    <row r="536" spans="1:8" x14ac:dyDescent="0.2">
      <c r="A536" s="27">
        <f>COUNTIFS(C:C,C536,D:D,D536)</f>
        <v>1</v>
      </c>
      <c r="B536" s="30">
        <v>202101155252</v>
      </c>
      <c r="C536" t="s">
        <v>2546</v>
      </c>
      <c r="D536" t="s">
        <v>2547</v>
      </c>
      <c r="E536" t="s">
        <v>5077</v>
      </c>
      <c r="F536" t="s">
        <v>286</v>
      </c>
      <c r="G536" s="27" t="str">
        <f t="shared" si="16"/>
        <v>12000 FLEMING DR  HOUSTON</v>
      </c>
      <c r="H536" s="27" t="str">
        <f t="shared" si="17"/>
        <v>HOUSTON TX 77013</v>
      </c>
    </row>
    <row r="537" spans="1:8" x14ac:dyDescent="0.2">
      <c r="A537" s="27">
        <f>COUNTIFS(C:C,C537,D:D,D537)</f>
        <v>1</v>
      </c>
      <c r="B537" s="30">
        <v>202101155258</v>
      </c>
      <c r="C537" t="s">
        <v>2753</v>
      </c>
      <c r="D537" t="s">
        <v>2754</v>
      </c>
      <c r="E537" t="s">
        <v>5153</v>
      </c>
      <c r="F537" t="s">
        <v>57</v>
      </c>
      <c r="G537" s="27" t="str">
        <f t="shared" si="16"/>
        <v>14023 ST HWY 155 S  TYLER</v>
      </c>
      <c r="H537" s="27" t="str">
        <f t="shared" si="17"/>
        <v>HOUSTON TX 75703</v>
      </c>
    </row>
    <row r="538" spans="1:8" x14ac:dyDescent="0.2">
      <c r="A538" s="27">
        <f>COUNTIFS(C:C,C538,D:D,D538)</f>
        <v>1</v>
      </c>
      <c r="B538" s="30">
        <v>202101155259</v>
      </c>
      <c r="C538" t="s">
        <v>3220</v>
      </c>
      <c r="D538" t="s">
        <v>3221</v>
      </c>
      <c r="E538" t="s">
        <v>4862</v>
      </c>
      <c r="F538" t="s">
        <v>53</v>
      </c>
      <c r="G538" s="27" t="str">
        <f t="shared" si="16"/>
        <v>1000 CYPRESS STATION DRIVE 301 HOUSTON</v>
      </c>
      <c r="H538" s="27" t="str">
        <f t="shared" si="17"/>
        <v>HOUSTON TX 77090</v>
      </c>
    </row>
    <row r="539" spans="1:8" x14ac:dyDescent="0.2">
      <c r="A539" s="27">
        <f>COUNTIFS(C:C,C539,D:D,D539)</f>
        <v>1</v>
      </c>
      <c r="B539" s="30">
        <v>202101155265</v>
      </c>
      <c r="C539" t="s">
        <v>3083</v>
      </c>
      <c r="D539" t="s">
        <v>3084</v>
      </c>
      <c r="E539" t="s">
        <v>4949</v>
      </c>
      <c r="F539" t="s">
        <v>75</v>
      </c>
      <c r="G539" s="27" t="str">
        <f t="shared" si="16"/>
        <v>14445 WALLISVILLE RD  HOUSTON</v>
      </c>
      <c r="H539" s="27" t="str">
        <f t="shared" si="17"/>
        <v>HOUSTON TX 77049</v>
      </c>
    </row>
    <row r="540" spans="1:8" x14ac:dyDescent="0.2">
      <c r="A540" s="27">
        <f>COUNTIFS(C:C,C540,D:D,D540)</f>
        <v>1</v>
      </c>
      <c r="B540" s="30">
        <v>202101155273</v>
      </c>
      <c r="C540" t="s">
        <v>3440</v>
      </c>
      <c r="D540" t="s">
        <v>3441</v>
      </c>
      <c r="E540" t="s">
        <v>5009</v>
      </c>
      <c r="F540" t="s">
        <v>56</v>
      </c>
      <c r="G540" s="27" t="str">
        <f t="shared" si="16"/>
        <v>4806 GRELINDE ST  SEABROOK</v>
      </c>
      <c r="H540" s="27" t="str">
        <f t="shared" si="17"/>
        <v>HOUSTON TX 77586</v>
      </c>
    </row>
    <row r="541" spans="1:8" x14ac:dyDescent="0.2">
      <c r="A541" s="27">
        <f>COUNTIFS(C:C,C541,D:D,D541)</f>
        <v>1</v>
      </c>
      <c r="B541" s="30">
        <v>202101155274</v>
      </c>
      <c r="C541" t="s">
        <v>3442</v>
      </c>
      <c r="D541" t="s">
        <v>3443</v>
      </c>
      <c r="E541" t="s">
        <v>4889</v>
      </c>
      <c r="F541" t="s">
        <v>78</v>
      </c>
      <c r="G541" s="27" t="str">
        <f t="shared" si="16"/>
        <v>13011 NORTHBOROUGH DR 402 HOUSTON</v>
      </c>
      <c r="H541" s="27" t="str">
        <f t="shared" si="17"/>
        <v>HOUSTON TX 77067</v>
      </c>
    </row>
    <row r="542" spans="1:8" x14ac:dyDescent="0.2">
      <c r="A542" s="27">
        <f>COUNTIFS(C:C,C542,D:D,D542)</f>
        <v>1</v>
      </c>
      <c r="B542" s="30">
        <v>202101155275</v>
      </c>
      <c r="C542" t="s">
        <v>2959</v>
      </c>
      <c r="D542" t="s">
        <v>2960</v>
      </c>
      <c r="E542" t="s">
        <v>4858</v>
      </c>
      <c r="F542" t="s">
        <v>88</v>
      </c>
      <c r="G542" s="27" t="str">
        <f t="shared" si="16"/>
        <v>6026 WATERWALK CT  RICHMOND</v>
      </c>
      <c r="H542" s="27" t="str">
        <f t="shared" si="17"/>
        <v>HOUSTON TX 77469</v>
      </c>
    </row>
    <row r="543" spans="1:8" x14ac:dyDescent="0.2">
      <c r="A543" s="27">
        <f>COUNTIFS(C:C,C543,D:D,D543)</f>
        <v>1</v>
      </c>
      <c r="B543" s="30">
        <v>202101155277</v>
      </c>
      <c r="C543" t="s">
        <v>1951</v>
      </c>
      <c r="D543" t="s">
        <v>1952</v>
      </c>
      <c r="E543" t="s">
        <v>4886</v>
      </c>
      <c r="F543" t="s">
        <v>53</v>
      </c>
      <c r="G543" s="27" t="str">
        <f t="shared" si="16"/>
        <v>6300 W BELFORT  HOUSTON</v>
      </c>
      <c r="H543" s="27" t="str">
        <f t="shared" si="17"/>
        <v>HOUSTON TX 77035</v>
      </c>
    </row>
    <row r="544" spans="1:8" x14ac:dyDescent="0.2">
      <c r="A544" s="27">
        <f>COUNTIFS(C:C,C544,D:D,D544)</f>
        <v>1</v>
      </c>
      <c r="B544" s="30">
        <v>202101155281</v>
      </c>
      <c r="C544" s="28" t="s">
        <v>1638</v>
      </c>
      <c r="D544" s="28" t="s">
        <v>1639</v>
      </c>
      <c r="E544" s="28" t="s">
        <v>4891</v>
      </c>
      <c r="F544" s="28" t="s">
        <v>71</v>
      </c>
      <c r="G544" s="27" t="str">
        <f t="shared" si="16"/>
        <v>8602 WILLIAMSDELL ST  HOUSTON</v>
      </c>
      <c r="H544" s="27" t="str">
        <f t="shared" si="17"/>
        <v>HOUSTON TX 77088</v>
      </c>
    </row>
    <row r="545" spans="1:8" x14ac:dyDescent="0.2">
      <c r="A545" s="27">
        <f>COUNTIFS(C:C,C545,D:D,D545)</f>
        <v>1</v>
      </c>
      <c r="B545" s="30">
        <v>202101155282</v>
      </c>
      <c r="C545" t="s">
        <v>2119</v>
      </c>
      <c r="D545" t="s">
        <v>2120</v>
      </c>
      <c r="E545" t="s">
        <v>4891</v>
      </c>
      <c r="F545" t="s">
        <v>333</v>
      </c>
      <c r="G545" s="27" t="str">
        <f t="shared" si="16"/>
        <v>8914 SUNNY HILL  HOUSTON</v>
      </c>
      <c r="H545" s="27" t="str">
        <f t="shared" si="17"/>
        <v>HOUSTON TX 77088</v>
      </c>
    </row>
    <row r="546" spans="1:8" x14ac:dyDescent="0.2">
      <c r="A546" s="27">
        <f>COUNTIFS(C:C,C546,D:D,D546)</f>
        <v>1</v>
      </c>
      <c r="B546" s="30">
        <v>202101155284</v>
      </c>
      <c r="C546" t="s">
        <v>2623</v>
      </c>
      <c r="D546" t="s">
        <v>2624</v>
      </c>
      <c r="E546" t="s">
        <v>4880</v>
      </c>
      <c r="F546" t="s">
        <v>56</v>
      </c>
      <c r="G546" s="27" t="str">
        <f t="shared" si="16"/>
        <v>3807 DELANO ST  HOUSTON</v>
      </c>
      <c r="H546" s="27" t="str">
        <f t="shared" si="17"/>
        <v>HOUSTON TX 77004</v>
      </c>
    </row>
    <row r="547" spans="1:8" x14ac:dyDescent="0.2">
      <c r="A547" s="27">
        <f>COUNTIFS(C:C,C547,D:D,D547)</f>
        <v>1</v>
      </c>
      <c r="B547" s="30">
        <v>202101155285</v>
      </c>
      <c r="C547" s="28" t="s">
        <v>1145</v>
      </c>
      <c r="D547" s="28" t="s">
        <v>1146</v>
      </c>
      <c r="E547" s="28" t="s">
        <v>4953</v>
      </c>
      <c r="F547" s="28" t="s">
        <v>4777</v>
      </c>
      <c r="G547" s="27" t="str">
        <f t="shared" si="16"/>
        <v>8505 DENBY ST  HOUSTON</v>
      </c>
      <c r="H547" s="27" t="str">
        <f t="shared" si="17"/>
        <v>HOUSTON TX 77012</v>
      </c>
    </row>
    <row r="548" spans="1:8" x14ac:dyDescent="0.2">
      <c r="A548" s="27">
        <f>COUNTIFS(C:C,C548,D:D,D548)</f>
        <v>1</v>
      </c>
      <c r="B548" s="30">
        <v>202101155287</v>
      </c>
      <c r="C548" s="28" t="s">
        <v>524</v>
      </c>
      <c r="D548" s="28" t="s">
        <v>525</v>
      </c>
      <c r="E548" s="28" t="s">
        <v>4898</v>
      </c>
      <c r="F548" s="28" t="s">
        <v>88</v>
      </c>
      <c r="G548" s="27" t="str">
        <f t="shared" si="16"/>
        <v>10901 TELEPHONE ROAD  HOUSTON</v>
      </c>
      <c r="H548" s="27" t="str">
        <f t="shared" si="17"/>
        <v>HOUSTON TX 77075</v>
      </c>
    </row>
    <row r="549" spans="1:8" x14ac:dyDescent="0.2">
      <c r="A549" s="27">
        <f>COUNTIFS(C:C,C549,D:D,D549)</f>
        <v>1</v>
      </c>
      <c r="B549" s="30">
        <v>202101155288</v>
      </c>
      <c r="C549" t="s">
        <v>3089</v>
      </c>
      <c r="D549" t="s">
        <v>3090</v>
      </c>
      <c r="E549" t="s">
        <v>4928</v>
      </c>
      <c r="F549" t="s">
        <v>53</v>
      </c>
      <c r="G549" s="27" t="str">
        <f t="shared" si="16"/>
        <v>2500 E WALLISVILLED  HIGHLANDS</v>
      </c>
      <c r="H549" s="27" t="str">
        <f t="shared" si="17"/>
        <v>HOUSTON TX 77562</v>
      </c>
    </row>
    <row r="550" spans="1:8" x14ac:dyDescent="0.2">
      <c r="A550" s="27">
        <f>COUNTIFS(C:C,C550,D:D,D550)</f>
        <v>1</v>
      </c>
      <c r="B550" s="30">
        <v>202101155289</v>
      </c>
      <c r="C550" t="s">
        <v>3446</v>
      </c>
      <c r="D550" t="s">
        <v>3447</v>
      </c>
      <c r="E550" t="s">
        <v>4984</v>
      </c>
      <c r="F550" t="s">
        <v>88</v>
      </c>
      <c r="G550" s="27" t="str">
        <f t="shared" si="16"/>
        <v>22718 NORTHGATE RIDGE  SPRING</v>
      </c>
      <c r="H550" s="27" t="str">
        <f t="shared" si="17"/>
        <v>HOUSTON TX 77373</v>
      </c>
    </row>
    <row r="551" spans="1:8" x14ac:dyDescent="0.2">
      <c r="A551" s="27">
        <f>COUNTIFS(C:C,C551,D:D,D551)</f>
        <v>1</v>
      </c>
      <c r="B551" s="30">
        <v>202101155293</v>
      </c>
      <c r="C551" s="28" t="s">
        <v>1790</v>
      </c>
      <c r="D551" s="28" t="s">
        <v>1791</v>
      </c>
      <c r="E551" s="28" t="s">
        <v>4935</v>
      </c>
      <c r="F551" s="28" t="s">
        <v>325</v>
      </c>
      <c r="G551" s="27" t="str">
        <f t="shared" si="16"/>
        <v>6127 WINSTEAD LN  HUMBLE</v>
      </c>
      <c r="H551" s="27" t="str">
        <f t="shared" si="17"/>
        <v>HOUSTON TX 77396</v>
      </c>
    </row>
    <row r="552" spans="1:8" x14ac:dyDescent="0.2">
      <c r="A552" s="27">
        <f>COUNTIFS(C:C,C552,D:D,D552)</f>
        <v>1</v>
      </c>
      <c r="B552" s="30">
        <v>202101155295</v>
      </c>
      <c r="C552" t="s">
        <v>2296</v>
      </c>
      <c r="D552" t="s">
        <v>2297</v>
      </c>
      <c r="E552" t="s">
        <v>5064</v>
      </c>
      <c r="F552" t="s">
        <v>51</v>
      </c>
      <c r="G552" s="27" t="str">
        <f t="shared" si="16"/>
        <v>1708 MECHANIC ST  GALVESTON</v>
      </c>
      <c r="H552" s="27" t="str">
        <f t="shared" si="17"/>
        <v>HOUSTON TX 77550</v>
      </c>
    </row>
    <row r="553" spans="1:8" x14ac:dyDescent="0.2">
      <c r="A553" s="27">
        <f>COUNTIFS(C:C,C553,D:D,D553)</f>
        <v>1</v>
      </c>
      <c r="B553" s="30">
        <v>202101155297</v>
      </c>
      <c r="C553" s="28" t="s">
        <v>1886</v>
      </c>
      <c r="D553" s="28" t="s">
        <v>1887</v>
      </c>
      <c r="E553" s="28" t="s">
        <v>4871</v>
      </c>
      <c r="F553" s="28" t="s">
        <v>328</v>
      </c>
      <c r="G553" s="27" t="str">
        <f t="shared" si="16"/>
        <v>11914 DUANE ST  HOUSTON</v>
      </c>
      <c r="H553" s="27" t="str">
        <f t="shared" si="17"/>
        <v>HOUSTON TX 77047</v>
      </c>
    </row>
    <row r="554" spans="1:8" x14ac:dyDescent="0.2">
      <c r="A554" s="27">
        <f>COUNTIFS(C:C,C554,D:D,D554)</f>
        <v>1</v>
      </c>
      <c r="B554" s="30">
        <v>202101155299</v>
      </c>
      <c r="C554" t="s">
        <v>3448</v>
      </c>
      <c r="D554" t="s">
        <v>3449</v>
      </c>
      <c r="E554" t="s">
        <v>4960</v>
      </c>
      <c r="F554" t="s">
        <v>53</v>
      </c>
      <c r="G554" s="27" t="str">
        <f t="shared" ref="G554:G617" si="18">D554&amp;" "&amp;MID(E554,1,FIND(" TX",E554)-1)</f>
        <v>16303 IMPERIAL VALLEY DR HOUSTON</v>
      </c>
      <c r="H554" s="27" t="str">
        <f t="shared" ref="H554:H617" si="19">"HOUSTON "&amp;MID(E554,FIND("TX",E554),8)</f>
        <v>HOUSTON TX 77060</v>
      </c>
    </row>
    <row r="555" spans="1:8" x14ac:dyDescent="0.2">
      <c r="A555" s="27">
        <f>COUNTIFS(C:C,C555,D:D,D555)</f>
        <v>1</v>
      </c>
      <c r="B555" s="30">
        <v>202101155302</v>
      </c>
      <c r="C555" t="s">
        <v>3450</v>
      </c>
      <c r="D555" t="s">
        <v>3451</v>
      </c>
      <c r="E555" t="s">
        <v>5189</v>
      </c>
      <c r="F555" t="s">
        <v>88</v>
      </c>
      <c r="G555" s="27" t="str">
        <f t="shared" si="18"/>
        <v>8008 SEAWALL BLVD  GALVESTON</v>
      </c>
      <c r="H555" s="27" t="str">
        <f t="shared" si="19"/>
        <v>HOUSTON TX 77357</v>
      </c>
    </row>
    <row r="556" spans="1:8" x14ac:dyDescent="0.2">
      <c r="A556" s="27">
        <f>COUNTIFS(C:C,C556,D:D,D556)</f>
        <v>1</v>
      </c>
      <c r="B556" s="30">
        <v>202101155306</v>
      </c>
      <c r="C556" t="s">
        <v>2424</v>
      </c>
      <c r="D556" t="s">
        <v>2425</v>
      </c>
      <c r="E556" t="s">
        <v>4854</v>
      </c>
      <c r="F556" t="s">
        <v>51</v>
      </c>
      <c r="G556" s="27" t="str">
        <f t="shared" si="18"/>
        <v>2203 HUTTON ST  HOUSTON</v>
      </c>
      <c r="H556" s="27" t="str">
        <f t="shared" si="19"/>
        <v>HOUSTON TX 77026</v>
      </c>
    </row>
    <row r="557" spans="1:8" x14ac:dyDescent="0.2">
      <c r="A557" s="27">
        <f>COUNTIFS(C:C,C557,D:D,D557)</f>
        <v>1</v>
      </c>
      <c r="B557" s="30">
        <v>202101155307</v>
      </c>
      <c r="C557" t="s">
        <v>2223</v>
      </c>
      <c r="D557" t="s">
        <v>2224</v>
      </c>
      <c r="E557" t="s">
        <v>4862</v>
      </c>
      <c r="F557" t="s">
        <v>53</v>
      </c>
      <c r="G557" s="27" t="str">
        <f t="shared" si="18"/>
        <v>505 CYPRESS STATION DR HOUSTON</v>
      </c>
      <c r="H557" s="27" t="str">
        <f t="shared" si="19"/>
        <v>HOUSTON TX 77090</v>
      </c>
    </row>
    <row r="558" spans="1:8" x14ac:dyDescent="0.2">
      <c r="A558" s="27">
        <f>COUNTIFS(C:C,C558,D:D,D558)</f>
        <v>1</v>
      </c>
      <c r="B558" s="30">
        <v>202101155308</v>
      </c>
      <c r="C558" t="s">
        <v>3453</v>
      </c>
      <c r="D558" t="s">
        <v>3454</v>
      </c>
      <c r="E558" t="s">
        <v>4862</v>
      </c>
      <c r="F558" t="s">
        <v>51</v>
      </c>
      <c r="G558" s="27" t="str">
        <f t="shared" si="18"/>
        <v>505 CYPRESS STATION DR APT 70 HOUSTON</v>
      </c>
      <c r="H558" s="27" t="str">
        <f t="shared" si="19"/>
        <v>HOUSTON TX 77090</v>
      </c>
    </row>
    <row r="559" spans="1:8" x14ac:dyDescent="0.2">
      <c r="A559" s="27">
        <f>COUNTIFS(C:C,C559,D:D,D559)</f>
        <v>1</v>
      </c>
      <c r="B559" s="30">
        <v>202101155311</v>
      </c>
      <c r="C559" t="s">
        <v>2695</v>
      </c>
      <c r="D559" t="s">
        <v>2696</v>
      </c>
      <c r="E559" t="s">
        <v>4852</v>
      </c>
      <c r="F559" t="s">
        <v>56</v>
      </c>
      <c r="G559" s="27" t="str">
        <f t="shared" si="18"/>
        <v>6411 COBALT ST  HOUSTON</v>
      </c>
      <c r="H559" s="27" t="str">
        <f t="shared" si="19"/>
        <v>HOUSTON TX 77016</v>
      </c>
    </row>
    <row r="560" spans="1:8" x14ac:dyDescent="0.2">
      <c r="A560" s="27">
        <f>COUNTIFS(C:C,C560,D:D,D560)</f>
        <v>1</v>
      </c>
      <c r="B560" s="30">
        <v>202101155313</v>
      </c>
      <c r="C560" t="s">
        <v>3455</v>
      </c>
      <c r="D560" t="s">
        <v>7612</v>
      </c>
      <c r="E560" t="s">
        <v>5137</v>
      </c>
      <c r="F560" t="s">
        <v>51</v>
      </c>
      <c r="G560" s="27" t="str">
        <f t="shared" si="18"/>
        <v>5455 RICHMOND HOUSTON</v>
      </c>
      <c r="H560" s="27" t="str">
        <f t="shared" si="19"/>
        <v>HOUSTON TX 77056</v>
      </c>
    </row>
    <row r="561" spans="1:8" x14ac:dyDescent="0.2">
      <c r="A561" s="27">
        <f>COUNTIFS(C:C,C561,D:D,D561)</f>
        <v>1</v>
      </c>
      <c r="B561" s="30">
        <v>202101155317</v>
      </c>
      <c r="C561" s="28" t="s">
        <v>1295</v>
      </c>
      <c r="D561" s="28" t="s">
        <v>1296</v>
      </c>
      <c r="E561" s="28" t="s">
        <v>4862</v>
      </c>
      <c r="F561" s="28" t="s">
        <v>88</v>
      </c>
      <c r="G561" s="27" t="str">
        <f t="shared" si="18"/>
        <v>1023 TULIPTREE LN  HOUSTON</v>
      </c>
      <c r="H561" s="27" t="str">
        <f t="shared" si="19"/>
        <v>HOUSTON TX 77090</v>
      </c>
    </row>
    <row r="562" spans="1:8" x14ac:dyDescent="0.2">
      <c r="A562" s="27">
        <f>COUNTIFS(C:C,C562,D:D,D562)</f>
        <v>1</v>
      </c>
      <c r="B562" s="30">
        <v>202101155325</v>
      </c>
      <c r="C562" t="s">
        <v>3039</v>
      </c>
      <c r="D562" t="s">
        <v>3040</v>
      </c>
      <c r="E562" t="s">
        <v>4882</v>
      </c>
      <c r="F562" t="s">
        <v>359</v>
      </c>
      <c r="G562" s="27" t="str">
        <f t="shared" si="18"/>
        <v>22514 SHIBEPARK CT  SPRING</v>
      </c>
      <c r="H562" s="27" t="str">
        <f t="shared" si="19"/>
        <v>HOUSTON TX 77389</v>
      </c>
    </row>
    <row r="563" spans="1:8" x14ac:dyDescent="0.2">
      <c r="A563" s="27">
        <f>COUNTIFS(C:C,C563,D:D,D563)</f>
        <v>1</v>
      </c>
      <c r="B563" s="30">
        <v>202101155328</v>
      </c>
      <c r="C563" t="s">
        <v>3456</v>
      </c>
      <c r="D563" t="s">
        <v>3457</v>
      </c>
      <c r="E563" t="s">
        <v>4936</v>
      </c>
      <c r="F563" t="s">
        <v>87</v>
      </c>
      <c r="G563" s="27" t="str">
        <f t="shared" si="18"/>
        <v>8000 CREEKBEND DR 81 6 HOUSTON</v>
      </c>
      <c r="H563" s="27" t="str">
        <f t="shared" si="19"/>
        <v>HOUSTON TX 77071</v>
      </c>
    </row>
    <row r="564" spans="1:8" x14ac:dyDescent="0.2">
      <c r="A564" s="27">
        <f>COUNTIFS(C:C,C564,D:D,D564)</f>
        <v>1</v>
      </c>
      <c r="B564" s="30">
        <v>202101155333</v>
      </c>
      <c r="C564" t="s">
        <v>3025</v>
      </c>
      <c r="D564" t="s">
        <v>3026</v>
      </c>
      <c r="E564" t="s">
        <v>4865</v>
      </c>
      <c r="F564" t="s">
        <v>53</v>
      </c>
      <c r="G564" s="27" t="str">
        <f t="shared" si="18"/>
        <v>13555 BREATON RIDGE S T HOUSTON</v>
      </c>
      <c r="H564" s="27" t="str">
        <f t="shared" si="19"/>
        <v xml:space="preserve">HOUSTON TX      </v>
      </c>
    </row>
    <row r="565" spans="1:8" x14ac:dyDescent="0.2">
      <c r="A565" s="27">
        <f>COUNTIFS(C:C,C565,D:D,D565)</f>
        <v>1</v>
      </c>
      <c r="B565" s="30">
        <v>202101155334</v>
      </c>
      <c r="C565" t="s">
        <v>2378</v>
      </c>
      <c r="D565" t="s">
        <v>2379</v>
      </c>
      <c r="E565" t="s">
        <v>5126</v>
      </c>
      <c r="F565" t="s">
        <v>88</v>
      </c>
      <c r="G565" s="27" t="str">
        <f t="shared" si="18"/>
        <v>900 RITCHIE  PALACIOUSE</v>
      </c>
      <c r="H565" s="27" t="str">
        <f t="shared" si="19"/>
        <v>HOUSTON TX 77465</v>
      </c>
    </row>
    <row r="566" spans="1:8" x14ac:dyDescent="0.2">
      <c r="A566" s="27">
        <f>COUNTIFS(C:C,C566,D:D,D566)</f>
        <v>1</v>
      </c>
      <c r="B566" s="30">
        <v>202101155336</v>
      </c>
      <c r="C566" t="s">
        <v>3458</v>
      </c>
      <c r="D566" t="s">
        <v>3459</v>
      </c>
      <c r="E566" t="s">
        <v>4896</v>
      </c>
      <c r="F566" t="s">
        <v>53</v>
      </c>
      <c r="G566" s="27" t="str">
        <f t="shared" si="18"/>
        <v>5810 FONDREN RD 206  HOUSTON</v>
      </c>
      <c r="H566" s="27" t="str">
        <f t="shared" si="19"/>
        <v>HOUSTON TX 77036</v>
      </c>
    </row>
    <row r="567" spans="1:8" x14ac:dyDescent="0.2">
      <c r="A567" s="27">
        <f>COUNTIFS(C:C,C567,D:D,D567)</f>
        <v>1</v>
      </c>
      <c r="B567" s="30">
        <v>202101155341</v>
      </c>
      <c r="C567" t="s">
        <v>2201</v>
      </c>
      <c r="D567" t="s">
        <v>2202</v>
      </c>
      <c r="E567" t="s">
        <v>4862</v>
      </c>
      <c r="F567" t="s">
        <v>71</v>
      </c>
      <c r="G567" s="27" t="str">
        <f t="shared" si="18"/>
        <v>905 CYPRESS STATION  HOUSTON</v>
      </c>
      <c r="H567" s="27" t="str">
        <f t="shared" si="19"/>
        <v>HOUSTON TX 77090</v>
      </c>
    </row>
    <row r="568" spans="1:8" x14ac:dyDescent="0.2">
      <c r="A568" s="27">
        <f>COUNTIFS(C:C,C568,D:D,D568)</f>
        <v>1</v>
      </c>
      <c r="B568" s="30">
        <v>202101155344</v>
      </c>
      <c r="C568" t="s">
        <v>1996</v>
      </c>
      <c r="D568" t="s">
        <v>1997</v>
      </c>
      <c r="E568" t="s">
        <v>4984</v>
      </c>
      <c r="F568" t="s">
        <v>91</v>
      </c>
      <c r="G568" s="27" t="str">
        <f t="shared" si="18"/>
        <v>23770 SPRINGWOODS VLG PKWY 326 SPRING</v>
      </c>
      <c r="H568" s="27" t="str">
        <f t="shared" si="19"/>
        <v>HOUSTON TX 77373</v>
      </c>
    </row>
    <row r="569" spans="1:8" x14ac:dyDescent="0.2">
      <c r="A569" s="27">
        <f>COUNTIFS(C:C,C569,D:D,D569)</f>
        <v>1</v>
      </c>
      <c r="B569" s="30">
        <v>202101155346</v>
      </c>
      <c r="C569" t="s">
        <v>3464</v>
      </c>
      <c r="D569" t="s">
        <v>3465</v>
      </c>
      <c r="E569" t="s">
        <v>5190</v>
      </c>
      <c r="F569" t="s">
        <v>369</v>
      </c>
      <c r="G569" s="27" t="e">
        <f t="shared" si="18"/>
        <v>#VALUE!</v>
      </c>
      <c r="H569" s="27" t="e">
        <f t="shared" si="19"/>
        <v>#VALUE!</v>
      </c>
    </row>
    <row r="570" spans="1:8" x14ac:dyDescent="0.2">
      <c r="A570" s="27">
        <f>COUNTIFS(C:C,C570,D:D,D570)</f>
        <v>1</v>
      </c>
      <c r="B570" s="30">
        <v>202101155353</v>
      </c>
      <c r="C570" t="s">
        <v>2520</v>
      </c>
      <c r="D570" t="s">
        <v>2521</v>
      </c>
      <c r="E570" t="s">
        <v>4880</v>
      </c>
      <c r="F570" t="s">
        <v>59</v>
      </c>
      <c r="G570" s="27" t="str">
        <f t="shared" si="18"/>
        <v>3264 SIMMONS STREET  HOUSTON</v>
      </c>
      <c r="H570" s="27" t="str">
        <f t="shared" si="19"/>
        <v>HOUSTON TX 77004</v>
      </c>
    </row>
    <row r="571" spans="1:8" x14ac:dyDescent="0.2">
      <c r="A571" s="27">
        <f>COUNTIFS(C:C,C571,D:D,D571)</f>
        <v>1</v>
      </c>
      <c r="B571" s="30">
        <v>202101155355</v>
      </c>
      <c r="C571" s="28" t="s">
        <v>1271</v>
      </c>
      <c r="D571" s="28" t="s">
        <v>1272</v>
      </c>
      <c r="E571" s="28" t="s">
        <v>5020</v>
      </c>
      <c r="F571" s="28" t="s">
        <v>90</v>
      </c>
      <c r="G571" s="27" t="str">
        <f t="shared" si="18"/>
        <v>7014 LIVERY LANE  CYPRESS</v>
      </c>
      <c r="H571" s="27" t="str">
        <f t="shared" si="19"/>
        <v>HOUSTON TX 77443</v>
      </c>
    </row>
    <row r="572" spans="1:8" x14ac:dyDescent="0.2">
      <c r="A572" s="27">
        <f>COUNTIFS(C:C,C572,D:D,D572)</f>
        <v>1</v>
      </c>
      <c r="B572" s="30">
        <v>202101155356</v>
      </c>
      <c r="C572" s="28" t="s">
        <v>603</v>
      </c>
      <c r="D572" s="28" t="s">
        <v>604</v>
      </c>
      <c r="E572" s="28" t="s">
        <v>4919</v>
      </c>
      <c r="F572" s="28" t="s">
        <v>99</v>
      </c>
      <c r="G572" s="27" t="str">
        <f t="shared" si="18"/>
        <v>5615 CHIMNEY ROCK RD APT 424 HOUSTON</v>
      </c>
      <c r="H572" s="27" t="str">
        <f t="shared" si="19"/>
        <v>HOUSTON TX 77081</v>
      </c>
    </row>
    <row r="573" spans="1:8" x14ac:dyDescent="0.2">
      <c r="A573" s="27">
        <f>COUNTIFS(C:C,C573,D:D,D573)</f>
        <v>1</v>
      </c>
      <c r="B573" s="30">
        <v>202101155358</v>
      </c>
      <c r="C573" t="s">
        <v>3069</v>
      </c>
      <c r="D573" t="s">
        <v>3070</v>
      </c>
      <c r="E573" t="s">
        <v>5069</v>
      </c>
      <c r="F573" t="s">
        <v>99</v>
      </c>
      <c r="G573" s="27" t="str">
        <f t="shared" si="18"/>
        <v>17231 BLACKHAWK BLVD  FRIENDSWOO</v>
      </c>
      <c r="H573" s="27" t="str">
        <f t="shared" si="19"/>
        <v>HOUSTON TX 77546</v>
      </c>
    </row>
    <row r="574" spans="1:8" x14ac:dyDescent="0.2">
      <c r="A574" s="27">
        <f>COUNTIFS(C:C,C574,D:D,D574)</f>
        <v>1</v>
      </c>
      <c r="B574" s="30">
        <v>202101155359</v>
      </c>
      <c r="C574" s="28" t="s">
        <v>1066</v>
      </c>
      <c r="D574" s="28" t="s">
        <v>1067</v>
      </c>
      <c r="E574" s="28" t="s">
        <v>5000</v>
      </c>
      <c r="F574" s="28" t="s">
        <v>97</v>
      </c>
      <c r="G574" s="27" t="str">
        <f t="shared" si="18"/>
        <v>23654 2ND ST  NEW CANEY</v>
      </c>
      <c r="H574" s="27" t="str">
        <f t="shared" si="19"/>
        <v>HOUSTON TX 77357</v>
      </c>
    </row>
    <row r="575" spans="1:8" x14ac:dyDescent="0.2">
      <c r="A575" s="27">
        <f>COUNTIFS(C:C,C575,D:D,D575)</f>
        <v>1</v>
      </c>
      <c r="B575" s="30">
        <v>202101155361</v>
      </c>
      <c r="C575" t="s">
        <v>3468</v>
      </c>
      <c r="D575" t="s">
        <v>3469</v>
      </c>
      <c r="E575" t="s">
        <v>4951</v>
      </c>
      <c r="F575" t="s">
        <v>51</v>
      </c>
      <c r="G575" s="27" t="str">
        <f t="shared" si="18"/>
        <v>7903 GRANT RIDGE LAN E HOUSTON</v>
      </c>
      <c r="H575" s="27" t="str">
        <f t="shared" si="19"/>
        <v>HOUSTON TX 77095</v>
      </c>
    </row>
    <row r="576" spans="1:8" x14ac:dyDescent="0.2">
      <c r="A576" s="27">
        <f>COUNTIFS(C:C,C576,D:D,D576)</f>
        <v>1</v>
      </c>
      <c r="B576" s="30">
        <v>202101155362</v>
      </c>
      <c r="C576" t="s">
        <v>3298</v>
      </c>
      <c r="D576" t="s">
        <v>3299</v>
      </c>
      <c r="E576" t="s">
        <v>4852</v>
      </c>
      <c r="F576" t="s">
        <v>53</v>
      </c>
      <c r="G576" s="27" t="str">
        <f t="shared" si="18"/>
        <v>4505 EARLINE ST  HOUSTON</v>
      </c>
      <c r="H576" s="27" t="str">
        <f t="shared" si="19"/>
        <v>HOUSTON TX 77016</v>
      </c>
    </row>
    <row r="577" spans="1:8" x14ac:dyDescent="0.2">
      <c r="A577" s="27">
        <f>COUNTIFS(C:C,C577,D:D,D577)</f>
        <v>1</v>
      </c>
      <c r="B577" s="30">
        <v>202101155372</v>
      </c>
      <c r="C577" t="s">
        <v>2979</v>
      </c>
      <c r="D577" t="s">
        <v>2980</v>
      </c>
      <c r="E577" t="s">
        <v>4915</v>
      </c>
      <c r="F577" t="s">
        <v>76</v>
      </c>
      <c r="G577" s="27" t="str">
        <f t="shared" si="18"/>
        <v>3723 ZEPHYR ST  HOUSTON</v>
      </c>
      <c r="H577" s="27" t="str">
        <f t="shared" si="19"/>
        <v>HOUSTON TX 77021</v>
      </c>
    </row>
    <row r="578" spans="1:8" x14ac:dyDescent="0.2">
      <c r="A578" s="27">
        <f>COUNTIFS(C:C,C578,D:D,D578)</f>
        <v>1</v>
      </c>
      <c r="B578" s="30">
        <v>202101155375</v>
      </c>
      <c r="C578" t="s">
        <v>3210</v>
      </c>
      <c r="D578" t="s">
        <v>3211</v>
      </c>
      <c r="E578" t="s">
        <v>5176</v>
      </c>
      <c r="F578" t="s">
        <v>53</v>
      </c>
      <c r="G578" s="27" t="str">
        <f t="shared" si="18"/>
        <v>12613 SEATTLE SLEW  JERSEY VIL</v>
      </c>
      <c r="H578" s="27" t="str">
        <f t="shared" si="19"/>
        <v>HOUSTON TX 77065</v>
      </c>
    </row>
    <row r="579" spans="1:8" x14ac:dyDescent="0.2">
      <c r="A579" s="27">
        <f>COUNTIFS(C:C,C579,D:D,D579)</f>
        <v>1</v>
      </c>
      <c r="B579" s="30">
        <v>202101155378</v>
      </c>
      <c r="C579" t="s">
        <v>3470</v>
      </c>
      <c r="D579" t="s">
        <v>7603</v>
      </c>
      <c r="E579" t="s">
        <v>4997</v>
      </c>
      <c r="F579" t="s">
        <v>53</v>
      </c>
      <c r="G579" s="27" t="str">
        <f t="shared" si="18"/>
        <v>11455 BISSONNET HOUSTON</v>
      </c>
      <c r="H579" s="27" t="str">
        <f t="shared" si="19"/>
        <v>HOUSTON TX 77099</v>
      </c>
    </row>
    <row r="580" spans="1:8" x14ac:dyDescent="0.2">
      <c r="A580" s="27">
        <f>COUNTIFS(C:C,C580,D:D,D580)</f>
        <v>1</v>
      </c>
      <c r="B580" s="30">
        <v>202101155381</v>
      </c>
      <c r="C580" t="s">
        <v>3473</v>
      </c>
      <c r="D580" t="s">
        <v>3474</v>
      </c>
      <c r="E580" t="s">
        <v>5187</v>
      </c>
      <c r="F580" t="s">
        <v>4832</v>
      </c>
      <c r="G580" s="27" t="str">
        <f t="shared" si="18"/>
        <v>1010 N TEAL ESTATES CIR FRESNO</v>
      </c>
      <c r="H580" s="27" t="str">
        <f t="shared" si="19"/>
        <v>HOUSTON TX 77545</v>
      </c>
    </row>
    <row r="581" spans="1:8" x14ac:dyDescent="0.2">
      <c r="A581" s="27">
        <f>COUNTIFS(C:C,C581,D:D,D581)</f>
        <v>1</v>
      </c>
      <c r="B581" s="30">
        <v>202101155382</v>
      </c>
      <c r="C581" s="28" t="s">
        <v>1910</v>
      </c>
      <c r="D581" s="28" t="s">
        <v>1911</v>
      </c>
      <c r="E581" s="28" t="s">
        <v>4969</v>
      </c>
      <c r="F581" s="28" t="s">
        <v>96</v>
      </c>
      <c r="G581" s="27" t="str">
        <f t="shared" si="18"/>
        <v>19534 SHADY BANK DR  TOMBALL</v>
      </c>
      <c r="H581" s="27" t="str">
        <f t="shared" si="19"/>
        <v>HOUSTON TX 77375</v>
      </c>
    </row>
    <row r="582" spans="1:8" x14ac:dyDescent="0.2">
      <c r="A582" s="27">
        <f>COUNTIFS(C:C,C582,D:D,D582)</f>
        <v>1</v>
      </c>
      <c r="B582" s="30">
        <v>202101155383</v>
      </c>
      <c r="C582" t="s">
        <v>3475</v>
      </c>
      <c r="D582" t="s">
        <v>3476</v>
      </c>
      <c r="E582" t="s">
        <v>5191</v>
      </c>
      <c r="F582" t="s">
        <v>53</v>
      </c>
      <c r="G582" s="27" t="str">
        <f t="shared" si="18"/>
        <v>2919 BARRIOS ST  LAREDO</v>
      </c>
      <c r="H582" s="27" t="str">
        <f t="shared" si="19"/>
        <v>HOUSTON TX 78043</v>
      </c>
    </row>
    <row r="583" spans="1:8" x14ac:dyDescent="0.2">
      <c r="A583" s="27">
        <f>COUNTIFS(C:C,C583,D:D,D583)</f>
        <v>1</v>
      </c>
      <c r="B583" s="30">
        <v>202101155389</v>
      </c>
      <c r="C583" t="s">
        <v>2095</v>
      </c>
      <c r="D583" t="s">
        <v>2096</v>
      </c>
      <c r="E583" t="s">
        <v>4951</v>
      </c>
      <c r="F583" t="s">
        <v>51</v>
      </c>
      <c r="G583" s="27" t="str">
        <f t="shared" si="18"/>
        <v>15030 CHETLAND PL DR  HOUSTON</v>
      </c>
      <c r="H583" s="27" t="str">
        <f t="shared" si="19"/>
        <v>HOUSTON TX 77095</v>
      </c>
    </row>
    <row r="584" spans="1:8" x14ac:dyDescent="0.2">
      <c r="A584" s="27">
        <f>COUNTIFS(C:C,C584,D:D,D584)</f>
        <v>1</v>
      </c>
      <c r="B584" s="30">
        <v>202101155390</v>
      </c>
      <c r="C584" s="28" t="s">
        <v>1727</v>
      </c>
      <c r="D584" s="28" t="s">
        <v>1728</v>
      </c>
      <c r="E584" s="28" t="s">
        <v>4874</v>
      </c>
      <c r="F584" s="28" t="s">
        <v>88</v>
      </c>
      <c r="G584" s="27" t="str">
        <f t="shared" si="18"/>
        <v>5542 GROVETON  HOUSTON</v>
      </c>
      <c r="H584" s="27" t="str">
        <f t="shared" si="19"/>
        <v>HOUSTON TX 77033</v>
      </c>
    </row>
    <row r="585" spans="1:8" x14ac:dyDescent="0.2">
      <c r="A585" s="27">
        <f>COUNTIFS(C:C,C585,D:D,D585)</f>
        <v>1</v>
      </c>
      <c r="B585" s="30">
        <v>202101155392</v>
      </c>
      <c r="C585" t="s">
        <v>3226</v>
      </c>
      <c r="D585" t="s">
        <v>3227</v>
      </c>
      <c r="E585" t="s">
        <v>4880</v>
      </c>
      <c r="F585" t="s">
        <v>51</v>
      </c>
      <c r="G585" s="27" t="str">
        <f t="shared" si="18"/>
        <v>2802 TRUXILLO  HOUSTON</v>
      </c>
      <c r="H585" s="27" t="str">
        <f t="shared" si="19"/>
        <v>HOUSTON TX 77004</v>
      </c>
    </row>
    <row r="586" spans="1:8" x14ac:dyDescent="0.2">
      <c r="A586" s="27">
        <f>COUNTIFS(C:C,C586,D:D,D586)</f>
        <v>1</v>
      </c>
      <c r="B586" s="30">
        <v>202101155394</v>
      </c>
      <c r="C586" t="s">
        <v>2932</v>
      </c>
      <c r="D586" t="s">
        <v>2933</v>
      </c>
      <c r="E586" t="s">
        <v>4874</v>
      </c>
      <c r="F586" t="s">
        <v>68</v>
      </c>
      <c r="G586" s="27" t="str">
        <f t="shared" si="18"/>
        <v>5867 WESTOVER ST  HOUSTON</v>
      </c>
      <c r="H586" s="27" t="str">
        <f t="shared" si="19"/>
        <v>HOUSTON TX 77033</v>
      </c>
    </row>
    <row r="587" spans="1:8" x14ac:dyDescent="0.2">
      <c r="A587" s="27">
        <f>COUNTIFS(C:C,C587,D:D,D587)</f>
        <v>1</v>
      </c>
      <c r="B587" s="30">
        <v>202101155397</v>
      </c>
      <c r="C587" t="s">
        <v>2038</v>
      </c>
      <c r="D587" t="s">
        <v>2039</v>
      </c>
      <c r="E587" t="s">
        <v>4997</v>
      </c>
      <c r="F587" t="s">
        <v>53</v>
      </c>
      <c r="G587" s="27" t="str">
        <f t="shared" si="18"/>
        <v>10611 SWAN GLEN DRIVE  HOUSTON</v>
      </c>
      <c r="H587" s="27" t="str">
        <f t="shared" si="19"/>
        <v>HOUSTON TX 77099</v>
      </c>
    </row>
    <row r="588" spans="1:8" x14ac:dyDescent="0.2">
      <c r="A588" s="27">
        <f>COUNTIFS(C:C,C588,D:D,D588)</f>
        <v>1</v>
      </c>
      <c r="B588" s="30">
        <v>202101155399</v>
      </c>
      <c r="C588" t="s">
        <v>2791</v>
      </c>
      <c r="D588" t="s">
        <v>2792</v>
      </c>
      <c r="E588" t="s">
        <v>4915</v>
      </c>
      <c r="F588" t="s">
        <v>79</v>
      </c>
      <c r="G588" s="27" t="str">
        <f t="shared" si="18"/>
        <v>5315 NEWKIRK LN  HOUSTON</v>
      </c>
      <c r="H588" s="27" t="str">
        <f t="shared" si="19"/>
        <v>HOUSTON TX 77021</v>
      </c>
    </row>
    <row r="589" spans="1:8" x14ac:dyDescent="0.2">
      <c r="A589" s="27">
        <f>COUNTIFS(C:C,C589,D:D,D589)</f>
        <v>1</v>
      </c>
      <c r="B589" s="30">
        <v>202101155400</v>
      </c>
      <c r="C589" t="s">
        <v>3228</v>
      </c>
      <c r="D589" t="s">
        <v>3229</v>
      </c>
      <c r="E589" t="s">
        <v>4898</v>
      </c>
      <c r="F589" t="s">
        <v>79</v>
      </c>
      <c r="G589" s="27" t="str">
        <f t="shared" si="18"/>
        <v>9800 HOLLOCK ST  HOUSTON</v>
      </c>
      <c r="H589" s="27" t="str">
        <f t="shared" si="19"/>
        <v>HOUSTON TX 77075</v>
      </c>
    </row>
    <row r="590" spans="1:8" x14ac:dyDescent="0.2">
      <c r="A590" s="27">
        <f>COUNTIFS(C:C,C590,D:D,D590)</f>
        <v>1</v>
      </c>
      <c r="B590" s="30">
        <v>202101155402</v>
      </c>
      <c r="C590" t="s">
        <v>2666</v>
      </c>
      <c r="D590" t="s">
        <v>2667</v>
      </c>
      <c r="E590" t="s">
        <v>5142</v>
      </c>
      <c r="F590" t="s">
        <v>88</v>
      </c>
      <c r="G590" s="27" t="str">
        <f t="shared" si="18"/>
        <v>19245 HWY 90  CHINA</v>
      </c>
      <c r="H590" s="27" t="str">
        <f t="shared" si="19"/>
        <v>HOUSTON TX 77613</v>
      </c>
    </row>
    <row r="591" spans="1:8" x14ac:dyDescent="0.2">
      <c r="A591" s="27">
        <f>COUNTIFS(C:C,C591,D:D,D591)</f>
        <v>1</v>
      </c>
      <c r="B591" s="30">
        <v>202101155404</v>
      </c>
      <c r="C591" t="s">
        <v>2087</v>
      </c>
      <c r="D591" t="s">
        <v>2088</v>
      </c>
      <c r="E591" t="s">
        <v>4891</v>
      </c>
      <c r="F591" t="s">
        <v>79</v>
      </c>
      <c r="G591" s="27" t="str">
        <f t="shared" si="18"/>
        <v>9722 PARK HEATH LN  HOUSTON</v>
      </c>
      <c r="H591" s="27" t="str">
        <f t="shared" si="19"/>
        <v>HOUSTON TX 77088</v>
      </c>
    </row>
    <row r="592" spans="1:8" x14ac:dyDescent="0.2">
      <c r="A592" s="27">
        <f>COUNTIFS(C:C,C592,D:D,D592)</f>
        <v>1</v>
      </c>
      <c r="B592" s="30">
        <v>202101155405</v>
      </c>
      <c r="C592" t="s">
        <v>3481</v>
      </c>
      <c r="D592" t="s">
        <v>3482</v>
      </c>
      <c r="E592" t="s">
        <v>5023</v>
      </c>
      <c r="F592" t="s">
        <v>56</v>
      </c>
      <c r="G592" s="27" t="str">
        <f t="shared" si="18"/>
        <v>8820 WESTHEIMER RD 2 230 HOUSTON</v>
      </c>
      <c r="H592" s="27" t="str">
        <f t="shared" si="19"/>
        <v>HOUSTON TX 77063</v>
      </c>
    </row>
    <row r="593" spans="1:8" x14ac:dyDescent="0.2">
      <c r="A593" s="27">
        <f>COUNTIFS(C:C,C593,D:D,D593)</f>
        <v>1</v>
      </c>
      <c r="B593" s="30">
        <v>202101155406</v>
      </c>
      <c r="C593" t="s">
        <v>3483</v>
      </c>
      <c r="D593" t="s">
        <v>3484</v>
      </c>
      <c r="E593" t="s">
        <v>4989</v>
      </c>
      <c r="F593" t="s">
        <v>88</v>
      </c>
      <c r="G593" s="27" t="str">
        <f t="shared" si="18"/>
        <v>1805 S EGRET BAY  LEAGUE CIT</v>
      </c>
      <c r="H593" s="27" t="str">
        <f t="shared" si="19"/>
        <v>HOUSTON TX 77573</v>
      </c>
    </row>
    <row r="594" spans="1:8" x14ac:dyDescent="0.2">
      <c r="A594" s="27">
        <f>COUNTIFS(C:C,C594,D:D,D594)</f>
        <v>1</v>
      </c>
      <c r="B594" s="30">
        <v>202101155407</v>
      </c>
      <c r="C594" s="28" t="s">
        <v>1338</v>
      </c>
      <c r="D594" s="28" t="s">
        <v>1339</v>
      </c>
      <c r="E594" s="28" t="s">
        <v>4879</v>
      </c>
      <c r="F594" s="28" t="s">
        <v>53</v>
      </c>
      <c r="G594" s="27" t="str">
        <f t="shared" si="18"/>
        <v>5950 ANTIONE  HOUSTON</v>
      </c>
      <c r="H594" s="27" t="str">
        <f t="shared" si="19"/>
        <v>HOUSTON TX 77091</v>
      </c>
    </row>
    <row r="595" spans="1:8" x14ac:dyDescent="0.2">
      <c r="A595" s="27">
        <f>COUNTIFS(C:C,C595,D:D,D595)</f>
        <v>1</v>
      </c>
      <c r="B595" s="30">
        <v>202101155408</v>
      </c>
      <c r="C595" t="s">
        <v>3485</v>
      </c>
      <c r="D595" t="s">
        <v>3486</v>
      </c>
      <c r="E595" t="s">
        <v>4994</v>
      </c>
      <c r="F595" t="s">
        <v>88</v>
      </c>
      <c r="G595" s="27" t="str">
        <f t="shared" si="18"/>
        <v>17418 SORREL RIDGE DR IVE SPRING</v>
      </c>
      <c r="H595" s="27" t="str">
        <f t="shared" si="19"/>
        <v>HOUSTON TX 77388</v>
      </c>
    </row>
    <row r="596" spans="1:8" x14ac:dyDescent="0.2">
      <c r="A596" s="27">
        <f>COUNTIFS(C:C,C596,D:D,D596)</f>
        <v>1</v>
      </c>
      <c r="B596" s="30">
        <v>202101155409</v>
      </c>
      <c r="C596" t="s">
        <v>3487</v>
      </c>
      <c r="D596" t="s">
        <v>3488</v>
      </c>
      <c r="E596" t="s">
        <v>5075</v>
      </c>
      <c r="F596" t="s">
        <v>79</v>
      </c>
      <c r="G596" s="27" t="str">
        <f t="shared" si="18"/>
        <v>17502 BIG OAKS GROVE  RICHMOND</v>
      </c>
      <c r="H596" s="27" t="str">
        <f t="shared" si="19"/>
        <v>HOUSTON TX 77407</v>
      </c>
    </row>
    <row r="597" spans="1:8" x14ac:dyDescent="0.2">
      <c r="A597" s="27">
        <f>COUNTIFS(C:C,C597,D:D,D597)</f>
        <v>1</v>
      </c>
      <c r="B597" s="30">
        <v>202101155412</v>
      </c>
      <c r="C597" s="28" t="s">
        <v>4926</v>
      </c>
      <c r="D597" s="28" t="s">
        <v>627</v>
      </c>
      <c r="E597" s="28" t="s">
        <v>4876</v>
      </c>
      <c r="F597" s="28" t="s">
        <v>282</v>
      </c>
      <c r="G597" s="27" t="str">
        <f t="shared" si="18"/>
        <v>7931 COOLGROVE DR  HOUSTON</v>
      </c>
      <c r="H597" s="27" t="str">
        <f t="shared" si="19"/>
        <v>HOUSTON TX 77015</v>
      </c>
    </row>
    <row r="598" spans="1:8" x14ac:dyDescent="0.2">
      <c r="A598" s="27">
        <f>COUNTIFS(C:C,C598,D:D,D598)</f>
        <v>1</v>
      </c>
      <c r="B598" s="30">
        <v>202101155415</v>
      </c>
      <c r="C598" t="s">
        <v>2945</v>
      </c>
      <c r="D598" t="s">
        <v>2946</v>
      </c>
      <c r="E598" t="s">
        <v>4973</v>
      </c>
      <c r="F598" t="s">
        <v>88</v>
      </c>
      <c r="G598" s="27" t="str">
        <f t="shared" si="18"/>
        <v>7503 FONDREN ROAD  HOUSTON</v>
      </c>
      <c r="H598" s="27" t="str">
        <f t="shared" si="19"/>
        <v>HOUSTON TX 77074</v>
      </c>
    </row>
    <row r="599" spans="1:8" x14ac:dyDescent="0.2">
      <c r="A599" s="27">
        <f>COUNTIFS(C:C,C599,D:D,D599)</f>
        <v>1</v>
      </c>
      <c r="B599" s="30">
        <v>202101155417</v>
      </c>
      <c r="C599" t="s">
        <v>3489</v>
      </c>
      <c r="D599" t="s">
        <v>3490</v>
      </c>
      <c r="E599" t="s">
        <v>4909</v>
      </c>
      <c r="F599" t="s">
        <v>78</v>
      </c>
      <c r="G599" s="27" t="str">
        <f t="shared" si="18"/>
        <v>15715 RIDGEGATE RD  HOUSTON</v>
      </c>
      <c r="H599" s="27" t="str">
        <f t="shared" si="19"/>
        <v>HOUSTON TX 77053</v>
      </c>
    </row>
    <row r="600" spans="1:8" x14ac:dyDescent="0.2">
      <c r="A600" s="27">
        <f>COUNTIFS(C:C,C600,D:D,D600)</f>
        <v>1</v>
      </c>
      <c r="B600" s="30">
        <v>202101155422</v>
      </c>
      <c r="C600" s="28" t="s">
        <v>1685</v>
      </c>
      <c r="D600" s="28" t="s">
        <v>1686</v>
      </c>
      <c r="E600" s="28" t="s">
        <v>4978</v>
      </c>
      <c r="F600" s="28" t="s">
        <v>53</v>
      </c>
      <c r="G600" s="27" t="str">
        <f t="shared" si="18"/>
        <v>13333 WEST RD  HOUSTON</v>
      </c>
      <c r="H600" s="27" t="str">
        <f t="shared" si="19"/>
        <v>HOUSTON TX 77041</v>
      </c>
    </row>
    <row r="601" spans="1:8" x14ac:dyDescent="0.2">
      <c r="A601" s="27">
        <f>COUNTIFS(C:C,C601,D:D,D601)</f>
        <v>1</v>
      </c>
      <c r="B601" s="30">
        <v>202101155424</v>
      </c>
      <c r="C601" t="s">
        <v>3291</v>
      </c>
      <c r="D601" t="s">
        <v>3292</v>
      </c>
      <c r="E601" t="s">
        <v>4907</v>
      </c>
      <c r="F601" t="s">
        <v>88</v>
      </c>
      <c r="G601" s="27" t="str">
        <f t="shared" si="18"/>
        <v>3356 BURKE RD  PASADENA</v>
      </c>
      <c r="H601" s="27" t="str">
        <f t="shared" si="19"/>
        <v>HOUSTON TX 77502</v>
      </c>
    </row>
    <row r="602" spans="1:8" x14ac:dyDescent="0.2">
      <c r="A602" s="27">
        <f>COUNTIFS(C:C,C602,D:D,D602)</f>
        <v>1</v>
      </c>
      <c r="B602" s="30">
        <v>202101155432</v>
      </c>
      <c r="C602" s="28" t="s">
        <v>1599</v>
      </c>
      <c r="D602" s="28" t="s">
        <v>1600</v>
      </c>
      <c r="E602" s="28" t="s">
        <v>5009</v>
      </c>
      <c r="F602" s="28" t="s">
        <v>4789</v>
      </c>
      <c r="G602" s="27" t="str">
        <f t="shared" si="18"/>
        <v>2555 N REPSDORPH DR  SEABROOK</v>
      </c>
      <c r="H602" s="27" t="str">
        <f t="shared" si="19"/>
        <v>HOUSTON TX 77586</v>
      </c>
    </row>
    <row r="603" spans="1:8" x14ac:dyDescent="0.2">
      <c r="A603" s="27">
        <f>COUNTIFS(C:C,C603,D:D,D603)</f>
        <v>1</v>
      </c>
      <c r="B603" s="30">
        <v>202101155433</v>
      </c>
      <c r="C603" t="s">
        <v>3493</v>
      </c>
      <c r="D603" t="s">
        <v>3494</v>
      </c>
      <c r="E603" t="s">
        <v>5117</v>
      </c>
      <c r="F603" t="s">
        <v>96</v>
      </c>
      <c r="G603" s="27" t="str">
        <f t="shared" si="18"/>
        <v>18639 KITA CT  PORTER</v>
      </c>
      <c r="H603" s="27" t="str">
        <f t="shared" si="19"/>
        <v>HOUSTON TX 77365</v>
      </c>
    </row>
    <row r="604" spans="1:8" x14ac:dyDescent="0.2">
      <c r="A604" s="27">
        <f>COUNTIFS(C:C,C604,D:D,D604)</f>
        <v>1</v>
      </c>
      <c r="B604" s="30">
        <v>202101155436</v>
      </c>
      <c r="C604" s="28" t="s">
        <v>1675</v>
      </c>
      <c r="D604" s="28" t="s">
        <v>1676</v>
      </c>
      <c r="E604" s="28" t="s">
        <v>4872</v>
      </c>
      <c r="F604" s="28" t="s">
        <v>88</v>
      </c>
      <c r="G604" s="27" t="str">
        <f t="shared" si="18"/>
        <v>7402 SUNDOWN DR  HOUSTON</v>
      </c>
      <c r="H604" s="27" t="str">
        <f t="shared" si="19"/>
        <v>HOUSTON TX 77028</v>
      </c>
    </row>
    <row r="605" spans="1:8" x14ac:dyDescent="0.2">
      <c r="A605" s="27">
        <f>COUNTIFS(C:C,C605,D:D,D605)</f>
        <v>1</v>
      </c>
      <c r="B605" s="30">
        <v>202101155438</v>
      </c>
      <c r="C605" t="s">
        <v>2881</v>
      </c>
      <c r="D605" t="s">
        <v>2882</v>
      </c>
      <c r="E605" t="s">
        <v>5025</v>
      </c>
      <c r="F605" t="s">
        <v>4821</v>
      </c>
      <c r="G605" s="27" t="str">
        <f t="shared" si="18"/>
        <v>5965 WHISPERING LAKE S DR KATY</v>
      </c>
      <c r="H605" s="27" t="str">
        <f t="shared" si="19"/>
        <v>HOUSTON TX 77493</v>
      </c>
    </row>
    <row r="606" spans="1:8" x14ac:dyDescent="0.2">
      <c r="A606" s="27">
        <f>COUNTIFS(C:C,C606,D:D,D606)</f>
        <v>1</v>
      </c>
      <c r="B606" s="30">
        <v>202101155441</v>
      </c>
      <c r="C606" t="s">
        <v>3495</v>
      </c>
      <c r="D606" t="s">
        <v>3496</v>
      </c>
      <c r="E606" t="s">
        <v>5192</v>
      </c>
      <c r="F606" t="s">
        <v>88</v>
      </c>
      <c r="G606" s="27" t="str">
        <f t="shared" si="18"/>
        <v>2003 PARKIVIEW LANE  MISSOURI</v>
      </c>
      <c r="H606" s="27" t="str">
        <f t="shared" si="19"/>
        <v>HOUSTON TX 77459</v>
      </c>
    </row>
    <row r="607" spans="1:8" x14ac:dyDescent="0.2">
      <c r="A607" s="27">
        <f>COUNTIFS(C:C,C607,D:D,D607)</f>
        <v>1</v>
      </c>
      <c r="B607" s="30">
        <v>202101155451</v>
      </c>
      <c r="C607" t="s">
        <v>3499</v>
      </c>
      <c r="D607" t="s">
        <v>3500</v>
      </c>
      <c r="E607" t="s">
        <v>4981</v>
      </c>
      <c r="F607" t="s">
        <v>51</v>
      </c>
      <c r="G607" s="27" t="str">
        <f t="shared" si="18"/>
        <v>11826 TIERRA PALMS CT  HOUSTON</v>
      </c>
      <c r="H607" s="27" t="str">
        <f t="shared" si="19"/>
        <v>HOUSTON TX 77034</v>
      </c>
    </row>
    <row r="608" spans="1:8" x14ac:dyDescent="0.2">
      <c r="A608" s="27">
        <f>COUNTIFS(C:C,C608,D:D,D608)</f>
        <v>1</v>
      </c>
      <c r="B608" s="30">
        <v>202101155458</v>
      </c>
      <c r="C608" s="28" t="s">
        <v>1309</v>
      </c>
      <c r="D608" s="28" t="s">
        <v>1310</v>
      </c>
      <c r="E608" s="28" t="s">
        <v>4884</v>
      </c>
      <c r="F608" s="28" t="s">
        <v>154</v>
      </c>
      <c r="G608" s="27" t="str">
        <f t="shared" si="18"/>
        <v>17107 OSPREY LANDING  HOCKLEY</v>
      </c>
      <c r="H608" s="27" t="str">
        <f t="shared" si="19"/>
        <v>HOUSTON TX 77447</v>
      </c>
    </row>
    <row r="609" spans="1:8" x14ac:dyDescent="0.2">
      <c r="A609" s="27">
        <f>COUNTIFS(C:C,C609,D:D,D609)</f>
        <v>1</v>
      </c>
      <c r="B609" s="30">
        <v>202101155460</v>
      </c>
      <c r="C609" t="s">
        <v>3501</v>
      </c>
      <c r="D609" t="s">
        <v>3502</v>
      </c>
      <c r="E609" t="s">
        <v>5193</v>
      </c>
      <c r="F609" t="s">
        <v>88</v>
      </c>
      <c r="G609" s="27" t="str">
        <f t="shared" si="18"/>
        <v>2067 ROUND SPRINGS  VICTORIA</v>
      </c>
      <c r="H609" s="27" t="str">
        <f t="shared" si="19"/>
        <v>HOUSTON TX 77905</v>
      </c>
    </row>
    <row r="610" spans="1:8" x14ac:dyDescent="0.2">
      <c r="A610" s="27">
        <f>COUNTIFS(C:C,C610,D:D,D610)</f>
        <v>1</v>
      </c>
      <c r="B610" s="30">
        <v>202101155463</v>
      </c>
      <c r="C610" s="28" t="s">
        <v>456</v>
      </c>
      <c r="D610" s="28" t="s">
        <v>457</v>
      </c>
      <c r="E610" s="28" t="s">
        <v>4874</v>
      </c>
      <c r="F610" s="28" t="s">
        <v>330</v>
      </c>
      <c r="G610" s="27" t="str">
        <f t="shared" si="18"/>
        <v>5414 HIRONDEL ST  HOUSTON</v>
      </c>
      <c r="H610" s="27" t="str">
        <f t="shared" si="19"/>
        <v>HOUSTON TX 77033</v>
      </c>
    </row>
    <row r="611" spans="1:8" x14ac:dyDescent="0.2">
      <c r="A611" s="27">
        <f>COUNTIFS(C:C,C611,D:D,D611)</f>
        <v>1</v>
      </c>
      <c r="B611" s="30">
        <v>202101155464</v>
      </c>
      <c r="C611" s="28" t="s">
        <v>1931</v>
      </c>
      <c r="D611" s="28" t="s">
        <v>1932</v>
      </c>
      <c r="E611" s="28" t="s">
        <v>4893</v>
      </c>
      <c r="F611" s="28" t="s">
        <v>68</v>
      </c>
      <c r="G611" s="27" t="str">
        <f t="shared" si="18"/>
        <v>3811 BROOKMEADE DR  HOUSTON</v>
      </c>
      <c r="H611" s="27" t="str">
        <f t="shared" si="19"/>
        <v>HOUSTON TX 77045</v>
      </c>
    </row>
    <row r="612" spans="1:8" x14ac:dyDescent="0.2">
      <c r="A612" s="27">
        <f>COUNTIFS(C:C,C612,D:D,D612)</f>
        <v>1</v>
      </c>
      <c r="B612" s="30">
        <v>202101155466</v>
      </c>
      <c r="C612" s="28" t="s">
        <v>454</v>
      </c>
      <c r="D612" s="28" t="s">
        <v>455</v>
      </c>
      <c r="E612" s="28" t="s">
        <v>4873</v>
      </c>
      <c r="F612" s="28" t="s">
        <v>277</v>
      </c>
      <c r="G612" s="27" t="str">
        <f t="shared" si="18"/>
        <v>15911 LONG RD  HOUSTON</v>
      </c>
      <c r="H612" s="27" t="str">
        <f t="shared" si="19"/>
        <v>HOUSTON TX 77044</v>
      </c>
    </row>
    <row r="613" spans="1:8" x14ac:dyDescent="0.2">
      <c r="A613" s="27">
        <f>COUNTIFS(C:C,C613,D:D,D613)</f>
        <v>1</v>
      </c>
      <c r="B613" s="30">
        <v>202101155468</v>
      </c>
      <c r="C613" s="28" t="s">
        <v>1762</v>
      </c>
      <c r="D613" s="28" t="s">
        <v>1763</v>
      </c>
      <c r="E613" s="28" t="s">
        <v>4890</v>
      </c>
      <c r="F613" s="28" t="s">
        <v>69</v>
      </c>
      <c r="G613" s="27" t="str">
        <f t="shared" si="18"/>
        <v>7410 LINDENCREST  HOUSTON</v>
      </c>
      <c r="H613" s="27" t="str">
        <f t="shared" si="19"/>
        <v>HOUSTON TX 77061</v>
      </c>
    </row>
    <row r="614" spans="1:8" x14ac:dyDescent="0.2">
      <c r="A614" s="27">
        <f>COUNTIFS(C:C,C614,D:D,D614)</f>
        <v>1</v>
      </c>
      <c r="B614" s="30">
        <v>202101155469</v>
      </c>
      <c r="C614" t="s">
        <v>3509</v>
      </c>
      <c r="D614" t="s">
        <v>3510</v>
      </c>
      <c r="E614" t="s">
        <v>4999</v>
      </c>
      <c r="F614" t="s">
        <v>350</v>
      </c>
      <c r="G614" s="27" t="str">
        <f t="shared" si="18"/>
        <v>510 WESTGREEN BLVD  KATY</v>
      </c>
      <c r="H614" s="27" t="str">
        <f t="shared" si="19"/>
        <v>HOUSTON TX 77450</v>
      </c>
    </row>
    <row r="615" spans="1:8" x14ac:dyDescent="0.2">
      <c r="A615" s="27">
        <f>COUNTIFS(C:C,C615,D:D,D615)</f>
        <v>1</v>
      </c>
      <c r="B615" s="30">
        <v>202101155472</v>
      </c>
      <c r="C615" s="28" t="s">
        <v>1605</v>
      </c>
      <c r="D615" s="28" t="s">
        <v>1606</v>
      </c>
      <c r="E615" s="28" t="s">
        <v>4853</v>
      </c>
      <c r="F615" s="28" t="s">
        <v>53</v>
      </c>
      <c r="G615" s="27" t="str">
        <f t="shared" si="18"/>
        <v>12411 WEST VILLIAGE  HOUSTON</v>
      </c>
      <c r="H615" s="27" t="str">
        <f t="shared" si="19"/>
        <v>HOUSTON TX 77039</v>
      </c>
    </row>
    <row r="616" spans="1:8" x14ac:dyDescent="0.2">
      <c r="A616" s="27">
        <f>COUNTIFS(C:C,C616,D:D,D616)</f>
        <v>1</v>
      </c>
      <c r="B616" s="30">
        <v>202101155473</v>
      </c>
      <c r="C616" t="s">
        <v>2916</v>
      </c>
      <c r="D616" t="s">
        <v>2917</v>
      </c>
      <c r="E616" t="s">
        <v>4862</v>
      </c>
      <c r="F616" t="s">
        <v>98</v>
      </c>
      <c r="G616" s="27" t="str">
        <f t="shared" si="18"/>
        <v>17416 JACKSON PINES D R HOUSTON</v>
      </c>
      <c r="H616" s="27" t="str">
        <f t="shared" si="19"/>
        <v>HOUSTON TX 77090</v>
      </c>
    </row>
    <row r="617" spans="1:8" x14ac:dyDescent="0.2">
      <c r="A617" s="27">
        <f>COUNTIFS(C:C,C617,D:D,D617)</f>
        <v>1</v>
      </c>
      <c r="B617" s="30">
        <v>202101155476</v>
      </c>
      <c r="C617" t="s">
        <v>3515</v>
      </c>
      <c r="D617" t="s">
        <v>3516</v>
      </c>
      <c r="E617" t="s">
        <v>5197</v>
      </c>
      <c r="F617" t="s">
        <v>79</v>
      </c>
      <c r="G617" s="27" t="str">
        <f t="shared" si="18"/>
        <v>2010 ARROYO VISTA  SAN ANTONI</v>
      </c>
      <c r="H617" s="27" t="str">
        <f t="shared" si="19"/>
        <v>HOUSTON TX 78213</v>
      </c>
    </row>
    <row r="618" spans="1:8" x14ac:dyDescent="0.2">
      <c r="A618" s="27">
        <f>COUNTIFS(C:C,C618,D:D,D618)</f>
        <v>1</v>
      </c>
      <c r="B618" s="30">
        <v>202101155477</v>
      </c>
      <c r="C618" s="28" t="s">
        <v>1819</v>
      </c>
      <c r="D618" s="28" t="s">
        <v>1820</v>
      </c>
      <c r="E618" s="28" t="s">
        <v>4920</v>
      </c>
      <c r="F618" s="28" t="s">
        <v>86</v>
      </c>
      <c r="G618" s="27" t="str">
        <f t="shared" ref="G618:G681" si="20">D618&amp;" "&amp;MID(E618,1,FIND(" TX",E618)-1)</f>
        <v>15302 BARBAROSSA DR  HOUSTON</v>
      </c>
      <c r="H618" s="27" t="str">
        <f t="shared" ref="H618:H681" si="21">"HOUSTON "&amp;MID(E618,FIND("TX",E618),8)</f>
        <v>HOUSTON TX 77083</v>
      </c>
    </row>
    <row r="619" spans="1:8" x14ac:dyDescent="0.2">
      <c r="A619" s="27">
        <f>COUNTIFS(C:C,C619,D:D,D619)</f>
        <v>1</v>
      </c>
      <c r="B619" s="30">
        <v>202101155479</v>
      </c>
      <c r="C619" s="28" t="s">
        <v>1450</v>
      </c>
      <c r="D619" s="28" t="s">
        <v>1451</v>
      </c>
      <c r="E619" s="28" t="s">
        <v>5041</v>
      </c>
      <c r="F619" s="28" t="s">
        <v>61</v>
      </c>
      <c r="G619" s="27" t="str">
        <f t="shared" si="20"/>
        <v>11011 PINE CONE LN  HARRIS CO</v>
      </c>
      <c r="H619" s="27" t="str">
        <f t="shared" si="21"/>
        <v>HOUSTON TX 77041</v>
      </c>
    </row>
    <row r="620" spans="1:8" x14ac:dyDescent="0.2">
      <c r="A620" s="27">
        <f>COUNTIFS(C:C,C620,D:D,D620)</f>
        <v>1</v>
      </c>
      <c r="B620" s="30">
        <v>202101155482</v>
      </c>
      <c r="C620" t="s">
        <v>3517</v>
      </c>
      <c r="D620" t="s">
        <v>3518</v>
      </c>
      <c r="E620" t="s">
        <v>5198</v>
      </c>
      <c r="F620" t="s">
        <v>67</v>
      </c>
      <c r="G620" s="27" t="str">
        <f t="shared" si="20"/>
        <v>17601 CYPRESS STATION  SPRING</v>
      </c>
      <c r="H620" s="27" t="str">
        <f t="shared" si="21"/>
        <v>HOUSTON TX 77090</v>
      </c>
    </row>
    <row r="621" spans="1:8" x14ac:dyDescent="0.2">
      <c r="A621" s="27">
        <f>COUNTIFS(C:C,C621,D:D,D621)</f>
        <v>1</v>
      </c>
      <c r="B621" s="30">
        <v>202101155488</v>
      </c>
      <c r="C621" t="s">
        <v>2205</v>
      </c>
      <c r="D621" t="s">
        <v>2206</v>
      </c>
      <c r="E621" t="s">
        <v>5050</v>
      </c>
      <c r="F621" t="s">
        <v>57</v>
      </c>
      <c r="G621" s="27" t="str">
        <f t="shared" si="20"/>
        <v>14135 CHAMPION  HOUSTON</v>
      </c>
      <c r="H621" s="27" t="str">
        <f t="shared" si="21"/>
        <v>HOUSTON TX 77069</v>
      </c>
    </row>
    <row r="622" spans="1:8" x14ac:dyDescent="0.2">
      <c r="A622" s="27">
        <f>COUNTIFS(C:C,C622,D:D,D622)</f>
        <v>1</v>
      </c>
      <c r="B622" s="30">
        <v>202101155490</v>
      </c>
      <c r="C622" s="28" t="s">
        <v>1524</v>
      </c>
      <c r="D622" s="28" t="s">
        <v>1525</v>
      </c>
      <c r="E622" s="28" t="s">
        <v>4865</v>
      </c>
      <c r="F622" s="28" t="s">
        <v>88</v>
      </c>
      <c r="G622" s="27" t="str">
        <f t="shared" si="20"/>
        <v>926 BELSHEAR CT  HOUSTON</v>
      </c>
      <c r="H622" s="27" t="str">
        <f t="shared" si="21"/>
        <v xml:space="preserve">HOUSTON TX      </v>
      </c>
    </row>
    <row r="623" spans="1:8" x14ac:dyDescent="0.2">
      <c r="A623" s="27">
        <f>COUNTIFS(C:C,C623,D:D,D623)</f>
        <v>1</v>
      </c>
      <c r="B623" s="30">
        <v>202101155493</v>
      </c>
      <c r="C623" t="s">
        <v>2611</v>
      </c>
      <c r="D623" t="s">
        <v>2612</v>
      </c>
      <c r="E623" t="s">
        <v>4865</v>
      </c>
      <c r="F623" t="s">
        <v>102</v>
      </c>
      <c r="G623" s="27" t="str">
        <f t="shared" si="20"/>
        <v>3914 CORTO ST  HOUSTON</v>
      </c>
      <c r="H623" s="27" t="str">
        <f t="shared" si="21"/>
        <v xml:space="preserve">HOUSTON TX      </v>
      </c>
    </row>
    <row r="624" spans="1:8" x14ac:dyDescent="0.2">
      <c r="A624" s="27">
        <f>COUNTIFS(C:C,C624,D:D,D624)</f>
        <v>1</v>
      </c>
      <c r="B624" s="30">
        <v>202101155495</v>
      </c>
      <c r="C624" t="s">
        <v>3314</v>
      </c>
      <c r="D624" t="s">
        <v>3315</v>
      </c>
      <c r="E624" t="s">
        <v>4943</v>
      </c>
      <c r="F624" t="s">
        <v>78</v>
      </c>
      <c r="G624" s="27" t="str">
        <f t="shared" si="20"/>
        <v>6703 LOCH BRUCERAY D R HOUSTON</v>
      </c>
      <c r="H624" s="27" t="str">
        <f t="shared" si="21"/>
        <v>HOUSTON TX 77084</v>
      </c>
    </row>
    <row r="625" spans="1:8" x14ac:dyDescent="0.2">
      <c r="A625" s="27">
        <f>COUNTIFS(C:C,C625,D:D,D625)</f>
        <v>1</v>
      </c>
      <c r="B625" s="30">
        <v>202101155496</v>
      </c>
      <c r="C625" s="28" t="s">
        <v>1247</v>
      </c>
      <c r="D625" s="28" t="s">
        <v>1248</v>
      </c>
      <c r="E625" s="28" t="s">
        <v>5018</v>
      </c>
      <c r="F625" s="28" t="s">
        <v>88</v>
      </c>
      <c r="G625" s="27" t="str">
        <f t="shared" si="20"/>
        <v>5609 ALDINE BENDER R D HARRIS CO</v>
      </c>
      <c r="H625" s="27" t="str">
        <f t="shared" si="21"/>
        <v>HOUSTON TX 77032</v>
      </c>
    </row>
    <row r="626" spans="1:8" x14ac:dyDescent="0.2">
      <c r="A626" s="27">
        <f>COUNTIFS(C:C,C626,D:D,D626)</f>
        <v>1</v>
      </c>
      <c r="B626" s="30">
        <v>202101155498</v>
      </c>
      <c r="C626" t="s">
        <v>3521</v>
      </c>
      <c r="D626" t="s">
        <v>3522</v>
      </c>
      <c r="E626" t="s">
        <v>4970</v>
      </c>
      <c r="F626" t="s">
        <v>53</v>
      </c>
      <c r="G626" s="27" t="str">
        <f t="shared" si="20"/>
        <v>10839 SANDPIPER DR  HOUSTON</v>
      </c>
      <c r="H626" s="27" t="str">
        <f t="shared" si="21"/>
        <v>HOUSTON TX 77096</v>
      </c>
    </row>
    <row r="627" spans="1:8" x14ac:dyDescent="0.2">
      <c r="A627" s="27">
        <f>COUNTIFS(C:C,C627,D:D,D627)</f>
        <v>1</v>
      </c>
      <c r="B627" s="30">
        <v>202101155499</v>
      </c>
      <c r="C627" s="28" t="s">
        <v>1510</v>
      </c>
      <c r="D627" s="28" t="s">
        <v>1511</v>
      </c>
      <c r="E627" s="28" t="s">
        <v>4960</v>
      </c>
      <c r="F627" s="28" t="s">
        <v>98</v>
      </c>
      <c r="G627" s="27" t="str">
        <f t="shared" si="20"/>
        <v>711 BLUE ROCK CT  HOUSTON</v>
      </c>
      <c r="H627" s="27" t="str">
        <f t="shared" si="21"/>
        <v>HOUSTON TX 77060</v>
      </c>
    </row>
    <row r="628" spans="1:8" x14ac:dyDescent="0.2">
      <c r="A628" s="27">
        <f>COUNTIFS(C:C,C628,D:D,D628)</f>
        <v>1</v>
      </c>
      <c r="B628" s="30">
        <v>202101155504</v>
      </c>
      <c r="C628" s="28" t="s">
        <v>674</v>
      </c>
      <c r="D628" s="28" t="s">
        <v>675</v>
      </c>
      <c r="E628" s="28" t="s">
        <v>4934</v>
      </c>
      <c r="F628" s="28" t="s">
        <v>56</v>
      </c>
      <c r="G628" s="27" t="str">
        <f t="shared" si="20"/>
        <v>6201 SHERMAN  HOUSTON</v>
      </c>
      <c r="H628" s="27" t="str">
        <f t="shared" si="21"/>
        <v>HOUSTON TX 77011</v>
      </c>
    </row>
    <row r="629" spans="1:8" x14ac:dyDescent="0.2">
      <c r="A629" s="27">
        <f>COUNTIFS(C:C,C629,D:D,D629)</f>
        <v>1</v>
      </c>
      <c r="B629" s="30">
        <v>202101155505</v>
      </c>
      <c r="C629" t="s">
        <v>3525</v>
      </c>
      <c r="D629" t="s">
        <v>3526</v>
      </c>
      <c r="E629" t="s">
        <v>5023</v>
      </c>
      <c r="F629" t="s">
        <v>67</v>
      </c>
      <c r="G629" s="27" t="str">
        <f t="shared" si="20"/>
        <v>3230 SOUTH GESSNER R D 1211 HOUSTON</v>
      </c>
      <c r="H629" s="27" t="str">
        <f t="shared" si="21"/>
        <v>HOUSTON TX 77063</v>
      </c>
    </row>
    <row r="630" spans="1:8" x14ac:dyDescent="0.2">
      <c r="A630" s="27">
        <f>COUNTIFS(C:C,C630,D:D,D630)</f>
        <v>1</v>
      </c>
      <c r="B630" s="30">
        <v>202101155507</v>
      </c>
      <c r="C630" s="28" t="s">
        <v>1418</v>
      </c>
      <c r="D630" s="28" t="s">
        <v>1419</v>
      </c>
      <c r="E630" s="28" t="s">
        <v>5022</v>
      </c>
      <c r="F630" s="28" t="s">
        <v>66</v>
      </c>
      <c r="G630" s="27" t="str">
        <f t="shared" si="20"/>
        <v>100 N WALKER RD  CLEVELAND</v>
      </c>
      <c r="H630" s="27" t="str">
        <f t="shared" si="21"/>
        <v>HOUSTON TX 77327</v>
      </c>
    </row>
    <row r="631" spans="1:8" x14ac:dyDescent="0.2">
      <c r="A631" s="27">
        <f>COUNTIFS(C:C,C631,D:D,D631)</f>
        <v>1</v>
      </c>
      <c r="B631" s="30">
        <v>202101155509</v>
      </c>
      <c r="C631" t="s">
        <v>3368</v>
      </c>
      <c r="D631" t="s">
        <v>3369</v>
      </c>
      <c r="E631" t="s">
        <v>4873</v>
      </c>
      <c r="F631" t="s">
        <v>78</v>
      </c>
      <c r="G631" s="27" t="str">
        <f t="shared" si="20"/>
        <v>14406 BARON CREEK LN  HOUSTON</v>
      </c>
      <c r="H631" s="27" t="str">
        <f t="shared" si="21"/>
        <v>HOUSTON TX 77044</v>
      </c>
    </row>
    <row r="632" spans="1:8" x14ac:dyDescent="0.2">
      <c r="A632" s="27">
        <f>COUNTIFS(C:C,C632,D:D,D632)</f>
        <v>1</v>
      </c>
      <c r="B632" s="30">
        <v>202101155512</v>
      </c>
      <c r="C632" t="s">
        <v>2187</v>
      </c>
      <c r="D632" t="s">
        <v>2188</v>
      </c>
      <c r="E632" t="s">
        <v>4881</v>
      </c>
      <c r="F632" t="s">
        <v>102</v>
      </c>
      <c r="G632" s="27" t="str">
        <f t="shared" si="20"/>
        <v>16730 PORT O CALL  CROSBY</v>
      </c>
      <c r="H632" s="27" t="str">
        <f t="shared" si="21"/>
        <v>HOUSTON TX 77532</v>
      </c>
    </row>
    <row r="633" spans="1:8" x14ac:dyDescent="0.2">
      <c r="A633" s="27">
        <f>COUNTIFS(C:C,C633,D:D,D633)</f>
        <v>1</v>
      </c>
      <c r="B633" s="30">
        <v>202101155513</v>
      </c>
      <c r="C633" t="s">
        <v>2213</v>
      </c>
      <c r="D633" t="s">
        <v>2214</v>
      </c>
      <c r="E633" t="s">
        <v>4952</v>
      </c>
      <c r="F633" t="s">
        <v>84</v>
      </c>
      <c r="G633" s="27" t="str">
        <f t="shared" si="20"/>
        <v>301 WINONA  PASADENA</v>
      </c>
      <c r="H633" s="27" t="str">
        <f t="shared" si="21"/>
        <v>HOUSTON TX 77506</v>
      </c>
    </row>
    <row r="634" spans="1:8" x14ac:dyDescent="0.2">
      <c r="A634" s="27">
        <f>COUNTIFS(C:C,C634,D:D,D634)</f>
        <v>1</v>
      </c>
      <c r="B634" s="30">
        <v>202101155519</v>
      </c>
      <c r="C634" t="s">
        <v>3527</v>
      </c>
      <c r="D634" t="s">
        <v>3528</v>
      </c>
      <c r="E634" t="s">
        <v>4871</v>
      </c>
      <c r="F634" t="s">
        <v>79</v>
      </c>
      <c r="G634" s="27" t="str">
        <f t="shared" si="20"/>
        <v>301 GRAMMER SR  HOUSTON</v>
      </c>
      <c r="H634" s="27" t="str">
        <f t="shared" si="21"/>
        <v>HOUSTON TX 77047</v>
      </c>
    </row>
    <row r="635" spans="1:8" x14ac:dyDescent="0.2">
      <c r="A635" s="27">
        <f>COUNTIFS(C:C,C635,D:D,D635)</f>
        <v>1</v>
      </c>
      <c r="B635" s="30">
        <v>202101155520</v>
      </c>
      <c r="C635" s="28" t="s">
        <v>1119</v>
      </c>
      <c r="D635" s="28" t="s">
        <v>1120</v>
      </c>
      <c r="E635" s="28" t="s">
        <v>5005</v>
      </c>
      <c r="F635" s="28" t="s">
        <v>88</v>
      </c>
      <c r="G635" s="27" t="str">
        <f t="shared" si="20"/>
        <v>15415 LEE RD  HOUSTON</v>
      </c>
      <c r="H635" s="27" t="str">
        <f t="shared" si="21"/>
        <v>HOUSTON TX 77032</v>
      </c>
    </row>
    <row r="636" spans="1:8" x14ac:dyDescent="0.2">
      <c r="A636" s="27">
        <f>COUNTIFS(C:C,C636,D:D,D636)</f>
        <v>1</v>
      </c>
      <c r="B636" s="30">
        <v>202101155521</v>
      </c>
      <c r="C636" t="s">
        <v>2668</v>
      </c>
      <c r="D636" t="s">
        <v>2669</v>
      </c>
      <c r="E636" t="s">
        <v>4852</v>
      </c>
      <c r="F636" t="s">
        <v>71</v>
      </c>
      <c r="G636" s="27" t="str">
        <f t="shared" si="20"/>
        <v>5619 ALDINE BENDER R D HOUSTON</v>
      </c>
      <c r="H636" s="27" t="str">
        <f t="shared" si="21"/>
        <v>HOUSTON TX 77016</v>
      </c>
    </row>
    <row r="637" spans="1:8" x14ac:dyDescent="0.2">
      <c r="A637" s="27">
        <f>COUNTIFS(C:C,C637,D:D,D637)</f>
        <v>1</v>
      </c>
      <c r="B637" s="30">
        <v>202101155522</v>
      </c>
      <c r="C637" s="28" t="s">
        <v>1109</v>
      </c>
      <c r="D637" s="28" t="s">
        <v>1110</v>
      </c>
      <c r="E637" s="28" t="s">
        <v>4892</v>
      </c>
      <c r="F637" s="28" t="s">
        <v>298</v>
      </c>
      <c r="G637" s="27" t="str">
        <f t="shared" si="20"/>
        <v>22415 PARK POINT DR  HARRIS CO</v>
      </c>
      <c r="H637" s="27" t="str">
        <f t="shared" si="21"/>
        <v>HOUSTON TX 77450</v>
      </c>
    </row>
    <row r="638" spans="1:8" x14ac:dyDescent="0.2">
      <c r="A638" s="27">
        <f>COUNTIFS(C:C,C638,D:D,D638)</f>
        <v>1</v>
      </c>
      <c r="B638" s="30">
        <v>202101155526</v>
      </c>
      <c r="C638" t="s">
        <v>3529</v>
      </c>
      <c r="D638" t="s">
        <v>3530</v>
      </c>
      <c r="E638" t="s">
        <v>4943</v>
      </c>
      <c r="F638" t="s">
        <v>79</v>
      </c>
      <c r="G638" s="27" t="str">
        <f t="shared" si="20"/>
        <v>5215 CHATHAM HILL LN  HOUSTON</v>
      </c>
      <c r="H638" s="27" t="str">
        <f t="shared" si="21"/>
        <v>HOUSTON TX 77084</v>
      </c>
    </row>
    <row r="639" spans="1:8" x14ac:dyDescent="0.2">
      <c r="A639" s="27">
        <f>COUNTIFS(C:C,C639,D:D,D639)</f>
        <v>1</v>
      </c>
      <c r="B639" s="30">
        <v>202101155534</v>
      </c>
      <c r="C639" t="s">
        <v>2454</v>
      </c>
      <c r="D639" t="s">
        <v>2455</v>
      </c>
      <c r="E639" t="s">
        <v>5014</v>
      </c>
      <c r="F639" t="s">
        <v>88</v>
      </c>
      <c r="G639" s="27" t="str">
        <f t="shared" si="20"/>
        <v>9804 BLUEBIRD ST  LA PORTE</v>
      </c>
      <c r="H639" s="27" t="str">
        <f t="shared" si="21"/>
        <v>HOUSTON TX 77571</v>
      </c>
    </row>
    <row r="640" spans="1:8" x14ac:dyDescent="0.2">
      <c r="A640" s="27">
        <f>COUNTIFS(C:C,C640,D:D,D640)</f>
        <v>1</v>
      </c>
      <c r="B640" s="30">
        <v>202101155539</v>
      </c>
      <c r="C640" t="s">
        <v>3531</v>
      </c>
      <c r="D640" t="s">
        <v>3532</v>
      </c>
      <c r="E640" t="s">
        <v>4853</v>
      </c>
      <c r="F640" t="s">
        <v>93</v>
      </c>
      <c r="G640" s="27" t="str">
        <f t="shared" si="20"/>
        <v>5637 MARY FRANCIS DR  HOUSTON</v>
      </c>
      <c r="H640" s="27" t="str">
        <f t="shared" si="21"/>
        <v>HOUSTON TX 77039</v>
      </c>
    </row>
    <row r="641" spans="1:8" x14ac:dyDescent="0.2">
      <c r="A641" s="27">
        <f>COUNTIFS(C:C,C641,D:D,D641)</f>
        <v>1</v>
      </c>
      <c r="B641" s="30">
        <v>202101155540</v>
      </c>
      <c r="C641" t="s">
        <v>3533</v>
      </c>
      <c r="D641" t="s">
        <v>3534</v>
      </c>
      <c r="E641" t="s">
        <v>4853</v>
      </c>
      <c r="F641" t="s">
        <v>93</v>
      </c>
      <c r="G641" s="27" t="str">
        <f t="shared" si="20"/>
        <v>4403 CONNORVALE RD  HOUSTON</v>
      </c>
      <c r="H641" s="27" t="str">
        <f t="shared" si="21"/>
        <v>HOUSTON TX 77039</v>
      </c>
    </row>
    <row r="642" spans="1:8" x14ac:dyDescent="0.2">
      <c r="A642" s="27">
        <f>COUNTIFS(C:C,C642,D:D,D642)</f>
        <v>1</v>
      </c>
      <c r="B642" s="30">
        <v>202101155547</v>
      </c>
      <c r="C642" t="s">
        <v>3539</v>
      </c>
      <c r="D642" t="s">
        <v>3540</v>
      </c>
      <c r="E642" t="s">
        <v>4984</v>
      </c>
      <c r="F642" t="s">
        <v>156</v>
      </c>
      <c r="G642" s="27" t="str">
        <f t="shared" si="20"/>
        <v>3030 HIRSCHFIELD RD  SPRING</v>
      </c>
      <c r="H642" s="27" t="str">
        <f t="shared" si="21"/>
        <v>HOUSTON TX 77373</v>
      </c>
    </row>
    <row r="643" spans="1:8" x14ac:dyDescent="0.2">
      <c r="A643" s="27">
        <f>COUNTIFS(C:C,C643,D:D,D643)</f>
        <v>1</v>
      </c>
      <c r="B643" s="30">
        <v>202101155554</v>
      </c>
      <c r="C643" s="28" t="s">
        <v>1573</v>
      </c>
      <c r="D643" s="28" t="s">
        <v>1574</v>
      </c>
      <c r="E643" s="28" t="s">
        <v>5055</v>
      </c>
      <c r="F643" s="28" t="s">
        <v>94</v>
      </c>
      <c r="G643" s="27" t="str">
        <f t="shared" si="20"/>
        <v>18219 THICKET GROVE R D HARRIS CO</v>
      </c>
      <c r="H643" s="27" t="str">
        <f t="shared" si="21"/>
        <v>HOUSTON TX 77084</v>
      </c>
    </row>
    <row r="644" spans="1:8" x14ac:dyDescent="0.2">
      <c r="A644" s="27">
        <f>COUNTIFS(C:C,C644,D:D,D644)</f>
        <v>1</v>
      </c>
      <c r="B644" s="30">
        <v>202101155556</v>
      </c>
      <c r="C644" t="s">
        <v>3100</v>
      </c>
      <c r="D644" t="s">
        <v>3101</v>
      </c>
      <c r="E644" t="s">
        <v>4861</v>
      </c>
      <c r="F644" t="s">
        <v>361</v>
      </c>
      <c r="G644" s="27" t="str">
        <f t="shared" si="20"/>
        <v>8021 PARNELL ST  HOUSTON</v>
      </c>
      <c r="H644" s="27" t="str">
        <f t="shared" si="21"/>
        <v>HOUSTON TX 77051</v>
      </c>
    </row>
    <row r="645" spans="1:8" x14ac:dyDescent="0.2">
      <c r="A645" s="27">
        <f>COUNTIFS(C:C,C645,D:D,D645)</f>
        <v>1</v>
      </c>
      <c r="B645" s="30">
        <v>202101155558</v>
      </c>
      <c r="C645" t="s">
        <v>3545</v>
      </c>
      <c r="D645" t="s">
        <v>3546</v>
      </c>
      <c r="E645" t="s">
        <v>4988</v>
      </c>
      <c r="F645" t="s">
        <v>88</v>
      </c>
      <c r="G645" s="27" t="str">
        <f t="shared" si="20"/>
        <v>1134 RIVER ROCK DR  MISSOURI C</v>
      </c>
      <c r="H645" s="27" t="str">
        <f t="shared" si="21"/>
        <v>HOUSTON TX 77489</v>
      </c>
    </row>
    <row r="646" spans="1:8" x14ac:dyDescent="0.2">
      <c r="A646" s="27">
        <f>COUNTIFS(C:C,C646,D:D,D646)</f>
        <v>1</v>
      </c>
      <c r="B646" s="30">
        <v>202101155559</v>
      </c>
      <c r="C646" t="s">
        <v>3281</v>
      </c>
      <c r="D646" t="s">
        <v>3282</v>
      </c>
      <c r="E646" t="s">
        <v>5179</v>
      </c>
      <c r="F646" t="s">
        <v>53</v>
      </c>
      <c r="G646" s="27" t="str">
        <f t="shared" si="20"/>
        <v>105 W 3RD ST  LA JOYA</v>
      </c>
      <c r="H646" s="27" t="str">
        <f t="shared" si="21"/>
        <v>HOUSTON TX 78560</v>
      </c>
    </row>
    <row r="647" spans="1:8" x14ac:dyDescent="0.2">
      <c r="A647" s="27">
        <f>COUNTIFS(C:C,C647,D:D,D647)</f>
        <v>1</v>
      </c>
      <c r="B647" s="30">
        <v>202101155561</v>
      </c>
      <c r="C647" s="28" t="s">
        <v>1754</v>
      </c>
      <c r="D647" s="28" t="s">
        <v>1755</v>
      </c>
      <c r="E647" s="28" t="s">
        <v>4894</v>
      </c>
      <c r="F647" s="28" t="s">
        <v>96</v>
      </c>
      <c r="G647" s="27" t="str">
        <f t="shared" si="20"/>
        <v>1102 FINCH ST  HOUSTON</v>
      </c>
      <c r="H647" s="27" t="str">
        <f t="shared" si="21"/>
        <v>HOUSTON TX 77009</v>
      </c>
    </row>
    <row r="648" spans="1:8" x14ac:dyDescent="0.2">
      <c r="A648" s="27">
        <f>COUNTIFS(C:C,C648,D:D,D648)</f>
        <v>1</v>
      </c>
      <c r="B648" s="30">
        <v>202101155562</v>
      </c>
      <c r="C648" s="28" t="s">
        <v>5029</v>
      </c>
      <c r="D648" s="28" t="s">
        <v>1337</v>
      </c>
      <c r="E648" s="28" t="s">
        <v>4901</v>
      </c>
      <c r="F648" s="28" t="s">
        <v>308</v>
      </c>
      <c r="G648" s="27" t="str">
        <f t="shared" si="20"/>
        <v>10600 HAZEN ST 208  HOUSTON</v>
      </c>
      <c r="H648" s="27" t="str">
        <f t="shared" si="21"/>
        <v>HOUSTON TX 77072</v>
      </c>
    </row>
    <row r="649" spans="1:8" x14ac:dyDescent="0.2">
      <c r="A649" s="27">
        <f>COUNTIFS(C:C,C649,D:D,D649)</f>
        <v>1</v>
      </c>
      <c r="B649" s="30">
        <v>202101155564</v>
      </c>
      <c r="C649" s="28" t="s">
        <v>599</v>
      </c>
      <c r="D649" s="28" t="s">
        <v>600</v>
      </c>
      <c r="E649" s="28" t="s">
        <v>4918</v>
      </c>
      <c r="F649" s="28" t="s">
        <v>4766</v>
      </c>
      <c r="G649" s="27" t="str">
        <f t="shared" si="20"/>
        <v>3602 HOMBLY RD  HOUSTON</v>
      </c>
      <c r="H649" s="27" t="str">
        <f t="shared" si="21"/>
        <v>HOUSTON TX 77066</v>
      </c>
    </row>
    <row r="650" spans="1:8" x14ac:dyDescent="0.2">
      <c r="A650" s="27">
        <f>COUNTIFS(C:C,C650,D:D,D650)</f>
        <v>1</v>
      </c>
      <c r="B650" s="30">
        <v>202101155565</v>
      </c>
      <c r="C650" t="s">
        <v>3549</v>
      </c>
      <c r="D650" t="s">
        <v>3550</v>
      </c>
      <c r="E650" t="s">
        <v>4960</v>
      </c>
      <c r="F650" t="s">
        <v>274</v>
      </c>
      <c r="G650" s="27" t="str">
        <f t="shared" si="20"/>
        <v>16250 IMPERIAL VALLEY DR  APT 6 HOUSTON</v>
      </c>
      <c r="H650" s="27" t="str">
        <f t="shared" si="21"/>
        <v>HOUSTON TX 77060</v>
      </c>
    </row>
    <row r="651" spans="1:8" x14ac:dyDescent="0.2">
      <c r="A651" s="27">
        <f>COUNTIFS(C:C,C651,D:D,D651)</f>
        <v>1</v>
      </c>
      <c r="B651" s="30">
        <v>202101155569</v>
      </c>
      <c r="C651" t="s">
        <v>3553</v>
      </c>
      <c r="D651" t="s">
        <v>7613</v>
      </c>
      <c r="E651" t="s">
        <v>7571</v>
      </c>
      <c r="F651" t="s">
        <v>51</v>
      </c>
      <c r="G651" s="27" t="str">
        <f t="shared" si="20"/>
        <v>22406 REDSPARROW HOUSTON</v>
      </c>
      <c r="H651" s="27" t="str">
        <f t="shared" si="21"/>
        <v>HOUSTON TX 77447</v>
      </c>
    </row>
    <row r="652" spans="1:8" x14ac:dyDescent="0.2">
      <c r="A652" s="27">
        <f>COUNTIFS(C:C,C652,D:D,D652)</f>
        <v>1</v>
      </c>
      <c r="B652" s="30">
        <v>202101155571</v>
      </c>
      <c r="C652" t="s">
        <v>2508</v>
      </c>
      <c r="D652" t="s">
        <v>2509</v>
      </c>
      <c r="E652" t="s">
        <v>4901</v>
      </c>
      <c r="F652" t="s">
        <v>94</v>
      </c>
      <c r="G652" s="27" t="str">
        <f t="shared" si="20"/>
        <v>7914 BANEWAY DR  HOUSTON</v>
      </c>
      <c r="H652" s="27" t="str">
        <f t="shared" si="21"/>
        <v>HOUSTON TX 77072</v>
      </c>
    </row>
    <row r="653" spans="1:8" x14ac:dyDescent="0.2">
      <c r="A653" s="27">
        <f>COUNTIFS(C:C,C653,D:D,D653)</f>
        <v>1</v>
      </c>
      <c r="B653" s="30">
        <v>202101155573</v>
      </c>
      <c r="C653" t="s">
        <v>2328</v>
      </c>
      <c r="D653" t="s">
        <v>2329</v>
      </c>
      <c r="E653" t="s">
        <v>4943</v>
      </c>
      <c r="F653" t="s">
        <v>79</v>
      </c>
      <c r="G653" s="27" t="str">
        <f t="shared" si="20"/>
        <v>3522 BARKERS CROSSIN G AVE HOUSTON</v>
      </c>
      <c r="H653" s="27" t="str">
        <f t="shared" si="21"/>
        <v>HOUSTON TX 77084</v>
      </c>
    </row>
    <row r="654" spans="1:8" x14ac:dyDescent="0.2">
      <c r="A654" s="27">
        <f>COUNTIFS(C:C,C654,D:D,D654)</f>
        <v>1</v>
      </c>
      <c r="B654" s="30">
        <v>202101155577</v>
      </c>
      <c r="C654" s="28" t="s">
        <v>1370</v>
      </c>
      <c r="D654" s="28" t="s">
        <v>1371</v>
      </c>
      <c r="E654" s="28" t="s">
        <v>5031</v>
      </c>
      <c r="F654" s="28" t="s">
        <v>88</v>
      </c>
      <c r="G654" s="27" t="str">
        <f t="shared" si="20"/>
        <v>4423 QUAIL GATE  SPRING</v>
      </c>
      <c r="H654" s="27" t="str">
        <f t="shared" si="21"/>
        <v xml:space="preserve">HOUSTON TX      </v>
      </c>
    </row>
    <row r="655" spans="1:8" x14ac:dyDescent="0.2">
      <c r="A655" s="27">
        <f>COUNTIFS(C:C,C655,D:D,D655)</f>
        <v>1</v>
      </c>
      <c r="B655" s="30">
        <v>202101155578</v>
      </c>
      <c r="C655" s="28" t="s">
        <v>660</v>
      </c>
      <c r="D655" s="28" t="s">
        <v>661</v>
      </c>
      <c r="E655" s="28" t="s">
        <v>4928</v>
      </c>
      <c r="F655" s="28" t="s">
        <v>61</v>
      </c>
      <c r="G655" s="27" t="str">
        <f t="shared" si="20"/>
        <v>1001 BATTLEBELL RD  HIGHLANDS</v>
      </c>
      <c r="H655" s="27" t="str">
        <f t="shared" si="21"/>
        <v>HOUSTON TX 77562</v>
      </c>
    </row>
    <row r="656" spans="1:8" x14ac:dyDescent="0.2">
      <c r="A656" s="27">
        <f>COUNTIFS(C:C,C656,D:D,D656)</f>
        <v>1</v>
      </c>
      <c r="B656" s="30">
        <v>202101155582</v>
      </c>
      <c r="C656" t="s">
        <v>3554</v>
      </c>
      <c r="D656" t="s">
        <v>3555</v>
      </c>
      <c r="E656" t="s">
        <v>5200</v>
      </c>
      <c r="F656" t="s">
        <v>4834</v>
      </c>
      <c r="G656" s="27" t="str">
        <f t="shared" si="20"/>
        <v>18611 ANNE DR  WEBSTER</v>
      </c>
      <c r="H656" s="27" t="str">
        <f t="shared" si="21"/>
        <v>HOUSTON TX 77058</v>
      </c>
    </row>
    <row r="657" spans="1:8" x14ac:dyDescent="0.2">
      <c r="A657" s="27">
        <f>COUNTIFS(C:C,C657,D:D,D657)</f>
        <v>1</v>
      </c>
      <c r="B657" s="30">
        <v>202101155585</v>
      </c>
      <c r="C657" s="28" t="s">
        <v>1396</v>
      </c>
      <c r="D657" s="28" t="s">
        <v>1397</v>
      </c>
      <c r="E657" s="28" t="s">
        <v>5033</v>
      </c>
      <c r="F657" s="28" t="s">
        <v>87</v>
      </c>
      <c r="G657" s="27" t="str">
        <f t="shared" si="20"/>
        <v>23010 S WARMSTONE WAY  KATY</v>
      </c>
      <c r="H657" s="27" t="str">
        <f t="shared" si="21"/>
        <v>HOUSTON TX 77494</v>
      </c>
    </row>
    <row r="658" spans="1:8" x14ac:dyDescent="0.2">
      <c r="A658" s="27">
        <f>COUNTIFS(C:C,C658,D:D,D658)</f>
        <v>1</v>
      </c>
      <c r="B658" s="30">
        <v>202101155593</v>
      </c>
      <c r="C658" s="28" t="s">
        <v>1549</v>
      </c>
      <c r="D658" s="28" t="s">
        <v>1550</v>
      </c>
      <c r="E658" s="28" t="s">
        <v>4873</v>
      </c>
      <c r="F658" s="28" t="s">
        <v>99</v>
      </c>
      <c r="G658" s="27" t="str">
        <f t="shared" si="20"/>
        <v>13135 NATURE TRAIL  HOUSTON</v>
      </c>
      <c r="H658" s="27" t="str">
        <f t="shared" si="21"/>
        <v>HOUSTON TX 77044</v>
      </c>
    </row>
    <row r="659" spans="1:8" x14ac:dyDescent="0.2">
      <c r="A659" s="27">
        <f>COUNTIFS(C:C,C659,D:D,D659)</f>
        <v>1</v>
      </c>
      <c r="B659" s="30">
        <v>202101155594</v>
      </c>
      <c r="C659" t="s">
        <v>3560</v>
      </c>
      <c r="D659" t="s">
        <v>3561</v>
      </c>
      <c r="E659" t="s">
        <v>4861</v>
      </c>
      <c r="F659" t="s">
        <v>51</v>
      </c>
      <c r="G659" s="27" t="str">
        <f t="shared" si="20"/>
        <v>10201 CATHEDRAL  HOUSTON</v>
      </c>
      <c r="H659" s="27" t="str">
        <f t="shared" si="21"/>
        <v>HOUSTON TX 77051</v>
      </c>
    </row>
    <row r="660" spans="1:8" x14ac:dyDescent="0.2">
      <c r="A660" s="27">
        <f>COUNTIFS(C:C,C660,D:D,D660)</f>
        <v>1</v>
      </c>
      <c r="B660" s="30">
        <v>202101155595</v>
      </c>
      <c r="C660" t="s">
        <v>3562</v>
      </c>
      <c r="D660" t="s">
        <v>3563</v>
      </c>
      <c r="E660" t="s">
        <v>4970</v>
      </c>
      <c r="F660" t="s">
        <v>158</v>
      </c>
      <c r="G660" s="27" t="str">
        <f t="shared" si="20"/>
        <v>10555 FONDREN RD 708  HOUSTON</v>
      </c>
      <c r="H660" s="27" t="str">
        <f t="shared" si="21"/>
        <v>HOUSTON TX 77096</v>
      </c>
    </row>
    <row r="661" spans="1:8" x14ac:dyDescent="0.2">
      <c r="A661" s="27">
        <f>COUNTIFS(C:C,C661,D:D,D661)</f>
        <v>1</v>
      </c>
      <c r="B661" s="30">
        <v>202101155597</v>
      </c>
      <c r="C661" t="s">
        <v>3566</v>
      </c>
      <c r="D661" t="s">
        <v>3567</v>
      </c>
      <c r="E661" t="s">
        <v>5201</v>
      </c>
      <c r="F661" t="s">
        <v>51</v>
      </c>
      <c r="G661" s="27" t="str">
        <f t="shared" si="20"/>
        <v>504 ARBOR WOOD COVE  LIBERTY HI</v>
      </c>
      <c r="H661" s="27" t="str">
        <f t="shared" si="21"/>
        <v>HOUSTON TX 78642</v>
      </c>
    </row>
    <row r="662" spans="1:8" x14ac:dyDescent="0.2">
      <c r="A662" s="27">
        <f>COUNTIFS(C:C,C662,D:D,D662)</f>
        <v>1</v>
      </c>
      <c r="B662" s="30">
        <v>202101155601</v>
      </c>
      <c r="C662" t="s">
        <v>3568</v>
      </c>
      <c r="D662" t="s">
        <v>3569</v>
      </c>
      <c r="E662" t="s">
        <v>5120</v>
      </c>
      <c r="F662" t="s">
        <v>88</v>
      </c>
      <c r="G662" s="27" t="str">
        <f t="shared" si="20"/>
        <v>16202 EL CAMINO REAL  HOUSTON</v>
      </c>
      <c r="H662" s="27" t="str">
        <f t="shared" si="21"/>
        <v>HOUSTON TX 77062</v>
      </c>
    </row>
    <row r="663" spans="1:8" x14ac:dyDescent="0.2">
      <c r="A663" s="27">
        <f>COUNTIFS(C:C,C663,D:D,D663)</f>
        <v>1</v>
      </c>
      <c r="B663" s="30">
        <v>202101155602</v>
      </c>
      <c r="C663" s="28" t="s">
        <v>506</v>
      </c>
      <c r="D663" s="28" t="s">
        <v>507</v>
      </c>
      <c r="E663" s="28" t="s">
        <v>4893</v>
      </c>
      <c r="F663" s="28" t="s">
        <v>85</v>
      </c>
      <c r="G663" s="27" t="str">
        <f t="shared" si="20"/>
        <v>4747 TIDEWATER  HOUSTON</v>
      </c>
      <c r="H663" s="27" t="str">
        <f t="shared" si="21"/>
        <v>HOUSTON TX 77045</v>
      </c>
    </row>
    <row r="664" spans="1:8" x14ac:dyDescent="0.2">
      <c r="A664" s="27">
        <f>COUNTIFS(C:C,C664,D:D,D664)</f>
        <v>1</v>
      </c>
      <c r="B664" s="30">
        <v>202101155603</v>
      </c>
      <c r="C664" t="s">
        <v>2908</v>
      </c>
      <c r="D664" t="s">
        <v>2909</v>
      </c>
      <c r="E664" t="s">
        <v>5164</v>
      </c>
      <c r="F664" t="s">
        <v>87</v>
      </c>
      <c r="G664" s="27" t="str">
        <f t="shared" si="20"/>
        <v>9730 SHEPHERD DR  BEAUMONT</v>
      </c>
      <c r="H664" s="27" t="str">
        <f t="shared" si="21"/>
        <v>HOUSTON TX 77707</v>
      </c>
    </row>
    <row r="665" spans="1:8" x14ac:dyDescent="0.2">
      <c r="A665" s="27">
        <f>COUNTIFS(C:C,C665,D:D,D665)</f>
        <v>1</v>
      </c>
      <c r="B665" s="30">
        <v>202101155605</v>
      </c>
      <c r="C665" t="s">
        <v>3045</v>
      </c>
      <c r="D665" t="s">
        <v>3046</v>
      </c>
      <c r="E665" t="s">
        <v>4966</v>
      </c>
      <c r="F665" t="s">
        <v>53</v>
      </c>
      <c r="G665" s="27" t="str">
        <f t="shared" si="20"/>
        <v>2514 PINE LAKE DR  DEER PARK</v>
      </c>
      <c r="H665" s="27" t="str">
        <f t="shared" si="21"/>
        <v>HOUSTON TX 77536</v>
      </c>
    </row>
    <row r="666" spans="1:8" x14ac:dyDescent="0.2">
      <c r="A666" s="27">
        <f>COUNTIFS(C:C,C666,D:D,D666)</f>
        <v>1</v>
      </c>
      <c r="B666" s="30">
        <v>202101155608</v>
      </c>
      <c r="C666" t="s">
        <v>3572</v>
      </c>
      <c r="D666" t="s">
        <v>3573</v>
      </c>
      <c r="E666" t="s">
        <v>5202</v>
      </c>
      <c r="F666" t="s">
        <v>88</v>
      </c>
      <c r="G666" s="27" t="str">
        <f t="shared" si="20"/>
        <v>302 SHOREACRES BLVD  SHOREACRES</v>
      </c>
      <c r="H666" s="27" t="str">
        <f t="shared" si="21"/>
        <v>HOUSTON TX 77571</v>
      </c>
    </row>
    <row r="667" spans="1:8" x14ac:dyDescent="0.2">
      <c r="A667" s="27">
        <f>COUNTIFS(C:C,C667,D:D,D667)</f>
        <v>1</v>
      </c>
      <c r="B667" s="30">
        <v>202101155614</v>
      </c>
      <c r="C667" t="s">
        <v>3570</v>
      </c>
      <c r="D667" t="s">
        <v>3571</v>
      </c>
      <c r="E667" t="s">
        <v>5069</v>
      </c>
      <c r="F667" t="s">
        <v>88</v>
      </c>
      <c r="G667" s="27" t="str">
        <f t="shared" si="20"/>
        <v>19100 GLENWEST DR  FRIENDSWOO</v>
      </c>
      <c r="H667" s="27" t="str">
        <f t="shared" si="21"/>
        <v>HOUSTON TX 77546</v>
      </c>
    </row>
    <row r="668" spans="1:8" x14ac:dyDescent="0.2">
      <c r="A668" s="27">
        <f>COUNTIFS(C:C,C668,D:D,D668)</f>
        <v>1</v>
      </c>
      <c r="B668" s="30">
        <v>202101155617</v>
      </c>
      <c r="C668" t="s">
        <v>2559</v>
      </c>
      <c r="D668" t="s">
        <v>2560</v>
      </c>
      <c r="E668" t="s">
        <v>5137</v>
      </c>
      <c r="F668" t="s">
        <v>64</v>
      </c>
      <c r="G668" s="27" t="str">
        <f t="shared" si="20"/>
        <v>2300 W LOOP S  HOUSTON</v>
      </c>
      <c r="H668" s="27" t="str">
        <f t="shared" si="21"/>
        <v>HOUSTON TX 77056</v>
      </c>
    </row>
    <row r="669" spans="1:8" x14ac:dyDescent="0.2">
      <c r="A669" s="27">
        <f>COUNTIFS(C:C,C669,D:D,D669)</f>
        <v>1</v>
      </c>
      <c r="B669" s="30">
        <v>202101155618</v>
      </c>
      <c r="C669" t="s">
        <v>3556</v>
      </c>
      <c r="D669" t="s">
        <v>3557</v>
      </c>
      <c r="E669" t="s">
        <v>4978</v>
      </c>
      <c r="F669" t="s">
        <v>64</v>
      </c>
      <c r="G669" s="27" t="str">
        <f t="shared" si="20"/>
        <v>7534 STONE PINE LANE  HOUSTON</v>
      </c>
      <c r="H669" s="27" t="str">
        <f t="shared" si="21"/>
        <v>HOUSTON TX 77041</v>
      </c>
    </row>
    <row r="670" spans="1:8" x14ac:dyDescent="0.2">
      <c r="A670" s="27">
        <f>COUNTIFS(C:C,C670,D:D,D670)</f>
        <v>1</v>
      </c>
      <c r="B670" s="30">
        <v>202101155619</v>
      </c>
      <c r="C670" s="28" t="s">
        <v>1922</v>
      </c>
      <c r="D670" s="28" t="s">
        <v>1923</v>
      </c>
      <c r="E670" s="28" t="s">
        <v>4977</v>
      </c>
      <c r="F670" s="28" t="s">
        <v>90</v>
      </c>
      <c r="G670" s="27" t="str">
        <f t="shared" si="20"/>
        <v>6015 WINSOME LN  HOUSTON</v>
      </c>
      <c r="H670" s="27" t="str">
        <f t="shared" si="21"/>
        <v>HOUSTON TX 77057</v>
      </c>
    </row>
    <row r="671" spans="1:8" x14ac:dyDescent="0.2">
      <c r="A671" s="27">
        <f>COUNTIFS(C:C,C671,D:D,D671)</f>
        <v>1</v>
      </c>
      <c r="B671" s="30">
        <v>202101155621</v>
      </c>
      <c r="C671" s="28" t="s">
        <v>1689</v>
      </c>
      <c r="D671" s="28" t="s">
        <v>1690</v>
      </c>
      <c r="E671" s="28" t="s">
        <v>4855</v>
      </c>
      <c r="F671" s="28" t="s">
        <v>53</v>
      </c>
      <c r="G671" s="27" t="str">
        <f t="shared" si="20"/>
        <v>9806 GUEST  HOUSTON</v>
      </c>
      <c r="H671" s="27" t="str">
        <f t="shared" si="21"/>
        <v>HOUSTON TX 77078</v>
      </c>
    </row>
    <row r="672" spans="1:8" x14ac:dyDescent="0.2">
      <c r="A672" s="27">
        <f>COUNTIFS(C:C,C672,D:D,D672)</f>
        <v>1</v>
      </c>
      <c r="B672" s="30">
        <v>202101155622</v>
      </c>
      <c r="C672" t="s">
        <v>3574</v>
      </c>
      <c r="D672" t="s">
        <v>3575</v>
      </c>
      <c r="E672" t="s">
        <v>4905</v>
      </c>
      <c r="F672" t="s">
        <v>88</v>
      </c>
      <c r="G672" s="27" t="str">
        <f t="shared" si="20"/>
        <v>3210 CHESTERSHIRE DR  PASADENA</v>
      </c>
      <c r="H672" s="27" t="str">
        <f t="shared" si="21"/>
        <v>HOUSTON TX 77503</v>
      </c>
    </row>
    <row r="673" spans="1:8" x14ac:dyDescent="0.2">
      <c r="A673" s="27">
        <f>COUNTIFS(C:C,C673,D:D,D673)</f>
        <v>1</v>
      </c>
      <c r="B673" s="30">
        <v>202101155626</v>
      </c>
      <c r="C673" t="s">
        <v>3142</v>
      </c>
      <c r="D673" t="s">
        <v>3143</v>
      </c>
      <c r="E673" t="s">
        <v>4884</v>
      </c>
      <c r="F673" t="s">
        <v>71</v>
      </c>
      <c r="G673" s="27" t="str">
        <f t="shared" si="20"/>
        <v>3503 KESTREL RD  HOCKLEY</v>
      </c>
      <c r="H673" s="27" t="str">
        <f t="shared" si="21"/>
        <v>HOUSTON TX 77447</v>
      </c>
    </row>
    <row r="674" spans="1:8" x14ac:dyDescent="0.2">
      <c r="A674" s="27">
        <f>COUNTIFS(C:C,C674,D:D,D674)</f>
        <v>1</v>
      </c>
      <c r="B674" s="30">
        <v>202101155630</v>
      </c>
      <c r="C674" t="s">
        <v>2215</v>
      </c>
      <c r="D674" t="s">
        <v>2216</v>
      </c>
      <c r="E674" t="s">
        <v>5113</v>
      </c>
      <c r="F674" t="s">
        <v>92</v>
      </c>
      <c r="G674" s="27" t="str">
        <f t="shared" si="20"/>
        <v>43 CYNTOLYN RD  HOUSTON</v>
      </c>
      <c r="H674" s="27" t="str">
        <f t="shared" si="21"/>
        <v>HOUSTON TX 77320</v>
      </c>
    </row>
    <row r="675" spans="1:8" x14ac:dyDescent="0.2">
      <c r="A675" s="27">
        <f>COUNTIFS(C:C,C675,D:D,D675)</f>
        <v>1</v>
      </c>
      <c r="B675" s="30">
        <v>202101155631</v>
      </c>
      <c r="C675" t="s">
        <v>3586</v>
      </c>
      <c r="D675" t="s">
        <v>3587</v>
      </c>
      <c r="E675" t="s">
        <v>4864</v>
      </c>
      <c r="F675" t="s">
        <v>78</v>
      </c>
      <c r="G675" s="27" t="str">
        <f t="shared" si="20"/>
        <v>5300 COKE ST 127  HOUSTON</v>
      </c>
      <c r="H675" s="27" t="str">
        <f t="shared" si="21"/>
        <v>HOUSTON TX 77020</v>
      </c>
    </row>
    <row r="676" spans="1:8" x14ac:dyDescent="0.2">
      <c r="A676" s="27">
        <f>COUNTIFS(C:C,C676,D:D,D676)</f>
        <v>1</v>
      </c>
      <c r="B676" s="30">
        <v>202101155634</v>
      </c>
      <c r="C676" s="28" t="s">
        <v>1597</v>
      </c>
      <c r="D676" s="28" t="s">
        <v>1598</v>
      </c>
      <c r="E676" s="28" t="s">
        <v>4943</v>
      </c>
      <c r="F676" s="28" t="s">
        <v>87</v>
      </c>
      <c r="G676" s="27" t="str">
        <f t="shared" si="20"/>
        <v>16710 BRITFORD ST  HOUSTON</v>
      </c>
      <c r="H676" s="27" t="str">
        <f t="shared" si="21"/>
        <v>HOUSTON TX 77084</v>
      </c>
    </row>
    <row r="677" spans="1:8" x14ac:dyDescent="0.2">
      <c r="A677" s="27">
        <f>COUNTIFS(C:C,C677,D:D,D677)</f>
        <v>1</v>
      </c>
      <c r="B677" s="30">
        <v>202101155635</v>
      </c>
      <c r="C677" t="s">
        <v>3588</v>
      </c>
      <c r="D677" t="s">
        <v>3589</v>
      </c>
      <c r="E677" t="s">
        <v>4999</v>
      </c>
      <c r="F677" t="s">
        <v>88</v>
      </c>
      <c r="G677" s="27" t="str">
        <f t="shared" si="20"/>
        <v>21410 PARK BLUFF DR  KATY</v>
      </c>
      <c r="H677" s="27" t="str">
        <f t="shared" si="21"/>
        <v>HOUSTON TX 77450</v>
      </c>
    </row>
    <row r="678" spans="1:8" x14ac:dyDescent="0.2">
      <c r="A678" s="27">
        <f>COUNTIFS(C:C,C678,D:D,D678)</f>
        <v>1</v>
      </c>
      <c r="B678" s="30">
        <v>202101155636</v>
      </c>
      <c r="C678" t="s">
        <v>3590</v>
      </c>
      <c r="D678" t="s">
        <v>3591</v>
      </c>
      <c r="E678" t="s">
        <v>4914</v>
      </c>
      <c r="F678" t="s">
        <v>88</v>
      </c>
      <c r="G678" s="27" t="str">
        <f t="shared" si="20"/>
        <v>1335 SILVERDO DR 313  HOUSTON</v>
      </c>
      <c r="H678" s="27" t="str">
        <f t="shared" si="21"/>
        <v>HOUSTON TX 77077</v>
      </c>
    </row>
    <row r="679" spans="1:8" x14ac:dyDescent="0.2">
      <c r="A679" s="27">
        <f>COUNTIFS(C:C,C679,D:D,D679)</f>
        <v>1</v>
      </c>
      <c r="B679" s="30">
        <v>202101155638</v>
      </c>
      <c r="C679" t="s">
        <v>3592</v>
      </c>
      <c r="D679" t="s">
        <v>3593</v>
      </c>
      <c r="E679" t="s">
        <v>4896</v>
      </c>
      <c r="F679" t="s">
        <v>88</v>
      </c>
      <c r="G679" s="27" t="str">
        <f t="shared" si="20"/>
        <v>7700 CORPORATE DR 20 6 HOUSTON</v>
      </c>
      <c r="H679" s="27" t="str">
        <f t="shared" si="21"/>
        <v>HOUSTON TX 77036</v>
      </c>
    </row>
    <row r="680" spans="1:8" x14ac:dyDescent="0.2">
      <c r="A680" s="27">
        <f>COUNTIFS(C:C,C680,D:D,D680)</f>
        <v>1</v>
      </c>
      <c r="B680" s="30">
        <v>202101155640</v>
      </c>
      <c r="C680" s="28" t="s">
        <v>1581</v>
      </c>
      <c r="D680" s="28" t="s">
        <v>1582</v>
      </c>
      <c r="E680" s="28" t="s">
        <v>4855</v>
      </c>
      <c r="F680" s="28" t="s">
        <v>53</v>
      </c>
      <c r="G680" s="27" t="str">
        <f t="shared" si="20"/>
        <v>8635 VALLEY WEST CT  HOUSTON</v>
      </c>
      <c r="H680" s="27" t="str">
        <f t="shared" si="21"/>
        <v>HOUSTON TX 77078</v>
      </c>
    </row>
    <row r="681" spans="1:8" x14ac:dyDescent="0.2">
      <c r="A681" s="27">
        <f>COUNTIFS(C:C,C681,D:D,D681)</f>
        <v>1</v>
      </c>
      <c r="B681" s="30">
        <v>202101155642</v>
      </c>
      <c r="C681" s="28" t="s">
        <v>589</v>
      </c>
      <c r="D681" s="28" t="s">
        <v>590</v>
      </c>
      <c r="E681" s="28" t="s">
        <v>4874</v>
      </c>
      <c r="F681" s="28" t="s">
        <v>87</v>
      </c>
      <c r="G681" s="27" t="str">
        <f t="shared" si="20"/>
        <v>6014 SOUTHMONT  HOUSTON</v>
      </c>
      <c r="H681" s="27" t="str">
        <f t="shared" si="21"/>
        <v>HOUSTON TX 77033</v>
      </c>
    </row>
    <row r="682" spans="1:8" x14ac:dyDescent="0.2">
      <c r="A682" s="27">
        <f>COUNTIFS(C:C,C682,D:D,D682)</f>
        <v>1</v>
      </c>
      <c r="B682" s="30">
        <v>202101155644</v>
      </c>
      <c r="C682" s="28" t="s">
        <v>1518</v>
      </c>
      <c r="D682" s="28" t="s">
        <v>1519</v>
      </c>
      <c r="E682" s="28" t="s">
        <v>4997</v>
      </c>
      <c r="F682" s="28" t="s">
        <v>87</v>
      </c>
      <c r="G682" s="27" t="str">
        <f t="shared" ref="G682:G745" si="22">D682&amp;" "&amp;MID(E682,1,FIND(" TX",E682)-1)</f>
        <v>11410 GREEN GLADE DR  HOUSTON</v>
      </c>
      <c r="H682" s="27" t="str">
        <f t="shared" ref="H682:H745" si="23">"HOUSTON "&amp;MID(E682,FIND("TX",E682),8)</f>
        <v>HOUSTON TX 77099</v>
      </c>
    </row>
    <row r="683" spans="1:8" x14ac:dyDescent="0.2">
      <c r="A683" s="27">
        <f>COUNTIFS(C:C,C683,D:D,D683)</f>
        <v>1</v>
      </c>
      <c r="B683" s="30">
        <v>202101155646</v>
      </c>
      <c r="C683" t="s">
        <v>3594</v>
      </c>
      <c r="D683" t="s">
        <v>3595</v>
      </c>
      <c r="E683" t="s">
        <v>5205</v>
      </c>
      <c r="F683" t="s">
        <v>90</v>
      </c>
      <c r="G683" s="27" t="str">
        <f t="shared" si="22"/>
        <v>937 OAKBEND CT  CLEVLAND</v>
      </c>
      <c r="H683" s="27" t="str">
        <f t="shared" si="23"/>
        <v>HOUSTON TX 77327</v>
      </c>
    </row>
    <row r="684" spans="1:8" x14ac:dyDescent="0.2">
      <c r="A684" s="27">
        <f>COUNTIFS(C:C,C684,D:D,D684)</f>
        <v>1</v>
      </c>
      <c r="B684" s="30">
        <v>202101155648</v>
      </c>
      <c r="C684" s="28" t="s">
        <v>1799</v>
      </c>
      <c r="D684" s="28" t="s">
        <v>1800</v>
      </c>
      <c r="E684" s="28" t="s">
        <v>4975</v>
      </c>
      <c r="F684" s="28" t="s">
        <v>88</v>
      </c>
      <c r="G684" s="27" t="str">
        <f t="shared" si="22"/>
        <v>12422 DERMOTT  HOUSTON</v>
      </c>
      <c r="H684" s="27" t="str">
        <f t="shared" si="23"/>
        <v>HOUSTON TX 77065</v>
      </c>
    </row>
    <row r="685" spans="1:8" x14ac:dyDescent="0.2">
      <c r="A685" s="27">
        <f>COUNTIFS(C:C,C685,D:D,D685)</f>
        <v>1</v>
      </c>
      <c r="B685" s="30">
        <v>202101155650</v>
      </c>
      <c r="C685" t="s">
        <v>3596</v>
      </c>
      <c r="D685" t="s">
        <v>3597</v>
      </c>
      <c r="E685" t="s">
        <v>5023</v>
      </c>
      <c r="F685" t="s">
        <v>53</v>
      </c>
      <c r="G685" s="27" t="str">
        <f t="shared" si="22"/>
        <v>7600 HIGHMEADOW DR 1 051 HOUSTON</v>
      </c>
      <c r="H685" s="27" t="str">
        <f t="shared" si="23"/>
        <v>HOUSTON TX 77063</v>
      </c>
    </row>
    <row r="686" spans="1:8" x14ac:dyDescent="0.2">
      <c r="A686" s="27">
        <f>COUNTIFS(C:C,C686,D:D,D686)</f>
        <v>1</v>
      </c>
      <c r="B686" s="30">
        <v>202101155651</v>
      </c>
      <c r="C686" s="28" t="s">
        <v>1900</v>
      </c>
      <c r="D686" s="28" t="s">
        <v>1901</v>
      </c>
      <c r="E686" s="28" t="s">
        <v>5084</v>
      </c>
      <c r="F686" s="28" t="s">
        <v>53</v>
      </c>
      <c r="G686" s="27" t="str">
        <f t="shared" si="22"/>
        <v>3106 OXBRIDGE CT  HOUSTON</v>
      </c>
      <c r="H686" s="27" t="str">
        <f t="shared" si="23"/>
        <v>HOUSTON TX 77449</v>
      </c>
    </row>
    <row r="687" spans="1:8" x14ac:dyDescent="0.2">
      <c r="A687" s="27">
        <f>COUNTIFS(C:C,C687,D:D,D687)</f>
        <v>1</v>
      </c>
      <c r="B687" s="30">
        <v>202101155652</v>
      </c>
      <c r="C687" t="s">
        <v>2983</v>
      </c>
      <c r="D687" t="s">
        <v>2984</v>
      </c>
      <c r="E687" t="s">
        <v>4930</v>
      </c>
      <c r="F687" t="s">
        <v>159</v>
      </c>
      <c r="G687" s="27" t="str">
        <f t="shared" si="22"/>
        <v>10109 FAIRFAX ST  JACINTO CI</v>
      </c>
      <c r="H687" s="27" t="str">
        <f t="shared" si="23"/>
        <v>HOUSTON TX 77029</v>
      </c>
    </row>
    <row r="688" spans="1:8" x14ac:dyDescent="0.2">
      <c r="A688" s="27">
        <f>COUNTIFS(C:C,C688,D:D,D688)</f>
        <v>1</v>
      </c>
      <c r="B688" s="30">
        <v>202101155654</v>
      </c>
      <c r="C688" t="s">
        <v>2693</v>
      </c>
      <c r="D688" t="s">
        <v>2694</v>
      </c>
      <c r="E688" t="s">
        <v>4935</v>
      </c>
      <c r="F688" t="s">
        <v>159</v>
      </c>
      <c r="G688" s="27" t="str">
        <f t="shared" si="22"/>
        <v>520 ATASCOCITA RD  HUMBLE</v>
      </c>
      <c r="H688" s="27" t="str">
        <f t="shared" si="23"/>
        <v>HOUSTON TX 77396</v>
      </c>
    </row>
    <row r="689" spans="1:8" x14ac:dyDescent="0.2">
      <c r="A689" s="27">
        <f>COUNTIFS(C:C,C689,D:D,D689)</f>
        <v>1</v>
      </c>
      <c r="B689" s="30">
        <v>202101155655</v>
      </c>
      <c r="C689" s="28" t="s">
        <v>540</v>
      </c>
      <c r="D689" s="28" t="s">
        <v>541</v>
      </c>
      <c r="E689" s="28" t="s">
        <v>4903</v>
      </c>
      <c r="F689" s="28" t="s">
        <v>88</v>
      </c>
      <c r="G689" s="27" t="str">
        <f t="shared" si="22"/>
        <v>15431 EVERGREEN KNOLL LN CYPRESS</v>
      </c>
      <c r="H689" s="27" t="str">
        <f t="shared" si="23"/>
        <v>HOUSTON TX 77433</v>
      </c>
    </row>
    <row r="690" spans="1:8" x14ac:dyDescent="0.2">
      <c r="A690" s="27">
        <f>COUNTIFS(C:C,C690,D:D,D690)</f>
        <v>1</v>
      </c>
      <c r="B690" s="30">
        <v>202101155657</v>
      </c>
      <c r="C690" s="28" t="s">
        <v>1595</v>
      </c>
      <c r="D690" s="28" t="s">
        <v>1596</v>
      </c>
      <c r="E690" s="28" t="s">
        <v>4919</v>
      </c>
      <c r="F690" s="28" t="s">
        <v>350</v>
      </c>
      <c r="G690" s="27" t="str">
        <f t="shared" si="22"/>
        <v>5909 GLENMONT DRIVE  HOUSTON</v>
      </c>
      <c r="H690" s="27" t="str">
        <f t="shared" si="23"/>
        <v>HOUSTON TX 77081</v>
      </c>
    </row>
    <row r="691" spans="1:8" x14ac:dyDescent="0.2">
      <c r="A691" s="27">
        <f>COUNTIFS(C:C,C691,D:D,D691)</f>
        <v>1</v>
      </c>
      <c r="B691" s="30">
        <v>202101155663</v>
      </c>
      <c r="C691" t="s">
        <v>3598</v>
      </c>
      <c r="D691" t="s">
        <v>3599</v>
      </c>
      <c r="E691" t="s">
        <v>4982</v>
      </c>
      <c r="F691" t="s">
        <v>88</v>
      </c>
      <c r="G691" s="27" t="str">
        <f t="shared" si="22"/>
        <v>2530 WOODWILD DR  HOUSTON</v>
      </c>
      <c r="H691" s="27" t="str">
        <f t="shared" si="23"/>
        <v>HOUSTON TX 77038</v>
      </c>
    </row>
    <row r="692" spans="1:8" x14ac:dyDescent="0.2">
      <c r="A692" s="27">
        <f>COUNTIFS(C:C,C692,D:D,D692)</f>
        <v>1</v>
      </c>
      <c r="B692" s="30">
        <v>202101155664</v>
      </c>
      <c r="C692" s="28" t="s">
        <v>676</v>
      </c>
      <c r="D692" s="28" t="s">
        <v>677</v>
      </c>
      <c r="E692" s="28" t="s">
        <v>4871</v>
      </c>
      <c r="F692" s="28" t="s">
        <v>88</v>
      </c>
      <c r="G692" s="27" t="str">
        <f t="shared" si="22"/>
        <v>11722 BOLLINGER PARK CT HOUSTON</v>
      </c>
      <c r="H692" s="27" t="str">
        <f t="shared" si="23"/>
        <v>HOUSTON TX 77047</v>
      </c>
    </row>
    <row r="693" spans="1:8" x14ac:dyDescent="0.2">
      <c r="A693" s="27">
        <f>COUNTIFS(C:C,C693,D:D,D693)</f>
        <v>1</v>
      </c>
      <c r="B693" s="30">
        <v>202101155665</v>
      </c>
      <c r="C693" t="s">
        <v>2079</v>
      </c>
      <c r="D693" t="s">
        <v>2080</v>
      </c>
      <c r="E693" t="s">
        <v>4950</v>
      </c>
      <c r="F693" t="s">
        <v>53</v>
      </c>
      <c r="G693" s="27" t="str">
        <f t="shared" si="22"/>
        <v>4307 HERRIDGE ST  HOUSTON</v>
      </c>
      <c r="H693" s="27" t="str">
        <f t="shared" si="23"/>
        <v>HOUSTON TX 77022</v>
      </c>
    </row>
    <row r="694" spans="1:8" x14ac:dyDescent="0.2">
      <c r="A694" s="27">
        <f>COUNTIFS(C:C,C694,D:D,D694)</f>
        <v>1</v>
      </c>
      <c r="B694" s="30">
        <v>202101155666</v>
      </c>
      <c r="C694" t="s">
        <v>3600</v>
      </c>
      <c r="D694" t="s">
        <v>3601</v>
      </c>
      <c r="E694" t="s">
        <v>4887</v>
      </c>
      <c r="F694" t="s">
        <v>75</v>
      </c>
      <c r="G694" s="27" t="str">
        <f t="shared" si="22"/>
        <v>2203 ANGELINA DR  ROSHARON</v>
      </c>
      <c r="H694" s="27" t="str">
        <f t="shared" si="23"/>
        <v>HOUSTON TX 77583</v>
      </c>
    </row>
    <row r="695" spans="1:8" x14ac:dyDescent="0.2">
      <c r="A695" s="27">
        <f>COUNTIFS(C:C,C695,D:D,D695)</f>
        <v>1</v>
      </c>
      <c r="B695" s="30">
        <v>202101155667</v>
      </c>
      <c r="C695" t="s">
        <v>3035</v>
      </c>
      <c r="D695" t="s">
        <v>3036</v>
      </c>
      <c r="E695" t="s">
        <v>4900</v>
      </c>
      <c r="F695" t="s">
        <v>80</v>
      </c>
      <c r="G695" s="27" t="str">
        <f t="shared" si="22"/>
        <v>5839 S BRENWOOD DR  KATY</v>
      </c>
      <c r="H695" s="27" t="str">
        <f t="shared" si="23"/>
        <v>HOUSTON TX 77449</v>
      </c>
    </row>
    <row r="696" spans="1:8" x14ac:dyDescent="0.2">
      <c r="A696" s="27">
        <f>COUNTIFS(C:C,C696,D:D,D696)</f>
        <v>1</v>
      </c>
      <c r="B696" s="30">
        <v>202101155670</v>
      </c>
      <c r="C696" t="s">
        <v>3602</v>
      </c>
      <c r="D696" t="s">
        <v>3603</v>
      </c>
      <c r="E696" t="s">
        <v>4862</v>
      </c>
      <c r="F696" t="s">
        <v>4835</v>
      </c>
      <c r="G696" s="27" t="str">
        <f t="shared" si="22"/>
        <v>15530 ELLA BOULEVARD  HOUSTON</v>
      </c>
      <c r="H696" s="27" t="str">
        <f t="shared" si="23"/>
        <v>HOUSTON TX 77090</v>
      </c>
    </row>
    <row r="697" spans="1:8" x14ac:dyDescent="0.2">
      <c r="A697" s="27">
        <f>COUNTIFS(C:C,C697,D:D,D697)</f>
        <v>1</v>
      </c>
      <c r="B697" s="30">
        <v>202101155675</v>
      </c>
      <c r="C697" s="28" t="s">
        <v>561</v>
      </c>
      <c r="D697" s="28" t="s">
        <v>562</v>
      </c>
      <c r="E697" s="28" t="s">
        <v>4876</v>
      </c>
      <c r="F697" s="28" t="s">
        <v>88</v>
      </c>
      <c r="G697" s="27" t="str">
        <f t="shared" si="22"/>
        <v>462 GRAND OAKS BLVD  HOUSTON</v>
      </c>
      <c r="H697" s="27" t="str">
        <f t="shared" si="23"/>
        <v>HOUSTON TX 77015</v>
      </c>
    </row>
    <row r="698" spans="1:8" x14ac:dyDescent="0.2">
      <c r="A698" s="27">
        <f>COUNTIFS(C:C,C698,D:D,D698)</f>
        <v>1</v>
      </c>
      <c r="B698" s="30">
        <v>202101155676</v>
      </c>
      <c r="C698" s="28" t="s">
        <v>1448</v>
      </c>
      <c r="D698" s="28" t="s">
        <v>1449</v>
      </c>
      <c r="E698" s="28" t="s">
        <v>4945</v>
      </c>
      <c r="F698" s="28" t="s">
        <v>68</v>
      </c>
      <c r="G698" s="27" t="str">
        <f t="shared" si="22"/>
        <v>1811 CITY HALL DR  ROSENBERG</v>
      </c>
      <c r="H698" s="27" t="str">
        <f t="shared" si="23"/>
        <v>HOUSTON TX 77471</v>
      </c>
    </row>
    <row r="699" spans="1:8" x14ac:dyDescent="0.2">
      <c r="A699" s="27">
        <f>COUNTIFS(C:C,C699,D:D,D699)</f>
        <v>1</v>
      </c>
      <c r="B699" s="30">
        <v>202101155682</v>
      </c>
      <c r="C699" t="s">
        <v>1992</v>
      </c>
      <c r="D699" t="s">
        <v>1993</v>
      </c>
      <c r="E699" t="s">
        <v>4909</v>
      </c>
      <c r="F699" t="s">
        <v>88</v>
      </c>
      <c r="G699" s="27" t="str">
        <f t="shared" si="22"/>
        <v>16314 EDGEMONT DR  HOUSTON</v>
      </c>
      <c r="H699" s="27" t="str">
        <f t="shared" si="23"/>
        <v>HOUSTON TX 77053</v>
      </c>
    </row>
    <row r="700" spans="1:8" x14ac:dyDescent="0.2">
      <c r="A700" s="27">
        <f>COUNTIFS(C:C,C700,D:D,D700)</f>
        <v>1</v>
      </c>
      <c r="B700" s="30">
        <v>202101155683</v>
      </c>
      <c r="C700" s="28" t="s">
        <v>980</v>
      </c>
      <c r="D700" s="28" t="s">
        <v>981</v>
      </c>
      <c r="E700" s="28" t="s">
        <v>4850</v>
      </c>
      <c r="F700" s="28" t="s">
        <v>294</v>
      </c>
      <c r="G700" s="27" t="str">
        <f t="shared" si="22"/>
        <v>10700 FUQUA ST  HOUSTON</v>
      </c>
      <c r="H700" s="27" t="str">
        <f t="shared" si="23"/>
        <v>HOUSTON TX 77089</v>
      </c>
    </row>
    <row r="701" spans="1:8" x14ac:dyDescent="0.2">
      <c r="A701" s="27">
        <f>COUNTIFS(C:C,C701,D:D,D701)</f>
        <v>1</v>
      </c>
      <c r="B701" s="30">
        <v>202101155686</v>
      </c>
      <c r="C701" t="s">
        <v>3604</v>
      </c>
      <c r="D701" t="s">
        <v>3605</v>
      </c>
      <c r="E701" t="s">
        <v>4884</v>
      </c>
      <c r="F701" t="s">
        <v>328</v>
      </c>
      <c r="G701" s="27" t="str">
        <f t="shared" si="22"/>
        <v>24210 ROCKIN SEVEN DR  HOCKLEY</v>
      </c>
      <c r="H701" s="27" t="str">
        <f t="shared" si="23"/>
        <v>HOUSTON TX 77447</v>
      </c>
    </row>
    <row r="702" spans="1:8" x14ac:dyDescent="0.2">
      <c r="A702" s="27">
        <f>COUNTIFS(C:C,C702,D:D,D702)</f>
        <v>1</v>
      </c>
      <c r="B702" s="30">
        <v>202101155688</v>
      </c>
      <c r="C702" t="s">
        <v>3606</v>
      </c>
      <c r="D702" t="s">
        <v>3607</v>
      </c>
      <c r="E702" t="s">
        <v>5192</v>
      </c>
      <c r="F702" t="s">
        <v>88</v>
      </c>
      <c r="G702" s="27" t="str">
        <f t="shared" si="22"/>
        <v>4009 INDIAN PT  MISSOURI</v>
      </c>
      <c r="H702" s="27" t="str">
        <f t="shared" si="23"/>
        <v>HOUSTON TX 77459</v>
      </c>
    </row>
    <row r="703" spans="1:8" x14ac:dyDescent="0.2">
      <c r="A703" s="27">
        <f>COUNTIFS(C:C,C703,D:D,D703)</f>
        <v>1</v>
      </c>
      <c r="B703" s="30">
        <v>202101155689</v>
      </c>
      <c r="C703" t="s">
        <v>3608</v>
      </c>
      <c r="D703" t="s">
        <v>3609</v>
      </c>
      <c r="E703" t="s">
        <v>4887</v>
      </c>
      <c r="F703" t="s">
        <v>88</v>
      </c>
      <c r="G703" s="27" t="str">
        <f t="shared" si="22"/>
        <v>919 BRIGHT LOTUS LN  ROSHARON</v>
      </c>
      <c r="H703" s="27" t="str">
        <f t="shared" si="23"/>
        <v>HOUSTON TX 77583</v>
      </c>
    </row>
    <row r="704" spans="1:8" x14ac:dyDescent="0.2">
      <c r="A704" s="27">
        <f>COUNTIFS(C:C,C704,D:D,D704)</f>
        <v>1</v>
      </c>
      <c r="B704" s="30">
        <v>202101155694</v>
      </c>
      <c r="C704" t="s">
        <v>2408</v>
      </c>
      <c r="D704" t="s">
        <v>2409</v>
      </c>
      <c r="E704" t="s">
        <v>4878</v>
      </c>
      <c r="F704" t="s">
        <v>342</v>
      </c>
      <c r="G704" s="27" t="str">
        <f t="shared" si="22"/>
        <v>11702 ROANDALE DR  HOUSTON</v>
      </c>
      <c r="H704" s="27" t="str">
        <f t="shared" si="23"/>
        <v>HOUSTON TX 77048</v>
      </c>
    </row>
    <row r="705" spans="1:8" x14ac:dyDescent="0.2">
      <c r="A705" s="27">
        <f>COUNTIFS(C:C,C705,D:D,D705)</f>
        <v>1</v>
      </c>
      <c r="B705" s="30">
        <v>202101155698</v>
      </c>
      <c r="C705" t="s">
        <v>3372</v>
      </c>
      <c r="D705" t="s">
        <v>3373</v>
      </c>
      <c r="E705" t="s">
        <v>5182</v>
      </c>
      <c r="F705" t="s">
        <v>53</v>
      </c>
      <c r="G705" s="27" t="e">
        <f t="shared" si="22"/>
        <v>#VALUE!</v>
      </c>
      <c r="H705" s="27" t="e">
        <f t="shared" si="23"/>
        <v>#VALUE!</v>
      </c>
    </row>
    <row r="706" spans="1:8" x14ac:dyDescent="0.2">
      <c r="A706" s="27">
        <f>COUNTIFS(C:C,C706,D:D,D706)</f>
        <v>1</v>
      </c>
      <c r="B706" s="30">
        <v>202101155699</v>
      </c>
      <c r="C706" s="28" t="s">
        <v>986</v>
      </c>
      <c r="D706" s="28" t="s">
        <v>987</v>
      </c>
      <c r="E706" s="28" t="s">
        <v>4882</v>
      </c>
      <c r="F706" s="28" t="s">
        <v>53</v>
      </c>
      <c r="G706" s="27" t="str">
        <f t="shared" si="22"/>
        <v>5103 BINION FOREST L N SPRING</v>
      </c>
      <c r="H706" s="27" t="str">
        <f t="shared" si="23"/>
        <v>HOUSTON TX 77389</v>
      </c>
    </row>
    <row r="707" spans="1:8" x14ac:dyDescent="0.2">
      <c r="A707" s="27">
        <f>COUNTIFS(C:C,C707,D:D,D707)</f>
        <v>1</v>
      </c>
      <c r="B707" s="30">
        <v>202101155704</v>
      </c>
      <c r="C707" s="28" t="s">
        <v>1673</v>
      </c>
      <c r="D707" s="28" t="s">
        <v>1674</v>
      </c>
      <c r="E707" s="28" t="s">
        <v>5067</v>
      </c>
      <c r="F707" s="28" t="s">
        <v>69</v>
      </c>
      <c r="G707" s="27" t="str">
        <f t="shared" si="22"/>
        <v>22515 TWO LAKES DR  SPRING</v>
      </c>
      <c r="H707" s="27" t="str">
        <f t="shared" si="23"/>
        <v>HOUSTON TX 77375</v>
      </c>
    </row>
    <row r="708" spans="1:8" x14ac:dyDescent="0.2">
      <c r="A708" s="27">
        <f>COUNTIFS(C:C,C708,D:D,D708)</f>
        <v>1</v>
      </c>
      <c r="B708" s="30">
        <v>202101155709</v>
      </c>
      <c r="C708" t="s">
        <v>3610</v>
      </c>
      <c r="D708" t="s">
        <v>3611</v>
      </c>
      <c r="E708" t="s">
        <v>5079</v>
      </c>
      <c r="F708" t="s">
        <v>88</v>
      </c>
      <c r="G708" s="27" t="str">
        <f t="shared" si="22"/>
        <v>875 N ELDRIDGE PKWY 255 HOUSTON</v>
      </c>
      <c r="H708" s="27" t="str">
        <f t="shared" si="23"/>
        <v>HOUSTON TX 77079</v>
      </c>
    </row>
    <row r="709" spans="1:8" x14ac:dyDescent="0.2">
      <c r="A709" s="27">
        <f>COUNTIFS(C:C,C709,D:D,D709)</f>
        <v>1</v>
      </c>
      <c r="B709" s="30">
        <v>202101155711</v>
      </c>
      <c r="C709" t="s">
        <v>3612</v>
      </c>
      <c r="D709" t="s">
        <v>3613</v>
      </c>
      <c r="E709" t="s">
        <v>5206</v>
      </c>
      <c r="F709" t="s">
        <v>88</v>
      </c>
      <c r="G709" s="27" t="str">
        <f t="shared" si="22"/>
        <v>15914 MAL PASO DR  HARRIS CO</v>
      </c>
      <c r="H709" s="27" t="str">
        <f t="shared" si="23"/>
        <v>HOUSTON TX 77082</v>
      </c>
    </row>
    <row r="710" spans="1:8" x14ac:dyDescent="0.2">
      <c r="A710" s="27">
        <f>COUNTIFS(C:C,C710,D:D,D710)</f>
        <v>1</v>
      </c>
      <c r="B710" s="30">
        <v>202101155713</v>
      </c>
      <c r="C710" t="s">
        <v>3614</v>
      </c>
      <c r="D710" t="s">
        <v>3615</v>
      </c>
      <c r="E710" t="s">
        <v>4866</v>
      </c>
      <c r="F710" t="s">
        <v>53</v>
      </c>
      <c r="G710" s="27" t="str">
        <f t="shared" si="22"/>
        <v>1109 CRESLINE ST  HOUSTON</v>
      </c>
      <c r="H710" s="27" t="str">
        <f t="shared" si="23"/>
        <v>HOUSTON TX 77076</v>
      </c>
    </row>
    <row r="711" spans="1:8" x14ac:dyDescent="0.2">
      <c r="A711" s="27">
        <f>COUNTIFS(C:C,C711,D:D,D711)</f>
        <v>1</v>
      </c>
      <c r="B711" s="30">
        <v>202101155715</v>
      </c>
      <c r="C711" t="s">
        <v>2440</v>
      </c>
      <c r="D711" t="s">
        <v>2441</v>
      </c>
      <c r="E711" t="s">
        <v>4967</v>
      </c>
      <c r="F711" t="s">
        <v>328</v>
      </c>
      <c r="G711" s="27" t="str">
        <f t="shared" si="22"/>
        <v>7807 SPRING FERN LN  HOUSTON</v>
      </c>
      <c r="H711" s="27" t="str">
        <f t="shared" si="23"/>
        <v>HOUSTON TX 77040</v>
      </c>
    </row>
    <row r="712" spans="1:8" x14ac:dyDescent="0.2">
      <c r="A712" s="27">
        <f>COUNTIFS(C:C,C712,D:D,D712)</f>
        <v>1</v>
      </c>
      <c r="B712" s="30">
        <v>202101155716</v>
      </c>
      <c r="C712" t="s">
        <v>3019</v>
      </c>
      <c r="D712" t="s">
        <v>3020</v>
      </c>
      <c r="E712" t="s">
        <v>4866</v>
      </c>
      <c r="F712" t="s">
        <v>317</v>
      </c>
      <c r="G712" s="27" t="str">
        <f t="shared" si="22"/>
        <v>1105 SOREN LN  HOUSTON</v>
      </c>
      <c r="H712" s="27" t="str">
        <f t="shared" si="23"/>
        <v>HOUSTON TX 77076</v>
      </c>
    </row>
    <row r="713" spans="1:8" x14ac:dyDescent="0.2">
      <c r="A713" s="27">
        <f>COUNTIFS(C:C,C713,D:D,D713)</f>
        <v>1</v>
      </c>
      <c r="B713" s="30">
        <v>202101155722</v>
      </c>
      <c r="C713" t="s">
        <v>3011</v>
      </c>
      <c r="D713" t="s">
        <v>3012</v>
      </c>
      <c r="E713" t="s">
        <v>4910</v>
      </c>
      <c r="F713" t="s">
        <v>87</v>
      </c>
      <c r="G713" s="27" t="str">
        <f t="shared" si="22"/>
        <v>1526 CHERTSEY CIRCLE  CHANNELVIE</v>
      </c>
      <c r="H713" s="27" t="str">
        <f t="shared" si="23"/>
        <v>HOUSTON TX 77530</v>
      </c>
    </row>
    <row r="714" spans="1:8" x14ac:dyDescent="0.2">
      <c r="A714" s="27">
        <f>COUNTIFS(C:C,C714,D:D,D714)</f>
        <v>1</v>
      </c>
      <c r="B714" s="30">
        <v>202101155728</v>
      </c>
      <c r="C714" s="28" t="s">
        <v>1139</v>
      </c>
      <c r="D714" s="28" t="s">
        <v>1140</v>
      </c>
      <c r="E714" s="28" t="s">
        <v>4856</v>
      </c>
      <c r="F714" s="28" t="s">
        <v>87</v>
      </c>
      <c r="G714" s="27" t="str">
        <f t="shared" si="22"/>
        <v>5210 LANTANA  HOUSTON</v>
      </c>
      <c r="H714" s="27" t="str">
        <f t="shared" si="23"/>
        <v>HOUSTON TX 77017</v>
      </c>
    </row>
    <row r="715" spans="1:8" x14ac:dyDescent="0.2">
      <c r="A715" s="27">
        <f>COUNTIFS(C:C,C715,D:D,D715)</f>
        <v>1</v>
      </c>
      <c r="B715" s="30">
        <v>202101155729</v>
      </c>
      <c r="C715" t="s">
        <v>3616</v>
      </c>
      <c r="D715" t="s">
        <v>3617</v>
      </c>
      <c r="E715" t="s">
        <v>5080</v>
      </c>
      <c r="F715" t="s">
        <v>53</v>
      </c>
      <c r="G715" s="27" t="str">
        <f t="shared" si="22"/>
        <v>11902 S YOUNGWOOD LN  HOUSTON</v>
      </c>
      <c r="H715" s="27" t="str">
        <f t="shared" si="23"/>
        <v>HOUSTON TX 77043</v>
      </c>
    </row>
    <row r="716" spans="1:8" x14ac:dyDescent="0.2">
      <c r="A716" s="27">
        <f>COUNTIFS(C:C,C716,D:D,D716)</f>
        <v>1</v>
      </c>
      <c r="B716" s="30">
        <v>202101155730</v>
      </c>
      <c r="C716" t="s">
        <v>3324</v>
      </c>
      <c r="D716" t="s">
        <v>3325</v>
      </c>
      <c r="E716" t="s">
        <v>5080</v>
      </c>
      <c r="F716" t="s">
        <v>88</v>
      </c>
      <c r="G716" s="27" t="str">
        <f t="shared" si="22"/>
        <v>2135 SHADOWDALE DR 5 8 HOUSTON</v>
      </c>
      <c r="H716" s="27" t="str">
        <f t="shared" si="23"/>
        <v>HOUSTON TX 77043</v>
      </c>
    </row>
    <row r="717" spans="1:8" x14ac:dyDescent="0.2">
      <c r="A717" s="27">
        <f>COUNTIFS(C:C,C717,D:D,D717)</f>
        <v>1</v>
      </c>
      <c r="B717" s="30">
        <v>202101155733</v>
      </c>
      <c r="C717" s="28" t="s">
        <v>1322</v>
      </c>
      <c r="D717" s="28" t="s">
        <v>1323</v>
      </c>
      <c r="E717" s="28" t="s">
        <v>4975</v>
      </c>
      <c r="F717" s="28" t="s">
        <v>161</v>
      </c>
      <c r="G717" s="27" t="str">
        <f t="shared" si="22"/>
        <v>11245 WEST RD  HOUSTON</v>
      </c>
      <c r="H717" s="27" t="str">
        <f t="shared" si="23"/>
        <v>HOUSTON TX 77065</v>
      </c>
    </row>
    <row r="718" spans="1:8" x14ac:dyDescent="0.2">
      <c r="A718" s="27">
        <f>COUNTIFS(C:C,C718,D:D,D718)</f>
        <v>1</v>
      </c>
      <c r="B718" s="30">
        <v>202101155735</v>
      </c>
      <c r="C718" t="s">
        <v>2344</v>
      </c>
      <c r="D718" t="s">
        <v>2345</v>
      </c>
      <c r="E718" t="s">
        <v>4855</v>
      </c>
      <c r="F718" t="s">
        <v>78</v>
      </c>
      <c r="G718" s="27" t="str">
        <f t="shared" si="22"/>
        <v>8623 VALLEY LEDGE DR  HOUSTON</v>
      </c>
      <c r="H718" s="27" t="str">
        <f t="shared" si="23"/>
        <v>HOUSTON TX 77078</v>
      </c>
    </row>
    <row r="719" spans="1:8" x14ac:dyDescent="0.2">
      <c r="A719" s="27">
        <f>COUNTIFS(C:C,C719,D:D,D719)</f>
        <v>1</v>
      </c>
      <c r="B719" s="30">
        <v>202101155737</v>
      </c>
      <c r="C719" t="s">
        <v>5145</v>
      </c>
      <c r="D719" t="s">
        <v>2678</v>
      </c>
      <c r="E719" t="s">
        <v>4851</v>
      </c>
      <c r="F719" t="s">
        <v>349</v>
      </c>
      <c r="G719" s="27" t="str">
        <f t="shared" si="22"/>
        <v>3201 GARTH RD  BAYTOWN</v>
      </c>
      <c r="H719" s="27" t="str">
        <f t="shared" si="23"/>
        <v>HOUSTON TX 77521</v>
      </c>
    </row>
    <row r="720" spans="1:8" x14ac:dyDescent="0.2">
      <c r="A720" s="27">
        <f>COUNTIFS(C:C,C720,D:D,D720)</f>
        <v>1</v>
      </c>
      <c r="B720" s="30">
        <v>202101155738</v>
      </c>
      <c r="C720" t="s">
        <v>3701</v>
      </c>
      <c r="D720" t="s">
        <v>3702</v>
      </c>
      <c r="E720" t="s">
        <v>4891</v>
      </c>
      <c r="F720" t="s">
        <v>70</v>
      </c>
      <c r="G720" s="27" t="str">
        <f t="shared" si="22"/>
        <v>8507 COTTAGE GATE LN  HOUSTON</v>
      </c>
      <c r="H720" s="27" t="str">
        <f t="shared" si="23"/>
        <v>HOUSTON TX 77088</v>
      </c>
    </row>
    <row r="721" spans="1:8" x14ac:dyDescent="0.2">
      <c r="A721" s="27">
        <f>COUNTIFS(C:C,C721,D:D,D721)</f>
        <v>1</v>
      </c>
      <c r="B721" s="30">
        <v>202101155741</v>
      </c>
      <c r="C721" t="s">
        <v>3620</v>
      </c>
      <c r="D721" t="s">
        <v>985</v>
      </c>
      <c r="E721" t="s">
        <v>4993</v>
      </c>
      <c r="F721" t="s">
        <v>53</v>
      </c>
      <c r="G721" s="27" t="str">
        <f t="shared" si="22"/>
        <v>3295 FM 3514  BEAUMONT</v>
      </c>
      <c r="H721" s="27" t="str">
        <f t="shared" si="23"/>
        <v>HOUSTON TX 77705</v>
      </c>
    </row>
    <row r="722" spans="1:8" x14ac:dyDescent="0.2">
      <c r="A722" s="27">
        <f>COUNTIFS(C:C,C722,D:D,D722)</f>
        <v>1</v>
      </c>
      <c r="B722" s="30">
        <v>202101155743</v>
      </c>
      <c r="C722" t="s">
        <v>3621</v>
      </c>
      <c r="D722" t="s">
        <v>3622</v>
      </c>
      <c r="E722" t="s">
        <v>4943</v>
      </c>
      <c r="F722" t="s">
        <v>53</v>
      </c>
      <c r="G722" s="27" t="str">
        <f t="shared" si="22"/>
        <v>5635 TIMBER CREEK PL C 304 HOUSTON</v>
      </c>
      <c r="H722" s="27" t="str">
        <f t="shared" si="23"/>
        <v>HOUSTON TX 77084</v>
      </c>
    </row>
    <row r="723" spans="1:8" x14ac:dyDescent="0.2">
      <c r="A723" s="27">
        <f>COUNTIFS(C:C,C723,D:D,D723)</f>
        <v>1</v>
      </c>
      <c r="B723" s="30">
        <v>202101155746</v>
      </c>
      <c r="C723" s="28" t="s">
        <v>410</v>
      </c>
      <c r="D723" s="28" t="s">
        <v>411</v>
      </c>
      <c r="E723" s="28" t="s">
        <v>4855</v>
      </c>
      <c r="F723" s="28" t="s">
        <v>56</v>
      </c>
      <c r="G723" s="27" t="str">
        <f t="shared" si="22"/>
        <v>9730 CABALLERO DR  HOUSTON</v>
      </c>
      <c r="H723" s="27" t="str">
        <f t="shared" si="23"/>
        <v>HOUSTON TX 77078</v>
      </c>
    </row>
    <row r="724" spans="1:8" x14ac:dyDescent="0.2">
      <c r="A724" s="27">
        <f>COUNTIFS(C:C,C724,D:D,D724)</f>
        <v>1</v>
      </c>
      <c r="B724" s="30">
        <v>202101155749</v>
      </c>
      <c r="C724" s="28" t="s">
        <v>952</v>
      </c>
      <c r="D724" s="28" t="s">
        <v>953</v>
      </c>
      <c r="E724" s="28" t="s">
        <v>4989</v>
      </c>
      <c r="F724" s="28" t="s">
        <v>70</v>
      </c>
      <c r="G724" s="27" t="str">
        <f t="shared" si="22"/>
        <v>814 S. ILLINOIS AVE  LEAGUE CIT</v>
      </c>
      <c r="H724" s="27" t="str">
        <f t="shared" si="23"/>
        <v>HOUSTON TX 77573</v>
      </c>
    </row>
    <row r="725" spans="1:8" x14ac:dyDescent="0.2">
      <c r="A725" s="27">
        <f>COUNTIFS(C:C,C725,D:D,D725)</f>
        <v>1</v>
      </c>
      <c r="B725" s="30">
        <v>202101155750</v>
      </c>
      <c r="C725" t="s">
        <v>3625</v>
      </c>
      <c r="D725" t="s">
        <v>3626</v>
      </c>
      <c r="E725" t="s">
        <v>4941</v>
      </c>
      <c r="F725" t="s">
        <v>64</v>
      </c>
      <c r="G725" s="27" t="str">
        <f t="shared" si="22"/>
        <v>18035 DUNOON BAY POIN T COURT CYPRESS</v>
      </c>
      <c r="H725" s="27" t="str">
        <f t="shared" si="23"/>
        <v>HOUSTON TX 77429</v>
      </c>
    </row>
    <row r="726" spans="1:8" x14ac:dyDescent="0.2">
      <c r="A726" s="27">
        <f>COUNTIFS(C:C,C726,D:D,D726)</f>
        <v>1</v>
      </c>
      <c r="B726" s="30">
        <v>202101155751</v>
      </c>
      <c r="C726" s="28" t="s">
        <v>770</v>
      </c>
      <c r="D726" s="28" t="s">
        <v>771</v>
      </c>
      <c r="E726" s="28" t="s">
        <v>4874</v>
      </c>
      <c r="F726" s="28" t="s">
        <v>88</v>
      </c>
      <c r="G726" s="27" t="str">
        <f t="shared" si="22"/>
        <v>5818 WESTOVER ST  HOUSTON</v>
      </c>
      <c r="H726" s="27" t="str">
        <f t="shared" si="23"/>
        <v>HOUSTON TX 77033</v>
      </c>
    </row>
    <row r="727" spans="1:8" x14ac:dyDescent="0.2">
      <c r="A727" s="27">
        <f>COUNTIFS(C:C,C727,D:D,D727)</f>
        <v>1</v>
      </c>
      <c r="B727" s="30">
        <v>202101155756</v>
      </c>
      <c r="C727" s="28" t="s">
        <v>595</v>
      </c>
      <c r="D727" s="28" t="s">
        <v>596</v>
      </c>
      <c r="E727" s="28" t="s">
        <v>4876</v>
      </c>
      <c r="F727" s="28" t="s">
        <v>161</v>
      </c>
      <c r="G727" s="27" t="str">
        <f t="shared" si="22"/>
        <v>13227 TREGARNON DR  HOUSTON</v>
      </c>
      <c r="H727" s="27" t="str">
        <f t="shared" si="23"/>
        <v>HOUSTON TX 77015</v>
      </c>
    </row>
    <row r="728" spans="1:8" x14ac:dyDescent="0.2">
      <c r="A728" s="27">
        <f>COUNTIFS(C:C,C728,D:D,D728)</f>
        <v>1</v>
      </c>
      <c r="B728" s="30">
        <v>202101155757</v>
      </c>
      <c r="C728" t="s">
        <v>3627</v>
      </c>
      <c r="D728" t="s">
        <v>3628</v>
      </c>
      <c r="E728" t="s">
        <v>4934</v>
      </c>
      <c r="F728" t="s">
        <v>53</v>
      </c>
      <c r="G728" s="27" t="str">
        <f t="shared" si="22"/>
        <v>6836 AVENUE C 5  HOUSTON</v>
      </c>
      <c r="H728" s="27" t="str">
        <f t="shared" si="23"/>
        <v>HOUSTON TX 77011</v>
      </c>
    </row>
    <row r="729" spans="1:8" x14ac:dyDescent="0.2">
      <c r="A729" s="27">
        <f>COUNTIFS(C:C,C729,D:D,D729)</f>
        <v>1</v>
      </c>
      <c r="B729" s="30">
        <v>202101155762</v>
      </c>
      <c r="C729" t="s">
        <v>3631</v>
      </c>
      <c r="D729" t="s">
        <v>3632</v>
      </c>
      <c r="E729" t="s">
        <v>4878</v>
      </c>
      <c r="F729" t="s">
        <v>328</v>
      </c>
      <c r="G729" s="27" t="str">
        <f t="shared" si="22"/>
        <v>5626 GREYLOG  HOUSTON</v>
      </c>
      <c r="H729" s="27" t="str">
        <f t="shared" si="23"/>
        <v>HOUSTON TX 77048</v>
      </c>
    </row>
    <row r="730" spans="1:8" x14ac:dyDescent="0.2">
      <c r="A730" s="27">
        <f>COUNTIFS(C:C,C730,D:D,D730)</f>
        <v>1</v>
      </c>
      <c r="B730" s="30">
        <v>202101155763</v>
      </c>
      <c r="C730" t="s">
        <v>3633</v>
      </c>
      <c r="D730" t="s">
        <v>3634</v>
      </c>
      <c r="E730" t="s">
        <v>4933</v>
      </c>
      <c r="F730" t="s">
        <v>90</v>
      </c>
      <c r="G730" s="27" t="str">
        <f t="shared" si="22"/>
        <v>8655 PITNER RD 98  HOUSTON</v>
      </c>
      <c r="H730" s="27" t="str">
        <f t="shared" si="23"/>
        <v>HOUSTON TX 77080</v>
      </c>
    </row>
    <row r="731" spans="1:8" x14ac:dyDescent="0.2">
      <c r="A731" s="27">
        <f>COUNTIFS(C:C,C731,D:D,D731)</f>
        <v>2</v>
      </c>
      <c r="B731" s="30">
        <v>202101155764</v>
      </c>
      <c r="C731" t="s">
        <v>3138</v>
      </c>
      <c r="D731" t="s">
        <v>3139</v>
      </c>
      <c r="E731" t="s">
        <v>5160</v>
      </c>
      <c r="F731" t="s">
        <v>64</v>
      </c>
      <c r="G731" s="27" t="str">
        <f t="shared" si="22"/>
        <v>1117 TEXAS AVENUE  HOUSTON</v>
      </c>
      <c r="H731" s="27" t="str">
        <f t="shared" si="23"/>
        <v>HOUSTON TX 77002</v>
      </c>
    </row>
    <row r="732" spans="1:8" x14ac:dyDescent="0.2">
      <c r="A732" s="27">
        <f>COUNTIFS(C:C,C732,D:D,D732)</f>
        <v>1</v>
      </c>
      <c r="B732" s="30">
        <v>202101155767</v>
      </c>
      <c r="C732" s="28" t="s">
        <v>573</v>
      </c>
      <c r="D732" s="28" t="s">
        <v>574</v>
      </c>
      <c r="E732" s="28" t="s">
        <v>4880</v>
      </c>
      <c r="F732" s="28" t="s">
        <v>88</v>
      </c>
      <c r="G732" s="27" t="str">
        <f t="shared" si="22"/>
        <v>3817 NAGLE ST  HOUSTON</v>
      </c>
      <c r="H732" s="27" t="str">
        <f t="shared" si="23"/>
        <v>HOUSTON TX 77004</v>
      </c>
    </row>
    <row r="733" spans="1:8" x14ac:dyDescent="0.2">
      <c r="A733" s="27">
        <f>COUNTIFS(C:C,C733,D:D,D733)</f>
        <v>1</v>
      </c>
      <c r="B733" s="30">
        <v>202101155768</v>
      </c>
      <c r="C733" t="s">
        <v>2711</v>
      </c>
      <c r="D733" t="s">
        <v>2712</v>
      </c>
      <c r="E733" t="s">
        <v>4950</v>
      </c>
      <c r="F733" t="s">
        <v>4812</v>
      </c>
      <c r="G733" s="27" t="str">
        <f t="shared" si="22"/>
        <v>4045 NORTH FWY IB  HOUSTON</v>
      </c>
      <c r="H733" s="27" t="str">
        <f t="shared" si="23"/>
        <v>HOUSTON TX 77022</v>
      </c>
    </row>
    <row r="734" spans="1:8" x14ac:dyDescent="0.2">
      <c r="A734" s="27">
        <f>COUNTIFS(C:C,C734,D:D,D734)</f>
        <v>1</v>
      </c>
      <c r="B734" s="30">
        <v>202101155772</v>
      </c>
      <c r="C734" s="28" t="s">
        <v>1504</v>
      </c>
      <c r="D734" s="28" t="s">
        <v>1505</v>
      </c>
      <c r="E734" s="28" t="s">
        <v>4984</v>
      </c>
      <c r="F734" s="28" t="s">
        <v>88</v>
      </c>
      <c r="G734" s="27" t="str">
        <f t="shared" si="22"/>
        <v>24235 STARGAZER PT  SPRING</v>
      </c>
      <c r="H734" s="27" t="str">
        <f t="shared" si="23"/>
        <v>HOUSTON TX 77373</v>
      </c>
    </row>
    <row r="735" spans="1:8" x14ac:dyDescent="0.2">
      <c r="A735" s="27">
        <f>COUNTIFS(C:C,C735,D:D,D735)</f>
        <v>1</v>
      </c>
      <c r="B735" s="30">
        <v>202101155774</v>
      </c>
      <c r="C735" t="s">
        <v>3639</v>
      </c>
      <c r="D735" t="s">
        <v>3640</v>
      </c>
      <c r="E735" t="s">
        <v>4973</v>
      </c>
      <c r="F735" t="s">
        <v>88</v>
      </c>
      <c r="G735" s="27" t="str">
        <f t="shared" si="22"/>
        <v>9707 S GESSNER RD 40 4 HOUSTON</v>
      </c>
      <c r="H735" s="27" t="str">
        <f t="shared" si="23"/>
        <v>HOUSTON TX 77074</v>
      </c>
    </row>
    <row r="736" spans="1:8" x14ac:dyDescent="0.2">
      <c r="A736" s="27">
        <f>COUNTIFS(C:C,C736,D:D,D736)</f>
        <v>1</v>
      </c>
      <c r="B736" s="30">
        <v>202101155782</v>
      </c>
      <c r="C736" s="28" t="s">
        <v>492</v>
      </c>
      <c r="D736" s="28" t="s">
        <v>493</v>
      </c>
      <c r="E736" s="28" t="s">
        <v>4886</v>
      </c>
      <c r="F736" s="28" t="s">
        <v>88</v>
      </c>
      <c r="G736" s="27" t="str">
        <f t="shared" si="22"/>
        <v>11901 BOB WHITE DR  HOUSTON</v>
      </c>
      <c r="H736" s="27" t="str">
        <f t="shared" si="23"/>
        <v>HOUSTON TX 77035</v>
      </c>
    </row>
    <row r="737" spans="1:8" x14ac:dyDescent="0.2">
      <c r="A737" s="27">
        <f>COUNTIFS(C:C,C737,D:D,D737)</f>
        <v>1</v>
      </c>
      <c r="B737" s="30">
        <v>202101155784</v>
      </c>
      <c r="C737" t="s">
        <v>2989</v>
      </c>
      <c r="D737" t="s">
        <v>2990</v>
      </c>
      <c r="E737" t="s">
        <v>4910</v>
      </c>
      <c r="F737" t="s">
        <v>96</v>
      </c>
      <c r="G737" s="27" t="str">
        <f t="shared" si="22"/>
        <v>1406 HITCHIN LANE  CHANNELVIE</v>
      </c>
      <c r="H737" s="27" t="str">
        <f t="shared" si="23"/>
        <v>HOUSTON TX 77530</v>
      </c>
    </row>
    <row r="738" spans="1:8" x14ac:dyDescent="0.2">
      <c r="A738" s="27">
        <f>COUNTIFS(C:C,C738,D:D,D738)</f>
        <v>1</v>
      </c>
      <c r="B738" s="30">
        <v>202101155786</v>
      </c>
      <c r="C738" s="28" t="s">
        <v>1430</v>
      </c>
      <c r="D738" s="28" t="s">
        <v>1431</v>
      </c>
      <c r="E738" s="28" t="s">
        <v>4943</v>
      </c>
      <c r="F738" s="28" t="s">
        <v>88</v>
      </c>
      <c r="G738" s="27" t="str">
        <f t="shared" si="22"/>
        <v>15335 PARK ROW DR  HOUSTON</v>
      </c>
      <c r="H738" s="27" t="str">
        <f t="shared" si="23"/>
        <v>HOUSTON TX 77084</v>
      </c>
    </row>
    <row r="739" spans="1:8" x14ac:dyDescent="0.2">
      <c r="A739" s="27">
        <f>COUNTIFS(C:C,C739,D:D,D739)</f>
        <v>1</v>
      </c>
      <c r="B739" s="30">
        <v>202101155789</v>
      </c>
      <c r="C739" t="s">
        <v>2428</v>
      </c>
      <c r="D739" t="s">
        <v>2429</v>
      </c>
      <c r="E739" t="s">
        <v>4859</v>
      </c>
      <c r="F739" t="s">
        <v>94</v>
      </c>
      <c r="G739" s="27" t="str">
        <f t="shared" si="22"/>
        <v>20910 BURNT AMBER  HOUSTON</v>
      </c>
      <c r="H739" s="27" t="str">
        <f t="shared" si="23"/>
        <v>HOUSTON TX 77073</v>
      </c>
    </row>
    <row r="740" spans="1:8" x14ac:dyDescent="0.2">
      <c r="A740" s="27">
        <f>COUNTIFS(C:C,C740,D:D,D740)</f>
        <v>1</v>
      </c>
      <c r="B740" s="30">
        <v>202101155790</v>
      </c>
      <c r="C740" t="s">
        <v>2887</v>
      </c>
      <c r="D740" t="s">
        <v>2888</v>
      </c>
      <c r="E740" t="s">
        <v>5162</v>
      </c>
      <c r="F740" t="s">
        <v>53</v>
      </c>
      <c r="G740" s="27" t="str">
        <f t="shared" si="22"/>
        <v>18614 PADDYS CREEK TR L KATY</v>
      </c>
      <c r="H740" s="27" t="str">
        <f t="shared" si="23"/>
        <v>HOUSTON TX 77429</v>
      </c>
    </row>
    <row r="741" spans="1:8" x14ac:dyDescent="0.2">
      <c r="A741" s="27">
        <f>COUNTIFS(C:C,C741,D:D,D741)</f>
        <v>1</v>
      </c>
      <c r="B741" s="30">
        <v>202101155792</v>
      </c>
      <c r="C741" s="28" t="s">
        <v>1864</v>
      </c>
      <c r="D741" s="28" t="s">
        <v>1865</v>
      </c>
      <c r="E741" s="28" t="s">
        <v>4878</v>
      </c>
      <c r="F741" s="28" t="s">
        <v>88</v>
      </c>
      <c r="G741" s="27" t="str">
        <f t="shared" si="22"/>
        <v>5900 SLEINSKY RD  HOUSTON</v>
      </c>
      <c r="H741" s="27" t="str">
        <f t="shared" si="23"/>
        <v>HOUSTON TX 77048</v>
      </c>
    </row>
    <row r="742" spans="1:8" x14ac:dyDescent="0.2">
      <c r="A742" s="27">
        <f>COUNTIFS(C:C,C742,D:D,D742)</f>
        <v>1</v>
      </c>
      <c r="B742" s="30">
        <v>202101155794</v>
      </c>
      <c r="C742" t="s">
        <v>3645</v>
      </c>
      <c r="D742" t="s">
        <v>3646</v>
      </c>
      <c r="E742" t="s">
        <v>4997</v>
      </c>
      <c r="F742" t="s">
        <v>94</v>
      </c>
      <c r="G742" s="27" t="str">
        <f t="shared" si="22"/>
        <v>8919 BELLE GLEN DR  HOUSTON</v>
      </c>
      <c r="H742" s="27" t="str">
        <f t="shared" si="23"/>
        <v>HOUSTON TX 77099</v>
      </c>
    </row>
    <row r="743" spans="1:8" x14ac:dyDescent="0.2">
      <c r="A743" s="27">
        <f>COUNTIFS(C:C,C743,D:D,D743)</f>
        <v>1</v>
      </c>
      <c r="B743" s="30">
        <v>202101155795</v>
      </c>
      <c r="C743" s="28" t="s">
        <v>926</v>
      </c>
      <c r="D743" s="28" t="s">
        <v>927</v>
      </c>
      <c r="E743" s="28" t="s">
        <v>4915</v>
      </c>
      <c r="F743" s="28" t="s">
        <v>87</v>
      </c>
      <c r="G743" s="27" t="str">
        <f t="shared" si="22"/>
        <v>7014 DUMBLE ST UNIT B HOUSTON</v>
      </c>
      <c r="H743" s="27" t="str">
        <f t="shared" si="23"/>
        <v>HOUSTON TX 77021</v>
      </c>
    </row>
    <row r="744" spans="1:8" x14ac:dyDescent="0.2">
      <c r="A744" s="27">
        <f>COUNTIFS(C:C,C744,D:D,D744)</f>
        <v>1</v>
      </c>
      <c r="B744" s="30">
        <v>202101155798</v>
      </c>
      <c r="C744" t="s">
        <v>3647</v>
      </c>
      <c r="D744" t="s">
        <v>3648</v>
      </c>
      <c r="E744" t="s">
        <v>4865</v>
      </c>
      <c r="F744" t="s">
        <v>390</v>
      </c>
      <c r="G744" s="27" t="str">
        <f t="shared" si="22"/>
        <v>230 T.C JESTER  HOUSTON</v>
      </c>
      <c r="H744" s="27" t="str">
        <f t="shared" si="23"/>
        <v xml:space="preserve">HOUSTON TX      </v>
      </c>
    </row>
    <row r="745" spans="1:8" x14ac:dyDescent="0.2">
      <c r="A745" s="27">
        <f>COUNTIFS(C:C,C745,D:D,D745)</f>
        <v>1</v>
      </c>
      <c r="B745" s="30">
        <v>202101155809</v>
      </c>
      <c r="C745" s="28" t="s">
        <v>976</v>
      </c>
      <c r="D745" s="28" t="s">
        <v>977</v>
      </c>
      <c r="E745" s="28" t="s">
        <v>4992</v>
      </c>
      <c r="F745" s="28" t="s">
        <v>88</v>
      </c>
      <c r="G745" s="27" t="str">
        <f t="shared" si="22"/>
        <v>6830 KERNEL ST  SOUTH HOUS</v>
      </c>
      <c r="H745" s="27" t="str">
        <f t="shared" si="23"/>
        <v>HOUSTON TX 77087</v>
      </c>
    </row>
    <row r="746" spans="1:8" x14ac:dyDescent="0.2">
      <c r="A746" s="27">
        <f>COUNTIFS(C:C,C746,D:D,D746)</f>
        <v>1</v>
      </c>
      <c r="B746" s="30">
        <v>202101155816</v>
      </c>
      <c r="C746" s="28" t="s">
        <v>874</v>
      </c>
      <c r="D746" s="28" t="s">
        <v>875</v>
      </c>
      <c r="E746" s="28" t="s">
        <v>4879</v>
      </c>
      <c r="F746" s="28" t="s">
        <v>88</v>
      </c>
      <c r="G746" s="27" t="str">
        <f t="shared" ref="G746:G809" si="24">D746&amp;" "&amp;MID(E746,1,FIND(" TX",E746)-1)</f>
        <v>5500 DE SOTO ST  HOUSTON</v>
      </c>
      <c r="H746" s="27" t="str">
        <f t="shared" ref="H746:H809" si="25">"HOUSTON "&amp;MID(E746,FIND("TX",E746),8)</f>
        <v>HOUSTON TX 77091</v>
      </c>
    </row>
    <row r="747" spans="1:8" x14ac:dyDescent="0.2">
      <c r="A747" s="27">
        <f>COUNTIFS(C:C,C747,D:D,D747)</f>
        <v>1</v>
      </c>
      <c r="B747" s="30">
        <v>202101155817</v>
      </c>
      <c r="C747" s="28" t="s">
        <v>704</v>
      </c>
      <c r="D747" s="28" t="s">
        <v>705</v>
      </c>
      <c r="E747" s="28" t="s">
        <v>4939</v>
      </c>
      <c r="F747" s="28" t="s">
        <v>56</v>
      </c>
      <c r="G747" s="27" t="str">
        <f t="shared" si="24"/>
        <v>10801 LEGACY PARK DR  HOUSTON</v>
      </c>
      <c r="H747" s="27" t="str">
        <f t="shared" si="25"/>
        <v>HOUSTON TX 77064</v>
      </c>
    </row>
    <row r="748" spans="1:8" x14ac:dyDescent="0.2">
      <c r="A748" s="27">
        <f>COUNTIFS(C:C,C748,D:D,D748)</f>
        <v>1</v>
      </c>
      <c r="B748" s="30">
        <v>202101155818</v>
      </c>
      <c r="C748" t="s">
        <v>2498</v>
      </c>
      <c r="D748" t="s">
        <v>2499</v>
      </c>
      <c r="E748" t="s">
        <v>4943</v>
      </c>
      <c r="F748" t="s">
        <v>88</v>
      </c>
      <c r="G748" s="27" t="str">
        <f t="shared" si="24"/>
        <v>16806 CASTLE FRASER  HOUSTON</v>
      </c>
      <c r="H748" s="27" t="str">
        <f t="shared" si="25"/>
        <v>HOUSTON TX 77084</v>
      </c>
    </row>
    <row r="749" spans="1:8" x14ac:dyDescent="0.2">
      <c r="A749" s="27">
        <f>COUNTIFS(C:C,C749,D:D,D749)</f>
        <v>1</v>
      </c>
      <c r="B749" s="30">
        <v>202101155820</v>
      </c>
      <c r="C749" s="28" t="s">
        <v>692</v>
      </c>
      <c r="D749" s="28" t="s">
        <v>693</v>
      </c>
      <c r="E749" s="28" t="s">
        <v>4936</v>
      </c>
      <c r="F749" s="28" t="s">
        <v>88</v>
      </c>
      <c r="G749" s="27" t="str">
        <f t="shared" si="24"/>
        <v>9707 S GESSNER  HOUSTON</v>
      </c>
      <c r="H749" s="27" t="str">
        <f t="shared" si="25"/>
        <v>HOUSTON TX 77071</v>
      </c>
    </row>
    <row r="750" spans="1:8" x14ac:dyDescent="0.2">
      <c r="A750" s="27">
        <f>COUNTIFS(C:C,C750,D:D,D750)</f>
        <v>1</v>
      </c>
      <c r="B750" s="30">
        <v>202101155822</v>
      </c>
      <c r="C750" t="s">
        <v>2057</v>
      </c>
      <c r="D750" t="s">
        <v>2058</v>
      </c>
      <c r="E750" t="s">
        <v>5084</v>
      </c>
      <c r="F750" t="s">
        <v>98</v>
      </c>
      <c r="G750" s="27" t="str">
        <f t="shared" si="24"/>
        <v>4203 PRIARE MEADOW  HOUSTON</v>
      </c>
      <c r="H750" s="27" t="str">
        <f t="shared" si="25"/>
        <v>HOUSTON TX 77449</v>
      </c>
    </row>
    <row r="751" spans="1:8" x14ac:dyDescent="0.2">
      <c r="A751" s="27">
        <f>COUNTIFS(C:C,C751,D:D,D751)</f>
        <v>1</v>
      </c>
      <c r="B751" s="30">
        <v>202101155823</v>
      </c>
      <c r="C751" t="s">
        <v>2938</v>
      </c>
      <c r="D751" t="s">
        <v>2939</v>
      </c>
      <c r="E751" t="s">
        <v>4865</v>
      </c>
      <c r="F751" t="s">
        <v>71</v>
      </c>
      <c r="G751" s="27" t="str">
        <f t="shared" si="24"/>
        <v>19998 PARK ROW DRIVE  HOUSTON</v>
      </c>
      <c r="H751" s="27" t="str">
        <f t="shared" si="25"/>
        <v xml:space="preserve">HOUSTON TX      </v>
      </c>
    </row>
    <row r="752" spans="1:8" x14ac:dyDescent="0.2">
      <c r="A752" s="27">
        <f>COUNTIFS(C:C,C752,D:D,D752)</f>
        <v>1</v>
      </c>
      <c r="B752" s="30">
        <v>202101155824</v>
      </c>
      <c r="C752" t="s">
        <v>2985</v>
      </c>
      <c r="D752" t="s">
        <v>2986</v>
      </c>
      <c r="E752" t="s">
        <v>4865</v>
      </c>
      <c r="F752" t="s">
        <v>78</v>
      </c>
      <c r="G752" s="27" t="str">
        <f t="shared" si="24"/>
        <v>2323 FIRST PARK DRIV E HOUSTON</v>
      </c>
      <c r="H752" s="27" t="str">
        <f t="shared" si="25"/>
        <v xml:space="preserve">HOUSTON TX      </v>
      </c>
    </row>
    <row r="753" spans="1:8" x14ac:dyDescent="0.2">
      <c r="A753" s="27">
        <f>COUNTIFS(C:C,C753,D:D,D753)</f>
        <v>1</v>
      </c>
      <c r="B753" s="30">
        <v>202101155825</v>
      </c>
      <c r="C753" s="28" t="s">
        <v>1840</v>
      </c>
      <c r="D753" s="28" t="s">
        <v>1841</v>
      </c>
      <c r="E753" s="28" t="s">
        <v>4986</v>
      </c>
      <c r="F753" s="28" t="s">
        <v>88</v>
      </c>
      <c r="G753" s="27" t="str">
        <f t="shared" si="24"/>
        <v>21602 RAIN LEAF CT  HUMBLE</v>
      </c>
      <c r="H753" s="27" t="str">
        <f t="shared" si="25"/>
        <v>HOUSTON TX 77338</v>
      </c>
    </row>
    <row r="754" spans="1:8" x14ac:dyDescent="0.2">
      <c r="A754" s="27">
        <f>COUNTIFS(C:C,C754,D:D,D754)</f>
        <v>1</v>
      </c>
      <c r="B754" s="30">
        <v>202101155831</v>
      </c>
      <c r="C754" s="28" t="s">
        <v>1072</v>
      </c>
      <c r="D754" s="28" t="s">
        <v>1073</v>
      </c>
      <c r="E754" s="28" t="s">
        <v>4896</v>
      </c>
      <c r="F754" s="28" t="s">
        <v>88</v>
      </c>
      <c r="G754" s="27" t="str">
        <f t="shared" si="24"/>
        <v>9247 WESTWOOD VILLAG E HOUSTON</v>
      </c>
      <c r="H754" s="27" t="str">
        <f t="shared" si="25"/>
        <v>HOUSTON TX 77036</v>
      </c>
    </row>
    <row r="755" spans="1:8" x14ac:dyDescent="0.2">
      <c r="A755" s="27">
        <f>COUNTIFS(C:C,C755,D:D,D755)</f>
        <v>1</v>
      </c>
      <c r="B755" s="30">
        <v>202101155836</v>
      </c>
      <c r="C755" t="s">
        <v>2322</v>
      </c>
      <c r="D755" t="s">
        <v>2323</v>
      </c>
      <c r="E755" t="s">
        <v>4896</v>
      </c>
      <c r="F755" t="s">
        <v>88</v>
      </c>
      <c r="G755" s="27" t="str">
        <f t="shared" si="24"/>
        <v>6001 REIMS RD  HOUSTON</v>
      </c>
      <c r="H755" s="27" t="str">
        <f t="shared" si="25"/>
        <v>HOUSTON TX 77036</v>
      </c>
    </row>
    <row r="756" spans="1:8" x14ac:dyDescent="0.2">
      <c r="A756" s="27">
        <f>COUNTIFS(C:C,C756,D:D,D756)</f>
        <v>1</v>
      </c>
      <c r="B756" s="30">
        <v>202101155837</v>
      </c>
      <c r="C756" t="s">
        <v>2661</v>
      </c>
      <c r="D756" t="s">
        <v>7614</v>
      </c>
      <c r="E756" t="s">
        <v>5089</v>
      </c>
      <c r="F756" t="s">
        <v>68</v>
      </c>
      <c r="G756" s="27" t="str">
        <f t="shared" si="24"/>
        <v>2807 MORINGSIDE HOUSTON</v>
      </c>
      <c r="H756" s="27" t="str">
        <f t="shared" si="25"/>
        <v>HOUSTON TX 77506</v>
      </c>
    </row>
    <row r="757" spans="1:8" x14ac:dyDescent="0.2">
      <c r="A757" s="27">
        <f>COUNTIFS(C:C,C757,D:D,D757)</f>
        <v>1</v>
      </c>
      <c r="B757" s="30">
        <v>202101155841</v>
      </c>
      <c r="C757" t="s">
        <v>2975</v>
      </c>
      <c r="D757" t="s">
        <v>2976</v>
      </c>
      <c r="E757" t="s">
        <v>4874</v>
      </c>
      <c r="F757" t="s">
        <v>68</v>
      </c>
      <c r="G757" s="27" t="str">
        <f t="shared" si="24"/>
        <v>5858 HERON DRIVE  HOUSTON</v>
      </c>
      <c r="H757" s="27" t="str">
        <f t="shared" si="25"/>
        <v>HOUSTON TX 77033</v>
      </c>
    </row>
    <row r="758" spans="1:8" x14ac:dyDescent="0.2">
      <c r="A758" s="27">
        <f>COUNTIFS(C:C,C758,D:D,D758)</f>
        <v>1</v>
      </c>
      <c r="B758" s="30">
        <v>202101155843</v>
      </c>
      <c r="C758" s="28" t="s">
        <v>424</v>
      </c>
      <c r="D758" s="28" t="s">
        <v>425</v>
      </c>
      <c r="E758" s="28" t="s">
        <v>4860</v>
      </c>
      <c r="F758" s="28" t="s">
        <v>90</v>
      </c>
      <c r="G758" s="27" t="str">
        <f t="shared" si="24"/>
        <v>1402 EDISON  BAYTOWN</v>
      </c>
      <c r="H758" s="27" t="str">
        <f t="shared" si="25"/>
        <v>HOUSTON TX 77520</v>
      </c>
    </row>
    <row r="759" spans="1:8" x14ac:dyDescent="0.2">
      <c r="A759" s="27">
        <f>COUNTIFS(C:C,C759,D:D,D759)</f>
        <v>1</v>
      </c>
      <c r="B759" s="30">
        <v>202101155844</v>
      </c>
      <c r="C759" s="28" t="s">
        <v>1555</v>
      </c>
      <c r="D759" s="28" t="s">
        <v>1556</v>
      </c>
      <c r="E759" s="28" t="s">
        <v>4967</v>
      </c>
      <c r="F759" s="28" t="s">
        <v>88</v>
      </c>
      <c r="G759" s="27" t="str">
        <f t="shared" si="24"/>
        <v>7922 FALL GLEN DR  HOUSTON</v>
      </c>
      <c r="H759" s="27" t="str">
        <f t="shared" si="25"/>
        <v>HOUSTON TX 77040</v>
      </c>
    </row>
    <row r="760" spans="1:8" x14ac:dyDescent="0.2">
      <c r="A760" s="27">
        <f>COUNTIFS(C:C,C760,D:D,D760)</f>
        <v>1</v>
      </c>
      <c r="B760" s="30">
        <v>202101155846</v>
      </c>
      <c r="C760" s="28" t="s">
        <v>1522</v>
      </c>
      <c r="D760" s="28" t="s">
        <v>1523</v>
      </c>
      <c r="E760" s="28" t="s">
        <v>5052</v>
      </c>
      <c r="F760" s="28" t="s">
        <v>88</v>
      </c>
      <c r="G760" s="27" t="str">
        <f t="shared" si="24"/>
        <v>16700 KUYKENDAHL RD  HOUSTON</v>
      </c>
      <c r="H760" s="27" t="str">
        <f t="shared" si="25"/>
        <v>HOUSTON TX 77068</v>
      </c>
    </row>
    <row r="761" spans="1:8" x14ac:dyDescent="0.2">
      <c r="A761" s="27">
        <f>COUNTIFS(C:C,C761,D:D,D761)</f>
        <v>1</v>
      </c>
      <c r="B761" s="30">
        <v>202101155847</v>
      </c>
      <c r="C761" t="s">
        <v>3655</v>
      </c>
      <c r="D761" t="s">
        <v>3656</v>
      </c>
      <c r="E761" t="s">
        <v>4891</v>
      </c>
      <c r="F761" t="s">
        <v>90</v>
      </c>
      <c r="G761" s="27" t="str">
        <f t="shared" si="24"/>
        <v>6715 BAYOU CREST DR  HOUSTON</v>
      </c>
      <c r="H761" s="27" t="str">
        <f t="shared" si="25"/>
        <v>HOUSTON TX 77088</v>
      </c>
    </row>
    <row r="762" spans="1:8" x14ac:dyDescent="0.2">
      <c r="A762" s="27">
        <f>COUNTIFS(C:C,C762,D:D,D762)</f>
        <v>1</v>
      </c>
      <c r="B762" s="30">
        <v>202101155848</v>
      </c>
      <c r="C762" s="28" t="s">
        <v>1249</v>
      </c>
      <c r="D762" s="28" t="s">
        <v>1250</v>
      </c>
      <c r="E762" s="28" t="s">
        <v>4898</v>
      </c>
      <c r="F762" s="28" t="s">
        <v>87</v>
      </c>
      <c r="G762" s="27" t="str">
        <f t="shared" si="24"/>
        <v>8402 HANSEN ST  HOUSTON</v>
      </c>
      <c r="H762" s="27" t="str">
        <f t="shared" si="25"/>
        <v>HOUSTON TX 77075</v>
      </c>
    </row>
    <row r="763" spans="1:8" x14ac:dyDescent="0.2">
      <c r="A763" s="27">
        <f>COUNTIFS(C:C,C763,D:D,D763)</f>
        <v>1</v>
      </c>
      <c r="B763" s="30">
        <v>202101155849</v>
      </c>
      <c r="C763" s="28" t="s">
        <v>5071</v>
      </c>
      <c r="D763" s="28" t="s">
        <v>1735</v>
      </c>
      <c r="E763" s="28" t="s">
        <v>4891</v>
      </c>
      <c r="F763" s="28" t="s">
        <v>288</v>
      </c>
      <c r="G763" s="27" t="str">
        <f t="shared" si="24"/>
        <v>7500 PINEMOUNT  HOUSTON</v>
      </c>
      <c r="H763" s="27" t="str">
        <f t="shared" si="25"/>
        <v>HOUSTON TX 77088</v>
      </c>
    </row>
    <row r="764" spans="1:8" x14ac:dyDescent="0.2">
      <c r="A764" s="27">
        <f>COUNTIFS(C:C,C764,D:D,D764)</f>
        <v>1</v>
      </c>
      <c r="B764" s="30">
        <v>202101155854</v>
      </c>
      <c r="C764" t="s">
        <v>2713</v>
      </c>
      <c r="D764" t="s">
        <v>2714</v>
      </c>
      <c r="E764" t="s">
        <v>5061</v>
      </c>
      <c r="F764" t="s">
        <v>88</v>
      </c>
      <c r="G764" s="27" t="str">
        <f t="shared" si="24"/>
        <v>1205 PRUITT ST  DAYTON</v>
      </c>
      <c r="H764" s="27" t="str">
        <f t="shared" si="25"/>
        <v>HOUSTON TX 77535</v>
      </c>
    </row>
    <row r="765" spans="1:8" x14ac:dyDescent="0.2">
      <c r="A765" s="27">
        <f>COUNTIFS(C:C,C765,D:D,D765)</f>
        <v>1</v>
      </c>
      <c r="B765" s="30">
        <v>202101155855</v>
      </c>
      <c r="C765" t="s">
        <v>3657</v>
      </c>
      <c r="D765" t="s">
        <v>3658</v>
      </c>
      <c r="E765" t="s">
        <v>4984</v>
      </c>
      <c r="F765" t="s">
        <v>53</v>
      </c>
      <c r="G765" s="27" t="str">
        <f t="shared" si="24"/>
        <v>4006 ALSHIRE  SPRING</v>
      </c>
      <c r="H765" s="27" t="str">
        <f t="shared" si="25"/>
        <v>HOUSTON TX 77373</v>
      </c>
    </row>
    <row r="766" spans="1:8" x14ac:dyDescent="0.2">
      <c r="A766" s="27">
        <f>COUNTIFS(C:C,C766,D:D,D766)</f>
        <v>1</v>
      </c>
      <c r="B766" s="30">
        <v>202101155861</v>
      </c>
      <c r="C766" s="28" t="s">
        <v>585</v>
      </c>
      <c r="D766" s="28" t="s">
        <v>586</v>
      </c>
      <c r="E766" s="28" t="s">
        <v>4916</v>
      </c>
      <c r="F766" s="28" t="s">
        <v>280</v>
      </c>
      <c r="G766" s="27" t="str">
        <f t="shared" si="24"/>
        <v>2002 SAN SEBASTIAN C T NASSAU BAY</v>
      </c>
      <c r="H766" s="27" t="str">
        <f t="shared" si="25"/>
        <v>HOUSTON TX 77058</v>
      </c>
    </row>
    <row r="767" spans="1:8" x14ac:dyDescent="0.2">
      <c r="A767" s="27">
        <f>COUNTIFS(C:C,C767,D:D,D767)</f>
        <v>1</v>
      </c>
      <c r="B767" s="30">
        <v>202101155864</v>
      </c>
      <c r="C767" s="28" t="s">
        <v>845</v>
      </c>
      <c r="D767" s="28" t="s">
        <v>846</v>
      </c>
      <c r="E767" s="28" t="s">
        <v>4970</v>
      </c>
      <c r="F767" s="28" t="s">
        <v>53</v>
      </c>
      <c r="G767" s="27" t="str">
        <f t="shared" si="24"/>
        <v>11025 FONDREN RD  HOUSTON</v>
      </c>
      <c r="H767" s="27" t="str">
        <f t="shared" si="25"/>
        <v>HOUSTON TX 77096</v>
      </c>
    </row>
    <row r="768" spans="1:8" x14ac:dyDescent="0.2">
      <c r="A768" s="27">
        <f>COUNTIFS(C:C,C768,D:D,D768)</f>
        <v>1</v>
      </c>
      <c r="B768" s="30">
        <v>202101155865</v>
      </c>
      <c r="C768" t="s">
        <v>2771</v>
      </c>
      <c r="D768" t="s">
        <v>2772</v>
      </c>
      <c r="E768" t="s">
        <v>4866</v>
      </c>
      <c r="F768" t="s">
        <v>88</v>
      </c>
      <c r="G768" s="27" t="str">
        <f t="shared" si="24"/>
        <v>1101 CRESLINE  HOUSTON</v>
      </c>
      <c r="H768" s="27" t="str">
        <f t="shared" si="25"/>
        <v>HOUSTON TX 77076</v>
      </c>
    </row>
    <row r="769" spans="1:8" x14ac:dyDescent="0.2">
      <c r="A769" s="27">
        <f>COUNTIFS(C:C,C769,D:D,D769)</f>
        <v>1</v>
      </c>
      <c r="B769" s="30">
        <v>202101155866</v>
      </c>
      <c r="C769" t="s">
        <v>3659</v>
      </c>
      <c r="D769" t="s">
        <v>3660</v>
      </c>
      <c r="E769" t="s">
        <v>4896</v>
      </c>
      <c r="F769" t="s">
        <v>90</v>
      </c>
      <c r="G769" s="27" t="str">
        <f t="shared" si="24"/>
        <v>10201 HARWIN DR 2105  HOUSTON</v>
      </c>
      <c r="H769" s="27" t="str">
        <f t="shared" si="25"/>
        <v>HOUSTON TX 77036</v>
      </c>
    </row>
    <row r="770" spans="1:8" x14ac:dyDescent="0.2">
      <c r="A770" s="27">
        <f>COUNTIFS(C:C,C770,D:D,D770)</f>
        <v>1</v>
      </c>
      <c r="B770" s="30">
        <v>202101155869</v>
      </c>
      <c r="C770" t="s">
        <v>3651</v>
      </c>
      <c r="D770" t="s">
        <v>3652</v>
      </c>
      <c r="E770" t="s">
        <v>4952</v>
      </c>
      <c r="F770" t="s">
        <v>88</v>
      </c>
      <c r="G770" s="27" t="str">
        <f t="shared" si="24"/>
        <v>1911 SOUTHMORE 290  PASADENA</v>
      </c>
      <c r="H770" s="27" t="str">
        <f t="shared" si="25"/>
        <v>HOUSTON TX 77506</v>
      </c>
    </row>
    <row r="771" spans="1:8" x14ac:dyDescent="0.2">
      <c r="A771" s="27">
        <f>COUNTIFS(C:C,C771,D:D,D771)</f>
        <v>1</v>
      </c>
      <c r="B771" s="30">
        <v>202101155870</v>
      </c>
      <c r="C771" t="s">
        <v>3661</v>
      </c>
      <c r="D771" t="s">
        <v>3662</v>
      </c>
      <c r="E771" t="s">
        <v>4973</v>
      </c>
      <c r="F771" t="s">
        <v>88</v>
      </c>
      <c r="G771" s="27" t="str">
        <f t="shared" si="24"/>
        <v>7003 BISSONNET ST  HOUSTON</v>
      </c>
      <c r="H771" s="27" t="str">
        <f t="shared" si="25"/>
        <v>HOUSTON TX 77074</v>
      </c>
    </row>
    <row r="772" spans="1:8" x14ac:dyDescent="0.2">
      <c r="A772" s="27">
        <f>COUNTIFS(C:C,C772,D:D,D772)</f>
        <v>1</v>
      </c>
      <c r="B772" s="30">
        <v>202101155872</v>
      </c>
      <c r="C772" t="s">
        <v>2362</v>
      </c>
      <c r="D772" t="s">
        <v>2363</v>
      </c>
      <c r="E772" t="s">
        <v>5124</v>
      </c>
      <c r="F772" t="s">
        <v>88</v>
      </c>
      <c r="G772" s="27" t="str">
        <f t="shared" si="24"/>
        <v>2206 WOODHEAD ST UNI T 2 HOUSTON</v>
      </c>
      <c r="H772" s="27" t="str">
        <f t="shared" si="25"/>
        <v>HOUSTON TX 77019</v>
      </c>
    </row>
    <row r="773" spans="1:8" x14ac:dyDescent="0.2">
      <c r="A773" s="27">
        <f>COUNTIFS(C:C,C773,D:D,D773)</f>
        <v>1</v>
      </c>
      <c r="B773" s="30">
        <v>202101155877</v>
      </c>
      <c r="C773" s="28" t="s">
        <v>843</v>
      </c>
      <c r="D773" s="28" t="s">
        <v>844</v>
      </c>
      <c r="E773" s="28" t="s">
        <v>4877</v>
      </c>
      <c r="F773" s="28" t="s">
        <v>59</v>
      </c>
      <c r="G773" s="27" t="str">
        <f t="shared" si="24"/>
        <v>3518 COVEY TRL  MISSOURI C</v>
      </c>
      <c r="H773" s="27" t="str">
        <f t="shared" si="25"/>
        <v>HOUSTON TX 77459</v>
      </c>
    </row>
    <row r="774" spans="1:8" x14ac:dyDescent="0.2">
      <c r="A774" s="27">
        <f>COUNTIFS(C:C,C774,D:D,D774)</f>
        <v>1</v>
      </c>
      <c r="B774" s="30">
        <v>202101155878</v>
      </c>
      <c r="C774" t="s">
        <v>2751</v>
      </c>
      <c r="D774" t="s">
        <v>2752</v>
      </c>
      <c r="E774" t="s">
        <v>4933</v>
      </c>
      <c r="F774" t="s">
        <v>53</v>
      </c>
      <c r="G774" s="27" t="str">
        <f t="shared" si="24"/>
        <v>8791 HAMMERLY  HOUSTON</v>
      </c>
      <c r="H774" s="27" t="str">
        <f t="shared" si="25"/>
        <v>HOUSTON TX 77080</v>
      </c>
    </row>
    <row r="775" spans="1:8" x14ac:dyDescent="0.2">
      <c r="A775" s="27">
        <f>COUNTIFS(C:C,C775,D:D,D775)</f>
        <v>1</v>
      </c>
      <c r="B775" s="30">
        <v>202101155880</v>
      </c>
      <c r="C775" t="s">
        <v>3663</v>
      </c>
      <c r="D775" t="s">
        <v>3664</v>
      </c>
      <c r="E775" t="s">
        <v>4890</v>
      </c>
      <c r="F775" t="s">
        <v>88</v>
      </c>
      <c r="G775" s="27" t="str">
        <f t="shared" si="24"/>
        <v>7738 GLENVISTA ST  HOUSTON</v>
      </c>
      <c r="H775" s="27" t="str">
        <f t="shared" si="25"/>
        <v>HOUSTON TX 77061</v>
      </c>
    </row>
    <row r="776" spans="1:8" x14ac:dyDescent="0.2">
      <c r="A776" s="27">
        <f>COUNTIFS(C:C,C776,D:D,D776)</f>
        <v>1</v>
      </c>
      <c r="B776" s="30">
        <v>202101155883</v>
      </c>
      <c r="C776" t="s">
        <v>2051</v>
      </c>
      <c r="D776" t="s">
        <v>2052</v>
      </c>
      <c r="E776" t="s">
        <v>4898</v>
      </c>
      <c r="F776" t="s">
        <v>98</v>
      </c>
      <c r="G776" s="27" t="str">
        <f t="shared" si="24"/>
        <v>10950 TANNER PARK CT APT 1404 HOUSTON</v>
      </c>
      <c r="H776" s="27" t="str">
        <f t="shared" si="25"/>
        <v>HOUSTON TX 77075</v>
      </c>
    </row>
    <row r="777" spans="1:8" x14ac:dyDescent="0.2">
      <c r="A777" s="27">
        <f>COUNTIFS(C:C,C777,D:D,D777)</f>
        <v>1</v>
      </c>
      <c r="B777" s="30">
        <v>202101155884</v>
      </c>
      <c r="C777" t="s">
        <v>2834</v>
      </c>
      <c r="D777" t="s">
        <v>2835</v>
      </c>
      <c r="E777" t="s">
        <v>4865</v>
      </c>
      <c r="F777" t="s">
        <v>88</v>
      </c>
      <c r="G777" s="27" t="str">
        <f t="shared" si="24"/>
        <v>4301 LINDALE  HOUSTON</v>
      </c>
      <c r="H777" s="27" t="str">
        <f t="shared" si="25"/>
        <v xml:space="preserve">HOUSTON TX      </v>
      </c>
    </row>
    <row r="778" spans="1:8" x14ac:dyDescent="0.2">
      <c r="A778" s="27">
        <f>COUNTIFS(C:C,C778,D:D,D778)</f>
        <v>1</v>
      </c>
      <c r="B778" s="30">
        <v>202101155885</v>
      </c>
      <c r="C778" s="28" t="s">
        <v>1601</v>
      </c>
      <c r="D778" s="28" t="s">
        <v>1602</v>
      </c>
      <c r="E778" s="28" t="s">
        <v>5056</v>
      </c>
      <c r="F778" s="28" t="s">
        <v>88</v>
      </c>
      <c r="G778" s="27" t="str">
        <f t="shared" si="24"/>
        <v>12353 BEAMER RD  HARRIS CO</v>
      </c>
      <c r="H778" s="27" t="str">
        <f t="shared" si="25"/>
        <v>HOUSTON TX 77089</v>
      </c>
    </row>
    <row r="779" spans="1:8" x14ac:dyDescent="0.2">
      <c r="A779" s="27">
        <f>COUNTIFS(C:C,C779,D:D,D779)</f>
        <v>1</v>
      </c>
      <c r="B779" s="30">
        <v>202101155890</v>
      </c>
      <c r="C779" s="28" t="s">
        <v>1784</v>
      </c>
      <c r="D779" s="28" t="s">
        <v>1785</v>
      </c>
      <c r="E779" s="28" t="s">
        <v>4997</v>
      </c>
      <c r="F779" s="28" t="s">
        <v>70</v>
      </c>
      <c r="G779" s="27" t="str">
        <f t="shared" si="24"/>
        <v>10603 S WILCREST DR  HOUSTON</v>
      </c>
      <c r="H779" s="27" t="str">
        <f t="shared" si="25"/>
        <v>HOUSTON TX 77099</v>
      </c>
    </row>
    <row r="780" spans="1:8" x14ac:dyDescent="0.2">
      <c r="A780" s="27">
        <f>COUNTIFS(C:C,C780,D:D,D780)</f>
        <v>1</v>
      </c>
      <c r="B780" s="30">
        <v>202101155894</v>
      </c>
      <c r="C780" t="s">
        <v>3667</v>
      </c>
      <c r="D780" t="s">
        <v>3668</v>
      </c>
      <c r="E780" t="s">
        <v>4914</v>
      </c>
      <c r="F780" t="s">
        <v>70</v>
      </c>
      <c r="G780" s="27" t="str">
        <f t="shared" si="24"/>
        <v>13250 WESTHEIMER RD 1 18 HOUSTON</v>
      </c>
      <c r="H780" s="27" t="str">
        <f t="shared" si="25"/>
        <v>HOUSTON TX 77077</v>
      </c>
    </row>
    <row r="781" spans="1:8" x14ac:dyDescent="0.2">
      <c r="A781" s="27">
        <f>COUNTIFS(C:C,C781,D:D,D781)</f>
        <v>1</v>
      </c>
      <c r="B781" s="30">
        <v>202101155895</v>
      </c>
      <c r="C781" s="28" t="s">
        <v>776</v>
      </c>
      <c r="D781" s="28" t="s">
        <v>777</v>
      </c>
      <c r="E781" s="28" t="s">
        <v>4875</v>
      </c>
      <c r="F781" s="28" t="s">
        <v>56</v>
      </c>
      <c r="G781" s="27" t="str">
        <f t="shared" si="24"/>
        <v>10300 SHADY  HOUSTON</v>
      </c>
      <c r="H781" s="27" t="str">
        <f t="shared" si="25"/>
        <v>HOUSTON TX 77093</v>
      </c>
    </row>
    <row r="782" spans="1:8" x14ac:dyDescent="0.2">
      <c r="A782" s="27">
        <f>COUNTIFS(C:C,C782,D:D,D782)</f>
        <v>1</v>
      </c>
      <c r="B782" s="30">
        <v>202101155898</v>
      </c>
      <c r="C782" t="s">
        <v>3669</v>
      </c>
      <c r="D782" t="s">
        <v>3670</v>
      </c>
      <c r="E782" t="s">
        <v>5208</v>
      </c>
      <c r="F782" t="s">
        <v>70</v>
      </c>
      <c r="G782" s="27" t="e">
        <f t="shared" si="24"/>
        <v>#VALUE!</v>
      </c>
      <c r="H782" s="27" t="e">
        <f t="shared" si="25"/>
        <v>#VALUE!</v>
      </c>
    </row>
    <row r="783" spans="1:8" x14ac:dyDescent="0.2">
      <c r="A783" s="27">
        <f>COUNTIFS(C:C,C783,D:D,D783)</f>
        <v>1</v>
      </c>
      <c r="B783" s="30">
        <v>202101155899</v>
      </c>
      <c r="C783" t="s">
        <v>2372</v>
      </c>
      <c r="D783" t="s">
        <v>2373</v>
      </c>
      <c r="E783" t="s">
        <v>4956</v>
      </c>
      <c r="F783" t="s">
        <v>161</v>
      </c>
      <c r="G783" s="27" t="str">
        <f t="shared" si="24"/>
        <v>5903 MATT RD  HUMBLE</v>
      </c>
      <c r="H783" s="27" t="str">
        <f t="shared" si="25"/>
        <v>HOUSTON TX 77346</v>
      </c>
    </row>
    <row r="784" spans="1:8" x14ac:dyDescent="0.2">
      <c r="A784" s="27">
        <f>COUNTIFS(C:C,C784,D:D,D784)</f>
        <v>1</v>
      </c>
      <c r="B784" s="30">
        <v>202101155900</v>
      </c>
      <c r="C784" t="s">
        <v>3671</v>
      </c>
      <c r="D784" t="s">
        <v>3672</v>
      </c>
      <c r="E784" t="s">
        <v>5209</v>
      </c>
      <c r="F784" t="s">
        <v>70</v>
      </c>
      <c r="G784" s="27" t="str">
        <f t="shared" si="24"/>
        <v>20031 LIONS GATE DR  HARRIS CO</v>
      </c>
      <c r="H784" s="27" t="str">
        <f t="shared" si="25"/>
        <v>HOUSTON TX 77338</v>
      </c>
    </row>
    <row r="785" spans="1:8" x14ac:dyDescent="0.2">
      <c r="A785" s="27">
        <f>COUNTIFS(C:C,C785,D:D,D785)</f>
        <v>1</v>
      </c>
      <c r="B785" s="30">
        <v>202101155902</v>
      </c>
      <c r="C785" t="s">
        <v>2514</v>
      </c>
      <c r="D785" t="s">
        <v>2515</v>
      </c>
      <c r="E785" t="s">
        <v>4994</v>
      </c>
      <c r="F785" t="s">
        <v>87</v>
      </c>
      <c r="G785" s="27" t="str">
        <f t="shared" si="24"/>
        <v>21801 NORTHCREST DR  SPRING</v>
      </c>
      <c r="H785" s="27" t="str">
        <f t="shared" si="25"/>
        <v>HOUSTON TX 77388</v>
      </c>
    </row>
    <row r="786" spans="1:8" x14ac:dyDescent="0.2">
      <c r="A786" s="27">
        <f>COUNTIFS(C:C,C786,D:D,D786)</f>
        <v>1</v>
      </c>
      <c r="B786" s="30">
        <v>202101155904</v>
      </c>
      <c r="C786" s="28" t="s">
        <v>1113</v>
      </c>
      <c r="D786" s="28" t="s">
        <v>1114</v>
      </c>
      <c r="E786" s="28" t="s">
        <v>5004</v>
      </c>
      <c r="F786" s="28" t="s">
        <v>162</v>
      </c>
      <c r="G786" s="27" t="str">
        <f t="shared" si="24"/>
        <v>6307 FAULKNER RIDGE DR FORT BEND</v>
      </c>
      <c r="H786" s="27" t="str">
        <f t="shared" si="25"/>
        <v>HOUSTON TX 77450</v>
      </c>
    </row>
    <row r="787" spans="1:8" x14ac:dyDescent="0.2">
      <c r="A787" s="27">
        <f>COUNTIFS(C:C,C787,D:D,D787)</f>
        <v>1</v>
      </c>
      <c r="B787" s="30">
        <v>202101155906</v>
      </c>
      <c r="C787" t="s">
        <v>3677</v>
      </c>
      <c r="D787" t="s">
        <v>3678</v>
      </c>
      <c r="E787" t="s">
        <v>4981</v>
      </c>
      <c r="F787" t="s">
        <v>53</v>
      </c>
      <c r="G787" s="27" t="str">
        <f t="shared" si="24"/>
        <v>103 E EDGEBROOK DR  HOUSTON</v>
      </c>
      <c r="H787" s="27" t="str">
        <f t="shared" si="25"/>
        <v>HOUSTON TX 77034</v>
      </c>
    </row>
    <row r="788" spans="1:8" x14ac:dyDescent="0.2">
      <c r="A788" s="27">
        <f>COUNTIFS(C:C,C788,D:D,D788)</f>
        <v>1</v>
      </c>
      <c r="B788" s="30">
        <v>202101155910</v>
      </c>
      <c r="C788" s="28" t="s">
        <v>698</v>
      </c>
      <c r="D788" s="28" t="s">
        <v>699</v>
      </c>
      <c r="E788" s="28" t="s">
        <v>4851</v>
      </c>
      <c r="F788" s="28" t="s">
        <v>53</v>
      </c>
      <c r="G788" s="27" t="str">
        <f t="shared" si="24"/>
        <v>3603 ROBERTS BLVD  BAYTOWN</v>
      </c>
      <c r="H788" s="27" t="str">
        <f t="shared" si="25"/>
        <v>HOUSTON TX 77521</v>
      </c>
    </row>
    <row r="789" spans="1:8" x14ac:dyDescent="0.2">
      <c r="A789" s="27">
        <f>COUNTIFS(C:C,C789,D:D,D789)</f>
        <v>1</v>
      </c>
      <c r="B789" s="30">
        <v>202101155911</v>
      </c>
      <c r="C789" s="28" t="s">
        <v>1050</v>
      </c>
      <c r="D789" s="28" t="s">
        <v>1051</v>
      </c>
      <c r="E789" s="28" t="s">
        <v>4901</v>
      </c>
      <c r="F789" s="28" t="s">
        <v>90</v>
      </c>
      <c r="G789" s="27" t="str">
        <f t="shared" si="24"/>
        <v>4545 COOK RD  HOUSTON</v>
      </c>
      <c r="H789" s="27" t="str">
        <f t="shared" si="25"/>
        <v>HOUSTON TX 77072</v>
      </c>
    </row>
    <row r="790" spans="1:8" x14ac:dyDescent="0.2">
      <c r="A790" s="27">
        <f>COUNTIFS(C:C,C790,D:D,D790)</f>
        <v>1</v>
      </c>
      <c r="B790" s="30">
        <v>202101155912</v>
      </c>
      <c r="C790" s="28" t="s">
        <v>1356</v>
      </c>
      <c r="D790" s="28" t="s">
        <v>1357</v>
      </c>
      <c r="E790" s="28" t="s">
        <v>4860</v>
      </c>
      <c r="F790" s="28" t="s">
        <v>72</v>
      </c>
      <c r="G790" s="27" t="str">
        <f t="shared" si="24"/>
        <v>2700 WARD RD  BAYTOWN</v>
      </c>
      <c r="H790" s="27" t="str">
        <f t="shared" si="25"/>
        <v>HOUSTON TX 77520</v>
      </c>
    </row>
    <row r="791" spans="1:8" x14ac:dyDescent="0.2">
      <c r="A791" s="27">
        <f>COUNTIFS(C:C,C791,D:D,D791)</f>
        <v>1</v>
      </c>
      <c r="B791" s="30">
        <v>202101155913</v>
      </c>
      <c r="C791" s="28" t="s">
        <v>1532</v>
      </c>
      <c r="D791" s="28" t="s">
        <v>1533</v>
      </c>
      <c r="E791" s="28" t="s">
        <v>4952</v>
      </c>
      <c r="F791" s="28" t="s">
        <v>94</v>
      </c>
      <c r="G791" s="27" t="str">
        <f t="shared" si="24"/>
        <v>248 CRESCENT DR  PASADENA</v>
      </c>
      <c r="H791" s="27" t="str">
        <f t="shared" si="25"/>
        <v>HOUSTON TX 77506</v>
      </c>
    </row>
    <row r="792" spans="1:8" x14ac:dyDescent="0.2">
      <c r="A792" s="27">
        <f>COUNTIFS(C:C,C792,D:D,D792)</f>
        <v>1</v>
      </c>
      <c r="B792" s="30">
        <v>202101155917</v>
      </c>
      <c r="C792" t="s">
        <v>2286</v>
      </c>
      <c r="D792" t="s">
        <v>2287</v>
      </c>
      <c r="E792" t="s">
        <v>4854</v>
      </c>
      <c r="F792" t="s">
        <v>79</v>
      </c>
      <c r="G792" s="27" t="str">
        <f t="shared" si="24"/>
        <v>3206 KENTUCKY DR  HOUSTON</v>
      </c>
      <c r="H792" s="27" t="str">
        <f t="shared" si="25"/>
        <v>HOUSTON TX 77026</v>
      </c>
    </row>
    <row r="793" spans="1:8" x14ac:dyDescent="0.2">
      <c r="A793" s="27">
        <f>COUNTIFS(C:C,C793,D:D,D793)</f>
        <v>1</v>
      </c>
      <c r="B793" s="30">
        <v>202101155918</v>
      </c>
      <c r="C793" t="s">
        <v>3214</v>
      </c>
      <c r="D793" t="s">
        <v>3215</v>
      </c>
      <c r="E793" t="s">
        <v>4861</v>
      </c>
      <c r="F793" t="s">
        <v>79</v>
      </c>
      <c r="G793" s="27" t="str">
        <f t="shared" si="24"/>
        <v>10106 SIERRA DR  HOUSTON</v>
      </c>
      <c r="H793" s="27" t="str">
        <f t="shared" si="25"/>
        <v>HOUSTON TX 77051</v>
      </c>
    </row>
    <row r="794" spans="1:8" x14ac:dyDescent="0.2">
      <c r="A794" s="27">
        <f>COUNTIFS(C:C,C794,D:D,D794)</f>
        <v>1</v>
      </c>
      <c r="B794" s="30">
        <v>202101155919</v>
      </c>
      <c r="C794" t="s">
        <v>3683</v>
      </c>
      <c r="D794" t="s">
        <v>3684</v>
      </c>
      <c r="E794" t="s">
        <v>4855</v>
      </c>
      <c r="F794" t="s">
        <v>53</v>
      </c>
      <c r="G794" s="27" t="str">
        <f t="shared" si="24"/>
        <v>9002 STERLINGSHIRE 1 102 HOUSTON</v>
      </c>
      <c r="H794" s="27" t="str">
        <f t="shared" si="25"/>
        <v>HOUSTON TX 77078</v>
      </c>
    </row>
    <row r="795" spans="1:8" x14ac:dyDescent="0.2">
      <c r="A795" s="27">
        <f>COUNTIFS(C:C,C795,D:D,D795)</f>
        <v>1</v>
      </c>
      <c r="B795" s="30">
        <v>202101155924</v>
      </c>
      <c r="C795" t="s">
        <v>3685</v>
      </c>
      <c r="D795" t="s">
        <v>3686</v>
      </c>
      <c r="E795" t="s">
        <v>4862</v>
      </c>
      <c r="F795" t="s">
        <v>53</v>
      </c>
      <c r="G795" s="27" t="str">
        <f t="shared" si="24"/>
        <v>2042 SWEET LILAC DR  HOUSTON</v>
      </c>
      <c r="H795" s="27" t="str">
        <f t="shared" si="25"/>
        <v>HOUSTON TX 77090</v>
      </c>
    </row>
    <row r="796" spans="1:8" x14ac:dyDescent="0.2">
      <c r="A796" s="27">
        <f>COUNTIFS(C:C,C796,D:D,D796)</f>
        <v>1</v>
      </c>
      <c r="B796" s="30">
        <v>202101155925</v>
      </c>
      <c r="C796" t="s">
        <v>3687</v>
      </c>
      <c r="D796" t="s">
        <v>3688</v>
      </c>
      <c r="E796" t="s">
        <v>4967</v>
      </c>
      <c r="F796" t="s">
        <v>275</v>
      </c>
      <c r="G796" s="27" t="str">
        <f t="shared" si="24"/>
        <v>7403 YELLOW PINE DR  HOUSTON</v>
      </c>
      <c r="H796" s="27" t="str">
        <f t="shared" si="25"/>
        <v>HOUSTON TX 77040</v>
      </c>
    </row>
    <row r="797" spans="1:8" x14ac:dyDescent="0.2">
      <c r="A797" s="27">
        <f>COUNTIFS(C:C,C797,D:D,D797)</f>
        <v>1</v>
      </c>
      <c r="B797" s="30">
        <v>202101155930</v>
      </c>
      <c r="C797" s="28" t="s">
        <v>960</v>
      </c>
      <c r="D797" s="28" t="s">
        <v>961</v>
      </c>
      <c r="E797" s="28" t="s">
        <v>4991</v>
      </c>
      <c r="F797" s="28" t="s">
        <v>53</v>
      </c>
      <c r="G797" s="27" t="str">
        <f t="shared" si="24"/>
        <v>3431 WALNUT BEND LN  HOUSTON</v>
      </c>
      <c r="H797" s="27" t="str">
        <f t="shared" si="25"/>
        <v>HOUSTON TX 77042</v>
      </c>
    </row>
    <row r="798" spans="1:8" x14ac:dyDescent="0.2">
      <c r="A798" s="27">
        <f>COUNTIFS(C:C,C798,D:D,D798)</f>
        <v>1</v>
      </c>
      <c r="B798" s="30">
        <v>202101155932</v>
      </c>
      <c r="C798" s="28" t="s">
        <v>1335</v>
      </c>
      <c r="D798" s="28" t="s">
        <v>1336</v>
      </c>
      <c r="E798" s="28" t="s">
        <v>4901</v>
      </c>
      <c r="F798" s="28" t="s">
        <v>85</v>
      </c>
      <c r="G798" s="27" t="str">
        <f t="shared" si="24"/>
        <v>12654 ASHFORD RIVER  HOUSTON</v>
      </c>
      <c r="H798" s="27" t="str">
        <f t="shared" si="25"/>
        <v>HOUSTON TX 77072</v>
      </c>
    </row>
    <row r="799" spans="1:8" x14ac:dyDescent="0.2">
      <c r="A799" s="27">
        <f>COUNTIFS(C:C,C799,D:D,D799)</f>
        <v>1</v>
      </c>
      <c r="B799" s="30">
        <v>202101155934</v>
      </c>
      <c r="C799" t="s">
        <v>3691</v>
      </c>
      <c r="D799" t="s">
        <v>3692</v>
      </c>
      <c r="E799" t="s">
        <v>4876</v>
      </c>
      <c r="F799" t="s">
        <v>73</v>
      </c>
      <c r="G799" s="27" t="str">
        <f t="shared" si="24"/>
        <v>12806 COULSON  HOUSTON</v>
      </c>
      <c r="H799" s="27" t="str">
        <f t="shared" si="25"/>
        <v>HOUSTON TX 77015</v>
      </c>
    </row>
    <row r="800" spans="1:8" x14ac:dyDescent="0.2">
      <c r="A800" s="27">
        <f>COUNTIFS(C:C,C800,D:D,D800)</f>
        <v>1</v>
      </c>
      <c r="B800" s="30">
        <v>202101155936</v>
      </c>
      <c r="C800" t="s">
        <v>3320</v>
      </c>
      <c r="D800" t="s">
        <v>3321</v>
      </c>
      <c r="E800" t="s">
        <v>4907</v>
      </c>
      <c r="F800" t="s">
        <v>64</v>
      </c>
      <c r="G800" s="27" t="str">
        <f t="shared" si="24"/>
        <v>2730 LAFFERTY RD  PASADENA</v>
      </c>
      <c r="H800" s="27" t="str">
        <f t="shared" si="25"/>
        <v>HOUSTON TX 77502</v>
      </c>
    </row>
    <row r="801" spans="1:8" x14ac:dyDescent="0.2">
      <c r="A801" s="27">
        <f>COUNTIFS(C:C,C801,D:D,D801)</f>
        <v>1</v>
      </c>
      <c r="B801" s="30">
        <v>202101155938</v>
      </c>
      <c r="C801" t="s">
        <v>3693</v>
      </c>
      <c r="D801" t="s">
        <v>3694</v>
      </c>
      <c r="E801" t="s">
        <v>4986</v>
      </c>
      <c r="F801" t="s">
        <v>4818</v>
      </c>
      <c r="G801" s="27" t="str">
        <f t="shared" si="24"/>
        <v>625 WILSON RD 96  HUMBLE</v>
      </c>
      <c r="H801" s="27" t="str">
        <f t="shared" si="25"/>
        <v>HOUSTON TX 77338</v>
      </c>
    </row>
    <row r="802" spans="1:8" x14ac:dyDescent="0.2">
      <c r="A802" s="27">
        <f>COUNTIFS(C:C,C802,D:D,D802)</f>
        <v>1</v>
      </c>
      <c r="B802" s="30">
        <v>202101155940</v>
      </c>
      <c r="C802" t="s">
        <v>2488</v>
      </c>
      <c r="D802" t="s">
        <v>2489</v>
      </c>
      <c r="E802" t="s">
        <v>4893</v>
      </c>
      <c r="F802" t="s">
        <v>345</v>
      </c>
      <c r="G802" s="27" t="str">
        <f t="shared" si="24"/>
        <v>4206 DALMATIAN DR  HOUSTON</v>
      </c>
      <c r="H802" s="27" t="str">
        <f t="shared" si="25"/>
        <v>HOUSTON TX 77045</v>
      </c>
    </row>
    <row r="803" spans="1:8" x14ac:dyDescent="0.2">
      <c r="A803" s="27">
        <f>COUNTIFS(C:C,C803,D:D,D803)</f>
        <v>1</v>
      </c>
      <c r="B803" s="30">
        <v>202101155942</v>
      </c>
      <c r="C803" t="s">
        <v>2819</v>
      </c>
      <c r="D803" t="s">
        <v>2820</v>
      </c>
      <c r="E803" t="s">
        <v>4898</v>
      </c>
      <c r="F803" t="s">
        <v>78</v>
      </c>
      <c r="G803" s="27" t="str">
        <f t="shared" si="24"/>
        <v>10901 TELEPHONE RD  HOUSTON</v>
      </c>
      <c r="H803" s="27" t="str">
        <f t="shared" si="25"/>
        <v>HOUSTON TX 77075</v>
      </c>
    </row>
    <row r="804" spans="1:8" x14ac:dyDescent="0.2">
      <c r="A804" s="27">
        <f>COUNTIFS(C:C,C804,D:D,D804)</f>
        <v>1</v>
      </c>
      <c r="B804" s="30">
        <v>202101155943</v>
      </c>
      <c r="C804" t="s">
        <v>2639</v>
      </c>
      <c r="D804" t="s">
        <v>2640</v>
      </c>
      <c r="E804" t="s">
        <v>4937</v>
      </c>
      <c r="F804" t="s">
        <v>88</v>
      </c>
      <c r="G804" s="27" t="str">
        <f t="shared" si="24"/>
        <v>6506 WESTOVER ST  HOUSTON</v>
      </c>
      <c r="H804" s="27" t="str">
        <f t="shared" si="25"/>
        <v>HOUSTON TX 77087</v>
      </c>
    </row>
    <row r="805" spans="1:8" x14ac:dyDescent="0.2">
      <c r="A805" s="27">
        <f>COUNTIFS(C:C,C805,D:D,D805)</f>
        <v>1</v>
      </c>
      <c r="B805" s="30">
        <v>202101155944</v>
      </c>
      <c r="C805" s="28" t="s">
        <v>1042</v>
      </c>
      <c r="D805" s="28" t="s">
        <v>1043</v>
      </c>
      <c r="E805" s="28" t="s">
        <v>4999</v>
      </c>
      <c r="F805" s="28" t="s">
        <v>53</v>
      </c>
      <c r="G805" s="27" t="str">
        <f t="shared" si="24"/>
        <v>22402 GOLDSTONE DR  KATY</v>
      </c>
      <c r="H805" s="27" t="str">
        <f t="shared" si="25"/>
        <v>HOUSTON TX 77450</v>
      </c>
    </row>
    <row r="806" spans="1:8" x14ac:dyDescent="0.2">
      <c r="A806" s="27">
        <f>COUNTIFS(C:C,C806,D:D,D806)</f>
        <v>1</v>
      </c>
      <c r="B806" s="30">
        <v>202101155945</v>
      </c>
      <c r="C806" t="s">
        <v>3697</v>
      </c>
      <c r="D806" t="s">
        <v>3698</v>
      </c>
      <c r="E806" t="s">
        <v>5211</v>
      </c>
      <c r="F806" t="s">
        <v>88</v>
      </c>
      <c r="G806" s="27" t="str">
        <f t="shared" si="24"/>
        <v>7000 DECKER LN  AUSTIN</v>
      </c>
      <c r="H806" s="27" t="str">
        <f t="shared" si="25"/>
        <v>HOUSTON TX 78724</v>
      </c>
    </row>
    <row r="807" spans="1:8" x14ac:dyDescent="0.2">
      <c r="A807" s="27">
        <f>COUNTIFS(C:C,C807,D:D,D807)</f>
        <v>1</v>
      </c>
      <c r="B807" s="30">
        <v>202101155947</v>
      </c>
      <c r="C807" s="28" t="s">
        <v>758</v>
      </c>
      <c r="D807" s="28" t="s">
        <v>759</v>
      </c>
      <c r="E807" s="28" t="s">
        <v>4952</v>
      </c>
      <c r="F807" s="28" t="s">
        <v>286</v>
      </c>
      <c r="G807" s="27" t="str">
        <f t="shared" si="24"/>
        <v>1016 JOHNSON  PASADENA</v>
      </c>
      <c r="H807" s="27" t="str">
        <f t="shared" si="25"/>
        <v>HOUSTON TX 77506</v>
      </c>
    </row>
    <row r="808" spans="1:8" x14ac:dyDescent="0.2">
      <c r="A808" s="27">
        <f>COUNTIFS(C:C,C808,D:D,D808)</f>
        <v>1</v>
      </c>
      <c r="B808" s="30">
        <v>202101155949</v>
      </c>
      <c r="C808" t="s">
        <v>3699</v>
      </c>
      <c r="D808" t="s">
        <v>3700</v>
      </c>
      <c r="E808" t="s">
        <v>4907</v>
      </c>
      <c r="F808" t="s">
        <v>372</v>
      </c>
      <c r="G808" s="27" t="str">
        <f t="shared" si="24"/>
        <v>2406 HUCKLEBERRY  PASADENA</v>
      </c>
      <c r="H808" s="27" t="str">
        <f t="shared" si="25"/>
        <v>HOUSTON TX 77502</v>
      </c>
    </row>
    <row r="809" spans="1:8" x14ac:dyDescent="0.2">
      <c r="A809" s="27">
        <f>COUNTIFS(C:C,C809,D:D,D809)</f>
        <v>1</v>
      </c>
      <c r="B809" s="30">
        <v>202101155953</v>
      </c>
      <c r="C809" s="28" t="s">
        <v>1121</v>
      </c>
      <c r="D809" s="28" t="s">
        <v>1122</v>
      </c>
      <c r="E809" s="28" t="s">
        <v>4875</v>
      </c>
      <c r="F809" s="28" t="s">
        <v>56</v>
      </c>
      <c r="G809" s="27" t="str">
        <f t="shared" si="24"/>
        <v>2630 BOSTIC ST  HOUSTON</v>
      </c>
      <c r="H809" s="27" t="str">
        <f t="shared" si="25"/>
        <v>HOUSTON TX 77093</v>
      </c>
    </row>
    <row r="810" spans="1:8" x14ac:dyDescent="0.2">
      <c r="A810" s="27">
        <f>COUNTIFS(C:C,C810,D:D,D810)</f>
        <v>1</v>
      </c>
      <c r="B810" s="30">
        <v>202101155954</v>
      </c>
      <c r="C810" t="s">
        <v>3703</v>
      </c>
      <c r="D810" t="s">
        <v>3704</v>
      </c>
      <c r="E810" t="s">
        <v>4871</v>
      </c>
      <c r="F810" t="s">
        <v>90</v>
      </c>
      <c r="G810" s="27" t="str">
        <f t="shared" ref="G810:G873" si="26">D810&amp;" "&amp;MID(E810,1,FIND(" TX",E810)-1)</f>
        <v>10803 SAFEGUARD ST  HOUSTON</v>
      </c>
      <c r="H810" s="27" t="str">
        <f t="shared" ref="H810:H873" si="27">"HOUSTON "&amp;MID(E810,FIND("TX",E810),8)</f>
        <v>HOUSTON TX 77047</v>
      </c>
    </row>
    <row r="811" spans="1:8" x14ac:dyDescent="0.2">
      <c r="A811" s="27">
        <f>COUNTIFS(C:C,C811,D:D,D811)</f>
        <v>1</v>
      </c>
      <c r="B811" s="30">
        <v>202101155956</v>
      </c>
      <c r="C811" t="s">
        <v>2518</v>
      </c>
      <c r="D811" t="s">
        <v>2519</v>
      </c>
      <c r="E811" t="s">
        <v>4973</v>
      </c>
      <c r="F811" t="s">
        <v>88</v>
      </c>
      <c r="G811" s="27" t="str">
        <f t="shared" si="26"/>
        <v>6601 DUNLAP ST  HOUSTON</v>
      </c>
      <c r="H811" s="27" t="str">
        <f t="shared" si="27"/>
        <v>HOUSTON TX 77074</v>
      </c>
    </row>
    <row r="812" spans="1:8" x14ac:dyDescent="0.2">
      <c r="A812" s="27">
        <f>COUNTIFS(C:C,C812,D:D,D812)</f>
        <v>1</v>
      </c>
      <c r="B812" s="30">
        <v>202101155957</v>
      </c>
      <c r="C812" t="s">
        <v>3705</v>
      </c>
      <c r="D812" t="s">
        <v>3706</v>
      </c>
      <c r="E812" t="s">
        <v>4880</v>
      </c>
      <c r="F812" t="s">
        <v>53</v>
      </c>
      <c r="G812" s="27" t="str">
        <f t="shared" si="26"/>
        <v>5927 ALMEDA RD 21514  HOUSTON</v>
      </c>
      <c r="H812" s="27" t="str">
        <f t="shared" si="27"/>
        <v>HOUSTON TX 77004</v>
      </c>
    </row>
    <row r="813" spans="1:8" x14ac:dyDescent="0.2">
      <c r="A813" s="27">
        <f>COUNTIFS(C:C,C813,D:D,D813)</f>
        <v>1</v>
      </c>
      <c r="B813" s="30">
        <v>202101155966</v>
      </c>
      <c r="C813" t="s">
        <v>3709</v>
      </c>
      <c r="D813" t="s">
        <v>3710</v>
      </c>
      <c r="E813" t="s">
        <v>4914</v>
      </c>
      <c r="F813" t="s">
        <v>90</v>
      </c>
      <c r="G813" s="27" t="str">
        <f t="shared" si="26"/>
        <v>14695 BRIAR FOREST DR 7303 HOUSTON</v>
      </c>
      <c r="H813" s="27" t="str">
        <f t="shared" si="27"/>
        <v>HOUSTON TX 77077</v>
      </c>
    </row>
    <row r="814" spans="1:8" x14ac:dyDescent="0.2">
      <c r="A814" s="27">
        <f>COUNTIFS(C:C,C814,D:D,D814)</f>
        <v>1</v>
      </c>
      <c r="B814" s="30">
        <v>202101155967</v>
      </c>
      <c r="C814" s="28" t="s">
        <v>780</v>
      </c>
      <c r="D814" s="28" t="s">
        <v>781</v>
      </c>
      <c r="E814" s="28" t="s">
        <v>4934</v>
      </c>
      <c r="F814" s="28" t="s">
        <v>53</v>
      </c>
      <c r="G814" s="27" t="str">
        <f t="shared" si="26"/>
        <v>6606 AVENUE J  HOUSTON</v>
      </c>
      <c r="H814" s="27" t="str">
        <f t="shared" si="27"/>
        <v>HOUSTON TX 77011</v>
      </c>
    </row>
    <row r="815" spans="1:8" x14ac:dyDescent="0.2">
      <c r="A815" s="27">
        <f>COUNTIFS(C:C,C815,D:D,D815)</f>
        <v>1</v>
      </c>
      <c r="B815" s="30">
        <v>202101155968</v>
      </c>
      <c r="C815" s="28" t="s">
        <v>1149</v>
      </c>
      <c r="D815" s="28" t="s">
        <v>1150</v>
      </c>
      <c r="E815" s="28" t="s">
        <v>4885</v>
      </c>
      <c r="F815" s="28" t="s">
        <v>88</v>
      </c>
      <c r="G815" s="27" t="str">
        <f t="shared" si="26"/>
        <v>8902 BOLD FOREST DR  HARRIS CO</v>
      </c>
      <c r="H815" s="27" t="str">
        <f t="shared" si="27"/>
        <v>HOUSTON TX 77088</v>
      </c>
    </row>
    <row r="816" spans="1:8" x14ac:dyDescent="0.2">
      <c r="A816" s="27">
        <f>COUNTIFS(C:C,C816,D:D,D816)</f>
        <v>1</v>
      </c>
      <c r="B816" s="30">
        <v>202101155974</v>
      </c>
      <c r="C816" t="s">
        <v>3713</v>
      </c>
      <c r="D816" t="s">
        <v>3714</v>
      </c>
      <c r="E816" t="s">
        <v>4853</v>
      </c>
      <c r="F816" t="s">
        <v>88</v>
      </c>
      <c r="G816" s="27" t="str">
        <f t="shared" si="26"/>
        <v>12215 NORTHWWOD 122  HOUSTON</v>
      </c>
      <c r="H816" s="27" t="str">
        <f t="shared" si="27"/>
        <v>HOUSTON TX 77039</v>
      </c>
    </row>
    <row r="817" spans="1:8" x14ac:dyDescent="0.2">
      <c r="A817" s="27">
        <f>COUNTIFS(C:C,C817,D:D,D817)</f>
        <v>1</v>
      </c>
      <c r="B817" s="30">
        <v>202101155978</v>
      </c>
      <c r="C817" t="s">
        <v>3715</v>
      </c>
      <c r="D817" t="s">
        <v>3716</v>
      </c>
      <c r="E817" t="s">
        <v>4983</v>
      </c>
      <c r="F817" t="s">
        <v>88</v>
      </c>
      <c r="G817" s="27" t="str">
        <f t="shared" si="26"/>
        <v>735 DULLES AVE APT 501 STAFFORD</v>
      </c>
      <c r="H817" s="27" t="str">
        <f t="shared" si="27"/>
        <v>HOUSTON TX 77477</v>
      </c>
    </row>
    <row r="818" spans="1:8" x14ac:dyDescent="0.2">
      <c r="A818" s="27">
        <f>COUNTIFS(C:C,C818,D:D,D818)</f>
        <v>1</v>
      </c>
      <c r="B818" s="30">
        <v>202101155983</v>
      </c>
      <c r="C818" t="s">
        <v>2848</v>
      </c>
      <c r="D818" t="s">
        <v>2849</v>
      </c>
      <c r="E818" t="s">
        <v>4933</v>
      </c>
      <c r="F818" t="s">
        <v>88</v>
      </c>
      <c r="G818" s="27" t="str">
        <f t="shared" si="26"/>
        <v>8520 PITNER RD APT 8 03 HOUSTON</v>
      </c>
      <c r="H818" s="27" t="str">
        <f t="shared" si="27"/>
        <v>HOUSTON TX 77080</v>
      </c>
    </row>
    <row r="819" spans="1:8" x14ac:dyDescent="0.2">
      <c r="A819" s="27">
        <f>COUNTIFS(C:C,C819,D:D,D819)</f>
        <v>1</v>
      </c>
      <c r="B819" s="30">
        <v>202101155990</v>
      </c>
      <c r="C819" t="s">
        <v>2426</v>
      </c>
      <c r="D819" t="s">
        <v>2427</v>
      </c>
      <c r="E819" t="s">
        <v>4862</v>
      </c>
      <c r="F819" t="s">
        <v>69</v>
      </c>
      <c r="G819" s="27" t="str">
        <f t="shared" si="26"/>
        <v>14539 GABLE MOUNTAIN CIR HOUSTON</v>
      </c>
      <c r="H819" s="27" t="str">
        <f t="shared" si="27"/>
        <v>HOUSTON TX 77090</v>
      </c>
    </row>
    <row r="820" spans="1:8" x14ac:dyDescent="0.2">
      <c r="A820" s="27">
        <f>COUNTIFS(C:C,C820,D:D,D820)</f>
        <v>1</v>
      </c>
      <c r="B820" s="30">
        <v>202101155992</v>
      </c>
      <c r="C820" t="s">
        <v>3717</v>
      </c>
      <c r="D820" t="s">
        <v>3718</v>
      </c>
      <c r="E820" t="s">
        <v>5212</v>
      </c>
      <c r="F820" t="s">
        <v>89</v>
      </c>
      <c r="G820" s="27" t="str">
        <f t="shared" si="26"/>
        <v>4102 YOUNG ST  PASADNA</v>
      </c>
      <c r="H820" s="27" t="str">
        <f t="shared" si="27"/>
        <v>HOUSTON TX 77504</v>
      </c>
    </row>
    <row r="821" spans="1:8" x14ac:dyDescent="0.2">
      <c r="A821" s="27">
        <f>COUNTIFS(C:C,C821,D:D,D821)</f>
        <v>1</v>
      </c>
      <c r="B821" s="30">
        <v>202101155995</v>
      </c>
      <c r="C821" s="28" t="s">
        <v>1213</v>
      </c>
      <c r="D821" s="28" t="s">
        <v>1214</v>
      </c>
      <c r="E821" s="28" t="s">
        <v>4943</v>
      </c>
      <c r="F821" s="28" t="s">
        <v>301</v>
      </c>
      <c r="G821" s="27" t="str">
        <f t="shared" si="26"/>
        <v>15203 NEWLY DR  HOUSTON</v>
      </c>
      <c r="H821" s="27" t="str">
        <f t="shared" si="27"/>
        <v>HOUSTON TX 77084</v>
      </c>
    </row>
    <row r="822" spans="1:8" x14ac:dyDescent="0.2">
      <c r="A822" s="27">
        <f>COUNTIFS(C:C,C822,D:D,D822)</f>
        <v>1</v>
      </c>
      <c r="B822" s="30">
        <v>202101155996</v>
      </c>
      <c r="C822" t="s">
        <v>2272</v>
      </c>
      <c r="D822" t="s">
        <v>2273</v>
      </c>
      <c r="E822" t="s">
        <v>4982</v>
      </c>
      <c r="F822" t="s">
        <v>91</v>
      </c>
      <c r="G822" s="27" t="str">
        <f t="shared" si="26"/>
        <v>11500 GREEN PLAZA DR 1405 HOUSTON</v>
      </c>
      <c r="H822" s="27" t="str">
        <f t="shared" si="27"/>
        <v>HOUSTON TX 77038</v>
      </c>
    </row>
    <row r="823" spans="1:8" x14ac:dyDescent="0.2">
      <c r="A823" s="27">
        <f>COUNTIFS(C:C,C823,D:D,D823)</f>
        <v>1</v>
      </c>
      <c r="B823" s="30">
        <v>202101155999</v>
      </c>
      <c r="C823" t="s">
        <v>2034</v>
      </c>
      <c r="D823" t="s">
        <v>2035</v>
      </c>
      <c r="E823" t="s">
        <v>4943</v>
      </c>
      <c r="F823" t="s">
        <v>88</v>
      </c>
      <c r="G823" s="27" t="str">
        <f t="shared" si="26"/>
        <v>15119 WEEPING CEDAR L N HOUSTON</v>
      </c>
      <c r="H823" s="27" t="str">
        <f t="shared" si="27"/>
        <v>HOUSTON TX 77084</v>
      </c>
    </row>
    <row r="824" spans="1:8" x14ac:dyDescent="0.2">
      <c r="A824" s="27">
        <f>COUNTIFS(C:C,C824,D:D,D824)</f>
        <v>1</v>
      </c>
      <c r="B824" s="30">
        <v>202101156002</v>
      </c>
      <c r="C824" t="s">
        <v>1973</v>
      </c>
      <c r="D824" t="s">
        <v>1974</v>
      </c>
      <c r="E824" t="s">
        <v>5003</v>
      </c>
      <c r="F824" t="s">
        <v>65</v>
      </c>
      <c r="G824" s="27" t="str">
        <f t="shared" si="26"/>
        <v>15230 BEECHNUT ST  FORT BEND</v>
      </c>
      <c r="H824" s="27" t="str">
        <f t="shared" si="27"/>
        <v>HOUSTON TX 77083</v>
      </c>
    </row>
    <row r="825" spans="1:8" x14ac:dyDescent="0.2">
      <c r="A825" s="27">
        <f>COUNTIFS(C:C,C825,D:D,D825)</f>
        <v>1</v>
      </c>
      <c r="B825" s="30">
        <v>202101156005</v>
      </c>
      <c r="C825" t="s">
        <v>3114</v>
      </c>
      <c r="D825" t="s">
        <v>3115</v>
      </c>
      <c r="E825" t="s">
        <v>4960</v>
      </c>
      <c r="F825" t="s">
        <v>53</v>
      </c>
      <c r="G825" s="27" t="str">
        <f t="shared" si="26"/>
        <v>535 SEMINAR DRIVE A PT 264 HOUSTON</v>
      </c>
      <c r="H825" s="27" t="str">
        <f t="shared" si="27"/>
        <v>HOUSTON TX 77060</v>
      </c>
    </row>
    <row r="826" spans="1:8" x14ac:dyDescent="0.2">
      <c r="A826" s="27">
        <f>COUNTIFS(C:C,C826,D:D,D826)</f>
        <v>1</v>
      </c>
      <c r="B826" s="30">
        <v>202101156007</v>
      </c>
      <c r="C826" t="s">
        <v>2851</v>
      </c>
      <c r="D826" t="s">
        <v>2852</v>
      </c>
      <c r="E826" t="s">
        <v>4869</v>
      </c>
      <c r="F826" t="s">
        <v>92</v>
      </c>
      <c r="G826" s="27" t="str">
        <f t="shared" si="26"/>
        <v>4411 OLD YALE ST  HOUSTON</v>
      </c>
      <c r="H826" s="27" t="str">
        <f t="shared" si="27"/>
        <v>HOUSTON TX 77018</v>
      </c>
    </row>
    <row r="827" spans="1:8" x14ac:dyDescent="0.2">
      <c r="A827" s="27">
        <f>COUNTIFS(C:C,C827,D:D,D827)</f>
        <v>1</v>
      </c>
      <c r="B827" s="30">
        <v>202101156009</v>
      </c>
      <c r="C827" s="28" t="s">
        <v>1380</v>
      </c>
      <c r="D827" s="28" t="s">
        <v>1381</v>
      </c>
      <c r="E827" s="28" t="s">
        <v>4873</v>
      </c>
      <c r="F827" s="28" t="s">
        <v>7889</v>
      </c>
      <c r="G827" s="27" t="str">
        <f t="shared" si="26"/>
        <v>9507 PINELAND RD  HOUSTON</v>
      </c>
      <c r="H827" s="27" t="str">
        <f t="shared" si="27"/>
        <v>HOUSTON TX 77044</v>
      </c>
    </row>
    <row r="828" spans="1:8" x14ac:dyDescent="0.2">
      <c r="A828" s="27">
        <f>COUNTIFS(C:C,C828,D:D,D828)</f>
        <v>1</v>
      </c>
      <c r="B828" s="30">
        <v>202101156010</v>
      </c>
      <c r="C828" t="s">
        <v>3722</v>
      </c>
      <c r="D828" t="s">
        <v>3723</v>
      </c>
      <c r="E828" t="s">
        <v>5143</v>
      </c>
      <c r="F828" t="s">
        <v>94</v>
      </c>
      <c r="G828" s="27" t="str">
        <f t="shared" si="26"/>
        <v>3262 WESTHEIMER  HOUSTON</v>
      </c>
      <c r="H828" s="27" t="str">
        <f t="shared" si="27"/>
        <v>HOUSTON TX 77098</v>
      </c>
    </row>
    <row r="829" spans="1:8" x14ac:dyDescent="0.2">
      <c r="A829" s="27">
        <f>COUNTIFS(C:C,C829,D:D,D829)</f>
        <v>1</v>
      </c>
      <c r="B829" s="30">
        <v>202101156011</v>
      </c>
      <c r="C829" s="28" t="s">
        <v>1464</v>
      </c>
      <c r="D829" s="28" t="s">
        <v>1465</v>
      </c>
      <c r="E829" s="28" t="s">
        <v>4935</v>
      </c>
      <c r="F829" s="28" t="s">
        <v>297</v>
      </c>
      <c r="G829" s="27" t="str">
        <f t="shared" si="26"/>
        <v>15614 MESA RD  HUMBLE</v>
      </c>
      <c r="H829" s="27" t="str">
        <f t="shared" si="27"/>
        <v>HOUSTON TX 77396</v>
      </c>
    </row>
    <row r="830" spans="1:8" x14ac:dyDescent="0.2">
      <c r="A830" s="27">
        <f>COUNTIFS(C:C,C830,D:D,D830)</f>
        <v>1</v>
      </c>
      <c r="B830" s="30">
        <v>202101156013</v>
      </c>
      <c r="C830" t="s">
        <v>2448</v>
      </c>
      <c r="D830" t="s">
        <v>2449</v>
      </c>
      <c r="E830" t="s">
        <v>4876</v>
      </c>
      <c r="F830" t="s">
        <v>67</v>
      </c>
      <c r="G830" s="27" t="str">
        <f t="shared" si="26"/>
        <v>12802 PEGGYS LN  HOUSTON</v>
      </c>
      <c r="H830" s="27" t="str">
        <f t="shared" si="27"/>
        <v>HOUSTON TX 77015</v>
      </c>
    </row>
    <row r="831" spans="1:8" x14ac:dyDescent="0.2">
      <c r="A831" s="27">
        <f>COUNTIFS(C:C,C831,D:D,D831)</f>
        <v>1</v>
      </c>
      <c r="B831" s="30">
        <v>202101156016</v>
      </c>
      <c r="C831" t="s">
        <v>3073</v>
      </c>
      <c r="D831" t="s">
        <v>3074</v>
      </c>
      <c r="E831" t="s">
        <v>4934</v>
      </c>
      <c r="F831" t="s">
        <v>53</v>
      </c>
      <c r="G831" s="27" t="str">
        <f t="shared" si="26"/>
        <v>8 1/2 LATHAM ST  HOUSTON</v>
      </c>
      <c r="H831" s="27" t="str">
        <f t="shared" si="27"/>
        <v>HOUSTON TX 77011</v>
      </c>
    </row>
    <row r="832" spans="1:8" x14ac:dyDescent="0.2">
      <c r="A832" s="27">
        <f>COUNTIFS(C:C,C832,D:D,D832)</f>
        <v>1</v>
      </c>
      <c r="B832" s="30">
        <v>202101156019</v>
      </c>
      <c r="C832" s="28" t="s">
        <v>1472</v>
      </c>
      <c r="D832" s="28" t="s">
        <v>1473</v>
      </c>
      <c r="E832" s="28" t="s">
        <v>4879</v>
      </c>
      <c r="F832" s="28" t="s">
        <v>88</v>
      </c>
      <c r="G832" s="27" t="str">
        <f t="shared" si="26"/>
        <v>6217 NUBEN ST  HOUSTON</v>
      </c>
      <c r="H832" s="27" t="str">
        <f t="shared" si="27"/>
        <v>HOUSTON TX 77091</v>
      </c>
    </row>
    <row r="833" spans="1:8" x14ac:dyDescent="0.2">
      <c r="A833" s="27">
        <f>COUNTIFS(C:C,C833,D:D,D833)</f>
        <v>1</v>
      </c>
      <c r="B833" s="30">
        <v>202101156020</v>
      </c>
      <c r="C833" t="s">
        <v>3724</v>
      </c>
      <c r="D833" t="s">
        <v>3725</v>
      </c>
      <c r="E833" t="s">
        <v>4987</v>
      </c>
      <c r="F833" t="s">
        <v>88</v>
      </c>
      <c r="G833" s="27" t="str">
        <f t="shared" si="26"/>
        <v>9616 LONG POINT RD 8 1 HOUSTON</v>
      </c>
      <c r="H833" s="27" t="str">
        <f t="shared" si="27"/>
        <v>HOUSTON TX 77055</v>
      </c>
    </row>
    <row r="834" spans="1:8" x14ac:dyDescent="0.2">
      <c r="A834" s="27">
        <f>COUNTIFS(C:C,C834,D:D,D834)</f>
        <v>1</v>
      </c>
      <c r="B834" s="30">
        <v>202101156025</v>
      </c>
      <c r="C834" s="28" t="s">
        <v>670</v>
      </c>
      <c r="D834" s="28" t="s">
        <v>671</v>
      </c>
      <c r="E834" s="28" t="s">
        <v>4933</v>
      </c>
      <c r="F834" s="28" t="s">
        <v>163</v>
      </c>
      <c r="G834" s="27" t="str">
        <f t="shared" si="26"/>
        <v>3206 LAVERNE ST  HOUSTON</v>
      </c>
      <c r="H834" s="27" t="str">
        <f t="shared" si="27"/>
        <v>HOUSTON TX 77080</v>
      </c>
    </row>
    <row r="835" spans="1:8" x14ac:dyDescent="0.2">
      <c r="A835" s="27">
        <f>COUNTIFS(C:C,C835,D:D,D835)</f>
        <v>1</v>
      </c>
      <c r="B835" s="30">
        <v>202101156029</v>
      </c>
      <c r="C835" t="s">
        <v>3384</v>
      </c>
      <c r="D835" t="s">
        <v>3385</v>
      </c>
      <c r="E835" t="s">
        <v>4914</v>
      </c>
      <c r="F835" t="s">
        <v>98</v>
      </c>
      <c r="G835" s="27" t="str">
        <f t="shared" si="26"/>
        <v>2255 ELDRIDGE STREET  HOUSTON</v>
      </c>
      <c r="H835" s="27" t="str">
        <f t="shared" si="27"/>
        <v>HOUSTON TX 77077</v>
      </c>
    </row>
    <row r="836" spans="1:8" x14ac:dyDescent="0.2">
      <c r="A836" s="27">
        <f>COUNTIFS(C:C,C836,D:D,D836)</f>
        <v>1</v>
      </c>
      <c r="B836" s="30">
        <v>202101156031</v>
      </c>
      <c r="C836" t="s">
        <v>3726</v>
      </c>
      <c r="D836" t="s">
        <v>3727</v>
      </c>
      <c r="E836" t="s">
        <v>4915</v>
      </c>
      <c r="F836" t="s">
        <v>88</v>
      </c>
      <c r="G836" s="27" t="str">
        <f t="shared" si="26"/>
        <v>8915 GLENHURST 6524  HOUSTON</v>
      </c>
      <c r="H836" s="27" t="str">
        <f t="shared" si="27"/>
        <v>HOUSTON TX 77021</v>
      </c>
    </row>
    <row r="837" spans="1:8" x14ac:dyDescent="0.2">
      <c r="A837" s="27">
        <f>COUNTIFS(C:C,C837,D:D,D837)</f>
        <v>1</v>
      </c>
      <c r="B837" s="30">
        <v>202101156034</v>
      </c>
      <c r="C837" t="s">
        <v>2763</v>
      </c>
      <c r="D837" t="s">
        <v>2764</v>
      </c>
      <c r="E837" t="s">
        <v>4889</v>
      </c>
      <c r="F837" t="s">
        <v>64</v>
      </c>
      <c r="G837" s="27" t="str">
        <f t="shared" si="26"/>
        <v>12247 AURONIA DR  HOUSTON</v>
      </c>
      <c r="H837" s="27" t="str">
        <f t="shared" si="27"/>
        <v>HOUSTON TX 77067</v>
      </c>
    </row>
    <row r="838" spans="1:8" x14ac:dyDescent="0.2">
      <c r="A838" s="27">
        <f>COUNTIFS(C:C,C838,D:D,D838)</f>
        <v>1</v>
      </c>
      <c r="B838" s="30">
        <v>202101156035</v>
      </c>
      <c r="C838" t="s">
        <v>3177</v>
      </c>
      <c r="D838" t="s">
        <v>3178</v>
      </c>
      <c r="E838" t="s">
        <v>4949</v>
      </c>
      <c r="F838" t="s">
        <v>363</v>
      </c>
      <c r="G838" s="27" t="str">
        <f t="shared" si="26"/>
        <v>6464 E SAM HOUSTON P KWY N HOUSTON</v>
      </c>
      <c r="H838" s="27" t="str">
        <f t="shared" si="27"/>
        <v>HOUSTON TX 77049</v>
      </c>
    </row>
    <row r="839" spans="1:8" x14ac:dyDescent="0.2">
      <c r="A839" s="27">
        <f>COUNTIFS(C:C,C839,D:D,D839)</f>
        <v>1</v>
      </c>
      <c r="B839" s="30">
        <v>202101156037</v>
      </c>
      <c r="C839" s="28" t="s">
        <v>724</v>
      </c>
      <c r="D839" s="28" t="s">
        <v>725</v>
      </c>
      <c r="E839" s="28" t="s">
        <v>4943</v>
      </c>
      <c r="F839" s="28" t="s">
        <v>78</v>
      </c>
      <c r="G839" s="27" t="str">
        <f t="shared" si="26"/>
        <v>1350 BROADFIELD BLVD  HOUSTON</v>
      </c>
      <c r="H839" s="27" t="str">
        <f t="shared" si="27"/>
        <v>HOUSTON TX 77084</v>
      </c>
    </row>
    <row r="840" spans="1:8" x14ac:dyDescent="0.2">
      <c r="A840" s="27">
        <f>COUNTIFS(C:C,C840,D:D,D840)</f>
        <v>1</v>
      </c>
      <c r="B840" s="30">
        <v>202101156042</v>
      </c>
      <c r="C840" t="s">
        <v>2386</v>
      </c>
      <c r="D840" t="s">
        <v>2387</v>
      </c>
      <c r="E840" t="s">
        <v>4861</v>
      </c>
      <c r="F840" t="s">
        <v>53</v>
      </c>
      <c r="G840" s="27" t="str">
        <f t="shared" si="26"/>
        <v>7002 CENTRE GROVE  HOUSTON</v>
      </c>
      <c r="H840" s="27" t="str">
        <f t="shared" si="27"/>
        <v>HOUSTON TX 77051</v>
      </c>
    </row>
    <row r="841" spans="1:8" x14ac:dyDescent="0.2">
      <c r="A841" s="27">
        <f>COUNTIFS(C:C,C841,D:D,D841)</f>
        <v>1</v>
      </c>
      <c r="B841" s="30">
        <v>202101156043</v>
      </c>
      <c r="C841" t="s">
        <v>3258</v>
      </c>
      <c r="D841" t="s">
        <v>3259</v>
      </c>
      <c r="E841" t="s">
        <v>5174</v>
      </c>
      <c r="F841" t="s">
        <v>56</v>
      </c>
      <c r="G841" s="27" t="str">
        <f t="shared" si="26"/>
        <v>3 JESTER ROAD  RICHMOND</v>
      </c>
      <c r="H841" s="27" t="str">
        <f t="shared" si="27"/>
        <v>HOUSTON TX 77406</v>
      </c>
    </row>
    <row r="842" spans="1:8" x14ac:dyDescent="0.2">
      <c r="A842" s="27">
        <f>COUNTIFS(C:C,C842,D:D,D842)</f>
        <v>1</v>
      </c>
      <c r="B842" s="30">
        <v>202101156045</v>
      </c>
      <c r="C842" t="s">
        <v>2270</v>
      </c>
      <c r="D842" t="s">
        <v>2271</v>
      </c>
      <c r="E842" t="s">
        <v>4862</v>
      </c>
      <c r="F842" t="s">
        <v>98</v>
      </c>
      <c r="G842" s="27" t="str">
        <f t="shared" si="26"/>
        <v>18200 WESTFIELD PLACE  HOUSTON</v>
      </c>
      <c r="H842" s="27" t="str">
        <f t="shared" si="27"/>
        <v>HOUSTON TX 77090</v>
      </c>
    </row>
    <row r="843" spans="1:8" x14ac:dyDescent="0.2">
      <c r="A843" s="27">
        <f>COUNTIFS(C:C,C843,D:D,D843)</f>
        <v>1</v>
      </c>
      <c r="B843" s="30">
        <v>202101156046</v>
      </c>
      <c r="C843" s="28" t="s">
        <v>601</v>
      </c>
      <c r="D843" s="28" t="s">
        <v>602</v>
      </c>
      <c r="E843" s="28" t="s">
        <v>4852</v>
      </c>
      <c r="F843" s="28" t="s">
        <v>51</v>
      </c>
      <c r="G843" s="27" t="str">
        <f t="shared" si="26"/>
        <v>7425 RHOBELL ST  HOUSTON</v>
      </c>
      <c r="H843" s="27" t="str">
        <f t="shared" si="27"/>
        <v>HOUSTON TX 77016</v>
      </c>
    </row>
    <row r="844" spans="1:8" x14ac:dyDescent="0.2">
      <c r="A844" s="27">
        <f>COUNTIFS(C:C,C844,D:D,D844)</f>
        <v>1</v>
      </c>
      <c r="B844" s="30">
        <v>202101156050</v>
      </c>
      <c r="C844" t="s">
        <v>2538</v>
      </c>
      <c r="D844" t="s">
        <v>2539</v>
      </c>
      <c r="E844" t="s">
        <v>4964</v>
      </c>
      <c r="F844" t="s">
        <v>96</v>
      </c>
      <c r="G844" s="27" t="str">
        <f t="shared" si="26"/>
        <v>803 HOLLAND AVE  GALENA PAR</v>
      </c>
      <c r="H844" s="27" t="str">
        <f t="shared" si="27"/>
        <v>HOUSTON TX 77547</v>
      </c>
    </row>
    <row r="845" spans="1:8" x14ac:dyDescent="0.2">
      <c r="A845" s="27">
        <f>COUNTIFS(C:C,C845,D:D,D845)</f>
        <v>1</v>
      </c>
      <c r="B845" s="30">
        <v>202101156056</v>
      </c>
      <c r="C845" s="28" t="s">
        <v>726</v>
      </c>
      <c r="D845" s="28" t="s">
        <v>727</v>
      </c>
      <c r="E845" s="28" t="s">
        <v>4895</v>
      </c>
      <c r="F845" s="28" t="s">
        <v>57</v>
      </c>
      <c r="G845" s="27" t="str">
        <f t="shared" si="26"/>
        <v>1719 GRAY ST  HOUSTON</v>
      </c>
      <c r="H845" s="27" t="str">
        <f t="shared" si="27"/>
        <v>HOUSTON TX 77003</v>
      </c>
    </row>
    <row r="846" spans="1:8" x14ac:dyDescent="0.2">
      <c r="A846" s="27">
        <f>COUNTIFS(C:C,C846,D:D,D846)</f>
        <v>1</v>
      </c>
      <c r="B846" s="30">
        <v>202101156062</v>
      </c>
      <c r="C846" s="28" t="s">
        <v>1287</v>
      </c>
      <c r="D846" s="28" t="s">
        <v>1288</v>
      </c>
      <c r="E846" s="28" t="s">
        <v>4878</v>
      </c>
      <c r="F846" s="28" t="s">
        <v>57</v>
      </c>
      <c r="G846" s="27" t="str">
        <f t="shared" si="26"/>
        <v>5402 GREYLOG  HOUSTON</v>
      </c>
      <c r="H846" s="27" t="str">
        <f t="shared" si="27"/>
        <v>HOUSTON TX 77048</v>
      </c>
    </row>
    <row r="847" spans="1:8" x14ac:dyDescent="0.2">
      <c r="A847" s="27">
        <f>COUNTIFS(C:C,C847,D:D,D847)</f>
        <v>1</v>
      </c>
      <c r="B847" s="30">
        <v>202101156066</v>
      </c>
      <c r="C847" s="28" t="s">
        <v>1384</v>
      </c>
      <c r="D847" s="28" t="s">
        <v>1385</v>
      </c>
      <c r="E847" s="28" t="s">
        <v>4935</v>
      </c>
      <c r="F847" s="28" t="s">
        <v>65</v>
      </c>
      <c r="G847" s="27" t="str">
        <f t="shared" si="26"/>
        <v>2350 ATASCOCITA RD  HUMBLE</v>
      </c>
      <c r="H847" s="27" t="str">
        <f t="shared" si="27"/>
        <v>HOUSTON TX 77396</v>
      </c>
    </row>
    <row r="848" spans="1:8" x14ac:dyDescent="0.2">
      <c r="A848" s="27">
        <f>COUNTIFS(C:C,C848,D:D,D848)</f>
        <v>1</v>
      </c>
      <c r="B848" s="30">
        <v>202101156072</v>
      </c>
      <c r="C848" t="s">
        <v>1948</v>
      </c>
      <c r="D848" t="s">
        <v>1949</v>
      </c>
      <c r="E848" t="s">
        <v>4891</v>
      </c>
      <c r="F848" t="s">
        <v>59</v>
      </c>
      <c r="G848" s="27" t="str">
        <f t="shared" si="26"/>
        <v>1919 BARNSLEY LN  HOUSTON</v>
      </c>
      <c r="H848" s="27" t="str">
        <f t="shared" si="27"/>
        <v>HOUSTON TX 77088</v>
      </c>
    </row>
    <row r="849" spans="1:8" x14ac:dyDescent="0.2">
      <c r="A849" s="27">
        <f>COUNTIFS(C:C,C849,D:D,D849)</f>
        <v>1</v>
      </c>
      <c r="B849" s="30">
        <v>202101156074</v>
      </c>
      <c r="C849" t="s">
        <v>3208</v>
      </c>
      <c r="D849" t="s">
        <v>3209</v>
      </c>
      <c r="E849" t="s">
        <v>4889</v>
      </c>
      <c r="F849" t="s">
        <v>7890</v>
      </c>
      <c r="G849" s="27" t="str">
        <f t="shared" si="26"/>
        <v>2202 LACEWING LN  HOUSTON</v>
      </c>
      <c r="H849" s="27" t="str">
        <f t="shared" si="27"/>
        <v>HOUSTON TX 77067</v>
      </c>
    </row>
    <row r="850" spans="1:8" x14ac:dyDescent="0.2">
      <c r="A850" s="27">
        <f>COUNTIFS(C:C,C850,D:D,D850)</f>
        <v>1</v>
      </c>
      <c r="B850" s="30">
        <v>202101156075</v>
      </c>
      <c r="C850" s="28" t="s">
        <v>1350</v>
      </c>
      <c r="D850" s="28" t="s">
        <v>1351</v>
      </c>
      <c r="E850" s="28" t="s">
        <v>4997</v>
      </c>
      <c r="F850" s="28" t="s">
        <v>51</v>
      </c>
      <c r="G850" s="27" t="str">
        <f t="shared" si="26"/>
        <v>11455 BISSONET  HOUSTON</v>
      </c>
      <c r="H850" s="27" t="str">
        <f t="shared" si="27"/>
        <v>HOUSTON TX 77099</v>
      </c>
    </row>
    <row r="851" spans="1:8" x14ac:dyDescent="0.2">
      <c r="A851" s="27">
        <f>COUNTIFS(C:C,C851,D:D,D851)</f>
        <v>1</v>
      </c>
      <c r="B851" s="30">
        <v>202101156078</v>
      </c>
      <c r="C851" t="s">
        <v>3730</v>
      </c>
      <c r="D851" t="s">
        <v>2029</v>
      </c>
      <c r="E851" t="s">
        <v>4991</v>
      </c>
      <c r="F851" t="s">
        <v>322</v>
      </c>
      <c r="G851" s="27" t="str">
        <f t="shared" si="26"/>
        <v>10550 VALLEY FORGE DR  HOUSTON</v>
      </c>
      <c r="H851" s="27" t="str">
        <f t="shared" si="27"/>
        <v>HOUSTON TX 77042</v>
      </c>
    </row>
    <row r="852" spans="1:8" x14ac:dyDescent="0.2">
      <c r="A852" s="27">
        <f>COUNTIFS(C:C,C852,D:D,D852)</f>
        <v>1</v>
      </c>
      <c r="B852" s="30">
        <v>202101156080</v>
      </c>
      <c r="C852" s="28" t="s">
        <v>1884</v>
      </c>
      <c r="D852" s="28" t="s">
        <v>1885</v>
      </c>
      <c r="E852" s="28" t="s">
        <v>4874</v>
      </c>
      <c r="F852" s="28" t="s">
        <v>98</v>
      </c>
      <c r="G852" s="27" t="str">
        <f t="shared" si="26"/>
        <v>5806 SOUTHSEAS  HOUSTON</v>
      </c>
      <c r="H852" s="27" t="str">
        <f t="shared" si="27"/>
        <v>HOUSTON TX 77033</v>
      </c>
    </row>
    <row r="853" spans="1:8" x14ac:dyDescent="0.2">
      <c r="A853" s="27">
        <f>COUNTIFS(C:C,C853,D:D,D853)</f>
        <v>1</v>
      </c>
      <c r="B853" s="30">
        <v>202101156081</v>
      </c>
      <c r="C853" t="s">
        <v>2193</v>
      </c>
      <c r="D853" t="s">
        <v>2194</v>
      </c>
      <c r="E853" t="s">
        <v>4854</v>
      </c>
      <c r="F853" t="s">
        <v>67</v>
      </c>
      <c r="G853" s="27" t="str">
        <f t="shared" si="26"/>
        <v>3003 RALSTON  HOUSTON</v>
      </c>
      <c r="H853" s="27" t="str">
        <f t="shared" si="27"/>
        <v>HOUSTON TX 77026</v>
      </c>
    </row>
    <row r="854" spans="1:8" x14ac:dyDescent="0.2">
      <c r="A854" s="27">
        <f>COUNTIFS(C:C,C854,D:D,D854)</f>
        <v>1</v>
      </c>
      <c r="B854" s="30">
        <v>202101156082</v>
      </c>
      <c r="C854" t="s">
        <v>2089</v>
      </c>
      <c r="D854" t="s">
        <v>2090</v>
      </c>
      <c r="E854" t="s">
        <v>4939</v>
      </c>
      <c r="F854" t="s">
        <v>98</v>
      </c>
      <c r="G854" s="27" t="str">
        <f t="shared" si="26"/>
        <v>7507  ROARING SPRING S DR HOUSTON</v>
      </c>
      <c r="H854" s="27" t="str">
        <f t="shared" si="27"/>
        <v>HOUSTON TX 77064</v>
      </c>
    </row>
    <row r="855" spans="1:8" x14ac:dyDescent="0.2">
      <c r="A855" s="27">
        <f>COUNTIFS(C:C,C855,D:D,D855)</f>
        <v>1</v>
      </c>
      <c r="B855" s="30">
        <v>202101156084</v>
      </c>
      <c r="C855" t="s">
        <v>3361</v>
      </c>
      <c r="D855" t="s">
        <v>2828</v>
      </c>
      <c r="E855" t="s">
        <v>4889</v>
      </c>
      <c r="F855" t="s">
        <v>78</v>
      </c>
      <c r="G855" s="27" t="str">
        <f t="shared" si="26"/>
        <v>7211 NORTHLINE DR  HOUSTON</v>
      </c>
      <c r="H855" s="27" t="str">
        <f t="shared" si="27"/>
        <v>HOUSTON TX 77067</v>
      </c>
    </row>
    <row r="856" spans="1:8" x14ac:dyDescent="0.2">
      <c r="A856" s="27">
        <f>COUNTIFS(C:C,C856,D:D,D856)</f>
        <v>1</v>
      </c>
      <c r="B856" s="30">
        <v>202101156087</v>
      </c>
      <c r="C856" s="28" t="s">
        <v>434</v>
      </c>
      <c r="D856" s="28" t="s">
        <v>435</v>
      </c>
      <c r="E856" s="28" t="s">
        <v>4864</v>
      </c>
      <c r="F856" s="28" t="s">
        <v>64</v>
      </c>
      <c r="G856" s="27" t="str">
        <f t="shared" si="26"/>
        <v>1809 HAILEY STREET  HOUSTON</v>
      </c>
      <c r="H856" s="27" t="str">
        <f t="shared" si="27"/>
        <v>HOUSTON TX 77020</v>
      </c>
    </row>
    <row r="857" spans="1:8" x14ac:dyDescent="0.2">
      <c r="A857" s="27">
        <f>COUNTIFS(C:C,C857,D:D,D857)</f>
        <v>1</v>
      </c>
      <c r="B857" s="30">
        <v>202101156088</v>
      </c>
      <c r="C857" t="s">
        <v>2584</v>
      </c>
      <c r="D857" t="s">
        <v>2585</v>
      </c>
      <c r="E857" t="s">
        <v>4886</v>
      </c>
      <c r="F857" t="s">
        <v>78</v>
      </c>
      <c r="G857" s="27" t="str">
        <f t="shared" si="26"/>
        <v>12500 DUNLAP ST  HOUSTON</v>
      </c>
      <c r="H857" s="27" t="str">
        <f t="shared" si="27"/>
        <v>HOUSTON TX 77035</v>
      </c>
    </row>
    <row r="858" spans="1:8" x14ac:dyDescent="0.2">
      <c r="A858" s="27">
        <f>COUNTIFS(C:C,C858,D:D,D858)</f>
        <v>1</v>
      </c>
      <c r="B858" s="30">
        <v>202101156090</v>
      </c>
      <c r="C858" s="28" t="s">
        <v>458</v>
      </c>
      <c r="D858" s="28" t="s">
        <v>459</v>
      </c>
      <c r="E858" s="28" t="s">
        <v>4875</v>
      </c>
      <c r="F858" s="28" t="s">
        <v>51</v>
      </c>
      <c r="G858" s="27" t="str">
        <f t="shared" si="26"/>
        <v>10525 EASTEX FWY IB  HOUSTON</v>
      </c>
      <c r="H858" s="27" t="str">
        <f t="shared" si="27"/>
        <v>HOUSTON TX 77093</v>
      </c>
    </row>
    <row r="859" spans="1:8" x14ac:dyDescent="0.2">
      <c r="A859" s="27">
        <f>COUNTIFS(C:C,C859,D:D,D859)</f>
        <v>1</v>
      </c>
      <c r="B859" s="30">
        <v>202101156092</v>
      </c>
      <c r="C859" t="s">
        <v>3731</v>
      </c>
      <c r="D859" t="s">
        <v>3732</v>
      </c>
      <c r="E859" t="s">
        <v>5213</v>
      </c>
      <c r="F859" t="s">
        <v>78</v>
      </c>
      <c r="G859" s="27" t="str">
        <f t="shared" si="26"/>
        <v>6607 PRINO RD  HITCHCOCK</v>
      </c>
      <c r="H859" s="27" t="str">
        <f t="shared" si="27"/>
        <v>HOUSTON TX 77563</v>
      </c>
    </row>
    <row r="860" spans="1:8" x14ac:dyDescent="0.2">
      <c r="A860" s="27">
        <f>COUNTIFS(C:C,C860,D:D,D860)</f>
        <v>1</v>
      </c>
      <c r="B860" s="30">
        <v>202101156093</v>
      </c>
      <c r="C860" t="s">
        <v>3418</v>
      </c>
      <c r="D860" t="s">
        <v>3419</v>
      </c>
      <c r="E860" t="s">
        <v>4901</v>
      </c>
      <c r="F860" t="s">
        <v>53</v>
      </c>
      <c r="G860" s="27" t="str">
        <f t="shared" si="26"/>
        <v>8323 CINNAMON LN  HOUSTON</v>
      </c>
      <c r="H860" s="27" t="str">
        <f t="shared" si="27"/>
        <v>HOUSTON TX 77072</v>
      </c>
    </row>
    <row r="861" spans="1:8" x14ac:dyDescent="0.2">
      <c r="A861" s="27">
        <f>COUNTIFS(C:C,C861,D:D,D861)</f>
        <v>1</v>
      </c>
      <c r="B861" s="30">
        <v>202101156097</v>
      </c>
      <c r="C861" t="s">
        <v>3733</v>
      </c>
      <c r="D861" t="s">
        <v>3734</v>
      </c>
      <c r="E861" t="s">
        <v>4873</v>
      </c>
      <c r="F861" t="s">
        <v>53</v>
      </c>
      <c r="G861" s="27" t="str">
        <f t="shared" si="26"/>
        <v>15930 DUNMAN  HOUSTON</v>
      </c>
      <c r="H861" s="27" t="str">
        <f t="shared" si="27"/>
        <v>HOUSTON TX 77044</v>
      </c>
    </row>
    <row r="862" spans="1:8" x14ac:dyDescent="0.2">
      <c r="A862" s="27">
        <f>COUNTIFS(C:C,C862,D:D,D862)</f>
        <v>1</v>
      </c>
      <c r="B862" s="30">
        <v>202101156098</v>
      </c>
      <c r="C862" t="s">
        <v>3735</v>
      </c>
      <c r="D862" t="s">
        <v>3736</v>
      </c>
      <c r="E862" t="s">
        <v>4914</v>
      </c>
      <c r="F862" t="s">
        <v>56</v>
      </c>
      <c r="G862" s="27" t="str">
        <f t="shared" si="26"/>
        <v>2150 BENTWORTH DR 22 5 HOUSTON</v>
      </c>
      <c r="H862" s="27" t="str">
        <f t="shared" si="27"/>
        <v>HOUSTON TX 77077</v>
      </c>
    </row>
    <row r="863" spans="1:8" x14ac:dyDescent="0.2">
      <c r="A863" s="27">
        <f>COUNTIFS(C:C,C863,D:D,D863)</f>
        <v>1</v>
      </c>
      <c r="B863" s="30">
        <v>202101156102</v>
      </c>
      <c r="C863" t="s">
        <v>3741</v>
      </c>
      <c r="D863" t="s">
        <v>3742</v>
      </c>
      <c r="E863" t="s">
        <v>5215</v>
      </c>
      <c r="F863" t="s">
        <v>79</v>
      </c>
      <c r="G863" s="27" t="e">
        <f t="shared" si="26"/>
        <v>#VALUE!</v>
      </c>
      <c r="H863" s="27" t="e">
        <f t="shared" si="27"/>
        <v>#VALUE!</v>
      </c>
    </row>
    <row r="864" spans="1:8" x14ac:dyDescent="0.2">
      <c r="A864" s="27">
        <f>COUNTIFS(C:C,C864,D:D,D864)</f>
        <v>1</v>
      </c>
      <c r="B864" s="30">
        <v>202101156105</v>
      </c>
      <c r="C864" t="s">
        <v>2171</v>
      </c>
      <c r="D864" t="s">
        <v>2172</v>
      </c>
      <c r="E864" t="s">
        <v>4905</v>
      </c>
      <c r="F864" t="s">
        <v>78</v>
      </c>
      <c r="G864" s="27" t="str">
        <f t="shared" si="26"/>
        <v>3603 TRUXTON DR  PASADENA</v>
      </c>
      <c r="H864" s="27" t="str">
        <f t="shared" si="27"/>
        <v>HOUSTON TX 77503</v>
      </c>
    </row>
    <row r="865" spans="1:8" x14ac:dyDescent="0.2">
      <c r="A865" s="27">
        <f>COUNTIFS(C:C,C865,D:D,D865)</f>
        <v>1</v>
      </c>
      <c r="B865" s="30">
        <v>202101156108</v>
      </c>
      <c r="C865" t="s">
        <v>3747</v>
      </c>
      <c r="D865" t="s">
        <v>3748</v>
      </c>
      <c r="E865" t="s">
        <v>4967</v>
      </c>
      <c r="F865" t="s">
        <v>281</v>
      </c>
      <c r="G865" s="27" t="str">
        <f t="shared" si="26"/>
        <v>7215 WOODSMAN TRL  HOUSTON</v>
      </c>
      <c r="H865" s="27" t="str">
        <f t="shared" si="27"/>
        <v>HOUSTON TX 77040</v>
      </c>
    </row>
    <row r="866" spans="1:8" x14ac:dyDescent="0.2">
      <c r="A866" s="27">
        <f>COUNTIFS(C:C,C866,D:D,D866)</f>
        <v>1</v>
      </c>
      <c r="B866" s="30">
        <v>202101156112</v>
      </c>
      <c r="C866" s="28" t="s">
        <v>1103</v>
      </c>
      <c r="D866" s="28" t="s">
        <v>1104</v>
      </c>
      <c r="E866" s="28" t="s">
        <v>4943</v>
      </c>
      <c r="F866" s="28" t="s">
        <v>88</v>
      </c>
      <c r="G866" s="27" t="str">
        <f t="shared" si="26"/>
        <v>5379 TIMBER CREEK PL ACE DR HOUSTON</v>
      </c>
      <c r="H866" s="27" t="str">
        <f t="shared" si="27"/>
        <v>HOUSTON TX 77084</v>
      </c>
    </row>
    <row r="867" spans="1:8" x14ac:dyDescent="0.2">
      <c r="A867" s="27">
        <f>COUNTIFS(C:C,C867,D:D,D867)</f>
        <v>1</v>
      </c>
      <c r="B867" s="30">
        <v>202101156117</v>
      </c>
      <c r="C867" t="s">
        <v>3749</v>
      </c>
      <c r="D867" t="s">
        <v>3750</v>
      </c>
      <c r="E867" t="s">
        <v>4952</v>
      </c>
      <c r="F867" t="s">
        <v>53</v>
      </c>
      <c r="G867" s="27" t="str">
        <f t="shared" si="26"/>
        <v>2615 LANCASTER  PASADENA</v>
      </c>
      <c r="H867" s="27" t="str">
        <f t="shared" si="27"/>
        <v>HOUSTON TX 77506</v>
      </c>
    </row>
    <row r="868" spans="1:8" x14ac:dyDescent="0.2">
      <c r="A868" s="27">
        <f>COUNTIFS(C:C,C868,D:D,D868)</f>
        <v>1</v>
      </c>
      <c r="B868" s="30">
        <v>202101156118</v>
      </c>
      <c r="C868" t="s">
        <v>2879</v>
      </c>
      <c r="D868" t="s">
        <v>2880</v>
      </c>
      <c r="E868" t="s">
        <v>4880</v>
      </c>
      <c r="F868" t="s">
        <v>53</v>
      </c>
      <c r="G868" s="27" t="str">
        <f t="shared" si="26"/>
        <v>3306 BINZ ST  HOUSTON</v>
      </c>
      <c r="H868" s="27" t="str">
        <f t="shared" si="27"/>
        <v>HOUSTON TX 77004</v>
      </c>
    </row>
    <row r="869" spans="1:8" x14ac:dyDescent="0.2">
      <c r="A869" s="27">
        <f>COUNTIFS(C:C,C869,D:D,D869)</f>
        <v>1</v>
      </c>
      <c r="B869" s="30">
        <v>202101156119</v>
      </c>
      <c r="C869" s="28" t="s">
        <v>623</v>
      </c>
      <c r="D869" s="28" t="s">
        <v>624</v>
      </c>
      <c r="E869" s="28" t="s">
        <v>4925</v>
      </c>
      <c r="F869" s="28" t="s">
        <v>4768</v>
      </c>
      <c r="G869" s="27" t="str">
        <f t="shared" si="26"/>
        <v>3201 FM 929  GATESVILLE</v>
      </c>
      <c r="H869" s="27" t="str">
        <f t="shared" si="27"/>
        <v>HOUSTON TX 76597</v>
      </c>
    </row>
    <row r="870" spans="1:8" x14ac:dyDescent="0.2">
      <c r="A870" s="27">
        <f>COUNTIFS(C:C,C870,D:D,D870)</f>
        <v>1</v>
      </c>
      <c r="B870" s="30">
        <v>202101156120</v>
      </c>
      <c r="C870" t="s">
        <v>3400</v>
      </c>
      <c r="D870" t="s">
        <v>3401</v>
      </c>
      <c r="E870" t="s">
        <v>5005</v>
      </c>
      <c r="F870" t="s">
        <v>98</v>
      </c>
      <c r="G870" s="27" t="str">
        <f t="shared" si="26"/>
        <v>5525 APALA DR  HOUSTON</v>
      </c>
      <c r="H870" s="27" t="str">
        <f t="shared" si="27"/>
        <v>HOUSTON TX 77032</v>
      </c>
    </row>
    <row r="871" spans="1:8" x14ac:dyDescent="0.2">
      <c r="A871" s="27">
        <f>COUNTIFS(C:C,C871,D:D,D871)</f>
        <v>1</v>
      </c>
      <c r="B871" s="30">
        <v>202101156122</v>
      </c>
      <c r="C871" t="s">
        <v>2420</v>
      </c>
      <c r="D871" t="s">
        <v>2421</v>
      </c>
      <c r="E871" t="s">
        <v>5132</v>
      </c>
      <c r="F871" t="s">
        <v>79</v>
      </c>
      <c r="G871" s="27" t="str">
        <f t="shared" si="26"/>
        <v>696 PINELOCH DR  HOUSTON</v>
      </c>
      <c r="H871" s="27" t="str">
        <f t="shared" si="27"/>
        <v>HOUSTON TX 77598</v>
      </c>
    </row>
    <row r="872" spans="1:8" x14ac:dyDescent="0.2">
      <c r="A872" s="27">
        <f>COUNTIFS(C:C,C872,D:D,D872)</f>
        <v>1</v>
      </c>
      <c r="B872" s="30">
        <v>202101156125</v>
      </c>
      <c r="C872" t="s">
        <v>2531</v>
      </c>
      <c r="D872" t="s">
        <v>503</v>
      </c>
      <c r="E872" t="s">
        <v>4891</v>
      </c>
      <c r="F872" t="s">
        <v>78</v>
      </c>
      <c r="G872" s="27" t="str">
        <f t="shared" si="26"/>
        <v>1415 W GULF BANK RD  HOUSTON</v>
      </c>
      <c r="H872" s="27" t="str">
        <f t="shared" si="27"/>
        <v>HOUSTON TX 77088</v>
      </c>
    </row>
    <row r="873" spans="1:8" x14ac:dyDescent="0.2">
      <c r="A873" s="27">
        <f>COUNTIFS(C:C,C873,D:D,D873)</f>
        <v>1</v>
      </c>
      <c r="B873" s="30">
        <v>202101156134</v>
      </c>
      <c r="C873" t="s">
        <v>2231</v>
      </c>
      <c r="D873" t="s">
        <v>2232</v>
      </c>
      <c r="E873" t="s">
        <v>4943</v>
      </c>
      <c r="F873" t="s">
        <v>86</v>
      </c>
      <c r="G873" s="27" t="str">
        <f t="shared" si="26"/>
        <v>4814 GLENVILLAGE DR  HOUSTON</v>
      </c>
      <c r="H873" s="27" t="str">
        <f t="shared" si="27"/>
        <v>HOUSTON TX 77084</v>
      </c>
    </row>
    <row r="874" spans="1:8" x14ac:dyDescent="0.2">
      <c r="A874" s="27">
        <f>COUNTIFS(C:C,C874,D:D,D874)</f>
        <v>1</v>
      </c>
      <c r="B874" s="30">
        <v>202101156137</v>
      </c>
      <c r="C874" t="s">
        <v>3755</v>
      </c>
      <c r="D874" t="s">
        <v>3756</v>
      </c>
      <c r="E874" t="s">
        <v>5002</v>
      </c>
      <c r="F874" t="s">
        <v>78</v>
      </c>
      <c r="G874" s="27" t="str">
        <f t="shared" ref="G874:G937" si="28">D874&amp;" "&amp;MID(E874,1,FIND(" TX",E874)-1)</f>
        <v>3030 SHADOWBRIAR DR 1031 HOUSTON</v>
      </c>
      <c r="H874" s="27" t="str">
        <f t="shared" ref="H874:H937" si="29">"HOUSTON "&amp;MID(E874,FIND("TX",E874),8)</f>
        <v>HOUSTON TX 77082</v>
      </c>
    </row>
    <row r="875" spans="1:8" x14ac:dyDescent="0.2">
      <c r="A875" s="27">
        <f>COUNTIFS(C:C,C875,D:D,D875)</f>
        <v>1</v>
      </c>
      <c r="B875" s="30">
        <v>202101156142</v>
      </c>
      <c r="C875" t="s">
        <v>3757</v>
      </c>
      <c r="D875" t="s">
        <v>3758</v>
      </c>
      <c r="E875" t="s">
        <v>4867</v>
      </c>
      <c r="F875" t="s">
        <v>56</v>
      </c>
      <c r="G875" s="27" t="str">
        <f t="shared" si="28"/>
        <v>6113 GULF FWY IB 264  HOUSTON</v>
      </c>
      <c r="H875" s="27" t="str">
        <f t="shared" si="29"/>
        <v>HOUSTON TX 77023</v>
      </c>
    </row>
    <row r="876" spans="1:8" x14ac:dyDescent="0.2">
      <c r="A876" s="27">
        <f>COUNTIFS(C:C,C876,D:D,D876)</f>
        <v>1</v>
      </c>
      <c r="B876" s="30">
        <v>202101156145</v>
      </c>
      <c r="C876" s="28" t="s">
        <v>1260</v>
      </c>
      <c r="D876" s="28" t="s">
        <v>1261</v>
      </c>
      <c r="E876" s="28" t="s">
        <v>4851</v>
      </c>
      <c r="F876" s="28" t="s">
        <v>67</v>
      </c>
      <c r="G876" s="27" t="str">
        <f t="shared" si="28"/>
        <v>925 NORTHWOOD DRIVE  BAYTOWN</v>
      </c>
      <c r="H876" s="27" t="str">
        <f t="shared" si="29"/>
        <v>HOUSTON TX 77521</v>
      </c>
    </row>
    <row r="877" spans="1:8" x14ac:dyDescent="0.2">
      <c r="A877" s="27">
        <f>COUNTIFS(C:C,C877,D:D,D877)</f>
        <v>1</v>
      </c>
      <c r="B877" s="30">
        <v>202101156146</v>
      </c>
      <c r="C877" s="28" t="s">
        <v>1289</v>
      </c>
      <c r="D877" s="28" t="s">
        <v>1290</v>
      </c>
      <c r="E877" s="28" t="s">
        <v>4986</v>
      </c>
      <c r="F877" s="28" t="s">
        <v>56</v>
      </c>
      <c r="G877" s="27" t="str">
        <f t="shared" si="28"/>
        <v>525 WILSON RD  HUMBLE</v>
      </c>
      <c r="H877" s="27" t="str">
        <f t="shared" si="29"/>
        <v>HOUSTON TX 77338</v>
      </c>
    </row>
    <row r="878" spans="1:8" x14ac:dyDescent="0.2">
      <c r="A878" s="27">
        <f>COUNTIFS(C:C,C878,D:D,D878)</f>
        <v>1</v>
      </c>
      <c r="B878" s="30">
        <v>202101156147</v>
      </c>
      <c r="C878" s="28" t="s">
        <v>1169</v>
      </c>
      <c r="D878" s="28" t="s">
        <v>1170</v>
      </c>
      <c r="E878" s="28" t="s">
        <v>4989</v>
      </c>
      <c r="F878" s="28" t="s">
        <v>83</v>
      </c>
      <c r="G878" s="27" t="str">
        <f t="shared" si="28"/>
        <v>2101 VERDE VALLEY DR  LEAGUE CIT</v>
      </c>
      <c r="H878" s="27" t="str">
        <f t="shared" si="29"/>
        <v>HOUSTON TX 77573</v>
      </c>
    </row>
    <row r="879" spans="1:8" x14ac:dyDescent="0.2">
      <c r="A879" s="27">
        <f>COUNTIFS(C:C,C879,D:D,D879)</f>
        <v>1</v>
      </c>
      <c r="B879" s="30">
        <v>202101156150</v>
      </c>
      <c r="C879" t="s">
        <v>3759</v>
      </c>
      <c r="D879" t="s">
        <v>3760</v>
      </c>
      <c r="E879" t="s">
        <v>5187</v>
      </c>
      <c r="F879" t="s">
        <v>79</v>
      </c>
      <c r="G879" s="27" t="str">
        <f t="shared" si="28"/>
        <v>1538 CHANDLER PARK L N FRESNO</v>
      </c>
      <c r="H879" s="27" t="str">
        <f t="shared" si="29"/>
        <v>HOUSTON TX 77545</v>
      </c>
    </row>
    <row r="880" spans="1:8" x14ac:dyDescent="0.2">
      <c r="A880" s="27">
        <f>COUNTIFS(C:C,C880,D:D,D880)</f>
        <v>1</v>
      </c>
      <c r="B880" s="30">
        <v>202101156156</v>
      </c>
      <c r="C880" t="s">
        <v>3761</v>
      </c>
      <c r="D880" t="s">
        <v>3762</v>
      </c>
      <c r="E880" t="s">
        <v>5207</v>
      </c>
      <c r="F880" t="s">
        <v>88</v>
      </c>
      <c r="G880" s="27" t="str">
        <f t="shared" si="28"/>
        <v>11222 ASHSORD POINT  SUGARLAND</v>
      </c>
      <c r="H880" s="27" t="str">
        <f t="shared" si="29"/>
        <v>HOUSTON TX 77478</v>
      </c>
    </row>
    <row r="881" spans="1:8" x14ac:dyDescent="0.2">
      <c r="A881" s="27">
        <f>COUNTIFS(C:C,C881,D:D,D881)</f>
        <v>1</v>
      </c>
      <c r="B881" s="30">
        <v>202101156159</v>
      </c>
      <c r="C881" s="28" t="s">
        <v>1825</v>
      </c>
      <c r="D881" s="28" t="s">
        <v>1826</v>
      </c>
      <c r="E881" s="28" t="s">
        <v>4982</v>
      </c>
      <c r="F881" s="28" t="s">
        <v>64</v>
      </c>
      <c r="G881" s="27" t="str">
        <f t="shared" si="28"/>
        <v>1327 BELLVILLE DR  HOUSTON</v>
      </c>
      <c r="H881" s="27" t="str">
        <f t="shared" si="29"/>
        <v>HOUSTON TX 77038</v>
      </c>
    </row>
    <row r="882" spans="1:8" x14ac:dyDescent="0.2">
      <c r="A882" s="27">
        <f>COUNTIFS(C:C,C882,D:D,D882)</f>
        <v>1</v>
      </c>
      <c r="B882" s="30">
        <v>202101156164</v>
      </c>
      <c r="C882" t="s">
        <v>3765</v>
      </c>
      <c r="D882" t="s">
        <v>3766</v>
      </c>
      <c r="E882" t="s">
        <v>5216</v>
      </c>
      <c r="F882" t="s">
        <v>53</v>
      </c>
      <c r="G882" s="27" t="e">
        <f t="shared" si="28"/>
        <v>#VALUE!</v>
      </c>
      <c r="H882" s="27" t="e">
        <f t="shared" si="29"/>
        <v>#VALUE!</v>
      </c>
    </row>
    <row r="883" spans="1:8" x14ac:dyDescent="0.2">
      <c r="A883" s="27">
        <f>COUNTIFS(C:C,C883,D:D,D883)</f>
        <v>1</v>
      </c>
      <c r="B883" s="30">
        <v>202101156174</v>
      </c>
      <c r="C883" s="28" t="s">
        <v>1860</v>
      </c>
      <c r="D883" s="28" t="s">
        <v>1861</v>
      </c>
      <c r="E883" s="28" t="s">
        <v>4914</v>
      </c>
      <c r="F883" s="28" t="s">
        <v>56</v>
      </c>
      <c r="G883" s="27" t="str">
        <f t="shared" si="28"/>
        <v>8056 LENORE ST  HOUSTON</v>
      </c>
      <c r="H883" s="27" t="str">
        <f t="shared" si="29"/>
        <v>HOUSTON TX 77077</v>
      </c>
    </row>
    <row r="884" spans="1:8" x14ac:dyDescent="0.2">
      <c r="A884" s="27">
        <f>COUNTIFS(C:C,C884,D:D,D884)</f>
        <v>1</v>
      </c>
      <c r="B884" s="30">
        <v>202101156175</v>
      </c>
      <c r="C884" s="28" t="s">
        <v>1064</v>
      </c>
      <c r="D884" s="28" t="s">
        <v>1065</v>
      </c>
      <c r="E884" s="28" t="s">
        <v>4897</v>
      </c>
      <c r="F884" s="28" t="s">
        <v>102</v>
      </c>
      <c r="G884" s="27" t="str">
        <f t="shared" si="28"/>
        <v>801 MISSISSIPPI ST  SOUTH HOUS</v>
      </c>
      <c r="H884" s="27" t="str">
        <f t="shared" si="29"/>
        <v>HOUSTON TX 77587</v>
      </c>
    </row>
    <row r="885" spans="1:8" x14ac:dyDescent="0.2">
      <c r="A885" s="27">
        <f>COUNTIFS(C:C,C885,D:D,D885)</f>
        <v>1</v>
      </c>
      <c r="B885" s="30">
        <v>202101156177</v>
      </c>
      <c r="C885" s="28" t="s">
        <v>712</v>
      </c>
      <c r="D885" s="28" t="s">
        <v>713</v>
      </c>
      <c r="E885" s="28" t="s">
        <v>4940</v>
      </c>
      <c r="F885" s="28" t="s">
        <v>64</v>
      </c>
      <c r="G885" s="27" t="str">
        <f t="shared" si="28"/>
        <v>938 SOUTH FM 1673  SNYDER</v>
      </c>
      <c r="H885" s="27" t="str">
        <f t="shared" si="29"/>
        <v>HOUSTON TX 79549</v>
      </c>
    </row>
    <row r="886" spans="1:8" x14ac:dyDescent="0.2">
      <c r="A886" s="27">
        <f>COUNTIFS(C:C,C886,D:D,D886)</f>
        <v>1</v>
      </c>
      <c r="B886" s="30">
        <v>202101156178</v>
      </c>
      <c r="C886" t="s">
        <v>3769</v>
      </c>
      <c r="D886" t="s">
        <v>3770</v>
      </c>
      <c r="E886" t="s">
        <v>4885</v>
      </c>
      <c r="F886" t="s">
        <v>94</v>
      </c>
      <c r="G886" s="27" t="str">
        <f t="shared" si="28"/>
        <v>6311 W GULF BANK RD B HARRIS CO</v>
      </c>
      <c r="H886" s="27" t="str">
        <f t="shared" si="29"/>
        <v>HOUSTON TX 77088</v>
      </c>
    </row>
    <row r="887" spans="1:8" x14ac:dyDescent="0.2">
      <c r="A887" s="27">
        <f>COUNTIFS(C:C,C887,D:D,D887)</f>
        <v>1</v>
      </c>
      <c r="B887" s="30">
        <v>202101156179</v>
      </c>
      <c r="C887" t="s">
        <v>5135</v>
      </c>
      <c r="D887" t="s">
        <v>2530</v>
      </c>
      <c r="E887" t="s">
        <v>4932</v>
      </c>
      <c r="F887" t="s">
        <v>347</v>
      </c>
      <c r="G887" s="27" t="str">
        <f t="shared" si="28"/>
        <v>3700 WATONGA BLVD  HOUSTON</v>
      </c>
      <c r="H887" s="27" t="str">
        <f t="shared" si="29"/>
        <v>HOUSTON TX 77092</v>
      </c>
    </row>
    <row r="888" spans="1:8" x14ac:dyDescent="0.2">
      <c r="A888" s="27">
        <f>COUNTIFS(C:C,C888,D:D,D888)</f>
        <v>1</v>
      </c>
      <c r="B888" s="30">
        <v>202101156182</v>
      </c>
      <c r="C888" t="s">
        <v>2727</v>
      </c>
      <c r="D888" t="s">
        <v>2728</v>
      </c>
      <c r="E888" t="s">
        <v>4991</v>
      </c>
      <c r="F888" t="s">
        <v>88</v>
      </c>
      <c r="G888" s="27" t="str">
        <f t="shared" si="28"/>
        <v>9900 RICHMOND AVE  HOUSTON</v>
      </c>
      <c r="H888" s="27" t="str">
        <f t="shared" si="29"/>
        <v>HOUSTON TX 77042</v>
      </c>
    </row>
    <row r="889" spans="1:8" x14ac:dyDescent="0.2">
      <c r="A889" s="27">
        <f>COUNTIFS(C:C,C889,D:D,D889)</f>
        <v>1</v>
      </c>
      <c r="B889" s="30">
        <v>202101156184</v>
      </c>
      <c r="C889" t="s">
        <v>3775</v>
      </c>
      <c r="D889" t="s">
        <v>3776</v>
      </c>
      <c r="E889" t="s">
        <v>4891</v>
      </c>
      <c r="F889" t="s">
        <v>58</v>
      </c>
      <c r="G889" s="27" t="str">
        <f t="shared" si="28"/>
        <v>3631 RED FIR DR  HOUSTON</v>
      </c>
      <c r="H889" s="27" t="str">
        <f t="shared" si="29"/>
        <v>HOUSTON TX 77088</v>
      </c>
    </row>
    <row r="890" spans="1:8" x14ac:dyDescent="0.2">
      <c r="A890" s="27">
        <f>COUNTIFS(C:C,C890,D:D,D890)</f>
        <v>1</v>
      </c>
      <c r="B890" s="30">
        <v>202101156187</v>
      </c>
      <c r="C890" t="s">
        <v>2934</v>
      </c>
      <c r="D890" t="s">
        <v>2935</v>
      </c>
      <c r="E890" t="s">
        <v>4854</v>
      </c>
      <c r="F890" t="s">
        <v>53</v>
      </c>
      <c r="G890" s="27" t="str">
        <f t="shared" si="28"/>
        <v>5420 RAND ST  HOUSTON</v>
      </c>
      <c r="H890" s="27" t="str">
        <f t="shared" si="29"/>
        <v>HOUSTON TX 77026</v>
      </c>
    </row>
    <row r="891" spans="1:8" x14ac:dyDescent="0.2">
      <c r="A891" s="27">
        <f>COUNTIFS(C:C,C891,D:D,D891)</f>
        <v>1</v>
      </c>
      <c r="B891" s="30">
        <v>202101156190</v>
      </c>
      <c r="C891" t="s">
        <v>2858</v>
      </c>
      <c r="D891" t="s">
        <v>2859</v>
      </c>
      <c r="E891" t="s">
        <v>4966</v>
      </c>
      <c r="F891" t="s">
        <v>4818</v>
      </c>
      <c r="G891" s="27" t="str">
        <f t="shared" si="28"/>
        <v>502 WISDOM DR  DEER PARK</v>
      </c>
      <c r="H891" s="27" t="str">
        <f t="shared" si="29"/>
        <v>HOUSTON TX 77536</v>
      </c>
    </row>
    <row r="892" spans="1:8" x14ac:dyDescent="0.2">
      <c r="A892" s="27">
        <f>COUNTIFS(C:C,C892,D:D,D892)</f>
        <v>1</v>
      </c>
      <c r="B892" s="30">
        <v>202101156191</v>
      </c>
      <c r="C892" t="s">
        <v>3785</v>
      </c>
      <c r="D892" t="s">
        <v>3786</v>
      </c>
      <c r="E892" t="s">
        <v>4943</v>
      </c>
      <c r="F892" t="s">
        <v>78</v>
      </c>
      <c r="G892" s="27" t="str">
        <f t="shared" si="28"/>
        <v>18600 PARK VIEW DR  HOUSTON</v>
      </c>
      <c r="H892" s="27" t="str">
        <f t="shared" si="29"/>
        <v>HOUSTON TX 77084</v>
      </c>
    </row>
    <row r="893" spans="1:8" x14ac:dyDescent="0.2">
      <c r="A893" s="27">
        <f>COUNTIFS(C:C,C893,D:D,D893)</f>
        <v>1</v>
      </c>
      <c r="B893" s="30">
        <v>202101156192</v>
      </c>
      <c r="C893" t="s">
        <v>3787</v>
      </c>
      <c r="D893" t="s">
        <v>3788</v>
      </c>
      <c r="E893" t="s">
        <v>4862</v>
      </c>
      <c r="F893" t="s">
        <v>79</v>
      </c>
      <c r="G893" s="27" t="str">
        <f t="shared" si="28"/>
        <v>16112 NORTH FREEWAY  HOUSTON</v>
      </c>
      <c r="H893" s="27" t="str">
        <f t="shared" si="29"/>
        <v>HOUSTON TX 77090</v>
      </c>
    </row>
    <row r="894" spans="1:8" x14ac:dyDescent="0.2">
      <c r="A894" s="27">
        <f>COUNTIFS(C:C,C894,D:D,D894)</f>
        <v>1</v>
      </c>
      <c r="B894" s="30">
        <v>202101156193</v>
      </c>
      <c r="C894" t="s">
        <v>3789</v>
      </c>
      <c r="D894" t="s">
        <v>3790</v>
      </c>
      <c r="E894" t="s">
        <v>4981</v>
      </c>
      <c r="F894" t="s">
        <v>374</v>
      </c>
      <c r="G894" s="27" t="str">
        <f t="shared" si="28"/>
        <v>11835 TIERRA PALMS CT  HOUSTON</v>
      </c>
      <c r="H894" s="27" t="str">
        <f t="shared" si="29"/>
        <v>HOUSTON TX 77034</v>
      </c>
    </row>
    <row r="895" spans="1:8" x14ac:dyDescent="0.2">
      <c r="A895" s="27">
        <f>COUNTIFS(C:C,C895,D:D,D895)</f>
        <v>1</v>
      </c>
      <c r="B895" s="30">
        <v>202101156194</v>
      </c>
      <c r="C895" t="s">
        <v>2896</v>
      </c>
      <c r="D895" t="s">
        <v>2897</v>
      </c>
      <c r="E895" t="s">
        <v>4872</v>
      </c>
      <c r="F895" t="s">
        <v>78</v>
      </c>
      <c r="G895" s="27" t="str">
        <f t="shared" si="28"/>
        <v>9237 HILLIS  HOUSTON</v>
      </c>
      <c r="H895" s="27" t="str">
        <f t="shared" si="29"/>
        <v>HOUSTON TX 77028</v>
      </c>
    </row>
    <row r="896" spans="1:8" x14ac:dyDescent="0.2">
      <c r="A896" s="27">
        <f>COUNTIFS(C:C,C896,D:D,D896)</f>
        <v>1</v>
      </c>
      <c r="B896" s="30">
        <v>202101156196</v>
      </c>
      <c r="C896" t="s">
        <v>2687</v>
      </c>
      <c r="D896" t="s">
        <v>2688</v>
      </c>
      <c r="E896" t="s">
        <v>5147</v>
      </c>
      <c r="F896" t="s">
        <v>102</v>
      </c>
      <c r="G896" s="27" t="str">
        <f t="shared" si="28"/>
        <v>16915 BALMORAL ST  MONTGOMERY</v>
      </c>
      <c r="H896" s="27" t="str">
        <f t="shared" si="29"/>
        <v>HOUSTON TX 77316</v>
      </c>
    </row>
    <row r="897" spans="1:8" x14ac:dyDescent="0.2">
      <c r="A897" s="27">
        <f>COUNTIFS(C:C,C897,D:D,D897)</f>
        <v>1</v>
      </c>
      <c r="B897" s="30">
        <v>202101156197</v>
      </c>
      <c r="C897" t="s">
        <v>3791</v>
      </c>
      <c r="D897" t="s">
        <v>3792</v>
      </c>
      <c r="E897" t="s">
        <v>4900</v>
      </c>
      <c r="F897" t="s">
        <v>57</v>
      </c>
      <c r="G897" s="27" t="str">
        <f t="shared" si="28"/>
        <v>5011 IVY FAIR WAY  KATY</v>
      </c>
      <c r="H897" s="27" t="str">
        <f t="shared" si="29"/>
        <v>HOUSTON TX 77449</v>
      </c>
    </row>
    <row r="898" spans="1:8" x14ac:dyDescent="0.2">
      <c r="A898" s="27">
        <f>COUNTIFS(C:C,C898,D:D,D898)</f>
        <v>1</v>
      </c>
      <c r="B898" s="30">
        <v>202101156199</v>
      </c>
      <c r="C898" t="s">
        <v>3793</v>
      </c>
      <c r="D898" t="s">
        <v>3794</v>
      </c>
      <c r="E898" t="s">
        <v>4896</v>
      </c>
      <c r="F898" t="s">
        <v>88</v>
      </c>
      <c r="G898" s="27" t="str">
        <f t="shared" si="28"/>
        <v>9201 CLAIREWOOD DR 0 68 HOUSTON</v>
      </c>
      <c r="H898" s="27" t="str">
        <f t="shared" si="29"/>
        <v>HOUSTON TX 77036</v>
      </c>
    </row>
    <row r="899" spans="1:8" x14ac:dyDescent="0.2">
      <c r="A899" s="27">
        <f>COUNTIFS(C:C,C899,D:D,D899)</f>
        <v>1</v>
      </c>
      <c r="B899" s="30">
        <v>202101156200</v>
      </c>
      <c r="C899" t="s">
        <v>3795</v>
      </c>
      <c r="D899" t="s">
        <v>3796</v>
      </c>
      <c r="E899" t="s">
        <v>5218</v>
      </c>
      <c r="F899" t="s">
        <v>88</v>
      </c>
      <c r="G899" s="27" t="str">
        <f t="shared" si="28"/>
        <v>8204 HITCHING TR  MCKINNEY</v>
      </c>
      <c r="H899" s="27" t="str">
        <f t="shared" si="29"/>
        <v>HOUSTON TX 75070</v>
      </c>
    </row>
    <row r="900" spans="1:8" x14ac:dyDescent="0.2">
      <c r="A900" s="27">
        <f>COUNTIFS(C:C,C900,D:D,D900)</f>
        <v>1</v>
      </c>
      <c r="B900" s="30">
        <v>202101156208</v>
      </c>
      <c r="C900" t="s">
        <v>3797</v>
      </c>
      <c r="D900" t="s">
        <v>3798</v>
      </c>
      <c r="E900" t="s">
        <v>5060</v>
      </c>
      <c r="F900" t="s">
        <v>53</v>
      </c>
      <c r="G900" s="27" t="str">
        <f t="shared" si="28"/>
        <v>8301 WILLOW PLACE DR IVE HOUSTON</v>
      </c>
      <c r="H900" s="27" t="str">
        <f t="shared" si="29"/>
        <v>HOUSTON TX 77070</v>
      </c>
    </row>
    <row r="901" spans="1:8" x14ac:dyDescent="0.2">
      <c r="A901" s="27">
        <f>COUNTIFS(C:C,C901,D:D,D901)</f>
        <v>1</v>
      </c>
      <c r="B901" s="30">
        <v>202101156211</v>
      </c>
      <c r="C901" t="s">
        <v>1998</v>
      </c>
      <c r="D901" t="s">
        <v>1999</v>
      </c>
      <c r="E901" t="s">
        <v>4997</v>
      </c>
      <c r="F901" t="s">
        <v>53</v>
      </c>
      <c r="G901" s="27" t="str">
        <f t="shared" si="28"/>
        <v>8811 BOONE RD APT 15 02 HOUSTON</v>
      </c>
      <c r="H901" s="27" t="str">
        <f t="shared" si="29"/>
        <v>HOUSTON TX 77099</v>
      </c>
    </row>
    <row r="902" spans="1:8" x14ac:dyDescent="0.2">
      <c r="A902" s="27">
        <f>COUNTIFS(C:C,C902,D:D,D902)</f>
        <v>1</v>
      </c>
      <c r="B902" s="30">
        <v>202101156212</v>
      </c>
      <c r="C902" s="28" t="s">
        <v>634</v>
      </c>
      <c r="D902" s="28" t="s">
        <v>635</v>
      </c>
      <c r="E902" s="28" t="s">
        <v>4928</v>
      </c>
      <c r="F902" s="28" t="s">
        <v>56</v>
      </c>
      <c r="G902" s="27" t="str">
        <f t="shared" si="28"/>
        <v>105 BEGONIA LANE  HIGHLANDS</v>
      </c>
      <c r="H902" s="27" t="str">
        <f t="shared" si="29"/>
        <v>HOUSTON TX 77562</v>
      </c>
    </row>
    <row r="903" spans="1:8" x14ac:dyDescent="0.2">
      <c r="A903" s="27">
        <f>COUNTIFS(C:C,C903,D:D,D903)</f>
        <v>1</v>
      </c>
      <c r="B903" s="30">
        <v>202101156216</v>
      </c>
      <c r="C903" t="s">
        <v>3799</v>
      </c>
      <c r="D903" t="s">
        <v>3800</v>
      </c>
      <c r="E903" t="s">
        <v>4856</v>
      </c>
      <c r="F903" t="s">
        <v>96</v>
      </c>
      <c r="G903" s="27" t="str">
        <f t="shared" si="28"/>
        <v>8145 BARKLEY  HOUSTON</v>
      </c>
      <c r="H903" s="27" t="str">
        <f t="shared" si="29"/>
        <v>HOUSTON TX 77017</v>
      </c>
    </row>
    <row r="904" spans="1:8" x14ac:dyDescent="0.2">
      <c r="A904" s="27">
        <f>COUNTIFS(C:C,C904,D:D,D904)</f>
        <v>1</v>
      </c>
      <c r="B904" s="30">
        <v>202101156218</v>
      </c>
      <c r="C904" s="28" t="s">
        <v>1498</v>
      </c>
      <c r="D904" s="28" t="s">
        <v>1499</v>
      </c>
      <c r="E904" s="28" t="s">
        <v>4865</v>
      </c>
      <c r="F904" s="28" t="s">
        <v>156</v>
      </c>
      <c r="G904" s="27" t="str">
        <f t="shared" si="28"/>
        <v>3822 TINFORD ST  HOUSTON</v>
      </c>
      <c r="H904" s="27" t="str">
        <f t="shared" si="29"/>
        <v xml:space="preserve">HOUSTON TX      </v>
      </c>
    </row>
    <row r="905" spans="1:8" x14ac:dyDescent="0.2">
      <c r="A905" s="27">
        <f>COUNTIFS(C:C,C905,D:D,D905)</f>
        <v>1</v>
      </c>
      <c r="B905" s="30">
        <v>202101156219</v>
      </c>
      <c r="C905" t="s">
        <v>2474</v>
      </c>
      <c r="D905" t="s">
        <v>2475</v>
      </c>
      <c r="E905" t="s">
        <v>4928</v>
      </c>
      <c r="F905" t="s">
        <v>64</v>
      </c>
      <c r="G905" s="27" t="str">
        <f t="shared" si="28"/>
        <v>420 WALLISVILLE RD  HIGHLANDS</v>
      </c>
      <c r="H905" s="27" t="str">
        <f t="shared" si="29"/>
        <v>HOUSTON TX 77562</v>
      </c>
    </row>
    <row r="906" spans="1:8" x14ac:dyDescent="0.2">
      <c r="A906" s="27">
        <f>COUNTIFS(C:C,C906,D:D,D906)</f>
        <v>1</v>
      </c>
      <c r="B906" s="30">
        <v>202101156220</v>
      </c>
      <c r="C906" t="s">
        <v>3801</v>
      </c>
      <c r="D906" t="s">
        <v>3802</v>
      </c>
      <c r="E906" t="s">
        <v>5219</v>
      </c>
      <c r="F906" t="s">
        <v>53</v>
      </c>
      <c r="G906" s="27" t="str">
        <f t="shared" si="28"/>
        <v>322 BREEZE PARK DRI VE HOUSTON</v>
      </c>
      <c r="H906" s="27" t="str">
        <f t="shared" si="29"/>
        <v>HOUSTON TX 11015</v>
      </c>
    </row>
    <row r="907" spans="1:8" x14ac:dyDescent="0.2">
      <c r="A907" s="27">
        <f>COUNTIFS(C:C,C907,D:D,D907)</f>
        <v>1</v>
      </c>
      <c r="B907" s="30">
        <v>202101156223</v>
      </c>
      <c r="C907" t="s">
        <v>3805</v>
      </c>
      <c r="D907" t="s">
        <v>3806</v>
      </c>
      <c r="E907" t="s">
        <v>4900</v>
      </c>
      <c r="F907" t="s">
        <v>83</v>
      </c>
      <c r="G907" s="27" t="str">
        <f t="shared" si="28"/>
        <v>19507 INGHAM DR  KATY</v>
      </c>
      <c r="H907" s="27" t="str">
        <f t="shared" si="29"/>
        <v>HOUSTON TX 77449</v>
      </c>
    </row>
    <row r="908" spans="1:8" x14ac:dyDescent="0.2">
      <c r="A908" s="27">
        <f>COUNTIFS(C:C,C908,D:D,D908)</f>
        <v>1</v>
      </c>
      <c r="B908" s="30">
        <v>202101156224</v>
      </c>
      <c r="C908" s="28" t="s">
        <v>532</v>
      </c>
      <c r="D908" s="28" t="s">
        <v>533</v>
      </c>
      <c r="E908" s="28" t="s">
        <v>4901</v>
      </c>
      <c r="F908" s="28" t="s">
        <v>51</v>
      </c>
      <c r="G908" s="27" t="str">
        <f t="shared" si="28"/>
        <v>10555 SPICE LANE APT 1202 HOUSTON</v>
      </c>
      <c r="H908" s="27" t="str">
        <f t="shared" si="29"/>
        <v>HOUSTON TX 77072</v>
      </c>
    </row>
    <row r="909" spans="1:8" x14ac:dyDescent="0.2">
      <c r="A909" s="27">
        <f>COUNTIFS(C:C,C909,D:D,D909)</f>
        <v>1</v>
      </c>
      <c r="B909" s="30">
        <v>202101156225</v>
      </c>
      <c r="C909" t="s">
        <v>3807</v>
      </c>
      <c r="D909" t="s">
        <v>3808</v>
      </c>
      <c r="E909" t="s">
        <v>4975</v>
      </c>
      <c r="F909" t="s">
        <v>67</v>
      </c>
      <c r="G909" s="27" t="str">
        <f t="shared" si="28"/>
        <v>11501 WEST RD 1816  HOUSTON</v>
      </c>
      <c r="H909" s="27" t="str">
        <f t="shared" si="29"/>
        <v>HOUSTON TX 77065</v>
      </c>
    </row>
    <row r="910" spans="1:8" x14ac:dyDescent="0.2">
      <c r="A910" s="27">
        <f>COUNTIFS(C:C,C910,D:D,D910)</f>
        <v>1</v>
      </c>
      <c r="B910" s="30">
        <v>202101156231</v>
      </c>
      <c r="C910" t="s">
        <v>3051</v>
      </c>
      <c r="D910" t="s">
        <v>3052</v>
      </c>
      <c r="E910" t="s">
        <v>4891</v>
      </c>
      <c r="F910" t="s">
        <v>360</v>
      </c>
      <c r="G910" s="27" t="str">
        <f t="shared" si="28"/>
        <v>3310 CHERRY FOREST D R HOUSTON</v>
      </c>
      <c r="H910" s="27" t="str">
        <f t="shared" si="29"/>
        <v>HOUSTON TX 77088</v>
      </c>
    </row>
    <row r="911" spans="1:8" x14ac:dyDescent="0.2">
      <c r="A911" s="27">
        <f>COUNTIFS(C:C,C911,D:D,D911)</f>
        <v>1</v>
      </c>
      <c r="B911" s="30">
        <v>202101156235</v>
      </c>
      <c r="C911" t="s">
        <v>3809</v>
      </c>
      <c r="D911" t="s">
        <v>3810</v>
      </c>
      <c r="E911" t="s">
        <v>4943</v>
      </c>
      <c r="F911" t="s">
        <v>53</v>
      </c>
      <c r="G911" s="27" t="str">
        <f t="shared" si="28"/>
        <v>7011 JASMINE TRAIL  HOUSTON</v>
      </c>
      <c r="H911" s="27" t="str">
        <f t="shared" si="29"/>
        <v>HOUSTON TX 77084</v>
      </c>
    </row>
    <row r="912" spans="1:8" x14ac:dyDescent="0.2">
      <c r="A912" s="27">
        <f>COUNTIFS(C:C,C912,D:D,D912)</f>
        <v>1</v>
      </c>
      <c r="B912" s="30">
        <v>202101156238</v>
      </c>
      <c r="C912" t="s">
        <v>3415</v>
      </c>
      <c r="D912" t="s">
        <v>3088</v>
      </c>
      <c r="E912" t="s">
        <v>4896</v>
      </c>
      <c r="F912" t="s">
        <v>4830</v>
      </c>
      <c r="G912" s="27" t="str">
        <f t="shared" si="28"/>
        <v>8721 TOWN PARK DR  HOUSTON</v>
      </c>
      <c r="H912" s="27" t="str">
        <f t="shared" si="29"/>
        <v>HOUSTON TX 77036</v>
      </c>
    </row>
    <row r="913" spans="1:8" x14ac:dyDescent="0.2">
      <c r="A913" s="27">
        <f>COUNTIFS(C:C,C913,D:D,D913)</f>
        <v>1</v>
      </c>
      <c r="B913" s="30">
        <v>202101156239</v>
      </c>
      <c r="C913" s="28" t="s">
        <v>920</v>
      </c>
      <c r="D913" s="28" t="s">
        <v>921</v>
      </c>
      <c r="E913" s="28" t="s">
        <v>4933</v>
      </c>
      <c r="F913" s="28" t="s">
        <v>286</v>
      </c>
      <c r="G913" s="27" t="str">
        <f t="shared" si="28"/>
        <v>1651 WITTE RD  HOUSTON</v>
      </c>
      <c r="H913" s="27" t="str">
        <f t="shared" si="29"/>
        <v>HOUSTON TX 77080</v>
      </c>
    </row>
    <row r="914" spans="1:8" x14ac:dyDescent="0.2">
      <c r="A914" s="27">
        <f>COUNTIFS(C:C,C914,D:D,D914)</f>
        <v>1</v>
      </c>
      <c r="B914" s="30">
        <v>202101156245</v>
      </c>
      <c r="C914" s="28" t="s">
        <v>1404</v>
      </c>
      <c r="D914" s="28" t="s">
        <v>1405</v>
      </c>
      <c r="E914" s="28" t="s">
        <v>4901</v>
      </c>
      <c r="F914" s="28" t="s">
        <v>310</v>
      </c>
      <c r="G914" s="27" t="str">
        <f t="shared" si="28"/>
        <v>10630 BEECHNUT ST  HOUSTON</v>
      </c>
      <c r="H914" s="27" t="str">
        <f t="shared" si="29"/>
        <v>HOUSTON TX 77072</v>
      </c>
    </row>
    <row r="915" spans="1:8" x14ac:dyDescent="0.2">
      <c r="A915" s="27">
        <f>COUNTIFS(C:C,C915,D:D,D915)</f>
        <v>1</v>
      </c>
      <c r="B915" s="30">
        <v>202101156249</v>
      </c>
      <c r="C915" s="28" t="s">
        <v>1358</v>
      </c>
      <c r="D915" s="28" t="s">
        <v>1359</v>
      </c>
      <c r="E915" s="28" t="s">
        <v>4914</v>
      </c>
      <c r="F915" s="28" t="s">
        <v>96</v>
      </c>
      <c r="G915" s="27" t="str">
        <f t="shared" si="28"/>
        <v>1919 S KIRKWOOD RD  HOUSTON</v>
      </c>
      <c r="H915" s="27" t="str">
        <f t="shared" si="29"/>
        <v>HOUSTON TX 77077</v>
      </c>
    </row>
    <row r="916" spans="1:8" x14ac:dyDescent="0.2">
      <c r="A916" s="27">
        <f>COUNTIFS(C:C,C916,D:D,D916)</f>
        <v>1</v>
      </c>
      <c r="B916" s="30">
        <v>202101156252</v>
      </c>
      <c r="C916" t="s">
        <v>2238</v>
      </c>
      <c r="D916" t="s">
        <v>2239</v>
      </c>
      <c r="E916" t="s">
        <v>4970</v>
      </c>
      <c r="F916" t="s">
        <v>69</v>
      </c>
      <c r="G916" s="27" t="str">
        <f t="shared" si="28"/>
        <v>9801 LARKWOOD DR APT 2723 HOUSTON</v>
      </c>
      <c r="H916" s="27" t="str">
        <f t="shared" si="29"/>
        <v>HOUSTON TX 77096</v>
      </c>
    </row>
    <row r="917" spans="1:8" x14ac:dyDescent="0.2">
      <c r="A917" s="27">
        <f>COUNTIFS(C:C,C917,D:D,D917)</f>
        <v>1</v>
      </c>
      <c r="B917" s="30">
        <v>202101156257</v>
      </c>
      <c r="C917" s="28" t="s">
        <v>1342</v>
      </c>
      <c r="D917" s="28" t="s">
        <v>1343</v>
      </c>
      <c r="E917" s="28" t="s">
        <v>4886</v>
      </c>
      <c r="F917" s="28" t="s">
        <v>61</v>
      </c>
      <c r="G917" s="27" t="str">
        <f t="shared" si="28"/>
        <v>12101 FONDREN RD  HOUSTON</v>
      </c>
      <c r="H917" s="27" t="str">
        <f t="shared" si="29"/>
        <v>HOUSTON TX 77035</v>
      </c>
    </row>
    <row r="918" spans="1:8" x14ac:dyDescent="0.2">
      <c r="A918" s="27">
        <f>COUNTIFS(C:C,C918,D:D,D918)</f>
        <v>2</v>
      </c>
      <c r="B918" s="30">
        <v>202101156261</v>
      </c>
      <c r="C918" t="s">
        <v>1969</v>
      </c>
      <c r="D918" t="s">
        <v>1970</v>
      </c>
      <c r="E918" t="s">
        <v>4950</v>
      </c>
      <c r="F918" t="s">
        <v>53</v>
      </c>
      <c r="G918" s="27" t="str">
        <f t="shared" si="28"/>
        <v>903 EAST 35TH ST  HOUSTON</v>
      </c>
      <c r="H918" s="27" t="str">
        <f t="shared" si="29"/>
        <v>HOUSTON TX 77022</v>
      </c>
    </row>
    <row r="919" spans="1:8" x14ac:dyDescent="0.2">
      <c r="A919" s="27">
        <f>COUNTIFS(C:C,C919,D:D,D919)</f>
        <v>1</v>
      </c>
      <c r="B919" s="30">
        <v>202101156265</v>
      </c>
      <c r="C919" t="s">
        <v>3294</v>
      </c>
      <c r="D919" t="s">
        <v>3295</v>
      </c>
      <c r="E919" t="s">
        <v>4956</v>
      </c>
      <c r="F919" t="s">
        <v>53</v>
      </c>
      <c r="G919" s="27" t="str">
        <f t="shared" si="28"/>
        <v>12451 SARATOGA WOODS LN HUMBLE</v>
      </c>
      <c r="H919" s="27" t="str">
        <f t="shared" si="29"/>
        <v>HOUSTON TX 77346</v>
      </c>
    </row>
    <row r="920" spans="1:8" x14ac:dyDescent="0.2">
      <c r="A920" s="27">
        <f>COUNTIFS(C:C,C920,D:D,D920)</f>
        <v>1</v>
      </c>
      <c r="B920" s="30">
        <v>202101156266</v>
      </c>
      <c r="C920" t="s">
        <v>3816</v>
      </c>
      <c r="D920" t="s">
        <v>3817</v>
      </c>
      <c r="E920" t="s">
        <v>5032</v>
      </c>
      <c r="F920" t="s">
        <v>51</v>
      </c>
      <c r="G920" s="27" t="str">
        <f t="shared" si="28"/>
        <v>805 MARSHAL APT 8  HOUSTON</v>
      </c>
      <c r="H920" s="27" t="str">
        <f t="shared" si="29"/>
        <v>HOUSTON TX 77006</v>
      </c>
    </row>
    <row r="921" spans="1:8" x14ac:dyDescent="0.2">
      <c r="A921" s="27">
        <f>COUNTIFS(C:C,C921,D:D,D921)</f>
        <v>1</v>
      </c>
      <c r="B921" s="30">
        <v>202101156269</v>
      </c>
      <c r="C921" t="s">
        <v>2036</v>
      </c>
      <c r="D921" t="s">
        <v>2037</v>
      </c>
      <c r="E921" t="s">
        <v>4937</v>
      </c>
      <c r="F921" t="s">
        <v>79</v>
      </c>
      <c r="G921" s="27" t="str">
        <f t="shared" si="28"/>
        <v>6418 RIDGEWAY DR  HOUSTON</v>
      </c>
      <c r="H921" s="27" t="str">
        <f t="shared" si="29"/>
        <v>HOUSTON TX 77087</v>
      </c>
    </row>
    <row r="922" spans="1:8" x14ac:dyDescent="0.2">
      <c r="A922" s="27">
        <f>COUNTIFS(C:C,C922,D:D,D922)</f>
        <v>1</v>
      </c>
      <c r="B922" s="30">
        <v>202101156270</v>
      </c>
      <c r="C922" s="28" t="s">
        <v>5027</v>
      </c>
      <c r="D922" s="28" t="s">
        <v>1311</v>
      </c>
      <c r="E922" s="28" t="s">
        <v>4891</v>
      </c>
      <c r="F922" s="28" t="s">
        <v>306</v>
      </c>
      <c r="G922" s="27" t="str">
        <f t="shared" si="28"/>
        <v>1216 DEWALT ST  HOUSTON</v>
      </c>
      <c r="H922" s="27" t="str">
        <f t="shared" si="29"/>
        <v>HOUSTON TX 77088</v>
      </c>
    </row>
    <row r="923" spans="1:8" x14ac:dyDescent="0.2">
      <c r="A923" s="27">
        <f>COUNTIFS(C:C,C923,D:D,D923)</f>
        <v>1</v>
      </c>
      <c r="B923" s="30">
        <v>202101156272</v>
      </c>
      <c r="C923" t="s">
        <v>3818</v>
      </c>
      <c r="D923" t="s">
        <v>3819</v>
      </c>
      <c r="E923" t="s">
        <v>4918</v>
      </c>
      <c r="F923" t="s">
        <v>53</v>
      </c>
      <c r="G923" s="27" t="str">
        <f t="shared" si="28"/>
        <v>11423 MILNERS POINT D R HOUSTON</v>
      </c>
      <c r="H923" s="27" t="str">
        <f t="shared" si="29"/>
        <v>HOUSTON TX 77066</v>
      </c>
    </row>
    <row r="924" spans="1:8" x14ac:dyDescent="0.2">
      <c r="A924" s="27">
        <f>COUNTIFS(C:C,C924,D:D,D924)</f>
        <v>1</v>
      </c>
      <c r="B924" s="30">
        <v>202101156273</v>
      </c>
      <c r="C924" s="28" t="s">
        <v>472</v>
      </c>
      <c r="D924" s="28" t="s">
        <v>473</v>
      </c>
      <c r="E924" s="28" t="s">
        <v>4878</v>
      </c>
      <c r="F924" s="28" t="s">
        <v>66</v>
      </c>
      <c r="G924" s="27" t="str">
        <f t="shared" si="28"/>
        <v>12107 ROCKFORD  HOUSTON</v>
      </c>
      <c r="H924" s="27" t="str">
        <f t="shared" si="29"/>
        <v>HOUSTON TX 77048</v>
      </c>
    </row>
    <row r="925" spans="1:8" x14ac:dyDescent="0.2">
      <c r="A925" s="27">
        <f>COUNTIFS(C:C,C925,D:D,D925)</f>
        <v>1</v>
      </c>
      <c r="B925" s="30">
        <v>202101156276</v>
      </c>
      <c r="C925" s="28" t="s">
        <v>1444</v>
      </c>
      <c r="D925" s="28" t="s">
        <v>1445</v>
      </c>
      <c r="E925" s="28" t="s">
        <v>4876</v>
      </c>
      <c r="F925" s="28" t="s">
        <v>78</v>
      </c>
      <c r="G925" s="27" t="str">
        <f t="shared" si="28"/>
        <v>309 UVALDE RD  HOUSTON</v>
      </c>
      <c r="H925" s="27" t="str">
        <f t="shared" si="29"/>
        <v>HOUSTON TX 77015</v>
      </c>
    </row>
    <row r="926" spans="1:8" x14ac:dyDescent="0.2">
      <c r="A926" s="27">
        <f>COUNTIFS(C:C,C926,D:D,D926)</f>
        <v>1</v>
      </c>
      <c r="B926" s="30">
        <v>202101156277</v>
      </c>
      <c r="C926" s="28" t="s">
        <v>438</v>
      </c>
      <c r="D926" s="28" t="s">
        <v>439</v>
      </c>
      <c r="E926" s="28" t="s">
        <v>4866</v>
      </c>
      <c r="F926" s="28" t="s">
        <v>99</v>
      </c>
      <c r="G926" s="27" t="str">
        <f t="shared" si="28"/>
        <v>5620 N FWY  HOUSTON</v>
      </c>
      <c r="H926" s="27" t="str">
        <f t="shared" si="29"/>
        <v>HOUSTON TX 77076</v>
      </c>
    </row>
    <row r="927" spans="1:8" x14ac:dyDescent="0.2">
      <c r="A927" s="27">
        <f>COUNTIFS(C:C,C927,D:D,D927)</f>
        <v>1</v>
      </c>
      <c r="B927" s="30">
        <v>202101156278</v>
      </c>
      <c r="C927" t="s">
        <v>2993</v>
      </c>
      <c r="D927" t="s">
        <v>2994</v>
      </c>
      <c r="E927" t="s">
        <v>4903</v>
      </c>
      <c r="F927" t="s">
        <v>66</v>
      </c>
      <c r="G927" s="27" t="str">
        <f t="shared" si="28"/>
        <v>9110 FALLS GULCH CT  CYPRESS</v>
      </c>
      <c r="H927" s="27" t="str">
        <f t="shared" si="29"/>
        <v>HOUSTON TX 77433</v>
      </c>
    </row>
    <row r="928" spans="1:8" x14ac:dyDescent="0.2">
      <c r="A928" s="27">
        <f>COUNTIFS(C:C,C928,D:D,D928)</f>
        <v>1</v>
      </c>
      <c r="B928" s="30">
        <v>202101156285</v>
      </c>
      <c r="C928" t="s">
        <v>2705</v>
      </c>
      <c r="D928" t="s">
        <v>2706</v>
      </c>
      <c r="E928" t="s">
        <v>5072</v>
      </c>
      <c r="F928" t="s">
        <v>96</v>
      </c>
      <c r="G928" s="27" t="str">
        <f t="shared" si="28"/>
        <v>19203 OPUL TRAILS CT  FORT BEND</v>
      </c>
      <c r="H928" s="27" t="str">
        <f t="shared" si="29"/>
        <v>HOUSTON TX 77469</v>
      </c>
    </row>
    <row r="929" spans="1:8" x14ac:dyDescent="0.2">
      <c r="A929" s="27">
        <f>COUNTIFS(C:C,C929,D:D,D929)</f>
        <v>1</v>
      </c>
      <c r="B929" s="30">
        <v>202101156287</v>
      </c>
      <c r="C929" s="28" t="s">
        <v>1792</v>
      </c>
      <c r="D929" s="28" t="s">
        <v>1445</v>
      </c>
      <c r="E929" s="28" t="s">
        <v>4876</v>
      </c>
      <c r="F929" s="28" t="s">
        <v>297</v>
      </c>
      <c r="G929" s="27" t="str">
        <f t="shared" si="28"/>
        <v>309 UVALDE RD  HOUSTON</v>
      </c>
      <c r="H929" s="27" t="str">
        <f t="shared" si="29"/>
        <v>HOUSTON TX 77015</v>
      </c>
    </row>
    <row r="930" spans="1:8" x14ac:dyDescent="0.2">
      <c r="A930" s="27">
        <f>COUNTIFS(C:C,C930,D:D,D930)</f>
        <v>1</v>
      </c>
      <c r="B930" s="30">
        <v>202101156289</v>
      </c>
      <c r="C930" t="s">
        <v>3065</v>
      </c>
      <c r="D930" t="s">
        <v>3066</v>
      </c>
      <c r="E930" t="s">
        <v>4880</v>
      </c>
      <c r="F930" t="s">
        <v>88</v>
      </c>
      <c r="G930" s="27" t="str">
        <f t="shared" si="28"/>
        <v>2829 DREW ST  HOUSTON</v>
      </c>
      <c r="H930" s="27" t="str">
        <f t="shared" si="29"/>
        <v>HOUSTON TX 77004</v>
      </c>
    </row>
    <row r="931" spans="1:8" x14ac:dyDescent="0.2">
      <c r="A931" s="27">
        <f>COUNTIFS(C:C,C931,D:D,D931)</f>
        <v>1</v>
      </c>
      <c r="B931" s="30">
        <v>202101156290</v>
      </c>
      <c r="C931" s="28" t="s">
        <v>1697</v>
      </c>
      <c r="D931" s="28" t="s">
        <v>1698</v>
      </c>
      <c r="E931" s="28" t="s">
        <v>4893</v>
      </c>
      <c r="F931" s="28" t="s">
        <v>67</v>
      </c>
      <c r="G931" s="27" t="str">
        <f t="shared" si="28"/>
        <v>2635 ALMEDA PLAZA DR  HOUSTON</v>
      </c>
      <c r="H931" s="27" t="str">
        <f t="shared" si="29"/>
        <v>HOUSTON TX 77045</v>
      </c>
    </row>
    <row r="932" spans="1:8" x14ac:dyDescent="0.2">
      <c r="A932" s="27">
        <f>COUNTIFS(C:C,C932,D:D,D932)</f>
        <v>1</v>
      </c>
      <c r="B932" s="30">
        <v>202101156291</v>
      </c>
      <c r="C932" s="28" t="s">
        <v>1707</v>
      </c>
      <c r="D932" s="28" t="s">
        <v>1708</v>
      </c>
      <c r="E932" s="28" t="s">
        <v>4986</v>
      </c>
      <c r="F932" s="28" t="s">
        <v>88</v>
      </c>
      <c r="G932" s="27" t="str">
        <f t="shared" si="28"/>
        <v>9814 FM 1960 BYP  HUMBLE</v>
      </c>
      <c r="H932" s="27" t="str">
        <f t="shared" si="29"/>
        <v>HOUSTON TX 77338</v>
      </c>
    </row>
    <row r="933" spans="1:8" x14ac:dyDescent="0.2">
      <c r="A933" s="27">
        <f>COUNTIFS(C:C,C933,D:D,D933)</f>
        <v>1</v>
      </c>
      <c r="B933" s="30">
        <v>202101156292</v>
      </c>
      <c r="C933" s="28" t="s">
        <v>940</v>
      </c>
      <c r="D933" s="28" t="s">
        <v>941</v>
      </c>
      <c r="E933" s="28" t="s">
        <v>4891</v>
      </c>
      <c r="F933" s="28" t="s">
        <v>98</v>
      </c>
      <c r="G933" s="27" t="str">
        <f t="shared" si="28"/>
        <v>2103 DEERHURST  HOUSTON</v>
      </c>
      <c r="H933" s="27" t="str">
        <f t="shared" si="29"/>
        <v>HOUSTON TX 77088</v>
      </c>
    </row>
    <row r="934" spans="1:8" x14ac:dyDescent="0.2">
      <c r="A934" s="27">
        <f>COUNTIFS(C:C,C934,D:D,D934)</f>
        <v>1</v>
      </c>
      <c r="B934" s="30">
        <v>202101156295</v>
      </c>
      <c r="C934" t="s">
        <v>3830</v>
      </c>
      <c r="D934" t="s">
        <v>3831</v>
      </c>
      <c r="E934" t="s">
        <v>4865</v>
      </c>
      <c r="F934" t="s">
        <v>87</v>
      </c>
      <c r="G934" s="27" t="str">
        <f t="shared" si="28"/>
        <v>10525 EASTEX FREEWAY  HOUSTON</v>
      </c>
      <c r="H934" s="27" t="str">
        <f t="shared" si="29"/>
        <v xml:space="preserve">HOUSTON TX      </v>
      </c>
    </row>
    <row r="935" spans="1:8" x14ac:dyDescent="0.2">
      <c r="A935" s="27">
        <f>COUNTIFS(C:C,C935,D:D,D935)</f>
        <v>1</v>
      </c>
      <c r="B935" s="30">
        <v>202101156296</v>
      </c>
      <c r="C935" t="s">
        <v>3834</v>
      </c>
      <c r="D935" t="s">
        <v>3835</v>
      </c>
      <c r="E935" t="s">
        <v>4910</v>
      </c>
      <c r="F935" t="s">
        <v>111</v>
      </c>
      <c r="G935" s="27" t="str">
        <f t="shared" si="28"/>
        <v>815 SPATES ST  CHANNELVIE</v>
      </c>
      <c r="H935" s="27" t="str">
        <f t="shared" si="29"/>
        <v>HOUSTON TX 77530</v>
      </c>
    </row>
    <row r="936" spans="1:8" x14ac:dyDescent="0.2">
      <c r="A936" s="27">
        <f>COUNTIFS(C:C,C936,D:D,D936)</f>
        <v>1</v>
      </c>
      <c r="B936" s="30">
        <v>202101156298</v>
      </c>
      <c r="C936" s="28" t="s">
        <v>632</v>
      </c>
      <c r="D936" s="28" t="s">
        <v>633</v>
      </c>
      <c r="E936" s="28" t="s">
        <v>4927</v>
      </c>
      <c r="F936" s="28" t="s">
        <v>90</v>
      </c>
      <c r="G936" s="27" t="e">
        <f t="shared" si="28"/>
        <v>#VALUE!</v>
      </c>
      <c r="H936" s="27" t="e">
        <f t="shared" si="29"/>
        <v>#VALUE!</v>
      </c>
    </row>
    <row r="937" spans="1:8" x14ac:dyDescent="0.2">
      <c r="A937" s="27">
        <f>COUNTIFS(C:C,C937,D:D,D937)</f>
        <v>1</v>
      </c>
      <c r="B937" s="30">
        <v>202101156299</v>
      </c>
      <c r="C937" s="28" t="s">
        <v>617</v>
      </c>
      <c r="D937" s="28" t="s">
        <v>618</v>
      </c>
      <c r="E937" s="28" t="s">
        <v>4910</v>
      </c>
      <c r="F937" s="28" t="s">
        <v>68</v>
      </c>
      <c r="G937" s="27" t="str">
        <f t="shared" si="28"/>
        <v>975 SHELDON RD  CHANNELVIE</v>
      </c>
      <c r="H937" s="27" t="str">
        <f t="shared" si="29"/>
        <v>HOUSTON TX 77530</v>
      </c>
    </row>
    <row r="938" spans="1:8" x14ac:dyDescent="0.2">
      <c r="A938" s="27">
        <f>COUNTIFS(C:C,C938,D:D,D938)</f>
        <v>1</v>
      </c>
      <c r="B938" s="30">
        <v>202101156304</v>
      </c>
      <c r="C938" s="28" t="s">
        <v>1723</v>
      </c>
      <c r="D938" s="28" t="s">
        <v>1724</v>
      </c>
      <c r="E938" s="28" t="s">
        <v>4994</v>
      </c>
      <c r="F938" s="28" t="s">
        <v>87</v>
      </c>
      <c r="G938" s="27" t="str">
        <f t="shared" ref="G938:G1001" si="30">D938&amp;" "&amp;MID(E938,1,FIND(" TX",E938)-1)</f>
        <v>1926 LOUETTA PARK CI R SPRING</v>
      </c>
      <c r="H938" s="27" t="str">
        <f t="shared" ref="H938:H1001" si="31">"HOUSTON "&amp;MID(E938,FIND("TX",E938),8)</f>
        <v>HOUSTON TX 77388</v>
      </c>
    </row>
    <row r="939" spans="1:8" x14ac:dyDescent="0.2">
      <c r="A939" s="27">
        <f>COUNTIFS(C:C,C939,D:D,D939)</f>
        <v>1</v>
      </c>
      <c r="B939" s="30">
        <v>202101156306</v>
      </c>
      <c r="C939" t="s">
        <v>2154</v>
      </c>
      <c r="D939" t="s">
        <v>2155</v>
      </c>
      <c r="E939" t="s">
        <v>5034</v>
      </c>
      <c r="F939" t="s">
        <v>88</v>
      </c>
      <c r="G939" s="27" t="str">
        <f t="shared" si="30"/>
        <v>29519 RICHARDS RD  SPRING</v>
      </c>
      <c r="H939" s="27" t="str">
        <f t="shared" si="31"/>
        <v>HOUSTON TX 77386</v>
      </c>
    </row>
    <row r="940" spans="1:8" x14ac:dyDescent="0.2">
      <c r="A940" s="27">
        <f>COUNTIFS(C:C,C940,D:D,D940)</f>
        <v>1</v>
      </c>
      <c r="B940" s="30">
        <v>202101156308</v>
      </c>
      <c r="C940" t="s">
        <v>3836</v>
      </c>
      <c r="D940" t="s">
        <v>3837</v>
      </c>
      <c r="E940" t="s">
        <v>5224</v>
      </c>
      <c r="F940" t="s">
        <v>88</v>
      </c>
      <c r="G940" s="27" t="str">
        <f t="shared" si="30"/>
        <v>4384 BARON DE BASTRO P SAN FELIPE</v>
      </c>
      <c r="H940" s="27" t="str">
        <f t="shared" si="31"/>
        <v>HOUSTON TX 77473</v>
      </c>
    </row>
    <row r="941" spans="1:8" x14ac:dyDescent="0.2">
      <c r="A941" s="27">
        <f>COUNTIFS(C:C,C941,D:D,D941)</f>
        <v>1</v>
      </c>
      <c r="B941" s="30">
        <v>202101156313</v>
      </c>
      <c r="C941" t="s">
        <v>2910</v>
      </c>
      <c r="D941" t="s">
        <v>2911</v>
      </c>
      <c r="E941" t="s">
        <v>4873</v>
      </c>
      <c r="F941" t="s">
        <v>69</v>
      </c>
      <c r="G941" s="27" t="str">
        <f t="shared" si="30"/>
        <v>12042 FERN FOREST DR  HOUSTON</v>
      </c>
      <c r="H941" s="27" t="str">
        <f t="shared" si="31"/>
        <v>HOUSTON TX 77044</v>
      </c>
    </row>
    <row r="942" spans="1:8" x14ac:dyDescent="0.2">
      <c r="A942" s="27">
        <f>COUNTIFS(C:C,C942,D:D,D942)</f>
        <v>1</v>
      </c>
      <c r="B942" s="30">
        <v>202101156314</v>
      </c>
      <c r="C942" t="s">
        <v>3269</v>
      </c>
      <c r="D942" t="s">
        <v>3270</v>
      </c>
      <c r="E942" t="s">
        <v>4991</v>
      </c>
      <c r="F942" t="s">
        <v>69</v>
      </c>
      <c r="G942" s="27" t="str">
        <f t="shared" si="30"/>
        <v>11212 WESTPARK DR  HOUSTON</v>
      </c>
      <c r="H942" s="27" t="str">
        <f t="shared" si="31"/>
        <v>HOUSTON TX 77042</v>
      </c>
    </row>
    <row r="943" spans="1:8" x14ac:dyDescent="0.2">
      <c r="A943" s="27">
        <f>COUNTIFS(C:C,C943,D:D,D943)</f>
        <v>1</v>
      </c>
      <c r="B943" s="30">
        <v>202101156318</v>
      </c>
      <c r="C943" t="s">
        <v>3840</v>
      </c>
      <c r="D943" t="s">
        <v>3841</v>
      </c>
      <c r="E943" t="s">
        <v>4983</v>
      </c>
      <c r="F943" t="s">
        <v>53</v>
      </c>
      <c r="G943" s="27" t="str">
        <f t="shared" si="30"/>
        <v>2634 DEBORAH ST  STAFFORD</v>
      </c>
      <c r="H943" s="27" t="str">
        <f t="shared" si="31"/>
        <v>HOUSTON TX 77477</v>
      </c>
    </row>
    <row r="944" spans="1:8" x14ac:dyDescent="0.2">
      <c r="A944" s="27">
        <f>COUNTIFS(C:C,C944,D:D,D944)</f>
        <v>1</v>
      </c>
      <c r="B944" s="30">
        <v>202101156327</v>
      </c>
      <c r="C944" t="s">
        <v>3848</v>
      </c>
      <c r="D944" t="s">
        <v>3849</v>
      </c>
      <c r="E944" t="s">
        <v>4874</v>
      </c>
      <c r="F944" t="s">
        <v>375</v>
      </c>
      <c r="G944" s="27" t="str">
        <f t="shared" si="30"/>
        <v>7402 CALHOUN RD  HOUSTON</v>
      </c>
      <c r="H944" s="27" t="str">
        <f t="shared" si="31"/>
        <v>HOUSTON TX 77033</v>
      </c>
    </row>
    <row r="945" spans="1:8" x14ac:dyDescent="0.2">
      <c r="A945" s="27">
        <f>COUNTIFS(C:C,C945,D:D,D945)</f>
        <v>1</v>
      </c>
      <c r="B945" s="30">
        <v>202101156328</v>
      </c>
      <c r="C945" t="s">
        <v>3844</v>
      </c>
      <c r="D945" t="s">
        <v>3845</v>
      </c>
      <c r="E945" t="s">
        <v>4910</v>
      </c>
      <c r="F945" t="s">
        <v>88</v>
      </c>
      <c r="G945" s="27" t="str">
        <f t="shared" si="30"/>
        <v>918 BECKER ST  CHANNELVIE</v>
      </c>
      <c r="H945" s="27" t="str">
        <f t="shared" si="31"/>
        <v>HOUSTON TX 77530</v>
      </c>
    </row>
    <row r="946" spans="1:8" x14ac:dyDescent="0.2">
      <c r="A946" s="27">
        <f>COUNTIFS(C:C,C946,D:D,D946)</f>
        <v>1</v>
      </c>
      <c r="B946" s="30">
        <v>202101156329</v>
      </c>
      <c r="C946" t="s">
        <v>3850</v>
      </c>
      <c r="D946" t="s">
        <v>3851</v>
      </c>
      <c r="E946" t="s">
        <v>4919</v>
      </c>
      <c r="F946" t="s">
        <v>68</v>
      </c>
      <c r="G946" s="27" t="str">
        <f t="shared" si="30"/>
        <v>5510 S RICE AVE 1522  HOUSTON</v>
      </c>
      <c r="H946" s="27" t="str">
        <f t="shared" si="31"/>
        <v>HOUSTON TX 77081</v>
      </c>
    </row>
    <row r="947" spans="1:8" x14ac:dyDescent="0.2">
      <c r="A947" s="27">
        <f>COUNTIFS(C:C,C947,D:D,D947)</f>
        <v>1</v>
      </c>
      <c r="B947" s="30">
        <v>202101156331</v>
      </c>
      <c r="C947" t="s">
        <v>3216</v>
      </c>
      <c r="D947" t="s">
        <v>3217</v>
      </c>
      <c r="E947" t="s">
        <v>4914</v>
      </c>
      <c r="F947" t="s">
        <v>79</v>
      </c>
      <c r="G947" s="27" t="str">
        <f t="shared" si="30"/>
        <v>11710 BRIAR FOREST DR  HOUSTON</v>
      </c>
      <c r="H947" s="27" t="str">
        <f t="shared" si="31"/>
        <v>HOUSTON TX 77077</v>
      </c>
    </row>
    <row r="948" spans="1:8" x14ac:dyDescent="0.2">
      <c r="A948" s="27">
        <f>COUNTIFS(C:C,C948,D:D,D948)</f>
        <v>1</v>
      </c>
      <c r="B948" s="30">
        <v>202101156339</v>
      </c>
      <c r="C948" t="s">
        <v>2928</v>
      </c>
      <c r="D948" t="s">
        <v>2929</v>
      </c>
      <c r="E948" t="s">
        <v>4854</v>
      </c>
      <c r="F948" t="s">
        <v>64</v>
      </c>
      <c r="G948" s="27" t="str">
        <f t="shared" si="30"/>
        <v>530 COLLINGSWORTH  HOUSTON</v>
      </c>
      <c r="H948" s="27" t="str">
        <f t="shared" si="31"/>
        <v>HOUSTON TX 77026</v>
      </c>
    </row>
    <row r="949" spans="1:8" x14ac:dyDescent="0.2">
      <c r="A949" s="27">
        <f>COUNTIFS(C:C,C949,D:D,D949)</f>
        <v>1</v>
      </c>
      <c r="B949" s="30">
        <v>202101156340</v>
      </c>
      <c r="C949" t="s">
        <v>2280</v>
      </c>
      <c r="D949" t="s">
        <v>2281</v>
      </c>
      <c r="E949" t="s">
        <v>4896</v>
      </c>
      <c r="F949" t="s">
        <v>88</v>
      </c>
      <c r="G949" s="27" t="str">
        <f t="shared" si="30"/>
        <v>9000 TOWN PARK DR AP T 809 HOUSTON</v>
      </c>
      <c r="H949" s="27" t="str">
        <f t="shared" si="31"/>
        <v>HOUSTON TX 77036</v>
      </c>
    </row>
    <row r="950" spans="1:8" x14ac:dyDescent="0.2">
      <c r="A950" s="27">
        <f>COUNTIFS(C:C,C950,D:D,D950)</f>
        <v>1</v>
      </c>
      <c r="B950" s="30">
        <v>202101156341</v>
      </c>
      <c r="C950" t="s">
        <v>3852</v>
      </c>
      <c r="D950" t="s">
        <v>3853</v>
      </c>
      <c r="E950" t="s">
        <v>4932</v>
      </c>
      <c r="F950" t="s">
        <v>53</v>
      </c>
      <c r="G950" s="27" t="str">
        <f t="shared" si="30"/>
        <v>5700 THOUSAND OAKS D R HOUSTON</v>
      </c>
      <c r="H950" s="27" t="str">
        <f t="shared" si="31"/>
        <v>HOUSTON TX 77092</v>
      </c>
    </row>
    <row r="951" spans="1:8" x14ac:dyDescent="0.2">
      <c r="A951" s="27">
        <f>COUNTIFS(C:C,C951,D:D,D951)</f>
        <v>1</v>
      </c>
      <c r="B951" s="30">
        <v>202101156343</v>
      </c>
      <c r="C951" t="s">
        <v>3185</v>
      </c>
      <c r="D951" t="s">
        <v>3186</v>
      </c>
      <c r="E951" t="s">
        <v>4951</v>
      </c>
      <c r="F951" t="s">
        <v>96</v>
      </c>
      <c r="G951" s="27" t="str">
        <f t="shared" si="30"/>
        <v>16818 PINE CASTLE DRI VE HOUSTON</v>
      </c>
      <c r="H951" s="27" t="str">
        <f t="shared" si="31"/>
        <v>HOUSTON TX 77095</v>
      </c>
    </row>
    <row r="952" spans="1:8" x14ac:dyDescent="0.2">
      <c r="A952" s="27">
        <f>COUNTIFS(C:C,C952,D:D,D952)</f>
        <v>1</v>
      </c>
      <c r="B952" s="30">
        <v>202101156350</v>
      </c>
      <c r="C952" t="s">
        <v>3854</v>
      </c>
      <c r="D952" t="s">
        <v>3855</v>
      </c>
      <c r="E952" t="s">
        <v>4931</v>
      </c>
      <c r="F952" t="s">
        <v>78</v>
      </c>
      <c r="G952" s="27" t="str">
        <f t="shared" si="30"/>
        <v>3039 PATIENCE AVE  HOUSTON</v>
      </c>
      <c r="H952" s="27" t="str">
        <f t="shared" si="31"/>
        <v>HOUSTON TX 77014</v>
      </c>
    </row>
    <row r="953" spans="1:8" x14ac:dyDescent="0.2">
      <c r="A953" s="27">
        <f>COUNTIFS(C:C,C953,D:D,D953)</f>
        <v>1</v>
      </c>
      <c r="B953" s="30">
        <v>202101156351</v>
      </c>
      <c r="C953" t="s">
        <v>3860</v>
      </c>
      <c r="D953" t="s">
        <v>3861</v>
      </c>
      <c r="E953" t="s">
        <v>4862</v>
      </c>
      <c r="F953" t="s">
        <v>56</v>
      </c>
      <c r="G953" s="27" t="str">
        <f t="shared" si="30"/>
        <v>2110 BRUNDAGE DR 421 1 HOUSTON</v>
      </c>
      <c r="H953" s="27" t="str">
        <f t="shared" si="31"/>
        <v>HOUSTON TX 77090</v>
      </c>
    </row>
    <row r="954" spans="1:8" x14ac:dyDescent="0.2">
      <c r="A954" s="27">
        <f>COUNTIFS(C:C,C954,D:D,D954)</f>
        <v>1</v>
      </c>
      <c r="B954" s="30">
        <v>202101156353</v>
      </c>
      <c r="C954" s="28" t="s">
        <v>1778</v>
      </c>
      <c r="D954" s="28" t="s">
        <v>1779</v>
      </c>
      <c r="E954" s="28" t="s">
        <v>4952</v>
      </c>
      <c r="F954" s="28" t="s">
        <v>53</v>
      </c>
      <c r="G954" s="27" t="str">
        <f t="shared" si="30"/>
        <v>510 ALVIN ST  PASADENA</v>
      </c>
      <c r="H954" s="27" t="str">
        <f t="shared" si="31"/>
        <v>HOUSTON TX 77506</v>
      </c>
    </row>
    <row r="955" spans="1:8" x14ac:dyDescent="0.2">
      <c r="A955" s="27">
        <f>COUNTIFS(C:C,C955,D:D,D955)</f>
        <v>1</v>
      </c>
      <c r="B955" s="30">
        <v>202101156354</v>
      </c>
      <c r="C955" s="28" t="s">
        <v>900</v>
      </c>
      <c r="D955" s="28" t="s">
        <v>901</v>
      </c>
      <c r="E955" s="28" t="s">
        <v>4873</v>
      </c>
      <c r="F955" s="28" t="s">
        <v>291</v>
      </c>
      <c r="G955" s="27" t="str">
        <f t="shared" si="30"/>
        <v>16802 CHAPMAN LAKE CT  HOUSTON</v>
      </c>
      <c r="H955" s="27" t="str">
        <f t="shared" si="31"/>
        <v>HOUSTON TX 77044</v>
      </c>
    </row>
    <row r="956" spans="1:8" x14ac:dyDescent="0.2">
      <c r="A956" s="27">
        <f>COUNTIFS(C:C,C956,D:D,D956)</f>
        <v>1</v>
      </c>
      <c r="B956" s="30">
        <v>202101156360</v>
      </c>
      <c r="C956" t="s">
        <v>2995</v>
      </c>
      <c r="D956" t="s">
        <v>2996</v>
      </c>
      <c r="E956" t="s">
        <v>4879</v>
      </c>
      <c r="F956" t="s">
        <v>165</v>
      </c>
      <c r="G956" s="27" t="str">
        <f t="shared" si="30"/>
        <v>508 WEST DONOVAN ST . UNIT L HOUSTON</v>
      </c>
      <c r="H956" s="27" t="str">
        <f t="shared" si="31"/>
        <v>HOUSTON TX 77091</v>
      </c>
    </row>
    <row r="957" spans="1:8" x14ac:dyDescent="0.2">
      <c r="A957" s="27">
        <f>COUNTIFS(C:C,C957,D:D,D957)</f>
        <v>1</v>
      </c>
      <c r="B957" s="30">
        <v>202101156363</v>
      </c>
      <c r="C957" t="s">
        <v>3283</v>
      </c>
      <c r="D957" t="s">
        <v>3284</v>
      </c>
      <c r="E957" t="s">
        <v>4891</v>
      </c>
      <c r="F957" t="s">
        <v>94</v>
      </c>
      <c r="G957" s="27" t="str">
        <f t="shared" si="30"/>
        <v>3553 GULF BANK RD  HOUSTON</v>
      </c>
      <c r="H957" s="27" t="str">
        <f t="shared" si="31"/>
        <v>HOUSTON TX 77088</v>
      </c>
    </row>
    <row r="958" spans="1:8" x14ac:dyDescent="0.2">
      <c r="A958" s="27">
        <f>COUNTIFS(C:C,C958,D:D,D958)</f>
        <v>1</v>
      </c>
      <c r="B958" s="30">
        <v>202101156367</v>
      </c>
      <c r="C958" s="28" t="s">
        <v>571</v>
      </c>
      <c r="D958" s="28" t="s">
        <v>572</v>
      </c>
      <c r="E958" s="28" t="s">
        <v>4910</v>
      </c>
      <c r="F958" s="28" t="s">
        <v>53</v>
      </c>
      <c r="G958" s="27" t="str">
        <f t="shared" si="30"/>
        <v>1144 GREENCROFT STEE T CHANNELVIE</v>
      </c>
      <c r="H958" s="27" t="str">
        <f t="shared" si="31"/>
        <v>HOUSTON TX 77530</v>
      </c>
    </row>
    <row r="959" spans="1:8" x14ac:dyDescent="0.2">
      <c r="A959" s="27">
        <f>COUNTIFS(C:C,C959,D:D,D959)</f>
        <v>1</v>
      </c>
      <c r="B959" s="30">
        <v>202101156368</v>
      </c>
      <c r="C959" t="s">
        <v>2674</v>
      </c>
      <c r="D959" t="s">
        <v>2675</v>
      </c>
      <c r="E959" t="s">
        <v>5144</v>
      </c>
      <c r="F959" t="s">
        <v>85</v>
      </c>
      <c r="G959" s="27" t="str">
        <f t="shared" si="30"/>
        <v>1804 QURTZ ST  PENITAS</v>
      </c>
      <c r="H959" s="27" t="str">
        <f t="shared" si="31"/>
        <v>HOUSTON TX 78576</v>
      </c>
    </row>
    <row r="960" spans="1:8" x14ac:dyDescent="0.2">
      <c r="A960" s="27">
        <f>COUNTIFS(C:C,C960,D:D,D960)</f>
        <v>1</v>
      </c>
      <c r="B960" s="30">
        <v>202101156369</v>
      </c>
      <c r="C960" t="s">
        <v>3862</v>
      </c>
      <c r="D960" t="s">
        <v>3863</v>
      </c>
      <c r="E960" t="s">
        <v>5225</v>
      </c>
      <c r="F960" t="s">
        <v>88</v>
      </c>
      <c r="G960" s="27" t="str">
        <f t="shared" si="30"/>
        <v>5011 PAIGE STREET 8  HOUSTON</v>
      </c>
      <c r="H960" s="27" t="str">
        <f t="shared" si="31"/>
        <v>HOUSTON TX 77005</v>
      </c>
    </row>
    <row r="961" spans="1:8" x14ac:dyDescent="0.2">
      <c r="A961" s="27">
        <f>COUNTIFS(C:C,C961,D:D,D961)</f>
        <v>1</v>
      </c>
      <c r="B961" s="30">
        <v>202101156373</v>
      </c>
      <c r="C961" t="s">
        <v>2136</v>
      </c>
      <c r="D961" t="s">
        <v>2137</v>
      </c>
      <c r="E961" t="s">
        <v>4919</v>
      </c>
      <c r="F961" t="s">
        <v>334</v>
      </c>
      <c r="G961" s="27" t="str">
        <f t="shared" si="30"/>
        <v>6550 HILCROFT APT 17 1 HOUSTON</v>
      </c>
      <c r="H961" s="27" t="str">
        <f t="shared" si="31"/>
        <v>HOUSTON TX 77081</v>
      </c>
    </row>
    <row r="962" spans="1:8" x14ac:dyDescent="0.2">
      <c r="A962" s="27">
        <f>COUNTIFS(C:C,C962,D:D,D962)</f>
        <v>1</v>
      </c>
      <c r="B962" s="30">
        <v>202101156374</v>
      </c>
      <c r="C962" s="28" t="s">
        <v>690</v>
      </c>
      <c r="D962" s="28" t="s">
        <v>691</v>
      </c>
      <c r="E962" s="28" t="s">
        <v>4860</v>
      </c>
      <c r="F962" s="28" t="s">
        <v>88</v>
      </c>
      <c r="G962" s="27" t="str">
        <f t="shared" si="30"/>
        <v>10303 OTTER CIRCLE  BAYTOWN</v>
      </c>
      <c r="H962" s="27" t="str">
        <f t="shared" si="31"/>
        <v>HOUSTON TX 77520</v>
      </c>
    </row>
    <row r="963" spans="1:8" x14ac:dyDescent="0.2">
      <c r="A963" s="27">
        <f>COUNTIFS(C:C,C963,D:D,D963)</f>
        <v>1</v>
      </c>
      <c r="B963" s="30">
        <v>202101156375</v>
      </c>
      <c r="C963" t="s">
        <v>3255</v>
      </c>
      <c r="D963" t="s">
        <v>3256</v>
      </c>
      <c r="E963" t="s">
        <v>4960</v>
      </c>
      <c r="F963" t="s">
        <v>297</v>
      </c>
      <c r="G963" s="27" t="str">
        <f t="shared" si="30"/>
        <v>545 SEMINAR  HOUSTON</v>
      </c>
      <c r="H963" s="27" t="str">
        <f t="shared" si="31"/>
        <v>HOUSTON TX 77060</v>
      </c>
    </row>
    <row r="964" spans="1:8" x14ac:dyDescent="0.2">
      <c r="A964" s="27">
        <f>COUNTIFS(C:C,C964,D:D,D964)</f>
        <v>1</v>
      </c>
      <c r="B964" s="30">
        <v>202101156376</v>
      </c>
      <c r="C964" t="s">
        <v>3868</v>
      </c>
      <c r="D964" t="s">
        <v>3869</v>
      </c>
      <c r="E964" t="s">
        <v>4893</v>
      </c>
      <c r="F964" t="s">
        <v>88</v>
      </c>
      <c r="G964" s="27" t="str">
        <f t="shared" si="30"/>
        <v>14102 WHITE HEATHER D R HOUSTON</v>
      </c>
      <c r="H964" s="27" t="str">
        <f t="shared" si="31"/>
        <v>HOUSTON TX 77045</v>
      </c>
    </row>
    <row r="965" spans="1:8" x14ac:dyDescent="0.2">
      <c r="A965" s="27">
        <f>COUNTIFS(C:C,C965,D:D,D965)</f>
        <v>1</v>
      </c>
      <c r="B965" s="30">
        <v>202101156378</v>
      </c>
      <c r="C965" s="28" t="s">
        <v>428</v>
      </c>
      <c r="D965" s="28" t="s">
        <v>429</v>
      </c>
      <c r="E965" s="28" t="s">
        <v>4862</v>
      </c>
      <c r="F965" s="28" t="s">
        <v>88</v>
      </c>
      <c r="G965" s="27" t="str">
        <f t="shared" si="30"/>
        <v>16112 N FREEWAY  HOUSTON</v>
      </c>
      <c r="H965" s="27" t="str">
        <f t="shared" si="31"/>
        <v>HOUSTON TX 77090</v>
      </c>
    </row>
    <row r="966" spans="1:8" x14ac:dyDescent="0.2">
      <c r="A966" s="27">
        <f>COUNTIFS(C:C,C966,D:D,D966)</f>
        <v>1</v>
      </c>
      <c r="B966" s="30">
        <v>202101156380</v>
      </c>
      <c r="C966" t="s">
        <v>3870</v>
      </c>
      <c r="D966" t="s">
        <v>3871</v>
      </c>
      <c r="E966" t="s">
        <v>5226</v>
      </c>
      <c r="F966" t="s">
        <v>66</v>
      </c>
      <c r="G966" s="27" t="str">
        <f t="shared" si="30"/>
        <v>1026 S 6TH ST  LA PORTE</v>
      </c>
      <c r="H966" s="27" t="str">
        <f t="shared" si="31"/>
        <v xml:space="preserve">HOUSTON TX      </v>
      </c>
    </row>
    <row r="967" spans="1:8" x14ac:dyDescent="0.2">
      <c r="A967" s="27">
        <f>COUNTIFS(C:C,C967,D:D,D967)</f>
        <v>1</v>
      </c>
      <c r="B967" s="30">
        <v>202101156382</v>
      </c>
      <c r="C967" t="s">
        <v>2380</v>
      </c>
      <c r="D967" t="s">
        <v>2381</v>
      </c>
      <c r="E967" t="s">
        <v>4982</v>
      </c>
      <c r="F967" t="s">
        <v>71</v>
      </c>
      <c r="G967" s="27" t="str">
        <f t="shared" si="30"/>
        <v>911 PILOT POINT DR  HOUSTON</v>
      </c>
      <c r="H967" s="27" t="str">
        <f t="shared" si="31"/>
        <v>HOUSTON TX 77038</v>
      </c>
    </row>
    <row r="968" spans="1:8" x14ac:dyDescent="0.2">
      <c r="A968" s="27">
        <f>COUNTIFS(C:C,C968,D:D,D968)</f>
        <v>1</v>
      </c>
      <c r="B968" s="30">
        <v>202101156383</v>
      </c>
      <c r="C968" t="s">
        <v>3872</v>
      </c>
      <c r="D968" t="s">
        <v>3873</v>
      </c>
      <c r="E968" t="s">
        <v>4874</v>
      </c>
      <c r="F968" t="s">
        <v>71</v>
      </c>
      <c r="G968" s="27" t="str">
        <f t="shared" si="30"/>
        <v>4700 WENDA ST 1027  HOUSTON</v>
      </c>
      <c r="H968" s="27" t="str">
        <f t="shared" si="31"/>
        <v>HOUSTON TX 77033</v>
      </c>
    </row>
    <row r="969" spans="1:8" x14ac:dyDescent="0.2">
      <c r="A969" s="27">
        <f>COUNTIFS(C:C,C969,D:D,D969)</f>
        <v>1</v>
      </c>
      <c r="B969" s="30">
        <v>202101156390</v>
      </c>
      <c r="C969" s="28" t="s">
        <v>1264</v>
      </c>
      <c r="D969" s="28" t="s">
        <v>1265</v>
      </c>
      <c r="E969" s="28" t="s">
        <v>5002</v>
      </c>
      <c r="F969" s="28" t="s">
        <v>303</v>
      </c>
      <c r="G969" s="27" t="str">
        <f t="shared" si="30"/>
        <v>2950 MEADOWGRASS LN  HOUSTON</v>
      </c>
      <c r="H969" s="27" t="str">
        <f t="shared" si="31"/>
        <v>HOUSTON TX 77082</v>
      </c>
    </row>
    <row r="970" spans="1:8" x14ac:dyDescent="0.2">
      <c r="A970" s="27">
        <f>COUNTIFS(C:C,C970,D:D,D970)</f>
        <v>1</v>
      </c>
      <c r="B970" s="30">
        <v>202101156392</v>
      </c>
      <c r="C970" t="s">
        <v>3874</v>
      </c>
      <c r="D970" t="s">
        <v>3875</v>
      </c>
      <c r="E970" t="s">
        <v>4895</v>
      </c>
      <c r="F970" t="s">
        <v>95</v>
      </c>
      <c r="G970" s="27" t="str">
        <f t="shared" si="30"/>
        <v>224 GRACE ST APT 6  HOUSTON</v>
      </c>
      <c r="H970" s="27" t="str">
        <f t="shared" si="31"/>
        <v>HOUSTON TX 77003</v>
      </c>
    </row>
    <row r="971" spans="1:8" x14ac:dyDescent="0.2">
      <c r="A971" s="27">
        <f>COUNTIFS(C:C,C971,D:D,D971)</f>
        <v>1</v>
      </c>
      <c r="B971" s="30">
        <v>202101156394</v>
      </c>
      <c r="C971" t="s">
        <v>2400</v>
      </c>
      <c r="D971" t="s">
        <v>2401</v>
      </c>
      <c r="E971" t="s">
        <v>4891</v>
      </c>
      <c r="F971" t="s">
        <v>79</v>
      </c>
      <c r="G971" s="27" t="str">
        <f t="shared" si="30"/>
        <v>7325 PHILLIPS ST  HOUSTON</v>
      </c>
      <c r="H971" s="27" t="str">
        <f t="shared" si="31"/>
        <v>HOUSTON TX 77088</v>
      </c>
    </row>
    <row r="972" spans="1:8" x14ac:dyDescent="0.2">
      <c r="A972" s="27">
        <f>COUNTIFS(C:C,C972,D:D,D972)</f>
        <v>1</v>
      </c>
      <c r="B972" s="30">
        <v>202101156396</v>
      </c>
      <c r="C972" s="28" t="s">
        <v>1780</v>
      </c>
      <c r="D972" s="28" t="s">
        <v>1781</v>
      </c>
      <c r="E972" s="28" t="s">
        <v>5074</v>
      </c>
      <c r="F972" s="28" t="s">
        <v>76</v>
      </c>
      <c r="G972" s="27" t="str">
        <f t="shared" si="30"/>
        <v>1016 MICHIGAN 2  SO HOUSTON</v>
      </c>
      <c r="H972" s="27" t="str">
        <f t="shared" si="31"/>
        <v>HOUSTON TX 77587</v>
      </c>
    </row>
    <row r="973" spans="1:8" x14ac:dyDescent="0.2">
      <c r="A973" s="27">
        <f>COUNTIFS(C:C,C973,D:D,D973)</f>
        <v>1</v>
      </c>
      <c r="B973" s="30">
        <v>202101156404</v>
      </c>
      <c r="C973" t="s">
        <v>2900</v>
      </c>
      <c r="D973" t="s">
        <v>2901</v>
      </c>
      <c r="E973" t="s">
        <v>4886</v>
      </c>
      <c r="F973" t="s">
        <v>79</v>
      </c>
      <c r="G973" s="27" t="str">
        <f t="shared" si="30"/>
        <v>6363 W AIRPORT BLVD  HOUSTON</v>
      </c>
      <c r="H973" s="27" t="str">
        <f t="shared" si="31"/>
        <v>HOUSTON TX 77035</v>
      </c>
    </row>
    <row r="974" spans="1:8" x14ac:dyDescent="0.2">
      <c r="A974" s="27">
        <f>COUNTIFS(C:C,C974,D:D,D974)</f>
        <v>1</v>
      </c>
      <c r="B974" s="30">
        <v>202101156405</v>
      </c>
      <c r="C974" t="s">
        <v>3257</v>
      </c>
      <c r="D974" t="s">
        <v>2118</v>
      </c>
      <c r="E974" t="s">
        <v>4997</v>
      </c>
      <c r="F974" t="s">
        <v>79</v>
      </c>
      <c r="G974" s="27" t="str">
        <f t="shared" si="30"/>
        <v>11000 KINGHURST DR  HOUSTON</v>
      </c>
      <c r="H974" s="27" t="str">
        <f t="shared" si="31"/>
        <v>HOUSTON TX 77099</v>
      </c>
    </row>
    <row r="975" spans="1:8" x14ac:dyDescent="0.2">
      <c r="A975" s="27">
        <f>COUNTIFS(C:C,C975,D:D,D975)</f>
        <v>1</v>
      </c>
      <c r="B975" s="30">
        <v>202101156406</v>
      </c>
      <c r="C975" t="s">
        <v>2294</v>
      </c>
      <c r="D975" t="s">
        <v>2295</v>
      </c>
      <c r="E975" t="s">
        <v>4914</v>
      </c>
      <c r="F975" t="s">
        <v>51</v>
      </c>
      <c r="G975" s="27" t="str">
        <f t="shared" si="30"/>
        <v>1255 NORTH ELDRIDGE PKWY HOUSTON</v>
      </c>
      <c r="H975" s="27" t="str">
        <f t="shared" si="31"/>
        <v>HOUSTON TX 77077</v>
      </c>
    </row>
    <row r="976" spans="1:8" x14ac:dyDescent="0.2">
      <c r="A976" s="27">
        <f>COUNTIFS(C:C,C976,D:D,D976)</f>
        <v>1</v>
      </c>
      <c r="B976" s="30">
        <v>202101156407</v>
      </c>
      <c r="C976" t="s">
        <v>2719</v>
      </c>
      <c r="D976" t="s">
        <v>2720</v>
      </c>
      <c r="E976" t="s">
        <v>4931</v>
      </c>
      <c r="F976" t="s">
        <v>98</v>
      </c>
      <c r="G976" s="27" t="str">
        <f t="shared" si="30"/>
        <v>13655 ELLA BLVD  HOUSTON</v>
      </c>
      <c r="H976" s="27" t="str">
        <f t="shared" si="31"/>
        <v>HOUSTON TX 77014</v>
      </c>
    </row>
    <row r="977" spans="1:8" x14ac:dyDescent="0.2">
      <c r="A977" s="27">
        <f>COUNTIFS(C:C,C977,D:D,D977)</f>
        <v>1</v>
      </c>
      <c r="B977" s="30">
        <v>202101156408</v>
      </c>
      <c r="C977" t="s">
        <v>2160</v>
      </c>
      <c r="D977" t="s">
        <v>2161</v>
      </c>
      <c r="E977" t="s">
        <v>4950</v>
      </c>
      <c r="F977" t="s">
        <v>98</v>
      </c>
      <c r="G977" s="27" t="str">
        <f t="shared" si="30"/>
        <v>110 E JANISCH ST  HOUSTON</v>
      </c>
      <c r="H977" s="27" t="str">
        <f t="shared" si="31"/>
        <v>HOUSTON TX 77022</v>
      </c>
    </row>
    <row r="978" spans="1:8" x14ac:dyDescent="0.2">
      <c r="A978" s="27">
        <f>COUNTIFS(C:C,C978,D:D,D978)</f>
        <v>1</v>
      </c>
      <c r="B978" s="30">
        <v>202101156409</v>
      </c>
      <c r="C978" s="28" t="s">
        <v>1713</v>
      </c>
      <c r="D978" s="28" t="s">
        <v>1714</v>
      </c>
      <c r="E978" s="28" t="s">
        <v>4904</v>
      </c>
      <c r="F978" s="28" t="s">
        <v>68</v>
      </c>
      <c r="G978" s="27" t="str">
        <f t="shared" si="30"/>
        <v>1515 DAMAREE LN  HOUSTON</v>
      </c>
      <c r="H978" s="27" t="str">
        <f t="shared" si="31"/>
        <v>HOUSTON TX 77029</v>
      </c>
    </row>
    <row r="979" spans="1:8" x14ac:dyDescent="0.2">
      <c r="A979" s="27">
        <f>COUNTIFS(C:C,C979,D:D,D979)</f>
        <v>1</v>
      </c>
      <c r="B979" s="30">
        <v>202101156411</v>
      </c>
      <c r="C979" t="s">
        <v>2815</v>
      </c>
      <c r="D979" t="s">
        <v>2816</v>
      </c>
      <c r="E979" t="s">
        <v>4994</v>
      </c>
      <c r="F979" t="s">
        <v>78</v>
      </c>
      <c r="G979" s="27" t="str">
        <f t="shared" si="30"/>
        <v>3722 RAMSGATE DR  SPRING</v>
      </c>
      <c r="H979" s="27" t="str">
        <f t="shared" si="31"/>
        <v>HOUSTON TX 77388</v>
      </c>
    </row>
    <row r="980" spans="1:8" x14ac:dyDescent="0.2">
      <c r="A980" s="27">
        <f>COUNTIFS(C:C,C980,D:D,D980)</f>
        <v>1</v>
      </c>
      <c r="B980" s="30">
        <v>202101156414</v>
      </c>
      <c r="C980" t="s">
        <v>3880</v>
      </c>
      <c r="D980" t="s">
        <v>3881</v>
      </c>
      <c r="E980" t="s">
        <v>5133</v>
      </c>
      <c r="F980" t="s">
        <v>78</v>
      </c>
      <c r="G980" s="27" t="str">
        <f t="shared" si="30"/>
        <v>506 ISRAEL OTIS ST  TRINITY</v>
      </c>
      <c r="H980" s="27" t="str">
        <f t="shared" si="31"/>
        <v>HOUSTON TX 75862</v>
      </c>
    </row>
    <row r="981" spans="1:8" x14ac:dyDescent="0.2">
      <c r="A981" s="27">
        <f>COUNTIFS(C:C,C981,D:D,D981)</f>
        <v>1</v>
      </c>
      <c r="B981" s="30">
        <v>202101156415</v>
      </c>
      <c r="C981" t="s">
        <v>3882</v>
      </c>
      <c r="D981" t="s">
        <v>3883</v>
      </c>
      <c r="E981" t="s">
        <v>5227</v>
      </c>
      <c r="F981" t="s">
        <v>79</v>
      </c>
      <c r="G981" s="27" t="str">
        <f t="shared" si="30"/>
        <v>17 NORMAN LN  CROCKETT</v>
      </c>
      <c r="H981" s="27" t="str">
        <f t="shared" si="31"/>
        <v>HOUSTON TX 75835</v>
      </c>
    </row>
    <row r="982" spans="1:8" x14ac:dyDescent="0.2">
      <c r="A982" s="27">
        <f>COUNTIFS(C:C,C982,D:D,D982)</f>
        <v>1</v>
      </c>
      <c r="B982" s="30">
        <v>202101156416</v>
      </c>
      <c r="C982" t="s">
        <v>2679</v>
      </c>
      <c r="D982" t="s">
        <v>2680</v>
      </c>
      <c r="E982" t="s">
        <v>5146</v>
      </c>
      <c r="F982" t="s">
        <v>78</v>
      </c>
      <c r="G982" s="27" t="str">
        <f t="shared" si="30"/>
        <v>136 BATES CT  HUNTSVILLE</v>
      </c>
      <c r="H982" s="27" t="str">
        <f t="shared" si="31"/>
        <v>HOUSTON TX 77320</v>
      </c>
    </row>
    <row r="983" spans="1:8" x14ac:dyDescent="0.2">
      <c r="A983" s="27">
        <f>COUNTIFS(C:C,C983,D:D,D983)</f>
        <v>1</v>
      </c>
      <c r="B983" s="30">
        <v>202101156418</v>
      </c>
      <c r="C983" t="s">
        <v>3884</v>
      </c>
      <c r="D983" t="s">
        <v>3885</v>
      </c>
      <c r="E983" t="s">
        <v>4852</v>
      </c>
      <c r="F983" t="s">
        <v>93</v>
      </c>
      <c r="G983" s="27" t="str">
        <f t="shared" si="30"/>
        <v>7226 ENSWORTH DR  HOUSTON</v>
      </c>
      <c r="H983" s="27" t="str">
        <f t="shared" si="31"/>
        <v>HOUSTON TX 77016</v>
      </c>
    </row>
    <row r="984" spans="1:8" x14ac:dyDescent="0.2">
      <c r="A984" s="27">
        <f>COUNTIFS(C:C,C984,D:D,D984)</f>
        <v>1</v>
      </c>
      <c r="B984" s="30">
        <v>202101156420</v>
      </c>
      <c r="C984" t="s">
        <v>3355</v>
      </c>
      <c r="D984" t="s">
        <v>3356</v>
      </c>
      <c r="E984" t="s">
        <v>4865</v>
      </c>
      <c r="F984" t="s">
        <v>88</v>
      </c>
      <c r="G984" s="27" t="str">
        <f t="shared" si="30"/>
        <v>14906 WESTPARK DR  HOUSTON</v>
      </c>
      <c r="H984" s="27" t="str">
        <f t="shared" si="31"/>
        <v xml:space="preserve">HOUSTON TX      </v>
      </c>
    </row>
    <row r="985" spans="1:8" x14ac:dyDescent="0.2">
      <c r="A985" s="27">
        <f>COUNTIFS(C:C,C985,D:D,D985)</f>
        <v>1</v>
      </c>
      <c r="B985" s="30">
        <v>202101156422</v>
      </c>
      <c r="C985" s="28" t="s">
        <v>930</v>
      </c>
      <c r="D985" s="28" t="s">
        <v>931</v>
      </c>
      <c r="E985" s="28" t="s">
        <v>4984</v>
      </c>
      <c r="F985" s="28" t="s">
        <v>88</v>
      </c>
      <c r="G985" s="27" t="str">
        <f t="shared" si="30"/>
        <v>510 KERRY LEIGH CT  SPRING</v>
      </c>
      <c r="H985" s="27" t="str">
        <f t="shared" si="31"/>
        <v>HOUSTON TX 77373</v>
      </c>
    </row>
    <row r="986" spans="1:8" x14ac:dyDescent="0.2">
      <c r="A986" s="27">
        <f>COUNTIFS(C:C,C986,D:D,D986)</f>
        <v>1</v>
      </c>
      <c r="B986" s="30">
        <v>202101156423</v>
      </c>
      <c r="C986" s="28" t="s">
        <v>788</v>
      </c>
      <c r="D986" s="28" t="s">
        <v>789</v>
      </c>
      <c r="E986" s="28" t="s">
        <v>4906</v>
      </c>
      <c r="F986" s="28" t="s">
        <v>287</v>
      </c>
      <c r="G986" s="27" t="str">
        <f t="shared" si="30"/>
        <v>4025 BURKE  PASADENA</v>
      </c>
      <c r="H986" s="27" t="str">
        <f t="shared" si="31"/>
        <v>HOUSTON TX 77504</v>
      </c>
    </row>
    <row r="987" spans="1:8" x14ac:dyDescent="0.2">
      <c r="A987" s="27">
        <f>COUNTIFS(C:C,C987,D:D,D987)</f>
        <v>1</v>
      </c>
      <c r="B987" s="30">
        <v>202101156426</v>
      </c>
      <c r="C987" s="28" t="s">
        <v>1008</v>
      </c>
      <c r="D987" s="28" t="s">
        <v>1009</v>
      </c>
      <c r="E987" s="28" t="s">
        <v>4909</v>
      </c>
      <c r="F987" s="28" t="s">
        <v>91</v>
      </c>
      <c r="G987" s="27" t="str">
        <f t="shared" si="30"/>
        <v>4110 ROSALINDA LN  HOUSTON</v>
      </c>
      <c r="H987" s="27" t="str">
        <f t="shared" si="31"/>
        <v>HOUSTON TX 77053</v>
      </c>
    </row>
    <row r="988" spans="1:8" x14ac:dyDescent="0.2">
      <c r="A988" s="27">
        <f>COUNTIFS(C:C,C988,D:D,D988)</f>
        <v>1</v>
      </c>
      <c r="B988" s="30">
        <v>202101156427</v>
      </c>
      <c r="C988" t="s">
        <v>2366</v>
      </c>
      <c r="D988" t="s">
        <v>2367</v>
      </c>
      <c r="E988" t="s">
        <v>4872</v>
      </c>
      <c r="F988" t="s">
        <v>167</v>
      </c>
      <c r="G988" s="27" t="str">
        <f t="shared" si="30"/>
        <v>7302 ST LOUIS  HOUSTON</v>
      </c>
      <c r="H988" s="27" t="str">
        <f t="shared" si="31"/>
        <v>HOUSTON TX 77028</v>
      </c>
    </row>
    <row r="989" spans="1:8" x14ac:dyDescent="0.2">
      <c r="A989" s="27">
        <f>COUNTIFS(C:C,C989,D:D,D989)</f>
        <v>1</v>
      </c>
      <c r="B989" s="30">
        <v>202101156429</v>
      </c>
      <c r="C989" t="s">
        <v>3334</v>
      </c>
      <c r="D989" t="s">
        <v>3335</v>
      </c>
      <c r="E989" t="s">
        <v>4994</v>
      </c>
      <c r="F989" t="s">
        <v>84</v>
      </c>
      <c r="G989" s="27" t="str">
        <f t="shared" si="30"/>
        <v>21031 FERNHOLLOW LN  SPRING</v>
      </c>
      <c r="H989" s="27" t="str">
        <f t="shared" si="31"/>
        <v>HOUSTON TX 77388</v>
      </c>
    </row>
    <row r="990" spans="1:8" x14ac:dyDescent="0.2">
      <c r="A990" s="27">
        <f>COUNTIFS(C:C,C990,D:D,D990)</f>
        <v>1</v>
      </c>
      <c r="B990" s="30">
        <v>202101156430</v>
      </c>
      <c r="C990" t="s">
        <v>2250</v>
      </c>
      <c r="D990" t="s">
        <v>2251</v>
      </c>
      <c r="E990" t="s">
        <v>4862</v>
      </c>
      <c r="F990" t="s">
        <v>88</v>
      </c>
      <c r="G990" s="27" t="str">
        <f t="shared" si="30"/>
        <v>210 WELLS FARGO DR  HOUSTON</v>
      </c>
      <c r="H990" s="27" t="str">
        <f t="shared" si="31"/>
        <v>HOUSTON TX 77090</v>
      </c>
    </row>
    <row r="991" spans="1:8" x14ac:dyDescent="0.2">
      <c r="A991" s="27">
        <f>COUNTIFS(C:C,C991,D:D,D991)</f>
        <v>1</v>
      </c>
      <c r="B991" s="30">
        <v>202101156431</v>
      </c>
      <c r="C991" t="s">
        <v>2069</v>
      </c>
      <c r="D991" t="s">
        <v>2070</v>
      </c>
      <c r="E991" t="s">
        <v>4864</v>
      </c>
      <c r="F991" t="s">
        <v>85</v>
      </c>
      <c r="G991" s="27" t="str">
        <f t="shared" si="30"/>
        <v>7118 EL PASO ST  HOUSTON</v>
      </c>
      <c r="H991" s="27" t="str">
        <f t="shared" si="31"/>
        <v>HOUSTON TX 77020</v>
      </c>
    </row>
    <row r="992" spans="1:8" x14ac:dyDescent="0.2">
      <c r="A992" s="27">
        <f>COUNTIFS(C:C,C992,D:D,D992)</f>
        <v>1</v>
      </c>
      <c r="B992" s="30">
        <v>202101156432</v>
      </c>
      <c r="C992" t="s">
        <v>2246</v>
      </c>
      <c r="D992" t="s">
        <v>2247</v>
      </c>
      <c r="E992" t="s">
        <v>4937</v>
      </c>
      <c r="F992" t="s">
        <v>88</v>
      </c>
      <c r="G992" s="27" t="str">
        <f t="shared" si="30"/>
        <v>7494 STANWICK  HOUSTON</v>
      </c>
      <c r="H992" s="27" t="str">
        <f t="shared" si="31"/>
        <v>HOUSTON TX 77087</v>
      </c>
    </row>
    <row r="993" spans="1:8" x14ac:dyDescent="0.2">
      <c r="A993" s="27">
        <f>COUNTIFS(C:C,C993,D:D,D993)</f>
        <v>1</v>
      </c>
      <c r="B993" s="30">
        <v>202101156435</v>
      </c>
      <c r="C993" s="28" t="s">
        <v>1303</v>
      </c>
      <c r="D993" s="28" t="s">
        <v>1304</v>
      </c>
      <c r="E993" s="28" t="s">
        <v>5025</v>
      </c>
      <c r="F993" s="28" t="s">
        <v>305</v>
      </c>
      <c r="G993" s="27" t="str">
        <f t="shared" si="30"/>
        <v>23307 ORIOLE SKY WAY  KATY</v>
      </c>
      <c r="H993" s="27" t="str">
        <f t="shared" si="31"/>
        <v>HOUSTON TX 77493</v>
      </c>
    </row>
    <row r="994" spans="1:8" x14ac:dyDescent="0.2">
      <c r="A994" s="27">
        <f>COUNTIFS(C:C,C994,D:D,D994)</f>
        <v>1</v>
      </c>
      <c r="B994" s="30">
        <v>202101156441</v>
      </c>
      <c r="C994" t="s">
        <v>3886</v>
      </c>
      <c r="D994" t="s">
        <v>3887</v>
      </c>
      <c r="E994" t="s">
        <v>4918</v>
      </c>
      <c r="F994" t="s">
        <v>88</v>
      </c>
      <c r="G994" s="27" t="str">
        <f t="shared" si="30"/>
        <v>17050 IMPERIAL VALLEY  HOUSTON</v>
      </c>
      <c r="H994" s="27" t="str">
        <f t="shared" si="31"/>
        <v>HOUSTON TX 77066</v>
      </c>
    </row>
    <row r="995" spans="1:8" x14ac:dyDescent="0.2">
      <c r="A995" s="27">
        <f>COUNTIFS(C:C,C995,D:D,D995)</f>
        <v>1</v>
      </c>
      <c r="B995" s="30">
        <v>202101156442</v>
      </c>
      <c r="C995" t="s">
        <v>3888</v>
      </c>
      <c r="D995" t="s">
        <v>3889</v>
      </c>
      <c r="E995" t="s">
        <v>4994</v>
      </c>
      <c r="F995" t="s">
        <v>90</v>
      </c>
      <c r="G995" s="27" t="str">
        <f t="shared" si="30"/>
        <v>21315 SLIPPERY CREEK LANE SPRING</v>
      </c>
      <c r="H995" s="27" t="str">
        <f t="shared" si="31"/>
        <v>HOUSTON TX 77388</v>
      </c>
    </row>
    <row r="996" spans="1:8" x14ac:dyDescent="0.2">
      <c r="A996" s="27">
        <f>COUNTIFS(C:C,C996,D:D,D996)</f>
        <v>1</v>
      </c>
      <c r="B996" s="30">
        <v>202101156445</v>
      </c>
      <c r="C996" t="s">
        <v>3890</v>
      </c>
      <c r="D996" t="s">
        <v>3891</v>
      </c>
      <c r="E996" t="s">
        <v>4891</v>
      </c>
      <c r="F996" t="s">
        <v>94</v>
      </c>
      <c r="G996" s="27" t="str">
        <f t="shared" si="30"/>
        <v>8218 AVERT COURT  HOUSTON</v>
      </c>
      <c r="H996" s="27" t="str">
        <f t="shared" si="31"/>
        <v>HOUSTON TX 77088</v>
      </c>
    </row>
    <row r="997" spans="1:8" x14ac:dyDescent="0.2">
      <c r="A997" s="27">
        <f>COUNTIFS(C:C,C997,D:D,D997)</f>
        <v>1</v>
      </c>
      <c r="B997" s="30">
        <v>202101156447</v>
      </c>
      <c r="C997" t="s">
        <v>1990</v>
      </c>
      <c r="D997" t="s">
        <v>1991</v>
      </c>
      <c r="E997" t="s">
        <v>5090</v>
      </c>
      <c r="F997" t="s">
        <v>332</v>
      </c>
      <c r="G997" s="27" t="str">
        <f t="shared" si="30"/>
        <v>11669 PEBBLE ST  LUMBERTON</v>
      </c>
      <c r="H997" s="27" t="str">
        <f t="shared" si="31"/>
        <v>HOUSTON TX 77657</v>
      </c>
    </row>
    <row r="998" spans="1:8" x14ac:dyDescent="0.2">
      <c r="A998" s="27">
        <f>COUNTIFS(C:C,C998,D:D,D998)</f>
        <v>1</v>
      </c>
      <c r="B998" s="30">
        <v>202101156455</v>
      </c>
      <c r="C998" t="s">
        <v>2044</v>
      </c>
      <c r="D998" t="s">
        <v>2045</v>
      </c>
      <c r="E998" t="s">
        <v>5092</v>
      </c>
      <c r="F998" t="s">
        <v>75</v>
      </c>
      <c r="G998" s="27" t="str">
        <f t="shared" si="30"/>
        <v>8819 FM 1960  HUMBLE</v>
      </c>
      <c r="H998" s="27" t="str">
        <f t="shared" si="31"/>
        <v xml:space="preserve">HOUSTON TX      </v>
      </c>
    </row>
    <row r="999" spans="1:8" x14ac:dyDescent="0.2">
      <c r="A999" s="27">
        <f>COUNTIFS(C:C,C999,D:D,D999)</f>
        <v>1</v>
      </c>
      <c r="B999" s="30">
        <v>202101156456</v>
      </c>
      <c r="C999" s="28" t="s">
        <v>1279</v>
      </c>
      <c r="D999" s="28" t="s">
        <v>1280</v>
      </c>
      <c r="E999" s="28" t="s">
        <v>4984</v>
      </c>
      <c r="F999" s="28" t="s">
        <v>98</v>
      </c>
      <c r="G999" s="27" t="str">
        <f t="shared" si="30"/>
        <v>22702 CARTER GATE DR  SPRING</v>
      </c>
      <c r="H999" s="27" t="str">
        <f t="shared" si="31"/>
        <v>HOUSTON TX 77373</v>
      </c>
    </row>
    <row r="1000" spans="1:8" x14ac:dyDescent="0.2">
      <c r="A1000" s="27">
        <f>COUNTIFS(C:C,C1000,D:D,D1000)</f>
        <v>1</v>
      </c>
      <c r="B1000" s="30">
        <v>202101156458</v>
      </c>
      <c r="C1000" s="28" t="s">
        <v>1197</v>
      </c>
      <c r="D1000" s="28" t="s">
        <v>1198</v>
      </c>
      <c r="E1000" s="28" t="s">
        <v>4991</v>
      </c>
      <c r="F1000" s="28" t="s">
        <v>87</v>
      </c>
      <c r="G1000" s="27" t="str">
        <f t="shared" si="30"/>
        <v>9940 RICHMOND AVE  HOUSTON</v>
      </c>
      <c r="H1000" s="27" t="str">
        <f t="shared" si="31"/>
        <v>HOUSTON TX 77042</v>
      </c>
    </row>
    <row r="1001" spans="1:8" x14ac:dyDescent="0.2">
      <c r="A1001" s="27">
        <f>COUNTIFS(C:C,C1001,D:D,D1001)</f>
        <v>1</v>
      </c>
      <c r="B1001" s="30">
        <v>202101156460</v>
      </c>
      <c r="C1001" t="s">
        <v>3892</v>
      </c>
      <c r="D1001" t="s">
        <v>3893</v>
      </c>
      <c r="E1001" t="s">
        <v>5023</v>
      </c>
      <c r="F1001" t="s">
        <v>53</v>
      </c>
      <c r="G1001" s="27" t="str">
        <f t="shared" si="30"/>
        <v>9425 WESTHEIMER RD 2 406 HOUSTON</v>
      </c>
      <c r="H1001" s="27" t="str">
        <f t="shared" si="31"/>
        <v>HOUSTON TX 77063</v>
      </c>
    </row>
    <row r="1002" spans="1:8" x14ac:dyDescent="0.2">
      <c r="A1002" s="27">
        <f>COUNTIFS(C:C,C1002,D:D,D1002)</f>
        <v>1</v>
      </c>
      <c r="B1002" s="30">
        <v>202101156461</v>
      </c>
      <c r="C1002" s="28" t="s">
        <v>462</v>
      </c>
      <c r="D1002" s="28" t="s">
        <v>463</v>
      </c>
      <c r="E1002" s="28" t="s">
        <v>4852</v>
      </c>
      <c r="F1002" s="28" t="s">
        <v>278</v>
      </c>
      <c r="G1002" s="27" t="str">
        <f t="shared" ref="G1002:G1065" si="32">D1002&amp;" "&amp;MID(E1002,1,FIND(" TX",E1002)-1)</f>
        <v>4709 BOICEWOOD ST  HOUSTON</v>
      </c>
      <c r="H1002" s="27" t="str">
        <f t="shared" ref="H1002:H1065" si="33">"HOUSTON "&amp;MID(E1002,FIND("TX",E1002),8)</f>
        <v>HOUSTON TX 77016</v>
      </c>
    </row>
    <row r="1003" spans="1:8" x14ac:dyDescent="0.2">
      <c r="A1003" s="27">
        <f>COUNTIFS(C:C,C1003,D:D,D1003)</f>
        <v>1</v>
      </c>
      <c r="B1003" s="30">
        <v>202101156463</v>
      </c>
      <c r="C1003" t="s">
        <v>1971</v>
      </c>
      <c r="D1003" t="s">
        <v>1972</v>
      </c>
      <c r="E1003" t="s">
        <v>4890</v>
      </c>
      <c r="F1003" t="s">
        <v>53</v>
      </c>
      <c r="G1003" s="27" t="str">
        <f t="shared" si="32"/>
        <v>7742 GLENHEATH ST  HOUSTON</v>
      </c>
      <c r="H1003" s="27" t="str">
        <f t="shared" si="33"/>
        <v>HOUSTON TX 77061</v>
      </c>
    </row>
    <row r="1004" spans="1:8" x14ac:dyDescent="0.2">
      <c r="A1004" s="27">
        <f>COUNTIFS(C:C,C1004,D:D,D1004)</f>
        <v>1</v>
      </c>
      <c r="B1004" s="30">
        <v>202101156466</v>
      </c>
      <c r="C1004" s="28" t="s">
        <v>762</v>
      </c>
      <c r="D1004" s="28" t="s">
        <v>763</v>
      </c>
      <c r="E1004" s="28" t="s">
        <v>4869</v>
      </c>
      <c r="F1004" s="28" t="s">
        <v>98</v>
      </c>
      <c r="G1004" s="27" t="str">
        <f t="shared" si="32"/>
        <v>715 JANISCH RD  HOUSTON</v>
      </c>
      <c r="H1004" s="27" t="str">
        <f t="shared" si="33"/>
        <v>HOUSTON TX 77018</v>
      </c>
    </row>
    <row r="1005" spans="1:8" x14ac:dyDescent="0.2">
      <c r="A1005" s="27">
        <f>COUNTIFS(C:C,C1005,D:D,D1005)</f>
        <v>1</v>
      </c>
      <c r="B1005" s="30">
        <v>202101156467</v>
      </c>
      <c r="C1005" s="28" t="s">
        <v>638</v>
      </c>
      <c r="D1005" s="28" t="s">
        <v>639</v>
      </c>
      <c r="E1005" s="28" t="s">
        <v>4930</v>
      </c>
      <c r="F1005" s="28" t="s">
        <v>53</v>
      </c>
      <c r="G1005" s="27" t="str">
        <f t="shared" si="32"/>
        <v>11012 BURMAN STREET  JACINTO CI</v>
      </c>
      <c r="H1005" s="27" t="str">
        <f t="shared" si="33"/>
        <v>HOUSTON TX 77029</v>
      </c>
    </row>
    <row r="1006" spans="1:8" x14ac:dyDescent="0.2">
      <c r="A1006" s="27">
        <f>COUNTIFS(C:C,C1006,D:D,D1006)</f>
        <v>1</v>
      </c>
      <c r="B1006" s="30">
        <v>202101156469</v>
      </c>
      <c r="C1006" t="s">
        <v>3894</v>
      </c>
      <c r="D1006" t="s">
        <v>2315</v>
      </c>
      <c r="E1006" t="s">
        <v>5023</v>
      </c>
      <c r="F1006" t="s">
        <v>377</v>
      </c>
      <c r="G1006" s="27" t="str">
        <f t="shared" si="32"/>
        <v>8155 RICHMOND AVE  HOUSTON</v>
      </c>
      <c r="H1006" s="27" t="str">
        <f t="shared" si="33"/>
        <v>HOUSTON TX 77063</v>
      </c>
    </row>
    <row r="1007" spans="1:8" x14ac:dyDescent="0.2">
      <c r="A1007" s="27">
        <f>COUNTIFS(C:C,C1007,D:D,D1007)</f>
        <v>1</v>
      </c>
      <c r="B1007" s="30">
        <v>202101156470</v>
      </c>
      <c r="C1007" s="28" t="s">
        <v>706</v>
      </c>
      <c r="D1007" s="28" t="s">
        <v>707</v>
      </c>
      <c r="E1007" s="28" t="s">
        <v>4906</v>
      </c>
      <c r="F1007" s="28" t="s">
        <v>64</v>
      </c>
      <c r="G1007" s="27" t="str">
        <f t="shared" si="32"/>
        <v>3271 SHAVER  PASADENA</v>
      </c>
      <c r="H1007" s="27" t="str">
        <f t="shared" si="33"/>
        <v>HOUSTON TX 77504</v>
      </c>
    </row>
    <row r="1008" spans="1:8" x14ac:dyDescent="0.2">
      <c r="A1008" s="27">
        <f>COUNTIFS(C:C,C1008,D:D,D1008)</f>
        <v>1</v>
      </c>
      <c r="B1008" s="30">
        <v>202101156471</v>
      </c>
      <c r="C1008" s="28" t="s">
        <v>1398</v>
      </c>
      <c r="D1008" s="28" t="s">
        <v>1399</v>
      </c>
      <c r="E1008" s="28" t="s">
        <v>5034</v>
      </c>
      <c r="F1008" s="28" t="s">
        <v>67</v>
      </c>
      <c r="G1008" s="27" t="str">
        <f t="shared" si="32"/>
        <v>29823 N LEGENDS CHASE CIR SPRING</v>
      </c>
      <c r="H1008" s="27" t="str">
        <f t="shared" si="33"/>
        <v>HOUSTON TX 77386</v>
      </c>
    </row>
    <row r="1009" spans="1:8" x14ac:dyDescent="0.2">
      <c r="A1009" s="27">
        <f>COUNTIFS(C:C,C1009,D:D,D1009)</f>
        <v>1</v>
      </c>
      <c r="B1009" s="30">
        <v>202101156472</v>
      </c>
      <c r="C1009" s="28" t="s">
        <v>1502</v>
      </c>
      <c r="D1009" s="28" t="s">
        <v>1503</v>
      </c>
      <c r="E1009" s="28" t="s">
        <v>4981</v>
      </c>
      <c r="F1009" s="28" t="s">
        <v>88</v>
      </c>
      <c r="G1009" s="27" t="str">
        <f t="shared" si="32"/>
        <v>9914 AVES ST  HOUSTON</v>
      </c>
      <c r="H1009" s="27" t="str">
        <f t="shared" si="33"/>
        <v>HOUSTON TX 77034</v>
      </c>
    </row>
    <row r="1010" spans="1:8" x14ac:dyDescent="0.2">
      <c r="A1010" s="27">
        <f>COUNTIFS(C:C,C1010,D:D,D1010)</f>
        <v>1</v>
      </c>
      <c r="B1010" s="30">
        <v>202101156473</v>
      </c>
      <c r="C1010" t="s">
        <v>3895</v>
      </c>
      <c r="D1010" t="s">
        <v>3896</v>
      </c>
      <c r="E1010" t="s">
        <v>5069</v>
      </c>
      <c r="F1010" t="s">
        <v>90</v>
      </c>
      <c r="G1010" s="27" t="str">
        <f t="shared" si="32"/>
        <v>16619 BLACKHAWK BLVD  FRIENDSWOO</v>
      </c>
      <c r="H1010" s="27" t="str">
        <f t="shared" si="33"/>
        <v>HOUSTON TX 77546</v>
      </c>
    </row>
    <row r="1011" spans="1:8" x14ac:dyDescent="0.2">
      <c r="A1011" s="27">
        <f>COUNTIFS(C:C,C1011,D:D,D1011)</f>
        <v>1</v>
      </c>
      <c r="B1011" s="30">
        <v>202101156474</v>
      </c>
      <c r="C1011" t="s">
        <v>3189</v>
      </c>
      <c r="D1011" t="s">
        <v>3190</v>
      </c>
      <c r="E1011" t="s">
        <v>5174</v>
      </c>
      <c r="F1011" t="s">
        <v>84</v>
      </c>
      <c r="G1011" s="27" t="str">
        <f t="shared" si="32"/>
        <v>1639 PECAN BRANCH DR  RICHMOND</v>
      </c>
      <c r="H1011" s="27" t="str">
        <f t="shared" si="33"/>
        <v>HOUSTON TX 77406</v>
      </c>
    </row>
    <row r="1012" spans="1:8" x14ac:dyDescent="0.2">
      <c r="A1012" s="27">
        <f>COUNTIFS(C:C,C1012,D:D,D1012)</f>
        <v>1</v>
      </c>
      <c r="B1012" s="30">
        <v>202101156478</v>
      </c>
      <c r="C1012" t="s">
        <v>2125</v>
      </c>
      <c r="D1012" t="s">
        <v>1087</v>
      </c>
      <c r="E1012" t="s">
        <v>5077</v>
      </c>
      <c r="F1012" t="s">
        <v>51</v>
      </c>
      <c r="G1012" s="27" t="str">
        <f t="shared" si="32"/>
        <v>10950 BEAUMONT HWY  HOUSTON</v>
      </c>
      <c r="H1012" s="27" t="str">
        <f t="shared" si="33"/>
        <v>HOUSTON TX 77013</v>
      </c>
    </row>
    <row r="1013" spans="1:8" x14ac:dyDescent="0.2">
      <c r="A1013" s="27">
        <f>COUNTIFS(C:C,C1013,D:D,D1013)</f>
        <v>1</v>
      </c>
      <c r="B1013" s="30">
        <v>202101156479</v>
      </c>
      <c r="C1013" t="s">
        <v>2621</v>
      </c>
      <c r="D1013" t="s">
        <v>2622</v>
      </c>
      <c r="E1013" t="s">
        <v>4952</v>
      </c>
      <c r="F1013" t="s">
        <v>90</v>
      </c>
      <c r="G1013" s="27" t="str">
        <f t="shared" si="32"/>
        <v>1432 HANKAMER ST  PASADENA</v>
      </c>
      <c r="H1013" s="27" t="str">
        <f t="shared" si="33"/>
        <v>HOUSTON TX 77506</v>
      </c>
    </row>
    <row r="1014" spans="1:8" x14ac:dyDescent="0.2">
      <c r="A1014" s="27">
        <f>COUNTIFS(C:C,C1014,D:D,D1014)</f>
        <v>1</v>
      </c>
      <c r="B1014" s="30">
        <v>202101156483</v>
      </c>
      <c r="C1014" t="s">
        <v>3899</v>
      </c>
      <c r="D1014" t="s">
        <v>3900</v>
      </c>
      <c r="E1014" t="s">
        <v>4862</v>
      </c>
      <c r="F1014" t="s">
        <v>88</v>
      </c>
      <c r="G1014" s="27" t="str">
        <f t="shared" si="32"/>
        <v>302 SHADY GLADE DR  HOUSTON</v>
      </c>
      <c r="H1014" s="27" t="str">
        <f t="shared" si="33"/>
        <v>HOUSTON TX 77090</v>
      </c>
    </row>
    <row r="1015" spans="1:8" x14ac:dyDescent="0.2">
      <c r="A1015" s="27">
        <f>COUNTIFS(C:C,C1015,D:D,D1015)</f>
        <v>1</v>
      </c>
      <c r="B1015" s="30">
        <v>202101156499</v>
      </c>
      <c r="C1015" t="s">
        <v>2008</v>
      </c>
      <c r="D1015" t="s">
        <v>2009</v>
      </c>
      <c r="E1015" t="s">
        <v>4900</v>
      </c>
      <c r="F1015" t="s">
        <v>64</v>
      </c>
      <c r="G1015" s="27" t="str">
        <f t="shared" si="32"/>
        <v>19311 CYPRESS FLOWER DR KATY</v>
      </c>
      <c r="H1015" s="27" t="str">
        <f t="shared" si="33"/>
        <v>HOUSTON TX 77449</v>
      </c>
    </row>
    <row r="1016" spans="1:8" x14ac:dyDescent="0.2">
      <c r="A1016" s="27">
        <f>COUNTIFS(C:C,C1016,D:D,D1016)</f>
        <v>1</v>
      </c>
      <c r="B1016" s="30">
        <v>202101156500</v>
      </c>
      <c r="C1016" t="s">
        <v>2651</v>
      </c>
      <c r="D1016" t="s">
        <v>2652</v>
      </c>
      <c r="E1016" t="s">
        <v>4852</v>
      </c>
      <c r="F1016" t="s">
        <v>53</v>
      </c>
      <c r="G1016" s="27" t="str">
        <f t="shared" si="32"/>
        <v>8417 WOODLYN RD  HOUSTON</v>
      </c>
      <c r="H1016" s="27" t="str">
        <f t="shared" si="33"/>
        <v>HOUSTON TX 77016</v>
      </c>
    </row>
    <row r="1017" spans="1:8" x14ac:dyDescent="0.2">
      <c r="A1017" s="27">
        <f>COUNTIFS(C:C,C1017,D:D,D1017)</f>
        <v>1</v>
      </c>
      <c r="B1017" s="30">
        <v>202101156503</v>
      </c>
      <c r="C1017" s="28" t="s">
        <v>1660</v>
      </c>
      <c r="D1017" s="28" t="s">
        <v>1661</v>
      </c>
      <c r="E1017" s="28" t="s">
        <v>5066</v>
      </c>
      <c r="F1017" s="28" t="s">
        <v>88</v>
      </c>
      <c r="G1017" s="27" t="str">
        <f t="shared" si="32"/>
        <v>2010 WOODY BEND  SUGAR LAND</v>
      </c>
      <c r="H1017" s="27" t="str">
        <f t="shared" si="33"/>
        <v>HOUSTON TX 77479</v>
      </c>
    </row>
    <row r="1018" spans="1:8" x14ac:dyDescent="0.2">
      <c r="A1018" s="27">
        <f>COUNTIFS(C:C,C1018,D:D,D1018)</f>
        <v>1</v>
      </c>
      <c r="B1018" s="30">
        <v>202101156504</v>
      </c>
      <c r="C1018" s="28" t="s">
        <v>1662</v>
      </c>
      <c r="D1018" s="28" t="s">
        <v>1568</v>
      </c>
      <c r="E1018" s="28" t="s">
        <v>4935</v>
      </c>
      <c r="F1018" s="28" t="s">
        <v>97</v>
      </c>
      <c r="G1018" s="27" t="str">
        <f t="shared" si="32"/>
        <v>2350 ATASCOCITA ROAD  HUMBLE</v>
      </c>
      <c r="H1018" s="27" t="str">
        <f t="shared" si="33"/>
        <v>HOUSTON TX 77396</v>
      </c>
    </row>
    <row r="1019" spans="1:8" x14ac:dyDescent="0.2">
      <c r="A1019" s="27">
        <f>COUNTIFS(C:C,C1019,D:D,D1019)</f>
        <v>1</v>
      </c>
      <c r="B1019" s="30">
        <v>202101156505</v>
      </c>
      <c r="C1019" s="28" t="s">
        <v>593</v>
      </c>
      <c r="D1019" s="28" t="s">
        <v>594</v>
      </c>
      <c r="E1019" s="28" t="s">
        <v>4874</v>
      </c>
      <c r="F1019" s="28" t="s">
        <v>51</v>
      </c>
      <c r="G1019" s="27" t="str">
        <f t="shared" si="32"/>
        <v>5327 MYRTLEWOOD ST  HOUSTON</v>
      </c>
      <c r="H1019" s="27" t="str">
        <f t="shared" si="33"/>
        <v>HOUSTON TX 77033</v>
      </c>
    </row>
    <row r="1020" spans="1:8" x14ac:dyDescent="0.2">
      <c r="A1020" s="27">
        <f>COUNTIFS(C:C,C1020,D:D,D1020)</f>
        <v>1</v>
      </c>
      <c r="B1020" s="30">
        <v>202101156507</v>
      </c>
      <c r="C1020" s="28" t="s">
        <v>1834</v>
      </c>
      <c r="D1020" s="28" t="s">
        <v>1835</v>
      </c>
      <c r="E1020" s="28" t="s">
        <v>4936</v>
      </c>
      <c r="F1020" s="28" t="s">
        <v>94</v>
      </c>
      <c r="G1020" s="27" t="str">
        <f t="shared" si="32"/>
        <v>11707 N MICHAEL CIRCL E HOUSTON</v>
      </c>
      <c r="H1020" s="27" t="str">
        <f t="shared" si="33"/>
        <v>HOUSTON TX 77071</v>
      </c>
    </row>
    <row r="1021" spans="1:8" x14ac:dyDescent="0.2">
      <c r="A1021" s="27">
        <f>COUNTIFS(C:C,C1021,D:D,D1021)</f>
        <v>1</v>
      </c>
      <c r="B1021" s="30">
        <v>202101156508</v>
      </c>
      <c r="C1021" t="s">
        <v>3905</v>
      </c>
      <c r="D1021" t="s">
        <v>3906</v>
      </c>
      <c r="E1021" t="s">
        <v>4893</v>
      </c>
      <c r="F1021" t="s">
        <v>378</v>
      </c>
      <c r="G1021" s="27" t="str">
        <f t="shared" si="32"/>
        <v>2819 BACK BAY BROOK TRL HOUSTON</v>
      </c>
      <c r="H1021" s="27" t="str">
        <f t="shared" si="33"/>
        <v>HOUSTON TX 77045</v>
      </c>
    </row>
    <row r="1022" spans="1:8" x14ac:dyDescent="0.2">
      <c r="A1022" s="27">
        <f>COUNTIFS(C:C,C1022,D:D,D1022)</f>
        <v>1</v>
      </c>
      <c r="B1022" s="30">
        <v>202101156512</v>
      </c>
      <c r="C1022" s="28" t="s">
        <v>1526</v>
      </c>
      <c r="D1022" s="28" t="s">
        <v>1527</v>
      </c>
      <c r="E1022" s="28" t="s">
        <v>4894</v>
      </c>
      <c r="F1022" s="28" t="s">
        <v>157</v>
      </c>
      <c r="G1022" s="27" t="str">
        <f t="shared" si="32"/>
        <v>1505 GALE ST  HOUSTON</v>
      </c>
      <c r="H1022" s="27" t="str">
        <f t="shared" si="33"/>
        <v>HOUSTON TX 77009</v>
      </c>
    </row>
    <row r="1023" spans="1:8" x14ac:dyDescent="0.2">
      <c r="A1023" s="27">
        <f>COUNTIFS(C:C,C1023,D:D,D1023)</f>
        <v>1</v>
      </c>
      <c r="B1023" s="30">
        <v>202101156514</v>
      </c>
      <c r="C1023" s="28" t="s">
        <v>1937</v>
      </c>
      <c r="D1023" s="28" t="s">
        <v>851</v>
      </c>
      <c r="E1023" s="28" t="s">
        <v>4952</v>
      </c>
      <c r="F1023" s="28" t="s">
        <v>75</v>
      </c>
      <c r="G1023" s="27" t="str">
        <f t="shared" si="32"/>
        <v>1120 RED BLUFF RD  PASADENA</v>
      </c>
      <c r="H1023" s="27" t="str">
        <f t="shared" si="33"/>
        <v>HOUSTON TX 77506</v>
      </c>
    </row>
    <row r="1024" spans="1:8" x14ac:dyDescent="0.2">
      <c r="A1024" s="27">
        <f>COUNTIFS(C:C,C1024,D:D,D1024)</f>
        <v>1</v>
      </c>
      <c r="B1024" s="30">
        <v>202101156515</v>
      </c>
      <c r="C1024" t="s">
        <v>3338</v>
      </c>
      <c r="D1024" t="s">
        <v>3339</v>
      </c>
      <c r="E1024" t="s">
        <v>4967</v>
      </c>
      <c r="F1024" t="s">
        <v>71</v>
      </c>
      <c r="G1024" s="27" t="str">
        <f t="shared" si="32"/>
        <v>15301 NORTHWEST FWY  HOUSTON</v>
      </c>
      <c r="H1024" s="27" t="str">
        <f t="shared" si="33"/>
        <v>HOUSTON TX 77040</v>
      </c>
    </row>
    <row r="1025" spans="1:8" x14ac:dyDescent="0.2">
      <c r="A1025" s="27">
        <f>COUNTIFS(C:C,C1025,D:D,D1025)</f>
        <v>1</v>
      </c>
      <c r="B1025" s="30">
        <v>202101156517</v>
      </c>
      <c r="C1025" t="s">
        <v>3909</v>
      </c>
      <c r="D1025" t="s">
        <v>3910</v>
      </c>
      <c r="E1025" t="s">
        <v>4935</v>
      </c>
      <c r="F1025" t="s">
        <v>75</v>
      </c>
      <c r="G1025" s="27" t="str">
        <f t="shared" si="32"/>
        <v>19780 ATASCOCITA SHOR ES DR HUMBLE</v>
      </c>
      <c r="H1025" s="27" t="str">
        <f t="shared" si="33"/>
        <v>HOUSTON TX 77396</v>
      </c>
    </row>
    <row r="1026" spans="1:8" x14ac:dyDescent="0.2">
      <c r="A1026" s="27">
        <f>COUNTIFS(C:C,C1026,D:D,D1026)</f>
        <v>1</v>
      </c>
      <c r="B1026" s="30">
        <v>202101156520</v>
      </c>
      <c r="C1026" t="s">
        <v>2920</v>
      </c>
      <c r="D1026" t="s">
        <v>2921</v>
      </c>
      <c r="E1026" t="s">
        <v>4939</v>
      </c>
      <c r="F1026" t="s">
        <v>4820</v>
      </c>
      <c r="G1026" s="27" t="str">
        <f t="shared" si="32"/>
        <v>8125 MILLS ROAD  HOUSTON</v>
      </c>
      <c r="H1026" s="27" t="str">
        <f t="shared" si="33"/>
        <v>HOUSTON TX 77064</v>
      </c>
    </row>
    <row r="1027" spans="1:8" x14ac:dyDescent="0.2">
      <c r="A1027" s="27">
        <f>COUNTIFS(C:C,C1027,D:D,D1027)</f>
        <v>1</v>
      </c>
      <c r="B1027" s="30">
        <v>202101156521</v>
      </c>
      <c r="C1027" t="s">
        <v>2755</v>
      </c>
      <c r="D1027" t="s">
        <v>2756</v>
      </c>
      <c r="E1027" t="s">
        <v>4866</v>
      </c>
      <c r="F1027" t="s">
        <v>98</v>
      </c>
      <c r="G1027" s="27" t="str">
        <f t="shared" si="32"/>
        <v>11709 RUBENSTEIN ST  HOUSTON</v>
      </c>
      <c r="H1027" s="27" t="str">
        <f t="shared" si="33"/>
        <v>HOUSTON TX 77076</v>
      </c>
    </row>
    <row r="1028" spans="1:8" x14ac:dyDescent="0.2">
      <c r="A1028" s="27">
        <f>COUNTIFS(C:C,C1028,D:D,D1028)</f>
        <v>1</v>
      </c>
      <c r="B1028" s="30">
        <v>202101156524</v>
      </c>
      <c r="C1028" t="s">
        <v>2340</v>
      </c>
      <c r="D1028" t="s">
        <v>2341</v>
      </c>
      <c r="E1028" t="s">
        <v>4864</v>
      </c>
      <c r="F1028" t="s">
        <v>88</v>
      </c>
      <c r="G1028" s="27" t="str">
        <f t="shared" si="32"/>
        <v>6903 ABILENE ST  HOUSTON</v>
      </c>
      <c r="H1028" s="27" t="str">
        <f t="shared" si="33"/>
        <v>HOUSTON TX 77020</v>
      </c>
    </row>
    <row r="1029" spans="1:8" x14ac:dyDescent="0.2">
      <c r="A1029" s="27">
        <f>COUNTIFS(C:C,C1029,D:D,D1029)</f>
        <v>1</v>
      </c>
      <c r="B1029" s="30">
        <v>202101156528</v>
      </c>
      <c r="C1029" t="s">
        <v>2306</v>
      </c>
      <c r="D1029" t="s">
        <v>2307</v>
      </c>
      <c r="E1029" t="s">
        <v>4895</v>
      </c>
      <c r="F1029" t="s">
        <v>341</v>
      </c>
      <c r="G1029" s="27" t="str">
        <f t="shared" si="32"/>
        <v>1919 RUNNELS ST APT 163 HOUSTON</v>
      </c>
      <c r="H1029" s="27" t="str">
        <f t="shared" si="33"/>
        <v>HOUSTON TX 77003</v>
      </c>
    </row>
    <row r="1030" spans="1:8" x14ac:dyDescent="0.2">
      <c r="A1030" s="27">
        <f>COUNTIFS(C:C,C1030,D:D,D1030)</f>
        <v>1</v>
      </c>
      <c r="B1030" s="30">
        <v>202101156530</v>
      </c>
      <c r="C1030" s="28" t="s">
        <v>714</v>
      </c>
      <c r="D1030" s="28" t="s">
        <v>715</v>
      </c>
      <c r="E1030" s="28" t="s">
        <v>4941</v>
      </c>
      <c r="F1030" s="28" t="s">
        <v>51</v>
      </c>
      <c r="G1030" s="27" t="str">
        <f t="shared" si="32"/>
        <v>14411 WICKHURST PLACE  CYPRESS</v>
      </c>
      <c r="H1030" s="27" t="str">
        <f t="shared" si="33"/>
        <v>HOUSTON TX 77429</v>
      </c>
    </row>
    <row r="1031" spans="1:8" x14ac:dyDescent="0.2">
      <c r="A1031" s="27">
        <f>COUNTIFS(C:C,C1031,D:D,D1031)</f>
        <v>1</v>
      </c>
      <c r="B1031" s="30">
        <v>202101156535</v>
      </c>
      <c r="C1031" s="28" t="s">
        <v>1633</v>
      </c>
      <c r="D1031" s="28" t="s">
        <v>1634</v>
      </c>
      <c r="E1031" s="28" t="s">
        <v>4941</v>
      </c>
      <c r="F1031" s="28" t="s">
        <v>88</v>
      </c>
      <c r="G1031" s="27" t="str">
        <f t="shared" si="32"/>
        <v>15235 HENDERON POINT DRIVE CYPRESS</v>
      </c>
      <c r="H1031" s="27" t="str">
        <f t="shared" si="33"/>
        <v>HOUSTON TX 77429</v>
      </c>
    </row>
    <row r="1032" spans="1:8" x14ac:dyDescent="0.2">
      <c r="A1032" s="27">
        <f>COUNTIFS(C:C,C1032,D:D,D1032)</f>
        <v>1</v>
      </c>
      <c r="B1032" s="30">
        <v>202101156537</v>
      </c>
      <c r="C1032" t="s">
        <v>2883</v>
      </c>
      <c r="D1032" t="s">
        <v>2884</v>
      </c>
      <c r="E1032" t="s">
        <v>5075</v>
      </c>
      <c r="F1032" t="s">
        <v>79</v>
      </c>
      <c r="G1032" s="27" t="str">
        <f t="shared" si="32"/>
        <v>17902 MISSION BLUFF L N RICHMOND</v>
      </c>
      <c r="H1032" s="27" t="str">
        <f t="shared" si="33"/>
        <v>HOUSTON TX 77407</v>
      </c>
    </row>
    <row r="1033" spans="1:8" x14ac:dyDescent="0.2">
      <c r="A1033" s="27">
        <f>COUNTIFS(C:C,C1033,D:D,D1033)</f>
        <v>1</v>
      </c>
      <c r="B1033" s="30">
        <v>202101156539</v>
      </c>
      <c r="C1033" t="s">
        <v>2318</v>
      </c>
      <c r="D1033" t="s">
        <v>2319</v>
      </c>
      <c r="E1033" t="s">
        <v>4900</v>
      </c>
      <c r="F1033" t="s">
        <v>88</v>
      </c>
      <c r="G1033" s="27" t="str">
        <f t="shared" si="32"/>
        <v>22720 MORTON RANCH RD  KATY</v>
      </c>
      <c r="H1033" s="27" t="str">
        <f t="shared" si="33"/>
        <v>HOUSTON TX 77449</v>
      </c>
    </row>
    <row r="1034" spans="1:8" x14ac:dyDescent="0.2">
      <c r="A1034" s="27">
        <f>COUNTIFS(C:C,C1034,D:D,D1034)</f>
        <v>1</v>
      </c>
      <c r="B1034" s="30">
        <v>202101156542</v>
      </c>
      <c r="C1034" t="s">
        <v>3913</v>
      </c>
      <c r="D1034" t="s">
        <v>3914</v>
      </c>
      <c r="E1034" t="s">
        <v>4986</v>
      </c>
      <c r="F1034" t="s">
        <v>53</v>
      </c>
      <c r="G1034" s="27" t="str">
        <f t="shared" si="32"/>
        <v>9516 ADOBE ROAD  HUMBLE</v>
      </c>
      <c r="H1034" s="27" t="str">
        <f t="shared" si="33"/>
        <v>HOUSTON TX 77338</v>
      </c>
    </row>
    <row r="1035" spans="1:8" x14ac:dyDescent="0.2">
      <c r="A1035" s="27">
        <f>COUNTIFS(C:C,C1035,D:D,D1035)</f>
        <v>1</v>
      </c>
      <c r="B1035" s="30">
        <v>202101156543</v>
      </c>
      <c r="C1035" s="28" t="s">
        <v>1603</v>
      </c>
      <c r="D1035" s="28" t="s">
        <v>1604</v>
      </c>
      <c r="E1035" s="28" t="s">
        <v>4862</v>
      </c>
      <c r="F1035" s="28" t="s">
        <v>53</v>
      </c>
      <c r="G1035" s="27" t="str">
        <f t="shared" si="32"/>
        <v>910 CYPRESS STATION DR HOUSTON</v>
      </c>
      <c r="H1035" s="27" t="str">
        <f t="shared" si="33"/>
        <v>HOUSTON TX 77090</v>
      </c>
    </row>
    <row r="1036" spans="1:8" x14ac:dyDescent="0.2">
      <c r="A1036" s="27">
        <f>COUNTIFS(C:C,C1036,D:D,D1036)</f>
        <v>1</v>
      </c>
      <c r="B1036" s="30">
        <v>202101156549</v>
      </c>
      <c r="C1036" t="s">
        <v>3917</v>
      </c>
      <c r="D1036" t="s">
        <v>3918</v>
      </c>
      <c r="E1036" t="s">
        <v>5228</v>
      </c>
      <c r="F1036" t="s">
        <v>88</v>
      </c>
      <c r="G1036" s="27" t="str">
        <f t="shared" si="32"/>
        <v>308 N MCMASTERS  HOUSTON</v>
      </c>
      <c r="H1036" s="27" t="str">
        <f t="shared" si="33"/>
        <v>HOUSTON TX 79106</v>
      </c>
    </row>
    <row r="1037" spans="1:8" x14ac:dyDescent="0.2">
      <c r="A1037" s="27">
        <f>COUNTIFS(C:C,C1037,D:D,D1037)</f>
        <v>1</v>
      </c>
      <c r="B1037" s="30">
        <v>202101156550</v>
      </c>
      <c r="C1037" t="s">
        <v>1946</v>
      </c>
      <c r="D1037" t="s">
        <v>1947</v>
      </c>
      <c r="E1037" t="s">
        <v>5089</v>
      </c>
      <c r="F1037" t="s">
        <v>79</v>
      </c>
      <c r="G1037" s="27" t="str">
        <f t="shared" si="32"/>
        <v>1107 PARK LN  HOUSTON</v>
      </c>
      <c r="H1037" s="27" t="str">
        <f t="shared" si="33"/>
        <v>HOUSTON TX 77506</v>
      </c>
    </row>
    <row r="1038" spans="1:8" x14ac:dyDescent="0.2">
      <c r="A1038" s="27">
        <f>COUNTIFS(C:C,C1038,D:D,D1038)</f>
        <v>1</v>
      </c>
      <c r="B1038" s="30">
        <v>202101156552</v>
      </c>
      <c r="C1038" t="s">
        <v>3919</v>
      </c>
      <c r="D1038" t="s">
        <v>3920</v>
      </c>
      <c r="E1038" t="s">
        <v>5229</v>
      </c>
      <c r="F1038" t="s">
        <v>388</v>
      </c>
      <c r="G1038" s="27" t="str">
        <f t="shared" si="32"/>
        <v>19531 SHANDY BANKS DR  TOMABALL</v>
      </c>
      <c r="H1038" s="27" t="str">
        <f t="shared" si="33"/>
        <v>HOUSTON TX 77375</v>
      </c>
    </row>
    <row r="1039" spans="1:8" x14ac:dyDescent="0.2">
      <c r="A1039" s="27">
        <f>COUNTIFS(C:C,C1039,D:D,D1039)</f>
        <v>1</v>
      </c>
      <c r="B1039" s="30">
        <v>202101156561</v>
      </c>
      <c r="C1039" s="28" t="s">
        <v>636</v>
      </c>
      <c r="D1039" s="28" t="s">
        <v>637</v>
      </c>
      <c r="E1039" s="28" t="s">
        <v>4929</v>
      </c>
      <c r="F1039" s="28" t="s">
        <v>88</v>
      </c>
      <c r="G1039" s="27" t="str">
        <f t="shared" si="32"/>
        <v>10000 CLUB CREEK  HOUSTON</v>
      </c>
      <c r="H1039" s="27" t="str">
        <f t="shared" si="33"/>
        <v>HOUSTON TX 70036</v>
      </c>
    </row>
    <row r="1040" spans="1:8" x14ac:dyDescent="0.2">
      <c r="A1040" s="27">
        <f>COUNTIFS(C:C,C1040,D:D,D1040)</f>
        <v>1</v>
      </c>
      <c r="B1040" s="30">
        <v>202101156562</v>
      </c>
      <c r="C1040" s="28" t="s">
        <v>1874</v>
      </c>
      <c r="D1040" s="28" t="s">
        <v>1875</v>
      </c>
      <c r="E1040" s="28" t="s">
        <v>5079</v>
      </c>
      <c r="F1040" s="28" t="s">
        <v>90</v>
      </c>
      <c r="G1040" s="27" t="str">
        <f t="shared" si="32"/>
        <v>801 COUNTRY PLACE # 51 HOUSTON</v>
      </c>
      <c r="H1040" s="27" t="str">
        <f t="shared" si="33"/>
        <v>HOUSTON TX 77079</v>
      </c>
    </row>
    <row r="1041" spans="1:8" x14ac:dyDescent="0.2">
      <c r="A1041" s="27">
        <f>COUNTIFS(C:C,C1041,D:D,D1041)</f>
        <v>1</v>
      </c>
      <c r="B1041" s="30">
        <v>202101156568</v>
      </c>
      <c r="C1041" t="s">
        <v>3923</v>
      </c>
      <c r="D1041" t="s">
        <v>3924</v>
      </c>
      <c r="E1041" t="s">
        <v>4897</v>
      </c>
      <c r="F1041" t="s">
        <v>88</v>
      </c>
      <c r="G1041" s="27" t="str">
        <f t="shared" si="32"/>
        <v>1301 AVENUE N  SOUTH HOUS</v>
      </c>
      <c r="H1041" s="27" t="str">
        <f t="shared" si="33"/>
        <v>HOUSTON TX 77587</v>
      </c>
    </row>
    <row r="1042" spans="1:8" x14ac:dyDescent="0.2">
      <c r="A1042" s="27">
        <f>COUNTIFS(C:C,C1042,D:D,D1042)</f>
        <v>1</v>
      </c>
      <c r="B1042" s="30">
        <v>202101156570</v>
      </c>
      <c r="C1042" s="28" t="s">
        <v>964</v>
      </c>
      <c r="D1042" s="28" t="s">
        <v>965</v>
      </c>
      <c r="E1042" s="28" t="s">
        <v>4854</v>
      </c>
      <c r="F1042" s="28" t="s">
        <v>57</v>
      </c>
      <c r="G1042" s="27" t="str">
        <f t="shared" si="32"/>
        <v>4215 RUSSELL APT A  HOUSTON</v>
      </c>
      <c r="H1042" s="27" t="str">
        <f t="shared" si="33"/>
        <v>HOUSTON TX 77026</v>
      </c>
    </row>
    <row r="1043" spans="1:8" x14ac:dyDescent="0.2">
      <c r="A1043" s="27">
        <f>COUNTIFS(C:C,C1043,D:D,D1043)</f>
        <v>1</v>
      </c>
      <c r="B1043" s="30">
        <v>202101156571</v>
      </c>
      <c r="C1043" t="s">
        <v>2310</v>
      </c>
      <c r="D1043" t="s">
        <v>2311</v>
      </c>
      <c r="E1043" t="s">
        <v>4938</v>
      </c>
      <c r="F1043" t="s">
        <v>96</v>
      </c>
      <c r="G1043" s="27" t="str">
        <f t="shared" si="32"/>
        <v>130 W MITCHELL RD  HOUSTON</v>
      </c>
      <c r="H1043" s="27" t="str">
        <f t="shared" si="33"/>
        <v>HOUSTON TX 77037</v>
      </c>
    </row>
    <row r="1044" spans="1:8" x14ac:dyDescent="0.2">
      <c r="A1044" s="27">
        <f>COUNTIFS(C:C,C1044,D:D,D1044)</f>
        <v>1</v>
      </c>
      <c r="B1044" s="30">
        <v>202101156577</v>
      </c>
      <c r="C1044" t="s">
        <v>3021</v>
      </c>
      <c r="D1044" t="s">
        <v>3022</v>
      </c>
      <c r="E1044" t="s">
        <v>4893</v>
      </c>
      <c r="F1044" t="s">
        <v>56</v>
      </c>
      <c r="G1044" s="27" t="str">
        <f t="shared" si="32"/>
        <v>3007 BANDELL DR  HOUSTON</v>
      </c>
      <c r="H1044" s="27" t="str">
        <f t="shared" si="33"/>
        <v>HOUSTON TX 77045</v>
      </c>
    </row>
    <row r="1045" spans="1:8" x14ac:dyDescent="0.2">
      <c r="A1045" s="27">
        <f>COUNTIFS(C:C,C1045,D:D,D1045)</f>
        <v>1</v>
      </c>
      <c r="B1045" s="30">
        <v>202101156579</v>
      </c>
      <c r="C1045" s="28" t="s">
        <v>1408</v>
      </c>
      <c r="D1045" s="28" t="s">
        <v>1409</v>
      </c>
      <c r="E1045" s="28" t="s">
        <v>4915</v>
      </c>
      <c r="F1045" s="28" t="s">
        <v>90</v>
      </c>
      <c r="G1045" s="27" t="str">
        <f t="shared" si="32"/>
        <v>6602 WESTON ST  HOUSTON</v>
      </c>
      <c r="H1045" s="27" t="str">
        <f t="shared" si="33"/>
        <v>HOUSTON TX 77021</v>
      </c>
    </row>
    <row r="1046" spans="1:8" x14ac:dyDescent="0.2">
      <c r="A1046" s="27">
        <f>COUNTIFS(C:C,C1046,D:D,D1046)</f>
        <v>1</v>
      </c>
      <c r="B1046" s="30">
        <v>202101156581</v>
      </c>
      <c r="C1046" t="s">
        <v>3929</v>
      </c>
      <c r="D1046" t="s">
        <v>3930</v>
      </c>
      <c r="E1046" t="s">
        <v>4852</v>
      </c>
      <c r="F1046" t="s">
        <v>88</v>
      </c>
      <c r="G1046" s="27" t="str">
        <f t="shared" si="32"/>
        <v>7705 RHOBELL ST  HOUSTON</v>
      </c>
      <c r="H1046" s="27" t="str">
        <f t="shared" si="33"/>
        <v>HOUSTON TX 77016</v>
      </c>
    </row>
    <row r="1047" spans="1:8" x14ac:dyDescent="0.2">
      <c r="A1047" s="27">
        <f>COUNTIFS(C:C,C1047,D:D,D1047)</f>
        <v>1</v>
      </c>
      <c r="B1047" s="30">
        <v>202101156582</v>
      </c>
      <c r="C1047" t="s">
        <v>2691</v>
      </c>
      <c r="D1047" t="s">
        <v>2692</v>
      </c>
      <c r="E1047" t="s">
        <v>4986</v>
      </c>
      <c r="F1047" t="s">
        <v>87</v>
      </c>
      <c r="G1047" s="27" t="str">
        <f t="shared" si="32"/>
        <v>509 FIFTH ST  HUMBLE</v>
      </c>
      <c r="H1047" s="27" t="str">
        <f t="shared" si="33"/>
        <v>HOUSTON TX 77338</v>
      </c>
    </row>
    <row r="1048" spans="1:8" x14ac:dyDescent="0.2">
      <c r="A1048" s="27">
        <f>COUNTIFS(C:C,C1048,D:D,D1048)</f>
        <v>1</v>
      </c>
      <c r="B1048" s="30">
        <v>202101156585</v>
      </c>
      <c r="C1048" t="s">
        <v>3931</v>
      </c>
      <c r="D1048" t="s">
        <v>3321</v>
      </c>
      <c r="E1048" t="s">
        <v>4907</v>
      </c>
      <c r="F1048" t="s">
        <v>90</v>
      </c>
      <c r="G1048" s="27" t="str">
        <f t="shared" si="32"/>
        <v>2730 LAFFERTY RD  PASADENA</v>
      </c>
      <c r="H1048" s="27" t="str">
        <f t="shared" si="33"/>
        <v>HOUSTON TX 77502</v>
      </c>
    </row>
    <row r="1049" spans="1:8" x14ac:dyDescent="0.2">
      <c r="A1049" s="27">
        <f>COUNTIFS(C:C,C1049,D:D,D1049)</f>
        <v>1</v>
      </c>
      <c r="B1049" s="30">
        <v>202101156587</v>
      </c>
      <c r="C1049" t="s">
        <v>3932</v>
      </c>
      <c r="D1049" t="s">
        <v>3933</v>
      </c>
      <c r="E1049" t="s">
        <v>5231</v>
      </c>
      <c r="F1049" t="s">
        <v>83</v>
      </c>
      <c r="G1049" s="27" t="str">
        <f t="shared" si="32"/>
        <v>12622 GRAYTON DR  TEXAS CITY</v>
      </c>
      <c r="H1049" s="27" t="str">
        <f t="shared" si="33"/>
        <v>HOUSTON TX 77568</v>
      </c>
    </row>
    <row r="1050" spans="1:8" x14ac:dyDescent="0.2">
      <c r="A1050" s="27">
        <f>COUNTIFS(C:C,C1050,D:D,D1050)</f>
        <v>1</v>
      </c>
      <c r="B1050" s="30">
        <v>202101156589</v>
      </c>
      <c r="C1050" s="28" t="s">
        <v>1506</v>
      </c>
      <c r="D1050" s="28" t="s">
        <v>1507</v>
      </c>
      <c r="E1050" s="28" t="s">
        <v>5049</v>
      </c>
      <c r="F1050" s="28" t="s">
        <v>99</v>
      </c>
      <c r="G1050" s="27" t="e">
        <f t="shared" si="32"/>
        <v>#VALUE!</v>
      </c>
      <c r="H1050" s="27" t="e">
        <f t="shared" si="33"/>
        <v>#VALUE!</v>
      </c>
    </row>
    <row r="1051" spans="1:8" x14ac:dyDescent="0.2">
      <c r="A1051" s="27">
        <f>COUNTIFS(C:C,C1051,D:D,D1051)</f>
        <v>1</v>
      </c>
      <c r="B1051" s="30">
        <v>202101156591</v>
      </c>
      <c r="C1051" s="28" t="s">
        <v>1348</v>
      </c>
      <c r="D1051" s="28" t="s">
        <v>1349</v>
      </c>
      <c r="E1051" s="28" t="s">
        <v>4856</v>
      </c>
      <c r="F1051" s="28" t="s">
        <v>64</v>
      </c>
      <c r="G1051" s="27" t="str">
        <f t="shared" si="32"/>
        <v>4801 ALLENDALE RD  HOUSTON</v>
      </c>
      <c r="H1051" s="27" t="str">
        <f t="shared" si="33"/>
        <v>HOUSTON TX 77017</v>
      </c>
    </row>
    <row r="1052" spans="1:8" x14ac:dyDescent="0.2">
      <c r="A1052" s="27">
        <f>COUNTIFS(C:C,C1052,D:D,D1052)</f>
        <v>1</v>
      </c>
      <c r="B1052" s="30">
        <v>202101156600</v>
      </c>
      <c r="C1052" t="s">
        <v>3351</v>
      </c>
      <c r="D1052" t="s">
        <v>3352</v>
      </c>
      <c r="E1052" t="s">
        <v>4876</v>
      </c>
      <c r="F1052" t="s">
        <v>377</v>
      </c>
      <c r="G1052" s="27" t="str">
        <f t="shared" si="32"/>
        <v>1724 PARKEY LN  HOUSTON</v>
      </c>
      <c r="H1052" s="27" t="str">
        <f t="shared" si="33"/>
        <v>HOUSTON TX 77015</v>
      </c>
    </row>
    <row r="1053" spans="1:8" x14ac:dyDescent="0.2">
      <c r="A1053" s="27">
        <f>COUNTIFS(C:C,C1053,D:D,D1053)</f>
        <v>1</v>
      </c>
      <c r="B1053" s="30">
        <v>202101156602</v>
      </c>
      <c r="C1053" s="28" t="s">
        <v>1454</v>
      </c>
      <c r="D1053" s="28" t="s">
        <v>1455</v>
      </c>
      <c r="E1053" s="28" t="s">
        <v>4917</v>
      </c>
      <c r="F1053" s="28" t="s">
        <v>87</v>
      </c>
      <c r="G1053" s="27" t="str">
        <f t="shared" si="32"/>
        <v>8700 GUSTINE LN  HOUSTON</v>
      </c>
      <c r="H1053" s="27" t="str">
        <f t="shared" si="33"/>
        <v>HOUSTON TX 77031</v>
      </c>
    </row>
    <row r="1054" spans="1:8" x14ac:dyDescent="0.2">
      <c r="A1054" s="27">
        <f>COUNTIFS(C:C,C1054,D:D,D1054)</f>
        <v>1</v>
      </c>
      <c r="B1054" s="30">
        <v>202101156604</v>
      </c>
      <c r="C1054" t="s">
        <v>2965</v>
      </c>
      <c r="D1054" t="s">
        <v>2966</v>
      </c>
      <c r="E1054" t="s">
        <v>4937</v>
      </c>
      <c r="F1054" t="s">
        <v>356</v>
      </c>
      <c r="G1054" s="27" t="str">
        <f t="shared" si="32"/>
        <v>7446 LAKEHURST DR  HOUSTON</v>
      </c>
      <c r="H1054" s="27" t="str">
        <f t="shared" si="33"/>
        <v>HOUSTON TX 77087</v>
      </c>
    </row>
    <row r="1055" spans="1:8" x14ac:dyDescent="0.2">
      <c r="A1055" s="27">
        <f>COUNTIFS(C:C,C1055,D:D,D1055)</f>
        <v>1</v>
      </c>
      <c r="B1055" s="30">
        <v>202101156607</v>
      </c>
      <c r="C1055" t="s">
        <v>3934</v>
      </c>
      <c r="D1055" t="s">
        <v>3935</v>
      </c>
      <c r="E1055" t="s">
        <v>5002</v>
      </c>
      <c r="F1055" t="s">
        <v>88</v>
      </c>
      <c r="G1055" s="27" t="str">
        <f t="shared" si="32"/>
        <v>3822 BRIER GARDEN  HOUSTON</v>
      </c>
      <c r="H1055" s="27" t="str">
        <f t="shared" si="33"/>
        <v>HOUSTON TX 77082</v>
      </c>
    </row>
    <row r="1056" spans="1:8" x14ac:dyDescent="0.2">
      <c r="A1056" s="27">
        <f>COUNTIFS(C:C,C1056,D:D,D1056)</f>
        <v>1</v>
      </c>
      <c r="B1056" s="30">
        <v>202101156610</v>
      </c>
      <c r="C1056" t="s">
        <v>2997</v>
      </c>
      <c r="D1056" t="s">
        <v>2998</v>
      </c>
      <c r="E1056" t="s">
        <v>4987</v>
      </c>
      <c r="F1056" t="s">
        <v>90</v>
      </c>
      <c r="G1056" s="27" t="str">
        <f t="shared" si="32"/>
        <v>7950 AMELIA RD  HOUSTON</v>
      </c>
      <c r="H1056" s="27" t="str">
        <f t="shared" si="33"/>
        <v>HOUSTON TX 77055</v>
      </c>
    </row>
    <row r="1057" spans="1:8" x14ac:dyDescent="0.2">
      <c r="A1057" s="27">
        <f>COUNTIFS(C:C,C1057,D:D,D1057)</f>
        <v>1</v>
      </c>
      <c r="B1057" s="30">
        <v>202101156611</v>
      </c>
      <c r="C1057" t="s">
        <v>3936</v>
      </c>
      <c r="D1057" t="s">
        <v>3937</v>
      </c>
      <c r="E1057" t="s">
        <v>5232</v>
      </c>
      <c r="F1057" t="s">
        <v>58</v>
      </c>
      <c r="G1057" s="27" t="str">
        <f t="shared" si="32"/>
        <v>12431 LINCOLN CRK  SAN ANTONI</v>
      </c>
      <c r="H1057" s="27" t="str">
        <f t="shared" si="33"/>
        <v>HOUSTON TX 78254</v>
      </c>
    </row>
    <row r="1058" spans="1:8" x14ac:dyDescent="0.2">
      <c r="A1058" s="27">
        <f>COUNTIFS(C:C,C1058,D:D,D1058)</f>
        <v>1</v>
      </c>
      <c r="B1058" s="30">
        <v>202101156614</v>
      </c>
      <c r="C1058" t="s">
        <v>3031</v>
      </c>
      <c r="D1058" t="s">
        <v>3032</v>
      </c>
      <c r="E1058" t="s">
        <v>4948</v>
      </c>
      <c r="F1058" t="s">
        <v>88</v>
      </c>
      <c r="G1058" s="27" t="str">
        <f t="shared" si="32"/>
        <v>602 GIRARD ST  HOUSTON</v>
      </c>
      <c r="H1058" s="27" t="str">
        <f t="shared" si="33"/>
        <v>HOUSTON TX 77007</v>
      </c>
    </row>
    <row r="1059" spans="1:8" x14ac:dyDescent="0.2">
      <c r="A1059" s="27">
        <f>COUNTIFS(C:C,C1059,D:D,D1059)</f>
        <v>1</v>
      </c>
      <c r="B1059" s="30">
        <v>202101156616</v>
      </c>
      <c r="C1059" t="s">
        <v>3938</v>
      </c>
      <c r="D1059" t="s">
        <v>3939</v>
      </c>
      <c r="E1059" t="s">
        <v>4859</v>
      </c>
      <c r="F1059" t="s">
        <v>88</v>
      </c>
      <c r="G1059" s="27" t="str">
        <f t="shared" si="32"/>
        <v>1422 LOCHSTONE DR  HOUSTON</v>
      </c>
      <c r="H1059" s="27" t="str">
        <f t="shared" si="33"/>
        <v>HOUSTON TX 77073</v>
      </c>
    </row>
    <row r="1060" spans="1:8" x14ac:dyDescent="0.2">
      <c r="A1060" s="27">
        <f>COUNTIFS(C:C,C1060,D:D,D1060)</f>
        <v>1</v>
      </c>
      <c r="B1060" s="30">
        <v>202101156617</v>
      </c>
      <c r="C1060" t="s">
        <v>3940</v>
      </c>
      <c r="D1060" t="s">
        <v>3941</v>
      </c>
      <c r="E1060" t="s">
        <v>4894</v>
      </c>
      <c r="F1060" t="s">
        <v>88</v>
      </c>
      <c r="G1060" s="27" t="str">
        <f t="shared" si="32"/>
        <v>4004 IRVINGTON BLVD 112 HOUSTON</v>
      </c>
      <c r="H1060" s="27" t="str">
        <f t="shared" si="33"/>
        <v>HOUSTON TX 77009</v>
      </c>
    </row>
    <row r="1061" spans="1:8" x14ac:dyDescent="0.2">
      <c r="A1061" s="27">
        <f>COUNTIFS(C:C,C1061,D:D,D1061)</f>
        <v>1</v>
      </c>
      <c r="B1061" s="30">
        <v>202101156619</v>
      </c>
      <c r="C1061" t="s">
        <v>3942</v>
      </c>
      <c r="D1061" t="s">
        <v>3943</v>
      </c>
      <c r="E1061" t="s">
        <v>4901</v>
      </c>
      <c r="F1061" t="s">
        <v>88</v>
      </c>
      <c r="G1061" s="27" t="str">
        <f t="shared" si="32"/>
        <v>7606 HOLLOW GLEN LN  HOUSTON</v>
      </c>
      <c r="H1061" s="27" t="str">
        <f t="shared" si="33"/>
        <v>HOUSTON TX 77072</v>
      </c>
    </row>
    <row r="1062" spans="1:8" x14ac:dyDescent="0.2">
      <c r="A1062" s="27">
        <f>COUNTIFS(C:C,C1062,D:D,D1062)</f>
        <v>1</v>
      </c>
      <c r="B1062" s="30">
        <v>202101156620</v>
      </c>
      <c r="C1062" t="s">
        <v>3944</v>
      </c>
      <c r="D1062" t="s">
        <v>3945</v>
      </c>
      <c r="E1062" t="s">
        <v>4900</v>
      </c>
      <c r="F1062" t="s">
        <v>88</v>
      </c>
      <c r="G1062" s="27" t="str">
        <f t="shared" si="32"/>
        <v>5751 GREEHOUSE ROAD  KATY</v>
      </c>
      <c r="H1062" s="27" t="str">
        <f t="shared" si="33"/>
        <v>HOUSTON TX 77449</v>
      </c>
    </row>
    <row r="1063" spans="1:8" x14ac:dyDescent="0.2">
      <c r="A1063" s="27">
        <f>COUNTIFS(C:C,C1063,D:D,D1063)</f>
        <v>1</v>
      </c>
      <c r="B1063" s="30">
        <v>202101156624</v>
      </c>
      <c r="C1063" s="28" t="s">
        <v>546</v>
      </c>
      <c r="D1063" s="28" t="s">
        <v>547</v>
      </c>
      <c r="E1063" s="28" t="s">
        <v>4854</v>
      </c>
      <c r="F1063" s="28" t="s">
        <v>99</v>
      </c>
      <c r="G1063" s="27" t="str">
        <f t="shared" si="32"/>
        <v>4405 DABNEY ST  HOUSTON</v>
      </c>
      <c r="H1063" s="27" t="str">
        <f t="shared" si="33"/>
        <v>HOUSTON TX 77026</v>
      </c>
    </row>
    <row r="1064" spans="1:8" x14ac:dyDescent="0.2">
      <c r="A1064" s="27">
        <f>COUNTIFS(C:C,C1064,D:D,D1064)</f>
        <v>1</v>
      </c>
      <c r="B1064" s="30">
        <v>202101156625</v>
      </c>
      <c r="C1064" s="28" t="s">
        <v>1010</v>
      </c>
      <c r="D1064" s="28" t="s">
        <v>1011</v>
      </c>
      <c r="E1064" s="28" t="s">
        <v>4960</v>
      </c>
      <c r="F1064" s="28" t="s">
        <v>67</v>
      </c>
      <c r="G1064" s="27" t="str">
        <f t="shared" si="32"/>
        <v>545 SEMINAR APT 469  HOUSTON</v>
      </c>
      <c r="H1064" s="27" t="str">
        <f t="shared" si="33"/>
        <v>HOUSTON TX 77060</v>
      </c>
    </row>
    <row r="1065" spans="1:8" x14ac:dyDescent="0.2">
      <c r="A1065" s="27">
        <f>COUNTIFS(C:C,C1065,D:D,D1065)</f>
        <v>1</v>
      </c>
      <c r="B1065" s="30">
        <v>202101156626</v>
      </c>
      <c r="C1065" t="s">
        <v>3346</v>
      </c>
      <c r="D1065" t="s">
        <v>3347</v>
      </c>
      <c r="E1065" t="s">
        <v>4941</v>
      </c>
      <c r="F1065" t="s">
        <v>72</v>
      </c>
      <c r="G1065" s="27" t="str">
        <f t="shared" si="32"/>
        <v>14719 OAKHEATH RIVER CT CYPRESS</v>
      </c>
      <c r="H1065" s="27" t="str">
        <f t="shared" si="33"/>
        <v>HOUSTON TX 77429</v>
      </c>
    </row>
    <row r="1066" spans="1:8" x14ac:dyDescent="0.2">
      <c r="A1066" s="27">
        <f>COUNTIFS(C:C,C1066,D:D,D1066)</f>
        <v>1</v>
      </c>
      <c r="B1066" s="30">
        <v>202101156628</v>
      </c>
      <c r="C1066" t="s">
        <v>3948</v>
      </c>
      <c r="D1066" t="s">
        <v>3949</v>
      </c>
      <c r="E1066" t="s">
        <v>5077</v>
      </c>
      <c r="F1066" t="s">
        <v>88</v>
      </c>
      <c r="G1066" s="27" t="str">
        <f t="shared" ref="G1066:G1129" si="34">D1066&amp;" "&amp;MID(E1066,1,FIND(" TX",E1066)-1)</f>
        <v>12000 FLEMING DR 1402 B HOUSTON</v>
      </c>
      <c r="H1066" s="27" t="str">
        <f t="shared" ref="H1066:H1129" si="35">"HOUSTON "&amp;MID(E1066,FIND("TX",E1066),8)</f>
        <v>HOUSTON TX 77013</v>
      </c>
    </row>
    <row r="1067" spans="1:8" x14ac:dyDescent="0.2">
      <c r="A1067" s="27">
        <f>COUNTIFS(C:C,C1067,D:D,D1067)</f>
        <v>1</v>
      </c>
      <c r="B1067" s="30">
        <v>202101156632</v>
      </c>
      <c r="C1067" t="s">
        <v>2207</v>
      </c>
      <c r="D1067" t="s">
        <v>2208</v>
      </c>
      <c r="E1067" t="s">
        <v>5112</v>
      </c>
      <c r="F1067" t="s">
        <v>328</v>
      </c>
      <c r="G1067" s="27" t="str">
        <f t="shared" si="34"/>
        <v>31503 MARLIN ST  MAGNOLIA</v>
      </c>
      <c r="H1067" s="27" t="str">
        <f t="shared" si="35"/>
        <v>HOUSTON TX 77355</v>
      </c>
    </row>
    <row r="1068" spans="1:8" x14ac:dyDescent="0.2">
      <c r="A1068" s="27">
        <f>COUNTIFS(C:C,C1068,D:D,D1068)</f>
        <v>1</v>
      </c>
      <c r="B1068" s="30">
        <v>202101156634</v>
      </c>
      <c r="C1068" t="s">
        <v>3254</v>
      </c>
      <c r="D1068" t="s">
        <v>3207</v>
      </c>
      <c r="E1068" t="s">
        <v>4967</v>
      </c>
      <c r="F1068" t="s">
        <v>68</v>
      </c>
      <c r="G1068" s="27" t="str">
        <f t="shared" si="34"/>
        <v>7500 PINEMONT DR  HOUSTON</v>
      </c>
      <c r="H1068" s="27" t="str">
        <f t="shared" si="35"/>
        <v>HOUSTON TX 77040</v>
      </c>
    </row>
    <row r="1069" spans="1:8" x14ac:dyDescent="0.2">
      <c r="A1069" s="27">
        <f>COUNTIFS(C:C,C1069,D:D,D1069)</f>
        <v>1</v>
      </c>
      <c r="B1069" s="30">
        <v>202101156635</v>
      </c>
      <c r="C1069" t="s">
        <v>2396</v>
      </c>
      <c r="D1069" t="s">
        <v>2397</v>
      </c>
      <c r="E1069" t="s">
        <v>4932</v>
      </c>
      <c r="F1069" t="s">
        <v>88</v>
      </c>
      <c r="G1069" s="27" t="str">
        <f t="shared" si="34"/>
        <v>3820 SHERWOOD LN  HOUSTON</v>
      </c>
      <c r="H1069" s="27" t="str">
        <f t="shared" si="35"/>
        <v>HOUSTON TX 77092</v>
      </c>
    </row>
    <row r="1070" spans="1:8" x14ac:dyDescent="0.2">
      <c r="A1070" s="27">
        <f>COUNTIFS(C:C,C1070,D:D,D1070)</f>
        <v>1</v>
      </c>
      <c r="B1070" s="30">
        <v>202101156636</v>
      </c>
      <c r="C1070" s="28" t="s">
        <v>1239</v>
      </c>
      <c r="D1070" s="28" t="s">
        <v>1240</v>
      </c>
      <c r="E1070" s="28" t="s">
        <v>4883</v>
      </c>
      <c r="F1070" s="28" t="s">
        <v>88</v>
      </c>
      <c r="G1070" s="27" t="str">
        <f t="shared" si="34"/>
        <v>12583 LA ROCHELLE DR  HARRIS CO</v>
      </c>
      <c r="H1070" s="27" t="str">
        <f t="shared" si="35"/>
        <v>HOUSTON TX 77015</v>
      </c>
    </row>
    <row r="1071" spans="1:8" x14ac:dyDescent="0.2">
      <c r="A1071" s="27">
        <f>COUNTIFS(C:C,C1071,D:D,D1071)</f>
        <v>1</v>
      </c>
      <c r="B1071" s="30">
        <v>202101156638</v>
      </c>
      <c r="C1071" s="28" t="s">
        <v>1034</v>
      </c>
      <c r="D1071" s="28" t="s">
        <v>1035</v>
      </c>
      <c r="E1071" s="28" t="s">
        <v>4896</v>
      </c>
      <c r="F1071" s="28" t="s">
        <v>88</v>
      </c>
      <c r="G1071" s="27" t="str">
        <f t="shared" si="34"/>
        <v>8000 BELLAIRE BLV  HOUSTON</v>
      </c>
      <c r="H1071" s="27" t="str">
        <f t="shared" si="35"/>
        <v>HOUSTON TX 77036</v>
      </c>
    </row>
    <row r="1072" spans="1:8" x14ac:dyDescent="0.2">
      <c r="A1072" s="27">
        <f>COUNTIFS(C:C,C1072,D:D,D1072)</f>
        <v>1</v>
      </c>
      <c r="B1072" s="30">
        <v>202101156639</v>
      </c>
      <c r="C1072" t="s">
        <v>2857</v>
      </c>
      <c r="D1072" t="s">
        <v>789</v>
      </c>
      <c r="E1072" t="s">
        <v>4955</v>
      </c>
      <c r="F1072" t="s">
        <v>68</v>
      </c>
      <c r="G1072" s="27" t="str">
        <f t="shared" si="34"/>
        <v>4025 BURKE  PASADENA</v>
      </c>
      <c r="H1072" s="27" t="str">
        <f t="shared" si="35"/>
        <v xml:space="preserve">HOUSTON TX      </v>
      </c>
    </row>
    <row r="1073" spans="1:8" x14ac:dyDescent="0.2">
      <c r="A1073" s="27">
        <f>COUNTIFS(C:C,C1073,D:D,D1073)</f>
        <v>1</v>
      </c>
      <c r="B1073" s="30">
        <v>202101156640</v>
      </c>
      <c r="C1073" t="s">
        <v>3946</v>
      </c>
      <c r="D1073" t="s">
        <v>3947</v>
      </c>
      <c r="E1073" t="s">
        <v>5233</v>
      </c>
      <c r="F1073" t="s">
        <v>88</v>
      </c>
      <c r="G1073" s="27" t="str">
        <f t="shared" si="34"/>
        <v>9390 W FM 1960 BYP 7 06 HOUSTON</v>
      </c>
      <c r="H1073" s="27" t="str">
        <f t="shared" si="35"/>
        <v>HOUSTON TX 77338</v>
      </c>
    </row>
    <row r="1074" spans="1:8" x14ac:dyDescent="0.2">
      <c r="A1074" s="27">
        <f>COUNTIFS(C:C,C1074,D:D,D1074)</f>
        <v>1</v>
      </c>
      <c r="B1074" s="30">
        <v>202101156642</v>
      </c>
      <c r="C1074" t="s">
        <v>3950</v>
      </c>
      <c r="D1074" t="s">
        <v>3951</v>
      </c>
      <c r="E1074" t="s">
        <v>4991</v>
      </c>
      <c r="F1074" t="s">
        <v>88</v>
      </c>
      <c r="G1074" s="27" t="str">
        <f t="shared" si="34"/>
        <v>3500 WOODCHASE DR 10 24 HOUSTON</v>
      </c>
      <c r="H1074" s="27" t="str">
        <f t="shared" si="35"/>
        <v>HOUSTON TX 77042</v>
      </c>
    </row>
    <row r="1075" spans="1:8" x14ac:dyDescent="0.2">
      <c r="A1075" s="27">
        <f>COUNTIFS(C:C,C1075,D:D,D1075)</f>
        <v>1</v>
      </c>
      <c r="B1075" s="30">
        <v>202101156643</v>
      </c>
      <c r="C1075" t="s">
        <v>3952</v>
      </c>
      <c r="D1075" t="s">
        <v>3953</v>
      </c>
      <c r="E1075" t="s">
        <v>4973</v>
      </c>
      <c r="F1075" t="s">
        <v>88</v>
      </c>
      <c r="G1075" s="27" t="str">
        <f t="shared" si="34"/>
        <v>6503 WANDA LANE  HOUSTON</v>
      </c>
      <c r="H1075" s="27" t="str">
        <f t="shared" si="35"/>
        <v>HOUSTON TX 77074</v>
      </c>
    </row>
    <row r="1076" spans="1:8" x14ac:dyDescent="0.2">
      <c r="A1076" s="27">
        <f>COUNTIFS(C:C,C1076,D:D,D1076)</f>
        <v>1</v>
      </c>
      <c r="B1076" s="30">
        <v>202101156644</v>
      </c>
      <c r="C1076" t="s">
        <v>2486</v>
      </c>
      <c r="D1076" t="s">
        <v>2487</v>
      </c>
      <c r="E1076" t="s">
        <v>4889</v>
      </c>
      <c r="F1076" t="s">
        <v>53</v>
      </c>
      <c r="G1076" s="27" t="str">
        <f t="shared" si="34"/>
        <v>717 W GREENS RD  HOUSTON</v>
      </c>
      <c r="H1076" s="27" t="str">
        <f t="shared" si="35"/>
        <v>HOUSTON TX 77067</v>
      </c>
    </row>
    <row r="1077" spans="1:8" x14ac:dyDescent="0.2">
      <c r="A1077" s="27">
        <f>COUNTIFS(C:C,C1077,D:D,D1077)</f>
        <v>1</v>
      </c>
      <c r="B1077" s="30">
        <v>202101156645</v>
      </c>
      <c r="C1077" t="s">
        <v>3954</v>
      </c>
      <c r="D1077" t="s">
        <v>3955</v>
      </c>
      <c r="E1077" t="s">
        <v>5078</v>
      </c>
      <c r="F1077" t="s">
        <v>90</v>
      </c>
      <c r="G1077" s="27" t="str">
        <f t="shared" si="34"/>
        <v>19635 ADELAIDE MEADOW S CT HARRIS CO</v>
      </c>
      <c r="H1077" s="27" t="str">
        <f t="shared" si="35"/>
        <v>HOUSTON TX 77449</v>
      </c>
    </row>
    <row r="1078" spans="1:8" x14ac:dyDescent="0.2">
      <c r="A1078" s="27">
        <f>COUNTIFS(C:C,C1078,D:D,D1078)</f>
        <v>1</v>
      </c>
      <c r="B1078" s="30">
        <v>202101156646</v>
      </c>
      <c r="C1078" t="s">
        <v>3134</v>
      </c>
      <c r="D1078" t="s">
        <v>3135</v>
      </c>
      <c r="E1078" t="s">
        <v>4937</v>
      </c>
      <c r="F1078" t="s">
        <v>88</v>
      </c>
      <c r="G1078" s="27" t="str">
        <f t="shared" si="34"/>
        <v>7203 GILLEN ST  HOUSTON</v>
      </c>
      <c r="H1078" s="27" t="str">
        <f t="shared" si="35"/>
        <v>HOUSTON TX 77087</v>
      </c>
    </row>
    <row r="1079" spans="1:8" x14ac:dyDescent="0.2">
      <c r="A1079" s="27">
        <f>COUNTIFS(C:C,C1079,D:D,D1079)</f>
        <v>1</v>
      </c>
      <c r="B1079" s="30">
        <v>202101156647</v>
      </c>
      <c r="C1079" t="s">
        <v>2827</v>
      </c>
      <c r="D1079" t="s">
        <v>2828</v>
      </c>
      <c r="E1079" t="s">
        <v>4866</v>
      </c>
      <c r="F1079" t="s">
        <v>351</v>
      </c>
      <c r="G1079" s="27" t="str">
        <f t="shared" si="34"/>
        <v>7211 NORTHLINE DR  HOUSTON</v>
      </c>
      <c r="H1079" s="27" t="str">
        <f t="shared" si="35"/>
        <v>HOUSTON TX 77076</v>
      </c>
    </row>
    <row r="1080" spans="1:8" x14ac:dyDescent="0.2">
      <c r="A1080" s="27">
        <f>COUNTIFS(C:C,C1080,D:D,D1080)</f>
        <v>1</v>
      </c>
      <c r="B1080" s="30">
        <v>202101156653</v>
      </c>
      <c r="C1080" t="s">
        <v>3956</v>
      </c>
      <c r="D1080" t="s">
        <v>3957</v>
      </c>
      <c r="E1080" t="s">
        <v>5239</v>
      </c>
      <c r="F1080" t="s">
        <v>4840</v>
      </c>
      <c r="G1080" s="27" t="e">
        <f t="shared" si="34"/>
        <v>#VALUE!</v>
      </c>
      <c r="H1080" s="27" t="e">
        <f t="shared" si="35"/>
        <v>#VALUE!</v>
      </c>
    </row>
    <row r="1081" spans="1:8" x14ac:dyDescent="0.2">
      <c r="A1081" s="27">
        <f>COUNTIFS(C:C,C1081,D:D,D1081)</f>
        <v>1</v>
      </c>
      <c r="B1081" s="30">
        <v>202101156654</v>
      </c>
      <c r="C1081" t="s">
        <v>3958</v>
      </c>
      <c r="D1081" t="s">
        <v>3959</v>
      </c>
      <c r="E1081" t="s">
        <v>4878</v>
      </c>
      <c r="F1081" t="s">
        <v>88</v>
      </c>
      <c r="G1081" s="27" t="str">
        <f t="shared" si="34"/>
        <v>6231 EL GRANATE DR  HOUSTON</v>
      </c>
      <c r="H1081" s="27" t="str">
        <f t="shared" si="35"/>
        <v>HOUSTON TX 77048</v>
      </c>
    </row>
    <row r="1082" spans="1:8" x14ac:dyDescent="0.2">
      <c r="A1082" s="27">
        <f>COUNTIFS(C:C,C1082,D:D,D1082)</f>
        <v>1</v>
      </c>
      <c r="B1082" s="30">
        <v>202101156656</v>
      </c>
      <c r="C1082" t="s">
        <v>3960</v>
      </c>
      <c r="D1082" t="s">
        <v>3961</v>
      </c>
      <c r="E1082" t="s">
        <v>4997</v>
      </c>
      <c r="F1082" t="s">
        <v>90</v>
      </c>
      <c r="G1082" s="27" t="str">
        <f t="shared" si="34"/>
        <v>9903 S DAIRY ASHFORD RD HOUSTON</v>
      </c>
      <c r="H1082" s="27" t="str">
        <f t="shared" si="35"/>
        <v>HOUSTON TX 77099</v>
      </c>
    </row>
    <row r="1083" spans="1:8" x14ac:dyDescent="0.2">
      <c r="A1083" s="27">
        <f>COUNTIFS(C:C,C1083,D:D,D1083)</f>
        <v>1</v>
      </c>
      <c r="B1083" s="30">
        <v>202101156659</v>
      </c>
      <c r="C1083" t="s">
        <v>3962</v>
      </c>
      <c r="D1083" t="s">
        <v>3963</v>
      </c>
      <c r="E1083" t="s">
        <v>4903</v>
      </c>
      <c r="F1083" t="s">
        <v>51</v>
      </c>
      <c r="G1083" s="27" t="str">
        <f t="shared" si="34"/>
        <v>19042 S WHIMSEY  CYPRESS</v>
      </c>
      <c r="H1083" s="27" t="str">
        <f t="shared" si="35"/>
        <v>HOUSTON TX 77433</v>
      </c>
    </row>
    <row r="1084" spans="1:8" x14ac:dyDescent="0.2">
      <c r="A1084" s="27">
        <f>COUNTIFS(C:C,C1084,D:D,D1084)</f>
        <v>1</v>
      </c>
      <c r="B1084" s="30">
        <v>202101156663</v>
      </c>
      <c r="C1084" t="s">
        <v>2422</v>
      </c>
      <c r="D1084" t="s">
        <v>2423</v>
      </c>
      <c r="E1084" t="s">
        <v>4952</v>
      </c>
      <c r="F1084" t="s">
        <v>53</v>
      </c>
      <c r="G1084" s="27" t="str">
        <f t="shared" si="34"/>
        <v>1100 BURKE RD  PASADENA</v>
      </c>
      <c r="H1084" s="27" t="str">
        <f t="shared" si="35"/>
        <v>HOUSTON TX 77506</v>
      </c>
    </row>
    <row r="1085" spans="1:8" x14ac:dyDescent="0.2">
      <c r="A1085" s="27">
        <f>COUNTIFS(C:C,C1085,D:D,D1085)</f>
        <v>1</v>
      </c>
      <c r="B1085" s="30">
        <v>202101156666</v>
      </c>
      <c r="C1085" t="s">
        <v>2336</v>
      </c>
      <c r="D1085" t="s">
        <v>2337</v>
      </c>
      <c r="E1085" t="s">
        <v>4875</v>
      </c>
      <c r="F1085" t="s">
        <v>75</v>
      </c>
      <c r="G1085" s="27" t="str">
        <f t="shared" si="34"/>
        <v>2830 WIMBERLY ST  HOUSTON</v>
      </c>
      <c r="H1085" s="27" t="str">
        <f t="shared" si="35"/>
        <v>HOUSTON TX 77093</v>
      </c>
    </row>
    <row r="1086" spans="1:8" x14ac:dyDescent="0.2">
      <c r="A1086" s="27">
        <f>COUNTIFS(C:C,C1086,D:D,D1086)</f>
        <v>1</v>
      </c>
      <c r="B1086" s="30">
        <v>202101156668</v>
      </c>
      <c r="C1086" t="s">
        <v>3964</v>
      </c>
      <c r="D1086" t="s">
        <v>3965</v>
      </c>
      <c r="E1086" t="s">
        <v>5240</v>
      </c>
      <c r="F1086" t="s">
        <v>88</v>
      </c>
      <c r="G1086" s="27" t="str">
        <f t="shared" si="34"/>
        <v>3022 CHARLES ST  BACLIFF</v>
      </c>
      <c r="H1086" s="27" t="str">
        <f t="shared" si="35"/>
        <v>HOUSTON TX 77518</v>
      </c>
    </row>
    <row r="1087" spans="1:8" x14ac:dyDescent="0.2">
      <c r="A1087" s="27">
        <f>COUNTIFS(C:C,C1087,D:D,D1087)</f>
        <v>1</v>
      </c>
      <c r="B1087" s="30">
        <v>202101156670</v>
      </c>
      <c r="C1087" s="28" t="s">
        <v>860</v>
      </c>
      <c r="D1087" s="28" t="s">
        <v>861</v>
      </c>
      <c r="E1087" s="28" t="s">
        <v>4915</v>
      </c>
      <c r="F1087" s="28" t="s">
        <v>90</v>
      </c>
      <c r="G1087" s="27" t="str">
        <f t="shared" si="34"/>
        <v>3822 MAINER ST  HOUSTON</v>
      </c>
      <c r="H1087" s="27" t="str">
        <f t="shared" si="35"/>
        <v>HOUSTON TX 77021</v>
      </c>
    </row>
    <row r="1088" spans="1:8" x14ac:dyDescent="0.2">
      <c r="A1088" s="27">
        <f>COUNTIFS(C:C,C1088,D:D,D1088)</f>
        <v>1</v>
      </c>
      <c r="B1088" s="30">
        <v>202101156671</v>
      </c>
      <c r="C1088" s="28" t="s">
        <v>1853</v>
      </c>
      <c r="D1088" s="28" t="s">
        <v>1854</v>
      </c>
      <c r="E1088" s="28" t="s">
        <v>4991</v>
      </c>
      <c r="F1088" s="28" t="s">
        <v>99</v>
      </c>
      <c r="G1088" s="27" t="str">
        <f t="shared" si="34"/>
        <v>10615 MEADOWGLEN LN  HOUSTON</v>
      </c>
      <c r="H1088" s="27" t="str">
        <f t="shared" si="35"/>
        <v>HOUSTON TX 77042</v>
      </c>
    </row>
    <row r="1089" spans="1:8" x14ac:dyDescent="0.2">
      <c r="A1089" s="27">
        <f>COUNTIFS(C:C,C1089,D:D,D1089)</f>
        <v>1</v>
      </c>
      <c r="B1089" s="30">
        <v>202101156672</v>
      </c>
      <c r="C1089" t="s">
        <v>3015</v>
      </c>
      <c r="D1089" t="s">
        <v>3016</v>
      </c>
      <c r="E1089" t="s">
        <v>4928</v>
      </c>
      <c r="F1089" t="s">
        <v>88</v>
      </c>
      <c r="G1089" s="27" t="str">
        <f t="shared" si="34"/>
        <v>213 AVENUE D  HIGHLANDS</v>
      </c>
      <c r="H1089" s="27" t="str">
        <f t="shared" si="35"/>
        <v>HOUSTON TX 77562</v>
      </c>
    </row>
    <row r="1090" spans="1:8" x14ac:dyDescent="0.2">
      <c r="A1090" s="27">
        <f>COUNTIFS(C:C,C1090,D:D,D1090)</f>
        <v>1</v>
      </c>
      <c r="B1090" s="30">
        <v>202101156674</v>
      </c>
      <c r="C1090" s="28" t="s">
        <v>708</v>
      </c>
      <c r="D1090" s="28" t="s">
        <v>709</v>
      </c>
      <c r="E1090" s="28" t="s">
        <v>4881</v>
      </c>
      <c r="F1090" s="28" t="s">
        <v>99</v>
      </c>
      <c r="G1090" s="27" t="str">
        <f t="shared" si="34"/>
        <v>310 BLINKIN AVENUE  CROSBY</v>
      </c>
      <c r="H1090" s="27" t="str">
        <f t="shared" si="35"/>
        <v>HOUSTON TX 77532</v>
      </c>
    </row>
    <row r="1091" spans="1:8" x14ac:dyDescent="0.2">
      <c r="A1091" s="27">
        <f>COUNTIFS(C:C,C1091,D:D,D1091)</f>
        <v>1</v>
      </c>
      <c r="B1091" s="30">
        <v>202101156681</v>
      </c>
      <c r="C1091" t="s">
        <v>2235</v>
      </c>
      <c r="D1091" t="s">
        <v>2236</v>
      </c>
      <c r="E1091" t="s">
        <v>5116</v>
      </c>
      <c r="F1091" t="s">
        <v>53</v>
      </c>
      <c r="G1091" s="27" t="str">
        <f t="shared" si="34"/>
        <v>12818 CINDER CONE TRL  HARRIS CO</v>
      </c>
      <c r="H1091" s="27" t="str">
        <f t="shared" si="35"/>
        <v>HOUSTON TX 77044</v>
      </c>
    </row>
    <row r="1092" spans="1:8" x14ac:dyDescent="0.2">
      <c r="A1092" s="27">
        <f>COUNTIFS(C:C,C1092,D:D,D1092)</f>
        <v>1</v>
      </c>
      <c r="B1092" s="30">
        <v>202101156682</v>
      </c>
      <c r="C1092" t="s">
        <v>3966</v>
      </c>
      <c r="D1092" t="s">
        <v>3967</v>
      </c>
      <c r="E1092" t="s">
        <v>4986</v>
      </c>
      <c r="F1092" t="s">
        <v>56</v>
      </c>
      <c r="G1092" s="27" t="str">
        <f t="shared" si="34"/>
        <v>8310 OLD MAPLE LN  HUMBLE</v>
      </c>
      <c r="H1092" s="27" t="str">
        <f t="shared" si="35"/>
        <v>HOUSTON TX 77338</v>
      </c>
    </row>
    <row r="1093" spans="1:8" x14ac:dyDescent="0.2">
      <c r="A1093" s="27">
        <f>COUNTIFS(C:C,C1093,D:D,D1093)</f>
        <v>1</v>
      </c>
      <c r="B1093" s="30">
        <v>202101156683</v>
      </c>
      <c r="C1093" s="28" t="s">
        <v>450</v>
      </c>
      <c r="D1093" s="28" t="s">
        <v>451</v>
      </c>
      <c r="E1093" s="28" t="s">
        <v>4871</v>
      </c>
      <c r="F1093" s="28" t="s">
        <v>91</v>
      </c>
      <c r="G1093" s="27" t="str">
        <f t="shared" si="34"/>
        <v>1314 BAYSWATER DR.  HOUSTON</v>
      </c>
      <c r="H1093" s="27" t="str">
        <f t="shared" si="35"/>
        <v>HOUSTON TX 77047</v>
      </c>
    </row>
    <row r="1094" spans="1:8" x14ac:dyDescent="0.2">
      <c r="A1094" s="27">
        <f>COUNTIFS(C:C,C1094,D:D,D1094)</f>
        <v>1</v>
      </c>
      <c r="B1094" s="30">
        <v>202101156684</v>
      </c>
      <c r="C1094" s="28" t="s">
        <v>508</v>
      </c>
      <c r="D1094" s="28" t="s">
        <v>509</v>
      </c>
      <c r="E1094" s="28" t="s">
        <v>4867</v>
      </c>
      <c r="F1094" s="28" t="s">
        <v>53</v>
      </c>
      <c r="G1094" s="27" t="str">
        <f t="shared" si="34"/>
        <v>5138 JEFFERSON ST  HOUSTON</v>
      </c>
      <c r="H1094" s="27" t="str">
        <f t="shared" si="35"/>
        <v>HOUSTON TX 77023</v>
      </c>
    </row>
    <row r="1095" spans="1:8" x14ac:dyDescent="0.2">
      <c r="A1095" s="27">
        <f>COUNTIFS(C:C,C1095,D:D,D1095)</f>
        <v>1</v>
      </c>
      <c r="B1095" s="30">
        <v>202101156686</v>
      </c>
      <c r="C1095" t="s">
        <v>2002</v>
      </c>
      <c r="D1095" t="s">
        <v>2003</v>
      </c>
      <c r="E1095" t="s">
        <v>4952</v>
      </c>
      <c r="F1095" t="s">
        <v>87</v>
      </c>
      <c r="G1095" s="27" t="str">
        <f t="shared" si="34"/>
        <v>115 MCMASTERS AVE  PASADENA</v>
      </c>
      <c r="H1095" s="27" t="str">
        <f t="shared" si="35"/>
        <v>HOUSTON TX 77506</v>
      </c>
    </row>
    <row r="1096" spans="1:8" x14ac:dyDescent="0.2">
      <c r="A1096" s="27">
        <f>COUNTIFS(C:C,C1096,D:D,D1096)</f>
        <v>1</v>
      </c>
      <c r="B1096" s="30">
        <v>202101156688</v>
      </c>
      <c r="C1096" t="s">
        <v>3112</v>
      </c>
      <c r="D1096" t="s">
        <v>3113</v>
      </c>
      <c r="E1096" t="s">
        <v>5170</v>
      </c>
      <c r="F1096" t="s">
        <v>79</v>
      </c>
      <c r="G1096" s="27" t="str">
        <f t="shared" si="34"/>
        <v>111111 PLEASANT COLONY  JERSEY VIL</v>
      </c>
      <c r="H1096" s="27" t="str">
        <f t="shared" si="35"/>
        <v>HOUSTON TX 77040</v>
      </c>
    </row>
    <row r="1097" spans="1:8" x14ac:dyDescent="0.2">
      <c r="A1097" s="27">
        <f>COUNTIFS(C:C,C1097,D:D,D1097)</f>
        <v>1</v>
      </c>
      <c r="B1097" s="30">
        <v>202101156697</v>
      </c>
      <c r="C1097" t="s">
        <v>2749</v>
      </c>
      <c r="D1097" t="s">
        <v>2750</v>
      </c>
      <c r="E1097" t="s">
        <v>4891</v>
      </c>
      <c r="F1097" t="s">
        <v>79</v>
      </c>
      <c r="G1097" s="27" t="str">
        <f t="shared" si="34"/>
        <v>2119 HAMPTON ST B  HOUSTON</v>
      </c>
      <c r="H1097" s="27" t="str">
        <f t="shared" si="35"/>
        <v>HOUSTON TX 77088</v>
      </c>
    </row>
    <row r="1098" spans="1:8" x14ac:dyDescent="0.2">
      <c r="A1098" s="27">
        <f>COUNTIFS(C:C,C1098,D:D,D1098)</f>
        <v>1</v>
      </c>
      <c r="B1098" s="30">
        <v>202101156698</v>
      </c>
      <c r="C1098" t="s">
        <v>2942</v>
      </c>
      <c r="D1098" t="s">
        <v>2694</v>
      </c>
      <c r="E1098" t="s">
        <v>4935</v>
      </c>
      <c r="F1098" t="s">
        <v>168</v>
      </c>
      <c r="G1098" s="27" t="str">
        <f t="shared" si="34"/>
        <v>520 ATASCOCITA RD  HUMBLE</v>
      </c>
      <c r="H1098" s="27" t="str">
        <f t="shared" si="35"/>
        <v>HOUSTON TX 77396</v>
      </c>
    </row>
    <row r="1099" spans="1:8" x14ac:dyDescent="0.2">
      <c r="A1099" s="27">
        <f>COUNTIFS(C:C,C1099,D:D,D1099)</f>
        <v>1</v>
      </c>
      <c r="B1099" s="30">
        <v>202101156699</v>
      </c>
      <c r="C1099" s="28" t="s">
        <v>831</v>
      </c>
      <c r="D1099" s="28" t="s">
        <v>832</v>
      </c>
      <c r="E1099" s="28" t="s">
        <v>4967</v>
      </c>
      <c r="F1099" s="28" t="s">
        <v>64</v>
      </c>
      <c r="G1099" s="27" t="str">
        <f t="shared" si="34"/>
        <v>8327 W. TIDEWELL  HOUSTON</v>
      </c>
      <c r="H1099" s="27" t="str">
        <f t="shared" si="35"/>
        <v>HOUSTON TX 77040</v>
      </c>
    </row>
    <row r="1100" spans="1:8" x14ac:dyDescent="0.2">
      <c r="A1100" s="27">
        <f>COUNTIFS(C:C,C1100,D:D,D1100)</f>
        <v>1</v>
      </c>
      <c r="B1100" s="30">
        <v>202101156702</v>
      </c>
      <c r="C1100" t="s">
        <v>3003</v>
      </c>
      <c r="D1100" t="s">
        <v>3004</v>
      </c>
      <c r="E1100" t="s">
        <v>4872</v>
      </c>
      <c r="F1100" t="s">
        <v>68</v>
      </c>
      <c r="G1100" s="27" t="str">
        <f t="shared" si="34"/>
        <v>8426 FLINTRIDGE DR  HOUSTON</v>
      </c>
      <c r="H1100" s="27" t="str">
        <f t="shared" si="35"/>
        <v>HOUSTON TX 77028</v>
      </c>
    </row>
    <row r="1101" spans="1:8" x14ac:dyDescent="0.2">
      <c r="A1101" s="27">
        <f>COUNTIFS(C:C,C1101,D:D,D1101)</f>
        <v>1</v>
      </c>
      <c r="B1101" s="30">
        <v>202101156703</v>
      </c>
      <c r="C1101" s="28" t="s">
        <v>496</v>
      </c>
      <c r="D1101" s="28" t="s">
        <v>497</v>
      </c>
      <c r="E1101" s="28" t="s">
        <v>4888</v>
      </c>
      <c r="F1101" s="28" t="s">
        <v>384</v>
      </c>
      <c r="G1101" s="27" t="str">
        <f t="shared" si="34"/>
        <v>1022 MCCALL  CONROE</v>
      </c>
      <c r="H1101" s="27" t="str">
        <f t="shared" si="35"/>
        <v>HOUSTON TX 77301</v>
      </c>
    </row>
    <row r="1102" spans="1:8" x14ac:dyDescent="0.2">
      <c r="A1102" s="27">
        <f>COUNTIFS(C:C,C1102,D:D,D1102)</f>
        <v>1</v>
      </c>
      <c r="B1102" s="30">
        <v>202101156706</v>
      </c>
      <c r="C1102" t="s">
        <v>3968</v>
      </c>
      <c r="D1102" t="s">
        <v>3969</v>
      </c>
      <c r="E1102" t="s">
        <v>4932</v>
      </c>
      <c r="F1102" t="s">
        <v>88</v>
      </c>
      <c r="G1102" s="27" t="str">
        <f t="shared" si="34"/>
        <v>4400 W 34TH ST  HOUSTON</v>
      </c>
      <c r="H1102" s="27" t="str">
        <f t="shared" si="35"/>
        <v>HOUSTON TX 77092</v>
      </c>
    </row>
    <row r="1103" spans="1:8" x14ac:dyDescent="0.2">
      <c r="A1103" s="27">
        <f>COUNTIFS(C:C,C1103,D:D,D1103)</f>
        <v>1</v>
      </c>
      <c r="B1103" s="30">
        <v>202101156709</v>
      </c>
      <c r="C1103" t="s">
        <v>2117</v>
      </c>
      <c r="D1103" t="s">
        <v>2118</v>
      </c>
      <c r="E1103" t="s">
        <v>4997</v>
      </c>
      <c r="F1103" t="s">
        <v>91</v>
      </c>
      <c r="G1103" s="27" t="str">
        <f t="shared" si="34"/>
        <v>11000 KINGHURST DR  HOUSTON</v>
      </c>
      <c r="H1103" s="27" t="str">
        <f t="shared" si="35"/>
        <v>HOUSTON TX 77099</v>
      </c>
    </row>
    <row r="1104" spans="1:8" x14ac:dyDescent="0.2">
      <c r="A1104" s="27">
        <f>COUNTIFS(C:C,C1104,D:D,D1104)</f>
        <v>1</v>
      </c>
      <c r="B1104" s="30">
        <v>202101156710</v>
      </c>
      <c r="C1104" s="28" t="s">
        <v>611</v>
      </c>
      <c r="D1104" s="28" t="s">
        <v>612</v>
      </c>
      <c r="E1104" s="28" t="s">
        <v>4865</v>
      </c>
      <c r="F1104" s="28" t="s">
        <v>85</v>
      </c>
      <c r="G1104" s="27" t="str">
        <f t="shared" si="34"/>
        <v>6614 APPLE VALLEY LA NE HOUSTON</v>
      </c>
      <c r="H1104" s="27" t="str">
        <f t="shared" si="35"/>
        <v xml:space="preserve">HOUSTON TX      </v>
      </c>
    </row>
    <row r="1105" spans="1:8" x14ac:dyDescent="0.2">
      <c r="A1105" s="27">
        <f>COUNTIFS(C:C,C1105,D:D,D1105)</f>
        <v>1</v>
      </c>
      <c r="B1105" s="30">
        <v>202101156712</v>
      </c>
      <c r="C1105" s="28" t="s">
        <v>1386</v>
      </c>
      <c r="D1105" s="28" t="s">
        <v>1387</v>
      </c>
      <c r="E1105" s="28" t="s">
        <v>4896</v>
      </c>
      <c r="F1105" s="28" t="s">
        <v>53</v>
      </c>
      <c r="G1105" s="27" t="str">
        <f t="shared" si="34"/>
        <v>7825 CORPORATE DR  HOUSTON</v>
      </c>
      <c r="H1105" s="27" t="str">
        <f t="shared" si="35"/>
        <v>HOUSTON TX 77036</v>
      </c>
    </row>
    <row r="1106" spans="1:8" x14ac:dyDescent="0.2">
      <c r="A1106" s="27">
        <f>COUNTIFS(C:C,C1106,D:D,D1106)</f>
        <v>1</v>
      </c>
      <c r="B1106" s="30">
        <v>202101156716</v>
      </c>
      <c r="C1106" t="s">
        <v>2516</v>
      </c>
      <c r="D1106" t="s">
        <v>2517</v>
      </c>
      <c r="E1106" t="s">
        <v>4867</v>
      </c>
      <c r="F1106" t="s">
        <v>90</v>
      </c>
      <c r="G1106" s="27" t="str">
        <f t="shared" si="34"/>
        <v>7710 AZALEA ST  HOUSTON</v>
      </c>
      <c r="H1106" s="27" t="str">
        <f t="shared" si="35"/>
        <v>HOUSTON TX 77023</v>
      </c>
    </row>
    <row r="1107" spans="1:8" x14ac:dyDescent="0.2">
      <c r="A1107" s="27">
        <f>COUNTIFS(C:C,C1107,D:D,D1107)</f>
        <v>1</v>
      </c>
      <c r="B1107" s="30">
        <v>202101156719</v>
      </c>
      <c r="C1107" t="s">
        <v>2783</v>
      </c>
      <c r="D1107" t="s">
        <v>2784</v>
      </c>
      <c r="E1107" t="s">
        <v>4901</v>
      </c>
      <c r="F1107" t="s">
        <v>79</v>
      </c>
      <c r="G1107" s="27" t="str">
        <f t="shared" si="34"/>
        <v>7520 COOK RD APT  HOUSTON</v>
      </c>
      <c r="H1107" s="27" t="str">
        <f t="shared" si="35"/>
        <v>HOUSTON TX 77072</v>
      </c>
    </row>
    <row r="1108" spans="1:8" x14ac:dyDescent="0.2">
      <c r="A1108" s="27">
        <f>COUNTIFS(C:C,C1108,D:D,D1108)</f>
        <v>1</v>
      </c>
      <c r="B1108" s="30">
        <v>202101156720</v>
      </c>
      <c r="C1108" t="s">
        <v>2603</v>
      </c>
      <c r="D1108" t="s">
        <v>2604</v>
      </c>
      <c r="E1108" t="s">
        <v>5016</v>
      </c>
      <c r="F1108" t="s">
        <v>88</v>
      </c>
      <c r="G1108" s="27" t="str">
        <f t="shared" si="34"/>
        <v>15115 MESA DR  HOUSTON</v>
      </c>
      <c r="H1108" s="27" t="str">
        <f t="shared" si="35"/>
        <v>HOUSTON TX 77396</v>
      </c>
    </row>
    <row r="1109" spans="1:8" x14ac:dyDescent="0.2">
      <c r="A1109" s="27">
        <f>COUNTIFS(C:C,C1109,D:D,D1109)</f>
        <v>1</v>
      </c>
      <c r="B1109" s="30">
        <v>202101156723</v>
      </c>
      <c r="C1109" t="s">
        <v>3972</v>
      </c>
      <c r="D1109" t="s">
        <v>3973</v>
      </c>
      <c r="E1109" t="s">
        <v>7607</v>
      </c>
      <c r="F1109" t="s">
        <v>53</v>
      </c>
      <c r="G1109" s="27" t="str">
        <f t="shared" si="34"/>
        <v>9303 TOWN PARK DRIVE  HOUSTON</v>
      </c>
      <c r="H1109" s="27" t="str">
        <f t="shared" si="35"/>
        <v>HOUSTON TX</v>
      </c>
    </row>
    <row r="1110" spans="1:8" x14ac:dyDescent="0.2">
      <c r="A1110" s="27">
        <f>COUNTIFS(C:C,C1110,D:D,D1110)</f>
        <v>1</v>
      </c>
      <c r="B1110" s="30">
        <v>202101156725</v>
      </c>
      <c r="C1110" t="s">
        <v>2462</v>
      </c>
      <c r="D1110" t="s">
        <v>2463</v>
      </c>
      <c r="E1110" t="s">
        <v>5014</v>
      </c>
      <c r="F1110" t="s">
        <v>87</v>
      </c>
      <c r="G1110" s="27" t="str">
        <f t="shared" si="34"/>
        <v>521 S IOWA ST  LA PORTE</v>
      </c>
      <c r="H1110" s="27" t="str">
        <f t="shared" si="35"/>
        <v>HOUSTON TX 77571</v>
      </c>
    </row>
    <row r="1111" spans="1:8" x14ac:dyDescent="0.2">
      <c r="A1111" s="27">
        <f>COUNTIFS(C:C,C1111,D:D,D1111)</f>
        <v>1</v>
      </c>
      <c r="B1111" s="30">
        <v>202101156729</v>
      </c>
      <c r="C1111" s="28" t="s">
        <v>1709</v>
      </c>
      <c r="D1111" s="28" t="s">
        <v>1710</v>
      </c>
      <c r="E1111" s="28" t="s">
        <v>4893</v>
      </c>
      <c r="F1111" s="28" t="s">
        <v>57</v>
      </c>
      <c r="G1111" s="27" t="str">
        <f t="shared" si="34"/>
        <v>2907 ALMEDA PLAZA DR  HOUSTON</v>
      </c>
      <c r="H1111" s="27" t="str">
        <f t="shared" si="35"/>
        <v>HOUSTON TX 77045</v>
      </c>
    </row>
    <row r="1112" spans="1:8" x14ac:dyDescent="0.2">
      <c r="A1112" s="27">
        <f>COUNTIFS(C:C,C1112,D:D,D1112)</f>
        <v>1</v>
      </c>
      <c r="B1112" s="30">
        <v>202101156732</v>
      </c>
      <c r="C1112" s="28" t="s">
        <v>1466</v>
      </c>
      <c r="D1112" s="28" t="s">
        <v>1467</v>
      </c>
      <c r="E1112" s="28" t="s">
        <v>4951</v>
      </c>
      <c r="F1112" s="28" t="s">
        <v>67</v>
      </c>
      <c r="G1112" s="27" t="str">
        <f t="shared" si="34"/>
        <v>8255 SUNBURY LN  HOUSTON</v>
      </c>
      <c r="H1112" s="27" t="str">
        <f t="shared" si="35"/>
        <v>HOUSTON TX 77095</v>
      </c>
    </row>
    <row r="1113" spans="1:8" x14ac:dyDescent="0.2">
      <c r="A1113" s="27">
        <f>COUNTIFS(C:C,C1113,D:D,D1113)</f>
        <v>1</v>
      </c>
      <c r="B1113" s="30">
        <v>202101156734</v>
      </c>
      <c r="C1113" t="s">
        <v>3974</v>
      </c>
      <c r="D1113" t="s">
        <v>3975</v>
      </c>
      <c r="E1113" t="s">
        <v>4973</v>
      </c>
      <c r="F1113" t="s">
        <v>88</v>
      </c>
      <c r="G1113" s="27" t="str">
        <f t="shared" si="34"/>
        <v>9707 S GESSNER RD  HOUSTON</v>
      </c>
      <c r="H1113" s="27" t="str">
        <f t="shared" si="35"/>
        <v>HOUSTON TX 77074</v>
      </c>
    </row>
    <row r="1114" spans="1:8" x14ac:dyDescent="0.2">
      <c r="A1114" s="27">
        <f>COUNTIFS(C:C,C1114,D:D,D1114)</f>
        <v>1</v>
      </c>
      <c r="B1114" s="30">
        <v>202101156737</v>
      </c>
      <c r="C1114" s="28" t="s">
        <v>854</v>
      </c>
      <c r="D1114" s="28" t="s">
        <v>855</v>
      </c>
      <c r="E1114" s="28" t="s">
        <v>4859</v>
      </c>
      <c r="F1114" s="28" t="s">
        <v>86</v>
      </c>
      <c r="G1114" s="27" t="str">
        <f t="shared" si="34"/>
        <v>350 REMINGTON RIDGE  HOUSTON</v>
      </c>
      <c r="H1114" s="27" t="str">
        <f t="shared" si="35"/>
        <v>HOUSTON TX 77073</v>
      </c>
    </row>
    <row r="1115" spans="1:8" x14ac:dyDescent="0.2">
      <c r="A1115" s="27">
        <f>COUNTIFS(C:C,C1115,D:D,D1115)</f>
        <v>1</v>
      </c>
      <c r="B1115" s="30">
        <v>202101156738</v>
      </c>
      <c r="C1115" s="28" t="s">
        <v>1402</v>
      </c>
      <c r="D1115" s="28" t="s">
        <v>1403</v>
      </c>
      <c r="E1115" s="28" t="s">
        <v>4991</v>
      </c>
      <c r="F1115" s="28" t="s">
        <v>53</v>
      </c>
      <c r="G1115" s="27" t="str">
        <f t="shared" si="34"/>
        <v>10855 MEADOWGLEN LN A PT 915 HOUSTON</v>
      </c>
      <c r="H1115" s="27" t="str">
        <f t="shared" si="35"/>
        <v>HOUSTON TX 77042</v>
      </c>
    </row>
    <row r="1116" spans="1:8" x14ac:dyDescent="0.2">
      <c r="A1116" s="27">
        <f>COUNTIFS(C:C,C1116,D:D,D1116)</f>
        <v>1</v>
      </c>
      <c r="B1116" s="30">
        <v>202101156740</v>
      </c>
      <c r="C1116" t="s">
        <v>3976</v>
      </c>
      <c r="D1116" t="s">
        <v>3977</v>
      </c>
      <c r="E1116" t="s">
        <v>5003</v>
      </c>
      <c r="F1116" t="s">
        <v>78</v>
      </c>
      <c r="G1116" s="27" t="str">
        <f t="shared" si="34"/>
        <v>16127 EAGLEWOOD SPRIN G CT FORT BEND</v>
      </c>
      <c r="H1116" s="27" t="str">
        <f t="shared" si="35"/>
        <v>HOUSTON TX 77083</v>
      </c>
    </row>
    <row r="1117" spans="1:8" x14ac:dyDescent="0.2">
      <c r="A1117" s="27">
        <f>COUNTIFS(C:C,C1117,D:D,D1117)</f>
        <v>1</v>
      </c>
      <c r="B1117" s="30">
        <v>202101156743</v>
      </c>
      <c r="C1117" t="s">
        <v>2189</v>
      </c>
      <c r="D1117" t="s">
        <v>2190</v>
      </c>
      <c r="E1117" t="s">
        <v>4909</v>
      </c>
      <c r="F1117" t="s">
        <v>335</v>
      </c>
      <c r="G1117" s="27" t="str">
        <f t="shared" si="34"/>
        <v>4606 COURT RD  HOUSTON</v>
      </c>
      <c r="H1117" s="27" t="str">
        <f t="shared" si="35"/>
        <v>HOUSTON TX 77053</v>
      </c>
    </row>
    <row r="1118" spans="1:8" x14ac:dyDescent="0.2">
      <c r="A1118" s="27">
        <f>COUNTIFS(C:C,C1118,D:D,D1118)</f>
        <v>1</v>
      </c>
      <c r="B1118" s="30">
        <v>202101156749</v>
      </c>
      <c r="C1118" t="s">
        <v>3978</v>
      </c>
      <c r="D1118" t="s">
        <v>3979</v>
      </c>
      <c r="E1118" t="s">
        <v>4943</v>
      </c>
      <c r="F1118" t="s">
        <v>94</v>
      </c>
      <c r="G1118" s="27" t="str">
        <f t="shared" si="34"/>
        <v>4438 KACEE DR  HOUSTON</v>
      </c>
      <c r="H1118" s="27" t="str">
        <f t="shared" si="35"/>
        <v>HOUSTON TX 77084</v>
      </c>
    </row>
    <row r="1119" spans="1:8" x14ac:dyDescent="0.2">
      <c r="A1119" s="27">
        <f>COUNTIFS(C:C,C1119,D:D,D1119)</f>
        <v>1</v>
      </c>
      <c r="B1119" s="30">
        <v>202101156751</v>
      </c>
      <c r="C1119" s="28" t="s">
        <v>1326</v>
      </c>
      <c r="D1119" s="28" t="s">
        <v>1327</v>
      </c>
      <c r="E1119" s="28" t="s">
        <v>5028</v>
      </c>
      <c r="F1119" s="28" t="s">
        <v>88</v>
      </c>
      <c r="G1119" s="27" t="str">
        <f t="shared" si="34"/>
        <v>820 N BIBB AVE  EAGLE PASS</v>
      </c>
      <c r="H1119" s="27" t="str">
        <f t="shared" si="35"/>
        <v>HOUSTON TX 78852</v>
      </c>
    </row>
    <row r="1120" spans="1:8" x14ac:dyDescent="0.2">
      <c r="A1120" s="27">
        <f>COUNTIFS(C:C,C1120,D:D,D1120)</f>
        <v>1</v>
      </c>
      <c r="B1120" s="30">
        <v>202101156754</v>
      </c>
      <c r="C1120" s="28" t="s">
        <v>553</v>
      </c>
      <c r="D1120" s="28" t="s">
        <v>554</v>
      </c>
      <c r="E1120" s="28" t="s">
        <v>4905</v>
      </c>
      <c r="F1120" s="28" t="s">
        <v>87</v>
      </c>
      <c r="G1120" s="27" t="str">
        <f t="shared" si="34"/>
        <v>2527 RANDOLPH  PASADENA</v>
      </c>
      <c r="H1120" s="27" t="str">
        <f t="shared" si="35"/>
        <v>HOUSTON TX 77503</v>
      </c>
    </row>
    <row r="1121" spans="1:8" x14ac:dyDescent="0.2">
      <c r="A1121" s="27">
        <f>COUNTIFS(C:C,C1121,D:D,D1121)</f>
        <v>1</v>
      </c>
      <c r="B1121" s="30">
        <v>202101156756</v>
      </c>
      <c r="C1121" t="s">
        <v>3980</v>
      </c>
      <c r="D1121" t="s">
        <v>3981</v>
      </c>
      <c r="E1121" t="s">
        <v>4949</v>
      </c>
      <c r="F1121" t="s">
        <v>4805</v>
      </c>
      <c r="G1121" s="27" t="str">
        <f t="shared" si="34"/>
        <v>119 OVERLAND PARK D R HOUSTON</v>
      </c>
      <c r="H1121" s="27" t="str">
        <f t="shared" si="35"/>
        <v>HOUSTON TX 77049</v>
      </c>
    </row>
    <row r="1122" spans="1:8" x14ac:dyDescent="0.2">
      <c r="A1122" s="27">
        <f>COUNTIFS(C:C,C1122,D:D,D1122)</f>
        <v>1</v>
      </c>
      <c r="B1122" s="30">
        <v>202101156758</v>
      </c>
      <c r="C1122" t="s">
        <v>3982</v>
      </c>
      <c r="D1122" t="s">
        <v>3983</v>
      </c>
      <c r="E1122" t="s">
        <v>4901</v>
      </c>
      <c r="F1122" t="s">
        <v>88</v>
      </c>
      <c r="G1122" s="27" t="str">
        <f t="shared" si="34"/>
        <v>6438 GLADEWELL DR  HOUSTON</v>
      </c>
      <c r="H1122" s="27" t="str">
        <f t="shared" si="35"/>
        <v>HOUSTON TX 77072</v>
      </c>
    </row>
    <row r="1123" spans="1:8" x14ac:dyDescent="0.2">
      <c r="A1123" s="27">
        <f>COUNTIFS(C:C,C1123,D:D,D1123)</f>
        <v>1</v>
      </c>
      <c r="B1123" s="30">
        <v>202101156761</v>
      </c>
      <c r="C1123" s="28" t="s">
        <v>1563</v>
      </c>
      <c r="D1123" s="28" t="s">
        <v>1564</v>
      </c>
      <c r="E1123" s="28" t="s">
        <v>5054</v>
      </c>
      <c r="F1123" s="28" t="s">
        <v>87</v>
      </c>
      <c r="G1123" s="27" t="str">
        <f t="shared" si="34"/>
        <v>2201 AVENUE A APT 4  BEAUMONT</v>
      </c>
      <c r="H1123" s="27" t="str">
        <f t="shared" si="35"/>
        <v>HOUSTON TX 77701</v>
      </c>
    </row>
    <row r="1124" spans="1:8" x14ac:dyDescent="0.2">
      <c r="A1124" s="27">
        <f>COUNTIFS(C:C,C1124,D:D,D1124)</f>
        <v>1</v>
      </c>
      <c r="B1124" s="30">
        <v>202101156762</v>
      </c>
      <c r="C1124" s="28" t="s">
        <v>1878</v>
      </c>
      <c r="D1124" s="28" t="s">
        <v>1879</v>
      </c>
      <c r="E1124" s="28" t="s">
        <v>5080</v>
      </c>
      <c r="F1124" s="28" t="s">
        <v>53</v>
      </c>
      <c r="G1124" s="27" t="str">
        <f t="shared" si="34"/>
        <v>2401 W SAM HOUSTON P KWY HOUSTON</v>
      </c>
      <c r="H1124" s="27" t="str">
        <f t="shared" si="35"/>
        <v>HOUSTON TX 77043</v>
      </c>
    </row>
    <row r="1125" spans="1:8" x14ac:dyDescent="0.2">
      <c r="A1125" s="27">
        <f>COUNTIFS(C:C,C1125,D:D,D1125)</f>
        <v>1</v>
      </c>
      <c r="B1125" s="30">
        <v>202101156763</v>
      </c>
      <c r="C1125" s="28" t="s">
        <v>932</v>
      </c>
      <c r="D1125" s="28" t="s">
        <v>933</v>
      </c>
      <c r="E1125" s="28" t="s">
        <v>4898</v>
      </c>
      <c r="F1125" s="28" t="s">
        <v>89</v>
      </c>
      <c r="G1125" s="27" t="str">
        <f t="shared" si="34"/>
        <v>9329 KLONDIKE ST  HOUSTON</v>
      </c>
      <c r="H1125" s="27" t="str">
        <f t="shared" si="35"/>
        <v>HOUSTON TX 77075</v>
      </c>
    </row>
    <row r="1126" spans="1:8" x14ac:dyDescent="0.2">
      <c r="A1126" s="27">
        <f>COUNTIFS(C:C,C1126,D:D,D1126)</f>
        <v>1</v>
      </c>
      <c r="B1126" s="30">
        <v>202101156765</v>
      </c>
      <c r="C1126" t="s">
        <v>2199</v>
      </c>
      <c r="D1126" t="s">
        <v>2200</v>
      </c>
      <c r="E1126" t="s">
        <v>5111</v>
      </c>
      <c r="F1126" t="s">
        <v>59</v>
      </c>
      <c r="G1126" s="27" t="str">
        <f t="shared" si="34"/>
        <v>3830 RUSH RD  SANTA FE</v>
      </c>
      <c r="H1126" s="27" t="str">
        <f t="shared" si="35"/>
        <v>HOUSTON TX 77510</v>
      </c>
    </row>
    <row r="1127" spans="1:8" x14ac:dyDescent="0.2">
      <c r="A1127" s="27">
        <f>COUNTIFS(C:C,C1127,D:D,D1127)</f>
        <v>1</v>
      </c>
      <c r="B1127" s="30">
        <v>202101156766</v>
      </c>
      <c r="C1127" s="28" t="s">
        <v>1020</v>
      </c>
      <c r="D1127" s="28" t="s">
        <v>1021</v>
      </c>
      <c r="E1127" s="28" t="s">
        <v>4875</v>
      </c>
      <c r="F1127" s="28" t="s">
        <v>53</v>
      </c>
      <c r="G1127" s="27" t="str">
        <f t="shared" si="34"/>
        <v>9011 HARRELL  HOUSTON</v>
      </c>
      <c r="H1127" s="27" t="str">
        <f t="shared" si="35"/>
        <v>HOUSTON TX 77093</v>
      </c>
    </row>
    <row r="1128" spans="1:8" x14ac:dyDescent="0.2">
      <c r="A1128" s="27">
        <f>COUNTIFS(C:C,C1128,D:D,D1128)</f>
        <v>1</v>
      </c>
      <c r="B1128" s="30">
        <v>202101156768</v>
      </c>
      <c r="C1128" s="28" t="s">
        <v>597</v>
      </c>
      <c r="D1128" s="28" t="s">
        <v>598</v>
      </c>
      <c r="E1128" s="28" t="s">
        <v>4915</v>
      </c>
      <c r="F1128" s="28" t="s">
        <v>79</v>
      </c>
      <c r="G1128" s="27" t="str">
        <f t="shared" si="34"/>
        <v>3930 SOUTHLAWN ST  HOUSTON</v>
      </c>
      <c r="H1128" s="27" t="str">
        <f t="shared" si="35"/>
        <v>HOUSTON TX 77021</v>
      </c>
    </row>
    <row r="1129" spans="1:8" x14ac:dyDescent="0.2">
      <c r="A1129" s="27">
        <f>COUNTIFS(C:C,C1129,D:D,D1129)</f>
        <v>1</v>
      </c>
      <c r="B1129" s="30">
        <v>202101156773</v>
      </c>
      <c r="C1129" t="s">
        <v>3984</v>
      </c>
      <c r="D1129" t="s">
        <v>3985</v>
      </c>
      <c r="E1129" t="s">
        <v>5196</v>
      </c>
      <c r="F1129" t="s">
        <v>75</v>
      </c>
      <c r="G1129" s="27" t="str">
        <f t="shared" si="34"/>
        <v>6409 SPRINGDALE RD 1 10 AUSTIN</v>
      </c>
      <c r="H1129" s="27" t="str">
        <f t="shared" si="35"/>
        <v xml:space="preserve">HOUSTON TX      </v>
      </c>
    </row>
    <row r="1130" spans="1:8" x14ac:dyDescent="0.2">
      <c r="A1130" s="27">
        <f>COUNTIFS(C:C,C1130,D:D,D1130)</f>
        <v>1</v>
      </c>
      <c r="B1130" s="30">
        <v>202101156774</v>
      </c>
      <c r="C1130" t="s">
        <v>2781</v>
      </c>
      <c r="D1130" t="s">
        <v>2782</v>
      </c>
      <c r="E1130" t="s">
        <v>4866</v>
      </c>
      <c r="F1130" t="s">
        <v>88</v>
      </c>
      <c r="G1130" s="27" t="str">
        <f t="shared" ref="G1130:G1193" si="36">D1130&amp;" "&amp;MID(E1130,1,FIND(" TX",E1130)-1)</f>
        <v>64.5 BURBANK ST  HOUSTON</v>
      </c>
      <c r="H1130" s="27" t="str">
        <f t="shared" ref="H1130:H1193" si="37">"HOUSTON "&amp;MID(E1130,FIND("TX",E1130),8)</f>
        <v>HOUSTON TX 77076</v>
      </c>
    </row>
    <row r="1131" spans="1:8" x14ac:dyDescent="0.2">
      <c r="A1131" s="27">
        <f>COUNTIFS(C:C,C1131,D:D,D1131)</f>
        <v>1</v>
      </c>
      <c r="B1131" s="30">
        <v>202101156776</v>
      </c>
      <c r="C1131" s="28" t="s">
        <v>1468</v>
      </c>
      <c r="D1131" s="28" t="s">
        <v>1469</v>
      </c>
      <c r="E1131" s="28" t="s">
        <v>4941</v>
      </c>
      <c r="F1131" s="28" t="s">
        <v>53</v>
      </c>
      <c r="G1131" s="27" t="str">
        <f t="shared" si="36"/>
        <v>13126 LAKE MIST DR.  CYPRESS</v>
      </c>
      <c r="H1131" s="27" t="str">
        <f t="shared" si="37"/>
        <v>HOUSTON TX 77429</v>
      </c>
    </row>
    <row r="1132" spans="1:8" x14ac:dyDescent="0.2">
      <c r="A1132" s="27">
        <f>COUNTIFS(C:C,C1132,D:D,D1132)</f>
        <v>1</v>
      </c>
      <c r="B1132" s="30">
        <v>202101156777</v>
      </c>
      <c r="C1132" t="s">
        <v>3986</v>
      </c>
      <c r="D1132" t="s">
        <v>3987</v>
      </c>
      <c r="E1132" t="s">
        <v>4856</v>
      </c>
      <c r="F1132" t="s">
        <v>88</v>
      </c>
      <c r="G1132" s="27" t="str">
        <f t="shared" si="36"/>
        <v>814 MAYO AVE  HOUSTON</v>
      </c>
      <c r="H1132" s="27" t="str">
        <f t="shared" si="37"/>
        <v>HOUSTON TX 77017</v>
      </c>
    </row>
    <row r="1133" spans="1:8" x14ac:dyDescent="0.2">
      <c r="A1133" s="27">
        <f>COUNTIFS(C:C,C1133,D:D,D1133)</f>
        <v>1</v>
      </c>
      <c r="B1133" s="30">
        <v>202101156778</v>
      </c>
      <c r="C1133" t="s">
        <v>3988</v>
      </c>
      <c r="D1133" t="s">
        <v>3989</v>
      </c>
      <c r="E1133" t="s">
        <v>4852</v>
      </c>
      <c r="F1133" t="s">
        <v>88</v>
      </c>
      <c r="G1133" s="27" t="str">
        <f t="shared" si="36"/>
        <v>11017 LERA ST  HOUSTON</v>
      </c>
      <c r="H1133" s="27" t="str">
        <f t="shared" si="37"/>
        <v>HOUSTON TX 77016</v>
      </c>
    </row>
    <row r="1134" spans="1:8" x14ac:dyDescent="0.2">
      <c r="A1134" s="27">
        <f>COUNTIFS(C:C,C1134,D:D,D1134)</f>
        <v>1</v>
      </c>
      <c r="B1134" s="30">
        <v>202101156780</v>
      </c>
      <c r="C1134" t="s">
        <v>2150</v>
      </c>
      <c r="D1134" t="s">
        <v>2151</v>
      </c>
      <c r="E1134" t="s">
        <v>4948</v>
      </c>
      <c r="F1134" t="s">
        <v>53</v>
      </c>
      <c r="G1134" s="27" t="str">
        <f t="shared" si="36"/>
        <v>114 HEIGHTS BLVD I  HOUSTON</v>
      </c>
      <c r="H1134" s="27" t="str">
        <f t="shared" si="37"/>
        <v>HOUSTON TX 77007</v>
      </c>
    </row>
    <row r="1135" spans="1:8" x14ac:dyDescent="0.2">
      <c r="A1135" s="27">
        <f>COUNTIFS(C:C,C1135,D:D,D1135)</f>
        <v>1</v>
      </c>
      <c r="B1135" s="30">
        <v>202101156782</v>
      </c>
      <c r="C1135" s="28" t="s">
        <v>1553</v>
      </c>
      <c r="D1135" s="28" t="s">
        <v>1554</v>
      </c>
      <c r="E1135" s="28" t="s">
        <v>4970</v>
      </c>
      <c r="F1135" s="28" t="s">
        <v>88</v>
      </c>
      <c r="G1135" s="27" t="str">
        <f t="shared" si="36"/>
        <v>5550 N BRAESWOOD BLV D HOUSTON</v>
      </c>
      <c r="H1135" s="27" t="str">
        <f t="shared" si="37"/>
        <v>HOUSTON TX 77096</v>
      </c>
    </row>
    <row r="1136" spans="1:8" x14ac:dyDescent="0.2">
      <c r="A1136" s="27">
        <f>COUNTIFS(C:C,C1136,D:D,D1136)</f>
        <v>1</v>
      </c>
      <c r="B1136" s="30">
        <v>202101156783</v>
      </c>
      <c r="C1136" t="s">
        <v>2840</v>
      </c>
      <c r="D1136" t="s">
        <v>2841</v>
      </c>
      <c r="E1136" t="s">
        <v>4891</v>
      </c>
      <c r="F1136" t="s">
        <v>88</v>
      </c>
      <c r="G1136" s="27" t="str">
        <f t="shared" si="36"/>
        <v>8803 BASKOVE DR  HOUSTON</v>
      </c>
      <c r="H1136" s="27" t="str">
        <f t="shared" si="37"/>
        <v>HOUSTON TX 77088</v>
      </c>
    </row>
    <row r="1137" spans="1:8" x14ac:dyDescent="0.2">
      <c r="A1137" s="27">
        <f>COUNTIFS(C:C,C1137,D:D,D1137)</f>
        <v>1</v>
      </c>
      <c r="B1137" s="30">
        <v>202101156784</v>
      </c>
      <c r="C1137" t="s">
        <v>2394</v>
      </c>
      <c r="D1137" t="s">
        <v>2395</v>
      </c>
      <c r="E1137" t="s">
        <v>4982</v>
      </c>
      <c r="F1137" t="s">
        <v>88</v>
      </c>
      <c r="G1137" s="27" t="str">
        <f t="shared" si="36"/>
        <v>2331 FRICK RD  HOUSTON</v>
      </c>
      <c r="H1137" s="27" t="str">
        <f t="shared" si="37"/>
        <v>HOUSTON TX 77038</v>
      </c>
    </row>
    <row r="1138" spans="1:8" x14ac:dyDescent="0.2">
      <c r="A1138" s="27">
        <f>COUNTIFS(C:C,C1138,D:D,D1138)</f>
        <v>1</v>
      </c>
      <c r="B1138" s="30">
        <v>202101156786</v>
      </c>
      <c r="C1138" t="s">
        <v>2801</v>
      </c>
      <c r="D1138" t="s">
        <v>2802</v>
      </c>
      <c r="E1138" t="s">
        <v>4856</v>
      </c>
      <c r="F1138" t="s">
        <v>87</v>
      </c>
      <c r="G1138" s="27" t="str">
        <f t="shared" si="36"/>
        <v>5145 SILVER CREEK DR  HOUSTON</v>
      </c>
      <c r="H1138" s="27" t="str">
        <f t="shared" si="37"/>
        <v>HOUSTON TX 77017</v>
      </c>
    </row>
    <row r="1139" spans="1:8" x14ac:dyDescent="0.2">
      <c r="A1139" s="27">
        <f>COUNTIFS(C:C,C1139,D:D,D1139)</f>
        <v>1</v>
      </c>
      <c r="B1139" s="30">
        <v>202101156787</v>
      </c>
      <c r="C1139" s="28" t="s">
        <v>1627</v>
      </c>
      <c r="D1139" s="28" t="s">
        <v>1628</v>
      </c>
      <c r="E1139" s="28" t="s">
        <v>4997</v>
      </c>
      <c r="F1139" s="28" t="s">
        <v>88</v>
      </c>
      <c r="G1139" s="27" t="str">
        <f t="shared" si="36"/>
        <v>10406 HUNTINGTON CRES T HOUSTON</v>
      </c>
      <c r="H1139" s="27" t="str">
        <f t="shared" si="37"/>
        <v>HOUSTON TX 77099</v>
      </c>
    </row>
    <row r="1140" spans="1:8" x14ac:dyDescent="0.2">
      <c r="A1140" s="27">
        <f>COUNTIFS(C:C,C1140,D:D,D1140)</f>
        <v>1</v>
      </c>
      <c r="B1140" s="30">
        <v>202101156788</v>
      </c>
      <c r="C1140" s="28" t="s">
        <v>1203</v>
      </c>
      <c r="D1140" s="28" t="s">
        <v>1204</v>
      </c>
      <c r="E1140" s="28" t="s">
        <v>4919</v>
      </c>
      <c r="F1140" s="28" t="s">
        <v>88</v>
      </c>
      <c r="G1140" s="27" t="str">
        <f t="shared" si="36"/>
        <v>6120 BELLAIRE BLVD  HOUSTON</v>
      </c>
      <c r="H1140" s="27" t="str">
        <f t="shared" si="37"/>
        <v>HOUSTON TX 77081</v>
      </c>
    </row>
    <row r="1141" spans="1:8" x14ac:dyDescent="0.2">
      <c r="A1141" s="27">
        <f>COUNTIFS(C:C,C1141,D:D,D1141)</f>
        <v>1</v>
      </c>
      <c r="B1141" s="30">
        <v>202101156789</v>
      </c>
      <c r="C1141" s="28" t="s">
        <v>1378</v>
      </c>
      <c r="D1141" s="28" t="s">
        <v>1379</v>
      </c>
      <c r="E1141" s="28" t="s">
        <v>4928</v>
      </c>
      <c r="F1141" s="28" t="s">
        <v>53</v>
      </c>
      <c r="G1141" s="27" t="str">
        <f t="shared" si="36"/>
        <v>2319 DAFFODIL ST  HIGHLANDS</v>
      </c>
      <c r="H1141" s="27" t="str">
        <f t="shared" si="37"/>
        <v>HOUSTON TX 77562</v>
      </c>
    </row>
    <row r="1142" spans="1:8" x14ac:dyDescent="0.2">
      <c r="A1142" s="27">
        <f>COUNTIFS(C:C,C1142,D:D,D1142)</f>
        <v>1</v>
      </c>
      <c r="B1142" s="30">
        <v>202101156793</v>
      </c>
      <c r="C1142" s="28" t="s">
        <v>1406</v>
      </c>
      <c r="D1142" s="28" t="s">
        <v>1407</v>
      </c>
      <c r="E1142" s="28" t="s">
        <v>4853</v>
      </c>
      <c r="F1142" s="28" t="s">
        <v>65</v>
      </c>
      <c r="G1142" s="27" t="str">
        <f t="shared" si="36"/>
        <v>14621 EASTEX FWY  # 2 10 OR 211 HOUSTON</v>
      </c>
      <c r="H1142" s="27" t="str">
        <f t="shared" si="37"/>
        <v>HOUSTON TX 77039</v>
      </c>
    </row>
    <row r="1143" spans="1:8" x14ac:dyDescent="0.2">
      <c r="A1143" s="27">
        <f>COUNTIFS(C:C,C1143,D:D,D1143)</f>
        <v>1</v>
      </c>
      <c r="B1143" s="30">
        <v>202101156794</v>
      </c>
      <c r="C1143" t="s">
        <v>2468</v>
      </c>
      <c r="D1143" t="s">
        <v>2469</v>
      </c>
      <c r="E1143" t="s">
        <v>4853</v>
      </c>
      <c r="F1143" t="s">
        <v>97</v>
      </c>
      <c r="G1143" s="27" t="str">
        <f t="shared" si="36"/>
        <v>4923 OTTERBURY DRIVE  HOUSTON</v>
      </c>
      <c r="H1143" s="27" t="str">
        <f t="shared" si="37"/>
        <v>HOUSTON TX 77039</v>
      </c>
    </row>
    <row r="1144" spans="1:8" x14ac:dyDescent="0.2">
      <c r="A1144" s="27">
        <f>COUNTIFS(C:C,C1144,D:D,D1144)</f>
        <v>1</v>
      </c>
      <c r="B1144" s="30">
        <v>202101156797</v>
      </c>
      <c r="C1144" t="s">
        <v>3990</v>
      </c>
      <c r="D1144" t="s">
        <v>3991</v>
      </c>
      <c r="E1144" t="s">
        <v>4937</v>
      </c>
      <c r="F1144" t="s">
        <v>88</v>
      </c>
      <c r="G1144" s="27" t="str">
        <f t="shared" si="36"/>
        <v>7000 BLOCK OF GULF F REEWAY HOUSTON</v>
      </c>
      <c r="H1144" s="27" t="str">
        <f t="shared" si="37"/>
        <v>HOUSTON TX 77087</v>
      </c>
    </row>
    <row r="1145" spans="1:8" x14ac:dyDescent="0.2">
      <c r="A1145" s="27">
        <f>COUNTIFS(C:C,C1145,D:D,D1145)</f>
        <v>1</v>
      </c>
      <c r="B1145" s="30">
        <v>202101156800</v>
      </c>
      <c r="C1145" t="s">
        <v>3156</v>
      </c>
      <c r="D1145" t="s">
        <v>3157</v>
      </c>
      <c r="E1145" t="s">
        <v>4914</v>
      </c>
      <c r="F1145" t="s">
        <v>53</v>
      </c>
      <c r="G1145" s="27" t="str">
        <f t="shared" si="36"/>
        <v>12161 WESTHEIMER RD # 300 HOUSTON</v>
      </c>
      <c r="H1145" s="27" t="str">
        <f t="shared" si="37"/>
        <v>HOUSTON TX 77077</v>
      </c>
    </row>
    <row r="1146" spans="1:8" x14ac:dyDescent="0.2">
      <c r="A1146" s="27">
        <f>COUNTIFS(C:C,C1146,D:D,D1146)</f>
        <v>1</v>
      </c>
      <c r="B1146" s="30">
        <v>202101156802</v>
      </c>
      <c r="C1146" t="s">
        <v>5155</v>
      </c>
      <c r="D1146" t="s">
        <v>5156</v>
      </c>
      <c r="E1146" t="s">
        <v>4956</v>
      </c>
      <c r="F1146" t="s">
        <v>57</v>
      </c>
      <c r="G1146" s="27" t="str">
        <f t="shared" si="36"/>
        <v>14100 WILL CLAYTON PK WY HUMBLE</v>
      </c>
      <c r="H1146" s="27" t="str">
        <f t="shared" si="37"/>
        <v>HOUSTON TX 77346</v>
      </c>
    </row>
    <row r="1147" spans="1:8" x14ac:dyDescent="0.2">
      <c r="A1147" s="27">
        <f>COUNTIFS(C:C,C1147,D:D,D1147)</f>
        <v>1</v>
      </c>
      <c r="B1147" s="30">
        <v>202101156806</v>
      </c>
      <c r="C1147" t="s">
        <v>3992</v>
      </c>
      <c r="D1147" t="s">
        <v>3993</v>
      </c>
      <c r="E1147" t="s">
        <v>4873</v>
      </c>
      <c r="F1147" t="s">
        <v>53</v>
      </c>
      <c r="G1147" s="27" t="str">
        <f t="shared" si="36"/>
        <v>12510 GREENSBROOK FOR EST DRIVE HOUSTON</v>
      </c>
      <c r="H1147" s="27" t="str">
        <f t="shared" si="37"/>
        <v>HOUSTON TX 77044</v>
      </c>
    </row>
    <row r="1148" spans="1:8" x14ac:dyDescent="0.2">
      <c r="A1148" s="27">
        <f>COUNTIFS(C:C,C1148,D:D,D1148)</f>
        <v>1</v>
      </c>
      <c r="B1148" s="30">
        <v>202101156814</v>
      </c>
      <c r="C1148" t="s">
        <v>2237</v>
      </c>
      <c r="D1148" t="s">
        <v>850</v>
      </c>
      <c r="E1148" t="s">
        <v>4889</v>
      </c>
      <c r="F1148" t="s">
        <v>79</v>
      </c>
      <c r="G1148" s="27" t="str">
        <f t="shared" si="36"/>
        <v>11201 VETERANS MEMORI AL DR HOUSTON</v>
      </c>
      <c r="H1148" s="27" t="str">
        <f t="shared" si="37"/>
        <v>HOUSTON TX 77067</v>
      </c>
    </row>
    <row r="1149" spans="1:8" x14ac:dyDescent="0.2">
      <c r="A1149" s="27">
        <f>COUNTIFS(C:C,C1149,D:D,D1149)</f>
        <v>1</v>
      </c>
      <c r="B1149" s="30">
        <v>202101156818</v>
      </c>
      <c r="C1149" t="s">
        <v>3994</v>
      </c>
      <c r="D1149" t="s">
        <v>3995</v>
      </c>
      <c r="E1149" t="s">
        <v>4875</v>
      </c>
      <c r="F1149" t="s">
        <v>96</v>
      </c>
      <c r="G1149" s="27" t="str">
        <f t="shared" si="36"/>
        <v>1712 PRIEST  HOUSTON</v>
      </c>
      <c r="H1149" s="27" t="str">
        <f t="shared" si="37"/>
        <v>HOUSTON TX 77093</v>
      </c>
    </row>
    <row r="1150" spans="1:8" x14ac:dyDescent="0.2">
      <c r="A1150" s="27">
        <f>COUNTIFS(C:C,C1150,D:D,D1150)</f>
        <v>1</v>
      </c>
      <c r="B1150" s="30">
        <v>202101156821</v>
      </c>
      <c r="C1150" t="s">
        <v>3996</v>
      </c>
      <c r="D1150" t="s">
        <v>3997</v>
      </c>
      <c r="E1150" t="s">
        <v>4900</v>
      </c>
      <c r="F1150" t="s">
        <v>4841</v>
      </c>
      <c r="G1150" s="27" t="str">
        <f t="shared" si="36"/>
        <v>19634 PLANTATION TREE CT KATY</v>
      </c>
      <c r="H1150" s="27" t="str">
        <f t="shared" si="37"/>
        <v>HOUSTON TX 77449</v>
      </c>
    </row>
    <row r="1151" spans="1:8" x14ac:dyDescent="0.2">
      <c r="A1151" s="27">
        <f>COUNTIFS(C:C,C1151,D:D,D1151)</f>
        <v>1</v>
      </c>
      <c r="B1151" s="30">
        <v>202101156822</v>
      </c>
      <c r="C1151" s="28" t="s">
        <v>1701</v>
      </c>
      <c r="D1151" s="28" t="s">
        <v>1702</v>
      </c>
      <c r="E1151" s="28" t="s">
        <v>5069</v>
      </c>
      <c r="F1151" s="28" t="s">
        <v>59</v>
      </c>
      <c r="G1151" s="27" t="str">
        <f t="shared" si="36"/>
        <v>230 W CASTLE HARBOU R FRIENDSWOO</v>
      </c>
      <c r="H1151" s="27" t="str">
        <f t="shared" si="37"/>
        <v>HOUSTON TX 77546</v>
      </c>
    </row>
    <row r="1152" spans="1:8" x14ac:dyDescent="0.2">
      <c r="A1152" s="27">
        <f>COUNTIFS(C:C,C1152,D:D,D1152)</f>
        <v>1</v>
      </c>
      <c r="B1152" s="30">
        <v>202101156825</v>
      </c>
      <c r="C1152" t="s">
        <v>3998</v>
      </c>
      <c r="D1152" t="s">
        <v>3999</v>
      </c>
      <c r="E1152" t="s">
        <v>4860</v>
      </c>
      <c r="F1152" t="s">
        <v>59</v>
      </c>
      <c r="G1152" s="27" t="str">
        <f t="shared" si="36"/>
        <v>1423 BURBANK ST  BAYTOWN</v>
      </c>
      <c r="H1152" s="27" t="str">
        <f t="shared" si="37"/>
        <v>HOUSTON TX 77520</v>
      </c>
    </row>
    <row r="1153" spans="1:8" x14ac:dyDescent="0.2">
      <c r="A1153" s="27">
        <f>COUNTIFS(C:C,C1153,D:D,D1153)</f>
        <v>1</v>
      </c>
      <c r="B1153" s="30">
        <v>202101156827</v>
      </c>
      <c r="C1153" t="s">
        <v>3349</v>
      </c>
      <c r="D1153" t="s">
        <v>3350</v>
      </c>
      <c r="E1153" t="s">
        <v>4879</v>
      </c>
      <c r="F1153" t="s">
        <v>90</v>
      </c>
      <c r="G1153" s="27" t="str">
        <f t="shared" si="36"/>
        <v>6417 ANTOINE DR  HOUSTON</v>
      </c>
      <c r="H1153" s="27" t="str">
        <f t="shared" si="37"/>
        <v>HOUSTON TX 77091</v>
      </c>
    </row>
    <row r="1154" spans="1:8" x14ac:dyDescent="0.2">
      <c r="A1154" s="27">
        <f>COUNTIFS(C:C,C1154,D:D,D1154)</f>
        <v>1</v>
      </c>
      <c r="B1154" s="30">
        <v>202101156828</v>
      </c>
      <c r="C1154" s="28" t="s">
        <v>468</v>
      </c>
      <c r="D1154" s="28" t="s">
        <v>469</v>
      </c>
      <c r="E1154" s="28" t="s">
        <v>4877</v>
      </c>
      <c r="F1154" s="28" t="s">
        <v>67</v>
      </c>
      <c r="G1154" s="27" t="str">
        <f t="shared" si="36"/>
        <v>3318 MEADOWCREEK  MISSOURI C</v>
      </c>
      <c r="H1154" s="27" t="str">
        <f t="shared" si="37"/>
        <v>HOUSTON TX 77459</v>
      </c>
    </row>
    <row r="1155" spans="1:8" x14ac:dyDescent="0.2">
      <c r="A1155" s="27">
        <f>COUNTIFS(C:C,C1155,D:D,D1155)</f>
        <v>1</v>
      </c>
      <c r="B1155" s="30">
        <v>202101156829</v>
      </c>
      <c r="C1155" s="28" t="s">
        <v>514</v>
      </c>
      <c r="D1155" s="28" t="s">
        <v>515</v>
      </c>
      <c r="E1155" s="28" t="s">
        <v>4861</v>
      </c>
      <c r="F1155" s="28" t="s">
        <v>53</v>
      </c>
      <c r="G1155" s="27" t="str">
        <f t="shared" si="36"/>
        <v>1037 THERESA ST  HOUSTON</v>
      </c>
      <c r="H1155" s="27" t="str">
        <f t="shared" si="37"/>
        <v>HOUSTON TX 77051</v>
      </c>
    </row>
    <row r="1156" spans="1:8" x14ac:dyDescent="0.2">
      <c r="A1156" s="27">
        <f>COUNTIFS(C:C,C1156,D:D,D1156)</f>
        <v>1</v>
      </c>
      <c r="B1156" s="30">
        <v>202101156831</v>
      </c>
      <c r="C1156" s="28" t="s">
        <v>442</v>
      </c>
      <c r="D1156" s="28" t="s">
        <v>443</v>
      </c>
      <c r="E1156" s="28" t="s">
        <v>4867</v>
      </c>
      <c r="F1156" s="28" t="s">
        <v>51</v>
      </c>
      <c r="G1156" s="27" t="str">
        <f t="shared" si="36"/>
        <v>4103 MCKINNEY ST  HOUSTON</v>
      </c>
      <c r="H1156" s="27" t="str">
        <f t="shared" si="37"/>
        <v>HOUSTON TX 77023</v>
      </c>
    </row>
    <row r="1157" spans="1:8" x14ac:dyDescent="0.2">
      <c r="A1157" s="27">
        <f>COUNTIFS(C:C,C1157,D:D,D1157)</f>
        <v>1</v>
      </c>
      <c r="B1157" s="30">
        <v>202101156833</v>
      </c>
      <c r="C1157" t="s">
        <v>4000</v>
      </c>
      <c r="D1157" t="s">
        <v>4001</v>
      </c>
      <c r="E1157" t="s">
        <v>4891</v>
      </c>
      <c r="F1157" t="s">
        <v>53</v>
      </c>
      <c r="G1157" s="27" t="str">
        <f t="shared" si="36"/>
        <v>9601 W MONTGOMERY RD  HOUSTON</v>
      </c>
      <c r="H1157" s="27" t="str">
        <f t="shared" si="37"/>
        <v>HOUSTON TX 77088</v>
      </c>
    </row>
    <row r="1158" spans="1:8" x14ac:dyDescent="0.2">
      <c r="A1158" s="27">
        <f>COUNTIFS(C:C,C1158,D:D,D1158)</f>
        <v>1</v>
      </c>
      <c r="B1158" s="30">
        <v>202101156834</v>
      </c>
      <c r="C1158" t="s">
        <v>2582</v>
      </c>
      <c r="D1158" t="s">
        <v>2583</v>
      </c>
      <c r="E1158" t="s">
        <v>4908</v>
      </c>
      <c r="F1158" t="s">
        <v>53</v>
      </c>
      <c r="G1158" s="27" t="str">
        <f t="shared" si="36"/>
        <v>17907 ASPHODEL LN  SPRING</v>
      </c>
      <c r="H1158" s="27" t="str">
        <f t="shared" si="37"/>
        <v>HOUSTON TX 77379</v>
      </c>
    </row>
    <row r="1159" spans="1:8" x14ac:dyDescent="0.2">
      <c r="A1159" s="27">
        <f>COUNTIFS(C:C,C1159,D:D,D1159)</f>
        <v>1</v>
      </c>
      <c r="B1159" s="30">
        <v>202101156835</v>
      </c>
      <c r="C1159" s="28" t="s">
        <v>1631</v>
      </c>
      <c r="D1159" s="28" t="s">
        <v>1632</v>
      </c>
      <c r="E1159" s="28" t="s">
        <v>5060</v>
      </c>
      <c r="F1159" s="28" t="s">
        <v>61</v>
      </c>
      <c r="G1159" s="27" t="str">
        <f t="shared" si="36"/>
        <v>8301 WILLOW PLACE DR  HOUSTON</v>
      </c>
      <c r="H1159" s="27" t="str">
        <f t="shared" si="37"/>
        <v>HOUSTON TX 77070</v>
      </c>
    </row>
    <row r="1160" spans="1:8" x14ac:dyDescent="0.2">
      <c r="A1160" s="27">
        <f>COUNTIFS(C:C,C1160,D:D,D1160)</f>
        <v>1</v>
      </c>
      <c r="B1160" s="30">
        <v>202101156836</v>
      </c>
      <c r="C1160" t="s">
        <v>2370</v>
      </c>
      <c r="D1160" t="s">
        <v>2371</v>
      </c>
      <c r="E1160" t="s">
        <v>4968</v>
      </c>
      <c r="F1160" t="s">
        <v>88</v>
      </c>
      <c r="G1160" s="27" t="str">
        <f t="shared" si="36"/>
        <v>2304 RAFFAELLO DR  PEARLAND</v>
      </c>
      <c r="H1160" s="27" t="str">
        <f t="shared" si="37"/>
        <v>HOUSTON TX 77581</v>
      </c>
    </row>
    <row r="1161" spans="1:8" x14ac:dyDescent="0.2">
      <c r="A1161" s="27">
        <f>COUNTIFS(C:C,C1161,D:D,D1161)</f>
        <v>1</v>
      </c>
      <c r="B1161" s="30">
        <v>202101156837</v>
      </c>
      <c r="C1161" s="28" t="s">
        <v>1285</v>
      </c>
      <c r="D1161" s="28" t="s">
        <v>1286</v>
      </c>
      <c r="E1161" s="28" t="s">
        <v>4873</v>
      </c>
      <c r="F1161" s="28" t="s">
        <v>53</v>
      </c>
      <c r="G1161" s="27" t="str">
        <f t="shared" si="36"/>
        <v>12306 GREEN RIVER  HOUSTON</v>
      </c>
      <c r="H1161" s="27" t="str">
        <f t="shared" si="37"/>
        <v>HOUSTON TX 77044</v>
      </c>
    </row>
    <row r="1162" spans="1:8" x14ac:dyDescent="0.2">
      <c r="A1162" s="27">
        <f>COUNTIFS(C:C,C1162,D:D,D1162)</f>
        <v>1</v>
      </c>
      <c r="B1162" s="30">
        <v>202101156839</v>
      </c>
      <c r="C1162" t="s">
        <v>2773</v>
      </c>
      <c r="D1162" t="s">
        <v>2774</v>
      </c>
      <c r="E1162" t="s">
        <v>4891</v>
      </c>
      <c r="F1162" t="s">
        <v>79</v>
      </c>
      <c r="G1162" s="27" t="str">
        <f t="shared" si="36"/>
        <v>8106 KNIGHTWOOD FORE ST DR HOUSTON</v>
      </c>
      <c r="H1162" s="27" t="str">
        <f t="shared" si="37"/>
        <v>HOUSTON TX 77088</v>
      </c>
    </row>
    <row r="1163" spans="1:8" x14ac:dyDescent="0.2">
      <c r="A1163" s="27">
        <f>COUNTIFS(C:C,C1163,D:D,D1163)</f>
        <v>1</v>
      </c>
      <c r="B1163" s="30">
        <v>202101156840</v>
      </c>
      <c r="C1163" t="s">
        <v>4002</v>
      </c>
      <c r="D1163" t="s">
        <v>4003</v>
      </c>
      <c r="E1163" t="s">
        <v>5243</v>
      </c>
      <c r="F1163" t="s">
        <v>94</v>
      </c>
      <c r="G1163" s="27" t="str">
        <f t="shared" si="36"/>
        <v>3107 RED RIDGE CT  MANVEL</v>
      </c>
      <c r="H1163" s="27" t="str">
        <f t="shared" si="37"/>
        <v>HOUSTON TX 77578</v>
      </c>
    </row>
    <row r="1164" spans="1:8" x14ac:dyDescent="0.2">
      <c r="A1164" s="27">
        <f>COUNTIFS(C:C,C1164,D:D,D1164)</f>
        <v>1</v>
      </c>
      <c r="B1164" s="30">
        <v>202101156842</v>
      </c>
      <c r="C1164" s="28" t="s">
        <v>1569</v>
      </c>
      <c r="D1164" s="28" t="s">
        <v>1570</v>
      </c>
      <c r="E1164" s="28" t="s">
        <v>4943</v>
      </c>
      <c r="F1164" s="28" t="s">
        <v>66</v>
      </c>
      <c r="G1164" s="27" t="str">
        <f t="shared" si="36"/>
        <v>15603 PINE MOUNTAIN D R HOUSTON</v>
      </c>
      <c r="H1164" s="27" t="str">
        <f t="shared" si="37"/>
        <v>HOUSTON TX 77084</v>
      </c>
    </row>
    <row r="1165" spans="1:8" x14ac:dyDescent="0.2">
      <c r="A1165" s="27">
        <f>COUNTIFS(C:C,C1165,D:D,D1165)</f>
        <v>1</v>
      </c>
      <c r="B1165" s="30">
        <v>202101156847</v>
      </c>
      <c r="C1165" t="s">
        <v>4006</v>
      </c>
      <c r="D1165" t="s">
        <v>4007</v>
      </c>
      <c r="E1165" t="s">
        <v>4881</v>
      </c>
      <c r="F1165" t="s">
        <v>88</v>
      </c>
      <c r="G1165" s="27" t="str">
        <f t="shared" si="36"/>
        <v>18731 DEER TRACE DR  CROSBY</v>
      </c>
      <c r="H1165" s="27" t="str">
        <f t="shared" si="37"/>
        <v>HOUSTON TX 77532</v>
      </c>
    </row>
    <row r="1166" spans="1:8" x14ac:dyDescent="0.2">
      <c r="A1166" s="27">
        <f>COUNTIFS(C:C,C1166,D:D,D1166)</f>
        <v>1</v>
      </c>
      <c r="B1166" s="30">
        <v>202101156850</v>
      </c>
      <c r="C1166" t="s">
        <v>3218</v>
      </c>
      <c r="D1166" t="s">
        <v>3219</v>
      </c>
      <c r="E1166" t="s">
        <v>4861</v>
      </c>
      <c r="F1166" t="s">
        <v>76</v>
      </c>
      <c r="G1166" s="27" t="str">
        <f t="shared" si="36"/>
        <v>7922 CORINTH  HOUSTON</v>
      </c>
      <c r="H1166" s="27" t="str">
        <f t="shared" si="37"/>
        <v>HOUSTON TX 77051</v>
      </c>
    </row>
    <row r="1167" spans="1:8" x14ac:dyDescent="0.2">
      <c r="A1167" s="27">
        <f>COUNTIFS(C:C,C1167,D:D,D1167)</f>
        <v>1</v>
      </c>
      <c r="B1167" s="30">
        <v>202101156851</v>
      </c>
      <c r="C1167" t="s">
        <v>4004</v>
      </c>
      <c r="D1167" t="s">
        <v>4005</v>
      </c>
      <c r="E1167" t="s">
        <v>4866</v>
      </c>
      <c r="F1167" t="s">
        <v>94</v>
      </c>
      <c r="G1167" s="27" t="str">
        <f t="shared" si="36"/>
        <v>10221 SILVERCREST ST  HOUSTON</v>
      </c>
      <c r="H1167" s="27" t="str">
        <f t="shared" si="37"/>
        <v>HOUSTON TX 77076</v>
      </c>
    </row>
    <row r="1168" spans="1:8" x14ac:dyDescent="0.2">
      <c r="A1168" s="27">
        <f>COUNTIFS(C:C,C1168,D:D,D1168)</f>
        <v>1</v>
      </c>
      <c r="B1168" s="30">
        <v>202101156852</v>
      </c>
      <c r="C1168" t="s">
        <v>3164</v>
      </c>
      <c r="D1168" t="s">
        <v>3165</v>
      </c>
      <c r="E1168" t="s">
        <v>4967</v>
      </c>
      <c r="F1168" t="s">
        <v>71</v>
      </c>
      <c r="G1168" s="27" t="str">
        <f t="shared" si="36"/>
        <v>8411 BATTLEOAK  HOUSTON</v>
      </c>
      <c r="H1168" s="27" t="str">
        <f t="shared" si="37"/>
        <v>HOUSTON TX 77040</v>
      </c>
    </row>
    <row r="1169" spans="1:8" x14ac:dyDescent="0.2">
      <c r="A1169" s="27">
        <f>COUNTIFS(C:C,C1169,D:D,D1169)</f>
        <v>1</v>
      </c>
      <c r="B1169" s="30">
        <v>202101156853</v>
      </c>
      <c r="C1169" s="28" t="s">
        <v>1721</v>
      </c>
      <c r="D1169" s="28" t="s">
        <v>1722</v>
      </c>
      <c r="E1169" s="28" t="s">
        <v>4956</v>
      </c>
      <c r="F1169" s="28" t="s">
        <v>72</v>
      </c>
      <c r="G1169" s="27" t="str">
        <f t="shared" si="36"/>
        <v>18427 STARK POINT CT  HUMBLE</v>
      </c>
      <c r="H1169" s="27" t="str">
        <f t="shared" si="37"/>
        <v>HOUSTON TX 77346</v>
      </c>
    </row>
    <row r="1170" spans="1:8" x14ac:dyDescent="0.2">
      <c r="A1170" s="27">
        <f>COUNTIFS(C:C,C1170,D:D,D1170)</f>
        <v>1</v>
      </c>
      <c r="B1170" s="30">
        <v>202101156855</v>
      </c>
      <c r="C1170" t="s">
        <v>3224</v>
      </c>
      <c r="D1170" t="s">
        <v>3225</v>
      </c>
      <c r="E1170" t="s">
        <v>5050</v>
      </c>
      <c r="F1170" t="s">
        <v>88</v>
      </c>
      <c r="G1170" s="27" t="str">
        <f t="shared" si="36"/>
        <v>13313 CUTTEN RD 6204  HOUSTON</v>
      </c>
      <c r="H1170" s="27" t="str">
        <f t="shared" si="37"/>
        <v>HOUSTON TX 77069</v>
      </c>
    </row>
    <row r="1171" spans="1:8" x14ac:dyDescent="0.2">
      <c r="A1171" s="27">
        <f>COUNTIFS(C:C,C1171,D:D,D1171)</f>
        <v>1</v>
      </c>
      <c r="B1171" s="30">
        <v>202101156860</v>
      </c>
      <c r="C1171" t="s">
        <v>3304</v>
      </c>
      <c r="D1171" t="s">
        <v>3305</v>
      </c>
      <c r="E1171" t="s">
        <v>4952</v>
      </c>
      <c r="F1171" t="s">
        <v>88</v>
      </c>
      <c r="G1171" s="27" t="str">
        <f t="shared" si="36"/>
        <v>1407 W HARRIS  PASADENA</v>
      </c>
      <c r="H1171" s="27" t="str">
        <f t="shared" si="37"/>
        <v>HOUSTON TX 77506</v>
      </c>
    </row>
    <row r="1172" spans="1:8" x14ac:dyDescent="0.2">
      <c r="A1172" s="27">
        <f>COUNTIFS(C:C,C1172,D:D,D1172)</f>
        <v>1</v>
      </c>
      <c r="B1172" s="30">
        <v>202101156861</v>
      </c>
      <c r="C1172" t="s">
        <v>2169</v>
      </c>
      <c r="D1172" t="s">
        <v>2170</v>
      </c>
      <c r="E1172" t="s">
        <v>4898</v>
      </c>
      <c r="F1172" t="s">
        <v>300</v>
      </c>
      <c r="G1172" s="27" t="str">
        <f t="shared" si="36"/>
        <v>8200 BROADWAY ST  HOUSTON</v>
      </c>
      <c r="H1172" s="27" t="str">
        <f t="shared" si="37"/>
        <v>HOUSTON TX 77075</v>
      </c>
    </row>
    <row r="1173" spans="1:8" x14ac:dyDescent="0.2">
      <c r="A1173" s="27">
        <f>COUNTIFS(C:C,C1173,D:D,D1173)</f>
        <v>1</v>
      </c>
      <c r="B1173" s="30">
        <v>202101156863</v>
      </c>
      <c r="C1173" s="28" t="s">
        <v>1028</v>
      </c>
      <c r="D1173" s="28" t="s">
        <v>1029</v>
      </c>
      <c r="E1173" s="28" t="s">
        <v>4997</v>
      </c>
      <c r="F1173" s="28" t="s">
        <v>88</v>
      </c>
      <c r="G1173" s="27" t="str">
        <f t="shared" si="36"/>
        <v>11715 S GLEN DR  HOUSTON</v>
      </c>
      <c r="H1173" s="27" t="str">
        <f t="shared" si="37"/>
        <v>HOUSTON TX 77099</v>
      </c>
    </row>
    <row r="1174" spans="1:8" x14ac:dyDescent="0.2">
      <c r="A1174" s="27">
        <f>COUNTIFS(C:C,C1174,D:D,D1174)</f>
        <v>1</v>
      </c>
      <c r="B1174" s="30">
        <v>202101156865</v>
      </c>
      <c r="C1174" t="s">
        <v>4008</v>
      </c>
      <c r="D1174" t="s">
        <v>4009</v>
      </c>
      <c r="E1174" t="s">
        <v>4943</v>
      </c>
      <c r="F1174" t="s">
        <v>53</v>
      </c>
      <c r="G1174" s="27" t="str">
        <f t="shared" si="36"/>
        <v>4723 MEADOWS EDGE LN  HOUSTON</v>
      </c>
      <c r="H1174" s="27" t="str">
        <f t="shared" si="37"/>
        <v>HOUSTON TX 77084</v>
      </c>
    </row>
    <row r="1175" spans="1:8" x14ac:dyDescent="0.2">
      <c r="A1175" s="27">
        <f>COUNTIFS(C:C,C1175,D:D,D1175)</f>
        <v>1</v>
      </c>
      <c r="B1175" s="30">
        <v>202101156866</v>
      </c>
      <c r="C1175" t="s">
        <v>4010</v>
      </c>
      <c r="D1175" t="s">
        <v>4011</v>
      </c>
      <c r="E1175" t="s">
        <v>4893</v>
      </c>
      <c r="F1175" t="s">
        <v>53</v>
      </c>
      <c r="G1175" s="27" t="str">
        <f t="shared" si="36"/>
        <v>3134 KELLING ST  HOUSTON</v>
      </c>
      <c r="H1175" s="27" t="str">
        <f t="shared" si="37"/>
        <v>HOUSTON TX 77045</v>
      </c>
    </row>
    <row r="1176" spans="1:8" x14ac:dyDescent="0.2">
      <c r="A1176" s="27">
        <f>COUNTIFS(C:C,C1176,D:D,D1176)</f>
        <v>1</v>
      </c>
      <c r="B1176" s="30">
        <v>202101156867</v>
      </c>
      <c r="C1176" t="s">
        <v>3106</v>
      </c>
      <c r="D1176" t="s">
        <v>3107</v>
      </c>
      <c r="E1176" t="s">
        <v>4978</v>
      </c>
      <c r="F1176" t="s">
        <v>88</v>
      </c>
      <c r="G1176" s="27" t="str">
        <f t="shared" si="36"/>
        <v>14115 FM 529 RD  HOUSTON</v>
      </c>
      <c r="H1176" s="27" t="str">
        <f t="shared" si="37"/>
        <v>HOUSTON TX 77041</v>
      </c>
    </row>
    <row r="1177" spans="1:8" x14ac:dyDescent="0.2">
      <c r="A1177" s="27">
        <f>COUNTIFS(C:C,C1177,D:D,D1177)</f>
        <v>1</v>
      </c>
      <c r="B1177" s="30">
        <v>202101156870</v>
      </c>
      <c r="C1177" t="s">
        <v>2823</v>
      </c>
      <c r="D1177" t="s">
        <v>2824</v>
      </c>
      <c r="E1177" t="s">
        <v>4905</v>
      </c>
      <c r="F1177" t="s">
        <v>85</v>
      </c>
      <c r="G1177" s="27" t="str">
        <f t="shared" si="36"/>
        <v>3909 BURKE RD  PASADENA</v>
      </c>
      <c r="H1177" s="27" t="str">
        <f t="shared" si="37"/>
        <v>HOUSTON TX 77503</v>
      </c>
    </row>
    <row r="1178" spans="1:8" x14ac:dyDescent="0.2">
      <c r="A1178" s="27">
        <f>COUNTIFS(C:C,C1178,D:D,D1178)</f>
        <v>1</v>
      </c>
      <c r="B1178" s="30">
        <v>202101156871</v>
      </c>
      <c r="C1178" t="s">
        <v>4012</v>
      </c>
      <c r="D1178" t="s">
        <v>4013</v>
      </c>
      <c r="E1178" t="s">
        <v>4857</v>
      </c>
      <c r="F1178" t="s">
        <v>88</v>
      </c>
      <c r="G1178" s="27" t="str">
        <f t="shared" si="36"/>
        <v>7030 MAIDSTONE  PASADENA</v>
      </c>
      <c r="H1178" s="27" t="str">
        <f t="shared" si="37"/>
        <v>HOUSTON TX 77505</v>
      </c>
    </row>
    <row r="1179" spans="1:8" x14ac:dyDescent="0.2">
      <c r="A1179" s="27">
        <f>COUNTIFS(C:C,C1179,D:D,D1179)</f>
        <v>1</v>
      </c>
      <c r="B1179" s="30">
        <v>202101156872</v>
      </c>
      <c r="C1179" t="s">
        <v>2181</v>
      </c>
      <c r="D1179" t="s">
        <v>2182</v>
      </c>
      <c r="E1179" t="s">
        <v>4975</v>
      </c>
      <c r="F1179" t="s">
        <v>51</v>
      </c>
      <c r="G1179" s="27" t="str">
        <f t="shared" si="36"/>
        <v>12111 BEXHILL DR  HOUSTON</v>
      </c>
      <c r="H1179" s="27" t="str">
        <f t="shared" si="37"/>
        <v>HOUSTON TX 77065</v>
      </c>
    </row>
    <row r="1180" spans="1:8" x14ac:dyDescent="0.2">
      <c r="A1180" s="27">
        <f>COUNTIFS(C:C,C1180,D:D,D1180)</f>
        <v>1</v>
      </c>
      <c r="B1180" s="30">
        <v>202101156873</v>
      </c>
      <c r="C1180" t="s">
        <v>2268</v>
      </c>
      <c r="D1180" t="s">
        <v>2269</v>
      </c>
      <c r="E1180" t="s">
        <v>5002</v>
      </c>
      <c r="F1180" t="s">
        <v>88</v>
      </c>
      <c r="G1180" s="27" t="str">
        <f t="shared" si="36"/>
        <v>12777 ASHFORD POINT D R APT 2417 HOUSTON</v>
      </c>
      <c r="H1180" s="27" t="str">
        <f t="shared" si="37"/>
        <v>HOUSTON TX 77082</v>
      </c>
    </row>
    <row r="1181" spans="1:8" x14ac:dyDescent="0.2">
      <c r="A1181" s="27">
        <f>COUNTIFS(C:C,C1181,D:D,D1181)</f>
        <v>1</v>
      </c>
      <c r="B1181" s="30">
        <v>202101156876</v>
      </c>
      <c r="C1181" t="s">
        <v>2805</v>
      </c>
      <c r="D1181" t="s">
        <v>2806</v>
      </c>
      <c r="E1181" t="s">
        <v>4882</v>
      </c>
      <c r="F1181" t="s">
        <v>53</v>
      </c>
      <c r="G1181" s="27" t="str">
        <f t="shared" si="36"/>
        <v>7818 OAK CASTLE  SPRING</v>
      </c>
      <c r="H1181" s="27" t="str">
        <f t="shared" si="37"/>
        <v>HOUSTON TX 77389</v>
      </c>
    </row>
    <row r="1182" spans="1:8" x14ac:dyDescent="0.2">
      <c r="A1182" s="27">
        <f>COUNTIFS(C:C,C1182,D:D,D1182)</f>
        <v>1</v>
      </c>
      <c r="B1182" s="30">
        <v>202101156879</v>
      </c>
      <c r="C1182" t="s">
        <v>3144</v>
      </c>
      <c r="D1182" t="s">
        <v>3145</v>
      </c>
      <c r="E1182" t="s">
        <v>4859</v>
      </c>
      <c r="F1182" t="s">
        <v>86</v>
      </c>
      <c r="G1182" s="27" t="str">
        <f t="shared" si="36"/>
        <v>15807 N BEND CT  HOUSTON</v>
      </c>
      <c r="H1182" s="27" t="str">
        <f t="shared" si="37"/>
        <v>HOUSTON TX 77073</v>
      </c>
    </row>
    <row r="1183" spans="1:8" x14ac:dyDescent="0.2">
      <c r="A1183" s="27">
        <f>COUNTIFS(C:C,C1183,D:D,D1183)</f>
        <v>1</v>
      </c>
      <c r="B1183" s="30">
        <v>202101156880</v>
      </c>
      <c r="C1183" t="s">
        <v>2775</v>
      </c>
      <c r="D1183" t="s">
        <v>2776</v>
      </c>
      <c r="E1183" t="s">
        <v>5023</v>
      </c>
      <c r="F1183" t="s">
        <v>87</v>
      </c>
      <c r="G1183" s="27" t="str">
        <f t="shared" si="36"/>
        <v>2929 ROLIDO DR  HOUSTON</v>
      </c>
      <c r="H1183" s="27" t="str">
        <f t="shared" si="37"/>
        <v>HOUSTON TX 77063</v>
      </c>
    </row>
    <row r="1184" spans="1:8" x14ac:dyDescent="0.2">
      <c r="A1184" s="27">
        <f>COUNTIFS(C:C,C1184,D:D,D1184)</f>
        <v>1</v>
      </c>
      <c r="B1184" s="30">
        <v>202101156881</v>
      </c>
      <c r="C1184" t="s">
        <v>4014</v>
      </c>
      <c r="D1184" t="s">
        <v>4015</v>
      </c>
      <c r="E1184" t="s">
        <v>4855</v>
      </c>
      <c r="F1184" t="s">
        <v>80</v>
      </c>
      <c r="G1184" s="27" t="str">
        <f t="shared" si="36"/>
        <v>8451 BIGWOOD ST  HOUSTON</v>
      </c>
      <c r="H1184" s="27" t="str">
        <f t="shared" si="37"/>
        <v>HOUSTON TX 77078</v>
      </c>
    </row>
    <row r="1185" spans="1:8" x14ac:dyDescent="0.2">
      <c r="A1185" s="27">
        <f>COUNTIFS(C:C,C1185,D:D,D1185)</f>
        <v>1</v>
      </c>
      <c r="B1185" s="30">
        <v>202101156885</v>
      </c>
      <c r="C1185" t="s">
        <v>2588</v>
      </c>
      <c r="D1185" t="s">
        <v>2589</v>
      </c>
      <c r="E1185" t="s">
        <v>4862</v>
      </c>
      <c r="F1185" t="s">
        <v>68</v>
      </c>
      <c r="G1185" s="27" t="str">
        <f t="shared" si="36"/>
        <v>990 CYPRSS STATION DR. HOUSTON</v>
      </c>
      <c r="H1185" s="27" t="str">
        <f t="shared" si="37"/>
        <v>HOUSTON TX 77090</v>
      </c>
    </row>
    <row r="1186" spans="1:8" x14ac:dyDescent="0.2">
      <c r="A1186" s="27">
        <f>COUNTIFS(C:C,C1186,D:D,D1186)</f>
        <v>1</v>
      </c>
      <c r="B1186" s="30">
        <v>202101156887</v>
      </c>
      <c r="C1186" t="s">
        <v>4016</v>
      </c>
      <c r="D1186" t="s">
        <v>4017</v>
      </c>
      <c r="E1186" t="s">
        <v>4857</v>
      </c>
      <c r="F1186" t="s">
        <v>88</v>
      </c>
      <c r="G1186" s="27" t="str">
        <f t="shared" si="36"/>
        <v>4414 PARK TRAIL LN  PASADENA</v>
      </c>
      <c r="H1186" s="27" t="str">
        <f t="shared" si="37"/>
        <v>HOUSTON TX 77505</v>
      </c>
    </row>
    <row r="1187" spans="1:8" x14ac:dyDescent="0.2">
      <c r="A1187" s="27">
        <f>COUNTIFS(C:C,C1187,D:D,D1187)</f>
        <v>1</v>
      </c>
      <c r="B1187" s="30">
        <v>202101156888</v>
      </c>
      <c r="C1187" t="s">
        <v>2891</v>
      </c>
      <c r="D1187" t="s">
        <v>1383</v>
      </c>
      <c r="E1187" t="s">
        <v>4919</v>
      </c>
      <c r="F1187" t="s">
        <v>59</v>
      </c>
      <c r="G1187" s="27" t="str">
        <f t="shared" si="36"/>
        <v>5500 EL CAMINO DEL R EY ST HOUSTON</v>
      </c>
      <c r="H1187" s="27" t="str">
        <f t="shared" si="37"/>
        <v>HOUSTON TX 77081</v>
      </c>
    </row>
    <row r="1188" spans="1:8" x14ac:dyDescent="0.2">
      <c r="A1188" s="27">
        <f>COUNTIFS(C:C,C1188,D:D,D1188)</f>
        <v>1</v>
      </c>
      <c r="B1188" s="30">
        <v>202101156889</v>
      </c>
      <c r="C1188" t="s">
        <v>4018</v>
      </c>
      <c r="D1188" t="s">
        <v>4019</v>
      </c>
      <c r="E1188" t="s">
        <v>4852</v>
      </c>
      <c r="F1188" t="s">
        <v>53</v>
      </c>
      <c r="G1188" s="27" t="str">
        <f t="shared" si="36"/>
        <v>5702 HOPPER RD  HOUSTON</v>
      </c>
      <c r="H1188" s="27" t="str">
        <f t="shared" si="37"/>
        <v>HOUSTON TX 77016</v>
      </c>
    </row>
    <row r="1189" spans="1:8" x14ac:dyDescent="0.2">
      <c r="A1189" s="27">
        <f>COUNTIFS(C:C,C1189,D:D,D1189)</f>
        <v>1</v>
      </c>
      <c r="B1189" s="30">
        <v>202101156890</v>
      </c>
      <c r="C1189" t="s">
        <v>3410</v>
      </c>
      <c r="D1189" t="s">
        <v>3411</v>
      </c>
      <c r="E1189" t="s">
        <v>5188</v>
      </c>
      <c r="F1189" t="s">
        <v>94</v>
      </c>
      <c r="G1189" s="27" t="str">
        <f t="shared" si="36"/>
        <v>7429 MILEY ST  HOUSTON</v>
      </c>
      <c r="H1189" s="27" t="str">
        <f t="shared" si="37"/>
        <v>HOUSTON TX TX 77</v>
      </c>
    </row>
    <row r="1190" spans="1:8" x14ac:dyDescent="0.2">
      <c r="A1190" s="27">
        <f>COUNTIFS(C:C,C1190,D:D,D1190)</f>
        <v>1</v>
      </c>
      <c r="B1190" s="30">
        <v>202101156891</v>
      </c>
      <c r="C1190" t="s">
        <v>4020</v>
      </c>
      <c r="D1190" t="s">
        <v>4021</v>
      </c>
      <c r="E1190" t="s">
        <v>4982</v>
      </c>
      <c r="F1190" t="s">
        <v>94</v>
      </c>
      <c r="G1190" s="27" t="str">
        <f t="shared" si="36"/>
        <v>2679 TINAS TERRACE D R HOUSTON</v>
      </c>
      <c r="H1190" s="27" t="str">
        <f t="shared" si="37"/>
        <v>HOUSTON TX 77038</v>
      </c>
    </row>
    <row r="1191" spans="1:8" x14ac:dyDescent="0.2">
      <c r="A1191" s="27">
        <f>COUNTIFS(C:C,C1191,D:D,D1191)</f>
        <v>1</v>
      </c>
      <c r="B1191" s="30">
        <v>202101156892</v>
      </c>
      <c r="C1191" t="s">
        <v>2258</v>
      </c>
      <c r="D1191" t="s">
        <v>2259</v>
      </c>
      <c r="E1191" t="s">
        <v>4865</v>
      </c>
      <c r="F1191" t="s">
        <v>79</v>
      </c>
      <c r="G1191" s="27" t="str">
        <f t="shared" si="36"/>
        <v>12063 BALLARDVALE LN  HOUSTON</v>
      </c>
      <c r="H1191" s="27" t="str">
        <f t="shared" si="37"/>
        <v xml:space="preserve">HOUSTON TX      </v>
      </c>
    </row>
    <row r="1192" spans="1:8" x14ac:dyDescent="0.2">
      <c r="A1192" s="27">
        <f>COUNTIFS(C:C,C1192,D:D,D1192)</f>
        <v>1</v>
      </c>
      <c r="B1192" s="30">
        <v>202101156895</v>
      </c>
      <c r="C1192" s="28" t="s">
        <v>557</v>
      </c>
      <c r="D1192" s="28" t="s">
        <v>558</v>
      </c>
      <c r="E1192" s="28" t="s">
        <v>4871</v>
      </c>
      <c r="F1192" s="28" t="s">
        <v>56</v>
      </c>
      <c r="G1192" s="27" t="str">
        <f t="shared" si="36"/>
        <v>4210 AKARD  HOUSTON</v>
      </c>
      <c r="H1192" s="27" t="str">
        <f t="shared" si="37"/>
        <v>HOUSTON TX 77047</v>
      </c>
    </row>
    <row r="1193" spans="1:8" x14ac:dyDescent="0.2">
      <c r="A1193" s="27">
        <f>COUNTIFS(C:C,C1193,D:D,D1193)</f>
        <v>1</v>
      </c>
      <c r="B1193" s="30">
        <v>202101156896</v>
      </c>
      <c r="C1193" t="s">
        <v>2022</v>
      </c>
      <c r="D1193" t="s">
        <v>2023</v>
      </c>
      <c r="E1193" t="s">
        <v>4937</v>
      </c>
      <c r="F1193" t="s">
        <v>87</v>
      </c>
      <c r="G1193" s="27" t="str">
        <f t="shared" si="36"/>
        <v>6412 OVERDALE  HOUSTON</v>
      </c>
      <c r="H1193" s="27" t="str">
        <f t="shared" si="37"/>
        <v>HOUSTON TX 77087</v>
      </c>
    </row>
    <row r="1194" spans="1:8" x14ac:dyDescent="0.2">
      <c r="A1194" s="27">
        <f>COUNTIFS(C:C,C1194,D:D,D1194)</f>
        <v>1</v>
      </c>
      <c r="B1194" s="30">
        <v>202101156897</v>
      </c>
      <c r="C1194" s="28" t="s">
        <v>1683</v>
      </c>
      <c r="D1194" s="28" t="s">
        <v>1684</v>
      </c>
      <c r="E1194" s="28" t="s">
        <v>4886</v>
      </c>
      <c r="F1194" s="28" t="s">
        <v>78</v>
      </c>
      <c r="G1194" s="27" t="str">
        <f t="shared" ref="G1194:G1257" si="38">D1194&amp;" "&amp;MID(E1194,1,FIND(" TX",E1194)-1)</f>
        <v>11701 BOB WHITE DR  HOUSTON</v>
      </c>
      <c r="H1194" s="27" t="str">
        <f t="shared" ref="H1194:H1257" si="39">"HOUSTON "&amp;MID(E1194,FIND("TX",E1194),8)</f>
        <v>HOUSTON TX 77035</v>
      </c>
    </row>
    <row r="1195" spans="1:8" x14ac:dyDescent="0.2">
      <c r="A1195" s="27">
        <f>COUNTIFS(C:C,C1195,D:D,D1195)</f>
        <v>1</v>
      </c>
      <c r="B1195" s="30">
        <v>202101156899</v>
      </c>
      <c r="C1195" s="28" t="s">
        <v>1654</v>
      </c>
      <c r="D1195" s="28" t="s">
        <v>1655</v>
      </c>
      <c r="E1195" s="28" t="s">
        <v>4862</v>
      </c>
      <c r="F1195" s="28" t="s">
        <v>51</v>
      </c>
      <c r="G1195" s="27" t="str">
        <f t="shared" si="38"/>
        <v>990 CYPRESS STATION DR HOUSTON</v>
      </c>
      <c r="H1195" s="27" t="str">
        <f t="shared" si="39"/>
        <v>HOUSTON TX 77090</v>
      </c>
    </row>
    <row r="1196" spans="1:8" x14ac:dyDescent="0.2">
      <c r="A1196" s="27">
        <f>COUNTIFS(C:C,C1196,D:D,D1196)</f>
        <v>1</v>
      </c>
      <c r="B1196" s="30">
        <v>202101156900</v>
      </c>
      <c r="C1196" s="28" t="s">
        <v>569</v>
      </c>
      <c r="D1196" s="28" t="s">
        <v>570</v>
      </c>
      <c r="E1196" s="28" t="s">
        <v>4909</v>
      </c>
      <c r="F1196" s="28" t="s">
        <v>88</v>
      </c>
      <c r="G1196" s="27" t="str">
        <f t="shared" si="38"/>
        <v>5515 GINERIDGE DRIVE  HOUSTON</v>
      </c>
      <c r="H1196" s="27" t="str">
        <f t="shared" si="39"/>
        <v>HOUSTON TX 77053</v>
      </c>
    </row>
    <row r="1197" spans="1:8" x14ac:dyDescent="0.2">
      <c r="A1197" s="27">
        <f>COUNTIFS(C:C,C1197,D:D,D1197)</f>
        <v>1</v>
      </c>
      <c r="B1197" s="30">
        <v>202101156907</v>
      </c>
      <c r="C1197" s="28" t="s">
        <v>1782</v>
      </c>
      <c r="D1197" s="28" t="s">
        <v>1783</v>
      </c>
      <c r="E1197" s="28" t="s">
        <v>4851</v>
      </c>
      <c r="F1197" s="28" t="s">
        <v>67</v>
      </c>
      <c r="G1197" s="27" t="str">
        <f t="shared" si="38"/>
        <v>2806 LANDMARK DRIVE  BAYTOWN</v>
      </c>
      <c r="H1197" s="27" t="str">
        <f t="shared" si="39"/>
        <v>HOUSTON TX 77521</v>
      </c>
    </row>
    <row r="1198" spans="1:8" x14ac:dyDescent="0.2">
      <c r="A1198" s="27">
        <f>COUNTIFS(C:C,C1198,D:D,D1198)</f>
        <v>1</v>
      </c>
      <c r="B1198" s="30">
        <v>202101156908</v>
      </c>
      <c r="C1198" t="s">
        <v>3071</v>
      </c>
      <c r="D1198" t="s">
        <v>3072</v>
      </c>
      <c r="E1198" t="s">
        <v>4960</v>
      </c>
      <c r="F1198" t="s">
        <v>53</v>
      </c>
      <c r="G1198" s="27" t="str">
        <f t="shared" si="38"/>
        <v>18204 CHISLOM TRIAL D R HOUSTON</v>
      </c>
      <c r="H1198" s="27" t="str">
        <f t="shared" si="39"/>
        <v>HOUSTON TX 77060</v>
      </c>
    </row>
    <row r="1199" spans="1:8" x14ac:dyDescent="0.2">
      <c r="A1199" s="27">
        <f>COUNTIFS(C:C,C1199,D:D,D1199)</f>
        <v>1</v>
      </c>
      <c r="B1199" s="30">
        <v>202101156911</v>
      </c>
      <c r="C1199" s="28" t="s">
        <v>825</v>
      </c>
      <c r="D1199" s="28" t="s">
        <v>826</v>
      </c>
      <c r="E1199" s="28" t="s">
        <v>4966</v>
      </c>
      <c r="F1199" s="28" t="s">
        <v>53</v>
      </c>
      <c r="G1199" s="27" t="str">
        <f t="shared" si="38"/>
        <v>335 E SAN AUGUSTINE ST DEER PARK</v>
      </c>
      <c r="H1199" s="27" t="str">
        <f t="shared" si="39"/>
        <v>HOUSTON TX 77536</v>
      </c>
    </row>
    <row r="1200" spans="1:8" x14ac:dyDescent="0.2">
      <c r="A1200" s="27">
        <f>COUNTIFS(C:C,C1200,D:D,D1200)</f>
        <v>1</v>
      </c>
      <c r="B1200" s="30">
        <v>202101156913</v>
      </c>
      <c r="C1200" s="28" t="s">
        <v>1617</v>
      </c>
      <c r="D1200" s="28" t="s">
        <v>1618</v>
      </c>
      <c r="E1200" s="28" t="s">
        <v>4862</v>
      </c>
      <c r="F1200" s="28" t="s">
        <v>53</v>
      </c>
      <c r="G1200" s="27" t="str">
        <f t="shared" si="38"/>
        <v>905 CYPRESS STATION DRIVE APT HOUSTON</v>
      </c>
      <c r="H1200" s="27" t="str">
        <f t="shared" si="39"/>
        <v>HOUSTON TX 77090</v>
      </c>
    </row>
    <row r="1201" spans="1:8" x14ac:dyDescent="0.2">
      <c r="A1201" s="27">
        <f>COUNTIFS(C:C,C1201,D:D,D1201)</f>
        <v>1</v>
      </c>
      <c r="B1201" s="30">
        <v>202101156920</v>
      </c>
      <c r="C1201" t="s">
        <v>2456</v>
      </c>
      <c r="D1201" t="s">
        <v>2457</v>
      </c>
      <c r="E1201" t="s">
        <v>4978</v>
      </c>
      <c r="F1201" t="s">
        <v>53</v>
      </c>
      <c r="G1201" s="27" t="str">
        <f t="shared" si="38"/>
        <v>5602 BALLINA CANYON LN HOUSTON</v>
      </c>
      <c r="H1201" s="27" t="str">
        <f t="shared" si="39"/>
        <v>HOUSTON TX 77041</v>
      </c>
    </row>
    <row r="1202" spans="1:8" x14ac:dyDescent="0.2">
      <c r="A1202" s="27">
        <f>COUNTIFS(C:C,C1202,D:D,D1202)</f>
        <v>1</v>
      </c>
      <c r="B1202" s="30">
        <v>202101156921</v>
      </c>
      <c r="C1202" t="s">
        <v>2432</v>
      </c>
      <c r="D1202" t="s">
        <v>2433</v>
      </c>
      <c r="E1202" t="s">
        <v>4977</v>
      </c>
      <c r="F1202" t="s">
        <v>88</v>
      </c>
      <c r="G1202" s="27" t="str">
        <f t="shared" si="38"/>
        <v>2301 FOUNTAIN VIEW D R HOUSTON</v>
      </c>
      <c r="H1202" s="27" t="str">
        <f t="shared" si="39"/>
        <v>HOUSTON TX 77057</v>
      </c>
    </row>
    <row r="1203" spans="1:8" x14ac:dyDescent="0.2">
      <c r="A1203" s="27">
        <f>COUNTIFS(C:C,C1203,D:D,D1203)</f>
        <v>1</v>
      </c>
      <c r="B1203" s="30">
        <v>202101156922</v>
      </c>
      <c r="C1203" t="s">
        <v>2844</v>
      </c>
      <c r="D1203" t="s">
        <v>2845</v>
      </c>
      <c r="E1203" t="s">
        <v>5125</v>
      </c>
      <c r="F1203" t="s">
        <v>79</v>
      </c>
      <c r="G1203" s="27" t="str">
        <f t="shared" si="38"/>
        <v>12010 CHAMPIONS VALLE Y DR HARRIS CO</v>
      </c>
      <c r="H1203" s="27" t="str">
        <f t="shared" si="39"/>
        <v>HOUSTON TX 77066</v>
      </c>
    </row>
    <row r="1204" spans="1:8" x14ac:dyDescent="0.2">
      <c r="A1204" s="27">
        <f>COUNTIFS(C:C,C1204,D:D,D1204)</f>
        <v>1</v>
      </c>
      <c r="B1204" s="30">
        <v>202101156924</v>
      </c>
      <c r="C1204" s="28" t="s">
        <v>658</v>
      </c>
      <c r="D1204" s="28" t="s">
        <v>659</v>
      </c>
      <c r="E1204" s="28" t="s">
        <v>4908</v>
      </c>
      <c r="F1204" s="28" t="s">
        <v>53</v>
      </c>
      <c r="G1204" s="27" t="str">
        <f t="shared" si="38"/>
        <v>21015 COTTAGE STREAM CT SPRING</v>
      </c>
      <c r="H1204" s="27" t="str">
        <f t="shared" si="39"/>
        <v>HOUSTON TX 77379</v>
      </c>
    </row>
    <row r="1205" spans="1:8" x14ac:dyDescent="0.2">
      <c r="A1205" s="27">
        <f>COUNTIFS(C:C,C1205,D:D,D1205)</f>
        <v>1</v>
      </c>
      <c r="B1205" s="30">
        <v>202101156925</v>
      </c>
      <c r="C1205" t="s">
        <v>4022</v>
      </c>
      <c r="D1205" t="s">
        <v>4023</v>
      </c>
      <c r="E1205" t="s">
        <v>4931</v>
      </c>
      <c r="F1205" t="s">
        <v>53</v>
      </c>
      <c r="G1205" s="27" t="str">
        <f t="shared" si="38"/>
        <v>2315 MINTGLADE LN  HOUSTON</v>
      </c>
      <c r="H1205" s="27" t="str">
        <f t="shared" si="39"/>
        <v>HOUSTON TX 77014</v>
      </c>
    </row>
    <row r="1206" spans="1:8" x14ac:dyDescent="0.2">
      <c r="A1206" s="27">
        <f>COUNTIFS(C:C,C1206,D:D,D1206)</f>
        <v>1</v>
      </c>
      <c r="B1206" s="30">
        <v>202101156926</v>
      </c>
      <c r="C1206" t="s">
        <v>4024</v>
      </c>
      <c r="D1206" t="s">
        <v>4025</v>
      </c>
      <c r="E1206" t="s">
        <v>4877</v>
      </c>
      <c r="F1206" t="s">
        <v>79</v>
      </c>
      <c r="G1206" s="27" t="str">
        <f t="shared" si="38"/>
        <v>4339 PALMER PLANTATI ON DR MISSOURI C</v>
      </c>
      <c r="H1206" s="27" t="str">
        <f t="shared" si="39"/>
        <v>HOUSTON TX 77459</v>
      </c>
    </row>
    <row r="1207" spans="1:8" x14ac:dyDescent="0.2">
      <c r="A1207" s="27">
        <f>COUNTIFS(C:C,C1207,D:D,D1207)</f>
        <v>1</v>
      </c>
      <c r="B1207" s="30">
        <v>202101156927</v>
      </c>
      <c r="C1207" s="28" t="s">
        <v>1691</v>
      </c>
      <c r="D1207" s="28" t="s">
        <v>1692</v>
      </c>
      <c r="E1207" s="28" t="s">
        <v>4864</v>
      </c>
      <c r="F1207" s="28" t="s">
        <v>321</v>
      </c>
      <c r="G1207" s="27" t="str">
        <f t="shared" si="38"/>
        <v>2210 GAGNE ST  HOUSTON</v>
      </c>
      <c r="H1207" s="27" t="str">
        <f t="shared" si="39"/>
        <v>HOUSTON TX 77020</v>
      </c>
    </row>
    <row r="1208" spans="1:8" x14ac:dyDescent="0.2">
      <c r="A1208" s="27">
        <f>COUNTIFS(C:C,C1208,D:D,D1208)</f>
        <v>1</v>
      </c>
      <c r="B1208" s="30">
        <v>202101156933</v>
      </c>
      <c r="C1208" t="s">
        <v>4026</v>
      </c>
      <c r="D1208" t="s">
        <v>4027</v>
      </c>
      <c r="E1208" t="s">
        <v>4960</v>
      </c>
      <c r="F1208" t="s">
        <v>88</v>
      </c>
      <c r="G1208" s="27" t="str">
        <f t="shared" si="38"/>
        <v>14004 STONESHIRE ST  HOUSTON</v>
      </c>
      <c r="H1208" s="27" t="str">
        <f t="shared" si="39"/>
        <v>HOUSTON TX 77060</v>
      </c>
    </row>
    <row r="1209" spans="1:8" x14ac:dyDescent="0.2">
      <c r="A1209" s="27">
        <f>COUNTIFS(C:C,C1209,D:D,D1209)</f>
        <v>1</v>
      </c>
      <c r="B1209" s="30">
        <v>202101156935</v>
      </c>
      <c r="C1209" t="s">
        <v>2185</v>
      </c>
      <c r="D1209" t="s">
        <v>2186</v>
      </c>
      <c r="E1209" t="s">
        <v>4874</v>
      </c>
      <c r="F1209" t="s">
        <v>4768</v>
      </c>
      <c r="G1209" s="27" t="str">
        <f t="shared" si="38"/>
        <v>7402 CALHOUN RD APT 212 HOUSTON</v>
      </c>
      <c r="H1209" s="27" t="str">
        <f t="shared" si="39"/>
        <v>HOUSTON TX 77033</v>
      </c>
    </row>
    <row r="1210" spans="1:8" x14ac:dyDescent="0.2">
      <c r="A1210" s="27">
        <f>COUNTIFS(C:C,C1210,D:D,D1210)</f>
        <v>1</v>
      </c>
      <c r="B1210" s="30">
        <v>202101156939</v>
      </c>
      <c r="C1210" s="28" t="s">
        <v>1181</v>
      </c>
      <c r="D1210" s="28" t="s">
        <v>1182</v>
      </c>
      <c r="E1210" s="28" t="s">
        <v>4854</v>
      </c>
      <c r="F1210" s="28" t="s">
        <v>56</v>
      </c>
      <c r="G1210" s="27" t="str">
        <f t="shared" si="38"/>
        <v>3211 EASTEX FRWY  HOUSTON</v>
      </c>
      <c r="H1210" s="27" t="str">
        <f t="shared" si="39"/>
        <v>HOUSTON TX 77026</v>
      </c>
    </row>
    <row r="1211" spans="1:8" x14ac:dyDescent="0.2">
      <c r="A1211" s="27">
        <f>COUNTIFS(C:C,C1211,D:D,D1211)</f>
        <v>1</v>
      </c>
      <c r="B1211" s="30">
        <v>202101156940</v>
      </c>
      <c r="C1211" t="s">
        <v>2326</v>
      </c>
      <c r="D1211" t="s">
        <v>2327</v>
      </c>
      <c r="E1211" t="s">
        <v>4937</v>
      </c>
      <c r="F1211" t="s">
        <v>85</v>
      </c>
      <c r="G1211" s="27" t="str">
        <f t="shared" si="38"/>
        <v>2936 GOLFCREST BLVD  HOUSTON</v>
      </c>
      <c r="H1211" s="27" t="str">
        <f t="shared" si="39"/>
        <v>HOUSTON TX 77087</v>
      </c>
    </row>
    <row r="1212" spans="1:8" x14ac:dyDescent="0.2">
      <c r="A1212" s="27">
        <f>COUNTIFS(C:C,C1212,D:D,D1212)</f>
        <v>1</v>
      </c>
      <c r="B1212" s="30">
        <v>202101156941</v>
      </c>
      <c r="C1212" t="s">
        <v>2817</v>
      </c>
      <c r="D1212" t="s">
        <v>2818</v>
      </c>
      <c r="E1212" t="s">
        <v>4881</v>
      </c>
      <c r="F1212" t="s">
        <v>90</v>
      </c>
      <c r="G1212" s="27" t="str">
        <f t="shared" si="38"/>
        <v>306 RHODES CIR.  CROSBY</v>
      </c>
      <c r="H1212" s="27" t="str">
        <f t="shared" si="39"/>
        <v>HOUSTON TX 77532</v>
      </c>
    </row>
    <row r="1213" spans="1:8" x14ac:dyDescent="0.2">
      <c r="A1213" s="27">
        <f>COUNTIFS(C:C,C1213,D:D,D1213)</f>
        <v>1</v>
      </c>
      <c r="B1213" s="30">
        <v>202101156947</v>
      </c>
      <c r="C1213" t="s">
        <v>2115</v>
      </c>
      <c r="D1213" t="s">
        <v>2116</v>
      </c>
      <c r="E1213" t="s">
        <v>4952</v>
      </c>
      <c r="F1213" t="s">
        <v>53</v>
      </c>
      <c r="G1213" s="27" t="str">
        <f t="shared" si="38"/>
        <v>701 S RICHEY ST  PASADENA</v>
      </c>
      <c r="H1213" s="27" t="str">
        <f t="shared" si="39"/>
        <v>HOUSTON TX 77506</v>
      </c>
    </row>
    <row r="1214" spans="1:8" x14ac:dyDescent="0.2">
      <c r="A1214" s="27">
        <f>COUNTIFS(C:C,C1214,D:D,D1214)</f>
        <v>1</v>
      </c>
      <c r="B1214" s="30">
        <v>202101156952</v>
      </c>
      <c r="C1214" t="s">
        <v>3318</v>
      </c>
      <c r="D1214" t="s">
        <v>3319</v>
      </c>
      <c r="E1214" t="s">
        <v>4874</v>
      </c>
      <c r="F1214" t="s">
        <v>53</v>
      </c>
      <c r="G1214" s="27" t="str">
        <f t="shared" si="38"/>
        <v>5507 ELMLAWN DR  HOUSTON</v>
      </c>
      <c r="H1214" s="27" t="str">
        <f t="shared" si="39"/>
        <v>HOUSTON TX 77033</v>
      </c>
    </row>
    <row r="1215" spans="1:8" x14ac:dyDescent="0.2">
      <c r="A1215" s="27">
        <f>COUNTIFS(C:C,C1215,D:D,D1215)</f>
        <v>1</v>
      </c>
      <c r="B1215" s="30">
        <v>202101156954</v>
      </c>
      <c r="C1215" s="28" t="s">
        <v>613</v>
      </c>
      <c r="D1215" s="28" t="s">
        <v>614</v>
      </c>
      <c r="E1215" s="28" t="s">
        <v>4920</v>
      </c>
      <c r="F1215" s="28" t="s">
        <v>85</v>
      </c>
      <c r="G1215" s="27" t="str">
        <f t="shared" si="38"/>
        <v>15926 ALTA MESA  HOUSTON</v>
      </c>
      <c r="H1215" s="27" t="str">
        <f t="shared" si="39"/>
        <v>HOUSTON TX 77083</v>
      </c>
    </row>
    <row r="1216" spans="1:8" x14ac:dyDescent="0.2">
      <c r="A1216" s="27">
        <f>COUNTIFS(C:C,C1216,D:D,D1216)</f>
        <v>1</v>
      </c>
      <c r="B1216" s="30">
        <v>202101156955</v>
      </c>
      <c r="C1216" t="s">
        <v>2729</v>
      </c>
      <c r="D1216" t="s">
        <v>2730</v>
      </c>
      <c r="E1216" t="s">
        <v>4851</v>
      </c>
      <c r="F1216" t="s">
        <v>53</v>
      </c>
      <c r="G1216" s="27" t="str">
        <f t="shared" si="38"/>
        <v>1000 NORTHWOOD DR  BAYTOWN</v>
      </c>
      <c r="H1216" s="27" t="str">
        <f t="shared" si="39"/>
        <v>HOUSTON TX 77521</v>
      </c>
    </row>
    <row r="1217" spans="1:8" x14ac:dyDescent="0.2">
      <c r="A1217" s="27">
        <f>COUNTIFS(C:C,C1217,D:D,D1217)</f>
        <v>1</v>
      </c>
      <c r="B1217" s="30">
        <v>202101156956</v>
      </c>
      <c r="C1217" t="s">
        <v>3146</v>
      </c>
      <c r="D1217" t="s">
        <v>3147</v>
      </c>
      <c r="E1217" t="s">
        <v>5171</v>
      </c>
      <c r="F1217" t="s">
        <v>53</v>
      </c>
      <c r="G1217" s="27" t="str">
        <f t="shared" si="38"/>
        <v>3347 CHALFONT DR  HOUSTON</v>
      </c>
      <c r="H1217" s="27" t="str">
        <f t="shared" si="39"/>
        <v>HOUSTON TX 7066</v>
      </c>
    </row>
    <row r="1218" spans="1:8" x14ac:dyDescent="0.2">
      <c r="A1218" s="27">
        <f>COUNTIFS(C:C,C1218,D:D,D1218)</f>
        <v>1</v>
      </c>
      <c r="B1218" s="30">
        <v>202101156958</v>
      </c>
      <c r="C1218" t="s">
        <v>2969</v>
      </c>
      <c r="D1218" t="s">
        <v>2970</v>
      </c>
      <c r="E1218" t="s">
        <v>4909</v>
      </c>
      <c r="F1218" t="s">
        <v>68</v>
      </c>
      <c r="G1218" s="27" t="str">
        <f t="shared" si="38"/>
        <v>6206 NOVATO DR  HOUSTON</v>
      </c>
      <c r="H1218" s="27" t="str">
        <f t="shared" si="39"/>
        <v>HOUSTON TX 77053</v>
      </c>
    </row>
    <row r="1219" spans="1:8" x14ac:dyDescent="0.2">
      <c r="A1219" s="27">
        <f>COUNTIFS(C:C,C1219,D:D,D1219)</f>
        <v>1</v>
      </c>
      <c r="B1219" s="30">
        <v>202101156966</v>
      </c>
      <c r="C1219" t="s">
        <v>4028</v>
      </c>
      <c r="D1219" t="s">
        <v>4029</v>
      </c>
      <c r="E1219" t="s">
        <v>4901</v>
      </c>
      <c r="F1219" t="s">
        <v>87</v>
      </c>
      <c r="G1219" s="27" t="str">
        <f t="shared" si="38"/>
        <v>11603 HENDON LN  HOUSTON</v>
      </c>
      <c r="H1219" s="27" t="str">
        <f t="shared" si="39"/>
        <v>HOUSTON TX 77072</v>
      </c>
    </row>
    <row r="1220" spans="1:8" x14ac:dyDescent="0.2">
      <c r="A1220" s="27">
        <f>COUNTIFS(C:C,C1220,D:D,D1220)</f>
        <v>1</v>
      </c>
      <c r="B1220" s="30">
        <v>202101156967</v>
      </c>
      <c r="C1220" s="28" t="s">
        <v>404</v>
      </c>
      <c r="D1220" s="28" t="s">
        <v>405</v>
      </c>
      <c r="E1220" s="28" t="s">
        <v>4853</v>
      </c>
      <c r="F1220" s="28" t="s">
        <v>87</v>
      </c>
      <c r="G1220" s="27" t="str">
        <f t="shared" si="38"/>
        <v>1210 BALMORHEA AVE  HOUSTON</v>
      </c>
      <c r="H1220" s="27" t="str">
        <f t="shared" si="39"/>
        <v>HOUSTON TX 77039</v>
      </c>
    </row>
    <row r="1221" spans="1:8" x14ac:dyDescent="0.2">
      <c r="A1221" s="27">
        <f>COUNTIFS(C:C,C1221,D:D,D1221)</f>
        <v>1</v>
      </c>
      <c r="B1221" s="30">
        <v>202101156968</v>
      </c>
      <c r="C1221" t="s">
        <v>4030</v>
      </c>
      <c r="D1221" t="s">
        <v>4031</v>
      </c>
      <c r="E1221" t="s">
        <v>4880</v>
      </c>
      <c r="F1221" t="s">
        <v>78</v>
      </c>
      <c r="G1221" s="27" t="str">
        <f t="shared" si="38"/>
        <v>3301 PEASE ST  HOUSTON</v>
      </c>
      <c r="H1221" s="27" t="str">
        <f t="shared" si="39"/>
        <v>HOUSTON TX 77004</v>
      </c>
    </row>
    <row r="1222" spans="1:8" x14ac:dyDescent="0.2">
      <c r="A1222" s="27">
        <f>COUNTIFS(C:C,C1222,D:D,D1222)</f>
        <v>1</v>
      </c>
      <c r="B1222" s="30">
        <v>202101156970</v>
      </c>
      <c r="C1222" t="s">
        <v>4032</v>
      </c>
      <c r="D1222" t="s">
        <v>4033</v>
      </c>
      <c r="E1222" t="s">
        <v>5244</v>
      </c>
      <c r="F1222" t="s">
        <v>88</v>
      </c>
      <c r="G1222" s="27" t="str">
        <f t="shared" si="38"/>
        <v>14070 TOWNEWAY DR  SUGAR LAND</v>
      </c>
      <c r="H1222" s="27" t="str">
        <f t="shared" si="39"/>
        <v>HOUSTON TX 77478</v>
      </c>
    </row>
    <row r="1223" spans="1:8" x14ac:dyDescent="0.2">
      <c r="A1223" s="27">
        <f>COUNTIFS(C:C,C1223,D:D,D1223)</f>
        <v>1</v>
      </c>
      <c r="B1223" s="30">
        <v>202101156971</v>
      </c>
      <c r="C1223" t="s">
        <v>2655</v>
      </c>
      <c r="D1223" t="s">
        <v>2656</v>
      </c>
      <c r="E1223" t="s">
        <v>4873</v>
      </c>
      <c r="F1223" t="s">
        <v>79</v>
      </c>
      <c r="G1223" s="27" t="str">
        <f t="shared" si="38"/>
        <v>12727 ROBERT E LEE DR  HOUSTON</v>
      </c>
      <c r="H1223" s="27" t="str">
        <f t="shared" si="39"/>
        <v>HOUSTON TX 77044</v>
      </c>
    </row>
    <row r="1224" spans="1:8" x14ac:dyDescent="0.2">
      <c r="A1224" s="27">
        <f>COUNTIFS(C:C,C1224,D:D,D1224)</f>
        <v>1</v>
      </c>
      <c r="B1224" s="30">
        <v>202101156973</v>
      </c>
      <c r="C1224" t="s">
        <v>4034</v>
      </c>
      <c r="D1224" t="s">
        <v>4035</v>
      </c>
      <c r="E1224" t="s">
        <v>4938</v>
      </c>
      <c r="F1224" t="s">
        <v>4842</v>
      </c>
      <c r="G1224" s="27" t="str">
        <f t="shared" si="38"/>
        <v>2 GOODSON DR  HOUSTON</v>
      </c>
      <c r="H1224" s="27" t="str">
        <f t="shared" si="39"/>
        <v>HOUSTON TX 77037</v>
      </c>
    </row>
    <row r="1225" spans="1:8" x14ac:dyDescent="0.2">
      <c r="A1225" s="27">
        <f>COUNTIFS(C:C,C1225,D:D,D1225)</f>
        <v>1</v>
      </c>
      <c r="B1225" s="30">
        <v>202101156976</v>
      </c>
      <c r="C1225" t="s">
        <v>4036</v>
      </c>
      <c r="D1225" t="s">
        <v>4037</v>
      </c>
      <c r="E1225" t="s">
        <v>5187</v>
      </c>
      <c r="F1225" t="s">
        <v>51</v>
      </c>
      <c r="G1225" s="27" t="str">
        <f t="shared" si="38"/>
        <v>4306 WEST THUNDERWOO D CIR FRESNO</v>
      </c>
      <c r="H1225" s="27" t="str">
        <f t="shared" si="39"/>
        <v>HOUSTON TX 77545</v>
      </c>
    </row>
    <row r="1226" spans="1:8" x14ac:dyDescent="0.2">
      <c r="A1226" s="27">
        <f>COUNTIFS(C:C,C1226,D:D,D1226)</f>
        <v>1</v>
      </c>
      <c r="B1226" s="30">
        <v>202101156977</v>
      </c>
      <c r="C1226" s="28" t="s">
        <v>760</v>
      </c>
      <c r="D1226" s="28" t="s">
        <v>761</v>
      </c>
      <c r="E1226" s="28" t="s">
        <v>4953</v>
      </c>
      <c r="F1226" s="28" t="s">
        <v>64</v>
      </c>
      <c r="G1226" s="27" t="str">
        <f t="shared" si="38"/>
        <v>7514 MOSSROSE  HOUSTON</v>
      </c>
      <c r="H1226" s="27" t="str">
        <f t="shared" si="39"/>
        <v>HOUSTON TX 77012</v>
      </c>
    </row>
    <row r="1227" spans="1:8" x14ac:dyDescent="0.2">
      <c r="A1227" s="27">
        <f>COUNTIFS(C:C,C1227,D:D,D1227)</f>
        <v>1</v>
      </c>
      <c r="B1227" s="30">
        <v>202101156978</v>
      </c>
      <c r="C1227" t="s">
        <v>3175</v>
      </c>
      <c r="D1227" t="s">
        <v>3176</v>
      </c>
      <c r="E1227" t="s">
        <v>4880</v>
      </c>
      <c r="F1227" t="s">
        <v>67</v>
      </c>
      <c r="G1227" s="27" t="str">
        <f t="shared" si="38"/>
        <v>2009 WENTWORTH ST  HOUSTON</v>
      </c>
      <c r="H1227" s="27" t="str">
        <f t="shared" si="39"/>
        <v>HOUSTON TX 77004</v>
      </c>
    </row>
    <row r="1228" spans="1:8" x14ac:dyDescent="0.2">
      <c r="A1228" s="27">
        <f>COUNTIFS(C:C,C1228,D:D,D1228)</f>
        <v>1</v>
      </c>
      <c r="B1228" s="30">
        <v>202101156979</v>
      </c>
      <c r="C1228" t="s">
        <v>4038</v>
      </c>
      <c r="D1228" t="s">
        <v>4039</v>
      </c>
      <c r="E1228" t="s">
        <v>4944</v>
      </c>
      <c r="F1228" t="s">
        <v>64</v>
      </c>
      <c r="G1228" s="27" t="str">
        <f t="shared" si="38"/>
        <v>2611 BENS BRANCH DR  KINGWOOD</v>
      </c>
      <c r="H1228" s="27" t="str">
        <f t="shared" si="39"/>
        <v>HOUSTON TX 77339</v>
      </c>
    </row>
    <row r="1229" spans="1:8" x14ac:dyDescent="0.2">
      <c r="A1229" s="27">
        <f>COUNTIFS(C:C,C1229,D:D,D1229)</f>
        <v>1</v>
      </c>
      <c r="B1229" s="30">
        <v>202101156980</v>
      </c>
      <c r="C1229" s="28" t="s">
        <v>494</v>
      </c>
      <c r="D1229" s="28" t="s">
        <v>495</v>
      </c>
      <c r="E1229" s="28" t="s">
        <v>4887</v>
      </c>
      <c r="F1229" s="28" t="s">
        <v>92</v>
      </c>
      <c r="G1229" s="27" t="str">
        <f t="shared" si="38"/>
        <v>59 DARRINGTON ROAD  ROSHARON</v>
      </c>
      <c r="H1229" s="27" t="str">
        <f t="shared" si="39"/>
        <v>HOUSTON TX 77583</v>
      </c>
    </row>
    <row r="1230" spans="1:8" x14ac:dyDescent="0.2">
      <c r="A1230" s="27">
        <f>COUNTIFS(C:C,C1230,D:D,D1230)</f>
        <v>1</v>
      </c>
      <c r="B1230" s="30">
        <v>202101156981</v>
      </c>
      <c r="C1230" t="s">
        <v>2049</v>
      </c>
      <c r="D1230" t="s">
        <v>2050</v>
      </c>
      <c r="E1230" t="s">
        <v>5093</v>
      </c>
      <c r="F1230" t="s">
        <v>56</v>
      </c>
      <c r="G1230" s="27" t="str">
        <f t="shared" si="38"/>
        <v>1316 WHITEWING AVE  MCALLEN</v>
      </c>
      <c r="H1230" s="27" t="str">
        <f t="shared" si="39"/>
        <v>HOUSTON TX 78501</v>
      </c>
    </row>
    <row r="1231" spans="1:8" x14ac:dyDescent="0.2">
      <c r="A1231" s="27">
        <f>COUNTIFS(C:C,C1231,D:D,D1231)</f>
        <v>1</v>
      </c>
      <c r="B1231" s="30">
        <v>202101156982</v>
      </c>
      <c r="C1231" s="28" t="s">
        <v>946</v>
      </c>
      <c r="D1231" s="28" t="s">
        <v>947</v>
      </c>
      <c r="E1231" s="28" t="s">
        <v>4987</v>
      </c>
      <c r="F1231" s="28" t="s">
        <v>51</v>
      </c>
      <c r="G1231" s="27" t="str">
        <f t="shared" si="38"/>
        <v>9225 LONG POINT RD  HOUSTON</v>
      </c>
      <c r="H1231" s="27" t="str">
        <f t="shared" si="39"/>
        <v>HOUSTON TX 77055</v>
      </c>
    </row>
    <row r="1232" spans="1:8" x14ac:dyDescent="0.2">
      <c r="A1232" s="27">
        <f>COUNTIFS(C:C,C1232,D:D,D1232)</f>
        <v>1</v>
      </c>
      <c r="B1232" s="30">
        <v>202101156987</v>
      </c>
      <c r="C1232" s="28" t="s">
        <v>448</v>
      </c>
      <c r="D1232" s="28" t="s">
        <v>449</v>
      </c>
      <c r="E1232" s="28" t="s">
        <v>4870</v>
      </c>
      <c r="F1232" s="28" t="s">
        <v>65</v>
      </c>
      <c r="G1232" s="27" t="str">
        <f t="shared" si="38"/>
        <v>8125 HONEYWOOD TRL A P PORT ARTHU</v>
      </c>
      <c r="H1232" s="27" t="str">
        <f t="shared" si="39"/>
        <v>HOUSTON TX 77642</v>
      </c>
    </row>
    <row r="1233" spans="1:8" x14ac:dyDescent="0.2">
      <c r="A1233" s="27">
        <f>COUNTIFS(C:C,C1233,D:D,D1233)</f>
        <v>1</v>
      </c>
      <c r="B1233" s="30">
        <v>202101156988</v>
      </c>
      <c r="C1233" t="s">
        <v>3173</v>
      </c>
      <c r="D1233" t="s">
        <v>3174</v>
      </c>
      <c r="E1233" t="s">
        <v>4941</v>
      </c>
      <c r="F1233" t="s">
        <v>63</v>
      </c>
      <c r="G1233" s="27" t="str">
        <f t="shared" si="38"/>
        <v>15015 CARRAWAY CT  CYPRESS</v>
      </c>
      <c r="H1233" s="27" t="str">
        <f t="shared" si="39"/>
        <v>HOUSTON TX 77429</v>
      </c>
    </row>
    <row r="1234" spans="1:8" x14ac:dyDescent="0.2">
      <c r="A1234" s="27">
        <f>COUNTIFS(C:C,C1234,D:D,D1234)</f>
        <v>1</v>
      </c>
      <c r="B1234" s="30">
        <v>202101156990</v>
      </c>
      <c r="C1234" s="28" t="s">
        <v>1215</v>
      </c>
      <c r="D1234" s="28" t="s">
        <v>1216</v>
      </c>
      <c r="E1234" s="28" t="s">
        <v>4865</v>
      </c>
      <c r="F1234" s="28" t="s">
        <v>53</v>
      </c>
      <c r="G1234" s="27" t="str">
        <f t="shared" si="38"/>
        <v>7559 BUBBLING SPRING LN HOUSTON</v>
      </c>
      <c r="H1234" s="27" t="str">
        <f t="shared" si="39"/>
        <v xml:space="preserve">HOUSTON TX      </v>
      </c>
    </row>
    <row r="1235" spans="1:8" x14ac:dyDescent="0.2">
      <c r="A1235" s="27">
        <f>COUNTIFS(C:C,C1235,D:D,D1235)</f>
        <v>1</v>
      </c>
      <c r="B1235" s="30">
        <v>202101156992</v>
      </c>
      <c r="C1235" t="s">
        <v>4040</v>
      </c>
      <c r="D1235" t="s">
        <v>4041</v>
      </c>
      <c r="E1235" t="s">
        <v>4859</v>
      </c>
      <c r="F1235" t="s">
        <v>66</v>
      </c>
      <c r="G1235" s="27" t="str">
        <f t="shared" si="38"/>
        <v>7950 BELFORT LN  HOUSTON</v>
      </c>
      <c r="H1235" s="27" t="str">
        <f t="shared" si="39"/>
        <v>HOUSTON TX 77073</v>
      </c>
    </row>
    <row r="1236" spans="1:8" x14ac:dyDescent="0.2">
      <c r="A1236" s="27">
        <f>COUNTIFS(C:C,C1236,D:D,D1236)</f>
        <v>1</v>
      </c>
      <c r="B1236" s="30">
        <v>202101156995</v>
      </c>
      <c r="C1236" t="s">
        <v>4042</v>
      </c>
      <c r="D1236" t="s">
        <v>4043</v>
      </c>
      <c r="E1236" t="s">
        <v>4933</v>
      </c>
      <c r="F1236" t="s">
        <v>53</v>
      </c>
      <c r="G1236" s="27" t="str">
        <f t="shared" si="38"/>
        <v>9733 NEUENS RD APT 2 0 HOUSTON</v>
      </c>
      <c r="H1236" s="27" t="str">
        <f t="shared" si="39"/>
        <v>HOUSTON TX 77080</v>
      </c>
    </row>
    <row r="1237" spans="1:8" x14ac:dyDescent="0.2">
      <c r="A1237" s="27">
        <f>COUNTIFS(C:C,C1237,D:D,D1237)</f>
        <v>1</v>
      </c>
      <c r="B1237" s="30">
        <v>202101156996</v>
      </c>
      <c r="C1237" t="s">
        <v>2452</v>
      </c>
      <c r="D1237" t="s">
        <v>2453</v>
      </c>
      <c r="E1237" t="s">
        <v>4874</v>
      </c>
      <c r="F1237" t="s">
        <v>94</v>
      </c>
      <c r="G1237" s="27" t="str">
        <f t="shared" si="38"/>
        <v>5818 SOUTHTOWN ST  HOUSTON</v>
      </c>
      <c r="H1237" s="27" t="str">
        <f t="shared" si="39"/>
        <v>HOUSTON TX 77033</v>
      </c>
    </row>
    <row r="1238" spans="1:8" x14ac:dyDescent="0.2">
      <c r="A1238" s="27">
        <f>COUNTIFS(C:C,C1238,D:D,D1238)</f>
        <v>1</v>
      </c>
      <c r="B1238" s="30">
        <v>202101156997</v>
      </c>
      <c r="C1238" s="28" t="s">
        <v>418</v>
      </c>
      <c r="D1238" s="28" t="s">
        <v>419</v>
      </c>
      <c r="E1238" s="28" t="s">
        <v>4855</v>
      </c>
      <c r="F1238" s="28" t="s">
        <v>75</v>
      </c>
      <c r="G1238" s="27" t="str">
        <f t="shared" si="38"/>
        <v>10950 BEAUMONT HWY 90  HOUSTON</v>
      </c>
      <c r="H1238" s="27" t="str">
        <f t="shared" si="39"/>
        <v>HOUSTON TX 77078</v>
      </c>
    </row>
    <row r="1239" spans="1:8" x14ac:dyDescent="0.2">
      <c r="A1239" s="27">
        <f>COUNTIFS(C:C,C1239,D:D,D1239)</f>
        <v>1</v>
      </c>
      <c r="B1239" s="30">
        <v>202101156998</v>
      </c>
      <c r="C1239" t="s">
        <v>2765</v>
      </c>
      <c r="D1239" t="s">
        <v>2766</v>
      </c>
      <c r="E1239" t="s">
        <v>4878</v>
      </c>
      <c r="F1239" t="s">
        <v>350</v>
      </c>
      <c r="G1239" s="27" t="str">
        <f t="shared" si="38"/>
        <v>4910 FAIRGREEN LN  HOUSTON</v>
      </c>
      <c r="H1239" s="27" t="str">
        <f t="shared" si="39"/>
        <v>HOUSTON TX 77048</v>
      </c>
    </row>
    <row r="1240" spans="1:8" x14ac:dyDescent="0.2">
      <c r="A1240" s="27">
        <f>COUNTIFS(C:C,C1240,D:D,D1240)</f>
        <v>1</v>
      </c>
      <c r="B1240" s="30">
        <v>202101157002</v>
      </c>
      <c r="C1240" s="28" t="s">
        <v>1278</v>
      </c>
      <c r="D1240" s="28" t="s">
        <v>875</v>
      </c>
      <c r="E1240" s="28" t="s">
        <v>4879</v>
      </c>
      <c r="F1240" s="28" t="s">
        <v>56</v>
      </c>
      <c r="G1240" s="27" t="str">
        <f t="shared" si="38"/>
        <v>5500 DE SOTO ST  HOUSTON</v>
      </c>
      <c r="H1240" s="27" t="str">
        <f t="shared" si="39"/>
        <v>HOUSTON TX 77091</v>
      </c>
    </row>
    <row r="1241" spans="1:8" x14ac:dyDescent="0.2">
      <c r="A1241" s="27">
        <f>COUNTIFS(C:C,C1241,D:D,D1241)</f>
        <v>1</v>
      </c>
      <c r="B1241" s="30">
        <v>202101157003</v>
      </c>
      <c r="C1241" s="28" t="s">
        <v>1725</v>
      </c>
      <c r="D1241" s="28" t="s">
        <v>1726</v>
      </c>
      <c r="E1241" s="28" t="s">
        <v>4969</v>
      </c>
      <c r="F1241" s="28" t="s">
        <v>78</v>
      </c>
      <c r="G1241" s="27" t="str">
        <f t="shared" si="38"/>
        <v>23902 KUKENDAHL RD  TOMBALL</v>
      </c>
      <c r="H1241" s="27" t="str">
        <f t="shared" si="39"/>
        <v>HOUSTON TX 77375</v>
      </c>
    </row>
    <row r="1242" spans="1:8" x14ac:dyDescent="0.2">
      <c r="A1242" s="27">
        <f>COUNTIFS(C:C,C1242,D:D,D1242)</f>
        <v>1</v>
      </c>
      <c r="B1242" s="30">
        <v>202101157004</v>
      </c>
      <c r="C1242" t="s">
        <v>4044</v>
      </c>
      <c r="D1242" t="s">
        <v>4045</v>
      </c>
      <c r="E1242" t="s">
        <v>5245</v>
      </c>
      <c r="F1242" t="s">
        <v>75</v>
      </c>
      <c r="G1242" s="27" t="str">
        <f t="shared" si="38"/>
        <v>2212 S AVE  ORANGE</v>
      </c>
      <c r="H1242" s="27" t="str">
        <f t="shared" si="39"/>
        <v>HOUSTON TX 77630</v>
      </c>
    </row>
    <row r="1243" spans="1:8" x14ac:dyDescent="0.2">
      <c r="A1243" s="27">
        <f>COUNTIFS(C:C,C1243,D:D,D1243)</f>
        <v>1</v>
      </c>
      <c r="B1243" s="30">
        <v>202101157005</v>
      </c>
      <c r="C1243" t="s">
        <v>4046</v>
      </c>
      <c r="D1243" t="s">
        <v>4047</v>
      </c>
      <c r="E1243" t="s">
        <v>5097</v>
      </c>
      <c r="F1243" t="s">
        <v>88</v>
      </c>
      <c r="G1243" s="27" t="str">
        <f t="shared" si="38"/>
        <v>7100 ALMEDA DR  HOUSTON</v>
      </c>
      <c r="H1243" s="27" t="str">
        <f t="shared" si="39"/>
        <v>HOUSTON TX 77054</v>
      </c>
    </row>
    <row r="1244" spans="1:8" x14ac:dyDescent="0.2">
      <c r="A1244" s="27">
        <f>COUNTIFS(C:C,C1244,D:D,D1244)</f>
        <v>1</v>
      </c>
      <c r="B1244" s="30">
        <v>202101157014</v>
      </c>
      <c r="C1244" t="s">
        <v>4048</v>
      </c>
      <c r="D1244" t="s">
        <v>4049</v>
      </c>
      <c r="E1244" t="s">
        <v>4988</v>
      </c>
      <c r="F1244" t="s">
        <v>335</v>
      </c>
      <c r="G1244" s="27" t="str">
        <f t="shared" si="38"/>
        <v>15931 KENBROOK DR  MISSOURI C</v>
      </c>
      <c r="H1244" s="27" t="str">
        <f t="shared" si="39"/>
        <v>HOUSTON TX 77489</v>
      </c>
    </row>
    <row r="1245" spans="1:8" x14ac:dyDescent="0.2">
      <c r="A1245" s="27">
        <f>COUNTIFS(C:C,C1245,D:D,D1245)</f>
        <v>1</v>
      </c>
      <c r="B1245" s="30">
        <v>202101157015</v>
      </c>
      <c r="C1245" t="s">
        <v>4050</v>
      </c>
      <c r="D1245" t="s">
        <v>4051</v>
      </c>
      <c r="E1245" t="s">
        <v>4977</v>
      </c>
      <c r="F1245" t="s">
        <v>90</v>
      </c>
      <c r="G1245" s="27" t="str">
        <f t="shared" si="38"/>
        <v>6425 WESTHEIMER RD 4 07 HOUSTON</v>
      </c>
      <c r="H1245" s="27" t="str">
        <f t="shared" si="39"/>
        <v>HOUSTON TX 77057</v>
      </c>
    </row>
    <row r="1246" spans="1:8" x14ac:dyDescent="0.2">
      <c r="A1246" s="27">
        <f>COUNTIFS(C:C,C1246,D:D,D1246)</f>
        <v>1</v>
      </c>
      <c r="B1246" s="30">
        <v>202101157016</v>
      </c>
      <c r="C1246" s="28" t="s">
        <v>420</v>
      </c>
      <c r="D1246" s="28" t="s">
        <v>421</v>
      </c>
      <c r="E1246" s="28" t="s">
        <v>4852</v>
      </c>
      <c r="F1246" s="28" t="s">
        <v>87</v>
      </c>
      <c r="G1246" s="27" t="str">
        <f t="shared" si="38"/>
        <v>9313 SANDRA STREET  HOUSTON</v>
      </c>
      <c r="H1246" s="27" t="str">
        <f t="shared" si="39"/>
        <v>HOUSTON TX 77016</v>
      </c>
    </row>
    <row r="1247" spans="1:8" x14ac:dyDescent="0.2">
      <c r="A1247" s="27">
        <f>COUNTIFS(C:C,C1247,D:D,D1247)</f>
        <v>1</v>
      </c>
      <c r="B1247" s="30">
        <v>202101157017</v>
      </c>
      <c r="C1247" t="s">
        <v>4052</v>
      </c>
      <c r="D1247" t="s">
        <v>4053</v>
      </c>
      <c r="E1247" t="s">
        <v>4997</v>
      </c>
      <c r="F1247" t="s">
        <v>53</v>
      </c>
      <c r="G1247" s="27" t="str">
        <f t="shared" si="38"/>
        <v>12626 HUNTING BROOK D R HOUSTON</v>
      </c>
      <c r="H1247" s="27" t="str">
        <f t="shared" si="39"/>
        <v>HOUSTON TX 77099</v>
      </c>
    </row>
    <row r="1248" spans="1:8" x14ac:dyDescent="0.2">
      <c r="A1248" s="27">
        <f>COUNTIFS(C:C,C1248,D:D,D1248)</f>
        <v>1</v>
      </c>
      <c r="B1248" s="30">
        <v>202101157019</v>
      </c>
      <c r="C1248" s="28" t="s">
        <v>1096</v>
      </c>
      <c r="D1248" s="28" t="s">
        <v>981</v>
      </c>
      <c r="E1248" s="28" t="s">
        <v>4850</v>
      </c>
      <c r="F1248" s="28" t="s">
        <v>58</v>
      </c>
      <c r="G1248" s="27" t="str">
        <f t="shared" si="38"/>
        <v>10700 FUQUA ST  HOUSTON</v>
      </c>
      <c r="H1248" s="27" t="str">
        <f t="shared" si="39"/>
        <v>HOUSTON TX 77089</v>
      </c>
    </row>
    <row r="1249" spans="1:8" x14ac:dyDescent="0.2">
      <c r="A1249" s="27">
        <f>COUNTIFS(C:C,C1249,D:D,D1249)</f>
        <v>1</v>
      </c>
      <c r="B1249" s="30">
        <v>202101157022</v>
      </c>
      <c r="C1249" t="s">
        <v>4054</v>
      </c>
      <c r="D1249" t="s">
        <v>4055</v>
      </c>
      <c r="E1249" t="s">
        <v>4952</v>
      </c>
      <c r="F1249" t="s">
        <v>96</v>
      </c>
      <c r="G1249" s="27" t="str">
        <f t="shared" si="38"/>
        <v>531 JAMES ST  PASADENA</v>
      </c>
      <c r="H1249" s="27" t="str">
        <f t="shared" si="39"/>
        <v>HOUSTON TX 77506</v>
      </c>
    </row>
    <row r="1250" spans="1:8" x14ac:dyDescent="0.2">
      <c r="A1250" s="27">
        <f>COUNTIFS(C:C,C1250,D:D,D1250)</f>
        <v>1</v>
      </c>
      <c r="B1250" s="30">
        <v>202101157024</v>
      </c>
      <c r="C1250" t="s">
        <v>3195</v>
      </c>
      <c r="D1250" t="s">
        <v>3196</v>
      </c>
      <c r="E1250" t="s">
        <v>5002</v>
      </c>
      <c r="F1250" t="s">
        <v>71</v>
      </c>
      <c r="G1250" s="27" t="str">
        <f t="shared" si="38"/>
        <v>12630 ASHFORD POINT D R APT 602 HOUSTON</v>
      </c>
      <c r="H1250" s="27" t="str">
        <f t="shared" si="39"/>
        <v>HOUSTON TX 77082</v>
      </c>
    </row>
    <row r="1251" spans="1:8" x14ac:dyDescent="0.2">
      <c r="A1251" s="27">
        <f>COUNTIFS(C:C,C1251,D:D,D1251)</f>
        <v>1</v>
      </c>
      <c r="B1251" s="30">
        <v>202101157026</v>
      </c>
      <c r="C1251" t="s">
        <v>3285</v>
      </c>
      <c r="D1251" t="s">
        <v>3286</v>
      </c>
      <c r="E1251" t="s">
        <v>4952</v>
      </c>
      <c r="F1251" t="s">
        <v>75</v>
      </c>
      <c r="G1251" s="27" t="str">
        <f t="shared" si="38"/>
        <v>2506 CAMILLE ST  PASADENA</v>
      </c>
      <c r="H1251" s="27" t="str">
        <f t="shared" si="39"/>
        <v>HOUSTON TX 77506</v>
      </c>
    </row>
    <row r="1252" spans="1:8" x14ac:dyDescent="0.2">
      <c r="A1252" s="27">
        <f>COUNTIFS(C:C,C1252,D:D,D1252)</f>
        <v>1</v>
      </c>
      <c r="B1252" s="30">
        <v>202101157029</v>
      </c>
      <c r="C1252" t="s">
        <v>3154</v>
      </c>
      <c r="D1252" t="s">
        <v>3155</v>
      </c>
      <c r="E1252" t="s">
        <v>4991</v>
      </c>
      <c r="F1252" t="s">
        <v>56</v>
      </c>
      <c r="G1252" s="27" t="str">
        <f t="shared" si="38"/>
        <v>9850 RICHMOND AVE  HOUSTON</v>
      </c>
      <c r="H1252" s="27" t="str">
        <f t="shared" si="39"/>
        <v>HOUSTON TX 77042</v>
      </c>
    </row>
    <row r="1253" spans="1:8" x14ac:dyDescent="0.2">
      <c r="A1253" s="27">
        <f>COUNTIFS(C:C,C1253,D:D,D1253)</f>
        <v>1</v>
      </c>
      <c r="B1253" s="30">
        <v>202101157034</v>
      </c>
      <c r="C1253" s="28" t="s">
        <v>1898</v>
      </c>
      <c r="D1253" s="28" t="s">
        <v>1899</v>
      </c>
      <c r="E1253" s="28" t="s">
        <v>4988</v>
      </c>
      <c r="F1253" s="28" t="s">
        <v>87</v>
      </c>
      <c r="G1253" s="27" t="str">
        <f t="shared" si="38"/>
        <v>6902 ROCKERGATE DR  MISSOURI C</v>
      </c>
      <c r="H1253" s="27" t="str">
        <f t="shared" si="39"/>
        <v>HOUSTON TX 77489</v>
      </c>
    </row>
    <row r="1254" spans="1:8" x14ac:dyDescent="0.2">
      <c r="A1254" s="27">
        <f>COUNTIFS(C:C,C1254,D:D,D1254)</f>
        <v>1</v>
      </c>
      <c r="B1254" s="30">
        <v>202101157036</v>
      </c>
      <c r="C1254" t="s">
        <v>2144</v>
      </c>
      <c r="D1254" t="s">
        <v>2145</v>
      </c>
      <c r="E1254" t="s">
        <v>4865</v>
      </c>
      <c r="F1254" t="s">
        <v>53</v>
      </c>
      <c r="G1254" s="27" t="str">
        <f t="shared" si="38"/>
        <v>11110 MELBA LN  HOUSTON</v>
      </c>
      <c r="H1254" s="27" t="str">
        <f t="shared" si="39"/>
        <v xml:space="preserve">HOUSTON TX      </v>
      </c>
    </row>
    <row r="1255" spans="1:8" x14ac:dyDescent="0.2">
      <c r="A1255" s="27">
        <f>COUNTIFS(C:C,C1255,D:D,D1255)</f>
        <v>1</v>
      </c>
      <c r="B1255" s="30">
        <v>202101157039</v>
      </c>
      <c r="C1255" t="s">
        <v>3222</v>
      </c>
      <c r="D1255" t="s">
        <v>3223</v>
      </c>
      <c r="E1255" t="s">
        <v>4915</v>
      </c>
      <c r="F1255" t="s">
        <v>71</v>
      </c>
      <c r="G1255" s="27" t="str">
        <f t="shared" si="38"/>
        <v>3322 YELLOWSTONE BLV D HOUSTON</v>
      </c>
      <c r="H1255" s="27" t="str">
        <f t="shared" si="39"/>
        <v>HOUSTON TX 77021</v>
      </c>
    </row>
    <row r="1256" spans="1:8" x14ac:dyDescent="0.2">
      <c r="A1256" s="27">
        <f>COUNTIFS(C:C,C1256,D:D,D1256)</f>
        <v>1</v>
      </c>
      <c r="B1256" s="30">
        <v>202101157040</v>
      </c>
      <c r="C1256" t="s">
        <v>3001</v>
      </c>
      <c r="D1256" t="s">
        <v>3002</v>
      </c>
      <c r="E1256" t="s">
        <v>5063</v>
      </c>
      <c r="F1256" t="s">
        <v>71</v>
      </c>
      <c r="G1256" s="27" t="str">
        <f t="shared" si="38"/>
        <v>6642 BRIARGATE DR  HOUSTON</v>
      </c>
      <c r="H1256" s="27" t="str">
        <f t="shared" si="39"/>
        <v>HOUSTON TX 77489</v>
      </c>
    </row>
    <row r="1257" spans="1:8" x14ac:dyDescent="0.2">
      <c r="A1257" s="27">
        <f>COUNTIFS(C:C,C1257,D:D,D1257)</f>
        <v>1</v>
      </c>
      <c r="B1257" s="30">
        <v>202101157043</v>
      </c>
      <c r="C1257" s="28" t="s">
        <v>1918</v>
      </c>
      <c r="D1257" s="28" t="s">
        <v>1919</v>
      </c>
      <c r="E1257" s="28" t="s">
        <v>4981</v>
      </c>
      <c r="F1257" s="28" t="s">
        <v>322</v>
      </c>
      <c r="G1257" s="27" t="str">
        <f t="shared" si="38"/>
        <v>8600 THETA S  HOUSTON</v>
      </c>
      <c r="H1257" s="27" t="str">
        <f t="shared" si="39"/>
        <v>HOUSTON TX 77034</v>
      </c>
    </row>
    <row r="1258" spans="1:8" x14ac:dyDescent="0.2">
      <c r="A1258" s="27">
        <f>COUNTIFS(C:C,C1258,D:D,D1258)</f>
        <v>1</v>
      </c>
      <c r="B1258" s="30">
        <v>202101157045</v>
      </c>
      <c r="C1258" t="s">
        <v>3374</v>
      </c>
      <c r="D1258" t="s">
        <v>3375</v>
      </c>
      <c r="E1258" t="s">
        <v>4973</v>
      </c>
      <c r="F1258" t="s">
        <v>159</v>
      </c>
      <c r="G1258" s="27" t="str">
        <f t="shared" ref="G1258:G1321" si="40">D1258&amp;" "&amp;MID(E1258,1,FIND(" TX",E1258)-1)</f>
        <v>6500 SANDS POINT DR  HOUSTON</v>
      </c>
      <c r="H1258" s="27" t="str">
        <f t="shared" ref="H1258:H1321" si="41">"HOUSTON "&amp;MID(E1258,FIND("TX",E1258),8)</f>
        <v>HOUSTON TX 77074</v>
      </c>
    </row>
    <row r="1259" spans="1:8" x14ac:dyDescent="0.2">
      <c r="A1259" s="27">
        <f>COUNTIFS(C:C,C1259,D:D,D1259)</f>
        <v>1</v>
      </c>
      <c r="B1259" s="30">
        <v>202101157048</v>
      </c>
      <c r="C1259" t="s">
        <v>4056</v>
      </c>
      <c r="D1259" t="s">
        <v>4057</v>
      </c>
      <c r="E1259" t="s">
        <v>5152</v>
      </c>
      <c r="F1259" t="s">
        <v>4792</v>
      </c>
      <c r="G1259" s="27" t="str">
        <f t="shared" si="40"/>
        <v>3210 BAYOAKS HARBOR  BAYTOWN</v>
      </c>
      <c r="H1259" s="27" t="str">
        <f t="shared" si="41"/>
        <v>HOUSTON TX 77523</v>
      </c>
    </row>
    <row r="1260" spans="1:8" x14ac:dyDescent="0.2">
      <c r="A1260" s="27">
        <f>COUNTIFS(C:C,C1260,D:D,D1260)</f>
        <v>1</v>
      </c>
      <c r="B1260" s="30">
        <v>202101157051</v>
      </c>
      <c r="C1260" t="s">
        <v>4058</v>
      </c>
      <c r="D1260" t="s">
        <v>4059</v>
      </c>
      <c r="E1260" t="s">
        <v>4896</v>
      </c>
      <c r="F1260" t="s">
        <v>88</v>
      </c>
      <c r="G1260" s="27" t="str">
        <f t="shared" si="40"/>
        <v>9290 WOODFAIR DR APT 1513 HOUSTON</v>
      </c>
      <c r="H1260" s="27" t="str">
        <f t="shared" si="41"/>
        <v>HOUSTON TX 77036</v>
      </c>
    </row>
    <row r="1261" spans="1:8" x14ac:dyDescent="0.2">
      <c r="A1261" s="27">
        <f>COUNTIFS(C:C,C1261,D:D,D1261)</f>
        <v>1</v>
      </c>
      <c r="B1261" s="30">
        <v>202101157053</v>
      </c>
      <c r="C1261" t="s">
        <v>4060</v>
      </c>
      <c r="D1261" t="s">
        <v>4061</v>
      </c>
      <c r="E1261" t="s">
        <v>5246</v>
      </c>
      <c r="F1261" t="s">
        <v>88</v>
      </c>
      <c r="G1261" s="27" t="e">
        <f t="shared" si="40"/>
        <v>#VALUE!</v>
      </c>
      <c r="H1261" s="27" t="e">
        <f t="shared" si="41"/>
        <v>#VALUE!</v>
      </c>
    </row>
    <row r="1262" spans="1:8" x14ac:dyDescent="0.2">
      <c r="A1262" s="27">
        <f>COUNTIFS(C:C,C1262,D:D,D1262)</f>
        <v>1</v>
      </c>
      <c r="B1262" s="30">
        <v>202101157055</v>
      </c>
      <c r="C1262" t="s">
        <v>4062</v>
      </c>
      <c r="D1262" t="s">
        <v>4063</v>
      </c>
      <c r="E1262" t="s">
        <v>4896</v>
      </c>
      <c r="F1262" t="s">
        <v>90</v>
      </c>
      <c r="G1262" s="27" t="str">
        <f t="shared" si="40"/>
        <v>10300 HARWIN DR 12  HOUSTON</v>
      </c>
      <c r="H1262" s="27" t="str">
        <f t="shared" si="41"/>
        <v>HOUSTON TX 77036</v>
      </c>
    </row>
    <row r="1263" spans="1:8" x14ac:dyDescent="0.2">
      <c r="A1263" s="27">
        <f>COUNTIFS(C:C,C1263,D:D,D1263)</f>
        <v>1</v>
      </c>
      <c r="B1263" s="30">
        <v>202101157057</v>
      </c>
      <c r="C1263" t="s">
        <v>2404</v>
      </c>
      <c r="D1263" t="s">
        <v>2405</v>
      </c>
      <c r="E1263" t="s">
        <v>4935</v>
      </c>
      <c r="F1263" t="s">
        <v>68</v>
      </c>
      <c r="G1263" s="27" t="str">
        <f t="shared" si="40"/>
        <v>15511 GOLDEN EAGLE DR  HUMBLE</v>
      </c>
      <c r="H1263" s="27" t="str">
        <f t="shared" si="41"/>
        <v>HOUSTON TX 77396</v>
      </c>
    </row>
    <row r="1264" spans="1:8" x14ac:dyDescent="0.2">
      <c r="A1264" s="27">
        <f>COUNTIFS(C:C,C1264,D:D,D1264)</f>
        <v>1</v>
      </c>
      <c r="B1264" s="30">
        <v>202101157062</v>
      </c>
      <c r="C1264" s="28" t="s">
        <v>734</v>
      </c>
      <c r="D1264" s="28" t="s">
        <v>735</v>
      </c>
      <c r="E1264" s="28" t="s">
        <v>4855</v>
      </c>
      <c r="F1264" s="28" t="s">
        <v>64</v>
      </c>
      <c r="G1264" s="27" t="str">
        <f t="shared" si="40"/>
        <v>9393 TIDWELL  HOUSTON</v>
      </c>
      <c r="H1264" s="27" t="str">
        <f t="shared" si="41"/>
        <v>HOUSTON TX 77078</v>
      </c>
    </row>
    <row r="1265" spans="1:8" x14ac:dyDescent="0.2">
      <c r="A1265" s="27">
        <f>COUNTIFS(C:C,C1265,D:D,D1265)</f>
        <v>1</v>
      </c>
      <c r="B1265" s="30">
        <v>202101157064</v>
      </c>
      <c r="C1265" s="28" t="s">
        <v>1866</v>
      </c>
      <c r="D1265" s="28" t="s">
        <v>1867</v>
      </c>
      <c r="E1265" s="28" t="s">
        <v>4878</v>
      </c>
      <c r="F1265" s="28" t="s">
        <v>67</v>
      </c>
      <c r="G1265" s="27" t="str">
        <f t="shared" si="40"/>
        <v>10910 ROANDALE DR  HOUSTON</v>
      </c>
      <c r="H1265" s="27" t="str">
        <f t="shared" si="41"/>
        <v>HOUSTON TX 77048</v>
      </c>
    </row>
    <row r="1266" spans="1:8" x14ac:dyDescent="0.2">
      <c r="A1266" s="27">
        <f>COUNTIFS(C:C,C1266,D:D,D1266)</f>
        <v>1</v>
      </c>
      <c r="B1266" s="30">
        <v>202101157065</v>
      </c>
      <c r="C1266" t="s">
        <v>4064</v>
      </c>
      <c r="D1266" t="s">
        <v>4065</v>
      </c>
      <c r="E1266" t="s">
        <v>4896</v>
      </c>
      <c r="F1266" t="s">
        <v>53</v>
      </c>
      <c r="G1266" s="27" t="str">
        <f t="shared" si="40"/>
        <v>9803 CLUB CREEK DR 1 30 HOUSTON</v>
      </c>
      <c r="H1266" s="27" t="str">
        <f t="shared" si="41"/>
        <v>HOUSTON TX 77036</v>
      </c>
    </row>
    <row r="1267" spans="1:8" x14ac:dyDescent="0.2">
      <c r="A1267" s="27">
        <f>COUNTIFS(C:C,C1267,D:D,D1267)</f>
        <v>1</v>
      </c>
      <c r="B1267" s="30">
        <v>202101157066</v>
      </c>
      <c r="C1267" s="28" t="s">
        <v>1786</v>
      </c>
      <c r="D1267" s="28" t="s">
        <v>1787</v>
      </c>
      <c r="E1267" s="28" t="s">
        <v>4873</v>
      </c>
      <c r="F1267" s="28" t="s">
        <v>78</v>
      </c>
      <c r="G1267" s="27" t="str">
        <f t="shared" si="40"/>
        <v>12626 GREEN RIVER DR  HOUSTON</v>
      </c>
      <c r="H1267" s="27" t="str">
        <f t="shared" si="41"/>
        <v>HOUSTON TX 77044</v>
      </c>
    </row>
    <row r="1268" spans="1:8" x14ac:dyDescent="0.2">
      <c r="A1268" s="27">
        <f>COUNTIFS(C:C,C1268,D:D,D1268)</f>
        <v>1</v>
      </c>
      <c r="B1268" s="30">
        <v>202101157070</v>
      </c>
      <c r="C1268" t="s">
        <v>4066</v>
      </c>
      <c r="D1268" t="s">
        <v>4067</v>
      </c>
      <c r="E1268" t="s">
        <v>4894</v>
      </c>
      <c r="F1268" t="s">
        <v>88</v>
      </c>
      <c r="G1268" s="27" t="str">
        <f t="shared" si="40"/>
        <v>5723 CHAPMAN ST  HOUSTON</v>
      </c>
      <c r="H1268" s="27" t="str">
        <f t="shared" si="41"/>
        <v>HOUSTON TX 77009</v>
      </c>
    </row>
    <row r="1269" spans="1:8" x14ac:dyDescent="0.2">
      <c r="A1269" s="27">
        <f>COUNTIFS(C:C,C1269,D:D,D1269)</f>
        <v>1</v>
      </c>
      <c r="B1269" s="30">
        <v>202101157073</v>
      </c>
      <c r="C1269" t="s">
        <v>4068</v>
      </c>
      <c r="D1269" t="s">
        <v>4069</v>
      </c>
      <c r="E1269" t="s">
        <v>4889</v>
      </c>
      <c r="F1269" t="s">
        <v>78</v>
      </c>
      <c r="G1269" s="27" t="str">
        <f t="shared" si="40"/>
        <v>407 W GREENS RD  HOUSTON</v>
      </c>
      <c r="H1269" s="27" t="str">
        <f t="shared" si="41"/>
        <v>HOUSTON TX 77067</v>
      </c>
    </row>
    <row r="1270" spans="1:8" x14ac:dyDescent="0.2">
      <c r="A1270" s="27">
        <f>COUNTIFS(C:C,C1270,D:D,D1270)</f>
        <v>1</v>
      </c>
      <c r="B1270" s="30">
        <v>202101157075</v>
      </c>
      <c r="C1270" s="28" t="s">
        <v>1374</v>
      </c>
      <c r="D1270" s="28" t="s">
        <v>1375</v>
      </c>
      <c r="E1270" s="28" t="s">
        <v>4894</v>
      </c>
      <c r="F1270" s="28" t="s">
        <v>76</v>
      </c>
      <c r="G1270" s="27" t="str">
        <f t="shared" si="40"/>
        <v>4707 SIEGEL ST  HOUSTON</v>
      </c>
      <c r="H1270" s="27" t="str">
        <f t="shared" si="41"/>
        <v>HOUSTON TX 77009</v>
      </c>
    </row>
    <row r="1271" spans="1:8" x14ac:dyDescent="0.2">
      <c r="A1271" s="27">
        <f>COUNTIFS(C:C,C1271,D:D,D1271)</f>
        <v>1</v>
      </c>
      <c r="B1271" s="30">
        <v>202101157078</v>
      </c>
      <c r="C1271" s="28" t="s">
        <v>835</v>
      </c>
      <c r="D1271" s="28" t="s">
        <v>836</v>
      </c>
      <c r="E1271" s="28" t="s">
        <v>4854</v>
      </c>
      <c r="F1271" s="28" t="s">
        <v>279</v>
      </c>
      <c r="G1271" s="27" t="str">
        <f t="shared" si="40"/>
        <v>2219 LEE ST  HOUSTON</v>
      </c>
      <c r="H1271" s="27" t="str">
        <f t="shared" si="41"/>
        <v>HOUSTON TX 77026</v>
      </c>
    </row>
    <row r="1272" spans="1:8" x14ac:dyDescent="0.2">
      <c r="A1272" s="27">
        <f>COUNTIFS(C:C,C1272,D:D,D1272)</f>
        <v>1</v>
      </c>
      <c r="B1272" s="30">
        <v>202101157081</v>
      </c>
      <c r="C1272" s="28" t="s">
        <v>466</v>
      </c>
      <c r="D1272" s="28" t="s">
        <v>467</v>
      </c>
      <c r="E1272" s="28" t="s">
        <v>4862</v>
      </c>
      <c r="F1272" s="28" t="s">
        <v>98</v>
      </c>
      <c r="G1272" s="27" t="str">
        <f t="shared" si="40"/>
        <v>16354 ELLA BLVD  HOUSTON</v>
      </c>
      <c r="H1272" s="27" t="str">
        <f t="shared" si="41"/>
        <v>HOUSTON TX 77090</v>
      </c>
    </row>
    <row r="1273" spans="1:8" x14ac:dyDescent="0.2">
      <c r="A1273" s="27">
        <f>COUNTIFS(C:C,C1273,D:D,D1273)</f>
        <v>1</v>
      </c>
      <c r="B1273" s="30">
        <v>202101157082</v>
      </c>
      <c r="C1273" t="s">
        <v>3041</v>
      </c>
      <c r="D1273" t="s">
        <v>3042</v>
      </c>
      <c r="E1273" t="s">
        <v>4984</v>
      </c>
      <c r="F1273" t="s">
        <v>53</v>
      </c>
      <c r="G1273" s="27" t="str">
        <f t="shared" si="40"/>
        <v>2543 MONTANA BLUE DR  SPRING</v>
      </c>
      <c r="H1273" s="27" t="str">
        <f t="shared" si="41"/>
        <v>HOUSTON TX 77373</v>
      </c>
    </row>
    <row r="1274" spans="1:8" x14ac:dyDescent="0.2">
      <c r="A1274" s="27">
        <f>COUNTIFS(C:C,C1274,D:D,D1274)</f>
        <v>1</v>
      </c>
      <c r="B1274" s="30">
        <v>202101157085</v>
      </c>
      <c r="C1274" t="s">
        <v>4070</v>
      </c>
      <c r="D1274" t="s">
        <v>4071</v>
      </c>
      <c r="E1274" t="s">
        <v>4943</v>
      </c>
      <c r="F1274" t="s">
        <v>78</v>
      </c>
      <c r="G1274" s="27" t="str">
        <f t="shared" si="40"/>
        <v>16663 ROYAL MILE IB  HOUSTON</v>
      </c>
      <c r="H1274" s="27" t="str">
        <f t="shared" si="41"/>
        <v>HOUSTON TX 77084</v>
      </c>
    </row>
    <row r="1275" spans="1:8" x14ac:dyDescent="0.2">
      <c r="A1275" s="27">
        <f>COUNTIFS(C:C,C1275,D:D,D1275)</f>
        <v>1</v>
      </c>
      <c r="B1275" s="30">
        <v>202101157087</v>
      </c>
      <c r="C1275" t="s">
        <v>4072</v>
      </c>
      <c r="D1275" t="s">
        <v>4073</v>
      </c>
      <c r="E1275" t="s">
        <v>4851</v>
      </c>
      <c r="F1275" t="s">
        <v>78</v>
      </c>
      <c r="G1275" s="27" t="str">
        <f t="shared" si="40"/>
        <v>925 NORTHWOOD 7808  BAYTOWN</v>
      </c>
      <c r="H1275" s="27" t="str">
        <f t="shared" si="41"/>
        <v>HOUSTON TX 77521</v>
      </c>
    </row>
    <row r="1276" spans="1:8" x14ac:dyDescent="0.2">
      <c r="A1276" s="27">
        <f>COUNTIFS(C:C,C1276,D:D,D1276)</f>
        <v>1</v>
      </c>
      <c r="B1276" s="30">
        <v>202101157088</v>
      </c>
      <c r="C1276" s="28" t="s">
        <v>1107</v>
      </c>
      <c r="D1276" s="28" t="s">
        <v>1108</v>
      </c>
      <c r="E1276" s="28" t="s">
        <v>4865</v>
      </c>
      <c r="F1276" s="28" t="s">
        <v>157</v>
      </c>
      <c r="G1276" s="27" t="str">
        <f t="shared" si="40"/>
        <v>1108 NOBILITY DR  HOUSTON</v>
      </c>
      <c r="H1276" s="27" t="str">
        <f t="shared" si="41"/>
        <v xml:space="preserve">HOUSTON TX      </v>
      </c>
    </row>
    <row r="1277" spans="1:8" x14ac:dyDescent="0.2">
      <c r="A1277" s="27">
        <f>COUNTIFS(C:C,C1277,D:D,D1277)</f>
        <v>1</v>
      </c>
      <c r="B1277" s="30">
        <v>202101157090</v>
      </c>
      <c r="C1277" t="s">
        <v>4074</v>
      </c>
      <c r="D1277" t="s">
        <v>4075</v>
      </c>
      <c r="E1277" t="s">
        <v>4873</v>
      </c>
      <c r="F1277" t="s">
        <v>4843</v>
      </c>
      <c r="G1277" s="27" t="str">
        <f t="shared" si="40"/>
        <v>12726 CINDER CONE TRL  HOUSTON</v>
      </c>
      <c r="H1277" s="27" t="str">
        <f t="shared" si="41"/>
        <v>HOUSTON TX 77044</v>
      </c>
    </row>
    <row r="1278" spans="1:8" x14ac:dyDescent="0.2">
      <c r="A1278" s="27">
        <f>COUNTIFS(C:C,C1278,D:D,D1278)</f>
        <v>1</v>
      </c>
      <c r="B1278" s="30">
        <v>202101157093</v>
      </c>
      <c r="C1278" t="s">
        <v>2789</v>
      </c>
      <c r="D1278" t="s">
        <v>2790</v>
      </c>
      <c r="E1278" t="s">
        <v>4937</v>
      </c>
      <c r="F1278" t="s">
        <v>53</v>
      </c>
      <c r="G1278" s="27" t="str">
        <f t="shared" si="40"/>
        <v>6302 SCHEVERS ST  HOUSTON</v>
      </c>
      <c r="H1278" s="27" t="str">
        <f t="shared" si="41"/>
        <v>HOUSTON TX 77087</v>
      </c>
    </row>
    <row r="1279" spans="1:8" x14ac:dyDescent="0.2">
      <c r="A1279" s="27">
        <f>COUNTIFS(C:C,C1279,D:D,D1279)</f>
        <v>1</v>
      </c>
      <c r="B1279" s="30">
        <v>202101157096</v>
      </c>
      <c r="C1279" s="28" t="s">
        <v>1026</v>
      </c>
      <c r="D1279" s="28" t="s">
        <v>1027</v>
      </c>
      <c r="E1279" s="28" t="s">
        <v>4996</v>
      </c>
      <c r="F1279" s="28" t="s">
        <v>88</v>
      </c>
      <c r="G1279" s="27" t="str">
        <f t="shared" si="40"/>
        <v>2929 US 90  CROSBY</v>
      </c>
      <c r="H1279" s="27" t="str">
        <f t="shared" si="41"/>
        <v>HOUSTON TX 77352</v>
      </c>
    </row>
    <row r="1280" spans="1:8" x14ac:dyDescent="0.2">
      <c r="A1280" s="27">
        <f>COUNTIFS(C:C,C1280,D:D,D1280)</f>
        <v>1</v>
      </c>
      <c r="B1280" s="30">
        <v>202101157100</v>
      </c>
      <c r="C1280" t="s">
        <v>3009</v>
      </c>
      <c r="D1280" t="s">
        <v>3010</v>
      </c>
      <c r="E1280" t="s">
        <v>4858</v>
      </c>
      <c r="F1280" t="s">
        <v>66</v>
      </c>
      <c r="G1280" s="27" t="str">
        <f t="shared" si="40"/>
        <v>18206 TENASSERIM PINE TER RICHMOND</v>
      </c>
      <c r="H1280" s="27" t="str">
        <f t="shared" si="41"/>
        <v>HOUSTON TX 77469</v>
      </c>
    </row>
    <row r="1281" spans="1:8" x14ac:dyDescent="0.2">
      <c r="A1281" s="27">
        <f>COUNTIFS(C:C,C1281,D:D,D1281)</f>
        <v>1</v>
      </c>
      <c r="B1281" s="30">
        <v>202101157102</v>
      </c>
      <c r="C1281" s="28" t="s">
        <v>1650</v>
      </c>
      <c r="D1281" s="28" t="s">
        <v>1651</v>
      </c>
      <c r="E1281" s="28" t="s">
        <v>4915</v>
      </c>
      <c r="F1281" s="28" t="s">
        <v>319</v>
      </c>
      <c r="G1281" s="27" t="str">
        <f t="shared" si="40"/>
        <v>7812 TIERWESTER ST  HOUSTON</v>
      </c>
      <c r="H1281" s="27" t="str">
        <f t="shared" si="41"/>
        <v>HOUSTON TX 77021</v>
      </c>
    </row>
    <row r="1282" spans="1:8" x14ac:dyDescent="0.2">
      <c r="A1282" s="27">
        <f>COUNTIFS(C:C,C1282,D:D,D1282)</f>
        <v>1</v>
      </c>
      <c r="B1282" s="30">
        <v>202101157104</v>
      </c>
      <c r="C1282" s="28" t="s">
        <v>764</v>
      </c>
      <c r="D1282" s="28" t="s">
        <v>765</v>
      </c>
      <c r="E1282" s="28" t="s">
        <v>4874</v>
      </c>
      <c r="F1282" s="28" t="s">
        <v>88</v>
      </c>
      <c r="G1282" s="27" t="str">
        <f t="shared" si="40"/>
        <v>5611 HERON  HOUSTON</v>
      </c>
      <c r="H1282" s="27" t="str">
        <f t="shared" si="41"/>
        <v>HOUSTON TX 77033</v>
      </c>
    </row>
    <row r="1283" spans="1:8" x14ac:dyDescent="0.2">
      <c r="A1283" s="27">
        <f>COUNTIFS(C:C,C1283,D:D,D1283)</f>
        <v>1</v>
      </c>
      <c r="B1283" s="30">
        <v>202101157106</v>
      </c>
      <c r="C1283" s="28" t="s">
        <v>1436</v>
      </c>
      <c r="D1283" s="28" t="s">
        <v>1437</v>
      </c>
      <c r="E1283" s="28" t="s">
        <v>4862</v>
      </c>
      <c r="F1283" s="28" t="s">
        <v>67</v>
      </c>
      <c r="G1283" s="27" t="str">
        <f t="shared" si="40"/>
        <v>500 AIRTEX  HOUSTON</v>
      </c>
      <c r="H1283" s="27" t="str">
        <f t="shared" si="41"/>
        <v>HOUSTON TX 77090</v>
      </c>
    </row>
    <row r="1284" spans="1:8" x14ac:dyDescent="0.2">
      <c r="A1284" s="27">
        <f>COUNTIFS(C:C,C1284,D:D,D1284)</f>
        <v>1</v>
      </c>
      <c r="B1284" s="30">
        <v>202101157108</v>
      </c>
      <c r="C1284" s="28" t="s">
        <v>938</v>
      </c>
      <c r="D1284" s="28" t="s">
        <v>939</v>
      </c>
      <c r="E1284" s="28" t="s">
        <v>4986</v>
      </c>
      <c r="F1284" s="28" t="s">
        <v>163</v>
      </c>
      <c r="G1284" s="27" t="str">
        <f t="shared" si="40"/>
        <v>19702 DUNBAR AVE  HUMBLE</v>
      </c>
      <c r="H1284" s="27" t="str">
        <f t="shared" si="41"/>
        <v>HOUSTON TX 77338</v>
      </c>
    </row>
    <row r="1285" spans="1:8" x14ac:dyDescent="0.2">
      <c r="A1285" s="27">
        <f>COUNTIFS(C:C,C1285,D:D,D1285)</f>
        <v>1</v>
      </c>
      <c r="B1285" s="30">
        <v>202101157109</v>
      </c>
      <c r="C1285" t="s">
        <v>4078</v>
      </c>
      <c r="D1285" t="s">
        <v>4079</v>
      </c>
      <c r="E1285" t="s">
        <v>4871</v>
      </c>
      <c r="F1285" t="s">
        <v>53</v>
      </c>
      <c r="G1285" s="27" t="str">
        <f t="shared" si="40"/>
        <v>14001 SEWALK  HOUSTON</v>
      </c>
      <c r="H1285" s="27" t="str">
        <f t="shared" si="41"/>
        <v>HOUSTON TX 77047</v>
      </c>
    </row>
    <row r="1286" spans="1:8" x14ac:dyDescent="0.2">
      <c r="A1286" s="27">
        <f>COUNTIFS(C:C,C1286,D:D,D1286)</f>
        <v>1</v>
      </c>
      <c r="B1286" s="30">
        <v>202101157110</v>
      </c>
      <c r="C1286" t="s">
        <v>2053</v>
      </c>
      <c r="D1286" t="s">
        <v>2054</v>
      </c>
      <c r="E1286" t="s">
        <v>4903</v>
      </c>
      <c r="F1286" t="s">
        <v>71</v>
      </c>
      <c r="G1286" s="27" t="str">
        <f t="shared" si="40"/>
        <v>19908 WESTCLIFFE CT  CYPRESS</v>
      </c>
      <c r="H1286" s="27" t="str">
        <f t="shared" si="41"/>
        <v>HOUSTON TX 77433</v>
      </c>
    </row>
    <row r="1287" spans="1:8" x14ac:dyDescent="0.2">
      <c r="A1287" s="27">
        <f>COUNTIFS(C:C,C1287,D:D,D1287)</f>
        <v>1</v>
      </c>
      <c r="B1287" s="30">
        <v>202101157111</v>
      </c>
      <c r="C1287" t="s">
        <v>2324</v>
      </c>
      <c r="D1287" t="s">
        <v>2325</v>
      </c>
      <c r="E1287" t="s">
        <v>4939</v>
      </c>
      <c r="F1287" t="s">
        <v>79</v>
      </c>
      <c r="G1287" s="27" t="str">
        <f t="shared" si="40"/>
        <v>11000 CRESCENT MOON D R HOUSTON</v>
      </c>
      <c r="H1287" s="27" t="str">
        <f t="shared" si="41"/>
        <v>HOUSTON TX 77064</v>
      </c>
    </row>
    <row r="1288" spans="1:8" x14ac:dyDescent="0.2">
      <c r="A1288" s="27">
        <f>COUNTIFS(C:C,C1288,D:D,D1288)</f>
        <v>1</v>
      </c>
      <c r="B1288" s="30">
        <v>202101157115</v>
      </c>
      <c r="C1288" t="s">
        <v>2274</v>
      </c>
      <c r="D1288" t="s">
        <v>2275</v>
      </c>
      <c r="E1288" t="s">
        <v>5119</v>
      </c>
      <c r="F1288" t="s">
        <v>51</v>
      </c>
      <c r="G1288" s="27" t="str">
        <f t="shared" si="40"/>
        <v>2507 LAND BREEZE  MONT BELVI</v>
      </c>
      <c r="H1288" s="27" t="str">
        <f t="shared" si="41"/>
        <v>HOUSTON TX 77523</v>
      </c>
    </row>
    <row r="1289" spans="1:8" x14ac:dyDescent="0.2">
      <c r="A1289" s="27">
        <f>COUNTIFS(C:C,C1289,D:D,D1289)</f>
        <v>1</v>
      </c>
      <c r="B1289" s="30">
        <v>202101157116</v>
      </c>
      <c r="C1289" t="s">
        <v>4076</v>
      </c>
      <c r="D1289" t="s">
        <v>4077</v>
      </c>
      <c r="E1289" t="s">
        <v>4956</v>
      </c>
      <c r="F1289" t="s">
        <v>67</v>
      </c>
      <c r="G1289" s="27" t="str">
        <f t="shared" si="40"/>
        <v>16866 BIG REED DR  HUMBLE</v>
      </c>
      <c r="H1289" s="27" t="str">
        <f t="shared" si="41"/>
        <v>HOUSTON TX 77346</v>
      </c>
    </row>
    <row r="1290" spans="1:8" x14ac:dyDescent="0.2">
      <c r="A1290" s="27">
        <f>COUNTIFS(C:C,C1290,D:D,D1290)</f>
        <v>1</v>
      </c>
      <c r="B1290" s="30">
        <v>202101157123</v>
      </c>
      <c r="C1290" s="28" t="s">
        <v>752</v>
      </c>
      <c r="D1290" s="28" t="s">
        <v>753</v>
      </c>
      <c r="E1290" s="28" t="s">
        <v>4891</v>
      </c>
      <c r="F1290" s="28" t="s">
        <v>53</v>
      </c>
      <c r="G1290" s="27" t="str">
        <f t="shared" si="40"/>
        <v>2106 TWIN BROOK DR  HOUSTON</v>
      </c>
      <c r="H1290" s="27" t="str">
        <f t="shared" si="41"/>
        <v>HOUSTON TX 77088</v>
      </c>
    </row>
    <row r="1291" spans="1:8" x14ac:dyDescent="0.2">
      <c r="A1291" s="27">
        <f>COUNTIFS(C:C,C1291,D:D,D1291)</f>
        <v>1</v>
      </c>
      <c r="B1291" s="30">
        <v>202101157124</v>
      </c>
      <c r="C1291" t="s">
        <v>4080</v>
      </c>
      <c r="D1291" t="s">
        <v>4081</v>
      </c>
      <c r="E1291" t="s">
        <v>4869</v>
      </c>
      <c r="F1291" t="s">
        <v>67</v>
      </c>
      <c r="G1291" s="27" t="str">
        <f t="shared" si="40"/>
        <v>5050 YALE ST 225  HOUSTON</v>
      </c>
      <c r="H1291" s="27" t="str">
        <f t="shared" si="41"/>
        <v>HOUSTON TX 77018</v>
      </c>
    </row>
    <row r="1292" spans="1:8" x14ac:dyDescent="0.2">
      <c r="A1292" s="27">
        <f>COUNTIFS(C:C,C1292,D:D,D1292)</f>
        <v>1</v>
      </c>
      <c r="B1292" s="30">
        <v>202101157131</v>
      </c>
      <c r="C1292" t="s">
        <v>2759</v>
      </c>
      <c r="D1292" t="s">
        <v>2760</v>
      </c>
      <c r="E1292" t="s">
        <v>4966</v>
      </c>
      <c r="F1292" t="s">
        <v>88</v>
      </c>
      <c r="G1292" s="27" t="str">
        <f t="shared" si="40"/>
        <v>1310 WILDWOOD DR  DEER PARK</v>
      </c>
      <c r="H1292" s="27" t="str">
        <f t="shared" si="41"/>
        <v>HOUSTON TX 77536</v>
      </c>
    </row>
    <row r="1293" spans="1:8" x14ac:dyDescent="0.2">
      <c r="A1293" s="27">
        <f>COUNTIFS(C:C,C1293,D:D,D1293)</f>
        <v>1</v>
      </c>
      <c r="B1293" s="30">
        <v>202101157135</v>
      </c>
      <c r="C1293" t="s">
        <v>4082</v>
      </c>
      <c r="D1293" t="s">
        <v>4083</v>
      </c>
      <c r="E1293" t="s">
        <v>5247</v>
      </c>
      <c r="F1293" t="s">
        <v>87</v>
      </c>
      <c r="G1293" s="27" t="str">
        <f t="shared" si="40"/>
        <v>614 OAK RD  KEMAH</v>
      </c>
      <c r="H1293" s="27" t="str">
        <f t="shared" si="41"/>
        <v>HOUSTON TX 77656</v>
      </c>
    </row>
    <row r="1294" spans="1:8" x14ac:dyDescent="0.2">
      <c r="A1294" s="27">
        <f>COUNTIFS(C:C,C1294,D:D,D1294)</f>
        <v>1</v>
      </c>
      <c r="B1294" s="30">
        <v>202101157136</v>
      </c>
      <c r="C1294" t="s">
        <v>4084</v>
      </c>
      <c r="D1294" t="s">
        <v>4085</v>
      </c>
      <c r="E1294" t="s">
        <v>4898</v>
      </c>
      <c r="F1294" t="s">
        <v>79</v>
      </c>
      <c r="G1294" s="27" t="str">
        <f t="shared" si="40"/>
        <v>10901 TELEPHONE RD 15 3 HOUSTON</v>
      </c>
      <c r="H1294" s="27" t="str">
        <f t="shared" si="41"/>
        <v>HOUSTON TX 77075</v>
      </c>
    </row>
    <row r="1295" spans="1:8" x14ac:dyDescent="0.2">
      <c r="A1295" s="27">
        <f>COUNTIFS(C:C,C1295,D:D,D1295)</f>
        <v>1</v>
      </c>
      <c r="B1295" s="30">
        <v>202101157142</v>
      </c>
      <c r="C1295" t="s">
        <v>2532</v>
      </c>
      <c r="D1295" t="s">
        <v>2533</v>
      </c>
      <c r="E1295" t="s">
        <v>4914</v>
      </c>
      <c r="F1295" t="s">
        <v>88</v>
      </c>
      <c r="G1295" s="27" t="str">
        <f t="shared" si="40"/>
        <v>2301 HAYES ROAD  HOUSTON</v>
      </c>
      <c r="H1295" s="27" t="str">
        <f t="shared" si="41"/>
        <v>HOUSTON TX 77077</v>
      </c>
    </row>
    <row r="1296" spans="1:8" x14ac:dyDescent="0.2">
      <c r="A1296" s="27">
        <f>COUNTIFS(C:C,C1296,D:D,D1296)</f>
        <v>1</v>
      </c>
      <c r="B1296" s="30">
        <v>202101157143</v>
      </c>
      <c r="C1296" s="28" t="s">
        <v>936</v>
      </c>
      <c r="D1296" s="28" t="s">
        <v>937</v>
      </c>
      <c r="E1296" s="28" t="s">
        <v>4985</v>
      </c>
      <c r="F1296" s="28" t="s">
        <v>79</v>
      </c>
      <c r="G1296" s="27" t="str">
        <f t="shared" si="40"/>
        <v>1601 COUGAR CREEK ST  CONROE</v>
      </c>
      <c r="H1296" s="27" t="str">
        <f t="shared" si="41"/>
        <v>HOUSTON TX 77385</v>
      </c>
    </row>
    <row r="1297" spans="1:8" x14ac:dyDescent="0.2">
      <c r="A1297" s="27">
        <f>COUNTIFS(C:C,C1297,D:D,D1297)</f>
        <v>1</v>
      </c>
      <c r="B1297" s="30">
        <v>202101157146</v>
      </c>
      <c r="C1297" t="s">
        <v>2103</v>
      </c>
      <c r="D1297" t="s">
        <v>2104</v>
      </c>
      <c r="E1297" t="s">
        <v>4986</v>
      </c>
      <c r="F1297" t="s">
        <v>53</v>
      </c>
      <c r="G1297" s="27" t="str">
        <f t="shared" si="40"/>
        <v>1230 E FM 1960 BYP  HUMBLE</v>
      </c>
      <c r="H1297" s="27" t="str">
        <f t="shared" si="41"/>
        <v>HOUSTON TX 77338</v>
      </c>
    </row>
    <row r="1298" spans="1:8" x14ac:dyDescent="0.2">
      <c r="A1298" s="27">
        <f>COUNTIFS(C:C,C1298,D:D,D1298)</f>
        <v>1</v>
      </c>
      <c r="B1298" s="30">
        <v>202101157152</v>
      </c>
      <c r="C1298" s="28" t="s">
        <v>1927</v>
      </c>
      <c r="D1298" s="28" t="s">
        <v>1928</v>
      </c>
      <c r="E1298" s="28" t="s">
        <v>4951</v>
      </c>
      <c r="F1298" s="28" t="s">
        <v>66</v>
      </c>
      <c r="G1298" s="27" t="str">
        <f t="shared" si="40"/>
        <v>8200 SUNBURY LANE AP T 409S HOUSTON</v>
      </c>
      <c r="H1298" s="27" t="str">
        <f t="shared" si="41"/>
        <v>HOUSTON TX 77095</v>
      </c>
    </row>
    <row r="1299" spans="1:8" x14ac:dyDescent="0.2">
      <c r="A1299" s="27">
        <f>COUNTIFS(C:C,C1299,D:D,D1299)</f>
        <v>1</v>
      </c>
      <c r="B1299" s="30">
        <v>202101157153</v>
      </c>
      <c r="C1299" t="s">
        <v>3348</v>
      </c>
      <c r="D1299" t="s">
        <v>850</v>
      </c>
      <c r="E1299" t="s">
        <v>4889</v>
      </c>
      <c r="F1299" t="s">
        <v>96</v>
      </c>
      <c r="G1299" s="27" t="str">
        <f t="shared" si="40"/>
        <v>11201 VETERANS MEMORI AL DR HOUSTON</v>
      </c>
      <c r="H1299" s="27" t="str">
        <f t="shared" si="41"/>
        <v>HOUSTON TX 77067</v>
      </c>
    </row>
    <row r="1300" spans="1:8" x14ac:dyDescent="0.2">
      <c r="A1300" s="27">
        <f>COUNTIFS(C:C,C1300,D:D,D1300)</f>
        <v>1</v>
      </c>
      <c r="B1300" s="30">
        <v>202101157165</v>
      </c>
      <c r="C1300" t="s">
        <v>3413</v>
      </c>
      <c r="D1300" t="s">
        <v>3414</v>
      </c>
      <c r="E1300" t="s">
        <v>4850</v>
      </c>
      <c r="F1300" t="s">
        <v>72</v>
      </c>
      <c r="G1300" s="27" t="str">
        <f t="shared" si="40"/>
        <v>10501 SOUTHPORT DR  HOUSTON</v>
      </c>
      <c r="H1300" s="27" t="str">
        <f t="shared" si="41"/>
        <v>HOUSTON TX 77089</v>
      </c>
    </row>
    <row r="1301" spans="1:8" x14ac:dyDescent="0.2">
      <c r="A1301" s="27">
        <f>COUNTIFS(C:C,C1301,D:D,D1301)</f>
        <v>1</v>
      </c>
      <c r="B1301" s="30">
        <v>202101157166</v>
      </c>
      <c r="C1301" t="s">
        <v>4088</v>
      </c>
      <c r="D1301" t="s">
        <v>4089</v>
      </c>
      <c r="E1301" t="s">
        <v>4986</v>
      </c>
      <c r="F1301" t="s">
        <v>88</v>
      </c>
      <c r="G1301" s="27" t="str">
        <f t="shared" si="40"/>
        <v>10211 FIELDTREE DRIVE  HUMBLE</v>
      </c>
      <c r="H1301" s="27" t="str">
        <f t="shared" si="41"/>
        <v>HOUSTON TX 77338</v>
      </c>
    </row>
    <row r="1302" spans="1:8" x14ac:dyDescent="0.2">
      <c r="A1302" s="27">
        <f>COUNTIFS(C:C,C1302,D:D,D1302)</f>
        <v>1</v>
      </c>
      <c r="B1302" s="30">
        <v>202101157167</v>
      </c>
      <c r="C1302" t="s">
        <v>2811</v>
      </c>
      <c r="D1302" t="s">
        <v>2812</v>
      </c>
      <c r="E1302" t="s">
        <v>4865</v>
      </c>
      <c r="F1302" t="s">
        <v>59</v>
      </c>
      <c r="G1302" s="27" t="str">
        <f t="shared" si="40"/>
        <v>7123 QUINCE ST  HOUSTON</v>
      </c>
      <c r="H1302" s="27" t="str">
        <f t="shared" si="41"/>
        <v xml:space="preserve">HOUSTON TX      </v>
      </c>
    </row>
    <row r="1303" spans="1:8" x14ac:dyDescent="0.2">
      <c r="A1303" s="27">
        <f>COUNTIFS(C:C,C1303,D:D,D1303)</f>
        <v>1</v>
      </c>
      <c r="B1303" s="30">
        <v>202101157170</v>
      </c>
      <c r="C1303" t="s">
        <v>3212</v>
      </c>
      <c r="D1303" t="s">
        <v>3213</v>
      </c>
      <c r="E1303" t="s">
        <v>4952</v>
      </c>
      <c r="F1303" t="s">
        <v>88</v>
      </c>
      <c r="G1303" s="27" t="str">
        <f t="shared" si="40"/>
        <v>347 RICHEY ST APT 7 4 PASADENA</v>
      </c>
      <c r="H1303" s="27" t="str">
        <f t="shared" si="41"/>
        <v>HOUSTON TX 77506</v>
      </c>
    </row>
    <row r="1304" spans="1:8" x14ac:dyDescent="0.2">
      <c r="A1304" s="27">
        <f>COUNTIFS(C:C,C1304,D:D,D1304)</f>
        <v>1</v>
      </c>
      <c r="B1304" s="30">
        <v>202101157171</v>
      </c>
      <c r="C1304" t="s">
        <v>4086</v>
      </c>
      <c r="D1304" t="s">
        <v>4087</v>
      </c>
      <c r="E1304" t="s">
        <v>5077</v>
      </c>
      <c r="F1304" t="s">
        <v>86</v>
      </c>
      <c r="G1304" s="27" t="str">
        <f t="shared" si="40"/>
        <v>12300 FLEMING DR  HOUSTON</v>
      </c>
      <c r="H1304" s="27" t="str">
        <f t="shared" si="41"/>
        <v>HOUSTON TX 77013</v>
      </c>
    </row>
    <row r="1305" spans="1:8" x14ac:dyDescent="0.2">
      <c r="A1305" s="27">
        <f>COUNTIFS(C:C,C1305,D:D,D1305)</f>
        <v>1</v>
      </c>
      <c r="B1305" s="30">
        <v>202101157178</v>
      </c>
      <c r="C1305" t="s">
        <v>2063</v>
      </c>
      <c r="D1305" t="s">
        <v>2064</v>
      </c>
      <c r="E1305" t="s">
        <v>4875</v>
      </c>
      <c r="F1305" t="s">
        <v>53</v>
      </c>
      <c r="G1305" s="27" t="str">
        <f t="shared" si="40"/>
        <v>2200 TIDWELL RD  HOUSTON</v>
      </c>
      <c r="H1305" s="27" t="str">
        <f t="shared" si="41"/>
        <v>HOUSTON TX 77093</v>
      </c>
    </row>
    <row r="1306" spans="1:8" x14ac:dyDescent="0.2">
      <c r="A1306" s="27">
        <f>COUNTIFS(C:C,C1306,D:D,D1306)</f>
        <v>1</v>
      </c>
      <c r="B1306" s="30">
        <v>202101157179</v>
      </c>
      <c r="C1306" t="s">
        <v>2613</v>
      </c>
      <c r="D1306" t="s">
        <v>2614</v>
      </c>
      <c r="E1306" t="s">
        <v>4865</v>
      </c>
      <c r="F1306" t="s">
        <v>4809</v>
      </c>
      <c r="G1306" s="27" t="str">
        <f t="shared" si="40"/>
        <v>12843 ABALONE WAY  HOUSTON</v>
      </c>
      <c r="H1306" s="27" t="str">
        <f t="shared" si="41"/>
        <v xml:space="preserve">HOUSTON TX      </v>
      </c>
    </row>
    <row r="1307" spans="1:8" x14ac:dyDescent="0.2">
      <c r="A1307" s="27">
        <f>COUNTIFS(C:C,C1307,D:D,D1307)</f>
        <v>1</v>
      </c>
      <c r="B1307" s="30">
        <v>202101157180</v>
      </c>
      <c r="C1307" s="28" t="s">
        <v>1577</v>
      </c>
      <c r="D1307" s="28" t="s">
        <v>1578</v>
      </c>
      <c r="E1307" s="28" t="s">
        <v>4952</v>
      </c>
      <c r="F1307" s="28" t="s">
        <v>61</v>
      </c>
      <c r="G1307" s="27" t="str">
        <f t="shared" si="40"/>
        <v>2001 JENKINS  PASADENA</v>
      </c>
      <c r="H1307" s="27" t="str">
        <f t="shared" si="41"/>
        <v>HOUSTON TX 77506</v>
      </c>
    </row>
    <row r="1308" spans="1:8" x14ac:dyDescent="0.2">
      <c r="A1308" s="27">
        <f>COUNTIFS(C:C,C1308,D:D,D1308)</f>
        <v>1</v>
      </c>
      <c r="B1308" s="30">
        <v>202101157181</v>
      </c>
      <c r="C1308" s="28" t="s">
        <v>1269</v>
      </c>
      <c r="D1308" s="28" t="s">
        <v>1270</v>
      </c>
      <c r="E1308" s="28" t="s">
        <v>4882</v>
      </c>
      <c r="F1308" s="28" t="s">
        <v>169</v>
      </c>
      <c r="G1308" s="27" t="str">
        <f t="shared" si="40"/>
        <v>22943 PRECIOUS PL  SPRING</v>
      </c>
      <c r="H1308" s="27" t="str">
        <f t="shared" si="41"/>
        <v>HOUSTON TX 77389</v>
      </c>
    </row>
    <row r="1309" spans="1:8" x14ac:dyDescent="0.2">
      <c r="A1309" s="27">
        <f>COUNTIFS(C:C,C1309,D:D,D1309)</f>
        <v>1</v>
      </c>
      <c r="B1309" s="30">
        <v>202101157183</v>
      </c>
      <c r="C1309" s="28" t="s">
        <v>482</v>
      </c>
      <c r="D1309" s="28" t="s">
        <v>483</v>
      </c>
      <c r="E1309" s="28" t="s">
        <v>4882</v>
      </c>
      <c r="F1309" s="28" t="s">
        <v>169</v>
      </c>
      <c r="G1309" s="27" t="str">
        <f t="shared" si="40"/>
        <v>4926 FOX HOLLOW BLVD  SPRING</v>
      </c>
      <c r="H1309" s="27" t="str">
        <f t="shared" si="41"/>
        <v>HOUSTON TX 77389</v>
      </c>
    </row>
    <row r="1310" spans="1:8" x14ac:dyDescent="0.2">
      <c r="A1310" s="27">
        <f>COUNTIFS(C:C,C1310,D:D,D1310)</f>
        <v>1</v>
      </c>
      <c r="B1310" s="30">
        <v>202101157187</v>
      </c>
      <c r="C1310" s="28" t="s">
        <v>902</v>
      </c>
      <c r="D1310" s="28" t="s">
        <v>903</v>
      </c>
      <c r="E1310" s="28" t="s">
        <v>4900</v>
      </c>
      <c r="F1310" s="28" t="s">
        <v>169</v>
      </c>
      <c r="G1310" s="27" t="str">
        <f t="shared" si="40"/>
        <v>22602 CAPITOL LANDING  KATY</v>
      </c>
      <c r="H1310" s="27" t="str">
        <f t="shared" si="41"/>
        <v>HOUSTON TX 77449</v>
      </c>
    </row>
    <row r="1311" spans="1:8" x14ac:dyDescent="0.2">
      <c r="A1311" s="27">
        <f>COUNTIFS(C:C,C1311,D:D,D1311)</f>
        <v>1</v>
      </c>
      <c r="B1311" s="30">
        <v>202101157193</v>
      </c>
      <c r="C1311" s="28" t="s">
        <v>1770</v>
      </c>
      <c r="D1311" s="28" t="s">
        <v>1771</v>
      </c>
      <c r="E1311" s="28" t="s">
        <v>4915</v>
      </c>
      <c r="F1311" s="28" t="s">
        <v>78</v>
      </c>
      <c r="G1311" s="27" t="str">
        <f t="shared" si="40"/>
        <v>7247 ST AUGUSTINE  HOUSTON</v>
      </c>
      <c r="H1311" s="27" t="str">
        <f t="shared" si="41"/>
        <v>HOUSTON TX 77021</v>
      </c>
    </row>
    <row r="1312" spans="1:8" x14ac:dyDescent="0.2">
      <c r="A1312" s="27">
        <f>COUNTIFS(C:C,C1312,D:D,D1312)</f>
        <v>1</v>
      </c>
      <c r="B1312" s="30">
        <v>202101157194</v>
      </c>
      <c r="C1312" t="s">
        <v>3179</v>
      </c>
      <c r="D1312" t="s">
        <v>3180</v>
      </c>
      <c r="E1312" t="s">
        <v>4851</v>
      </c>
      <c r="F1312" t="s">
        <v>69</v>
      </c>
      <c r="G1312" s="27" t="str">
        <f t="shared" si="40"/>
        <v>7526 ANN DR  BAYTOWN</v>
      </c>
      <c r="H1312" s="27" t="str">
        <f t="shared" si="41"/>
        <v>HOUSTON TX 77521</v>
      </c>
    </row>
    <row r="1313" spans="1:8" x14ac:dyDescent="0.2">
      <c r="A1313" s="27">
        <f>COUNTIFS(C:C,C1313,D:D,D1313)</f>
        <v>1</v>
      </c>
      <c r="B1313" s="30">
        <v>202101157197</v>
      </c>
      <c r="C1313" s="28" t="s">
        <v>1855</v>
      </c>
      <c r="D1313" s="28" t="s">
        <v>1856</v>
      </c>
      <c r="E1313" s="28" t="s">
        <v>4991</v>
      </c>
      <c r="F1313" s="28" t="s">
        <v>327</v>
      </c>
      <c r="G1313" s="27" t="str">
        <f t="shared" si="40"/>
        <v>11201 OLYMPIA DR 2704  HOUSTON</v>
      </c>
      <c r="H1313" s="27" t="str">
        <f t="shared" si="41"/>
        <v>HOUSTON TX 77042</v>
      </c>
    </row>
    <row r="1314" spans="1:8" x14ac:dyDescent="0.2">
      <c r="A1314" s="27">
        <f>COUNTIFS(C:C,C1314,D:D,D1314)</f>
        <v>1</v>
      </c>
      <c r="B1314" s="30">
        <v>202101157199</v>
      </c>
      <c r="C1314" t="s">
        <v>2040</v>
      </c>
      <c r="D1314" t="s">
        <v>2041</v>
      </c>
      <c r="E1314" t="s">
        <v>4969</v>
      </c>
      <c r="F1314" t="s">
        <v>79</v>
      </c>
      <c r="G1314" s="27" t="str">
        <f t="shared" si="40"/>
        <v>10122 BERRYPATCH LN  TOMBALL</v>
      </c>
      <c r="H1314" s="27" t="str">
        <f t="shared" si="41"/>
        <v>HOUSTON TX 77375</v>
      </c>
    </row>
    <row r="1315" spans="1:8" x14ac:dyDescent="0.2">
      <c r="A1315" s="27">
        <f>COUNTIFS(C:C,C1315,D:D,D1315)</f>
        <v>1</v>
      </c>
      <c r="B1315" s="30">
        <v>202101157201</v>
      </c>
      <c r="C1315" t="s">
        <v>2276</v>
      </c>
      <c r="D1315" t="s">
        <v>2277</v>
      </c>
      <c r="E1315" t="s">
        <v>5080</v>
      </c>
      <c r="F1315" t="s">
        <v>64</v>
      </c>
      <c r="G1315" s="27" t="str">
        <f t="shared" si="40"/>
        <v>1919 STEBBINS DR  HOUSTON</v>
      </c>
      <c r="H1315" s="27" t="str">
        <f t="shared" si="41"/>
        <v>HOUSTON TX 77043</v>
      </c>
    </row>
    <row r="1316" spans="1:8" x14ac:dyDescent="0.2">
      <c r="A1316" s="27">
        <f>COUNTIFS(C:C,C1316,D:D,D1316)</f>
        <v>1</v>
      </c>
      <c r="B1316" s="30">
        <v>202101157202</v>
      </c>
      <c r="C1316" t="s">
        <v>2592</v>
      </c>
      <c r="D1316" t="s">
        <v>2593</v>
      </c>
      <c r="E1316" t="s">
        <v>4908</v>
      </c>
      <c r="F1316" t="s">
        <v>75</v>
      </c>
      <c r="G1316" s="27" t="str">
        <f t="shared" si="40"/>
        <v>17703 WEST STRACK  SPRING</v>
      </c>
      <c r="H1316" s="27" t="str">
        <f t="shared" si="41"/>
        <v>HOUSTON TX 77379</v>
      </c>
    </row>
    <row r="1317" spans="1:8" x14ac:dyDescent="0.2">
      <c r="A1317" s="27">
        <f>COUNTIFS(C:C,C1317,D:D,D1317)</f>
        <v>1</v>
      </c>
      <c r="B1317" s="30">
        <v>202101157206</v>
      </c>
      <c r="C1317" t="s">
        <v>3027</v>
      </c>
      <c r="D1317" t="s">
        <v>3028</v>
      </c>
      <c r="E1317" t="s">
        <v>4852</v>
      </c>
      <c r="F1317" t="s">
        <v>358</v>
      </c>
      <c r="G1317" s="27" t="str">
        <f t="shared" si="40"/>
        <v>10626 WOLBROOK ST  HOUSTON</v>
      </c>
      <c r="H1317" s="27" t="str">
        <f t="shared" si="41"/>
        <v>HOUSTON TX 77016</v>
      </c>
    </row>
    <row r="1318" spans="1:8" x14ac:dyDescent="0.2">
      <c r="A1318" s="27">
        <f>COUNTIFS(C:C,C1318,D:D,D1318)</f>
        <v>1</v>
      </c>
      <c r="B1318" s="30">
        <v>202101157208</v>
      </c>
      <c r="C1318" t="s">
        <v>2609</v>
      </c>
      <c r="D1318" t="s">
        <v>2610</v>
      </c>
      <c r="E1318" t="s">
        <v>4933</v>
      </c>
      <c r="F1318" t="s">
        <v>170</v>
      </c>
      <c r="G1318" s="27" t="str">
        <f t="shared" si="40"/>
        <v>10050 WARWANA RD  HOUSTON</v>
      </c>
      <c r="H1318" s="27" t="str">
        <f t="shared" si="41"/>
        <v>HOUSTON TX 77080</v>
      </c>
    </row>
    <row r="1319" spans="1:8" x14ac:dyDescent="0.2">
      <c r="A1319" s="27">
        <f>COUNTIFS(C:C,C1319,D:D,D1319)</f>
        <v>1</v>
      </c>
      <c r="B1319" s="30">
        <v>202101157212</v>
      </c>
      <c r="C1319" s="28" t="s">
        <v>1354</v>
      </c>
      <c r="D1319" s="28" t="s">
        <v>1355</v>
      </c>
      <c r="E1319" s="28" t="s">
        <v>4909</v>
      </c>
      <c r="F1319" s="28" t="s">
        <v>86</v>
      </c>
      <c r="G1319" s="27" t="str">
        <f t="shared" si="40"/>
        <v>15439 CAMPDEN HILL  HOUSTON</v>
      </c>
      <c r="H1319" s="27" t="str">
        <f t="shared" si="41"/>
        <v>HOUSTON TX 77053</v>
      </c>
    </row>
    <row r="1320" spans="1:8" x14ac:dyDescent="0.2">
      <c r="A1320" s="27">
        <f>COUNTIFS(C:C,C1320,D:D,D1320)</f>
        <v>1</v>
      </c>
      <c r="B1320" s="30">
        <v>202101157213</v>
      </c>
      <c r="C1320" t="s">
        <v>3158</v>
      </c>
      <c r="D1320" t="s">
        <v>3159</v>
      </c>
      <c r="E1320" t="s">
        <v>4977</v>
      </c>
      <c r="F1320" t="s">
        <v>166</v>
      </c>
      <c r="G1320" s="27" t="str">
        <f t="shared" si="40"/>
        <v>1400 WINROCK BLVD  HOUSTON</v>
      </c>
      <c r="H1320" s="27" t="str">
        <f t="shared" si="41"/>
        <v>HOUSTON TX 77057</v>
      </c>
    </row>
    <row r="1321" spans="1:8" x14ac:dyDescent="0.2">
      <c r="A1321" s="27">
        <f>COUNTIFS(C:C,C1321,D:D,D1321)</f>
        <v>1</v>
      </c>
      <c r="B1321" s="30">
        <v>202101157218</v>
      </c>
      <c r="C1321" t="s">
        <v>2767</v>
      </c>
      <c r="D1321" t="s">
        <v>2768</v>
      </c>
      <c r="E1321" t="s">
        <v>4903</v>
      </c>
      <c r="F1321" t="s">
        <v>343</v>
      </c>
      <c r="G1321" s="27" t="str">
        <f t="shared" si="40"/>
        <v>20718 BANNER MEADOW L N CYPRESS</v>
      </c>
      <c r="H1321" s="27" t="str">
        <f t="shared" si="41"/>
        <v>HOUSTON TX 77433</v>
      </c>
    </row>
    <row r="1322" spans="1:8" x14ac:dyDescent="0.2">
      <c r="A1322" s="27">
        <f>COUNTIFS(C:C,C1322,D:D,D1322)</f>
        <v>1</v>
      </c>
      <c r="B1322" s="30">
        <v>202101157220</v>
      </c>
      <c r="C1322" t="s">
        <v>3370</v>
      </c>
      <c r="D1322" t="s">
        <v>3371</v>
      </c>
      <c r="E1322" t="s">
        <v>4978</v>
      </c>
      <c r="F1322" t="s">
        <v>80</v>
      </c>
      <c r="G1322" s="27" t="str">
        <f t="shared" ref="G1322:G1385" si="42">D1322&amp;" "&amp;MID(E1322,1,FIND(" TX",E1322)-1)</f>
        <v>10515 ROCKCREST DR  HOUSTON</v>
      </c>
      <c r="H1322" s="27" t="str">
        <f t="shared" ref="H1322:H1385" si="43">"HOUSTON "&amp;MID(E1322,FIND("TX",E1322),8)</f>
        <v>HOUSTON TX 77041</v>
      </c>
    </row>
    <row r="1323" spans="1:8" x14ac:dyDescent="0.2">
      <c r="A1323" s="27">
        <f>COUNTIFS(C:C,C1323,D:D,D1323)</f>
        <v>1</v>
      </c>
      <c r="B1323" s="30">
        <v>202101157221</v>
      </c>
      <c r="C1323" t="s">
        <v>1975</v>
      </c>
      <c r="D1323" t="s">
        <v>1976</v>
      </c>
      <c r="E1323" t="s">
        <v>4872</v>
      </c>
      <c r="F1323" t="s">
        <v>79</v>
      </c>
      <c r="G1323" s="27" t="str">
        <f t="shared" si="42"/>
        <v>8205 CRESTVIEW DR  HOUSTON</v>
      </c>
      <c r="H1323" s="27" t="str">
        <f t="shared" si="43"/>
        <v>HOUSTON TX 77028</v>
      </c>
    </row>
    <row r="1324" spans="1:8" x14ac:dyDescent="0.2">
      <c r="A1324" s="27">
        <f>COUNTIFS(C:C,C1324,D:D,D1324)</f>
        <v>1</v>
      </c>
      <c r="B1324" s="30">
        <v>202101157223</v>
      </c>
      <c r="C1324" t="s">
        <v>3061</v>
      </c>
      <c r="D1324" t="s">
        <v>3062</v>
      </c>
      <c r="E1324" t="s">
        <v>5168</v>
      </c>
      <c r="F1324" t="s">
        <v>71</v>
      </c>
      <c r="G1324" s="27" t="str">
        <f t="shared" si="42"/>
        <v>11903 DINOSAUR VALLEY DR SUGARLAND</v>
      </c>
      <c r="H1324" s="27" t="str">
        <f t="shared" si="43"/>
        <v>HOUSTON TX 77498</v>
      </c>
    </row>
    <row r="1325" spans="1:8" x14ac:dyDescent="0.2">
      <c r="A1325" s="27">
        <f>COUNTIFS(C:C,C1325,D:D,D1325)</f>
        <v>1</v>
      </c>
      <c r="B1325" s="30">
        <v>202101157224</v>
      </c>
      <c r="C1325" t="s">
        <v>4092</v>
      </c>
      <c r="D1325" t="s">
        <v>4093</v>
      </c>
      <c r="E1325" t="s">
        <v>5023</v>
      </c>
      <c r="F1325" t="s">
        <v>53</v>
      </c>
      <c r="G1325" s="27" t="str">
        <f t="shared" si="42"/>
        <v>2222 WESTERLAND DR 6 4 HOUSTON</v>
      </c>
      <c r="H1325" s="27" t="str">
        <f t="shared" si="43"/>
        <v>HOUSTON TX 77063</v>
      </c>
    </row>
    <row r="1326" spans="1:8" x14ac:dyDescent="0.2">
      <c r="A1326" s="27">
        <f>COUNTIFS(C:C,C1326,D:D,D1326)</f>
        <v>1</v>
      </c>
      <c r="B1326" s="30">
        <v>202101157225</v>
      </c>
      <c r="C1326" t="s">
        <v>4094</v>
      </c>
      <c r="D1326" t="s">
        <v>4095</v>
      </c>
      <c r="E1326" t="s">
        <v>5248</v>
      </c>
      <c r="F1326" t="s">
        <v>72</v>
      </c>
      <c r="G1326" s="27" t="e">
        <f t="shared" si="42"/>
        <v>#VALUE!</v>
      </c>
      <c r="H1326" s="27" t="e">
        <f t="shared" si="43"/>
        <v>#VALUE!</v>
      </c>
    </row>
    <row r="1327" spans="1:8" x14ac:dyDescent="0.2">
      <c r="A1327" s="27">
        <f>COUNTIFS(C:C,C1327,D:D,D1327)</f>
        <v>1</v>
      </c>
      <c r="B1327" s="30">
        <v>202101157226</v>
      </c>
      <c r="C1327" t="s">
        <v>4096</v>
      </c>
      <c r="D1327" t="s">
        <v>4097</v>
      </c>
      <c r="E1327" t="s">
        <v>4851</v>
      </c>
      <c r="F1327" t="s">
        <v>51</v>
      </c>
      <c r="G1327" s="27" t="str">
        <f t="shared" si="42"/>
        <v>10026 LYNNWOOD  BAYTOWN</v>
      </c>
      <c r="H1327" s="27" t="str">
        <f t="shared" si="43"/>
        <v>HOUSTON TX 77521</v>
      </c>
    </row>
    <row r="1328" spans="1:8" x14ac:dyDescent="0.2">
      <c r="A1328" s="27">
        <f>COUNTIFS(C:C,C1328,D:D,D1328)</f>
        <v>1</v>
      </c>
      <c r="B1328" s="30">
        <v>202101157227</v>
      </c>
      <c r="C1328" s="28" t="s">
        <v>694</v>
      </c>
      <c r="D1328" s="28" t="s">
        <v>695</v>
      </c>
      <c r="E1328" s="28" t="s">
        <v>4871</v>
      </c>
      <c r="F1328" s="28" t="s">
        <v>56</v>
      </c>
      <c r="G1328" s="27" t="str">
        <f t="shared" si="42"/>
        <v>11905 PRINCESS GARDEN WAY HOUSTON</v>
      </c>
      <c r="H1328" s="27" t="str">
        <f t="shared" si="43"/>
        <v>HOUSTON TX 77047</v>
      </c>
    </row>
    <row r="1329" spans="1:8" x14ac:dyDescent="0.2">
      <c r="A1329" s="27">
        <f>COUNTIFS(C:C,C1329,D:D,D1329)</f>
        <v>1</v>
      </c>
      <c r="B1329" s="30">
        <v>202101157229</v>
      </c>
      <c r="C1329" s="28" t="s">
        <v>1795</v>
      </c>
      <c r="D1329" s="28" t="s">
        <v>1796</v>
      </c>
      <c r="E1329" s="28" t="s">
        <v>4869</v>
      </c>
      <c r="F1329" s="28" t="s">
        <v>53</v>
      </c>
      <c r="G1329" s="27" t="str">
        <f t="shared" si="42"/>
        <v>325 E 38TH STREET  HOUSTON</v>
      </c>
      <c r="H1329" s="27" t="str">
        <f t="shared" si="43"/>
        <v>HOUSTON TX 77018</v>
      </c>
    </row>
    <row r="1330" spans="1:8" x14ac:dyDescent="0.2">
      <c r="A1330" s="27">
        <f>COUNTIFS(C:C,C1330,D:D,D1330)</f>
        <v>1</v>
      </c>
      <c r="B1330" s="30">
        <v>202101157230</v>
      </c>
      <c r="C1330" s="28" t="s">
        <v>1060</v>
      </c>
      <c r="D1330" s="28" t="s">
        <v>1061</v>
      </c>
      <c r="E1330" s="28" t="s">
        <v>4930</v>
      </c>
      <c r="F1330" s="28" t="s">
        <v>53</v>
      </c>
      <c r="G1330" s="27" t="str">
        <f t="shared" si="42"/>
        <v>10250 FLAXMAN  JACINTO CI</v>
      </c>
      <c r="H1330" s="27" t="str">
        <f t="shared" si="43"/>
        <v>HOUSTON TX 77029</v>
      </c>
    </row>
    <row r="1331" spans="1:8" x14ac:dyDescent="0.2">
      <c r="A1331" s="27">
        <f>COUNTIFS(C:C,C1331,D:D,D1331)</f>
        <v>1</v>
      </c>
      <c r="B1331" s="30">
        <v>202101157231</v>
      </c>
      <c r="C1331" t="s">
        <v>4098</v>
      </c>
      <c r="D1331" t="s">
        <v>4099</v>
      </c>
      <c r="E1331" t="s">
        <v>4890</v>
      </c>
      <c r="F1331" t="s">
        <v>51</v>
      </c>
      <c r="G1331" s="27" t="str">
        <f t="shared" si="42"/>
        <v>8501 BROADWAY ST 310 1 HOUSTON</v>
      </c>
      <c r="H1331" s="27" t="str">
        <f t="shared" si="43"/>
        <v>HOUSTON TX 77061</v>
      </c>
    </row>
    <row r="1332" spans="1:8" x14ac:dyDescent="0.2">
      <c r="A1332" s="27">
        <f>COUNTIFS(C:C,C1332,D:D,D1332)</f>
        <v>1</v>
      </c>
      <c r="B1332" s="30">
        <v>202101157232</v>
      </c>
      <c r="C1332" t="s">
        <v>2867</v>
      </c>
      <c r="D1332" t="s">
        <v>2868</v>
      </c>
      <c r="E1332" t="s">
        <v>4901</v>
      </c>
      <c r="F1332" t="s">
        <v>4820</v>
      </c>
      <c r="G1332" s="27" t="str">
        <f t="shared" si="42"/>
        <v>10555 SPICE  HOUSTON</v>
      </c>
      <c r="H1332" s="27" t="str">
        <f t="shared" si="43"/>
        <v>HOUSTON TX 77072</v>
      </c>
    </row>
    <row r="1333" spans="1:8" x14ac:dyDescent="0.2">
      <c r="A1333" s="27">
        <f>COUNTIFS(C:C,C1333,D:D,D1333)</f>
        <v>1</v>
      </c>
      <c r="B1333" s="30">
        <v>202101157233</v>
      </c>
      <c r="C1333" t="s">
        <v>4100</v>
      </c>
      <c r="D1333" t="s">
        <v>4101</v>
      </c>
      <c r="E1333" t="s">
        <v>5249</v>
      </c>
      <c r="F1333" t="s">
        <v>71</v>
      </c>
      <c r="G1333" s="27" t="str">
        <f t="shared" si="42"/>
        <v>14018 BAYGARDENS  HOUSTON</v>
      </c>
      <c r="H1333" s="27" t="str">
        <f t="shared" si="43"/>
        <v>HOUSTON TX 77498</v>
      </c>
    </row>
    <row r="1334" spans="1:8" x14ac:dyDescent="0.2">
      <c r="A1334" s="27">
        <f>COUNTIFS(C:C,C1334,D:D,D1334)</f>
        <v>1</v>
      </c>
      <c r="B1334" s="30">
        <v>202101157234</v>
      </c>
      <c r="C1334" t="s">
        <v>4102</v>
      </c>
      <c r="D1334" t="s">
        <v>4101</v>
      </c>
      <c r="E1334" t="s">
        <v>5249</v>
      </c>
      <c r="F1334" t="s">
        <v>71</v>
      </c>
      <c r="G1334" s="27" t="str">
        <f t="shared" si="42"/>
        <v>14018 BAYGARDENS  HOUSTON</v>
      </c>
      <c r="H1334" s="27" t="str">
        <f t="shared" si="43"/>
        <v>HOUSTON TX 77498</v>
      </c>
    </row>
    <row r="1335" spans="1:8" x14ac:dyDescent="0.2">
      <c r="A1335" s="27">
        <f>COUNTIFS(C:C,C1335,D:D,D1335)</f>
        <v>1</v>
      </c>
      <c r="B1335" s="30">
        <v>202101157235</v>
      </c>
      <c r="C1335" s="28" t="s">
        <v>847</v>
      </c>
      <c r="D1335" s="28" t="s">
        <v>848</v>
      </c>
      <c r="E1335" s="28" t="s">
        <v>4931</v>
      </c>
      <c r="F1335" s="28" t="s">
        <v>88</v>
      </c>
      <c r="G1335" s="27" t="str">
        <f t="shared" si="42"/>
        <v>13814 HALLFIELD DR  HOUSTON</v>
      </c>
      <c r="H1335" s="27" t="str">
        <f t="shared" si="43"/>
        <v>HOUSTON TX 77014</v>
      </c>
    </row>
    <row r="1336" spans="1:8" x14ac:dyDescent="0.2">
      <c r="A1336" s="27">
        <f>COUNTIFS(C:C,C1336,D:D,D1336)</f>
        <v>1</v>
      </c>
      <c r="B1336" s="30">
        <v>202101157237</v>
      </c>
      <c r="C1336" t="s">
        <v>3653</v>
      </c>
      <c r="D1336" t="s">
        <v>3654</v>
      </c>
      <c r="E1336" t="s">
        <v>5207</v>
      </c>
      <c r="F1336" t="s">
        <v>275</v>
      </c>
      <c r="G1336" s="27" t="str">
        <f t="shared" si="42"/>
        <v>12327 ASHFORD HOLLOW DR SUGARLAND</v>
      </c>
      <c r="H1336" s="27" t="str">
        <f t="shared" si="43"/>
        <v>HOUSTON TX 77478</v>
      </c>
    </row>
    <row r="1337" spans="1:8" x14ac:dyDescent="0.2">
      <c r="A1337" s="27">
        <f>COUNTIFS(C:C,C1337,D:D,D1337)</f>
        <v>1</v>
      </c>
      <c r="B1337" s="30">
        <v>202101157241</v>
      </c>
      <c r="C1337" s="28" t="s">
        <v>1456</v>
      </c>
      <c r="D1337" s="28" t="s">
        <v>1457</v>
      </c>
      <c r="E1337" s="28" t="s">
        <v>4931</v>
      </c>
      <c r="F1337" s="28" t="s">
        <v>53</v>
      </c>
      <c r="G1337" s="27" t="str">
        <f t="shared" si="42"/>
        <v>13703 PAXTON DR  HOUSTON</v>
      </c>
      <c r="H1337" s="27" t="str">
        <f t="shared" si="43"/>
        <v>HOUSTON TX 77014</v>
      </c>
    </row>
    <row r="1338" spans="1:8" x14ac:dyDescent="0.2">
      <c r="A1338" s="27">
        <f>COUNTIFS(C:C,C1338,D:D,D1338)</f>
        <v>1</v>
      </c>
      <c r="B1338" s="30">
        <v>202101157250</v>
      </c>
      <c r="C1338" t="s">
        <v>4103</v>
      </c>
      <c r="D1338" t="s">
        <v>4104</v>
      </c>
      <c r="E1338" t="s">
        <v>4873</v>
      </c>
      <c r="F1338" t="s">
        <v>73</v>
      </c>
      <c r="G1338" s="27" t="str">
        <f t="shared" si="42"/>
        <v>10019 MEADOWVINE DR  HOUSTON</v>
      </c>
      <c r="H1338" s="27" t="str">
        <f t="shared" si="43"/>
        <v>HOUSTON TX 77044</v>
      </c>
    </row>
    <row r="1339" spans="1:8" x14ac:dyDescent="0.2">
      <c r="A1339" s="27">
        <f>COUNTIFS(C:C,C1339,D:D,D1339)</f>
        <v>1</v>
      </c>
      <c r="B1339" s="30">
        <v>202101157251</v>
      </c>
      <c r="C1339" s="28" t="s">
        <v>1858</v>
      </c>
      <c r="D1339" s="28" t="s">
        <v>1859</v>
      </c>
      <c r="E1339" s="28" t="s">
        <v>4865</v>
      </c>
      <c r="F1339" s="28" t="s">
        <v>63</v>
      </c>
      <c r="G1339" s="27" t="str">
        <f t="shared" si="42"/>
        <v>6121 WINSOME  HOUSTON</v>
      </c>
      <c r="H1339" s="27" t="str">
        <f t="shared" si="43"/>
        <v xml:space="preserve">HOUSTON TX      </v>
      </c>
    </row>
    <row r="1340" spans="1:8" x14ac:dyDescent="0.2">
      <c r="A1340" s="27">
        <f>COUNTIFS(C:C,C1340,D:D,D1340)</f>
        <v>1</v>
      </c>
      <c r="B1340" s="30">
        <v>202101157252</v>
      </c>
      <c r="C1340" t="s">
        <v>4105</v>
      </c>
      <c r="D1340" t="s">
        <v>4106</v>
      </c>
      <c r="E1340" t="s">
        <v>5081</v>
      </c>
      <c r="F1340" t="s">
        <v>79</v>
      </c>
      <c r="G1340" s="27" t="str">
        <f t="shared" si="42"/>
        <v>8630 MOUNT HOUSTON  HOUSTON</v>
      </c>
      <c r="H1340" s="27" t="str">
        <f t="shared" si="43"/>
        <v>HOUSTON TX 77050</v>
      </c>
    </row>
    <row r="1341" spans="1:8" x14ac:dyDescent="0.2">
      <c r="A1341" s="27">
        <f>COUNTIFS(C:C,C1341,D:D,D1341)</f>
        <v>1</v>
      </c>
      <c r="B1341" s="30">
        <v>202101157253</v>
      </c>
      <c r="C1341" t="s">
        <v>2842</v>
      </c>
      <c r="D1341" t="s">
        <v>2843</v>
      </c>
      <c r="E1341" t="s">
        <v>4878</v>
      </c>
      <c r="F1341" t="s">
        <v>59</v>
      </c>
      <c r="G1341" s="27" t="str">
        <f t="shared" si="42"/>
        <v>12000 MLK BLVD  HOUSTON</v>
      </c>
      <c r="H1341" s="27" t="str">
        <f t="shared" si="43"/>
        <v>HOUSTON TX 77048</v>
      </c>
    </row>
    <row r="1342" spans="1:8" x14ac:dyDescent="0.2">
      <c r="A1342" s="27">
        <f>COUNTIFS(C:C,C1342,D:D,D1342)</f>
        <v>1</v>
      </c>
      <c r="B1342" s="30">
        <v>202101157254</v>
      </c>
      <c r="C1342" t="s">
        <v>4107</v>
      </c>
      <c r="D1342" t="s">
        <v>4108</v>
      </c>
      <c r="E1342" t="s">
        <v>4874</v>
      </c>
      <c r="F1342" t="s">
        <v>59</v>
      </c>
      <c r="G1342" s="27" t="str">
        <f t="shared" si="42"/>
        <v>8102 WEST AIRPORT BL VD HOUSTON</v>
      </c>
      <c r="H1342" s="27" t="str">
        <f t="shared" si="43"/>
        <v>HOUSTON TX 77033</v>
      </c>
    </row>
    <row r="1343" spans="1:8" x14ac:dyDescent="0.2">
      <c r="A1343" s="27">
        <f>COUNTIFS(C:C,C1343,D:D,D1343)</f>
        <v>1</v>
      </c>
      <c r="B1343" s="30">
        <v>202101157255</v>
      </c>
      <c r="C1343" s="28" t="s">
        <v>530</v>
      </c>
      <c r="D1343" s="28" t="s">
        <v>531</v>
      </c>
      <c r="E1343" s="28" t="s">
        <v>4900</v>
      </c>
      <c r="F1343" s="28" t="s">
        <v>86</v>
      </c>
      <c r="G1343" s="27" t="str">
        <f t="shared" si="42"/>
        <v>22819 WILLHANNA DR  KATY</v>
      </c>
      <c r="H1343" s="27" t="str">
        <f t="shared" si="43"/>
        <v>HOUSTON TX 77449</v>
      </c>
    </row>
    <row r="1344" spans="1:8" x14ac:dyDescent="0.2">
      <c r="A1344" s="27">
        <f>COUNTIFS(C:C,C1344,D:D,D1344)</f>
        <v>1</v>
      </c>
      <c r="B1344" s="30">
        <v>202101157263</v>
      </c>
      <c r="C1344" t="s">
        <v>2807</v>
      </c>
      <c r="D1344" t="s">
        <v>2808</v>
      </c>
      <c r="E1344" t="s">
        <v>4889</v>
      </c>
      <c r="F1344" t="s">
        <v>96</v>
      </c>
      <c r="G1344" s="27" t="str">
        <f t="shared" si="42"/>
        <v>2802 SKELETON DR  HOUSTON</v>
      </c>
      <c r="H1344" s="27" t="str">
        <f t="shared" si="43"/>
        <v>HOUSTON TX 77067</v>
      </c>
    </row>
    <row r="1345" spans="1:8" x14ac:dyDescent="0.2">
      <c r="A1345" s="27">
        <f>COUNTIFS(C:C,C1345,D:D,D1345)</f>
        <v>1</v>
      </c>
      <c r="B1345" s="30">
        <v>202101157265</v>
      </c>
      <c r="C1345" t="s">
        <v>3095</v>
      </c>
      <c r="D1345" t="s">
        <v>3054</v>
      </c>
      <c r="E1345" t="s">
        <v>5167</v>
      </c>
      <c r="F1345" t="s">
        <v>169</v>
      </c>
      <c r="G1345" s="27" t="str">
        <f t="shared" si="42"/>
        <v>7510 FETTLE LN  CONROE</v>
      </c>
      <c r="H1345" s="27" t="str">
        <f t="shared" si="43"/>
        <v>HOUSTON TX 77304</v>
      </c>
    </row>
    <row r="1346" spans="1:8" x14ac:dyDescent="0.2">
      <c r="A1346" s="27">
        <f>COUNTIFS(C:C,C1346,D:D,D1346)</f>
        <v>1</v>
      </c>
      <c r="B1346" s="30">
        <v>202101157267</v>
      </c>
      <c r="C1346" t="s">
        <v>3053</v>
      </c>
      <c r="D1346" t="s">
        <v>3054</v>
      </c>
      <c r="E1346" t="s">
        <v>5167</v>
      </c>
      <c r="F1346" t="s">
        <v>169</v>
      </c>
      <c r="G1346" s="27" t="str">
        <f t="shared" si="42"/>
        <v>7510 FETTLE LN  CONROE</v>
      </c>
      <c r="H1346" s="27" t="str">
        <f t="shared" si="43"/>
        <v>HOUSTON TX 77304</v>
      </c>
    </row>
    <row r="1347" spans="1:8" x14ac:dyDescent="0.2">
      <c r="A1347" s="27">
        <f>COUNTIFS(C:C,C1347,D:D,D1347)</f>
        <v>1</v>
      </c>
      <c r="B1347" s="30">
        <v>202101157268</v>
      </c>
      <c r="C1347" t="s">
        <v>4109</v>
      </c>
      <c r="D1347" t="s">
        <v>4110</v>
      </c>
      <c r="E1347" t="s">
        <v>5025</v>
      </c>
      <c r="F1347" t="s">
        <v>169</v>
      </c>
      <c r="G1347" s="27" t="str">
        <f t="shared" si="42"/>
        <v>5355 RUE DELA CROIX DR KATY</v>
      </c>
      <c r="H1347" s="27" t="str">
        <f t="shared" si="43"/>
        <v>HOUSTON TX 77493</v>
      </c>
    </row>
    <row r="1348" spans="1:8" x14ac:dyDescent="0.2">
      <c r="A1348" s="27">
        <f>COUNTIFS(C:C,C1348,D:D,D1348)</f>
        <v>1</v>
      </c>
      <c r="B1348" s="30">
        <v>202101157269</v>
      </c>
      <c r="C1348" t="s">
        <v>2203</v>
      </c>
      <c r="D1348" t="s">
        <v>2204</v>
      </c>
      <c r="E1348" t="s">
        <v>4859</v>
      </c>
      <c r="F1348" t="s">
        <v>67</v>
      </c>
      <c r="G1348" s="27" t="str">
        <f t="shared" si="42"/>
        <v>19434 REMINGTON MARTI N DR HOUSTON</v>
      </c>
      <c r="H1348" s="27" t="str">
        <f t="shared" si="43"/>
        <v>HOUSTON TX 77073</v>
      </c>
    </row>
    <row r="1349" spans="1:8" x14ac:dyDescent="0.2">
      <c r="A1349" s="27">
        <f>COUNTIFS(C:C,C1349,D:D,D1349)</f>
        <v>1</v>
      </c>
      <c r="B1349" s="30">
        <v>202101157270</v>
      </c>
      <c r="C1349" t="s">
        <v>4111</v>
      </c>
      <c r="D1349" t="s">
        <v>4112</v>
      </c>
      <c r="E1349" t="s">
        <v>5250</v>
      </c>
      <c r="F1349" t="s">
        <v>160</v>
      </c>
      <c r="G1349" s="27" t="str">
        <f t="shared" si="42"/>
        <v>1219 ABIGAIL LN  LEAGUE CIT</v>
      </c>
      <c r="H1349" s="27" t="str">
        <f t="shared" si="43"/>
        <v>HOUSTON TX 77546</v>
      </c>
    </row>
    <row r="1350" spans="1:8" x14ac:dyDescent="0.2">
      <c r="A1350" s="27">
        <f>COUNTIFS(C:C,C1350,D:D,D1350)</f>
        <v>1</v>
      </c>
      <c r="B1350" s="30">
        <v>202101157271</v>
      </c>
      <c r="C1350" t="s">
        <v>3187</v>
      </c>
      <c r="D1350" t="s">
        <v>3188</v>
      </c>
      <c r="E1350" t="s">
        <v>4939</v>
      </c>
      <c r="F1350" t="s">
        <v>53</v>
      </c>
      <c r="G1350" s="27" t="str">
        <f t="shared" si="42"/>
        <v>13035 WINDFERN RD  HOUSTON</v>
      </c>
      <c r="H1350" s="27" t="str">
        <f t="shared" si="43"/>
        <v>HOUSTON TX 77064</v>
      </c>
    </row>
    <row r="1351" spans="1:8" x14ac:dyDescent="0.2">
      <c r="A1351" s="27">
        <f>COUNTIFS(C:C,C1351,D:D,D1351)</f>
        <v>1</v>
      </c>
      <c r="B1351" s="30">
        <v>202101157272</v>
      </c>
      <c r="C1351" s="28" t="s">
        <v>1916</v>
      </c>
      <c r="D1351" s="28" t="s">
        <v>1917</v>
      </c>
      <c r="E1351" s="28" t="s">
        <v>4951</v>
      </c>
      <c r="F1351" s="28" t="s">
        <v>71</v>
      </c>
      <c r="G1351" s="27" t="str">
        <f t="shared" si="42"/>
        <v>7339 SONET GLEN  HOUSTON</v>
      </c>
      <c r="H1351" s="27" t="str">
        <f t="shared" si="43"/>
        <v>HOUSTON TX 77095</v>
      </c>
    </row>
    <row r="1352" spans="1:8" x14ac:dyDescent="0.2">
      <c r="A1352" s="27">
        <f>COUNTIFS(C:C,C1352,D:D,D1352)</f>
        <v>1</v>
      </c>
      <c r="B1352" s="30">
        <v>202101157273</v>
      </c>
      <c r="C1352" s="28" t="s">
        <v>858</v>
      </c>
      <c r="D1352" s="28" t="s">
        <v>859</v>
      </c>
      <c r="E1352" s="28" t="s">
        <v>4971</v>
      </c>
      <c r="F1352" s="28" t="s">
        <v>88</v>
      </c>
      <c r="G1352" s="27" t="str">
        <f t="shared" si="42"/>
        <v>3317 HINT TRACE  PFLUGERVIL</v>
      </c>
      <c r="H1352" s="27" t="str">
        <f t="shared" si="43"/>
        <v>HOUSTON TX 78660</v>
      </c>
    </row>
    <row r="1353" spans="1:8" x14ac:dyDescent="0.2">
      <c r="A1353" s="27">
        <f>COUNTIFS(C:C,C1353,D:D,D1353)</f>
        <v>1</v>
      </c>
      <c r="B1353" s="30">
        <v>202101157277</v>
      </c>
      <c r="C1353" t="s">
        <v>4113</v>
      </c>
      <c r="D1353" t="s">
        <v>4114</v>
      </c>
      <c r="E1353" t="s">
        <v>4917</v>
      </c>
      <c r="F1353" t="s">
        <v>357</v>
      </c>
      <c r="G1353" s="27" t="str">
        <f t="shared" si="42"/>
        <v>8701 GUSTINE LN  HOUSTON</v>
      </c>
      <c r="H1353" s="27" t="str">
        <f t="shared" si="43"/>
        <v>HOUSTON TX 77031</v>
      </c>
    </row>
    <row r="1354" spans="1:8" x14ac:dyDescent="0.2">
      <c r="A1354" s="27">
        <f>COUNTIFS(C:C,C1354,D:D,D1354)</f>
        <v>1</v>
      </c>
      <c r="B1354" s="30">
        <v>202101157278</v>
      </c>
      <c r="C1354" t="s">
        <v>2697</v>
      </c>
      <c r="D1354" t="s">
        <v>2698</v>
      </c>
      <c r="E1354" t="s">
        <v>5078</v>
      </c>
      <c r="F1354" t="s">
        <v>66</v>
      </c>
      <c r="G1354" s="27" t="str">
        <f t="shared" si="42"/>
        <v>6422 PROVIDENT GREEN DR HARRIS CO</v>
      </c>
      <c r="H1354" s="27" t="str">
        <f t="shared" si="43"/>
        <v>HOUSTON TX 77449</v>
      </c>
    </row>
    <row r="1355" spans="1:8" x14ac:dyDescent="0.2">
      <c r="A1355" s="27">
        <f>COUNTIFS(C:C,C1355,D:D,D1355)</f>
        <v>1</v>
      </c>
      <c r="B1355" s="30">
        <v>202101157279</v>
      </c>
      <c r="C1355" t="s">
        <v>4115</v>
      </c>
      <c r="D1355" t="s">
        <v>4116</v>
      </c>
      <c r="E1355" t="s">
        <v>5078</v>
      </c>
      <c r="F1355" t="s">
        <v>66</v>
      </c>
      <c r="G1355" s="27" t="str">
        <f t="shared" si="42"/>
        <v>7007 DURANGO CREEK L N HARRIS CO</v>
      </c>
      <c r="H1355" s="27" t="str">
        <f t="shared" si="43"/>
        <v>HOUSTON TX 77449</v>
      </c>
    </row>
    <row r="1356" spans="1:8" x14ac:dyDescent="0.2">
      <c r="A1356" s="27">
        <f>COUNTIFS(C:C,C1356,D:D,D1356)</f>
        <v>1</v>
      </c>
      <c r="B1356" s="30">
        <v>202101157280</v>
      </c>
      <c r="C1356" t="s">
        <v>4117</v>
      </c>
      <c r="D1356" t="s">
        <v>4118</v>
      </c>
      <c r="E1356" t="s">
        <v>4857</v>
      </c>
      <c r="F1356" t="s">
        <v>88</v>
      </c>
      <c r="G1356" s="27" t="str">
        <f t="shared" si="42"/>
        <v>5510 HARTFORD GROVE  PASADENA</v>
      </c>
      <c r="H1356" s="27" t="str">
        <f t="shared" si="43"/>
        <v>HOUSTON TX 77505</v>
      </c>
    </row>
    <row r="1357" spans="1:8" x14ac:dyDescent="0.2">
      <c r="A1357" s="27">
        <f>COUNTIFS(C:C,C1357,D:D,D1357)</f>
        <v>1</v>
      </c>
      <c r="B1357" s="30">
        <v>202101157281</v>
      </c>
      <c r="C1357" t="s">
        <v>4119</v>
      </c>
      <c r="D1357" t="s">
        <v>4120</v>
      </c>
      <c r="E1357" t="s">
        <v>5023</v>
      </c>
      <c r="F1357" t="s">
        <v>56</v>
      </c>
      <c r="G1357" s="27" t="str">
        <f t="shared" si="42"/>
        <v>2500 OLD FARM RD 513  HOUSTON</v>
      </c>
      <c r="H1357" s="27" t="str">
        <f t="shared" si="43"/>
        <v>HOUSTON TX 77063</v>
      </c>
    </row>
    <row r="1358" spans="1:8" x14ac:dyDescent="0.2">
      <c r="A1358" s="27">
        <f>COUNTIFS(C:C,C1358,D:D,D1358)</f>
        <v>1</v>
      </c>
      <c r="B1358" s="30">
        <v>202101157288</v>
      </c>
      <c r="C1358" t="s">
        <v>3204</v>
      </c>
      <c r="D1358" t="s">
        <v>3205</v>
      </c>
      <c r="E1358" t="s">
        <v>4891</v>
      </c>
      <c r="F1358" t="s">
        <v>88</v>
      </c>
      <c r="G1358" s="27" t="str">
        <f t="shared" si="42"/>
        <v>5407 BRIDGE FOREST D R HOUSTON</v>
      </c>
      <c r="H1358" s="27" t="str">
        <f t="shared" si="43"/>
        <v>HOUSTON TX 77088</v>
      </c>
    </row>
    <row r="1359" spans="1:8" x14ac:dyDescent="0.2">
      <c r="A1359" s="27">
        <f>COUNTIFS(C:C,C1359,D:D,D1359)</f>
        <v>1</v>
      </c>
      <c r="B1359" s="30">
        <v>202101157289</v>
      </c>
      <c r="C1359" t="s">
        <v>4121</v>
      </c>
      <c r="D1359" t="s">
        <v>4122</v>
      </c>
      <c r="E1359" t="s">
        <v>4932</v>
      </c>
      <c r="F1359" t="s">
        <v>78</v>
      </c>
      <c r="G1359" s="27" t="str">
        <f t="shared" si="42"/>
        <v>4800 LAMONTE LN  HOUSTON</v>
      </c>
      <c r="H1359" s="27" t="str">
        <f t="shared" si="43"/>
        <v>HOUSTON TX 77092</v>
      </c>
    </row>
    <row r="1360" spans="1:8" x14ac:dyDescent="0.2">
      <c r="A1360" s="27">
        <f>COUNTIFS(C:C,C1360,D:D,D1360)</f>
        <v>1</v>
      </c>
      <c r="B1360" s="30">
        <v>202101157291</v>
      </c>
      <c r="C1360" t="s">
        <v>4123</v>
      </c>
      <c r="D1360" t="s">
        <v>4124</v>
      </c>
      <c r="E1360" t="s">
        <v>4879</v>
      </c>
      <c r="F1360" t="s">
        <v>88</v>
      </c>
      <c r="G1360" s="27" t="str">
        <f t="shared" si="42"/>
        <v>5415 CANDLECREST DR  HOUSTON</v>
      </c>
      <c r="H1360" s="27" t="str">
        <f t="shared" si="43"/>
        <v>HOUSTON TX 77091</v>
      </c>
    </row>
    <row r="1361" spans="1:8" x14ac:dyDescent="0.2">
      <c r="A1361" s="27">
        <f>COUNTIFS(C:C,C1361,D:D,D1361)</f>
        <v>1</v>
      </c>
      <c r="B1361" s="30">
        <v>202101157292</v>
      </c>
      <c r="C1361" t="s">
        <v>2142</v>
      </c>
      <c r="D1361" t="s">
        <v>2143</v>
      </c>
      <c r="E1361" t="s">
        <v>4875</v>
      </c>
      <c r="F1361" t="s">
        <v>99</v>
      </c>
      <c r="G1361" s="27" t="str">
        <f t="shared" si="42"/>
        <v>3217 YORKSHIRE ST  HOUSTON</v>
      </c>
      <c r="H1361" s="27" t="str">
        <f t="shared" si="43"/>
        <v>HOUSTON TX 77093</v>
      </c>
    </row>
    <row r="1362" spans="1:8" x14ac:dyDescent="0.2">
      <c r="A1362" s="27">
        <f>COUNTIFS(C:C,C1362,D:D,D1362)</f>
        <v>1</v>
      </c>
      <c r="B1362" s="30">
        <v>202101157293</v>
      </c>
      <c r="C1362" s="28" t="s">
        <v>862</v>
      </c>
      <c r="D1362" s="28" t="s">
        <v>863</v>
      </c>
      <c r="E1362" s="28" t="s">
        <v>4919</v>
      </c>
      <c r="F1362" s="28" t="s">
        <v>53</v>
      </c>
      <c r="G1362" s="27" t="str">
        <f t="shared" si="42"/>
        <v>5959 BISSONNET ST  HOUSTON</v>
      </c>
      <c r="H1362" s="27" t="str">
        <f t="shared" si="43"/>
        <v>HOUSTON TX 77081</v>
      </c>
    </row>
    <row r="1363" spans="1:8" x14ac:dyDescent="0.2">
      <c r="A1363" s="27">
        <f>COUNTIFS(C:C,C1363,D:D,D1363)</f>
        <v>1</v>
      </c>
      <c r="B1363" s="30">
        <v>202101157294</v>
      </c>
      <c r="C1363" t="s">
        <v>3380</v>
      </c>
      <c r="D1363" t="s">
        <v>3381</v>
      </c>
      <c r="E1363" t="s">
        <v>5052</v>
      </c>
      <c r="F1363" t="s">
        <v>99</v>
      </c>
      <c r="G1363" s="27" t="str">
        <f t="shared" si="42"/>
        <v>5100 FM 1960 RD W  HOUSTON</v>
      </c>
      <c r="H1363" s="27" t="str">
        <f t="shared" si="43"/>
        <v>HOUSTON TX 77068</v>
      </c>
    </row>
    <row r="1364" spans="1:8" x14ac:dyDescent="0.2">
      <c r="A1364" s="27">
        <f>COUNTIFS(C:C,C1364,D:D,D1364)</f>
        <v>1</v>
      </c>
      <c r="B1364" s="30">
        <v>202101157295</v>
      </c>
      <c r="C1364" s="28" t="s">
        <v>1738</v>
      </c>
      <c r="D1364" s="28" t="s">
        <v>1739</v>
      </c>
      <c r="E1364" s="28" t="s">
        <v>4878</v>
      </c>
      <c r="F1364" s="28" t="s">
        <v>88</v>
      </c>
      <c r="G1364" s="27" t="str">
        <f t="shared" si="42"/>
        <v>2338 BACK BAY BROOK TRAIL HOUSTON</v>
      </c>
      <c r="H1364" s="27" t="str">
        <f t="shared" si="43"/>
        <v>HOUSTON TX 77048</v>
      </c>
    </row>
    <row r="1365" spans="1:8" x14ac:dyDescent="0.2">
      <c r="A1365" s="27">
        <f>COUNTIFS(C:C,C1365,D:D,D1365)</f>
        <v>1</v>
      </c>
      <c r="B1365" s="30">
        <v>202101157296</v>
      </c>
      <c r="C1365" s="28" t="s">
        <v>1058</v>
      </c>
      <c r="D1365" s="28" t="s">
        <v>1059</v>
      </c>
      <c r="E1365" s="28" t="s">
        <v>4987</v>
      </c>
      <c r="F1365" s="28" t="s">
        <v>53</v>
      </c>
      <c r="G1365" s="27" t="str">
        <f t="shared" si="42"/>
        <v>2234 MARNEL RD  HOUSTON</v>
      </c>
      <c r="H1365" s="27" t="str">
        <f t="shared" si="43"/>
        <v>HOUSTON TX 77055</v>
      </c>
    </row>
    <row r="1366" spans="1:8" x14ac:dyDescent="0.2">
      <c r="A1366" s="27">
        <f>COUNTIFS(C:C,C1366,D:D,D1366)</f>
        <v>1</v>
      </c>
      <c r="B1366" s="30">
        <v>202101157297</v>
      </c>
      <c r="C1366" t="s">
        <v>2955</v>
      </c>
      <c r="D1366" t="s">
        <v>2956</v>
      </c>
      <c r="E1366" t="s">
        <v>5104</v>
      </c>
      <c r="F1366" t="s">
        <v>88</v>
      </c>
      <c r="G1366" s="27" t="str">
        <f t="shared" si="42"/>
        <v>6526 BROOKFIELD  HOUSTON</v>
      </c>
      <c r="H1366" s="27" t="str">
        <f t="shared" si="43"/>
        <v>HOUSTON TX 77085</v>
      </c>
    </row>
    <row r="1367" spans="1:8" x14ac:dyDescent="0.2">
      <c r="A1367" s="27">
        <f>COUNTIFS(C:C,C1367,D:D,D1367)</f>
        <v>1</v>
      </c>
      <c r="B1367" s="30">
        <v>202101157298</v>
      </c>
      <c r="C1367" t="s">
        <v>4125</v>
      </c>
      <c r="D1367" t="s">
        <v>4126</v>
      </c>
      <c r="E1367" t="s">
        <v>5026</v>
      </c>
      <c r="F1367" t="s">
        <v>90</v>
      </c>
      <c r="G1367" s="27" t="str">
        <f t="shared" si="42"/>
        <v>801 E NASA PKWY  WEBSTER</v>
      </c>
      <c r="H1367" s="27" t="str">
        <f t="shared" si="43"/>
        <v>HOUSTON TX 77598</v>
      </c>
    </row>
    <row r="1368" spans="1:8" x14ac:dyDescent="0.2">
      <c r="A1368" s="27">
        <f>COUNTIFS(C:C,C1368,D:D,D1368)</f>
        <v>1</v>
      </c>
      <c r="B1368" s="30">
        <v>202101157299</v>
      </c>
      <c r="C1368" s="28" t="s">
        <v>512</v>
      </c>
      <c r="D1368" s="28" t="s">
        <v>513</v>
      </c>
      <c r="E1368" s="28" t="s">
        <v>4852</v>
      </c>
      <c r="F1368" s="28" t="s">
        <v>88</v>
      </c>
      <c r="G1368" s="27" t="str">
        <f t="shared" si="42"/>
        <v>11203 BLADES ST  HOUSTON</v>
      </c>
      <c r="H1368" s="27" t="str">
        <f t="shared" si="43"/>
        <v>HOUSTON TX 77016</v>
      </c>
    </row>
    <row r="1369" spans="1:8" x14ac:dyDescent="0.2">
      <c r="A1369" s="27">
        <f>COUNTIFS(C:C,C1369,D:D,D1369)</f>
        <v>1</v>
      </c>
      <c r="B1369" s="30">
        <v>202101157304</v>
      </c>
      <c r="C1369" s="28" t="s">
        <v>1131</v>
      </c>
      <c r="D1369" s="28" t="s">
        <v>1132</v>
      </c>
      <c r="E1369" s="28" t="s">
        <v>4973</v>
      </c>
      <c r="F1369" s="28" t="s">
        <v>90</v>
      </c>
      <c r="G1369" s="27" t="str">
        <f t="shared" si="42"/>
        <v>6900 BISSONNET #503  HOUSTON</v>
      </c>
      <c r="H1369" s="27" t="str">
        <f t="shared" si="43"/>
        <v>HOUSTON TX 77074</v>
      </c>
    </row>
    <row r="1370" spans="1:8" x14ac:dyDescent="0.2">
      <c r="A1370" s="27">
        <f>COUNTIFS(C:C,C1370,D:D,D1370)</f>
        <v>1</v>
      </c>
      <c r="B1370" s="30">
        <v>202101157305</v>
      </c>
      <c r="C1370" s="28" t="s">
        <v>1924</v>
      </c>
      <c r="D1370" s="28" t="s">
        <v>5087</v>
      </c>
      <c r="E1370" s="28" t="s">
        <v>5088</v>
      </c>
      <c r="F1370" s="28" t="s">
        <v>71</v>
      </c>
      <c r="G1370" s="27" t="str">
        <f t="shared" si="42"/>
        <v>6219 BACA DR  FAYETTEVIL</v>
      </c>
      <c r="H1370" s="27" t="str">
        <f t="shared" si="43"/>
        <v xml:space="preserve">HOUSTON TX      </v>
      </c>
    </row>
    <row r="1371" spans="1:8" x14ac:dyDescent="0.2">
      <c r="A1371" s="27">
        <f>COUNTIFS(C:C,C1371,D:D,D1371)</f>
        <v>1</v>
      </c>
      <c r="B1371" s="30">
        <v>202101157307</v>
      </c>
      <c r="C1371" t="s">
        <v>3059</v>
      </c>
      <c r="D1371" t="s">
        <v>3060</v>
      </c>
      <c r="E1371" t="s">
        <v>4937</v>
      </c>
      <c r="F1371" t="s">
        <v>88</v>
      </c>
      <c r="G1371" s="27" t="str">
        <f t="shared" si="42"/>
        <v>86811 KELLER STREET  HOUSTON</v>
      </c>
      <c r="H1371" s="27" t="str">
        <f t="shared" si="43"/>
        <v>HOUSTON TX 77087</v>
      </c>
    </row>
    <row r="1372" spans="1:8" x14ac:dyDescent="0.2">
      <c r="A1372" s="27">
        <f>COUNTIFS(C:C,C1372,D:D,D1372)</f>
        <v>1</v>
      </c>
      <c r="B1372" s="30">
        <v>202101157318</v>
      </c>
      <c r="C1372" t="s">
        <v>3250</v>
      </c>
      <c r="D1372" t="s">
        <v>3251</v>
      </c>
      <c r="E1372" t="s">
        <v>4879</v>
      </c>
      <c r="F1372" t="s">
        <v>90</v>
      </c>
      <c r="G1372" s="27" t="str">
        <f t="shared" si="42"/>
        <v>6407 NUBEN ST  HOUSTON</v>
      </c>
      <c r="H1372" s="27" t="str">
        <f t="shared" si="43"/>
        <v>HOUSTON TX 77091</v>
      </c>
    </row>
    <row r="1373" spans="1:8" x14ac:dyDescent="0.2">
      <c r="A1373" s="27">
        <f>COUNTIFS(C:C,C1373,D:D,D1373)</f>
        <v>1</v>
      </c>
      <c r="B1373" s="30">
        <v>202101157322</v>
      </c>
      <c r="C1373" s="28" t="s">
        <v>1892</v>
      </c>
      <c r="D1373" s="28" t="s">
        <v>1893</v>
      </c>
      <c r="E1373" s="28" t="s">
        <v>4890</v>
      </c>
      <c r="F1373" s="28" t="s">
        <v>53</v>
      </c>
      <c r="G1373" s="27" t="str">
        <f t="shared" si="42"/>
        <v>6727 TELEPHONE RD 23 8 HOUSTON</v>
      </c>
      <c r="H1373" s="27" t="str">
        <f t="shared" si="43"/>
        <v>HOUSTON TX 77061</v>
      </c>
    </row>
    <row r="1374" spans="1:8" x14ac:dyDescent="0.2">
      <c r="A1374" s="27">
        <f>COUNTIFS(C:C,C1374,D:D,D1374)</f>
        <v>1</v>
      </c>
      <c r="B1374" s="30">
        <v>202101157324</v>
      </c>
      <c r="C1374" t="s">
        <v>2065</v>
      </c>
      <c r="D1374" t="s">
        <v>2066</v>
      </c>
      <c r="E1374" t="s">
        <v>5065</v>
      </c>
      <c r="F1374" t="s">
        <v>88</v>
      </c>
      <c r="G1374" s="27" t="str">
        <f t="shared" si="42"/>
        <v>4134 LOVERS LANE  DICKINSON</v>
      </c>
      <c r="H1374" s="27" t="str">
        <f t="shared" si="43"/>
        <v>HOUSTON TX 77539</v>
      </c>
    </row>
    <row r="1375" spans="1:8" x14ac:dyDescent="0.2">
      <c r="A1375" s="27">
        <f>COUNTIFS(C:C,C1375,D:D,D1375)</f>
        <v>1</v>
      </c>
      <c r="B1375" s="30">
        <v>202101157325</v>
      </c>
      <c r="C1375" s="28" t="s">
        <v>1703</v>
      </c>
      <c r="D1375" s="28" t="s">
        <v>1704</v>
      </c>
      <c r="E1375" s="28" t="s">
        <v>5070</v>
      </c>
      <c r="F1375" s="28" t="s">
        <v>64</v>
      </c>
      <c r="G1375" s="27" t="str">
        <f t="shared" si="42"/>
        <v>8915 APPOMATTOX  LAPORTE</v>
      </c>
      <c r="H1375" s="27" t="str">
        <f t="shared" si="43"/>
        <v>HOUSTON TX 77571</v>
      </c>
    </row>
    <row r="1376" spans="1:8" x14ac:dyDescent="0.2">
      <c r="A1376" s="27">
        <f>COUNTIFS(C:C,C1376,D:D,D1376)</f>
        <v>1</v>
      </c>
      <c r="B1376" s="30">
        <v>202101157329</v>
      </c>
      <c r="C1376" s="28" t="s">
        <v>738</v>
      </c>
      <c r="D1376" s="28" t="s">
        <v>739</v>
      </c>
      <c r="E1376" s="28" t="s">
        <v>4943</v>
      </c>
      <c r="F1376" s="28" t="s">
        <v>99</v>
      </c>
      <c r="G1376" s="27" t="str">
        <f t="shared" si="42"/>
        <v>16111 ASPENGLENN DR  HOUSTON</v>
      </c>
      <c r="H1376" s="27" t="str">
        <f t="shared" si="43"/>
        <v>HOUSTON TX 77084</v>
      </c>
    </row>
    <row r="1377" spans="1:8" x14ac:dyDescent="0.2">
      <c r="A1377" s="27">
        <f>COUNTIFS(C:C,C1377,D:D,D1377)</f>
        <v>1</v>
      </c>
      <c r="B1377" s="30">
        <v>202101157333</v>
      </c>
      <c r="C1377" t="s">
        <v>3378</v>
      </c>
      <c r="D1377" t="s">
        <v>3379</v>
      </c>
      <c r="E1377" t="s">
        <v>4862</v>
      </c>
      <c r="F1377" t="s">
        <v>51</v>
      </c>
      <c r="G1377" s="27" t="str">
        <f t="shared" si="42"/>
        <v>1214 DAWN RD  HOUSTON</v>
      </c>
      <c r="H1377" s="27" t="str">
        <f t="shared" si="43"/>
        <v>HOUSTON TX 77090</v>
      </c>
    </row>
    <row r="1378" spans="1:8" x14ac:dyDescent="0.2">
      <c r="A1378" s="27">
        <f>COUNTIFS(C:C,C1378,D:D,D1378)</f>
        <v>1</v>
      </c>
      <c r="B1378" s="30">
        <v>202101157334</v>
      </c>
      <c r="C1378" t="s">
        <v>2889</v>
      </c>
      <c r="D1378" t="s">
        <v>2890</v>
      </c>
      <c r="E1378" t="s">
        <v>4852</v>
      </c>
      <c r="F1378" t="s">
        <v>79</v>
      </c>
      <c r="G1378" s="27" t="str">
        <f t="shared" si="42"/>
        <v>9321 SHERBOURNE ST  HOUSTON</v>
      </c>
      <c r="H1378" s="27" t="str">
        <f t="shared" si="43"/>
        <v>HOUSTON TX 77016</v>
      </c>
    </row>
    <row r="1379" spans="1:8" x14ac:dyDescent="0.2">
      <c r="A1379" s="27">
        <f>COUNTIFS(C:C,C1379,D:D,D1379)</f>
        <v>1</v>
      </c>
      <c r="B1379" s="30">
        <v>202101157335</v>
      </c>
      <c r="C1379" t="s">
        <v>4129</v>
      </c>
      <c r="D1379" t="s">
        <v>4130</v>
      </c>
      <c r="E1379" t="s">
        <v>4943</v>
      </c>
      <c r="F1379" t="s">
        <v>85</v>
      </c>
      <c r="G1379" s="27" t="str">
        <f t="shared" si="42"/>
        <v>5730 TIMBER CREEK DR  HOUSTON</v>
      </c>
      <c r="H1379" s="27" t="str">
        <f t="shared" si="43"/>
        <v>HOUSTON TX 77084</v>
      </c>
    </row>
    <row r="1380" spans="1:8" x14ac:dyDescent="0.2">
      <c r="A1380" s="27">
        <f>COUNTIFS(C:C,C1380,D:D,D1380)</f>
        <v>2</v>
      </c>
      <c r="B1380" s="30">
        <v>202101157338</v>
      </c>
      <c r="C1380" s="28" t="s">
        <v>1677</v>
      </c>
      <c r="D1380" s="28" t="s">
        <v>1678</v>
      </c>
      <c r="E1380" s="28" t="s">
        <v>4854</v>
      </c>
      <c r="F1380" s="28" t="s">
        <v>66</v>
      </c>
      <c r="G1380" s="27" t="str">
        <f t="shared" si="42"/>
        <v>2002 ELYSIAN ST  HOUSTON</v>
      </c>
      <c r="H1380" s="27" t="str">
        <f t="shared" si="43"/>
        <v>HOUSTON TX 77026</v>
      </c>
    </row>
    <row r="1381" spans="1:8" x14ac:dyDescent="0.2">
      <c r="A1381" s="27">
        <f>COUNTIFS(C:C,C1381,D:D,D1381)</f>
        <v>1</v>
      </c>
      <c r="B1381" s="30">
        <v>202101157340</v>
      </c>
      <c r="C1381" s="28" t="s">
        <v>516</v>
      </c>
      <c r="D1381" s="28" t="s">
        <v>517</v>
      </c>
      <c r="E1381" s="28" t="s">
        <v>4861</v>
      </c>
      <c r="F1381" s="28" t="s">
        <v>58</v>
      </c>
      <c r="G1381" s="27" t="str">
        <f t="shared" si="42"/>
        <v>4632 DAVENPORT ST  HOUSTON</v>
      </c>
      <c r="H1381" s="27" t="str">
        <f t="shared" si="43"/>
        <v>HOUSTON TX 77051</v>
      </c>
    </row>
    <row r="1382" spans="1:8" x14ac:dyDescent="0.2">
      <c r="A1382" s="27">
        <f>COUNTIFS(C:C,C1382,D:D,D1382)</f>
        <v>1</v>
      </c>
      <c r="B1382" s="30">
        <v>202101157341</v>
      </c>
      <c r="C1382" t="s">
        <v>2175</v>
      </c>
      <c r="D1382" t="s">
        <v>2176</v>
      </c>
      <c r="E1382" t="s">
        <v>5108</v>
      </c>
      <c r="F1382" t="s">
        <v>87</v>
      </c>
      <c r="G1382" s="27" t="str">
        <f t="shared" si="42"/>
        <v>4308 CYNTHIA ST  BELLAIRE</v>
      </c>
      <c r="H1382" s="27" t="str">
        <f t="shared" si="43"/>
        <v>HOUSTON TX 77401</v>
      </c>
    </row>
    <row r="1383" spans="1:8" x14ac:dyDescent="0.2">
      <c r="A1383" s="27">
        <f>COUNTIFS(C:C,C1383,D:D,D1383)</f>
        <v>1</v>
      </c>
      <c r="B1383" s="30">
        <v>202101157342</v>
      </c>
      <c r="C1383" t="s">
        <v>2314</v>
      </c>
      <c r="D1383" t="s">
        <v>2315</v>
      </c>
      <c r="E1383" t="s">
        <v>5023</v>
      </c>
      <c r="F1383" t="s">
        <v>64</v>
      </c>
      <c r="G1383" s="27" t="str">
        <f t="shared" si="42"/>
        <v>8155 RICHMOND AVE  HOUSTON</v>
      </c>
      <c r="H1383" s="27" t="str">
        <f t="shared" si="43"/>
        <v>HOUSTON TX 77063</v>
      </c>
    </row>
    <row r="1384" spans="1:8" x14ac:dyDescent="0.2">
      <c r="A1384" s="27">
        <f>COUNTIFS(C:C,C1384,D:D,D1384)</f>
        <v>1</v>
      </c>
      <c r="B1384" s="30">
        <v>202101157343</v>
      </c>
      <c r="C1384" t="s">
        <v>4131</v>
      </c>
      <c r="D1384" t="s">
        <v>4132</v>
      </c>
      <c r="E1384" t="s">
        <v>5251</v>
      </c>
      <c r="F1384" t="s">
        <v>88</v>
      </c>
      <c r="G1384" s="27" t="e">
        <f t="shared" si="42"/>
        <v>#VALUE!</v>
      </c>
      <c r="H1384" s="27" t="e">
        <f t="shared" si="43"/>
        <v>#VALUE!</v>
      </c>
    </row>
    <row r="1385" spans="1:8" x14ac:dyDescent="0.2">
      <c r="A1385" s="27">
        <f>COUNTIFS(C:C,C1385,D:D,D1385)</f>
        <v>1</v>
      </c>
      <c r="B1385" s="30">
        <v>202101157345</v>
      </c>
      <c r="C1385" s="28" t="s">
        <v>1760</v>
      </c>
      <c r="D1385" s="28" t="s">
        <v>1761</v>
      </c>
      <c r="E1385" s="28" t="s">
        <v>4873</v>
      </c>
      <c r="F1385" s="28" t="s">
        <v>53</v>
      </c>
      <c r="G1385" s="27" t="str">
        <f t="shared" si="42"/>
        <v>8542 CHALETFORD DR  HOUSTON</v>
      </c>
      <c r="H1385" s="27" t="str">
        <f t="shared" si="43"/>
        <v>HOUSTON TX 77044</v>
      </c>
    </row>
    <row r="1386" spans="1:8" x14ac:dyDescent="0.2">
      <c r="A1386" s="27">
        <f>COUNTIFS(C:C,C1386,D:D,D1386)</f>
        <v>1</v>
      </c>
      <c r="B1386" s="30">
        <v>202101157346</v>
      </c>
      <c r="C1386" s="28" t="s">
        <v>1274</v>
      </c>
      <c r="D1386" s="28" t="s">
        <v>1275</v>
      </c>
      <c r="E1386" s="28" t="s">
        <v>4890</v>
      </c>
      <c r="F1386" s="28" t="s">
        <v>75</v>
      </c>
      <c r="G1386" s="27" t="str">
        <f t="shared" ref="G1386:G1449" si="44">D1386&amp;" "&amp;MID(E1386,1,FIND(" TX",E1386)-1)</f>
        <v>8271 STONE ST  HOUSTON</v>
      </c>
      <c r="H1386" s="27" t="str">
        <f t="shared" ref="H1386:H1449" si="45">"HOUSTON "&amp;MID(E1386,FIND("TX",E1386),8)</f>
        <v>HOUSTON TX 77061</v>
      </c>
    </row>
    <row r="1387" spans="1:8" x14ac:dyDescent="0.2">
      <c r="A1387" s="27">
        <f>COUNTIFS(C:C,C1387,D:D,D1387)</f>
        <v>1</v>
      </c>
      <c r="B1387" s="30">
        <v>202101157348</v>
      </c>
      <c r="C1387" t="s">
        <v>2242</v>
      </c>
      <c r="D1387" t="s">
        <v>2243</v>
      </c>
      <c r="E1387" t="s">
        <v>4865</v>
      </c>
      <c r="F1387" t="s">
        <v>98</v>
      </c>
      <c r="G1387" s="27" t="str">
        <f t="shared" si="44"/>
        <v>17435 IMPEIRAL VALLEY DR HOUSTON</v>
      </c>
      <c r="H1387" s="27" t="str">
        <f t="shared" si="45"/>
        <v xml:space="preserve">HOUSTON TX      </v>
      </c>
    </row>
    <row r="1388" spans="1:8" x14ac:dyDescent="0.2">
      <c r="A1388" s="27">
        <f>COUNTIFS(C:C,C1388,D:D,D1388)</f>
        <v>1</v>
      </c>
      <c r="B1388" s="30">
        <v>202101157349</v>
      </c>
      <c r="C1388" t="s">
        <v>3396</v>
      </c>
      <c r="D1388" t="s">
        <v>3397</v>
      </c>
      <c r="E1388" t="s">
        <v>5120</v>
      </c>
      <c r="F1388" t="s">
        <v>79</v>
      </c>
      <c r="G1388" s="27" t="str">
        <f t="shared" si="44"/>
        <v>1129 RAMADA DR  HOUSTON</v>
      </c>
      <c r="H1388" s="27" t="str">
        <f t="shared" si="45"/>
        <v>HOUSTON TX 77062</v>
      </c>
    </row>
    <row r="1389" spans="1:8" x14ac:dyDescent="0.2">
      <c r="A1389" s="27">
        <f>COUNTIFS(C:C,C1389,D:D,D1389)</f>
        <v>1</v>
      </c>
      <c r="B1389" s="30">
        <v>202101157355</v>
      </c>
      <c r="C1389" t="s">
        <v>4135</v>
      </c>
      <c r="D1389" t="s">
        <v>4136</v>
      </c>
      <c r="E1389" t="s">
        <v>4901</v>
      </c>
      <c r="F1389" t="s">
        <v>53</v>
      </c>
      <c r="G1389" s="27" t="str">
        <f t="shared" si="44"/>
        <v>12893 HIGH STAR DRIVE  HOUSTON</v>
      </c>
      <c r="H1389" s="27" t="str">
        <f t="shared" si="45"/>
        <v>HOUSTON TX 77072</v>
      </c>
    </row>
    <row r="1390" spans="1:8" x14ac:dyDescent="0.2">
      <c r="A1390" s="27">
        <f>COUNTIFS(C:C,C1390,D:D,D1390)</f>
        <v>1</v>
      </c>
      <c r="B1390" s="30">
        <v>202101157356</v>
      </c>
      <c r="C1390" t="s">
        <v>2148</v>
      </c>
      <c r="D1390" t="s">
        <v>2149</v>
      </c>
      <c r="E1390" t="s">
        <v>4855</v>
      </c>
      <c r="F1390" t="s">
        <v>56</v>
      </c>
      <c r="G1390" s="27" t="str">
        <f t="shared" si="44"/>
        <v>9002 STERLINGSHIRE S T APT 2102 HOUSTON</v>
      </c>
      <c r="H1390" s="27" t="str">
        <f t="shared" si="45"/>
        <v>HOUSTON TX 77078</v>
      </c>
    </row>
    <row r="1391" spans="1:8" x14ac:dyDescent="0.2">
      <c r="A1391" s="27">
        <f>COUNTIFS(C:C,C1391,D:D,D1391)</f>
        <v>1</v>
      </c>
      <c r="B1391" s="30">
        <v>202101157366</v>
      </c>
      <c r="C1391" s="28" t="s">
        <v>1940</v>
      </c>
      <c r="D1391" s="28" t="s">
        <v>1941</v>
      </c>
      <c r="E1391" s="28" t="s">
        <v>4935</v>
      </c>
      <c r="F1391" s="28" t="s">
        <v>330</v>
      </c>
      <c r="G1391" s="27" t="str">
        <f t="shared" si="44"/>
        <v>16618 QUIET TRAIL DR  HUMBLE</v>
      </c>
      <c r="H1391" s="27" t="str">
        <f t="shared" si="45"/>
        <v>HOUSTON TX 77396</v>
      </c>
    </row>
    <row r="1392" spans="1:8" x14ac:dyDescent="0.2">
      <c r="A1392" s="27">
        <f>COUNTIFS(C:C,C1392,D:D,D1392)</f>
        <v>1</v>
      </c>
      <c r="B1392" s="30">
        <v>202101157367</v>
      </c>
      <c r="C1392" t="s">
        <v>3273</v>
      </c>
      <c r="D1392" t="s">
        <v>3274</v>
      </c>
      <c r="E1392" t="s">
        <v>4948</v>
      </c>
      <c r="F1392" t="s">
        <v>171</v>
      </c>
      <c r="G1392" s="27" t="str">
        <f t="shared" si="44"/>
        <v>715 REINERMAN ST  HOUSTON</v>
      </c>
      <c r="H1392" s="27" t="str">
        <f t="shared" si="45"/>
        <v>HOUSTON TX 77007</v>
      </c>
    </row>
    <row r="1393" spans="1:8" x14ac:dyDescent="0.2">
      <c r="A1393" s="27">
        <f>COUNTIFS(C:C,C1393,D:D,D1393)</f>
        <v>1</v>
      </c>
      <c r="B1393" s="30">
        <v>202101157373</v>
      </c>
      <c r="C1393" s="28" t="s">
        <v>646</v>
      </c>
      <c r="D1393" s="28" t="s">
        <v>647</v>
      </c>
      <c r="E1393" s="28" t="s">
        <v>4931</v>
      </c>
      <c r="F1393" s="28" t="s">
        <v>69</v>
      </c>
      <c r="G1393" s="27" t="str">
        <f t="shared" si="44"/>
        <v>12806 DISCIPLINE AVEN UE HOUSTON</v>
      </c>
      <c r="H1393" s="27" t="str">
        <f t="shared" si="45"/>
        <v>HOUSTON TX 77014</v>
      </c>
    </row>
    <row r="1394" spans="1:8" x14ac:dyDescent="0.2">
      <c r="A1394" s="27">
        <f>COUNTIFS(C:C,C1394,D:D,D1394)</f>
        <v>1</v>
      </c>
      <c r="B1394" s="30">
        <v>202101157377</v>
      </c>
      <c r="C1394" t="s">
        <v>4137</v>
      </c>
      <c r="D1394" t="s">
        <v>4138</v>
      </c>
      <c r="E1394" t="s">
        <v>5073</v>
      </c>
      <c r="F1394" t="s">
        <v>53</v>
      </c>
      <c r="G1394" s="27" t="str">
        <f t="shared" si="44"/>
        <v>1823 STACY CRST  HOUSTON</v>
      </c>
      <c r="H1394" s="27" t="str">
        <f t="shared" si="45"/>
        <v>HOUSTON TX 77008</v>
      </c>
    </row>
    <row r="1395" spans="1:8" x14ac:dyDescent="0.2">
      <c r="A1395" s="27">
        <f>COUNTIFS(C:C,C1395,D:D,D1395)</f>
        <v>1</v>
      </c>
      <c r="B1395" s="30">
        <v>202101157384</v>
      </c>
      <c r="C1395" s="28" t="s">
        <v>1830</v>
      </c>
      <c r="D1395" s="28" t="s">
        <v>1831</v>
      </c>
      <c r="E1395" s="28" t="s">
        <v>4951</v>
      </c>
      <c r="F1395" s="28" t="s">
        <v>51</v>
      </c>
      <c r="G1395" s="27" t="str">
        <f t="shared" si="44"/>
        <v>18100 WEST ROAD  HOUSTON</v>
      </c>
      <c r="H1395" s="27" t="str">
        <f t="shared" si="45"/>
        <v>HOUSTON TX 77095</v>
      </c>
    </row>
    <row r="1396" spans="1:8" x14ac:dyDescent="0.2">
      <c r="A1396" s="27">
        <f>COUNTIFS(C:C,C1396,D:D,D1396)</f>
        <v>1</v>
      </c>
      <c r="B1396" s="30">
        <v>202101157394</v>
      </c>
      <c r="C1396" t="s">
        <v>3388</v>
      </c>
      <c r="D1396" t="s">
        <v>3389</v>
      </c>
      <c r="E1396" t="s">
        <v>4871</v>
      </c>
      <c r="F1396" t="s">
        <v>51</v>
      </c>
      <c r="G1396" s="27" t="str">
        <f t="shared" si="44"/>
        <v>14614 TECK COURT  HOUSTON</v>
      </c>
      <c r="H1396" s="27" t="str">
        <f t="shared" si="45"/>
        <v>HOUSTON TX 77047</v>
      </c>
    </row>
    <row r="1397" spans="1:8" x14ac:dyDescent="0.2">
      <c r="A1397" s="27">
        <f>COUNTIFS(C:C,C1397,D:D,D1397)</f>
        <v>1</v>
      </c>
      <c r="B1397" s="30">
        <v>202101157398</v>
      </c>
      <c r="C1397" s="28" t="s">
        <v>668</v>
      </c>
      <c r="D1397" s="28" t="s">
        <v>669</v>
      </c>
      <c r="E1397" s="28" t="s">
        <v>4860</v>
      </c>
      <c r="F1397" s="28" t="s">
        <v>284</v>
      </c>
      <c r="G1397" s="27" t="str">
        <f t="shared" si="44"/>
        <v>502 E FAYLE ST  BAYTOWN</v>
      </c>
      <c r="H1397" s="27" t="str">
        <f t="shared" si="45"/>
        <v>HOUSTON TX 77520</v>
      </c>
    </row>
    <row r="1398" spans="1:8" x14ac:dyDescent="0.2">
      <c r="A1398" s="27">
        <f>COUNTIFS(C:C,C1398,D:D,D1398)</f>
        <v>1</v>
      </c>
      <c r="B1398" s="30">
        <v>202101157400</v>
      </c>
      <c r="C1398" s="28" t="s">
        <v>1024</v>
      </c>
      <c r="D1398" s="28" t="s">
        <v>1025</v>
      </c>
      <c r="E1398" s="28" t="s">
        <v>4879</v>
      </c>
      <c r="F1398" s="28" t="s">
        <v>71</v>
      </c>
      <c r="G1398" s="27" t="str">
        <f t="shared" si="44"/>
        <v>2323 GARAPAN ST  HOUSTON</v>
      </c>
      <c r="H1398" s="27" t="str">
        <f t="shared" si="45"/>
        <v>HOUSTON TX 77091</v>
      </c>
    </row>
    <row r="1399" spans="1:8" x14ac:dyDescent="0.2">
      <c r="A1399" s="27">
        <f>COUNTIFS(C:C,C1399,D:D,D1399)</f>
        <v>1</v>
      </c>
      <c r="B1399" s="30">
        <v>202101157402</v>
      </c>
      <c r="C1399" t="s">
        <v>4139</v>
      </c>
      <c r="D1399" t="s">
        <v>4140</v>
      </c>
      <c r="E1399" t="s">
        <v>4898</v>
      </c>
      <c r="F1399" t="s">
        <v>88</v>
      </c>
      <c r="G1399" s="27" t="str">
        <f t="shared" si="44"/>
        <v>9423 MISTY VALE LN  HOUSTON</v>
      </c>
      <c r="H1399" s="27" t="str">
        <f t="shared" si="45"/>
        <v>HOUSTON TX 77075</v>
      </c>
    </row>
    <row r="1400" spans="1:8" x14ac:dyDescent="0.2">
      <c r="A1400" s="27">
        <f>COUNTIFS(C:C,C1400,D:D,D1400)</f>
        <v>1</v>
      </c>
      <c r="B1400" s="30">
        <v>202101157404</v>
      </c>
      <c r="C1400" s="28" t="s">
        <v>1291</v>
      </c>
      <c r="D1400" s="28" t="s">
        <v>1292</v>
      </c>
      <c r="E1400" s="28" t="s">
        <v>4856</v>
      </c>
      <c r="F1400" s="28" t="s">
        <v>64</v>
      </c>
      <c r="G1400" s="27" t="str">
        <f t="shared" si="44"/>
        <v>5501 STARLING ST  HOUSTON</v>
      </c>
      <c r="H1400" s="27" t="str">
        <f t="shared" si="45"/>
        <v>HOUSTON TX 77017</v>
      </c>
    </row>
    <row r="1401" spans="1:8" x14ac:dyDescent="0.2">
      <c r="A1401" s="27">
        <f>COUNTIFS(C:C,C1401,D:D,D1401)</f>
        <v>1</v>
      </c>
      <c r="B1401" s="30">
        <v>202101157405</v>
      </c>
      <c r="C1401" s="28" t="s">
        <v>1621</v>
      </c>
      <c r="D1401" s="28" t="s">
        <v>1622</v>
      </c>
      <c r="E1401" s="28" t="s">
        <v>5060</v>
      </c>
      <c r="F1401" s="28" t="s">
        <v>79</v>
      </c>
      <c r="G1401" s="27" t="str">
        <f t="shared" si="44"/>
        <v>10770 BARLEY LANE  HOUSTON</v>
      </c>
      <c r="H1401" s="27" t="str">
        <f t="shared" si="45"/>
        <v>HOUSTON TX 77070</v>
      </c>
    </row>
    <row r="1402" spans="1:8" x14ac:dyDescent="0.2">
      <c r="A1402" s="27">
        <f>COUNTIFS(C:C,C1402,D:D,D1402)</f>
        <v>1</v>
      </c>
      <c r="B1402" s="30">
        <v>202101157409</v>
      </c>
      <c r="C1402" t="s">
        <v>2991</v>
      </c>
      <c r="D1402" t="s">
        <v>2992</v>
      </c>
      <c r="E1402" t="s">
        <v>4966</v>
      </c>
      <c r="F1402" t="s">
        <v>53</v>
      </c>
      <c r="G1402" s="27" t="str">
        <f t="shared" si="44"/>
        <v>2202 KINGSDALE DR  DEER PARK</v>
      </c>
      <c r="H1402" s="27" t="str">
        <f t="shared" si="45"/>
        <v>HOUSTON TX 77536</v>
      </c>
    </row>
    <row r="1403" spans="1:8" x14ac:dyDescent="0.2">
      <c r="A1403" s="27">
        <f>COUNTIFS(C:C,C1403,D:D,D1403)</f>
        <v>1</v>
      </c>
      <c r="B1403" s="30">
        <v>202101157415</v>
      </c>
      <c r="C1403" t="s">
        <v>2091</v>
      </c>
      <c r="D1403" t="s">
        <v>2092</v>
      </c>
      <c r="E1403" t="s">
        <v>5092</v>
      </c>
      <c r="F1403" t="s">
        <v>87</v>
      </c>
      <c r="G1403" s="27" t="str">
        <f t="shared" si="44"/>
        <v>11003 ALMOND GROVE  HUMBLE</v>
      </c>
      <c r="H1403" s="27" t="str">
        <f t="shared" si="45"/>
        <v xml:space="preserve">HOUSTON TX      </v>
      </c>
    </row>
    <row r="1404" spans="1:8" x14ac:dyDescent="0.2">
      <c r="A1404" s="27">
        <f>COUNTIFS(C:C,C1404,D:D,D1404)</f>
        <v>1</v>
      </c>
      <c r="B1404" s="30">
        <v>202101157417</v>
      </c>
      <c r="C1404" t="s">
        <v>2350</v>
      </c>
      <c r="D1404" t="s">
        <v>2351</v>
      </c>
      <c r="E1404" t="s">
        <v>5060</v>
      </c>
      <c r="F1404" t="s">
        <v>68</v>
      </c>
      <c r="G1404" s="27" t="str">
        <f t="shared" si="44"/>
        <v>13801 NAPOLI DR 10201  HOUSTON</v>
      </c>
      <c r="H1404" s="27" t="str">
        <f t="shared" si="45"/>
        <v>HOUSTON TX 77070</v>
      </c>
    </row>
    <row r="1405" spans="1:8" x14ac:dyDescent="0.2">
      <c r="A1405" s="27">
        <f>COUNTIFS(C:C,C1405,D:D,D1405)</f>
        <v>1</v>
      </c>
      <c r="B1405" s="30">
        <v>202101157422</v>
      </c>
      <c r="C1405" t="s">
        <v>3005</v>
      </c>
      <c r="D1405" t="s">
        <v>3006</v>
      </c>
      <c r="E1405" t="s">
        <v>4984</v>
      </c>
      <c r="F1405" t="s">
        <v>88</v>
      </c>
      <c r="G1405" s="27" t="str">
        <f t="shared" si="44"/>
        <v>3430 FALCON TRAIL CT  SPRING</v>
      </c>
      <c r="H1405" s="27" t="str">
        <f t="shared" si="45"/>
        <v>HOUSTON TX 77373</v>
      </c>
    </row>
    <row r="1406" spans="1:8" x14ac:dyDescent="0.2">
      <c r="A1406" s="27">
        <f>COUNTIFS(C:C,C1406,D:D,D1406)</f>
        <v>1</v>
      </c>
      <c r="B1406" s="30">
        <v>202101157424</v>
      </c>
      <c r="C1406" t="s">
        <v>2128</v>
      </c>
      <c r="D1406" t="s">
        <v>2129</v>
      </c>
      <c r="E1406" t="s">
        <v>5104</v>
      </c>
      <c r="F1406" t="s">
        <v>90</v>
      </c>
      <c r="G1406" s="27" t="str">
        <f t="shared" si="44"/>
        <v>12800 DUNLAP  HOUSTON</v>
      </c>
      <c r="H1406" s="27" t="str">
        <f t="shared" si="45"/>
        <v>HOUSTON TX 77085</v>
      </c>
    </row>
    <row r="1407" spans="1:8" x14ac:dyDescent="0.2">
      <c r="A1407" s="27">
        <f>COUNTIFS(C:C,C1407,D:D,D1407)</f>
        <v>1</v>
      </c>
      <c r="B1407" s="30">
        <v>202101157425</v>
      </c>
      <c r="C1407" t="s">
        <v>3057</v>
      </c>
      <c r="D1407" t="s">
        <v>3058</v>
      </c>
      <c r="E1407" t="s">
        <v>4981</v>
      </c>
      <c r="F1407" t="s">
        <v>79</v>
      </c>
      <c r="G1407" s="27" t="str">
        <f t="shared" si="44"/>
        <v>12425 PALMWAY  HOUSTON</v>
      </c>
      <c r="H1407" s="27" t="str">
        <f t="shared" si="45"/>
        <v>HOUSTON TX 77034</v>
      </c>
    </row>
    <row r="1408" spans="1:8" x14ac:dyDescent="0.2">
      <c r="A1408" s="27">
        <f>COUNTIFS(C:C,C1408,D:D,D1408)</f>
        <v>1</v>
      </c>
      <c r="B1408" s="30">
        <v>202101157426</v>
      </c>
      <c r="C1408" t="s">
        <v>4141</v>
      </c>
      <c r="D1408" t="s">
        <v>4142</v>
      </c>
      <c r="E1408" t="s">
        <v>4901</v>
      </c>
      <c r="F1408" t="s">
        <v>78</v>
      </c>
      <c r="G1408" s="27" t="str">
        <f t="shared" si="44"/>
        <v>7520 COOK RD 2505  HOUSTON</v>
      </c>
      <c r="H1408" s="27" t="str">
        <f t="shared" si="45"/>
        <v>HOUSTON TX 77072</v>
      </c>
    </row>
    <row r="1409" spans="1:8" x14ac:dyDescent="0.2">
      <c r="A1409" s="27">
        <f>COUNTIFS(C:C,C1409,D:D,D1409)</f>
        <v>1</v>
      </c>
      <c r="B1409" s="30">
        <v>202101157427</v>
      </c>
      <c r="C1409" t="s">
        <v>2081</v>
      </c>
      <c r="D1409" t="s">
        <v>2082</v>
      </c>
      <c r="E1409" t="s">
        <v>4981</v>
      </c>
      <c r="F1409" t="s">
        <v>88</v>
      </c>
      <c r="G1409" s="27" t="str">
        <f t="shared" si="44"/>
        <v>10600 SOUTHDOWN TRACE  HOUSTON</v>
      </c>
      <c r="H1409" s="27" t="str">
        <f t="shared" si="45"/>
        <v>HOUSTON TX 77034</v>
      </c>
    </row>
    <row r="1410" spans="1:8" x14ac:dyDescent="0.2">
      <c r="A1410" s="27">
        <f>COUNTIFS(C:C,C1410,D:D,D1410)</f>
        <v>1</v>
      </c>
      <c r="B1410" s="30">
        <v>202101157428</v>
      </c>
      <c r="C1410" t="s">
        <v>4143</v>
      </c>
      <c r="D1410" t="s">
        <v>4144</v>
      </c>
      <c r="E1410" t="s">
        <v>4986</v>
      </c>
      <c r="F1410" t="s">
        <v>88</v>
      </c>
      <c r="G1410" s="27" t="str">
        <f t="shared" si="44"/>
        <v>832 WILSON RD  HUMBLE</v>
      </c>
      <c r="H1410" s="27" t="str">
        <f t="shared" si="45"/>
        <v>HOUSTON TX 77338</v>
      </c>
    </row>
    <row r="1411" spans="1:8" x14ac:dyDescent="0.2">
      <c r="A1411" s="27">
        <f>COUNTIFS(C:C,C1411,D:D,D1411)</f>
        <v>1</v>
      </c>
      <c r="B1411" s="30">
        <v>202101157429</v>
      </c>
      <c r="C1411" t="s">
        <v>3232</v>
      </c>
      <c r="D1411" t="s">
        <v>3233</v>
      </c>
      <c r="E1411" t="s">
        <v>4875</v>
      </c>
      <c r="F1411" t="s">
        <v>79</v>
      </c>
      <c r="G1411" s="27" t="str">
        <f t="shared" si="44"/>
        <v>4526 OTTERBURY DR  HOUSTON</v>
      </c>
      <c r="H1411" s="27" t="str">
        <f t="shared" si="45"/>
        <v>HOUSTON TX 77093</v>
      </c>
    </row>
    <row r="1412" spans="1:8" x14ac:dyDescent="0.2">
      <c r="A1412" s="27">
        <f>COUNTIFS(C:C,C1412,D:D,D1412)</f>
        <v>1</v>
      </c>
      <c r="B1412" s="30">
        <v>202101157430</v>
      </c>
      <c r="C1412" t="s">
        <v>2368</v>
      </c>
      <c r="D1412" t="s">
        <v>2369</v>
      </c>
      <c r="E1412" t="s">
        <v>5125</v>
      </c>
      <c r="F1412" t="s">
        <v>88</v>
      </c>
      <c r="G1412" s="27" t="str">
        <f t="shared" si="44"/>
        <v>5511 WOODLAND GLADE  HARRIS CO</v>
      </c>
      <c r="H1412" s="27" t="str">
        <f t="shared" si="45"/>
        <v>HOUSTON TX 77066</v>
      </c>
    </row>
    <row r="1413" spans="1:8" x14ac:dyDescent="0.2">
      <c r="A1413" s="27">
        <f>COUNTIFS(C:C,C1413,D:D,D1413)</f>
        <v>1</v>
      </c>
      <c r="B1413" s="30">
        <v>202101157435</v>
      </c>
      <c r="C1413" t="s">
        <v>4145</v>
      </c>
      <c r="D1413" t="s">
        <v>4146</v>
      </c>
      <c r="E1413" t="s">
        <v>5052</v>
      </c>
      <c r="F1413" t="s">
        <v>53</v>
      </c>
      <c r="G1413" s="27" t="str">
        <f t="shared" si="44"/>
        <v>4200 CYPRESS CREEK P KWY HOUSTON</v>
      </c>
      <c r="H1413" s="27" t="str">
        <f t="shared" si="45"/>
        <v>HOUSTON TX 77068</v>
      </c>
    </row>
    <row r="1414" spans="1:8" x14ac:dyDescent="0.2">
      <c r="A1414" s="27">
        <f>COUNTIFS(C:C,C1414,D:D,D1414)</f>
        <v>1</v>
      </c>
      <c r="B1414" s="30">
        <v>202101157437</v>
      </c>
      <c r="C1414" t="s">
        <v>4147</v>
      </c>
      <c r="D1414" t="s">
        <v>4148</v>
      </c>
      <c r="E1414" t="s">
        <v>5252</v>
      </c>
      <c r="F1414" t="s">
        <v>87</v>
      </c>
      <c r="G1414" s="27" t="e">
        <f t="shared" si="44"/>
        <v>#VALUE!</v>
      </c>
      <c r="H1414" s="27" t="e">
        <f t="shared" si="45"/>
        <v>#VALUE!</v>
      </c>
    </row>
    <row r="1415" spans="1:8" x14ac:dyDescent="0.2">
      <c r="A1415" s="27">
        <f>COUNTIFS(C:C,C1415,D:D,D1415)</f>
        <v>1</v>
      </c>
      <c r="B1415" s="30">
        <v>202101157440</v>
      </c>
      <c r="C1415" s="28" t="s">
        <v>821</v>
      </c>
      <c r="D1415" s="28" t="s">
        <v>1268</v>
      </c>
      <c r="E1415" s="28" t="s">
        <v>4952</v>
      </c>
      <c r="F1415" s="28" t="s">
        <v>53</v>
      </c>
      <c r="G1415" s="27" t="str">
        <f t="shared" si="44"/>
        <v>507 SHAVER ST  PASADENA</v>
      </c>
      <c r="H1415" s="27" t="str">
        <f t="shared" si="45"/>
        <v>HOUSTON TX 77506</v>
      </c>
    </row>
    <row r="1416" spans="1:8" x14ac:dyDescent="0.2">
      <c r="A1416" s="27">
        <f>COUNTIFS(C:C,C1416,D:D,D1416)</f>
        <v>1</v>
      </c>
      <c r="B1416" s="30">
        <v>202101157444</v>
      </c>
      <c r="C1416" s="28" t="s">
        <v>1512</v>
      </c>
      <c r="D1416" s="28" t="s">
        <v>1513</v>
      </c>
      <c r="E1416" s="28" t="s">
        <v>4937</v>
      </c>
      <c r="F1416" s="28" t="s">
        <v>53</v>
      </c>
      <c r="G1416" s="27" t="str">
        <f t="shared" si="44"/>
        <v>6522 WESTOVER STREET  HOUSTON</v>
      </c>
      <c r="H1416" s="27" t="str">
        <f t="shared" si="45"/>
        <v>HOUSTON TX 77087</v>
      </c>
    </row>
    <row r="1417" spans="1:8" x14ac:dyDescent="0.2">
      <c r="A1417" s="27">
        <f>COUNTIFS(C:C,C1417,D:D,D1417)</f>
        <v>1</v>
      </c>
      <c r="B1417" s="30">
        <v>202101157445</v>
      </c>
      <c r="C1417" t="s">
        <v>3406</v>
      </c>
      <c r="D1417" t="s">
        <v>3407</v>
      </c>
      <c r="E1417" t="s">
        <v>5186</v>
      </c>
      <c r="F1417" t="s">
        <v>88</v>
      </c>
      <c r="G1417" s="27" t="str">
        <f t="shared" si="44"/>
        <v>1660 WILLOW BEND DR  VIDOR</v>
      </c>
      <c r="H1417" s="27" t="str">
        <f t="shared" si="45"/>
        <v>HOUSTON TX 77662</v>
      </c>
    </row>
    <row r="1418" spans="1:8" x14ac:dyDescent="0.2">
      <c r="A1418" s="27">
        <f>COUNTIFS(C:C,C1418,D:D,D1418)</f>
        <v>1</v>
      </c>
      <c r="B1418" s="30">
        <v>202101157446</v>
      </c>
      <c r="C1418" t="s">
        <v>3386</v>
      </c>
      <c r="D1418" t="s">
        <v>3387</v>
      </c>
      <c r="E1418" t="s">
        <v>4852</v>
      </c>
      <c r="F1418" t="s">
        <v>53</v>
      </c>
      <c r="G1418" s="27" t="str">
        <f t="shared" si="44"/>
        <v>6339 ANNUNCIATION ST  HOUSTON</v>
      </c>
      <c r="H1418" s="27" t="str">
        <f t="shared" si="45"/>
        <v>HOUSTON TX 77016</v>
      </c>
    </row>
    <row r="1419" spans="1:8" x14ac:dyDescent="0.2">
      <c r="A1419" s="27">
        <f>COUNTIFS(C:C,C1419,D:D,D1419)</f>
        <v>1</v>
      </c>
      <c r="B1419" s="30">
        <v>202101157450</v>
      </c>
      <c r="C1419" t="s">
        <v>4149</v>
      </c>
      <c r="D1419" t="s">
        <v>4150</v>
      </c>
      <c r="E1419" t="s">
        <v>4907</v>
      </c>
      <c r="F1419" t="s">
        <v>53</v>
      </c>
      <c r="G1419" s="27" t="str">
        <f t="shared" si="44"/>
        <v>715 ARION LN  PASADENA</v>
      </c>
      <c r="H1419" s="27" t="str">
        <f t="shared" si="45"/>
        <v>HOUSTON TX 77502</v>
      </c>
    </row>
    <row r="1420" spans="1:8" x14ac:dyDescent="0.2">
      <c r="A1420" s="27">
        <f>COUNTIFS(C:C,C1420,D:D,D1420)</f>
        <v>1</v>
      </c>
      <c r="B1420" s="30">
        <v>202101157454</v>
      </c>
      <c r="C1420" t="s">
        <v>4151</v>
      </c>
      <c r="D1420" t="s">
        <v>4152</v>
      </c>
      <c r="E1420" t="s">
        <v>4875</v>
      </c>
      <c r="F1420" t="s">
        <v>53</v>
      </c>
      <c r="G1420" s="27" t="str">
        <f t="shared" si="44"/>
        <v>2202 CHAMERLAIN STRE ET HOUSTON</v>
      </c>
      <c r="H1420" s="27" t="str">
        <f t="shared" si="45"/>
        <v>HOUSTON TX 77093</v>
      </c>
    </row>
    <row r="1421" spans="1:8" x14ac:dyDescent="0.2">
      <c r="A1421" s="27">
        <f>COUNTIFS(C:C,C1421,D:D,D1421)</f>
        <v>1</v>
      </c>
      <c r="B1421" s="30">
        <v>202101157457</v>
      </c>
      <c r="C1421" t="s">
        <v>3124</v>
      </c>
      <c r="D1421" t="s">
        <v>3125</v>
      </c>
      <c r="E1421" t="s">
        <v>4859</v>
      </c>
      <c r="F1421" t="s">
        <v>94</v>
      </c>
      <c r="G1421" s="27" t="str">
        <f t="shared" si="44"/>
        <v>515 REMINGTON LODGE CT HOUSTON</v>
      </c>
      <c r="H1421" s="27" t="str">
        <f t="shared" si="45"/>
        <v>HOUSTON TX 77073</v>
      </c>
    </row>
    <row r="1422" spans="1:8" x14ac:dyDescent="0.2">
      <c r="A1422" s="27">
        <f>COUNTIFS(C:C,C1422,D:D,D1422)</f>
        <v>1</v>
      </c>
      <c r="B1422" s="30">
        <v>202101157459</v>
      </c>
      <c r="C1422" s="28" t="s">
        <v>1756</v>
      </c>
      <c r="D1422" s="28" t="s">
        <v>1757</v>
      </c>
      <c r="E1422" s="28" t="s">
        <v>5073</v>
      </c>
      <c r="F1422" s="28" t="s">
        <v>88</v>
      </c>
      <c r="G1422" s="27" t="str">
        <f t="shared" si="44"/>
        <v>2514 LAWRENCE ST  HOUSTON</v>
      </c>
      <c r="H1422" s="27" t="str">
        <f t="shared" si="45"/>
        <v>HOUSTON TX 77008</v>
      </c>
    </row>
    <row r="1423" spans="1:8" x14ac:dyDescent="0.2">
      <c r="A1423" s="27">
        <f>COUNTIFS(C:C,C1423,D:D,D1423)</f>
        <v>1</v>
      </c>
      <c r="B1423" s="30">
        <v>202101157463</v>
      </c>
      <c r="C1423" t="s">
        <v>3087</v>
      </c>
      <c r="D1423" t="s">
        <v>3088</v>
      </c>
      <c r="E1423" t="s">
        <v>4896</v>
      </c>
      <c r="F1423" t="s">
        <v>88</v>
      </c>
      <c r="G1423" s="27" t="str">
        <f t="shared" si="44"/>
        <v>8721 TOWN PARK DR  HOUSTON</v>
      </c>
      <c r="H1423" s="27" t="str">
        <f t="shared" si="45"/>
        <v>HOUSTON TX 77036</v>
      </c>
    </row>
    <row r="1424" spans="1:8" x14ac:dyDescent="0.2">
      <c r="A1424" s="27">
        <f>COUNTIFS(C:C,C1424,D:D,D1424)</f>
        <v>1</v>
      </c>
      <c r="B1424" s="30">
        <v>202101157467</v>
      </c>
      <c r="C1424" t="s">
        <v>4153</v>
      </c>
      <c r="D1424" t="s">
        <v>4154</v>
      </c>
      <c r="E1424" t="s">
        <v>5253</v>
      </c>
      <c r="F1424" t="s">
        <v>379</v>
      </c>
      <c r="G1424" s="27" t="str">
        <f t="shared" si="44"/>
        <v>2327 BECKER DR  BRENHAM</v>
      </c>
      <c r="H1424" s="27" t="str">
        <f t="shared" si="45"/>
        <v>HOUSTON TX 77833</v>
      </c>
    </row>
    <row r="1425" spans="1:8" x14ac:dyDescent="0.2">
      <c r="A1425" s="27">
        <f>COUNTIFS(C:C,C1425,D:D,D1425)</f>
        <v>1</v>
      </c>
      <c r="B1425" s="30">
        <v>202101157472</v>
      </c>
      <c r="C1425" t="s">
        <v>4155</v>
      </c>
      <c r="D1425" t="s">
        <v>4156</v>
      </c>
      <c r="E1425" t="s">
        <v>4914</v>
      </c>
      <c r="F1425" t="s">
        <v>53</v>
      </c>
      <c r="G1425" s="27" t="str">
        <f t="shared" si="44"/>
        <v>14698 BRIAR FOREST DR 5104 HOUSTON</v>
      </c>
      <c r="H1425" s="27" t="str">
        <f t="shared" si="45"/>
        <v>HOUSTON TX 77077</v>
      </c>
    </row>
    <row r="1426" spans="1:8" x14ac:dyDescent="0.2">
      <c r="A1426" s="27">
        <f>COUNTIFS(C:C,C1426,D:D,D1426)</f>
        <v>1</v>
      </c>
      <c r="B1426" s="30">
        <v>202101157473</v>
      </c>
      <c r="C1426" s="28" t="s">
        <v>1135</v>
      </c>
      <c r="D1426" s="28" t="s">
        <v>1136</v>
      </c>
      <c r="E1426" s="28" t="s">
        <v>4853</v>
      </c>
      <c r="F1426" s="28" t="s">
        <v>96</v>
      </c>
      <c r="G1426" s="27" t="str">
        <f t="shared" si="44"/>
        <v>12550 JOHN F KENNEDY BLVD HOUSTON</v>
      </c>
      <c r="H1426" s="27" t="str">
        <f t="shared" si="45"/>
        <v>HOUSTON TX 77039</v>
      </c>
    </row>
    <row r="1427" spans="1:8" x14ac:dyDescent="0.2">
      <c r="A1427" s="27">
        <f>COUNTIFS(C:C,C1427,D:D,D1427)</f>
        <v>1</v>
      </c>
      <c r="B1427" s="30">
        <v>202101157475</v>
      </c>
      <c r="C1427" t="s">
        <v>4157</v>
      </c>
      <c r="D1427" t="s">
        <v>4158</v>
      </c>
      <c r="E1427" t="s">
        <v>4982</v>
      </c>
      <c r="F1427" t="s">
        <v>88</v>
      </c>
      <c r="G1427" s="27" t="str">
        <f t="shared" si="44"/>
        <v>12818 HIGHMANOR DRIVE  HOUSTON</v>
      </c>
      <c r="H1427" s="27" t="str">
        <f t="shared" si="45"/>
        <v>HOUSTON TX 77038</v>
      </c>
    </row>
    <row r="1428" spans="1:8" x14ac:dyDescent="0.2">
      <c r="A1428" s="27">
        <f>COUNTIFS(C:C,C1428,D:D,D1428)</f>
        <v>1</v>
      </c>
      <c r="B1428" s="30">
        <v>202101157476</v>
      </c>
      <c r="C1428" t="s">
        <v>2721</v>
      </c>
      <c r="D1428" t="s">
        <v>2722</v>
      </c>
      <c r="E1428" t="s">
        <v>5151</v>
      </c>
      <c r="F1428" t="s">
        <v>4813</v>
      </c>
      <c r="G1428" s="27" t="str">
        <f t="shared" si="44"/>
        <v>806 VIRGINIA ST  SOUTH HOUS</v>
      </c>
      <c r="H1428" s="27" t="str">
        <f t="shared" si="45"/>
        <v xml:space="preserve">HOUSTON TX      </v>
      </c>
    </row>
    <row r="1429" spans="1:8" x14ac:dyDescent="0.2">
      <c r="A1429" s="27">
        <f>COUNTIFS(C:C,C1429,D:D,D1429)</f>
        <v>1</v>
      </c>
      <c r="B1429" s="30">
        <v>202101157478</v>
      </c>
      <c r="C1429" s="28" t="s">
        <v>1056</v>
      </c>
      <c r="D1429" s="28" t="s">
        <v>1057</v>
      </c>
      <c r="E1429" s="28" t="s">
        <v>4954</v>
      </c>
      <c r="F1429" s="28" t="s">
        <v>56</v>
      </c>
      <c r="G1429" s="27" t="str">
        <f t="shared" si="44"/>
        <v>3424 STERLING GARDEN LN PEARLAND</v>
      </c>
      <c r="H1429" s="27" t="str">
        <f t="shared" si="45"/>
        <v>HOUSTON TX 77584</v>
      </c>
    </row>
    <row r="1430" spans="1:8" x14ac:dyDescent="0.2">
      <c r="A1430" s="27">
        <f>COUNTIFS(C:C,C1430,D:D,D1430)</f>
        <v>1</v>
      </c>
      <c r="B1430" s="30">
        <v>202101157479</v>
      </c>
      <c r="C1430" s="28" t="s">
        <v>478</v>
      </c>
      <c r="D1430" s="28" t="s">
        <v>479</v>
      </c>
      <c r="E1430" s="28" t="s">
        <v>4880</v>
      </c>
      <c r="F1430" s="28" t="s">
        <v>51</v>
      </c>
      <c r="G1430" s="27" t="str">
        <f t="shared" si="44"/>
        <v>2802 FRANCIS ST  HOUSTON</v>
      </c>
      <c r="H1430" s="27" t="str">
        <f t="shared" si="45"/>
        <v>HOUSTON TX 77004</v>
      </c>
    </row>
    <row r="1431" spans="1:8" x14ac:dyDescent="0.2">
      <c r="A1431" s="27">
        <f>COUNTIFS(C:C,C1431,D:D,D1431)</f>
        <v>1</v>
      </c>
      <c r="B1431" s="30">
        <v>202101157495</v>
      </c>
      <c r="C1431" s="28" t="s">
        <v>1171</v>
      </c>
      <c r="D1431" s="28" t="s">
        <v>1172</v>
      </c>
      <c r="E1431" s="28" t="s">
        <v>5008</v>
      </c>
      <c r="F1431" s="28" t="s">
        <v>67</v>
      </c>
      <c r="G1431" s="27" t="str">
        <f t="shared" si="44"/>
        <v>25710 BEAVER RUN DR  HUFFMAN</v>
      </c>
      <c r="H1431" s="27" t="str">
        <f t="shared" si="45"/>
        <v>HOUSTON TX 77336</v>
      </c>
    </row>
    <row r="1432" spans="1:8" x14ac:dyDescent="0.2">
      <c r="A1432" s="27">
        <f>COUNTIFS(C:C,C1432,D:D,D1432)</f>
        <v>1</v>
      </c>
      <c r="B1432" s="30">
        <v>202101157499</v>
      </c>
      <c r="C1432" t="s">
        <v>4159</v>
      </c>
      <c r="D1432" t="s">
        <v>4160</v>
      </c>
      <c r="E1432" t="s">
        <v>4866</v>
      </c>
      <c r="F1432" t="s">
        <v>94</v>
      </c>
      <c r="G1432" s="27" t="str">
        <f t="shared" si="44"/>
        <v>600 E LITTLE YORK R D HOUSTON</v>
      </c>
      <c r="H1432" s="27" t="str">
        <f t="shared" si="45"/>
        <v>HOUSTON TX 77076</v>
      </c>
    </row>
    <row r="1433" spans="1:8" x14ac:dyDescent="0.2">
      <c r="A1433" s="27">
        <f>COUNTIFS(C:C,C1433,D:D,D1433)</f>
        <v>1</v>
      </c>
      <c r="B1433" s="30">
        <v>202101157502</v>
      </c>
      <c r="C1433" s="28" t="s">
        <v>1872</v>
      </c>
      <c r="D1433" s="28" t="s">
        <v>1873</v>
      </c>
      <c r="E1433" s="28" t="s">
        <v>4896</v>
      </c>
      <c r="F1433" s="28" t="s">
        <v>88</v>
      </c>
      <c r="G1433" s="27" t="str">
        <f t="shared" si="44"/>
        <v>9307 TRIOLA LN  HOUSTON</v>
      </c>
      <c r="H1433" s="27" t="str">
        <f t="shared" si="45"/>
        <v>HOUSTON TX 77036</v>
      </c>
    </row>
    <row r="1434" spans="1:8" x14ac:dyDescent="0.2">
      <c r="A1434" s="27">
        <f>COUNTIFS(C:C,C1434,D:D,D1434)</f>
        <v>1</v>
      </c>
      <c r="B1434" s="30">
        <v>202101157505</v>
      </c>
      <c r="C1434" s="28" t="s">
        <v>1018</v>
      </c>
      <c r="D1434" s="28" t="s">
        <v>1019</v>
      </c>
      <c r="E1434" s="28" t="s">
        <v>4956</v>
      </c>
      <c r="F1434" s="28" t="s">
        <v>4774</v>
      </c>
      <c r="G1434" s="27" t="str">
        <f t="shared" si="44"/>
        <v>13002 PAPINEAU WOODS  HUMBLE</v>
      </c>
      <c r="H1434" s="27" t="str">
        <f t="shared" si="45"/>
        <v>HOUSTON TX 77346</v>
      </c>
    </row>
    <row r="1435" spans="1:8" x14ac:dyDescent="0.2">
      <c r="A1435" s="27">
        <f>COUNTIFS(C:C,C1435,D:D,D1435)</f>
        <v>1</v>
      </c>
      <c r="B1435" s="30">
        <v>202101157507</v>
      </c>
      <c r="C1435" t="s">
        <v>4161</v>
      </c>
      <c r="D1435" t="s">
        <v>4162</v>
      </c>
      <c r="E1435" t="s">
        <v>4861</v>
      </c>
      <c r="F1435" t="s">
        <v>88</v>
      </c>
      <c r="G1435" s="27" t="str">
        <f t="shared" si="44"/>
        <v>4417 CLOVER ST  HOUSTON</v>
      </c>
      <c r="H1435" s="27" t="str">
        <f t="shared" si="45"/>
        <v>HOUSTON TX 77051</v>
      </c>
    </row>
    <row r="1436" spans="1:8" x14ac:dyDescent="0.2">
      <c r="A1436" s="27">
        <f>COUNTIFS(C:C,C1436,D:D,D1436)</f>
        <v>1</v>
      </c>
      <c r="B1436" s="30">
        <v>202101157510</v>
      </c>
      <c r="C1436" t="s">
        <v>2123</v>
      </c>
      <c r="D1436" t="s">
        <v>2124</v>
      </c>
      <c r="E1436" t="s">
        <v>4954</v>
      </c>
      <c r="F1436" t="s">
        <v>88</v>
      </c>
      <c r="G1436" s="27" t="str">
        <f t="shared" si="44"/>
        <v>2734 ASH RD  PEARLAND</v>
      </c>
      <c r="H1436" s="27" t="str">
        <f t="shared" si="45"/>
        <v>HOUSTON TX 77584</v>
      </c>
    </row>
    <row r="1437" spans="1:8" x14ac:dyDescent="0.2">
      <c r="A1437" s="27">
        <f>COUNTIFS(C:C,C1437,D:D,D1437)</f>
        <v>1</v>
      </c>
      <c r="B1437" s="30">
        <v>202101157516</v>
      </c>
      <c r="C1437" t="s">
        <v>2627</v>
      </c>
      <c r="D1437" t="s">
        <v>2628</v>
      </c>
      <c r="E1437" t="s">
        <v>5005</v>
      </c>
      <c r="F1437" t="s">
        <v>4811</v>
      </c>
      <c r="G1437" s="27" t="str">
        <f t="shared" si="44"/>
        <v>5621 ALDINE BENDER  HOUSTON</v>
      </c>
      <c r="H1437" s="27" t="str">
        <f t="shared" si="45"/>
        <v>HOUSTON TX 77032</v>
      </c>
    </row>
    <row r="1438" spans="1:8" x14ac:dyDescent="0.2">
      <c r="A1438" s="27">
        <f>COUNTIFS(C:C,C1438,D:D,D1438)</f>
        <v>1</v>
      </c>
      <c r="B1438" s="30">
        <v>202101157517</v>
      </c>
      <c r="C1438" t="s">
        <v>4163</v>
      </c>
      <c r="D1438" t="s">
        <v>4164</v>
      </c>
      <c r="E1438" t="s">
        <v>5165</v>
      </c>
      <c r="F1438" t="s">
        <v>88</v>
      </c>
      <c r="G1438" s="27" t="str">
        <f t="shared" si="44"/>
        <v>3306 FALLING BROOK  SUGARLAND</v>
      </c>
      <c r="H1438" s="27" t="str">
        <f t="shared" si="45"/>
        <v>HOUSTON TX 77479</v>
      </c>
    </row>
    <row r="1439" spans="1:8" x14ac:dyDescent="0.2">
      <c r="A1439" s="27">
        <f>COUNTIFS(C:C,C1439,D:D,D1439)</f>
        <v>1</v>
      </c>
      <c r="B1439" s="30">
        <v>202101157518</v>
      </c>
      <c r="C1439" t="s">
        <v>4165</v>
      </c>
      <c r="D1439" t="s">
        <v>4166</v>
      </c>
      <c r="E1439" t="s">
        <v>4969</v>
      </c>
      <c r="F1439" t="s">
        <v>4844</v>
      </c>
      <c r="G1439" s="27" t="str">
        <f t="shared" si="44"/>
        <v>19006 KENSWICK COVE D R TOMBALL</v>
      </c>
      <c r="H1439" s="27" t="str">
        <f t="shared" si="45"/>
        <v>HOUSTON TX 77375</v>
      </c>
    </row>
    <row r="1440" spans="1:8" x14ac:dyDescent="0.2">
      <c r="A1440" s="27">
        <f>COUNTIFS(C:C,C1440,D:D,D1440)</f>
        <v>1</v>
      </c>
      <c r="B1440" s="30">
        <v>202101157521</v>
      </c>
      <c r="C1440" t="s">
        <v>4167</v>
      </c>
      <c r="D1440" t="s">
        <v>4168</v>
      </c>
      <c r="E1440" t="s">
        <v>4853</v>
      </c>
      <c r="F1440" t="s">
        <v>93</v>
      </c>
      <c r="G1440" s="27" t="str">
        <f t="shared" si="44"/>
        <v>13916 ALDINE WESTFIEL D RD HOUSTON</v>
      </c>
      <c r="H1440" s="27" t="str">
        <f t="shared" si="45"/>
        <v>HOUSTON TX 77039</v>
      </c>
    </row>
    <row r="1441" spans="1:8" x14ac:dyDescent="0.2">
      <c r="A1441" s="27">
        <f>COUNTIFS(C:C,C1441,D:D,D1441)</f>
        <v>1</v>
      </c>
      <c r="B1441" s="30">
        <v>202101157522</v>
      </c>
      <c r="C1441" t="s">
        <v>4169</v>
      </c>
      <c r="D1441" t="s">
        <v>4170</v>
      </c>
      <c r="E1441" t="s">
        <v>4933</v>
      </c>
      <c r="F1441" t="s">
        <v>53</v>
      </c>
      <c r="G1441" s="27" t="str">
        <f t="shared" si="44"/>
        <v>2514 POMERAN  HOUSTON</v>
      </c>
      <c r="H1441" s="27" t="str">
        <f t="shared" si="45"/>
        <v>HOUSTON TX 77080</v>
      </c>
    </row>
    <row r="1442" spans="1:8" x14ac:dyDescent="0.2">
      <c r="A1442" s="27">
        <f>COUNTIFS(C:C,C1442,D:D,D1442)</f>
        <v>1</v>
      </c>
      <c r="B1442" s="30">
        <v>202101157523</v>
      </c>
      <c r="C1442" t="s">
        <v>2645</v>
      </c>
      <c r="D1442" t="s">
        <v>2646</v>
      </c>
      <c r="E1442" t="s">
        <v>5005</v>
      </c>
      <c r="F1442" t="s">
        <v>64</v>
      </c>
      <c r="G1442" s="27" t="str">
        <f t="shared" si="44"/>
        <v>15004 CORSSWINDS  HOUSTON</v>
      </c>
      <c r="H1442" s="27" t="str">
        <f t="shared" si="45"/>
        <v>HOUSTON TX 77032</v>
      </c>
    </row>
    <row r="1443" spans="1:8" x14ac:dyDescent="0.2">
      <c r="A1443" s="27">
        <f>COUNTIFS(C:C,C1443,D:D,D1443)</f>
        <v>1</v>
      </c>
      <c r="B1443" s="30">
        <v>202101157524</v>
      </c>
      <c r="C1443" t="s">
        <v>3336</v>
      </c>
      <c r="D1443" t="s">
        <v>3337</v>
      </c>
      <c r="E1443" t="s">
        <v>4956</v>
      </c>
      <c r="F1443" t="s">
        <v>53</v>
      </c>
      <c r="G1443" s="27" t="str">
        <f t="shared" si="44"/>
        <v>5503 MOSSY TIMBERS D R HUMBLE</v>
      </c>
      <c r="H1443" s="27" t="str">
        <f t="shared" si="45"/>
        <v>HOUSTON TX 77346</v>
      </c>
    </row>
    <row r="1444" spans="1:8" x14ac:dyDescent="0.2">
      <c r="A1444" s="27">
        <f>COUNTIFS(C:C,C1444,D:D,D1444)</f>
        <v>1</v>
      </c>
      <c r="B1444" s="30">
        <v>202101157525</v>
      </c>
      <c r="C1444" t="s">
        <v>4171</v>
      </c>
      <c r="D1444" t="s">
        <v>4172</v>
      </c>
      <c r="E1444" t="s">
        <v>5254</v>
      </c>
      <c r="F1444" t="s">
        <v>71</v>
      </c>
      <c r="G1444" s="27" t="str">
        <f t="shared" si="44"/>
        <v>903 AUTUMN FLATS WA Y HOUSTON</v>
      </c>
      <c r="H1444" s="27" t="str">
        <f t="shared" si="45"/>
        <v>HOUSTON TX 77583</v>
      </c>
    </row>
    <row r="1445" spans="1:8" x14ac:dyDescent="0.2">
      <c r="A1445" s="27">
        <f>COUNTIFS(C:C,C1445,D:D,D1445)</f>
        <v>1</v>
      </c>
      <c r="B1445" s="30">
        <v>202101157527</v>
      </c>
      <c r="C1445" t="s">
        <v>2492</v>
      </c>
      <c r="D1445" t="s">
        <v>2493</v>
      </c>
      <c r="E1445" t="s">
        <v>4866</v>
      </c>
      <c r="F1445" t="s">
        <v>53</v>
      </c>
      <c r="G1445" s="27" t="str">
        <f t="shared" si="44"/>
        <v>249 TURNER DR  HOUSTON</v>
      </c>
      <c r="H1445" s="27" t="str">
        <f t="shared" si="45"/>
        <v>HOUSTON TX 77076</v>
      </c>
    </row>
    <row r="1446" spans="1:8" x14ac:dyDescent="0.2">
      <c r="A1446" s="27">
        <f>COUNTIFS(C:C,C1446,D:D,D1446)</f>
        <v>1</v>
      </c>
      <c r="B1446" s="30">
        <v>202101157529</v>
      </c>
      <c r="C1446" s="28" t="s">
        <v>555</v>
      </c>
      <c r="D1446" s="28" t="s">
        <v>556</v>
      </c>
      <c r="E1446" s="28" t="s">
        <v>4906</v>
      </c>
      <c r="F1446" s="28" t="s">
        <v>65</v>
      </c>
      <c r="G1446" s="27" t="str">
        <f t="shared" si="44"/>
        <v>4343 S SHAVER ST  PASADENA</v>
      </c>
      <c r="H1446" s="27" t="str">
        <f t="shared" si="45"/>
        <v>HOUSTON TX 77504</v>
      </c>
    </row>
    <row r="1447" spans="1:8" x14ac:dyDescent="0.2">
      <c r="A1447" s="27">
        <f>COUNTIFS(C:C,C1447,D:D,D1447)</f>
        <v>1</v>
      </c>
      <c r="B1447" s="30">
        <v>202101157532</v>
      </c>
      <c r="C1447" t="s">
        <v>1986</v>
      </c>
      <c r="D1447" t="s">
        <v>1987</v>
      </c>
      <c r="E1447" t="s">
        <v>4953</v>
      </c>
      <c r="F1447" t="s">
        <v>53</v>
      </c>
      <c r="G1447" s="27" t="str">
        <f t="shared" si="44"/>
        <v>716 NUECES  HOUSTON</v>
      </c>
      <c r="H1447" s="27" t="str">
        <f t="shared" si="45"/>
        <v>HOUSTON TX 77012</v>
      </c>
    </row>
    <row r="1448" spans="1:8" x14ac:dyDescent="0.2">
      <c r="A1448" s="27">
        <f>COUNTIFS(C:C,C1448,D:D,D1448)</f>
        <v>1</v>
      </c>
      <c r="B1448" s="30">
        <v>202101157533</v>
      </c>
      <c r="C1448" t="s">
        <v>2360</v>
      </c>
      <c r="D1448" t="s">
        <v>2361</v>
      </c>
      <c r="E1448" t="s">
        <v>4875</v>
      </c>
      <c r="F1448" t="s">
        <v>93</v>
      </c>
      <c r="G1448" s="27" t="str">
        <f t="shared" si="44"/>
        <v>11217 BENTLEY ST  HOUSTON</v>
      </c>
      <c r="H1448" s="27" t="str">
        <f t="shared" si="45"/>
        <v>HOUSTON TX 77093</v>
      </c>
    </row>
    <row r="1449" spans="1:8" x14ac:dyDescent="0.2">
      <c r="A1449" s="27">
        <f>COUNTIFS(C:C,C1449,D:D,D1449)</f>
        <v>1</v>
      </c>
      <c r="B1449" s="30">
        <v>202101157534</v>
      </c>
      <c r="C1449" s="28" t="s">
        <v>1420</v>
      </c>
      <c r="D1449" s="28" t="s">
        <v>1421</v>
      </c>
      <c r="E1449" s="28" t="s">
        <v>5037</v>
      </c>
      <c r="F1449" s="28" t="s">
        <v>97</v>
      </c>
      <c r="G1449" s="27" t="str">
        <f t="shared" si="44"/>
        <v>3916 QUAIL MEADOW DR  HOUSTON</v>
      </c>
      <c r="H1449" s="27" t="str">
        <f t="shared" si="45"/>
        <v>HOUSTON TX 77459</v>
      </c>
    </row>
    <row r="1450" spans="1:8" x14ac:dyDescent="0.2">
      <c r="A1450" s="27">
        <f>COUNTIFS(C:C,C1450,D:D,D1450)</f>
        <v>1</v>
      </c>
      <c r="B1450" s="30">
        <v>202101157541</v>
      </c>
      <c r="C1450" t="s">
        <v>4127</v>
      </c>
      <c r="D1450" t="s">
        <v>4128</v>
      </c>
      <c r="E1450" t="s">
        <v>5016</v>
      </c>
      <c r="F1450" t="s">
        <v>53</v>
      </c>
      <c r="G1450" s="27" t="str">
        <f t="shared" ref="G1450:G1513" si="46">D1450&amp;" "&amp;MID(E1450,1,FIND(" TX",E1450)-1)</f>
        <v>17607 EASTEX FWY IB  HOUSTON</v>
      </c>
      <c r="H1450" s="27" t="str">
        <f t="shared" ref="H1450:H1513" si="47">"HOUSTON "&amp;MID(E1450,FIND("TX",E1450),8)</f>
        <v>HOUSTON TX 77396</v>
      </c>
    </row>
    <row r="1451" spans="1:8" x14ac:dyDescent="0.2">
      <c r="A1451" s="27">
        <f>COUNTIFS(C:C,C1451,D:D,D1451)</f>
        <v>1</v>
      </c>
      <c r="B1451" s="30">
        <v>202101157542</v>
      </c>
      <c r="C1451" s="28" t="s">
        <v>436</v>
      </c>
      <c r="D1451" s="28" t="s">
        <v>437</v>
      </c>
      <c r="E1451" s="28" t="s">
        <v>4865</v>
      </c>
      <c r="F1451" s="28" t="s">
        <v>71</v>
      </c>
      <c r="G1451" s="27" t="str">
        <f t="shared" si="46"/>
        <v>10001 S GESSNER  HOUSTON</v>
      </c>
      <c r="H1451" s="27" t="str">
        <f t="shared" si="47"/>
        <v xml:space="preserve">HOUSTON TX      </v>
      </c>
    </row>
    <row r="1452" spans="1:8" x14ac:dyDescent="0.2">
      <c r="A1452" s="27">
        <f>COUNTIFS(C:C,C1452,D:D,D1452)</f>
        <v>1</v>
      </c>
      <c r="B1452" s="30">
        <v>202101157543</v>
      </c>
      <c r="C1452" t="s">
        <v>4173</v>
      </c>
      <c r="D1452" t="s">
        <v>4174</v>
      </c>
      <c r="E1452" t="s">
        <v>5077</v>
      </c>
      <c r="F1452" t="s">
        <v>53</v>
      </c>
      <c r="G1452" s="27" t="str">
        <f t="shared" si="46"/>
        <v>777 COOLWOOD DR 802  HOUSTON</v>
      </c>
      <c r="H1452" s="27" t="str">
        <f t="shared" si="47"/>
        <v>HOUSTON TX 77013</v>
      </c>
    </row>
    <row r="1453" spans="1:8" x14ac:dyDescent="0.2">
      <c r="A1453" s="27">
        <f>COUNTIFS(C:C,C1453,D:D,D1453)</f>
        <v>1</v>
      </c>
      <c r="B1453" s="30">
        <v>202101157544</v>
      </c>
      <c r="C1453" t="s">
        <v>2647</v>
      </c>
      <c r="D1453" t="s">
        <v>2648</v>
      </c>
      <c r="E1453" t="s">
        <v>4876</v>
      </c>
      <c r="F1453" t="s">
        <v>96</v>
      </c>
      <c r="G1453" s="27" t="str">
        <f t="shared" si="46"/>
        <v>270 EV EVANSTON ST  HOUSTON</v>
      </c>
      <c r="H1453" s="27" t="str">
        <f t="shared" si="47"/>
        <v>HOUSTON TX 77015</v>
      </c>
    </row>
    <row r="1454" spans="1:8" x14ac:dyDescent="0.2">
      <c r="A1454" s="27">
        <f>COUNTIFS(C:C,C1454,D:D,D1454)</f>
        <v>1</v>
      </c>
      <c r="B1454" s="30">
        <v>202101157545</v>
      </c>
      <c r="C1454" s="28" t="s">
        <v>1283</v>
      </c>
      <c r="D1454" s="28" t="s">
        <v>1284</v>
      </c>
      <c r="E1454" s="28" t="s">
        <v>4935</v>
      </c>
      <c r="F1454" s="28" t="s">
        <v>68</v>
      </c>
      <c r="G1454" s="27" t="str">
        <f t="shared" si="46"/>
        <v>17611 FAVOR BEND  HUMBLE</v>
      </c>
      <c r="H1454" s="27" t="str">
        <f t="shared" si="47"/>
        <v>HOUSTON TX 77396</v>
      </c>
    </row>
    <row r="1455" spans="1:8" x14ac:dyDescent="0.2">
      <c r="A1455" s="27">
        <f>COUNTIFS(C:C,C1455,D:D,D1455)</f>
        <v>1</v>
      </c>
      <c r="B1455" s="30">
        <v>202101157546</v>
      </c>
      <c r="C1455" t="s">
        <v>4175</v>
      </c>
      <c r="D1455" t="s">
        <v>4176</v>
      </c>
      <c r="E1455" t="s">
        <v>4938</v>
      </c>
      <c r="F1455" t="s">
        <v>85</v>
      </c>
      <c r="G1455" s="27" t="str">
        <f t="shared" si="46"/>
        <v>418 MEMORY LN  HOUSTON</v>
      </c>
      <c r="H1455" s="27" t="str">
        <f t="shared" si="47"/>
        <v>HOUSTON TX 77037</v>
      </c>
    </row>
    <row r="1456" spans="1:8" x14ac:dyDescent="0.2">
      <c r="A1456" s="27">
        <f>COUNTIFS(C:C,C1456,D:D,D1456)</f>
        <v>1</v>
      </c>
      <c r="B1456" s="30">
        <v>202101157547</v>
      </c>
      <c r="C1456" t="s">
        <v>4177</v>
      </c>
      <c r="D1456" t="s">
        <v>4178</v>
      </c>
      <c r="E1456" t="s">
        <v>5023</v>
      </c>
      <c r="F1456" t="s">
        <v>53</v>
      </c>
      <c r="G1456" s="27" t="str">
        <f t="shared" si="46"/>
        <v>9415 WESTHEIMER RD 3 07C HOUSTON</v>
      </c>
      <c r="H1456" s="27" t="str">
        <f t="shared" si="47"/>
        <v>HOUSTON TX 77063</v>
      </c>
    </row>
    <row r="1457" spans="1:8" x14ac:dyDescent="0.2">
      <c r="A1457" s="27">
        <f>COUNTIFS(C:C,C1457,D:D,D1457)</f>
        <v>1</v>
      </c>
      <c r="B1457" s="30">
        <v>202101157548</v>
      </c>
      <c r="C1457" t="s">
        <v>4179</v>
      </c>
      <c r="D1457" t="s">
        <v>4180</v>
      </c>
      <c r="E1457" t="s">
        <v>5004</v>
      </c>
      <c r="F1457" t="s">
        <v>79</v>
      </c>
      <c r="G1457" s="27" t="str">
        <f t="shared" si="46"/>
        <v>3306 S FRY RD  FORT BEND</v>
      </c>
      <c r="H1457" s="27" t="str">
        <f t="shared" si="47"/>
        <v>HOUSTON TX 77450</v>
      </c>
    </row>
    <row r="1458" spans="1:8" x14ac:dyDescent="0.2">
      <c r="A1458" s="27">
        <f>COUNTIFS(C:C,C1458,D:D,D1458)</f>
        <v>1</v>
      </c>
      <c r="B1458" s="30">
        <v>202101157549</v>
      </c>
      <c r="C1458" t="s">
        <v>3326</v>
      </c>
      <c r="D1458" t="s">
        <v>3327</v>
      </c>
      <c r="E1458" t="s">
        <v>5180</v>
      </c>
      <c r="F1458" t="s">
        <v>75</v>
      </c>
      <c r="G1458" s="27" t="str">
        <f t="shared" si="46"/>
        <v>33435 ROLLINGWOOD DR  PINEHURST</v>
      </c>
      <c r="H1458" s="27" t="str">
        <f t="shared" si="47"/>
        <v>HOUSTON TX 77362</v>
      </c>
    </row>
    <row r="1459" spans="1:8" x14ac:dyDescent="0.2">
      <c r="A1459" s="27">
        <f>COUNTIFS(C:C,C1459,D:D,D1459)</f>
        <v>1</v>
      </c>
      <c r="B1459" s="30">
        <v>202101157551</v>
      </c>
      <c r="C1459" s="28" t="s">
        <v>1082</v>
      </c>
      <c r="D1459" s="28" t="s">
        <v>1083</v>
      </c>
      <c r="E1459" s="28" t="s">
        <v>4866</v>
      </c>
      <c r="F1459" s="28" t="s">
        <v>83</v>
      </c>
      <c r="G1459" s="27" t="str">
        <f t="shared" si="46"/>
        <v>6602 ALFANO ST  HOUSTON</v>
      </c>
      <c r="H1459" s="27" t="str">
        <f t="shared" si="47"/>
        <v>HOUSTON TX 77076</v>
      </c>
    </row>
    <row r="1460" spans="1:8" x14ac:dyDescent="0.2">
      <c r="A1460" s="27">
        <f>COUNTIFS(C:C,C1460,D:D,D1460)</f>
        <v>1</v>
      </c>
      <c r="B1460" s="30">
        <v>202101157552</v>
      </c>
      <c r="C1460" t="s">
        <v>2664</v>
      </c>
      <c r="D1460" t="s">
        <v>2665</v>
      </c>
      <c r="E1460" t="s">
        <v>5141</v>
      </c>
      <c r="F1460" t="s">
        <v>75</v>
      </c>
      <c r="G1460" s="27" t="str">
        <f t="shared" si="46"/>
        <v>5625 ATIONE  HOUSTON</v>
      </c>
      <c r="H1460" s="27" t="str">
        <f t="shared" si="47"/>
        <v>HOUSTON TX 77375</v>
      </c>
    </row>
    <row r="1461" spans="1:8" x14ac:dyDescent="0.2">
      <c r="A1461" s="27">
        <f>COUNTIFS(C:C,C1461,D:D,D1461)</f>
        <v>1</v>
      </c>
      <c r="B1461" s="30">
        <v>202101157553</v>
      </c>
      <c r="C1461" t="s">
        <v>4181</v>
      </c>
      <c r="D1461" t="s">
        <v>4182</v>
      </c>
      <c r="E1461" t="s">
        <v>4949</v>
      </c>
      <c r="F1461" t="s">
        <v>88</v>
      </c>
      <c r="G1461" s="27" t="str">
        <f t="shared" si="46"/>
        <v>15330 LIBERTY RIVER D R HOUSTON</v>
      </c>
      <c r="H1461" s="27" t="str">
        <f t="shared" si="47"/>
        <v>HOUSTON TX 77049</v>
      </c>
    </row>
    <row r="1462" spans="1:8" x14ac:dyDescent="0.2">
      <c r="A1462" s="27">
        <f>COUNTIFS(C:C,C1462,D:D,D1462)</f>
        <v>1</v>
      </c>
      <c r="B1462" s="30">
        <v>202101157559</v>
      </c>
      <c r="C1462" t="s">
        <v>3308</v>
      </c>
      <c r="D1462" t="s">
        <v>3309</v>
      </c>
      <c r="E1462" t="s">
        <v>4956</v>
      </c>
      <c r="F1462" t="s">
        <v>103</v>
      </c>
      <c r="G1462" s="27" t="str">
        <f t="shared" si="46"/>
        <v>19406 AQUATIC DR  HUMBLE</v>
      </c>
      <c r="H1462" s="27" t="str">
        <f t="shared" si="47"/>
        <v>HOUSTON TX 77346</v>
      </c>
    </row>
    <row r="1463" spans="1:8" x14ac:dyDescent="0.2">
      <c r="A1463" s="27">
        <f>COUNTIFS(C:C,C1463,D:D,D1463)</f>
        <v>1</v>
      </c>
      <c r="B1463" s="30">
        <v>202101157561</v>
      </c>
      <c r="C1463" t="s">
        <v>2266</v>
      </c>
      <c r="D1463" t="s">
        <v>2267</v>
      </c>
      <c r="E1463" t="s">
        <v>4901</v>
      </c>
      <c r="F1463" t="s">
        <v>61</v>
      </c>
      <c r="G1463" s="27" t="str">
        <f t="shared" si="46"/>
        <v>10901 VILLAGE BEND LN  HOUSTON</v>
      </c>
      <c r="H1463" s="27" t="str">
        <f t="shared" si="47"/>
        <v>HOUSTON TX 77072</v>
      </c>
    </row>
    <row r="1464" spans="1:8" x14ac:dyDescent="0.2">
      <c r="A1464" s="27">
        <f>COUNTIFS(C:C,C1464,D:D,D1464)</f>
        <v>1</v>
      </c>
      <c r="B1464" s="30">
        <v>202101157567</v>
      </c>
      <c r="C1464" s="28" t="s">
        <v>856</v>
      </c>
      <c r="D1464" s="28" t="s">
        <v>857</v>
      </c>
      <c r="E1464" s="28" t="s">
        <v>4852</v>
      </c>
      <c r="F1464" s="28" t="s">
        <v>79</v>
      </c>
      <c r="G1464" s="27" t="str">
        <f t="shared" si="46"/>
        <v>9401 FIRNAT ST  HOUSTON</v>
      </c>
      <c r="H1464" s="27" t="str">
        <f t="shared" si="47"/>
        <v>HOUSTON TX 77016</v>
      </c>
    </row>
    <row r="1465" spans="1:8" x14ac:dyDescent="0.2">
      <c r="A1465" s="27">
        <f>COUNTIFS(C:C,C1465,D:D,D1465)</f>
        <v>1</v>
      </c>
      <c r="B1465" s="30">
        <v>202101157568</v>
      </c>
      <c r="C1465" t="s">
        <v>3160</v>
      </c>
      <c r="D1465" t="s">
        <v>3161</v>
      </c>
      <c r="E1465" t="s">
        <v>4936</v>
      </c>
      <c r="F1465" t="s">
        <v>51</v>
      </c>
      <c r="G1465" s="27" t="str">
        <f t="shared" si="46"/>
        <v>8102 TWIN HILLS DR  HOUSTON</v>
      </c>
      <c r="H1465" s="27" t="str">
        <f t="shared" si="47"/>
        <v>HOUSTON TX 77071</v>
      </c>
    </row>
    <row r="1466" spans="1:8" x14ac:dyDescent="0.2">
      <c r="A1466" s="27">
        <f>COUNTIFS(C:C,C1466,D:D,D1466)</f>
        <v>1</v>
      </c>
      <c r="B1466" s="30">
        <v>202101157569</v>
      </c>
      <c r="C1466" s="28" t="s">
        <v>1611</v>
      </c>
      <c r="D1466" s="28" t="s">
        <v>1612</v>
      </c>
      <c r="E1466" s="28" t="s">
        <v>5057</v>
      </c>
      <c r="F1466" s="28" t="s">
        <v>88</v>
      </c>
      <c r="G1466" s="27" t="str">
        <f t="shared" si="46"/>
        <v>5224 KELSO ST  HOUSTON</v>
      </c>
      <c r="H1466" s="27" t="str">
        <f t="shared" si="47"/>
        <v>HOUSTON TX 77052</v>
      </c>
    </row>
    <row r="1467" spans="1:8" x14ac:dyDescent="0.2">
      <c r="A1467" s="27">
        <f>COUNTIFS(C:C,C1467,D:D,D1467)</f>
        <v>1</v>
      </c>
      <c r="B1467" s="30">
        <v>202101157572</v>
      </c>
      <c r="C1467" t="s">
        <v>3316</v>
      </c>
      <c r="D1467" t="s">
        <v>3317</v>
      </c>
      <c r="E1467" t="s">
        <v>4986</v>
      </c>
      <c r="F1467" t="s">
        <v>367</v>
      </c>
      <c r="G1467" s="27" t="str">
        <f t="shared" si="46"/>
        <v>20202 FOXCHESTER LANE  HUMBLE</v>
      </c>
      <c r="H1467" s="27" t="str">
        <f t="shared" si="47"/>
        <v>HOUSTON TX 77338</v>
      </c>
    </row>
    <row r="1468" spans="1:8" x14ac:dyDescent="0.2">
      <c r="A1468" s="27">
        <f>COUNTIFS(C:C,C1468,D:D,D1468)</f>
        <v>1</v>
      </c>
      <c r="B1468" s="30">
        <v>202101157574</v>
      </c>
      <c r="C1468" t="s">
        <v>2376</v>
      </c>
      <c r="D1468" t="s">
        <v>2377</v>
      </c>
      <c r="E1468" t="s">
        <v>4855</v>
      </c>
      <c r="F1468" t="s">
        <v>53</v>
      </c>
      <c r="G1468" s="27" t="str">
        <f t="shared" si="46"/>
        <v>7882 LOCKSLEY RD  HOUSTON</v>
      </c>
      <c r="H1468" s="27" t="str">
        <f t="shared" si="47"/>
        <v>HOUSTON TX 77078</v>
      </c>
    </row>
    <row r="1469" spans="1:8" x14ac:dyDescent="0.2">
      <c r="A1469" s="27">
        <f>COUNTIFS(C:C,C1469,D:D,D1469)</f>
        <v>1</v>
      </c>
      <c r="B1469" s="30">
        <v>202101157575</v>
      </c>
      <c r="C1469" t="s">
        <v>4183</v>
      </c>
      <c r="D1469" t="s">
        <v>4184</v>
      </c>
      <c r="E1469" t="s">
        <v>4933</v>
      </c>
      <c r="F1469" t="s">
        <v>90</v>
      </c>
      <c r="G1469" s="27" t="str">
        <f t="shared" si="46"/>
        <v>10000 HAMMERLY 120  HOUSTON</v>
      </c>
      <c r="H1469" s="27" t="str">
        <f t="shared" si="47"/>
        <v>HOUSTON TX 77080</v>
      </c>
    </row>
    <row r="1470" spans="1:8" x14ac:dyDescent="0.2">
      <c r="A1470" s="27">
        <f>COUNTIFS(C:C,C1470,D:D,D1470)</f>
        <v>1</v>
      </c>
      <c r="B1470" s="30">
        <v>202101157576</v>
      </c>
      <c r="C1470" t="s">
        <v>4185</v>
      </c>
      <c r="D1470" t="s">
        <v>4186</v>
      </c>
      <c r="E1470" t="s">
        <v>4949</v>
      </c>
      <c r="F1470" t="s">
        <v>88</v>
      </c>
      <c r="G1470" s="27" t="str">
        <f t="shared" si="46"/>
        <v>12700 BEAUMONT HWY  HOUSTON</v>
      </c>
      <c r="H1470" s="27" t="str">
        <f t="shared" si="47"/>
        <v>HOUSTON TX 77049</v>
      </c>
    </row>
    <row r="1471" spans="1:8" x14ac:dyDescent="0.2">
      <c r="A1471" s="27">
        <f>COUNTIFS(C:C,C1471,D:D,D1471)</f>
        <v>1</v>
      </c>
      <c r="B1471" s="30">
        <v>202101157577</v>
      </c>
      <c r="C1471" t="s">
        <v>4187</v>
      </c>
      <c r="D1471" t="s">
        <v>4188</v>
      </c>
      <c r="E1471" t="s">
        <v>4872</v>
      </c>
      <c r="F1471" t="s">
        <v>53</v>
      </c>
      <c r="G1471" s="27" t="str">
        <f t="shared" si="46"/>
        <v>7926 MILLARD ST  HOUSTON</v>
      </c>
      <c r="H1471" s="27" t="str">
        <f t="shared" si="47"/>
        <v>HOUSTON TX 77028</v>
      </c>
    </row>
    <row r="1472" spans="1:8" x14ac:dyDescent="0.2">
      <c r="A1472" s="27">
        <f>COUNTIFS(C:C,C1472,D:D,D1472)</f>
        <v>1</v>
      </c>
      <c r="B1472" s="30">
        <v>202101157581</v>
      </c>
      <c r="C1472" s="28" t="s">
        <v>5021</v>
      </c>
      <c r="D1472" s="28" t="s">
        <v>1273</v>
      </c>
      <c r="E1472" s="28" t="s">
        <v>5022</v>
      </c>
      <c r="F1472" s="28" t="s">
        <v>304</v>
      </c>
      <c r="G1472" s="27" t="str">
        <f t="shared" si="46"/>
        <v>306 CR 2801  CLEVELAND</v>
      </c>
      <c r="H1472" s="27" t="str">
        <f t="shared" si="47"/>
        <v>HOUSTON TX 77327</v>
      </c>
    </row>
    <row r="1473" spans="1:8" x14ac:dyDescent="0.2">
      <c r="A1473" s="27">
        <f>COUNTIFS(C:C,C1473,D:D,D1473)</f>
        <v>1</v>
      </c>
      <c r="B1473" s="30">
        <v>202101157584</v>
      </c>
      <c r="C1473" t="s">
        <v>4189</v>
      </c>
      <c r="D1473" t="s">
        <v>4190</v>
      </c>
      <c r="E1473" t="s">
        <v>5137</v>
      </c>
      <c r="F1473" t="s">
        <v>71</v>
      </c>
      <c r="G1473" s="27" t="str">
        <f t="shared" si="46"/>
        <v>5331 BEVERLY HILLS S T HOUSTON</v>
      </c>
      <c r="H1473" s="27" t="str">
        <f t="shared" si="47"/>
        <v>HOUSTON TX 77056</v>
      </c>
    </row>
    <row r="1474" spans="1:8" x14ac:dyDescent="0.2">
      <c r="A1474" s="27">
        <f>COUNTIFS(C:C,C1474,D:D,D1474)</f>
        <v>1</v>
      </c>
      <c r="B1474" s="30">
        <v>202101157586</v>
      </c>
      <c r="C1474" s="28" t="s">
        <v>1715</v>
      </c>
      <c r="D1474" s="28" t="s">
        <v>1716</v>
      </c>
      <c r="E1474" s="28" t="s">
        <v>4907</v>
      </c>
      <c r="F1474" s="28" t="s">
        <v>4793</v>
      </c>
      <c r="G1474" s="27" t="str">
        <f t="shared" si="46"/>
        <v>1710 THELMA  PASADENA</v>
      </c>
      <c r="H1474" s="27" t="str">
        <f t="shared" si="47"/>
        <v>HOUSTON TX 77502</v>
      </c>
    </row>
    <row r="1475" spans="1:8" x14ac:dyDescent="0.2">
      <c r="A1475" s="27">
        <f>COUNTIFS(C:C,C1475,D:D,D1475)</f>
        <v>1</v>
      </c>
      <c r="B1475" s="30">
        <v>202101157590</v>
      </c>
      <c r="C1475" t="s">
        <v>4191</v>
      </c>
      <c r="D1475" t="s">
        <v>4192</v>
      </c>
      <c r="E1475" t="s">
        <v>5075</v>
      </c>
      <c r="F1475" t="s">
        <v>88</v>
      </c>
      <c r="G1475" s="27" t="str">
        <f t="shared" si="46"/>
        <v>7342 SOMERSET HILL L N RICHMOND</v>
      </c>
      <c r="H1475" s="27" t="str">
        <f t="shared" si="47"/>
        <v>HOUSTON TX 77407</v>
      </c>
    </row>
    <row r="1476" spans="1:8" x14ac:dyDescent="0.2">
      <c r="A1476" s="27">
        <f>COUNTIFS(C:C,C1476,D:D,D1476)</f>
        <v>1</v>
      </c>
      <c r="B1476" s="30">
        <v>202101157592</v>
      </c>
      <c r="C1476" s="28" t="s">
        <v>1129</v>
      </c>
      <c r="D1476" s="28" t="s">
        <v>1130</v>
      </c>
      <c r="E1476" s="28" t="s">
        <v>4935</v>
      </c>
      <c r="F1476" s="28" t="s">
        <v>71</v>
      </c>
      <c r="G1476" s="27" t="str">
        <f t="shared" si="46"/>
        <v>2615 QUAIL RUN DR  HUMBLE</v>
      </c>
      <c r="H1476" s="27" t="str">
        <f t="shared" si="47"/>
        <v>HOUSTON TX 77396</v>
      </c>
    </row>
    <row r="1477" spans="1:8" x14ac:dyDescent="0.2">
      <c r="A1477" s="27">
        <f>COUNTIFS(C:C,C1477,D:D,D1477)</f>
        <v>1</v>
      </c>
      <c r="B1477" s="30">
        <v>202101157593</v>
      </c>
      <c r="C1477" t="s">
        <v>2869</v>
      </c>
      <c r="D1477" t="s">
        <v>2870</v>
      </c>
      <c r="E1477" t="s">
        <v>4851</v>
      </c>
      <c r="F1477" t="s">
        <v>71</v>
      </c>
      <c r="G1477" s="27" t="str">
        <f t="shared" si="46"/>
        <v>600 HAROLD ST  BAYTOWN</v>
      </c>
      <c r="H1477" s="27" t="str">
        <f t="shared" si="47"/>
        <v>HOUSTON TX 77521</v>
      </c>
    </row>
    <row r="1478" spans="1:8" x14ac:dyDescent="0.2">
      <c r="A1478" s="27">
        <f>COUNTIFS(C:C,C1478,D:D,D1478)</f>
        <v>1</v>
      </c>
      <c r="B1478" s="30">
        <v>202101157601</v>
      </c>
      <c r="C1478" t="s">
        <v>2209</v>
      </c>
      <c r="D1478" t="s">
        <v>2210</v>
      </c>
      <c r="E1478" t="s">
        <v>4875</v>
      </c>
      <c r="F1478" t="s">
        <v>80</v>
      </c>
      <c r="G1478" s="27" t="str">
        <f t="shared" si="46"/>
        <v>3618 ROSEMARY LN  HOUSTON</v>
      </c>
      <c r="H1478" s="27" t="str">
        <f t="shared" si="47"/>
        <v>HOUSTON TX 77093</v>
      </c>
    </row>
    <row r="1479" spans="1:8" x14ac:dyDescent="0.2">
      <c r="A1479" s="27">
        <f>COUNTIFS(C:C,C1479,D:D,D1479)</f>
        <v>1</v>
      </c>
      <c r="B1479" s="30">
        <v>202101157602</v>
      </c>
      <c r="C1479" s="28" t="s">
        <v>1099</v>
      </c>
      <c r="D1479" s="28" t="s">
        <v>1100</v>
      </c>
      <c r="E1479" s="28" t="s">
        <v>4880</v>
      </c>
      <c r="F1479" s="28" t="s">
        <v>56</v>
      </c>
      <c r="G1479" s="27" t="str">
        <f t="shared" si="46"/>
        <v>2925 LA BRANCH ST.  HOUSTON</v>
      </c>
      <c r="H1479" s="27" t="str">
        <f t="shared" si="47"/>
        <v>HOUSTON TX 77004</v>
      </c>
    </row>
    <row r="1480" spans="1:8" x14ac:dyDescent="0.2">
      <c r="A1480" s="27">
        <f>COUNTIFS(C:C,C1480,D:D,D1480)</f>
        <v>1</v>
      </c>
      <c r="B1480" s="30">
        <v>202101157603</v>
      </c>
      <c r="C1480" s="28" t="s">
        <v>1748</v>
      </c>
      <c r="D1480" s="28" t="s">
        <v>1749</v>
      </c>
      <c r="E1480" s="28" t="s">
        <v>4931</v>
      </c>
      <c r="F1480" s="28" t="s">
        <v>323</v>
      </c>
      <c r="G1480" s="27" t="str">
        <f t="shared" si="46"/>
        <v>13100 STONEFIELD DR  HOUSTON</v>
      </c>
      <c r="H1480" s="27" t="str">
        <f t="shared" si="47"/>
        <v>HOUSTON TX 77014</v>
      </c>
    </row>
    <row r="1481" spans="1:8" x14ac:dyDescent="0.2">
      <c r="A1481" s="27">
        <f>COUNTIFS(C:C,C1481,D:D,D1481)</f>
        <v>1</v>
      </c>
      <c r="B1481" s="30">
        <v>202101157607</v>
      </c>
      <c r="C1481" t="s">
        <v>4193</v>
      </c>
      <c r="D1481" t="s">
        <v>4194</v>
      </c>
      <c r="E1481" t="s">
        <v>4853</v>
      </c>
      <c r="F1481" t="s">
        <v>53</v>
      </c>
      <c r="G1481" s="27" t="str">
        <f t="shared" si="46"/>
        <v>2002 WILLIAM TELL ST REET HOUSTON</v>
      </c>
      <c r="H1481" s="27" t="str">
        <f t="shared" si="47"/>
        <v>HOUSTON TX 77039</v>
      </c>
    </row>
    <row r="1482" spans="1:8" x14ac:dyDescent="0.2">
      <c r="A1482" s="27">
        <f>COUNTIFS(C:C,C1482,D:D,D1482)</f>
        <v>1</v>
      </c>
      <c r="B1482" s="30">
        <v>202101157608</v>
      </c>
      <c r="C1482" t="s">
        <v>4195</v>
      </c>
      <c r="D1482" t="s">
        <v>4196</v>
      </c>
      <c r="E1482" t="s">
        <v>4939</v>
      </c>
      <c r="F1482" t="s">
        <v>94</v>
      </c>
      <c r="G1482" s="27" t="str">
        <f t="shared" si="46"/>
        <v>8331 WESTBANK AVE  HOUSTON</v>
      </c>
      <c r="H1482" s="27" t="str">
        <f t="shared" si="47"/>
        <v>HOUSTON TX 77064</v>
      </c>
    </row>
    <row r="1483" spans="1:8" x14ac:dyDescent="0.2">
      <c r="A1483" s="27">
        <f>COUNTIFS(C:C,C1483,D:D,D1483)</f>
        <v>1</v>
      </c>
      <c r="B1483" s="30">
        <v>202101157610</v>
      </c>
      <c r="C1483" t="s">
        <v>2414</v>
      </c>
      <c r="D1483" t="s">
        <v>2415</v>
      </c>
      <c r="E1483" t="s">
        <v>4878</v>
      </c>
      <c r="F1483" t="s">
        <v>79</v>
      </c>
      <c r="G1483" s="27" t="str">
        <f t="shared" si="46"/>
        <v>4219 LANDSHIRE BEND DR HOUSTON</v>
      </c>
      <c r="H1483" s="27" t="str">
        <f t="shared" si="47"/>
        <v>HOUSTON TX 77048</v>
      </c>
    </row>
    <row r="1484" spans="1:8" x14ac:dyDescent="0.2">
      <c r="A1484" s="27">
        <f>COUNTIFS(C:C,C1484,D:D,D1484)</f>
        <v>1</v>
      </c>
      <c r="B1484" s="30">
        <v>202101157611</v>
      </c>
      <c r="C1484" t="s">
        <v>4197</v>
      </c>
      <c r="D1484" t="s">
        <v>4198</v>
      </c>
      <c r="E1484" t="s">
        <v>4908</v>
      </c>
      <c r="F1484" t="s">
        <v>94</v>
      </c>
      <c r="G1484" s="27" t="str">
        <f t="shared" si="46"/>
        <v>16926 BONNIE SEAN DR  SPRING</v>
      </c>
      <c r="H1484" s="27" t="str">
        <f t="shared" si="47"/>
        <v>HOUSTON TX 77379</v>
      </c>
    </row>
    <row r="1485" spans="1:8" x14ac:dyDescent="0.2">
      <c r="A1485" s="27">
        <f>COUNTIFS(C:C,C1485,D:D,D1485)</f>
        <v>1</v>
      </c>
      <c r="B1485" s="30">
        <v>202101157612</v>
      </c>
      <c r="C1485" s="28" t="s">
        <v>922</v>
      </c>
      <c r="D1485" s="28" t="s">
        <v>923</v>
      </c>
      <c r="E1485" s="28" t="s">
        <v>4919</v>
      </c>
      <c r="F1485" s="28" t="s">
        <v>88</v>
      </c>
      <c r="G1485" s="27" t="str">
        <f t="shared" si="46"/>
        <v>6305 WESTWARD ST  HOUSTON</v>
      </c>
      <c r="H1485" s="27" t="str">
        <f t="shared" si="47"/>
        <v>HOUSTON TX 77081</v>
      </c>
    </row>
    <row r="1486" spans="1:8" x14ac:dyDescent="0.2">
      <c r="A1486" s="27">
        <f>COUNTIFS(C:C,C1486,D:D,D1486)</f>
        <v>1</v>
      </c>
      <c r="B1486" s="30">
        <v>202101157613</v>
      </c>
      <c r="C1486" s="28" t="s">
        <v>968</v>
      </c>
      <c r="D1486" s="28" t="s">
        <v>969</v>
      </c>
      <c r="E1486" s="28" t="s">
        <v>4981</v>
      </c>
      <c r="F1486" s="28" t="s">
        <v>64</v>
      </c>
      <c r="G1486" s="27" t="str">
        <f t="shared" si="46"/>
        <v>10518 AMBURSEN  HOUSTON</v>
      </c>
      <c r="H1486" s="27" t="str">
        <f t="shared" si="47"/>
        <v>HOUSTON TX 77034</v>
      </c>
    </row>
    <row r="1487" spans="1:8" x14ac:dyDescent="0.2">
      <c r="A1487" s="27">
        <f>COUNTIFS(C:C,C1487,D:D,D1487)</f>
        <v>1</v>
      </c>
      <c r="B1487" s="30">
        <v>202101157615</v>
      </c>
      <c r="C1487" t="s">
        <v>3262</v>
      </c>
      <c r="D1487" t="s">
        <v>2495</v>
      </c>
      <c r="E1487" t="s">
        <v>4860</v>
      </c>
      <c r="F1487" t="s">
        <v>78</v>
      </c>
      <c r="G1487" s="27" t="str">
        <f t="shared" si="46"/>
        <v>1601 GARTH RD  BAYTOWN</v>
      </c>
      <c r="H1487" s="27" t="str">
        <f t="shared" si="47"/>
        <v>HOUSTON TX 77520</v>
      </c>
    </row>
    <row r="1488" spans="1:8" x14ac:dyDescent="0.2">
      <c r="A1488" s="27">
        <f>COUNTIFS(C:C,C1488,D:D,D1488)</f>
        <v>1</v>
      </c>
      <c r="B1488" s="30">
        <v>202101157616</v>
      </c>
      <c r="C1488" t="s">
        <v>3140</v>
      </c>
      <c r="D1488" t="s">
        <v>3141</v>
      </c>
      <c r="E1488" t="s">
        <v>4851</v>
      </c>
      <c r="F1488" t="s">
        <v>87</v>
      </c>
      <c r="G1488" s="27" t="str">
        <f t="shared" si="46"/>
        <v>808 SUNNYBROOK LN  BAYTOWN</v>
      </c>
      <c r="H1488" s="27" t="str">
        <f t="shared" si="47"/>
        <v>HOUSTON TX 77521</v>
      </c>
    </row>
    <row r="1489" spans="1:8" x14ac:dyDescent="0.2">
      <c r="A1489" s="27">
        <f>COUNTIFS(C:C,C1489,D:D,D1489)</f>
        <v>1</v>
      </c>
      <c r="B1489" s="30">
        <v>202101157618</v>
      </c>
      <c r="C1489" s="28" t="s">
        <v>839</v>
      </c>
      <c r="D1489" s="28" t="s">
        <v>840</v>
      </c>
      <c r="E1489" s="28" t="s">
        <v>4969</v>
      </c>
      <c r="F1489" s="28" t="s">
        <v>51</v>
      </c>
      <c r="G1489" s="27" t="str">
        <f t="shared" si="46"/>
        <v>412 BAKER DR  TOMBALL</v>
      </c>
      <c r="H1489" s="27" t="str">
        <f t="shared" si="47"/>
        <v>HOUSTON TX 77375</v>
      </c>
    </row>
    <row r="1490" spans="1:8" x14ac:dyDescent="0.2">
      <c r="A1490" s="27">
        <f>COUNTIFS(C:C,C1490,D:D,D1490)</f>
        <v>1</v>
      </c>
      <c r="B1490" s="30">
        <v>202101157619</v>
      </c>
      <c r="C1490" s="28" t="s">
        <v>1201</v>
      </c>
      <c r="D1490" s="28" t="s">
        <v>1202</v>
      </c>
      <c r="E1490" s="28" t="s">
        <v>5015</v>
      </c>
      <c r="F1490" s="28" t="s">
        <v>51</v>
      </c>
      <c r="G1490" s="27" t="str">
        <f t="shared" si="46"/>
        <v>3024 OAKSHIRE  DENTON</v>
      </c>
      <c r="H1490" s="27" t="str">
        <f t="shared" si="47"/>
        <v>HOUSTON TX 76201</v>
      </c>
    </row>
    <row r="1491" spans="1:8" x14ac:dyDescent="0.2">
      <c r="A1491" s="27">
        <f>COUNTIFS(C:C,C1491,D:D,D1491)</f>
        <v>1</v>
      </c>
      <c r="B1491" s="30">
        <v>202101157620</v>
      </c>
      <c r="C1491" t="s">
        <v>3970</v>
      </c>
      <c r="D1491" t="s">
        <v>3971</v>
      </c>
      <c r="E1491" t="s">
        <v>5180</v>
      </c>
      <c r="F1491" t="s">
        <v>389</v>
      </c>
      <c r="G1491" s="27" t="str">
        <f t="shared" si="46"/>
        <v>32118 DECKER OAKS DR  PINEHURST</v>
      </c>
      <c r="H1491" s="27" t="str">
        <f t="shared" si="47"/>
        <v>HOUSTON TX 77362</v>
      </c>
    </row>
    <row r="1492" spans="1:8" x14ac:dyDescent="0.2">
      <c r="A1492" s="27">
        <f>COUNTIFS(C:C,C1492,D:D,D1492)</f>
        <v>1</v>
      </c>
      <c r="B1492" s="30">
        <v>202101157621</v>
      </c>
      <c r="C1492" t="s">
        <v>2892</v>
      </c>
      <c r="D1492" t="s">
        <v>2893</v>
      </c>
      <c r="E1492" t="s">
        <v>4969</v>
      </c>
      <c r="F1492" t="s">
        <v>88</v>
      </c>
      <c r="G1492" s="27" t="str">
        <f t="shared" si="46"/>
        <v>30626 MATENS  TOMBALL</v>
      </c>
      <c r="H1492" s="27" t="str">
        <f t="shared" si="47"/>
        <v>HOUSTON TX 77375</v>
      </c>
    </row>
    <row r="1493" spans="1:8" x14ac:dyDescent="0.2">
      <c r="A1493" s="27">
        <f>COUNTIFS(C:C,C1493,D:D,D1493)</f>
        <v>1</v>
      </c>
      <c r="B1493" s="30">
        <v>202101157623</v>
      </c>
      <c r="C1493" t="s">
        <v>2316</v>
      </c>
      <c r="D1493" t="s">
        <v>2317</v>
      </c>
      <c r="E1493" t="s">
        <v>4915</v>
      </c>
      <c r="F1493" t="s">
        <v>88</v>
      </c>
      <c r="G1493" s="27" t="str">
        <f t="shared" si="46"/>
        <v>3224 TAMPA STREET  HOUSTON</v>
      </c>
      <c r="H1493" s="27" t="str">
        <f t="shared" si="47"/>
        <v>HOUSTON TX 77021</v>
      </c>
    </row>
    <row r="1494" spans="1:8" x14ac:dyDescent="0.2">
      <c r="A1494" s="27">
        <f>COUNTIFS(C:C,C1494,D:D,D1494)</f>
        <v>1</v>
      </c>
      <c r="B1494" s="30">
        <v>202101157624</v>
      </c>
      <c r="C1494" t="s">
        <v>2717</v>
      </c>
      <c r="D1494" t="s">
        <v>2718</v>
      </c>
      <c r="E1494" t="s">
        <v>5111</v>
      </c>
      <c r="F1494" t="s">
        <v>88</v>
      </c>
      <c r="G1494" s="27" t="str">
        <f t="shared" si="46"/>
        <v>11501 29TH ST  SANTA FE</v>
      </c>
      <c r="H1494" s="27" t="str">
        <f t="shared" si="47"/>
        <v>HOUSTON TX 77510</v>
      </c>
    </row>
    <row r="1495" spans="1:8" x14ac:dyDescent="0.2">
      <c r="A1495" s="27">
        <f>COUNTIFS(C:C,C1495,D:D,D1495)</f>
        <v>1</v>
      </c>
      <c r="B1495" s="30">
        <v>202101157625</v>
      </c>
      <c r="C1495" s="28" t="s">
        <v>1446</v>
      </c>
      <c r="D1495" s="28" t="s">
        <v>1447</v>
      </c>
      <c r="E1495" s="28" t="s">
        <v>5026</v>
      </c>
      <c r="F1495" s="28" t="s">
        <v>90</v>
      </c>
      <c r="G1495" s="27" t="str">
        <f t="shared" si="46"/>
        <v>15902 HWY 3  WEBSTER</v>
      </c>
      <c r="H1495" s="27" t="str">
        <f t="shared" si="47"/>
        <v>HOUSTON TX 77598</v>
      </c>
    </row>
    <row r="1496" spans="1:8" x14ac:dyDescent="0.2">
      <c r="A1496" s="27">
        <f>COUNTIFS(C:C,C1496,D:D,D1496)</f>
        <v>1</v>
      </c>
      <c r="B1496" s="30">
        <v>202101157629</v>
      </c>
      <c r="C1496" t="s">
        <v>2500</v>
      </c>
      <c r="D1496" t="s">
        <v>2501</v>
      </c>
      <c r="E1496" t="s">
        <v>4906</v>
      </c>
      <c r="F1496" t="s">
        <v>79</v>
      </c>
      <c r="G1496" s="27" t="str">
        <f t="shared" si="46"/>
        <v>1410 DORESETSHIRE DR IVE PASADENA</v>
      </c>
      <c r="H1496" s="27" t="str">
        <f t="shared" si="47"/>
        <v>HOUSTON TX 77504</v>
      </c>
    </row>
    <row r="1497" spans="1:8" x14ac:dyDescent="0.2">
      <c r="A1497" s="27">
        <f>COUNTIFS(C:C,C1497,D:D,D1497)</f>
        <v>1</v>
      </c>
      <c r="B1497" s="30">
        <v>202101157630</v>
      </c>
      <c r="C1497" t="s">
        <v>4199</v>
      </c>
      <c r="D1497" t="s">
        <v>4200</v>
      </c>
      <c r="E1497" t="s">
        <v>4889</v>
      </c>
      <c r="F1497" t="s">
        <v>79</v>
      </c>
      <c r="G1497" s="27" t="str">
        <f t="shared" si="46"/>
        <v>2419 IRISH SPRING  HOUSTON</v>
      </c>
      <c r="H1497" s="27" t="str">
        <f t="shared" si="47"/>
        <v>HOUSTON TX 77067</v>
      </c>
    </row>
    <row r="1498" spans="1:8" x14ac:dyDescent="0.2">
      <c r="A1498" s="27">
        <f>COUNTIFS(C:C,C1498,D:D,D1498)</f>
        <v>1</v>
      </c>
      <c r="B1498" s="30">
        <v>202101157639</v>
      </c>
      <c r="C1498" t="s">
        <v>4201</v>
      </c>
      <c r="D1498" t="s">
        <v>4202</v>
      </c>
      <c r="E1498" t="s">
        <v>4982</v>
      </c>
      <c r="F1498" t="s">
        <v>61</v>
      </c>
      <c r="G1498" s="27" t="str">
        <f t="shared" si="46"/>
        <v>1002 SAURIS CT  HOUSTON</v>
      </c>
      <c r="H1498" s="27" t="str">
        <f t="shared" si="47"/>
        <v>HOUSTON TX 77038</v>
      </c>
    </row>
    <row r="1499" spans="1:8" x14ac:dyDescent="0.2">
      <c r="A1499" s="27">
        <f>COUNTIFS(C:C,C1499,D:D,D1499)</f>
        <v>1</v>
      </c>
      <c r="B1499" s="30">
        <v>202101157640</v>
      </c>
      <c r="C1499" s="28" t="s">
        <v>904</v>
      </c>
      <c r="D1499" s="28" t="s">
        <v>905</v>
      </c>
      <c r="E1499" s="28" t="s">
        <v>4968</v>
      </c>
      <c r="F1499" s="28" t="s">
        <v>88</v>
      </c>
      <c r="G1499" s="27" t="str">
        <f t="shared" si="46"/>
        <v>2309 CALOWAY CIR  PEARLAND</v>
      </c>
      <c r="H1499" s="27" t="str">
        <f t="shared" si="47"/>
        <v>HOUSTON TX 77581</v>
      </c>
    </row>
    <row r="1500" spans="1:8" x14ac:dyDescent="0.2">
      <c r="A1500" s="27">
        <f>COUNTIFS(C:C,C1500,D:D,D1500)</f>
        <v>1</v>
      </c>
      <c r="B1500" s="30">
        <v>202101157641</v>
      </c>
      <c r="C1500" t="s">
        <v>2971</v>
      </c>
      <c r="D1500" t="s">
        <v>2972</v>
      </c>
      <c r="E1500" t="s">
        <v>4861</v>
      </c>
      <c r="F1500" t="s">
        <v>88</v>
      </c>
      <c r="G1500" s="27" t="str">
        <f t="shared" si="46"/>
        <v>1109 THERESA ST  HOUSTON</v>
      </c>
      <c r="H1500" s="27" t="str">
        <f t="shared" si="47"/>
        <v>HOUSTON TX 77051</v>
      </c>
    </row>
    <row r="1501" spans="1:8" x14ac:dyDescent="0.2">
      <c r="A1501" s="27">
        <f>COUNTIFS(C:C,C1501,D:D,D1501)</f>
        <v>1</v>
      </c>
      <c r="B1501" s="30">
        <v>202101157642</v>
      </c>
      <c r="C1501" t="s">
        <v>4203</v>
      </c>
      <c r="D1501" t="s">
        <v>4204</v>
      </c>
      <c r="E1501" t="s">
        <v>4907</v>
      </c>
      <c r="F1501" t="s">
        <v>88</v>
      </c>
      <c r="G1501" s="27" t="str">
        <f t="shared" si="46"/>
        <v>1500 STRAWBERRY RD 1 33 PASADENA</v>
      </c>
      <c r="H1501" s="27" t="str">
        <f t="shared" si="47"/>
        <v>HOUSTON TX 77502</v>
      </c>
    </row>
    <row r="1502" spans="1:8" x14ac:dyDescent="0.2">
      <c r="A1502" s="27">
        <f>COUNTIFS(C:C,C1502,D:D,D1502)</f>
        <v>1</v>
      </c>
      <c r="B1502" s="30">
        <v>202101157644</v>
      </c>
      <c r="C1502" t="s">
        <v>4205</v>
      </c>
      <c r="D1502" t="s">
        <v>4206</v>
      </c>
      <c r="E1502" t="s">
        <v>4859</v>
      </c>
      <c r="F1502" t="s">
        <v>88</v>
      </c>
      <c r="G1502" s="27" t="str">
        <f t="shared" si="46"/>
        <v>22820 IMPERIAL VALLEY DR HOUSTON</v>
      </c>
      <c r="H1502" s="27" t="str">
        <f t="shared" si="47"/>
        <v>HOUSTON TX 77073</v>
      </c>
    </row>
    <row r="1503" spans="1:8" x14ac:dyDescent="0.2">
      <c r="A1503" s="27">
        <f>COUNTIFS(C:C,C1503,D:D,D1503)</f>
        <v>1</v>
      </c>
      <c r="B1503" s="30">
        <v>202101157645</v>
      </c>
      <c r="C1503" t="s">
        <v>4207</v>
      </c>
      <c r="D1503" t="s">
        <v>4208</v>
      </c>
      <c r="E1503" t="s">
        <v>5255</v>
      </c>
      <c r="F1503" t="s">
        <v>90</v>
      </c>
      <c r="G1503" s="27" t="str">
        <f t="shared" si="46"/>
        <v>205 CALLE SAN JEREM IAS SAN BENITO</v>
      </c>
      <c r="H1503" s="27" t="str">
        <f t="shared" si="47"/>
        <v>HOUSTON TX 78586</v>
      </c>
    </row>
    <row r="1504" spans="1:8" x14ac:dyDescent="0.2">
      <c r="A1504" s="27">
        <f>COUNTIFS(C:C,C1504,D:D,D1504)</f>
        <v>1</v>
      </c>
      <c r="B1504" s="30">
        <v>202101157647</v>
      </c>
      <c r="C1504" t="s">
        <v>4209</v>
      </c>
      <c r="D1504" t="s">
        <v>4210</v>
      </c>
      <c r="E1504" t="s">
        <v>4983</v>
      </c>
      <c r="F1504" t="s">
        <v>88</v>
      </c>
      <c r="G1504" s="27" t="str">
        <f t="shared" si="46"/>
        <v>12700 STAFFORD RD  STAFFORD</v>
      </c>
      <c r="H1504" s="27" t="str">
        <f t="shared" si="47"/>
        <v>HOUSTON TX 77477</v>
      </c>
    </row>
    <row r="1505" spans="1:8" x14ac:dyDescent="0.2">
      <c r="A1505" s="27">
        <f>COUNTIFS(C:C,C1505,D:D,D1505)</f>
        <v>1</v>
      </c>
      <c r="B1505" s="30">
        <v>202101157648</v>
      </c>
      <c r="C1505" t="s">
        <v>4211</v>
      </c>
      <c r="D1505" t="s">
        <v>4212</v>
      </c>
      <c r="E1505" t="s">
        <v>5256</v>
      </c>
      <c r="F1505" t="s">
        <v>61</v>
      </c>
      <c r="G1505" s="27" t="str">
        <f t="shared" si="46"/>
        <v>25355 PINE KNOB DR  HOUSTON</v>
      </c>
      <c r="H1505" s="27" t="str">
        <f t="shared" si="47"/>
        <v>HOUSTON TX 77328</v>
      </c>
    </row>
    <row r="1506" spans="1:8" x14ac:dyDescent="0.2">
      <c r="A1506" s="27">
        <f>COUNTIFS(C:C,C1506,D:D,D1506)</f>
        <v>1</v>
      </c>
      <c r="B1506" s="30">
        <v>202101157649</v>
      </c>
      <c r="C1506" t="s">
        <v>2957</v>
      </c>
      <c r="D1506" t="s">
        <v>2958</v>
      </c>
      <c r="E1506" t="s">
        <v>4982</v>
      </c>
      <c r="F1506" t="s">
        <v>61</v>
      </c>
      <c r="G1506" s="27" t="str">
        <f t="shared" si="46"/>
        <v>1318 DELLBROOK DR  HOUSTON</v>
      </c>
      <c r="H1506" s="27" t="str">
        <f t="shared" si="47"/>
        <v>HOUSTON TX 77038</v>
      </c>
    </row>
    <row r="1507" spans="1:8" x14ac:dyDescent="0.2">
      <c r="A1507" s="27">
        <f>COUNTIFS(C:C,C1507,D:D,D1507)</f>
        <v>1</v>
      </c>
      <c r="B1507" s="30">
        <v>202101157652</v>
      </c>
      <c r="C1507" s="28" t="s">
        <v>1422</v>
      </c>
      <c r="D1507" s="28" t="s">
        <v>1423</v>
      </c>
      <c r="E1507" s="28" t="s">
        <v>5022</v>
      </c>
      <c r="F1507" s="28" t="s">
        <v>88</v>
      </c>
      <c r="G1507" s="27" t="str">
        <f t="shared" si="46"/>
        <v>12509 LEWIS RD  CLEVELAND</v>
      </c>
      <c r="H1507" s="27" t="str">
        <f t="shared" si="47"/>
        <v>HOUSTON TX 77327</v>
      </c>
    </row>
    <row r="1508" spans="1:8" x14ac:dyDescent="0.2">
      <c r="A1508" s="27">
        <f>COUNTIFS(C:C,C1508,D:D,D1508)</f>
        <v>1</v>
      </c>
      <c r="B1508" s="30">
        <v>202101157654</v>
      </c>
      <c r="C1508" s="28" t="s">
        <v>1014</v>
      </c>
      <c r="D1508" s="28" t="s">
        <v>1015</v>
      </c>
      <c r="E1508" s="28" t="s">
        <v>4973</v>
      </c>
      <c r="F1508" s="28" t="s">
        <v>88</v>
      </c>
      <c r="G1508" s="27" t="str">
        <f t="shared" si="46"/>
        <v>6325 NEFF ST  HOUSTON</v>
      </c>
      <c r="H1508" s="27" t="str">
        <f t="shared" si="47"/>
        <v>HOUSTON TX 77074</v>
      </c>
    </row>
    <row r="1509" spans="1:8" x14ac:dyDescent="0.2">
      <c r="A1509" s="27">
        <f>COUNTIFS(C:C,C1509,D:D,D1509)</f>
        <v>1</v>
      </c>
      <c r="B1509" s="30">
        <v>202101157658</v>
      </c>
      <c r="C1509" s="28" t="s">
        <v>1890</v>
      </c>
      <c r="D1509" s="28" t="s">
        <v>1891</v>
      </c>
      <c r="E1509" s="28" t="s">
        <v>4906</v>
      </c>
      <c r="F1509" s="28" t="s">
        <v>88</v>
      </c>
      <c r="G1509" s="27" t="str">
        <f t="shared" si="46"/>
        <v>4029 BURKE RD APT 29 03 PASADENA</v>
      </c>
      <c r="H1509" s="27" t="str">
        <f t="shared" si="47"/>
        <v>HOUSTON TX 77504</v>
      </c>
    </row>
    <row r="1510" spans="1:8" x14ac:dyDescent="0.2">
      <c r="A1510" s="27">
        <f>COUNTIFS(C:C,C1510,D:D,D1510)</f>
        <v>1</v>
      </c>
      <c r="B1510" s="30">
        <v>202101157666</v>
      </c>
      <c r="C1510" t="s">
        <v>4213</v>
      </c>
      <c r="D1510" t="s">
        <v>4214</v>
      </c>
      <c r="E1510" t="s">
        <v>4973</v>
      </c>
      <c r="F1510" t="s">
        <v>66</v>
      </c>
      <c r="G1510" s="27" t="str">
        <f t="shared" si="46"/>
        <v>8901 BISSONNET ST 15  HOUSTON</v>
      </c>
      <c r="H1510" s="27" t="str">
        <f t="shared" si="47"/>
        <v>HOUSTON TX 77074</v>
      </c>
    </row>
    <row r="1511" spans="1:8" x14ac:dyDescent="0.2">
      <c r="A1511" s="27">
        <f>COUNTIFS(C:C,C1511,D:D,D1511)</f>
        <v>1</v>
      </c>
      <c r="B1511" s="30">
        <v>202101157671</v>
      </c>
      <c r="C1511" t="s">
        <v>4215</v>
      </c>
      <c r="D1511" t="s">
        <v>4216</v>
      </c>
      <c r="E1511" t="s">
        <v>4892</v>
      </c>
      <c r="F1511" t="s">
        <v>88</v>
      </c>
      <c r="G1511" s="27" t="str">
        <f t="shared" si="46"/>
        <v>21077 KINGSLAND BLVD  HARRIS CO</v>
      </c>
      <c r="H1511" s="27" t="str">
        <f t="shared" si="47"/>
        <v>HOUSTON TX 77450</v>
      </c>
    </row>
    <row r="1512" spans="1:8" x14ac:dyDescent="0.2">
      <c r="A1512" s="27">
        <f>COUNTIFS(C:C,C1512,D:D,D1512)</f>
        <v>1</v>
      </c>
      <c r="B1512" s="30">
        <v>202101157672</v>
      </c>
      <c r="C1512" s="28" t="s">
        <v>542</v>
      </c>
      <c r="D1512" s="28" t="s">
        <v>543</v>
      </c>
      <c r="E1512" s="28" t="s">
        <v>4896</v>
      </c>
      <c r="F1512" s="28" t="s">
        <v>87</v>
      </c>
      <c r="G1512" s="27" t="str">
        <f t="shared" si="46"/>
        <v>10202 FORUM PARK  HOUSTON</v>
      </c>
      <c r="H1512" s="27" t="str">
        <f t="shared" si="47"/>
        <v>HOUSTON TX 77036</v>
      </c>
    </row>
    <row r="1513" spans="1:8" x14ac:dyDescent="0.2">
      <c r="A1513" s="27">
        <f>COUNTIFS(C:C,C1513,D:D,D1513)</f>
        <v>1</v>
      </c>
      <c r="B1513" s="30">
        <v>202101157673</v>
      </c>
      <c r="C1513" s="28" t="s">
        <v>1400</v>
      </c>
      <c r="D1513" s="28" t="s">
        <v>1401</v>
      </c>
      <c r="E1513" s="28" t="s">
        <v>4997</v>
      </c>
      <c r="F1513" s="28" t="s">
        <v>53</v>
      </c>
      <c r="G1513" s="27" t="str">
        <f t="shared" si="46"/>
        <v>8404 SOUTH COURSE DR  HOUSTON</v>
      </c>
      <c r="H1513" s="27" t="str">
        <f t="shared" si="47"/>
        <v>HOUSTON TX 77099</v>
      </c>
    </row>
    <row r="1514" spans="1:8" x14ac:dyDescent="0.2">
      <c r="A1514" s="27">
        <f>COUNTIFS(C:C,C1514,D:D,D1514)</f>
        <v>1</v>
      </c>
      <c r="B1514" s="30">
        <v>202101157674</v>
      </c>
      <c r="C1514" t="s">
        <v>4217</v>
      </c>
      <c r="D1514" t="s">
        <v>4218</v>
      </c>
      <c r="E1514" t="s">
        <v>5207</v>
      </c>
      <c r="F1514" t="s">
        <v>88</v>
      </c>
      <c r="G1514" s="27" t="str">
        <f t="shared" ref="G1514:G1577" si="48">D1514&amp;" "&amp;MID(E1514,1,FIND(" TX",E1514)-1)</f>
        <v>15700 LEXINGTON BLVD 1503 SUGARLAND</v>
      </c>
      <c r="H1514" s="27" t="str">
        <f t="shared" ref="H1514:H1577" si="49">"HOUSTON "&amp;MID(E1514,FIND("TX",E1514),8)</f>
        <v>HOUSTON TX 77478</v>
      </c>
    </row>
    <row r="1515" spans="1:8" x14ac:dyDescent="0.2">
      <c r="A1515" s="27">
        <f>COUNTIFS(C:C,C1515,D:D,D1515)</f>
        <v>1</v>
      </c>
      <c r="B1515" s="30">
        <v>202101157676</v>
      </c>
      <c r="C1515" t="s">
        <v>4219</v>
      </c>
      <c r="D1515" t="s">
        <v>4220</v>
      </c>
      <c r="E1515" t="s">
        <v>4932</v>
      </c>
      <c r="F1515" t="s">
        <v>88</v>
      </c>
      <c r="G1515" s="27" t="str">
        <f t="shared" si="48"/>
        <v>5701 DEEP FOREST CIR 413 HOUSTON</v>
      </c>
      <c r="H1515" s="27" t="str">
        <f t="shared" si="49"/>
        <v>HOUSTON TX 77092</v>
      </c>
    </row>
    <row r="1516" spans="1:8" x14ac:dyDescent="0.2">
      <c r="A1516" s="27">
        <f>COUNTIFS(C:C,C1516,D:D,D1516)</f>
        <v>1</v>
      </c>
      <c r="B1516" s="30">
        <v>202101157677</v>
      </c>
      <c r="C1516" t="s">
        <v>4221</v>
      </c>
      <c r="D1516" t="s">
        <v>4222</v>
      </c>
      <c r="E1516" t="s">
        <v>5023</v>
      </c>
      <c r="F1516" t="s">
        <v>88</v>
      </c>
      <c r="G1516" s="27" t="str">
        <f t="shared" si="48"/>
        <v>8513 WESTHEIMER RD  HOUSTON</v>
      </c>
      <c r="H1516" s="27" t="str">
        <f t="shared" si="49"/>
        <v>HOUSTON TX 77063</v>
      </c>
    </row>
    <row r="1517" spans="1:8" x14ac:dyDescent="0.2">
      <c r="A1517" s="27">
        <f>COUNTIFS(C:C,C1517,D:D,D1517)</f>
        <v>1</v>
      </c>
      <c r="B1517" s="30">
        <v>202101157682</v>
      </c>
      <c r="C1517" t="s">
        <v>4223</v>
      </c>
      <c r="D1517" t="s">
        <v>4224</v>
      </c>
      <c r="E1517" t="s">
        <v>4932</v>
      </c>
      <c r="F1517" t="s">
        <v>98</v>
      </c>
      <c r="G1517" s="27" t="str">
        <f t="shared" si="48"/>
        <v>12460 1 2 HEMPSTEAD  HOUSTON</v>
      </c>
      <c r="H1517" s="27" t="str">
        <f t="shared" si="49"/>
        <v>HOUSTON TX 77092</v>
      </c>
    </row>
    <row r="1518" spans="1:8" x14ac:dyDescent="0.2">
      <c r="A1518" s="27">
        <f>COUNTIFS(C:C,C1518,D:D,D1518)</f>
        <v>1</v>
      </c>
      <c r="B1518" s="30">
        <v>202101157684</v>
      </c>
      <c r="C1518" t="s">
        <v>4225</v>
      </c>
      <c r="D1518" t="s">
        <v>4226</v>
      </c>
      <c r="E1518" t="s">
        <v>4879</v>
      </c>
      <c r="F1518" t="s">
        <v>79</v>
      </c>
      <c r="G1518" s="27" t="str">
        <f t="shared" si="48"/>
        <v>6407 ANTOINE DR  HOUSTON</v>
      </c>
      <c r="H1518" s="27" t="str">
        <f t="shared" si="49"/>
        <v>HOUSTON TX 77091</v>
      </c>
    </row>
    <row r="1519" spans="1:8" x14ac:dyDescent="0.2">
      <c r="A1519" s="27">
        <f>COUNTIFS(C:C,C1519,D:D,D1519)</f>
        <v>1</v>
      </c>
      <c r="B1519" s="30">
        <v>202101157686</v>
      </c>
      <c r="C1519" s="28" t="s">
        <v>1410</v>
      </c>
      <c r="D1519" s="28" t="s">
        <v>1411</v>
      </c>
      <c r="E1519" s="28" t="s">
        <v>4874</v>
      </c>
      <c r="F1519" s="28" t="s">
        <v>311</v>
      </c>
      <c r="G1519" s="27" t="str">
        <f t="shared" si="48"/>
        <v>6007 KENILWOOD DR  HOUSTON</v>
      </c>
      <c r="H1519" s="27" t="str">
        <f t="shared" si="49"/>
        <v>HOUSTON TX 77033</v>
      </c>
    </row>
    <row r="1520" spans="1:8" x14ac:dyDescent="0.2">
      <c r="A1520" s="27">
        <f>COUNTIFS(C:C,C1520,D:D,D1520)</f>
        <v>1</v>
      </c>
      <c r="B1520" s="30">
        <v>202101157689</v>
      </c>
      <c r="C1520" t="s">
        <v>3197</v>
      </c>
      <c r="D1520" t="s">
        <v>3198</v>
      </c>
      <c r="E1520" t="s">
        <v>4896</v>
      </c>
      <c r="F1520" t="s">
        <v>110</v>
      </c>
      <c r="G1520" s="27" t="str">
        <f t="shared" si="48"/>
        <v>10111 BISSONNET STREE T HOUSTON</v>
      </c>
      <c r="H1520" s="27" t="str">
        <f t="shared" si="49"/>
        <v>HOUSTON TX 77036</v>
      </c>
    </row>
    <row r="1521" spans="1:8" x14ac:dyDescent="0.2">
      <c r="A1521" s="27">
        <f>COUNTIFS(C:C,C1521,D:D,D1521)</f>
        <v>1</v>
      </c>
      <c r="B1521" s="30">
        <v>202101157690</v>
      </c>
      <c r="C1521" t="s">
        <v>3376</v>
      </c>
      <c r="D1521" t="s">
        <v>3377</v>
      </c>
      <c r="E1521" t="s">
        <v>5055</v>
      </c>
      <c r="F1521" t="s">
        <v>88</v>
      </c>
      <c r="G1521" s="27" t="str">
        <f t="shared" si="48"/>
        <v>17806 AUTUMN HILLS DR  HARRIS CO</v>
      </c>
      <c r="H1521" s="27" t="str">
        <f t="shared" si="49"/>
        <v>HOUSTON TX 77084</v>
      </c>
    </row>
    <row r="1522" spans="1:8" x14ac:dyDescent="0.2">
      <c r="A1522" s="27">
        <f>COUNTIFS(C:C,C1522,D:D,D1522)</f>
        <v>1</v>
      </c>
      <c r="B1522" s="30">
        <v>202101157691</v>
      </c>
      <c r="C1522" t="s">
        <v>4227</v>
      </c>
      <c r="D1522" t="s">
        <v>4228</v>
      </c>
      <c r="E1522" t="s">
        <v>5257</v>
      </c>
      <c r="F1522" t="s">
        <v>88</v>
      </c>
      <c r="G1522" s="27" t="e">
        <f t="shared" si="48"/>
        <v>#VALUE!</v>
      </c>
      <c r="H1522" s="27" t="e">
        <f t="shared" si="49"/>
        <v>#VALUE!</v>
      </c>
    </row>
    <row r="1523" spans="1:8" x14ac:dyDescent="0.2">
      <c r="A1523" s="27">
        <f>COUNTIFS(C:C,C1523,D:D,D1523)</f>
        <v>1</v>
      </c>
      <c r="B1523" s="30">
        <v>202101157696</v>
      </c>
      <c r="C1523" t="s">
        <v>4229</v>
      </c>
      <c r="D1523" t="s">
        <v>4230</v>
      </c>
      <c r="E1523" t="s">
        <v>4969</v>
      </c>
      <c r="F1523" t="s">
        <v>56</v>
      </c>
      <c r="G1523" s="27" t="str">
        <f t="shared" si="48"/>
        <v>30546 COUNTRY MEADOWS  TOMBALL</v>
      </c>
      <c r="H1523" s="27" t="str">
        <f t="shared" si="49"/>
        <v>HOUSTON TX 77375</v>
      </c>
    </row>
    <row r="1524" spans="1:8" x14ac:dyDescent="0.2">
      <c r="A1524" s="27">
        <f>COUNTIFS(C:C,C1524,D:D,D1524)</f>
        <v>1</v>
      </c>
      <c r="B1524" s="30">
        <v>202101157698</v>
      </c>
      <c r="C1524" s="28" t="s">
        <v>684</v>
      </c>
      <c r="D1524" s="28" t="s">
        <v>685</v>
      </c>
      <c r="E1524" s="28" t="s">
        <v>4855</v>
      </c>
      <c r="F1524" s="28" t="s">
        <v>88</v>
      </c>
      <c r="G1524" s="27" t="str">
        <f t="shared" si="48"/>
        <v>8458 RINN ST  HOUSTON</v>
      </c>
      <c r="H1524" s="27" t="str">
        <f t="shared" si="49"/>
        <v>HOUSTON TX 77078</v>
      </c>
    </row>
    <row r="1525" spans="1:8" x14ac:dyDescent="0.2">
      <c r="A1525" s="27">
        <f>COUNTIFS(C:C,C1525,D:D,D1525)</f>
        <v>1</v>
      </c>
      <c r="B1525" s="30">
        <v>202101157710</v>
      </c>
      <c r="C1525" t="s">
        <v>4231</v>
      </c>
      <c r="D1525" t="s">
        <v>4232</v>
      </c>
      <c r="E1525" t="s">
        <v>4908</v>
      </c>
      <c r="F1525" t="s">
        <v>53</v>
      </c>
      <c r="G1525" s="27" t="str">
        <f t="shared" si="48"/>
        <v>6110 HARVEST TERRACE CT SPRING</v>
      </c>
      <c r="H1525" s="27" t="str">
        <f t="shared" si="49"/>
        <v>HOUSTON TX 77379</v>
      </c>
    </row>
    <row r="1526" spans="1:8" x14ac:dyDescent="0.2">
      <c r="A1526" s="27">
        <f>COUNTIFS(C:C,C1526,D:D,D1526)</f>
        <v>1</v>
      </c>
      <c r="B1526" s="30">
        <v>202101157711</v>
      </c>
      <c r="C1526" t="s">
        <v>4233</v>
      </c>
      <c r="D1526" t="s">
        <v>4234</v>
      </c>
      <c r="E1526" t="s">
        <v>4991</v>
      </c>
      <c r="F1526" t="s">
        <v>85</v>
      </c>
      <c r="G1526" s="27" t="str">
        <f t="shared" si="48"/>
        <v>3500 WOODCHASE DR 13 08 HOUSTON</v>
      </c>
      <c r="H1526" s="27" t="str">
        <f t="shared" si="49"/>
        <v>HOUSTON TX 77042</v>
      </c>
    </row>
    <row r="1527" spans="1:8" x14ac:dyDescent="0.2">
      <c r="A1527" s="27">
        <f>COUNTIFS(C:C,C1527,D:D,D1527)</f>
        <v>1</v>
      </c>
      <c r="B1527" s="30">
        <v>202101157712</v>
      </c>
      <c r="C1527" t="s">
        <v>2943</v>
      </c>
      <c r="D1527" t="s">
        <v>2944</v>
      </c>
      <c r="E1527" t="s">
        <v>4852</v>
      </c>
      <c r="F1527" t="s">
        <v>51</v>
      </c>
      <c r="G1527" s="27" t="str">
        <f t="shared" si="48"/>
        <v>6802 BLEKER ST  HOUSTON</v>
      </c>
      <c r="H1527" s="27" t="str">
        <f t="shared" si="49"/>
        <v>HOUSTON TX 77016</v>
      </c>
    </row>
    <row r="1528" spans="1:8" x14ac:dyDescent="0.2">
      <c r="A1528" s="27">
        <f>COUNTIFS(C:C,C1528,D:D,D1528)</f>
        <v>1</v>
      </c>
      <c r="B1528" s="30">
        <v>202101157718</v>
      </c>
      <c r="C1528" t="s">
        <v>2109</v>
      </c>
      <c r="D1528" t="s">
        <v>2110</v>
      </c>
      <c r="E1528" t="s">
        <v>4973</v>
      </c>
      <c r="F1528" t="s">
        <v>64</v>
      </c>
      <c r="G1528" s="27" t="str">
        <f t="shared" si="48"/>
        <v>9600 BRAES BAYOU DR APT 29 HOUSTON</v>
      </c>
      <c r="H1528" s="27" t="str">
        <f t="shared" si="49"/>
        <v>HOUSTON TX 77074</v>
      </c>
    </row>
    <row r="1529" spans="1:8" x14ac:dyDescent="0.2">
      <c r="A1529" s="27">
        <f>COUNTIFS(C:C,C1529,D:D,D1529)</f>
        <v>1</v>
      </c>
      <c r="B1529" s="30">
        <v>202101157719</v>
      </c>
      <c r="C1529" t="s">
        <v>2510</v>
      </c>
      <c r="D1529" t="s">
        <v>2511</v>
      </c>
      <c r="E1529" t="s">
        <v>4967</v>
      </c>
      <c r="F1529" t="s">
        <v>88</v>
      </c>
      <c r="G1529" s="27" t="str">
        <f t="shared" si="48"/>
        <v>9222 LOREN LN  HOUSTON</v>
      </c>
      <c r="H1529" s="27" t="str">
        <f t="shared" si="49"/>
        <v>HOUSTON TX 77040</v>
      </c>
    </row>
    <row r="1530" spans="1:8" x14ac:dyDescent="0.2">
      <c r="A1530" s="27">
        <f>COUNTIFS(C:C,C1530,D:D,D1530)</f>
        <v>1</v>
      </c>
      <c r="B1530" s="30">
        <v>202101157720</v>
      </c>
      <c r="C1530" t="s">
        <v>4235</v>
      </c>
      <c r="D1530" t="s">
        <v>4236</v>
      </c>
      <c r="E1530" t="s">
        <v>5002</v>
      </c>
      <c r="F1530" t="s">
        <v>64</v>
      </c>
      <c r="G1530" s="27" t="str">
        <f t="shared" si="48"/>
        <v>11355 RICHMOND AVE 20 3 HOUSTON</v>
      </c>
      <c r="H1530" s="27" t="str">
        <f t="shared" si="49"/>
        <v>HOUSTON TX 77082</v>
      </c>
    </row>
    <row r="1531" spans="1:8" x14ac:dyDescent="0.2">
      <c r="A1531" s="27">
        <f>COUNTIFS(C:C,C1531,D:D,D1531)</f>
        <v>1</v>
      </c>
      <c r="B1531" s="30">
        <v>202101157723</v>
      </c>
      <c r="C1531" t="s">
        <v>4237</v>
      </c>
      <c r="D1531" t="s">
        <v>4238</v>
      </c>
      <c r="E1531" t="s">
        <v>4874</v>
      </c>
      <c r="F1531" t="s">
        <v>53</v>
      </c>
      <c r="G1531" s="27" t="str">
        <f t="shared" si="48"/>
        <v>5823 BELNEATH ST  HOUSTON</v>
      </c>
      <c r="H1531" s="27" t="str">
        <f t="shared" si="49"/>
        <v>HOUSTON TX 77033</v>
      </c>
    </row>
    <row r="1532" spans="1:8" x14ac:dyDescent="0.2">
      <c r="A1532" s="27">
        <f>COUNTIFS(C:C,C1532,D:D,D1532)</f>
        <v>1</v>
      </c>
      <c r="B1532" s="30">
        <v>202101157724</v>
      </c>
      <c r="C1532" s="28" t="s">
        <v>644</v>
      </c>
      <c r="D1532" s="28" t="s">
        <v>645</v>
      </c>
      <c r="E1532" s="28" t="s">
        <v>4880</v>
      </c>
      <c r="F1532" s="28" t="s">
        <v>64</v>
      </c>
      <c r="G1532" s="27" t="str">
        <f t="shared" si="48"/>
        <v>3501 ADAIR ST APT 1  HOUSTON</v>
      </c>
      <c r="H1532" s="27" t="str">
        <f t="shared" si="49"/>
        <v>HOUSTON TX 77004</v>
      </c>
    </row>
    <row r="1533" spans="1:8" x14ac:dyDescent="0.2">
      <c r="A1533" s="27">
        <f>COUNTIFS(C:C,C1533,D:D,D1533)</f>
        <v>1</v>
      </c>
      <c r="B1533" s="30">
        <v>202101157726</v>
      </c>
      <c r="C1533" s="28" t="s">
        <v>664</v>
      </c>
      <c r="D1533" s="28" t="s">
        <v>665</v>
      </c>
      <c r="E1533" s="28" t="s">
        <v>4875</v>
      </c>
      <c r="F1533" s="28" t="s">
        <v>99</v>
      </c>
      <c r="G1533" s="27" t="str">
        <f t="shared" si="48"/>
        <v>2131 CROMWELL STREET  HOUSTON</v>
      </c>
      <c r="H1533" s="27" t="str">
        <f t="shared" si="49"/>
        <v>HOUSTON TX 77093</v>
      </c>
    </row>
    <row r="1534" spans="1:8" x14ac:dyDescent="0.2">
      <c r="A1534" s="27">
        <f>COUNTIFS(C:C,C1534,D:D,D1534)</f>
        <v>1</v>
      </c>
      <c r="B1534" s="30">
        <v>202101157728</v>
      </c>
      <c r="C1534" t="s">
        <v>3067</v>
      </c>
      <c r="D1534" t="s">
        <v>3068</v>
      </c>
      <c r="E1534" t="s">
        <v>4859</v>
      </c>
      <c r="F1534" t="s">
        <v>4824</v>
      </c>
      <c r="G1534" s="27" t="str">
        <f t="shared" si="48"/>
        <v>15914 LAND VIEW DR  HOUSTON</v>
      </c>
      <c r="H1534" s="27" t="str">
        <f t="shared" si="49"/>
        <v>HOUSTON TX 77073</v>
      </c>
    </row>
    <row r="1535" spans="1:8" x14ac:dyDescent="0.2">
      <c r="A1535" s="27">
        <f>COUNTIFS(C:C,C1535,D:D,D1535)</f>
        <v>1</v>
      </c>
      <c r="B1535" s="30">
        <v>202101157729</v>
      </c>
      <c r="C1535" s="28" t="s">
        <v>837</v>
      </c>
      <c r="D1535" s="28" t="s">
        <v>838</v>
      </c>
      <c r="E1535" s="28" t="s">
        <v>4968</v>
      </c>
      <c r="F1535" s="28" t="s">
        <v>88</v>
      </c>
      <c r="G1535" s="27" t="str">
        <f t="shared" si="48"/>
        <v>8325 BROADWAY  PEARLAND</v>
      </c>
      <c r="H1535" s="27" t="str">
        <f t="shared" si="49"/>
        <v>HOUSTON TX 77581</v>
      </c>
    </row>
    <row r="1536" spans="1:8" x14ac:dyDescent="0.2">
      <c r="A1536" s="27">
        <f>COUNTIFS(C:C,C1536,D:D,D1536)</f>
        <v>1</v>
      </c>
      <c r="B1536" s="30">
        <v>202101157730</v>
      </c>
      <c r="C1536" t="s">
        <v>4239</v>
      </c>
      <c r="D1536" t="s">
        <v>4240</v>
      </c>
      <c r="E1536" t="s">
        <v>5065</v>
      </c>
      <c r="F1536" t="s">
        <v>64</v>
      </c>
      <c r="G1536" s="27" t="str">
        <f t="shared" si="48"/>
        <v>2815 CALIFORNIA ST T RLR 95 DICKINSON</v>
      </c>
      <c r="H1536" s="27" t="str">
        <f t="shared" si="49"/>
        <v>HOUSTON TX 77539</v>
      </c>
    </row>
    <row r="1537" spans="1:8" x14ac:dyDescent="0.2">
      <c r="A1537" s="27">
        <f>COUNTIFS(C:C,C1537,D:D,D1537)</f>
        <v>1</v>
      </c>
      <c r="B1537" s="30">
        <v>202101157731</v>
      </c>
      <c r="C1537" t="s">
        <v>4241</v>
      </c>
      <c r="D1537" t="s">
        <v>4242</v>
      </c>
      <c r="E1537" t="s">
        <v>4901</v>
      </c>
      <c r="F1537" t="s">
        <v>111</v>
      </c>
      <c r="G1537" s="27" t="str">
        <f t="shared" si="48"/>
        <v>4346 WILD ACRES  HOUSTON</v>
      </c>
      <c r="H1537" s="27" t="str">
        <f t="shared" si="49"/>
        <v>HOUSTON TX 77072</v>
      </c>
    </row>
    <row r="1538" spans="1:8" x14ac:dyDescent="0.2">
      <c r="A1538" s="27">
        <f>COUNTIFS(C:C,C1538,D:D,D1538)</f>
        <v>1</v>
      </c>
      <c r="B1538" s="30">
        <v>202101157736</v>
      </c>
      <c r="C1538" t="s">
        <v>2132</v>
      </c>
      <c r="D1538" t="s">
        <v>2133</v>
      </c>
      <c r="E1538" t="s">
        <v>4878</v>
      </c>
      <c r="F1538" t="s">
        <v>90</v>
      </c>
      <c r="G1538" s="27" t="str">
        <f t="shared" si="48"/>
        <v>12706 MILL VALLEY DR  HOUSTON</v>
      </c>
      <c r="H1538" s="27" t="str">
        <f t="shared" si="49"/>
        <v>HOUSTON TX 77048</v>
      </c>
    </row>
    <row r="1539" spans="1:8" x14ac:dyDescent="0.2">
      <c r="A1539" s="27">
        <f>COUNTIFS(C:C,C1539,D:D,D1539)</f>
        <v>1</v>
      </c>
      <c r="B1539" s="30">
        <v>202101157740</v>
      </c>
      <c r="C1539" t="s">
        <v>4243</v>
      </c>
      <c r="D1539" t="s">
        <v>4244</v>
      </c>
      <c r="E1539" t="s">
        <v>5174</v>
      </c>
      <c r="F1539" t="s">
        <v>53</v>
      </c>
      <c r="G1539" s="27" t="str">
        <f t="shared" si="48"/>
        <v>12006 IBISCO COURT  RICHMOND</v>
      </c>
      <c r="H1539" s="27" t="str">
        <f t="shared" si="49"/>
        <v>HOUSTON TX 77406</v>
      </c>
    </row>
    <row r="1540" spans="1:8" x14ac:dyDescent="0.2">
      <c r="A1540" s="27">
        <f>COUNTIFS(C:C,C1540,D:D,D1540)</f>
        <v>1</v>
      </c>
      <c r="B1540" s="30">
        <v>202101157742</v>
      </c>
      <c r="C1540" t="s">
        <v>2254</v>
      </c>
      <c r="D1540" t="s">
        <v>2255</v>
      </c>
      <c r="E1540" t="s">
        <v>4859</v>
      </c>
      <c r="F1540" t="s">
        <v>56</v>
      </c>
      <c r="G1540" s="27" t="str">
        <f t="shared" si="48"/>
        <v>310 PARRAMATTA LN  HOUSTON</v>
      </c>
      <c r="H1540" s="27" t="str">
        <f t="shared" si="49"/>
        <v>HOUSTON TX 77073</v>
      </c>
    </row>
    <row r="1541" spans="1:8" x14ac:dyDescent="0.2">
      <c r="A1541" s="27">
        <f>COUNTIFS(C:C,C1541,D:D,D1541)</f>
        <v>1</v>
      </c>
      <c r="B1541" s="30">
        <v>202101157743</v>
      </c>
      <c r="C1541" t="s">
        <v>4245</v>
      </c>
      <c r="D1541" t="s">
        <v>4246</v>
      </c>
      <c r="E1541" t="s">
        <v>4994</v>
      </c>
      <c r="F1541" t="s">
        <v>380</v>
      </c>
      <c r="G1541" s="27" t="str">
        <f t="shared" si="48"/>
        <v>2223 SPRING CYPRESS RD SPRING</v>
      </c>
      <c r="H1541" s="27" t="str">
        <f t="shared" si="49"/>
        <v>HOUSTON TX 77388</v>
      </c>
    </row>
    <row r="1542" spans="1:8" x14ac:dyDescent="0.2">
      <c r="A1542" s="27">
        <f>COUNTIFS(C:C,C1542,D:D,D1542)</f>
        <v>1</v>
      </c>
      <c r="B1542" s="30">
        <v>202101157745</v>
      </c>
      <c r="C1542" s="28" t="s">
        <v>1205</v>
      </c>
      <c r="D1542" s="28" t="s">
        <v>1206</v>
      </c>
      <c r="E1542" s="28" t="s">
        <v>5016</v>
      </c>
      <c r="F1542" s="28" t="s">
        <v>53</v>
      </c>
      <c r="G1542" s="27" t="str">
        <f t="shared" si="48"/>
        <v>5615 BUCKOW DRIVE  HOUSTON</v>
      </c>
      <c r="H1542" s="27" t="str">
        <f t="shared" si="49"/>
        <v>HOUSTON TX 77396</v>
      </c>
    </row>
    <row r="1543" spans="1:8" x14ac:dyDescent="0.2">
      <c r="A1543" s="27">
        <f>COUNTIFS(C:C,C1543,D:D,D1543)</f>
        <v>1</v>
      </c>
      <c r="B1543" s="30">
        <v>202101157747</v>
      </c>
      <c r="C1543" t="s">
        <v>4249</v>
      </c>
      <c r="D1543" t="s">
        <v>4250</v>
      </c>
      <c r="E1543" t="s">
        <v>4939</v>
      </c>
      <c r="F1543" t="s">
        <v>96</v>
      </c>
      <c r="G1543" s="27" t="str">
        <f t="shared" si="48"/>
        <v>10134 HORSESHOE BEND DR HOUSTON</v>
      </c>
      <c r="H1543" s="27" t="str">
        <f t="shared" si="49"/>
        <v>HOUSTON TX 77064</v>
      </c>
    </row>
    <row r="1544" spans="1:8" x14ac:dyDescent="0.2">
      <c r="A1544" s="27">
        <f>COUNTIFS(C:C,C1544,D:D,D1544)</f>
        <v>1</v>
      </c>
      <c r="B1544" s="30">
        <v>202101157748</v>
      </c>
      <c r="C1544" t="s">
        <v>2354</v>
      </c>
      <c r="D1544" t="s">
        <v>2355</v>
      </c>
      <c r="E1544" t="s">
        <v>4901</v>
      </c>
      <c r="F1544" t="s">
        <v>88</v>
      </c>
      <c r="G1544" s="27" t="str">
        <f t="shared" si="48"/>
        <v>4700 S KIRKWOOD RD  HOUSTON</v>
      </c>
      <c r="H1544" s="27" t="str">
        <f t="shared" si="49"/>
        <v>HOUSTON TX 77072</v>
      </c>
    </row>
    <row r="1545" spans="1:8" x14ac:dyDescent="0.2">
      <c r="A1545" s="27">
        <f>COUNTIFS(C:C,C1545,D:D,D1545)</f>
        <v>1</v>
      </c>
      <c r="B1545" s="30">
        <v>202101157749</v>
      </c>
      <c r="C1545" t="s">
        <v>4247</v>
      </c>
      <c r="D1545" t="s">
        <v>4248</v>
      </c>
      <c r="E1545" t="s">
        <v>5258</v>
      </c>
      <c r="F1545" t="s">
        <v>71</v>
      </c>
      <c r="G1545" s="27" t="e">
        <f t="shared" si="48"/>
        <v>#VALUE!</v>
      </c>
      <c r="H1545" s="27" t="e">
        <f t="shared" si="49"/>
        <v>#VALUE!</v>
      </c>
    </row>
    <row r="1546" spans="1:8" x14ac:dyDescent="0.2">
      <c r="A1546" s="27">
        <f>COUNTIFS(C:C,C1546,D:D,D1546)</f>
        <v>1</v>
      </c>
      <c r="B1546" s="30">
        <v>202101157750</v>
      </c>
      <c r="C1546" t="s">
        <v>2653</v>
      </c>
      <c r="D1546" t="s">
        <v>2654</v>
      </c>
      <c r="E1546" t="s">
        <v>4943</v>
      </c>
      <c r="F1546" t="s">
        <v>51</v>
      </c>
      <c r="G1546" s="27" t="str">
        <f t="shared" si="48"/>
        <v>15211 PARK ROW APT  HOUSTON</v>
      </c>
      <c r="H1546" s="27" t="str">
        <f t="shared" si="49"/>
        <v>HOUSTON TX 77084</v>
      </c>
    </row>
    <row r="1547" spans="1:8" x14ac:dyDescent="0.2">
      <c r="A1547" s="27">
        <f>COUNTIFS(C:C,C1547,D:D,D1547)</f>
        <v>1</v>
      </c>
      <c r="B1547" s="30">
        <v>202101157751</v>
      </c>
      <c r="C1547" t="s">
        <v>4251</v>
      </c>
      <c r="D1547" t="s">
        <v>4252</v>
      </c>
      <c r="E1547" t="s">
        <v>4934</v>
      </c>
      <c r="F1547" t="s">
        <v>66</v>
      </c>
      <c r="G1547" s="27" t="str">
        <f t="shared" si="48"/>
        <v>7351 RUSK ST  HOUSTON</v>
      </c>
      <c r="H1547" s="27" t="str">
        <f t="shared" si="49"/>
        <v>HOUSTON TX 77011</v>
      </c>
    </row>
    <row r="1548" spans="1:8" x14ac:dyDescent="0.2">
      <c r="A1548" s="27">
        <f>COUNTIFS(C:C,C1548,D:D,D1548)</f>
        <v>1</v>
      </c>
      <c r="B1548" s="30">
        <v>202101157758</v>
      </c>
      <c r="C1548" s="28" t="s">
        <v>800</v>
      </c>
      <c r="D1548" s="28" t="s">
        <v>801</v>
      </c>
      <c r="E1548" s="28" t="s">
        <v>4958</v>
      </c>
      <c r="F1548" s="28" t="s">
        <v>346</v>
      </c>
      <c r="G1548" s="27" t="str">
        <f t="shared" si="48"/>
        <v>15 CHARLESTON OAKS 2209 HOUSTON</v>
      </c>
      <c r="H1548" s="27" t="str">
        <f t="shared" si="49"/>
        <v>HOUSTON TX 77025</v>
      </c>
    </row>
    <row r="1549" spans="1:8" x14ac:dyDescent="0.2">
      <c r="A1549" s="27">
        <f>COUNTIFS(C:C,C1549,D:D,D1549)</f>
        <v>1</v>
      </c>
      <c r="B1549" s="30">
        <v>202101157759</v>
      </c>
      <c r="C1549" s="28" t="s">
        <v>1476</v>
      </c>
      <c r="D1549" s="28" t="s">
        <v>1477</v>
      </c>
      <c r="E1549" s="28" t="s">
        <v>4915</v>
      </c>
      <c r="F1549" s="28" t="s">
        <v>288</v>
      </c>
      <c r="G1549" s="27" t="str">
        <f t="shared" si="48"/>
        <v>5235 POMANDER RD  HOUSTON</v>
      </c>
      <c r="H1549" s="27" t="str">
        <f t="shared" si="49"/>
        <v>HOUSTON TX 77021</v>
      </c>
    </row>
    <row r="1550" spans="1:8" x14ac:dyDescent="0.2">
      <c r="A1550" s="27">
        <f>COUNTIFS(C:C,C1550,D:D,D1550)</f>
        <v>1</v>
      </c>
      <c r="B1550" s="30">
        <v>202101157761</v>
      </c>
      <c r="C1550" s="28" t="s">
        <v>1235</v>
      </c>
      <c r="D1550" s="28" t="s">
        <v>1236</v>
      </c>
      <c r="E1550" s="28" t="s">
        <v>4865</v>
      </c>
      <c r="F1550" s="28" t="s">
        <v>88</v>
      </c>
      <c r="G1550" s="27" t="str">
        <f t="shared" si="48"/>
        <v>4201 ROGERS ST  HOUSTON</v>
      </c>
      <c r="H1550" s="27" t="str">
        <f t="shared" si="49"/>
        <v xml:space="preserve">HOUSTON TX      </v>
      </c>
    </row>
    <row r="1551" spans="1:8" x14ac:dyDescent="0.2">
      <c r="A1551" s="27">
        <f>COUNTIFS(C:C,C1551,D:D,D1551)</f>
        <v>1</v>
      </c>
      <c r="B1551" s="30">
        <v>202101157762</v>
      </c>
      <c r="C1551" t="s">
        <v>4090</v>
      </c>
      <c r="D1551" t="s">
        <v>4091</v>
      </c>
      <c r="E1551" t="s">
        <v>5187</v>
      </c>
      <c r="F1551" t="s">
        <v>78</v>
      </c>
      <c r="G1551" s="27" t="str">
        <f t="shared" si="48"/>
        <v>1906 ROSEGALE  FRESNO</v>
      </c>
      <c r="H1551" s="27" t="str">
        <f t="shared" si="49"/>
        <v>HOUSTON TX 77545</v>
      </c>
    </row>
    <row r="1552" spans="1:8" x14ac:dyDescent="0.2">
      <c r="A1552" s="27">
        <f>COUNTIFS(C:C,C1552,D:D,D1552)</f>
        <v>1</v>
      </c>
      <c r="B1552" s="30">
        <v>202101157763</v>
      </c>
      <c r="C1552" t="s">
        <v>4253</v>
      </c>
      <c r="D1552" t="s">
        <v>4254</v>
      </c>
      <c r="E1552" t="s">
        <v>5060</v>
      </c>
      <c r="F1552" t="s">
        <v>53</v>
      </c>
      <c r="G1552" s="27" t="str">
        <f t="shared" si="48"/>
        <v>9844 CYPRESSWOOD DR 705 HOUSTON</v>
      </c>
      <c r="H1552" s="27" t="str">
        <f t="shared" si="49"/>
        <v>HOUSTON TX 77070</v>
      </c>
    </row>
    <row r="1553" spans="1:8" x14ac:dyDescent="0.2">
      <c r="A1553" s="27">
        <f>COUNTIFS(C:C,C1553,D:D,D1553)</f>
        <v>1</v>
      </c>
      <c r="B1553" s="30">
        <v>202101157767</v>
      </c>
      <c r="C1553" s="28" t="s">
        <v>5058</v>
      </c>
      <c r="D1553" s="28" t="s">
        <v>5059</v>
      </c>
      <c r="E1553" s="28" t="s">
        <v>4958</v>
      </c>
      <c r="F1553" s="28" t="s">
        <v>53</v>
      </c>
      <c r="G1553" s="27" t="str">
        <f t="shared" si="48"/>
        <v>16 CHARLESTON PARK DR HOUSTON</v>
      </c>
      <c r="H1553" s="27" t="str">
        <f t="shared" si="49"/>
        <v>HOUSTON TX 77025</v>
      </c>
    </row>
    <row r="1554" spans="1:8" x14ac:dyDescent="0.2">
      <c r="A1554" s="27">
        <f>COUNTIFS(C:C,C1554,D:D,D1554)</f>
        <v>1</v>
      </c>
      <c r="B1554" s="30">
        <v>202101157768</v>
      </c>
      <c r="C1554" s="28" t="s">
        <v>498</v>
      </c>
      <c r="D1554" s="28" t="s">
        <v>499</v>
      </c>
      <c r="E1554" s="28" t="s">
        <v>4889</v>
      </c>
      <c r="F1554" s="28" t="s">
        <v>71</v>
      </c>
      <c r="G1554" s="27" t="str">
        <f t="shared" si="48"/>
        <v>1325 GREENS PARKWAY #70 HOUSTON</v>
      </c>
      <c r="H1554" s="27" t="str">
        <f t="shared" si="49"/>
        <v>HOUSTON TX 77067</v>
      </c>
    </row>
    <row r="1555" spans="1:8" x14ac:dyDescent="0.2">
      <c r="A1555" s="27">
        <f>COUNTIFS(C:C,C1555,D:D,D1555)</f>
        <v>1</v>
      </c>
      <c r="B1555" s="30">
        <v>202101157769</v>
      </c>
      <c r="C1555" t="s">
        <v>4255</v>
      </c>
      <c r="D1555" t="s">
        <v>4256</v>
      </c>
      <c r="E1555" t="s">
        <v>4919</v>
      </c>
      <c r="F1555" t="s">
        <v>88</v>
      </c>
      <c r="G1555" s="27" t="str">
        <f t="shared" si="48"/>
        <v>5821 CLAREWOOD DR 9  HOUSTON</v>
      </c>
      <c r="H1555" s="27" t="str">
        <f t="shared" si="49"/>
        <v>HOUSTON TX 77081</v>
      </c>
    </row>
    <row r="1556" spans="1:8" x14ac:dyDescent="0.2">
      <c r="A1556" s="27">
        <f>COUNTIFS(C:C,C1556,D:D,D1556)</f>
        <v>1</v>
      </c>
      <c r="B1556" s="30">
        <v>202101157773</v>
      </c>
      <c r="C1556" t="s">
        <v>2662</v>
      </c>
      <c r="D1556" t="s">
        <v>2663</v>
      </c>
      <c r="E1556" t="s">
        <v>4869</v>
      </c>
      <c r="F1556" t="s">
        <v>88</v>
      </c>
      <c r="G1556" s="27" t="str">
        <f t="shared" si="48"/>
        <v>235 E 38TH ST  HOUSTON</v>
      </c>
      <c r="H1556" s="27" t="str">
        <f t="shared" si="49"/>
        <v>HOUSTON TX 77018</v>
      </c>
    </row>
    <row r="1557" spans="1:8" x14ac:dyDescent="0.2">
      <c r="A1557" s="27">
        <f>COUNTIFS(C:C,C1557,D:D,D1557)</f>
        <v>1</v>
      </c>
      <c r="B1557" s="30">
        <v>202101157774</v>
      </c>
      <c r="C1557" t="s">
        <v>2233</v>
      </c>
      <c r="D1557" t="s">
        <v>2234</v>
      </c>
      <c r="E1557" t="s">
        <v>4941</v>
      </c>
      <c r="F1557" t="s">
        <v>51</v>
      </c>
      <c r="G1557" s="27" t="str">
        <f t="shared" si="48"/>
        <v>18514 ALEMARBLE OAK S T CYPRESS</v>
      </c>
      <c r="H1557" s="27" t="str">
        <f t="shared" si="49"/>
        <v>HOUSTON TX 77429</v>
      </c>
    </row>
    <row r="1558" spans="1:8" x14ac:dyDescent="0.2">
      <c r="A1558" s="27">
        <f>COUNTIFS(C:C,C1558,D:D,D1558)</f>
        <v>1</v>
      </c>
      <c r="B1558" s="30">
        <v>202101157775</v>
      </c>
      <c r="C1558" t="s">
        <v>4257</v>
      </c>
      <c r="D1558" t="s">
        <v>4258</v>
      </c>
      <c r="E1558" t="s">
        <v>4917</v>
      </c>
      <c r="F1558" t="s">
        <v>174</v>
      </c>
      <c r="G1558" s="27" t="str">
        <f t="shared" si="48"/>
        <v>12534 MILLBANKS DR  HOUSTON</v>
      </c>
      <c r="H1558" s="27" t="str">
        <f t="shared" si="49"/>
        <v>HOUSTON TX 77031</v>
      </c>
    </row>
    <row r="1559" spans="1:8" x14ac:dyDescent="0.2">
      <c r="A1559" s="27">
        <f>COUNTIFS(C:C,C1559,D:D,D1559)</f>
        <v>1</v>
      </c>
      <c r="B1559" s="30">
        <v>202101157776</v>
      </c>
      <c r="C1559" t="s">
        <v>4259</v>
      </c>
      <c r="D1559" t="s">
        <v>4260</v>
      </c>
      <c r="E1559" t="s">
        <v>5065</v>
      </c>
      <c r="F1559" t="s">
        <v>84</v>
      </c>
      <c r="G1559" s="27" t="str">
        <f t="shared" si="48"/>
        <v>3226 AVENUE G  DICKINSON</v>
      </c>
      <c r="H1559" s="27" t="str">
        <f t="shared" si="49"/>
        <v>HOUSTON TX 77539</v>
      </c>
    </row>
    <row r="1560" spans="1:8" x14ac:dyDescent="0.2">
      <c r="A1560" s="27">
        <f>COUNTIFS(C:C,C1560,D:D,D1560)</f>
        <v>1</v>
      </c>
      <c r="B1560" s="30">
        <v>202101157777</v>
      </c>
      <c r="C1560" t="s">
        <v>4261</v>
      </c>
      <c r="D1560" t="s">
        <v>4262</v>
      </c>
      <c r="E1560" t="s">
        <v>5069</v>
      </c>
      <c r="F1560" t="s">
        <v>84</v>
      </c>
      <c r="G1560" s="27" t="str">
        <f t="shared" si="48"/>
        <v>4949 FM 2351  FRIENDSWOO</v>
      </c>
      <c r="H1560" s="27" t="str">
        <f t="shared" si="49"/>
        <v>HOUSTON TX 77546</v>
      </c>
    </row>
    <row r="1561" spans="1:8" x14ac:dyDescent="0.2">
      <c r="A1561" s="27">
        <f>COUNTIFS(C:C,C1561,D:D,D1561)</f>
        <v>1</v>
      </c>
      <c r="B1561" s="30">
        <v>202101157779</v>
      </c>
      <c r="C1561" s="28" t="s">
        <v>1141</v>
      </c>
      <c r="D1561" s="28" t="s">
        <v>1142</v>
      </c>
      <c r="E1561" s="28" t="s">
        <v>4874</v>
      </c>
      <c r="F1561" s="28" t="s">
        <v>88</v>
      </c>
      <c r="G1561" s="27" t="str">
        <f t="shared" si="48"/>
        <v>5814 LYNDHURST DR  HOUSTON</v>
      </c>
      <c r="H1561" s="27" t="str">
        <f t="shared" si="49"/>
        <v>HOUSTON TX 77033</v>
      </c>
    </row>
    <row r="1562" spans="1:8" x14ac:dyDescent="0.2">
      <c r="A1562" s="27">
        <f>COUNTIFS(C:C,C1562,D:D,D1562)</f>
        <v>1</v>
      </c>
      <c r="B1562" s="30">
        <v>202101157780</v>
      </c>
      <c r="C1562" t="s">
        <v>2496</v>
      </c>
      <c r="D1562" t="s">
        <v>2497</v>
      </c>
      <c r="E1562" t="s">
        <v>4852</v>
      </c>
      <c r="F1562" t="s">
        <v>346</v>
      </c>
      <c r="G1562" s="27" t="str">
        <f t="shared" si="48"/>
        <v>5113 PARKER RD  HOUSTON</v>
      </c>
      <c r="H1562" s="27" t="str">
        <f t="shared" si="49"/>
        <v>HOUSTON TX 77016</v>
      </c>
    </row>
    <row r="1563" spans="1:8" x14ac:dyDescent="0.2">
      <c r="A1563" s="27">
        <f>COUNTIFS(C:C,C1563,D:D,D1563)</f>
        <v>1</v>
      </c>
      <c r="B1563" s="30">
        <v>202101157782</v>
      </c>
      <c r="C1563" t="s">
        <v>4263</v>
      </c>
      <c r="D1563" t="s">
        <v>4264</v>
      </c>
      <c r="E1563" t="s">
        <v>4881</v>
      </c>
      <c r="F1563" t="s">
        <v>90</v>
      </c>
      <c r="G1563" s="27" t="str">
        <f t="shared" si="48"/>
        <v>16410 E CROSBY ST  CROSBY</v>
      </c>
      <c r="H1563" s="27" t="str">
        <f t="shared" si="49"/>
        <v>HOUSTON TX 77532</v>
      </c>
    </row>
    <row r="1564" spans="1:8" x14ac:dyDescent="0.2">
      <c r="A1564" s="27">
        <f>COUNTIFS(C:C,C1564,D:D,D1564)</f>
        <v>1</v>
      </c>
      <c r="B1564" s="30">
        <v>202101157784</v>
      </c>
      <c r="C1564" t="s">
        <v>4265</v>
      </c>
      <c r="D1564" t="s">
        <v>4266</v>
      </c>
      <c r="E1564" t="s">
        <v>4875</v>
      </c>
      <c r="F1564" t="s">
        <v>88</v>
      </c>
      <c r="G1564" s="27" t="str">
        <f t="shared" si="48"/>
        <v>1902 SKINNER RD  HOUSTON</v>
      </c>
      <c r="H1564" s="27" t="str">
        <f t="shared" si="49"/>
        <v>HOUSTON TX 77093</v>
      </c>
    </row>
    <row r="1565" spans="1:8" x14ac:dyDescent="0.2">
      <c r="A1565" s="27">
        <f>COUNTIFS(C:C,C1565,D:D,D1565)</f>
        <v>1</v>
      </c>
      <c r="B1565" s="30">
        <v>202101157787</v>
      </c>
      <c r="C1565" s="28" t="s">
        <v>1254</v>
      </c>
      <c r="D1565" s="28" t="s">
        <v>1255</v>
      </c>
      <c r="E1565" s="28" t="s">
        <v>4984</v>
      </c>
      <c r="F1565" s="28" t="s">
        <v>56</v>
      </c>
      <c r="G1565" s="27" t="str">
        <f t="shared" si="48"/>
        <v>23919 LEATHERGATE DR  SPRING</v>
      </c>
      <c r="H1565" s="27" t="str">
        <f t="shared" si="49"/>
        <v>HOUSTON TX 77373</v>
      </c>
    </row>
    <row r="1566" spans="1:8" x14ac:dyDescent="0.2">
      <c r="A1566" s="27">
        <f>COUNTIFS(C:C,C1566,D:D,D1566)</f>
        <v>1</v>
      </c>
      <c r="B1566" s="30">
        <v>202101157788</v>
      </c>
      <c r="C1566" s="28" t="s">
        <v>1458</v>
      </c>
      <c r="D1566" s="28" t="s">
        <v>1459</v>
      </c>
      <c r="E1566" s="28" t="s">
        <v>5009</v>
      </c>
      <c r="F1566" s="28" t="s">
        <v>56</v>
      </c>
      <c r="G1566" s="27" t="str">
        <f t="shared" si="48"/>
        <v>2434 LIDSTONE ST  SEABROOK</v>
      </c>
      <c r="H1566" s="27" t="str">
        <f t="shared" si="49"/>
        <v>HOUSTON TX 77586</v>
      </c>
    </row>
    <row r="1567" spans="1:8" x14ac:dyDescent="0.2">
      <c r="A1567" s="27">
        <f>COUNTIFS(C:C,C1567,D:D,D1567)</f>
        <v>1</v>
      </c>
      <c r="B1567" s="30">
        <v>202101157790</v>
      </c>
      <c r="C1567" s="28" t="s">
        <v>918</v>
      </c>
      <c r="D1567" s="28" t="s">
        <v>919</v>
      </c>
      <c r="E1567" s="28" t="s">
        <v>4984</v>
      </c>
      <c r="F1567" s="28" t="s">
        <v>292</v>
      </c>
      <c r="G1567" s="27" t="str">
        <f t="shared" si="48"/>
        <v>23535 EARLMIST DR  SPRING</v>
      </c>
      <c r="H1567" s="27" t="str">
        <f t="shared" si="49"/>
        <v>HOUSTON TX 77373</v>
      </c>
    </row>
    <row r="1568" spans="1:8" x14ac:dyDescent="0.2">
      <c r="A1568" s="27">
        <f>COUNTIFS(C:C,C1568,D:D,D1568)</f>
        <v>1</v>
      </c>
      <c r="B1568" s="30">
        <v>202101157793</v>
      </c>
      <c r="C1568" t="s">
        <v>2111</v>
      </c>
      <c r="D1568" t="s">
        <v>2112</v>
      </c>
      <c r="E1568" t="s">
        <v>4989</v>
      </c>
      <c r="F1568" t="s">
        <v>87</v>
      </c>
      <c r="G1568" s="27" t="str">
        <f t="shared" si="48"/>
        <v>3115 MARINER DR  LEAGUE CIT</v>
      </c>
      <c r="H1568" s="27" t="str">
        <f t="shared" si="49"/>
        <v>HOUSTON TX 77573</v>
      </c>
    </row>
    <row r="1569" spans="1:8" x14ac:dyDescent="0.2">
      <c r="A1569" s="27">
        <f>COUNTIFS(C:C,C1569,D:D,D1569)</f>
        <v>1</v>
      </c>
      <c r="B1569" s="30">
        <v>202101157795</v>
      </c>
      <c r="C1569" t="s">
        <v>4267</v>
      </c>
      <c r="D1569" t="s">
        <v>4268</v>
      </c>
      <c r="E1569" t="s">
        <v>5259</v>
      </c>
      <c r="F1569" t="s">
        <v>88</v>
      </c>
      <c r="G1569" s="27" t="str">
        <f t="shared" si="48"/>
        <v>20119 BARLEY CT  CYPREES</v>
      </c>
      <c r="H1569" s="27" t="str">
        <f t="shared" si="49"/>
        <v>HOUSTON TX 77433</v>
      </c>
    </row>
    <row r="1570" spans="1:8" x14ac:dyDescent="0.2">
      <c r="A1570" s="27">
        <f>COUNTIFS(C:C,C1570,D:D,D1570)</f>
        <v>1</v>
      </c>
      <c r="B1570" s="30">
        <v>202101157796</v>
      </c>
      <c r="C1570" s="28" t="s">
        <v>1344</v>
      </c>
      <c r="D1570" s="28" t="s">
        <v>1345</v>
      </c>
      <c r="E1570" s="28" t="s">
        <v>4863</v>
      </c>
      <c r="F1570" s="28" t="s">
        <v>87</v>
      </c>
      <c r="G1570" s="27" t="str">
        <f t="shared" si="48"/>
        <v>14504 N HUMBLE LAKE  TOMBALL</v>
      </c>
      <c r="H1570" s="27" t="str">
        <f t="shared" si="49"/>
        <v>HOUSTON TX 77377</v>
      </c>
    </row>
    <row r="1571" spans="1:8" x14ac:dyDescent="0.2">
      <c r="A1571" s="27">
        <f>COUNTIFS(C:C,C1571,D:D,D1571)</f>
        <v>1</v>
      </c>
      <c r="B1571" s="30">
        <v>202101157797</v>
      </c>
      <c r="C1571" t="s">
        <v>2540</v>
      </c>
      <c r="D1571" t="s">
        <v>2541</v>
      </c>
      <c r="E1571" t="s">
        <v>4997</v>
      </c>
      <c r="F1571" t="s">
        <v>51</v>
      </c>
      <c r="G1571" s="27" t="str">
        <f t="shared" si="48"/>
        <v>10300 S WILCREST DR A PT314 HOUSTON</v>
      </c>
      <c r="H1571" s="27" t="str">
        <f t="shared" si="49"/>
        <v>HOUSTON TX 77099</v>
      </c>
    </row>
    <row r="1572" spans="1:8" x14ac:dyDescent="0.2">
      <c r="A1572" s="27">
        <f>COUNTIFS(C:C,C1572,D:D,D1572)</f>
        <v>1</v>
      </c>
      <c r="B1572" s="30">
        <v>202101157798</v>
      </c>
      <c r="C1572" s="28" t="s">
        <v>1316</v>
      </c>
      <c r="D1572" s="28" t="s">
        <v>1317</v>
      </c>
      <c r="E1572" s="28" t="s">
        <v>4854</v>
      </c>
      <c r="F1572" s="28" t="s">
        <v>88</v>
      </c>
      <c r="G1572" s="27" t="str">
        <f t="shared" si="48"/>
        <v>1714 MARY ST  HOUSTON</v>
      </c>
      <c r="H1572" s="27" t="str">
        <f t="shared" si="49"/>
        <v>HOUSTON TX 77026</v>
      </c>
    </row>
    <row r="1573" spans="1:8" x14ac:dyDescent="0.2">
      <c r="A1573" s="27">
        <f>COUNTIFS(C:C,C1573,D:D,D1573)</f>
        <v>1</v>
      </c>
      <c r="B1573" s="30">
        <v>202101157799</v>
      </c>
      <c r="C1573" t="s">
        <v>2113</v>
      </c>
      <c r="D1573" t="s">
        <v>2114</v>
      </c>
      <c r="E1573" t="s">
        <v>4932</v>
      </c>
      <c r="F1573" t="s">
        <v>87</v>
      </c>
      <c r="G1573" s="27" t="str">
        <f t="shared" si="48"/>
        <v>5826 WILLOW OAK DRIV E HOUSTON</v>
      </c>
      <c r="H1573" s="27" t="str">
        <f t="shared" si="49"/>
        <v>HOUSTON TX 77092</v>
      </c>
    </row>
    <row r="1574" spans="1:8" x14ac:dyDescent="0.2">
      <c r="A1574" s="27">
        <f>COUNTIFS(C:C,C1574,D:D,D1574)</f>
        <v>1</v>
      </c>
      <c r="B1574" s="30">
        <v>202101157806</v>
      </c>
      <c r="C1574" t="s">
        <v>2262</v>
      </c>
      <c r="D1574" t="s">
        <v>2263</v>
      </c>
      <c r="E1574" t="s">
        <v>4854</v>
      </c>
      <c r="F1574" t="s">
        <v>87</v>
      </c>
      <c r="G1574" s="27" t="str">
        <f t="shared" si="48"/>
        <v>2010 SEMMES ST  HOUSTON</v>
      </c>
      <c r="H1574" s="27" t="str">
        <f t="shared" si="49"/>
        <v>HOUSTON TX 77026</v>
      </c>
    </row>
    <row r="1575" spans="1:8" x14ac:dyDescent="0.2">
      <c r="A1575" s="27">
        <f>COUNTIFS(C:C,C1575,D:D,D1575)</f>
        <v>1</v>
      </c>
      <c r="B1575" s="30">
        <v>202101157808</v>
      </c>
      <c r="C1575" t="s">
        <v>3128</v>
      </c>
      <c r="D1575" t="s">
        <v>3129</v>
      </c>
      <c r="E1575" t="s">
        <v>4958</v>
      </c>
      <c r="F1575" t="s">
        <v>355</v>
      </c>
      <c r="G1575" s="27" t="str">
        <f t="shared" si="48"/>
        <v>9607 KAPRI LN APT 5  HOUSTON</v>
      </c>
      <c r="H1575" s="27" t="str">
        <f t="shared" si="49"/>
        <v>HOUSTON TX 77025</v>
      </c>
    </row>
    <row r="1576" spans="1:8" x14ac:dyDescent="0.2">
      <c r="A1576" s="27">
        <f>COUNTIFS(C:C,C1576,D:D,D1576)</f>
        <v>1</v>
      </c>
      <c r="B1576" s="30">
        <v>202101157809</v>
      </c>
      <c r="C1576" s="28" t="s">
        <v>1857</v>
      </c>
      <c r="D1576" s="28" t="s">
        <v>1837</v>
      </c>
      <c r="E1576" s="28" t="s">
        <v>4967</v>
      </c>
      <c r="F1576" s="28" t="s">
        <v>88</v>
      </c>
      <c r="G1576" s="27" t="str">
        <f t="shared" si="48"/>
        <v>5800 HOLLISTER ST  HOUSTON</v>
      </c>
      <c r="H1576" s="27" t="str">
        <f t="shared" si="49"/>
        <v>HOUSTON TX 77040</v>
      </c>
    </row>
    <row r="1577" spans="1:8" x14ac:dyDescent="0.2">
      <c r="A1577" s="27">
        <f>COUNTIFS(C:C,C1577,D:D,D1577)</f>
        <v>1</v>
      </c>
      <c r="B1577" s="30">
        <v>202101157812</v>
      </c>
      <c r="C1577" s="28" t="s">
        <v>1583</v>
      </c>
      <c r="D1577" s="28" t="s">
        <v>1584</v>
      </c>
      <c r="E1577" s="28" t="s">
        <v>4974</v>
      </c>
      <c r="F1577" s="28" t="s">
        <v>4788</v>
      </c>
      <c r="G1577" s="27" t="str">
        <f t="shared" si="48"/>
        <v>2702 FOREST GARDEN  KINGWOOD</v>
      </c>
      <c r="H1577" s="27" t="str">
        <f t="shared" si="49"/>
        <v>HOUSTON TX 77345</v>
      </c>
    </row>
    <row r="1578" spans="1:8" x14ac:dyDescent="0.2">
      <c r="A1578" s="27">
        <f>COUNTIFS(C:C,C1578,D:D,D1578)</f>
        <v>1</v>
      </c>
      <c r="B1578" s="30">
        <v>202101157814</v>
      </c>
      <c r="C1578" s="28" t="s">
        <v>792</v>
      </c>
      <c r="D1578" s="28" t="s">
        <v>793</v>
      </c>
      <c r="E1578" s="28" t="s">
        <v>4956</v>
      </c>
      <c r="F1578" s="28" t="s">
        <v>88</v>
      </c>
      <c r="G1578" s="27" t="str">
        <f t="shared" ref="G1578:G1641" si="50">D1578&amp;" "&amp;MID(E1578,1,FIND(" TX",E1578)-1)</f>
        <v>17623 DURHAM RIDGE LN  HUMBLE</v>
      </c>
      <c r="H1578" s="27" t="str">
        <f t="shared" ref="H1578:H1641" si="51">"HOUSTON "&amp;MID(E1578,FIND("TX",E1578),8)</f>
        <v>HOUSTON TX 77346</v>
      </c>
    </row>
    <row r="1579" spans="1:8" x14ac:dyDescent="0.2">
      <c r="A1579" s="27">
        <f>COUNTIFS(C:C,C1579,D:D,D1579)</f>
        <v>1</v>
      </c>
      <c r="B1579" s="30">
        <v>202101157815</v>
      </c>
      <c r="C1579" t="s">
        <v>4269</v>
      </c>
      <c r="D1579" t="s">
        <v>4270</v>
      </c>
      <c r="E1579" t="s">
        <v>4933</v>
      </c>
      <c r="F1579" t="s">
        <v>53</v>
      </c>
      <c r="G1579" s="27" t="str">
        <f t="shared" si="50"/>
        <v>8701 HAMMERLY BLVD 1 723 HOUSTON</v>
      </c>
      <c r="H1579" s="27" t="str">
        <f t="shared" si="51"/>
        <v>HOUSTON TX 77080</v>
      </c>
    </row>
    <row r="1580" spans="1:8" x14ac:dyDescent="0.2">
      <c r="A1580" s="27">
        <f>COUNTIFS(C:C,C1580,D:D,D1580)</f>
        <v>1</v>
      </c>
      <c r="B1580" s="30">
        <v>202101157816</v>
      </c>
      <c r="C1580" s="28" t="s">
        <v>648</v>
      </c>
      <c r="D1580" s="28" t="s">
        <v>649</v>
      </c>
      <c r="E1580" s="28" t="s">
        <v>4919</v>
      </c>
      <c r="F1580" s="28" t="s">
        <v>88</v>
      </c>
      <c r="G1580" s="27" t="str">
        <f t="shared" si="50"/>
        <v>6018 MOONMIST DR  HOUSTON</v>
      </c>
      <c r="H1580" s="27" t="str">
        <f t="shared" si="51"/>
        <v>HOUSTON TX 77081</v>
      </c>
    </row>
    <row r="1581" spans="1:8" x14ac:dyDescent="0.2">
      <c r="A1581" s="27">
        <f>COUNTIFS(C:C,C1581,D:D,D1581)</f>
        <v>1</v>
      </c>
      <c r="B1581" s="30">
        <v>202101157817</v>
      </c>
      <c r="C1581" t="s">
        <v>4271</v>
      </c>
      <c r="D1581" t="s">
        <v>4272</v>
      </c>
      <c r="E1581" t="s">
        <v>5260</v>
      </c>
      <c r="F1581" t="s">
        <v>88</v>
      </c>
      <c r="G1581" s="27" t="str">
        <f t="shared" si="50"/>
        <v>17017 ALBIN CIR  WALLER</v>
      </c>
      <c r="H1581" s="27" t="str">
        <f t="shared" si="51"/>
        <v>HOUSTON TX 77248</v>
      </c>
    </row>
    <row r="1582" spans="1:8" x14ac:dyDescent="0.2">
      <c r="A1582" s="27">
        <f>COUNTIFS(C:C,C1582,D:D,D1582)</f>
        <v>1</v>
      </c>
      <c r="B1582" s="30">
        <v>202101157818</v>
      </c>
      <c r="C1582" t="s">
        <v>4273</v>
      </c>
      <c r="D1582" t="s">
        <v>4274</v>
      </c>
      <c r="E1582" t="s">
        <v>4865</v>
      </c>
      <c r="F1582" t="s">
        <v>57</v>
      </c>
      <c r="G1582" s="27" t="str">
        <f t="shared" si="50"/>
        <v>7447 NORTH FREEWAY  HOUSTON</v>
      </c>
      <c r="H1582" s="27" t="str">
        <f t="shared" si="51"/>
        <v xml:space="preserve">HOUSTON TX      </v>
      </c>
    </row>
    <row r="1583" spans="1:8" x14ac:dyDescent="0.2">
      <c r="A1583" s="27">
        <f>COUNTIFS(C:C,C1583,D:D,D1583)</f>
        <v>1</v>
      </c>
      <c r="B1583" s="30">
        <v>202101157819</v>
      </c>
      <c r="C1583" t="s">
        <v>2743</v>
      </c>
      <c r="D1583" t="s">
        <v>2744</v>
      </c>
      <c r="E1583" t="s">
        <v>4933</v>
      </c>
      <c r="F1583" t="s">
        <v>87</v>
      </c>
      <c r="G1583" s="27" t="str">
        <f t="shared" si="50"/>
        <v>3302 CAMEO DR  HOUSTON</v>
      </c>
      <c r="H1583" s="27" t="str">
        <f t="shared" si="51"/>
        <v>HOUSTON TX 77080</v>
      </c>
    </row>
    <row r="1584" spans="1:8" x14ac:dyDescent="0.2">
      <c r="A1584" s="27">
        <f>COUNTIFS(C:C,C1584,D:D,D1584)</f>
        <v>1</v>
      </c>
      <c r="B1584" s="30">
        <v>202101157820</v>
      </c>
      <c r="C1584" t="s">
        <v>2912</v>
      </c>
      <c r="D1584" t="s">
        <v>2913</v>
      </c>
      <c r="E1584" t="s">
        <v>4952</v>
      </c>
      <c r="F1584" t="s">
        <v>88</v>
      </c>
      <c r="G1584" s="27" t="str">
        <f t="shared" si="50"/>
        <v>1141 BURKE  PASADENA</v>
      </c>
      <c r="H1584" s="27" t="str">
        <f t="shared" si="51"/>
        <v>HOUSTON TX 77506</v>
      </c>
    </row>
    <row r="1585" spans="1:8" x14ac:dyDescent="0.2">
      <c r="A1585" s="27">
        <f>COUNTIFS(C:C,C1585,D:D,D1585)</f>
        <v>1</v>
      </c>
      <c r="B1585" s="30">
        <v>202101157821</v>
      </c>
      <c r="C1585" s="28" t="s">
        <v>1080</v>
      </c>
      <c r="D1585" s="28" t="s">
        <v>1081</v>
      </c>
      <c r="E1585" s="28" t="s">
        <v>4891</v>
      </c>
      <c r="F1585" s="28" t="s">
        <v>88</v>
      </c>
      <c r="G1585" s="27" t="str">
        <f t="shared" si="50"/>
        <v>6003 WHITTER FOREST DR HOUSTON</v>
      </c>
      <c r="H1585" s="27" t="str">
        <f t="shared" si="51"/>
        <v>HOUSTON TX 77088</v>
      </c>
    </row>
    <row r="1586" spans="1:8" x14ac:dyDescent="0.2">
      <c r="A1586" s="27">
        <f>COUNTIFS(C:C,C1586,D:D,D1586)</f>
        <v>1</v>
      </c>
      <c r="B1586" s="30">
        <v>202101157825</v>
      </c>
      <c r="C1586" t="s">
        <v>2999</v>
      </c>
      <c r="D1586" t="s">
        <v>3000</v>
      </c>
      <c r="E1586" t="s">
        <v>4919</v>
      </c>
      <c r="F1586" t="s">
        <v>90</v>
      </c>
      <c r="G1586" s="27" t="str">
        <f t="shared" si="50"/>
        <v>6711 ATWELL DR  HOUSTON</v>
      </c>
      <c r="H1586" s="27" t="str">
        <f t="shared" si="51"/>
        <v>HOUSTON TX 77081</v>
      </c>
    </row>
    <row r="1587" spans="1:8" x14ac:dyDescent="0.2">
      <c r="A1587" s="27">
        <f>COUNTIFS(C:C,C1587,D:D,D1587)</f>
        <v>1</v>
      </c>
      <c r="B1587" s="30">
        <v>202101157826</v>
      </c>
      <c r="C1587" t="s">
        <v>2083</v>
      </c>
      <c r="D1587" t="s">
        <v>2084</v>
      </c>
      <c r="E1587" t="s">
        <v>4991</v>
      </c>
      <c r="F1587" t="s">
        <v>88</v>
      </c>
      <c r="G1587" s="27" t="str">
        <f t="shared" si="50"/>
        <v>9850 MEADOWGLEN LN A PT 102 HOUSTON</v>
      </c>
      <c r="H1587" s="27" t="str">
        <f t="shared" si="51"/>
        <v>HOUSTON TX 77042</v>
      </c>
    </row>
    <row r="1588" spans="1:8" x14ac:dyDescent="0.2">
      <c r="A1588" s="27">
        <f>COUNTIFS(C:C,C1588,D:D,D1588)</f>
        <v>1</v>
      </c>
      <c r="B1588" s="30">
        <v>202101157828</v>
      </c>
      <c r="C1588" t="s">
        <v>2875</v>
      </c>
      <c r="D1588" t="s">
        <v>2876</v>
      </c>
      <c r="E1588" t="s">
        <v>5161</v>
      </c>
      <c r="F1588" t="s">
        <v>88</v>
      </c>
      <c r="G1588" s="27" t="str">
        <f t="shared" si="50"/>
        <v>13711 TANVERN CT  HARRIS CO</v>
      </c>
      <c r="H1588" s="27" t="str">
        <f t="shared" si="51"/>
        <v>HOUSTON TX 77014</v>
      </c>
    </row>
    <row r="1589" spans="1:8" x14ac:dyDescent="0.2">
      <c r="A1589" s="27">
        <f>COUNTIFS(C:C,C1589,D:D,D1589)</f>
        <v>1</v>
      </c>
      <c r="B1589" s="30">
        <v>202101157829</v>
      </c>
      <c r="C1589" t="s">
        <v>4275</v>
      </c>
      <c r="D1589" t="s">
        <v>4276</v>
      </c>
      <c r="E1589" t="s">
        <v>4977</v>
      </c>
      <c r="F1589" t="s">
        <v>88</v>
      </c>
      <c r="G1589" s="27" t="str">
        <f t="shared" si="50"/>
        <v>6425 WESTHEIMER RD 2 023 HOUSTON</v>
      </c>
      <c r="H1589" s="27" t="str">
        <f t="shared" si="51"/>
        <v>HOUSTON TX 77057</v>
      </c>
    </row>
    <row r="1590" spans="1:8" x14ac:dyDescent="0.2">
      <c r="A1590" s="27">
        <f>COUNTIFS(C:C,C1590,D:D,D1590)</f>
        <v>1</v>
      </c>
      <c r="B1590" s="30">
        <v>202101157835</v>
      </c>
      <c r="C1590" t="s">
        <v>2438</v>
      </c>
      <c r="D1590" t="s">
        <v>2439</v>
      </c>
      <c r="E1590" t="s">
        <v>4981</v>
      </c>
      <c r="F1590" t="s">
        <v>53</v>
      </c>
      <c r="G1590" s="27" t="str">
        <f t="shared" si="50"/>
        <v>722 LEICESTER LN  HOUSTON</v>
      </c>
      <c r="H1590" s="27" t="str">
        <f t="shared" si="51"/>
        <v>HOUSTON TX 77034</v>
      </c>
    </row>
    <row r="1591" spans="1:8" x14ac:dyDescent="0.2">
      <c r="A1591" s="27">
        <f>COUNTIFS(C:C,C1591,D:D,D1591)</f>
        <v>1</v>
      </c>
      <c r="B1591" s="30">
        <v>202101157836</v>
      </c>
      <c r="C1591" t="s">
        <v>2918</v>
      </c>
      <c r="D1591" t="s">
        <v>2919</v>
      </c>
      <c r="E1591" t="s">
        <v>5165</v>
      </c>
      <c r="F1591" t="s">
        <v>88</v>
      </c>
      <c r="G1591" s="27" t="str">
        <f t="shared" si="50"/>
        <v>19 ELLICOTT WAY  SUGARLAND</v>
      </c>
      <c r="H1591" s="27" t="str">
        <f t="shared" si="51"/>
        <v>HOUSTON TX 77479</v>
      </c>
    </row>
    <row r="1592" spans="1:8" x14ac:dyDescent="0.2">
      <c r="A1592" s="27">
        <f>COUNTIFS(C:C,C1592,D:D,D1592)</f>
        <v>1</v>
      </c>
      <c r="B1592" s="30">
        <v>202101157841</v>
      </c>
      <c r="C1592" t="s">
        <v>4277</v>
      </c>
      <c r="D1592" t="s">
        <v>4278</v>
      </c>
      <c r="E1592" t="s">
        <v>4896</v>
      </c>
      <c r="F1592" t="s">
        <v>88</v>
      </c>
      <c r="G1592" s="27" t="str">
        <f t="shared" si="50"/>
        <v>8100 BELLAIRE 1543  HOUSTON</v>
      </c>
      <c r="H1592" s="27" t="str">
        <f t="shared" si="51"/>
        <v>HOUSTON TX 77036</v>
      </c>
    </row>
    <row r="1593" spans="1:8" x14ac:dyDescent="0.2">
      <c r="A1593" s="27">
        <f>COUNTIFS(C:C,C1593,D:D,D1593)</f>
        <v>1</v>
      </c>
      <c r="B1593" s="30">
        <v>202101157842</v>
      </c>
      <c r="C1593" t="s">
        <v>4279</v>
      </c>
      <c r="D1593" t="s">
        <v>4280</v>
      </c>
      <c r="E1593" t="s">
        <v>4952</v>
      </c>
      <c r="F1593" t="s">
        <v>88</v>
      </c>
      <c r="G1593" s="27" t="str">
        <f t="shared" si="50"/>
        <v>702 WITTER ST  PASADENA</v>
      </c>
      <c r="H1593" s="27" t="str">
        <f t="shared" si="51"/>
        <v>HOUSTON TX 77506</v>
      </c>
    </row>
    <row r="1594" spans="1:8" x14ac:dyDescent="0.2">
      <c r="A1594" s="27">
        <f>COUNTIFS(C:C,C1594,D:D,D1594)</f>
        <v>1</v>
      </c>
      <c r="B1594" s="30">
        <v>202101157847</v>
      </c>
      <c r="C1594" t="s">
        <v>1950</v>
      </c>
      <c r="D1594" t="s">
        <v>1385</v>
      </c>
      <c r="E1594" t="s">
        <v>4935</v>
      </c>
      <c r="F1594" t="s">
        <v>59</v>
      </c>
      <c r="G1594" s="27" t="str">
        <f t="shared" si="50"/>
        <v>2350 ATASCOCITA RD  HUMBLE</v>
      </c>
      <c r="H1594" s="27" t="str">
        <f t="shared" si="51"/>
        <v>HOUSTON TX 77396</v>
      </c>
    </row>
    <row r="1595" spans="1:8" x14ac:dyDescent="0.2">
      <c r="A1595" s="27">
        <f>COUNTIFS(C:C,C1595,D:D,D1595)</f>
        <v>1</v>
      </c>
      <c r="B1595" s="30">
        <v>202101157849</v>
      </c>
      <c r="C1595" t="s">
        <v>2952</v>
      </c>
      <c r="D1595" t="s">
        <v>2159</v>
      </c>
      <c r="E1595" t="s">
        <v>5055</v>
      </c>
      <c r="F1595" t="s">
        <v>88</v>
      </c>
      <c r="G1595" s="27" t="str">
        <f t="shared" si="50"/>
        <v>15903 YORKTOWN CROSSI NG PKWY HARRIS CO</v>
      </c>
      <c r="H1595" s="27" t="str">
        <f t="shared" si="51"/>
        <v>HOUSTON TX 77084</v>
      </c>
    </row>
    <row r="1596" spans="1:8" x14ac:dyDescent="0.2">
      <c r="A1596" s="27">
        <f>COUNTIFS(C:C,C1596,D:D,D1596)</f>
        <v>1</v>
      </c>
      <c r="B1596" s="30">
        <v>202101157851</v>
      </c>
      <c r="C1596" t="s">
        <v>4281</v>
      </c>
      <c r="D1596" t="s">
        <v>4182</v>
      </c>
      <c r="E1596" t="s">
        <v>4949</v>
      </c>
      <c r="F1596" t="s">
        <v>90</v>
      </c>
      <c r="G1596" s="27" t="str">
        <f t="shared" si="50"/>
        <v>15330 LIBERTY RIVER D R HOUSTON</v>
      </c>
      <c r="H1596" s="27" t="str">
        <f t="shared" si="51"/>
        <v>HOUSTON TX 77049</v>
      </c>
    </row>
    <row r="1597" spans="1:8" x14ac:dyDescent="0.2">
      <c r="A1597" s="27">
        <f>COUNTIFS(C:C,C1597,D:D,D1597)</f>
        <v>1</v>
      </c>
      <c r="B1597" s="30">
        <v>202101157855</v>
      </c>
      <c r="C1597" s="28" t="s">
        <v>563</v>
      </c>
      <c r="D1597" s="28" t="s">
        <v>564</v>
      </c>
      <c r="E1597" s="28" t="s">
        <v>4891</v>
      </c>
      <c r="F1597" s="28" t="s">
        <v>279</v>
      </c>
      <c r="G1597" s="27" t="str">
        <f t="shared" si="50"/>
        <v>8610 ARDLEY CIR  HOUSTON</v>
      </c>
      <c r="H1597" s="27" t="str">
        <f t="shared" si="51"/>
        <v>HOUSTON TX 77088</v>
      </c>
    </row>
    <row r="1598" spans="1:8" x14ac:dyDescent="0.2">
      <c r="A1598" s="27">
        <f>COUNTIFS(C:C,C1598,D:D,D1598)</f>
        <v>1</v>
      </c>
      <c r="B1598" s="30">
        <v>202101157857</v>
      </c>
      <c r="C1598" t="s">
        <v>4282</v>
      </c>
      <c r="D1598" t="s">
        <v>4283</v>
      </c>
      <c r="E1598" t="s">
        <v>4984</v>
      </c>
      <c r="F1598" t="s">
        <v>88</v>
      </c>
      <c r="G1598" s="27" t="str">
        <f t="shared" si="50"/>
        <v>23031 EARLMIST DR  SPRING</v>
      </c>
      <c r="H1598" s="27" t="str">
        <f t="shared" si="51"/>
        <v>HOUSTON TX 77373</v>
      </c>
    </row>
    <row r="1599" spans="1:8" x14ac:dyDescent="0.2">
      <c r="A1599" s="27">
        <f>COUNTIFS(C:C,C1599,D:D,D1599)</f>
        <v>1</v>
      </c>
      <c r="B1599" s="30">
        <v>202101157858</v>
      </c>
      <c r="C1599" s="28" t="s">
        <v>916</v>
      </c>
      <c r="D1599" s="28" t="s">
        <v>917</v>
      </c>
      <c r="E1599" s="28" t="s">
        <v>4983</v>
      </c>
      <c r="F1599" s="28" t="s">
        <v>87</v>
      </c>
      <c r="G1599" s="27" t="str">
        <f t="shared" si="50"/>
        <v>3735 COUNTRY PLACE D R STAFFORD</v>
      </c>
      <c r="H1599" s="27" t="str">
        <f t="shared" si="51"/>
        <v>HOUSTON TX 77477</v>
      </c>
    </row>
    <row r="1600" spans="1:8" x14ac:dyDescent="0.2">
      <c r="A1600" s="27">
        <f>COUNTIFS(C:C,C1600,D:D,D1600)</f>
        <v>1</v>
      </c>
      <c r="B1600" s="30">
        <v>202101157861</v>
      </c>
      <c r="C1600" t="s">
        <v>4133</v>
      </c>
      <c r="D1600" t="s">
        <v>4134</v>
      </c>
      <c r="E1600" t="s">
        <v>4853</v>
      </c>
      <c r="F1600" t="s">
        <v>99</v>
      </c>
      <c r="G1600" s="27" t="str">
        <f t="shared" si="50"/>
        <v>12255 W VILLAGE DR  HOUSTON</v>
      </c>
      <c r="H1600" s="27" t="str">
        <f t="shared" si="51"/>
        <v>HOUSTON TX 77039</v>
      </c>
    </row>
    <row r="1601" spans="1:8" x14ac:dyDescent="0.2">
      <c r="A1601" s="27">
        <f>COUNTIFS(C:C,C1601,D:D,D1601)</f>
        <v>1</v>
      </c>
      <c r="B1601" s="30">
        <v>202101157862</v>
      </c>
      <c r="C1601" t="s">
        <v>2502</v>
      </c>
      <c r="D1601" t="s">
        <v>2503</v>
      </c>
      <c r="E1601" t="s">
        <v>4905</v>
      </c>
      <c r="F1601" t="s">
        <v>53</v>
      </c>
      <c r="G1601" s="27" t="str">
        <f t="shared" si="50"/>
        <v>3304 DARTMOUTH DR  PASADENA</v>
      </c>
      <c r="H1601" s="27" t="str">
        <f t="shared" si="51"/>
        <v>HOUSTON TX 77503</v>
      </c>
    </row>
    <row r="1602" spans="1:8" x14ac:dyDescent="0.2">
      <c r="A1602" s="27">
        <f>COUNTIFS(C:C,C1602,D:D,D1602)</f>
        <v>1</v>
      </c>
      <c r="B1602" s="30">
        <v>202101157863</v>
      </c>
      <c r="C1602" t="s">
        <v>4284</v>
      </c>
      <c r="D1602" t="s">
        <v>4285</v>
      </c>
      <c r="E1602" t="s">
        <v>5261</v>
      </c>
      <c r="F1602" t="s">
        <v>94</v>
      </c>
      <c r="G1602" s="27" t="str">
        <f t="shared" si="50"/>
        <v>600 MAPLE AVE  EAGLE LAKE</v>
      </c>
      <c r="H1602" s="27" t="str">
        <f t="shared" si="51"/>
        <v>HOUSTON TX 77434</v>
      </c>
    </row>
    <row r="1603" spans="1:8" x14ac:dyDescent="0.2">
      <c r="A1603" s="27">
        <f>COUNTIFS(C:C,C1603,D:D,D1603)</f>
        <v>1</v>
      </c>
      <c r="B1603" s="30">
        <v>202101157867</v>
      </c>
      <c r="C1603" t="s">
        <v>2374</v>
      </c>
      <c r="D1603" t="s">
        <v>2375</v>
      </c>
      <c r="E1603" t="s">
        <v>4933</v>
      </c>
      <c r="F1603" t="s">
        <v>89</v>
      </c>
      <c r="G1603" s="27" t="str">
        <f t="shared" si="50"/>
        <v>1776 GESSNER RD  HOUSTON</v>
      </c>
      <c r="H1603" s="27" t="str">
        <f t="shared" si="51"/>
        <v>HOUSTON TX 77080</v>
      </c>
    </row>
    <row r="1604" spans="1:8" x14ac:dyDescent="0.2">
      <c r="A1604" s="27">
        <f>COUNTIFS(C:C,C1604,D:D,D1604)</f>
        <v>1</v>
      </c>
      <c r="B1604" s="30">
        <v>202101157868</v>
      </c>
      <c r="C1604" s="28" t="s">
        <v>567</v>
      </c>
      <c r="D1604" s="28" t="s">
        <v>568</v>
      </c>
      <c r="E1604" s="28" t="s">
        <v>4908</v>
      </c>
      <c r="F1604" s="28" t="s">
        <v>57</v>
      </c>
      <c r="G1604" s="27" t="str">
        <f t="shared" si="50"/>
        <v>8006 LICHEN LN  SPRING</v>
      </c>
      <c r="H1604" s="27" t="str">
        <f t="shared" si="51"/>
        <v>HOUSTON TX 77379</v>
      </c>
    </row>
    <row r="1605" spans="1:8" x14ac:dyDescent="0.2">
      <c r="A1605" s="27">
        <f>COUNTIFS(C:C,C1605,D:D,D1605)</f>
        <v>1</v>
      </c>
      <c r="B1605" s="30">
        <v>202101157869</v>
      </c>
      <c r="C1605" t="s">
        <v>2873</v>
      </c>
      <c r="D1605" t="s">
        <v>2874</v>
      </c>
      <c r="E1605" t="s">
        <v>4864</v>
      </c>
      <c r="F1605" t="s">
        <v>53</v>
      </c>
      <c r="G1605" s="27" t="str">
        <f t="shared" si="50"/>
        <v>439 METERS ST  HOUSTON</v>
      </c>
      <c r="H1605" s="27" t="str">
        <f t="shared" si="51"/>
        <v>HOUSTON TX 77020</v>
      </c>
    </row>
    <row r="1606" spans="1:8" x14ac:dyDescent="0.2">
      <c r="A1606" s="27">
        <f>COUNTIFS(C:C,C1606,D:D,D1606)</f>
        <v>1</v>
      </c>
      <c r="B1606" s="30">
        <v>202101157870</v>
      </c>
      <c r="C1606" t="s">
        <v>4286</v>
      </c>
      <c r="D1606" t="s">
        <v>4287</v>
      </c>
      <c r="E1606" t="s">
        <v>5160</v>
      </c>
      <c r="F1606" t="s">
        <v>97</v>
      </c>
      <c r="G1606" s="27" t="str">
        <f t="shared" si="50"/>
        <v>4640 MAIN ST 292  HOUSTON</v>
      </c>
      <c r="H1606" s="27" t="str">
        <f t="shared" si="51"/>
        <v>HOUSTON TX 77002</v>
      </c>
    </row>
    <row r="1607" spans="1:8" x14ac:dyDescent="0.2">
      <c r="A1607" s="27">
        <f>COUNTIFS(C:C,C1607,D:D,D1607)</f>
        <v>1</v>
      </c>
      <c r="B1607" s="30">
        <v>202101157875</v>
      </c>
      <c r="C1607" t="s">
        <v>4288</v>
      </c>
      <c r="D1607" t="s">
        <v>4289</v>
      </c>
      <c r="E1607" t="s">
        <v>5262</v>
      </c>
      <c r="F1607" t="s">
        <v>88</v>
      </c>
      <c r="G1607" s="27" t="str">
        <f t="shared" si="50"/>
        <v>7740 W LITTLE YORK R D HARRIS CO</v>
      </c>
      <c r="H1607" s="27" t="str">
        <f t="shared" si="51"/>
        <v>HOUSTON TX 77040</v>
      </c>
    </row>
    <row r="1608" spans="1:8" x14ac:dyDescent="0.2">
      <c r="A1608" s="27">
        <f>COUNTIFS(C:C,C1608,D:D,D1608)</f>
        <v>1</v>
      </c>
      <c r="B1608" s="30">
        <v>202101157877</v>
      </c>
      <c r="C1608" s="28" t="s">
        <v>1137</v>
      </c>
      <c r="D1608" s="28" t="s">
        <v>1138</v>
      </c>
      <c r="E1608" s="28" t="s">
        <v>5006</v>
      </c>
      <c r="F1608" s="28" t="s">
        <v>87</v>
      </c>
      <c r="G1608" s="27" t="str">
        <f t="shared" si="50"/>
        <v>601 E 21ST  CAMERON</v>
      </c>
      <c r="H1608" s="27" t="str">
        <f t="shared" si="51"/>
        <v>HOUSTON TX 76520</v>
      </c>
    </row>
    <row r="1609" spans="1:8" x14ac:dyDescent="0.2">
      <c r="A1609" s="27">
        <f>COUNTIFS(C:C,C1609,D:D,D1609)</f>
        <v>1</v>
      </c>
      <c r="B1609" s="30">
        <v>202101157881</v>
      </c>
      <c r="C1609" t="s">
        <v>3244</v>
      </c>
      <c r="D1609" t="s">
        <v>3245</v>
      </c>
      <c r="E1609" t="s">
        <v>4967</v>
      </c>
      <c r="F1609" t="s">
        <v>57</v>
      </c>
      <c r="G1609" s="27" t="str">
        <f t="shared" si="50"/>
        <v>14906 WINDFERN FOREST DR HOUSTON</v>
      </c>
      <c r="H1609" s="27" t="str">
        <f t="shared" si="51"/>
        <v>HOUSTON TX 77040</v>
      </c>
    </row>
    <row r="1610" spans="1:8" x14ac:dyDescent="0.2">
      <c r="A1610" s="27">
        <f>COUNTIFS(C:C,C1610,D:D,D1610)</f>
        <v>1</v>
      </c>
      <c r="B1610" s="30">
        <v>202101157882</v>
      </c>
      <c r="C1610" s="28" t="s">
        <v>662</v>
      </c>
      <c r="D1610" s="28" t="s">
        <v>663</v>
      </c>
      <c r="E1610" s="28" t="s">
        <v>4852</v>
      </c>
      <c r="F1610" s="28" t="s">
        <v>51</v>
      </c>
      <c r="G1610" s="27" t="str">
        <f t="shared" si="50"/>
        <v>8800 TIDWELL RD  HOUSTON</v>
      </c>
      <c r="H1610" s="27" t="str">
        <f t="shared" si="51"/>
        <v>HOUSTON TX 77016</v>
      </c>
    </row>
    <row r="1611" spans="1:8" x14ac:dyDescent="0.2">
      <c r="A1611" s="27">
        <f>COUNTIFS(C:C,C1611,D:D,D1611)</f>
        <v>1</v>
      </c>
      <c r="B1611" s="30">
        <v>202101157883</v>
      </c>
      <c r="C1611" t="s">
        <v>2567</v>
      </c>
      <c r="D1611" t="s">
        <v>2568</v>
      </c>
      <c r="E1611" t="s">
        <v>4886</v>
      </c>
      <c r="F1611" t="s">
        <v>88</v>
      </c>
      <c r="G1611" s="27" t="str">
        <f t="shared" si="50"/>
        <v>11315 FONDREN RD  HOUSTON</v>
      </c>
      <c r="H1611" s="27" t="str">
        <f t="shared" si="51"/>
        <v>HOUSTON TX 77035</v>
      </c>
    </row>
    <row r="1612" spans="1:8" x14ac:dyDescent="0.2">
      <c r="A1612" s="27">
        <f>COUNTIFS(C:C,C1612,D:D,D1612)</f>
        <v>1</v>
      </c>
      <c r="B1612" s="30">
        <v>202101157884</v>
      </c>
      <c r="C1612" s="28" t="s">
        <v>480</v>
      </c>
      <c r="D1612" s="28" t="s">
        <v>481</v>
      </c>
      <c r="E1612" s="28" t="s">
        <v>4881</v>
      </c>
      <c r="F1612" s="28" t="s">
        <v>99</v>
      </c>
      <c r="G1612" s="27" t="str">
        <f t="shared" si="50"/>
        <v>12202 JOAN OF ARC ST  CROSBY</v>
      </c>
      <c r="H1612" s="27" t="str">
        <f t="shared" si="51"/>
        <v>HOUSTON TX 77532</v>
      </c>
    </row>
    <row r="1613" spans="1:8" x14ac:dyDescent="0.2">
      <c r="A1613" s="27">
        <f>COUNTIFS(C:C,C1613,D:D,D1613)</f>
        <v>1</v>
      </c>
      <c r="B1613" s="30">
        <v>202101157886</v>
      </c>
      <c r="C1613" s="28" t="s">
        <v>1542</v>
      </c>
      <c r="D1613" s="28" t="s">
        <v>491</v>
      </c>
      <c r="E1613" s="28" t="s">
        <v>4891</v>
      </c>
      <c r="F1613" s="28" t="s">
        <v>104</v>
      </c>
      <c r="G1613" s="27" t="str">
        <f t="shared" si="50"/>
        <v>7302 ALABONSON RD  HOUSTON</v>
      </c>
      <c r="H1613" s="27" t="str">
        <f t="shared" si="51"/>
        <v>HOUSTON TX 77088</v>
      </c>
    </row>
    <row r="1614" spans="1:8" x14ac:dyDescent="0.2">
      <c r="A1614" s="27">
        <f>COUNTIFS(C:C,C1614,D:D,D1614)</f>
        <v>1</v>
      </c>
      <c r="B1614" s="30">
        <v>202101157887</v>
      </c>
      <c r="C1614" t="s">
        <v>2342</v>
      </c>
      <c r="D1614" t="s">
        <v>2343</v>
      </c>
      <c r="E1614" t="s">
        <v>4873</v>
      </c>
      <c r="F1614" t="s">
        <v>53</v>
      </c>
      <c r="G1614" s="27" t="str">
        <f t="shared" si="50"/>
        <v>10311 DOUGLAS FIR VIL LA AVE HOUSTON</v>
      </c>
      <c r="H1614" s="27" t="str">
        <f t="shared" si="51"/>
        <v>HOUSTON TX 77044</v>
      </c>
    </row>
    <row r="1615" spans="1:8" x14ac:dyDescent="0.2">
      <c r="A1615" s="27">
        <f>COUNTIFS(C:C,C1615,D:D,D1615)</f>
        <v>1</v>
      </c>
      <c r="B1615" s="30">
        <v>202101157889</v>
      </c>
      <c r="C1615" s="28" t="s">
        <v>502</v>
      </c>
      <c r="D1615" s="28" t="s">
        <v>503</v>
      </c>
      <c r="E1615" s="28" t="s">
        <v>4891</v>
      </c>
      <c r="F1615" s="28" t="s">
        <v>65</v>
      </c>
      <c r="G1615" s="27" t="str">
        <f t="shared" si="50"/>
        <v>1415 W GULF BANK RD  HOUSTON</v>
      </c>
      <c r="H1615" s="27" t="str">
        <f t="shared" si="51"/>
        <v>HOUSTON TX 77088</v>
      </c>
    </row>
    <row r="1616" spans="1:8" x14ac:dyDescent="0.2">
      <c r="A1616" s="27">
        <f>COUNTIFS(C:C,C1616,D:D,D1616)</f>
        <v>1</v>
      </c>
      <c r="B1616" s="30">
        <v>202101157892</v>
      </c>
      <c r="C1616" t="s">
        <v>4290</v>
      </c>
      <c r="D1616" t="s">
        <v>4291</v>
      </c>
      <c r="E1616" t="s">
        <v>4997</v>
      </c>
      <c r="F1616" t="s">
        <v>94</v>
      </c>
      <c r="G1616" s="27" t="str">
        <f t="shared" si="50"/>
        <v>1854 W ALABANA  HOUSTON</v>
      </c>
      <c r="H1616" s="27" t="str">
        <f t="shared" si="51"/>
        <v>HOUSTON TX 77099</v>
      </c>
    </row>
    <row r="1617" spans="1:8" x14ac:dyDescent="0.2">
      <c r="A1617" s="27">
        <f>COUNTIFS(C:C,C1617,D:D,D1617)</f>
        <v>1</v>
      </c>
      <c r="B1617" s="30">
        <v>202101157896</v>
      </c>
      <c r="C1617" t="s">
        <v>4292</v>
      </c>
      <c r="D1617" t="s">
        <v>4293</v>
      </c>
      <c r="E1617" t="s">
        <v>5014</v>
      </c>
      <c r="F1617" t="s">
        <v>53</v>
      </c>
      <c r="G1617" s="27" t="str">
        <f t="shared" si="50"/>
        <v>10008 SPARROW  LA PORTE</v>
      </c>
      <c r="H1617" s="27" t="str">
        <f t="shared" si="51"/>
        <v>HOUSTON TX 77571</v>
      </c>
    </row>
    <row r="1618" spans="1:8" x14ac:dyDescent="0.2">
      <c r="A1618" s="27">
        <f>COUNTIFS(C:C,C1618,D:D,D1618)</f>
        <v>1</v>
      </c>
      <c r="B1618" s="30">
        <v>202101157898</v>
      </c>
      <c r="C1618" s="28" t="s">
        <v>452</v>
      </c>
      <c r="D1618" s="28" t="s">
        <v>453</v>
      </c>
      <c r="E1618" s="28" t="s">
        <v>4872</v>
      </c>
      <c r="F1618" s="28" t="s">
        <v>91</v>
      </c>
      <c r="G1618" s="27" t="str">
        <f t="shared" si="50"/>
        <v>6921 JAY ST  HOUSTON</v>
      </c>
      <c r="H1618" s="27" t="str">
        <f t="shared" si="51"/>
        <v>HOUSTON TX 77028</v>
      </c>
    </row>
    <row r="1619" spans="1:8" x14ac:dyDescent="0.2">
      <c r="A1619" s="27">
        <f>COUNTIFS(C:C,C1619,D:D,D1619)</f>
        <v>1</v>
      </c>
      <c r="B1619" s="30">
        <v>202101157899</v>
      </c>
      <c r="C1619" s="28" t="s">
        <v>1392</v>
      </c>
      <c r="D1619" s="28" t="s">
        <v>1393</v>
      </c>
      <c r="E1619" s="28" t="s">
        <v>4975</v>
      </c>
      <c r="F1619" s="28" t="s">
        <v>88</v>
      </c>
      <c r="G1619" s="27" t="str">
        <f t="shared" si="50"/>
        <v>11506 MILE DR  HOUSTON</v>
      </c>
      <c r="H1619" s="27" t="str">
        <f t="shared" si="51"/>
        <v>HOUSTON TX 77065</v>
      </c>
    </row>
    <row r="1620" spans="1:8" x14ac:dyDescent="0.2">
      <c r="A1620" s="27">
        <f>COUNTIFS(C:C,C1620,D:D,D1620)</f>
        <v>1</v>
      </c>
      <c r="B1620" s="30">
        <v>202101157900</v>
      </c>
      <c r="C1620" s="28" t="s">
        <v>1593</v>
      </c>
      <c r="D1620" s="28" t="s">
        <v>1594</v>
      </c>
      <c r="E1620" s="28" t="s">
        <v>4900</v>
      </c>
      <c r="F1620" s="28" t="s">
        <v>58</v>
      </c>
      <c r="G1620" s="27" t="str">
        <f t="shared" si="50"/>
        <v>20023 S. NAVAHO TRL  KATY</v>
      </c>
      <c r="H1620" s="27" t="str">
        <f t="shared" si="51"/>
        <v>HOUSTON TX 77449</v>
      </c>
    </row>
    <row r="1621" spans="1:8" x14ac:dyDescent="0.2">
      <c r="A1621" s="27">
        <f>COUNTIFS(C:C,C1621,D:D,D1621)</f>
        <v>1</v>
      </c>
      <c r="B1621" s="30">
        <v>202101157901</v>
      </c>
      <c r="C1621" t="s">
        <v>4294</v>
      </c>
      <c r="D1621" t="s">
        <v>4295</v>
      </c>
      <c r="E1621" t="s">
        <v>4932</v>
      </c>
      <c r="F1621" t="s">
        <v>94</v>
      </c>
      <c r="G1621" s="27" t="str">
        <f t="shared" si="50"/>
        <v>6150 W TIDWELL RD 70 9 HOUSTON</v>
      </c>
      <c r="H1621" s="27" t="str">
        <f t="shared" si="51"/>
        <v>HOUSTON TX 77092</v>
      </c>
    </row>
    <row r="1622" spans="1:8" x14ac:dyDescent="0.2">
      <c r="A1622" s="27">
        <f>COUNTIFS(C:C,C1622,D:D,D1622)</f>
        <v>1</v>
      </c>
      <c r="B1622" s="30">
        <v>202101157904</v>
      </c>
      <c r="C1622" t="s">
        <v>2809</v>
      </c>
      <c r="D1622" t="s">
        <v>2810</v>
      </c>
      <c r="E1622" t="s">
        <v>4862</v>
      </c>
      <c r="F1622" t="s">
        <v>64</v>
      </c>
      <c r="G1622" s="27" t="str">
        <f t="shared" si="50"/>
        <v>333 ARITEX DR  HOUSTON</v>
      </c>
      <c r="H1622" s="27" t="str">
        <f t="shared" si="51"/>
        <v>HOUSTON TX 77090</v>
      </c>
    </row>
    <row r="1623" spans="1:8" x14ac:dyDescent="0.2">
      <c r="A1623" s="27">
        <f>COUNTIFS(C:C,C1623,D:D,D1623)</f>
        <v>1</v>
      </c>
      <c r="B1623" s="30">
        <v>202101157905</v>
      </c>
      <c r="C1623" s="28" t="s">
        <v>430</v>
      </c>
      <c r="D1623" s="28" t="s">
        <v>431</v>
      </c>
      <c r="E1623" s="28" t="s">
        <v>4863</v>
      </c>
      <c r="F1623" s="28" t="s">
        <v>78</v>
      </c>
      <c r="G1623" s="27" t="str">
        <f t="shared" si="50"/>
        <v>22237 MAIN BLVD  TOMBALL</v>
      </c>
      <c r="H1623" s="27" t="str">
        <f t="shared" si="51"/>
        <v>HOUSTON TX 77377</v>
      </c>
    </row>
    <row r="1624" spans="1:8" x14ac:dyDescent="0.2">
      <c r="A1624" s="27">
        <f>COUNTIFS(C:C,C1624,D:D,D1624)</f>
        <v>1</v>
      </c>
      <c r="B1624" s="30">
        <v>202101157907</v>
      </c>
      <c r="C1624" t="s">
        <v>4296</v>
      </c>
      <c r="D1624" t="s">
        <v>4297</v>
      </c>
      <c r="E1624" t="s">
        <v>4986</v>
      </c>
      <c r="F1624" t="s">
        <v>88</v>
      </c>
      <c r="G1624" s="27" t="str">
        <f t="shared" si="50"/>
        <v>7326 FOXPORT LN  HUMBLE</v>
      </c>
      <c r="H1624" s="27" t="str">
        <f t="shared" si="51"/>
        <v>HOUSTON TX 77338</v>
      </c>
    </row>
    <row r="1625" spans="1:8" x14ac:dyDescent="0.2">
      <c r="A1625" s="27">
        <f>COUNTIFS(C:C,C1625,D:D,D1625)</f>
        <v>1</v>
      </c>
      <c r="B1625" s="30">
        <v>202101157908</v>
      </c>
      <c r="C1625" t="s">
        <v>4298</v>
      </c>
      <c r="D1625" t="s">
        <v>4299</v>
      </c>
      <c r="E1625" t="s">
        <v>4867</v>
      </c>
      <c r="F1625" t="s">
        <v>88</v>
      </c>
      <c r="G1625" s="27" t="str">
        <f t="shared" si="50"/>
        <v>6313 GULF FWY IB 470  HOUSTON</v>
      </c>
      <c r="H1625" s="27" t="str">
        <f t="shared" si="51"/>
        <v>HOUSTON TX 77023</v>
      </c>
    </row>
    <row r="1626" spans="1:8" x14ac:dyDescent="0.2">
      <c r="A1626" s="27">
        <f>COUNTIFS(C:C,C1626,D:D,D1626)</f>
        <v>1</v>
      </c>
      <c r="B1626" s="30">
        <v>202101157909</v>
      </c>
      <c r="C1626" t="s">
        <v>2164</v>
      </c>
      <c r="D1626" t="s">
        <v>947</v>
      </c>
      <c r="E1626" t="s">
        <v>4987</v>
      </c>
      <c r="F1626" t="s">
        <v>61</v>
      </c>
      <c r="G1626" s="27" t="str">
        <f t="shared" si="50"/>
        <v>9225 LONG POINT RD  HOUSTON</v>
      </c>
      <c r="H1626" s="27" t="str">
        <f t="shared" si="51"/>
        <v>HOUSTON TX 77055</v>
      </c>
    </row>
    <row r="1627" spans="1:8" x14ac:dyDescent="0.2">
      <c r="A1627" s="27">
        <f>COUNTIFS(C:C,C1627,D:D,D1627)</f>
        <v>1</v>
      </c>
      <c r="B1627" s="30">
        <v>202101157910</v>
      </c>
      <c r="C1627" t="s">
        <v>2635</v>
      </c>
      <c r="D1627" t="s">
        <v>2636</v>
      </c>
      <c r="E1627" t="s">
        <v>4958</v>
      </c>
      <c r="F1627" t="s">
        <v>56</v>
      </c>
      <c r="G1627" s="27" t="str">
        <f t="shared" si="50"/>
        <v>16 CHARLSTON PARK DRIVE HOUSTON</v>
      </c>
      <c r="H1627" s="27" t="str">
        <f t="shared" si="51"/>
        <v>HOUSTON TX 77025</v>
      </c>
    </row>
    <row r="1628" spans="1:8" x14ac:dyDescent="0.2">
      <c r="A1628" s="27">
        <f>COUNTIFS(C:C,C1628,D:D,D1628)</f>
        <v>1</v>
      </c>
      <c r="B1628" s="30">
        <v>202101157912</v>
      </c>
      <c r="C1628" s="28" t="s">
        <v>1412</v>
      </c>
      <c r="D1628" s="28" t="s">
        <v>1413</v>
      </c>
      <c r="E1628" s="28" t="s">
        <v>4937</v>
      </c>
      <c r="F1628" s="28" t="s">
        <v>53</v>
      </c>
      <c r="G1628" s="27" t="str">
        <f t="shared" si="50"/>
        <v>7542 GREENDOWNS ST  HOUSTON</v>
      </c>
      <c r="H1628" s="27" t="str">
        <f t="shared" si="51"/>
        <v>HOUSTON TX 77087</v>
      </c>
    </row>
    <row r="1629" spans="1:8" x14ac:dyDescent="0.2">
      <c r="A1629" s="27">
        <f>COUNTIFS(C:C,C1629,D:D,D1629)</f>
        <v>1</v>
      </c>
      <c r="B1629" s="30">
        <v>202101157913</v>
      </c>
      <c r="C1629" t="s">
        <v>4300</v>
      </c>
      <c r="D1629" t="s">
        <v>4301</v>
      </c>
      <c r="E1629" t="s">
        <v>4984</v>
      </c>
      <c r="F1629" t="s">
        <v>90</v>
      </c>
      <c r="G1629" s="27" t="str">
        <f t="shared" si="50"/>
        <v>3202 LUCIDA LN  SPRING</v>
      </c>
      <c r="H1629" s="27" t="str">
        <f t="shared" si="51"/>
        <v>HOUSTON TX 77373</v>
      </c>
    </row>
    <row r="1630" spans="1:8" x14ac:dyDescent="0.2">
      <c r="A1630" s="27">
        <f>COUNTIFS(C:C,C1630,D:D,D1630)</f>
        <v>1</v>
      </c>
      <c r="B1630" s="30">
        <v>202101157921</v>
      </c>
      <c r="C1630" t="s">
        <v>3312</v>
      </c>
      <c r="D1630" t="s">
        <v>3313</v>
      </c>
      <c r="E1630" t="s">
        <v>4908</v>
      </c>
      <c r="F1630" t="s">
        <v>366</v>
      </c>
      <c r="G1630" s="27" t="str">
        <f t="shared" si="50"/>
        <v>16826 COLONY CREEK DR  SPRING</v>
      </c>
      <c r="H1630" s="27" t="str">
        <f t="shared" si="51"/>
        <v>HOUSTON TX 77379</v>
      </c>
    </row>
    <row r="1631" spans="1:8" x14ac:dyDescent="0.2">
      <c r="A1631" s="27">
        <f>COUNTIFS(C:C,C1631,D:D,D1631)</f>
        <v>1</v>
      </c>
      <c r="B1631" s="30">
        <v>202101157923</v>
      </c>
      <c r="C1631" t="s">
        <v>2466</v>
      </c>
      <c r="D1631" t="s">
        <v>2467</v>
      </c>
      <c r="E1631" t="s">
        <v>4852</v>
      </c>
      <c r="F1631" t="s">
        <v>169</v>
      </c>
      <c r="G1631" s="27" t="str">
        <f t="shared" si="50"/>
        <v>11234 REBEL RD  HOUSTON</v>
      </c>
      <c r="H1631" s="27" t="str">
        <f t="shared" si="51"/>
        <v>HOUSTON TX 77016</v>
      </c>
    </row>
    <row r="1632" spans="1:8" x14ac:dyDescent="0.2">
      <c r="A1632" s="27">
        <f>COUNTIFS(C:C,C1632,D:D,D1632)</f>
        <v>1</v>
      </c>
      <c r="B1632" s="30">
        <v>202101157926</v>
      </c>
      <c r="C1632" t="s">
        <v>4302</v>
      </c>
      <c r="D1632" t="s">
        <v>4303</v>
      </c>
      <c r="E1632" t="s">
        <v>4891</v>
      </c>
      <c r="F1632" t="s">
        <v>68</v>
      </c>
      <c r="G1632" s="27" t="str">
        <f t="shared" si="50"/>
        <v>1094 ELLINGTON ST A  HOUSTON</v>
      </c>
      <c r="H1632" s="27" t="str">
        <f t="shared" si="51"/>
        <v>HOUSTON TX 77088</v>
      </c>
    </row>
    <row r="1633" spans="1:8" x14ac:dyDescent="0.2">
      <c r="A1633" s="27">
        <f>COUNTIFS(C:C,C1633,D:D,D1633)</f>
        <v>1</v>
      </c>
      <c r="B1633" s="30">
        <v>202101157927</v>
      </c>
      <c r="C1633" t="s">
        <v>2761</v>
      </c>
      <c r="D1633" t="s">
        <v>2762</v>
      </c>
      <c r="E1633" t="s">
        <v>4876</v>
      </c>
      <c r="F1633" t="s">
        <v>335</v>
      </c>
      <c r="G1633" s="27" t="str">
        <f t="shared" si="50"/>
        <v>155 PERFIDIA DR  HOUSTON</v>
      </c>
      <c r="H1633" s="27" t="str">
        <f t="shared" si="51"/>
        <v>HOUSTON TX 77015</v>
      </c>
    </row>
    <row r="1634" spans="1:8" x14ac:dyDescent="0.2">
      <c r="A1634" s="27">
        <f>COUNTIFS(C:C,C1634,D:D,D1634)</f>
        <v>1</v>
      </c>
      <c r="B1634" s="30">
        <v>202101157931</v>
      </c>
      <c r="C1634" t="s">
        <v>4304</v>
      </c>
      <c r="D1634" t="s">
        <v>4305</v>
      </c>
      <c r="E1634" t="s">
        <v>5147</v>
      </c>
      <c r="F1634" t="s">
        <v>96</v>
      </c>
      <c r="G1634" s="27" t="str">
        <f t="shared" si="50"/>
        <v>2444 BLACK OAK DR  MONTGOMERY</v>
      </c>
      <c r="H1634" s="27" t="str">
        <f t="shared" si="51"/>
        <v>HOUSTON TX 77316</v>
      </c>
    </row>
    <row r="1635" spans="1:8" x14ac:dyDescent="0.2">
      <c r="A1635" s="27">
        <f>COUNTIFS(C:C,C1635,D:D,D1635)</f>
        <v>1</v>
      </c>
      <c r="B1635" s="30">
        <v>202101157934</v>
      </c>
      <c r="C1635" t="s">
        <v>4306</v>
      </c>
      <c r="D1635" t="s">
        <v>4307</v>
      </c>
      <c r="E1635" t="s">
        <v>4915</v>
      </c>
      <c r="F1635" t="s">
        <v>56</v>
      </c>
      <c r="G1635" s="27" t="str">
        <f t="shared" si="50"/>
        <v>6225 TIERWESTER ST 2 5 HOUSTON</v>
      </c>
      <c r="H1635" s="27" t="str">
        <f t="shared" si="51"/>
        <v>HOUSTON TX 77021</v>
      </c>
    </row>
    <row r="1636" spans="1:8" x14ac:dyDescent="0.2">
      <c r="A1636" s="27">
        <f>COUNTIFS(C:C,C1636,D:D,D1636)</f>
        <v>1</v>
      </c>
      <c r="B1636" s="30">
        <v>202101157937</v>
      </c>
      <c r="C1636" t="s">
        <v>4308</v>
      </c>
      <c r="D1636" t="s">
        <v>4309</v>
      </c>
      <c r="E1636" t="s">
        <v>5263</v>
      </c>
      <c r="F1636" t="s">
        <v>94</v>
      </c>
      <c r="G1636" s="27" t="str">
        <f t="shared" si="50"/>
        <v>6421 HERMANN RD 71  HARRIS CO</v>
      </c>
      <c r="H1636" s="27" t="str">
        <f t="shared" si="51"/>
        <v>HOUSTON TX 77050</v>
      </c>
    </row>
    <row r="1637" spans="1:8" x14ac:dyDescent="0.2">
      <c r="A1637" s="27">
        <f>COUNTIFS(C:C,C1637,D:D,D1637)</f>
        <v>1</v>
      </c>
      <c r="B1637" s="30">
        <v>202101157939</v>
      </c>
      <c r="C1637" t="s">
        <v>4310</v>
      </c>
      <c r="D1637" t="s">
        <v>4311</v>
      </c>
      <c r="E1637" t="s">
        <v>4933</v>
      </c>
      <c r="F1637" t="s">
        <v>96</v>
      </c>
      <c r="G1637" s="27" t="str">
        <f t="shared" si="50"/>
        <v>8791 HAMMERLY BLVD 1 81 HOUSTON</v>
      </c>
      <c r="H1637" s="27" t="str">
        <f t="shared" si="51"/>
        <v>HOUSTON TX 77080</v>
      </c>
    </row>
    <row r="1638" spans="1:8" x14ac:dyDescent="0.2">
      <c r="A1638" s="27">
        <f>COUNTIFS(C:C,C1638,D:D,D1638)</f>
        <v>1</v>
      </c>
      <c r="B1638" s="30">
        <v>202101157940</v>
      </c>
      <c r="C1638" t="s">
        <v>4312</v>
      </c>
      <c r="D1638" t="s">
        <v>4313</v>
      </c>
      <c r="E1638" t="s">
        <v>4852</v>
      </c>
      <c r="F1638" t="s">
        <v>94</v>
      </c>
      <c r="G1638" s="27" t="str">
        <f t="shared" si="50"/>
        <v>6403 ROSEMARY LN  HOUSTON</v>
      </c>
      <c r="H1638" s="27" t="str">
        <f t="shared" si="51"/>
        <v>HOUSTON TX 77016</v>
      </c>
    </row>
    <row r="1639" spans="1:8" x14ac:dyDescent="0.2">
      <c r="A1639" s="27">
        <f>COUNTIFS(C:C,C1639,D:D,D1639)</f>
        <v>1</v>
      </c>
      <c r="B1639" s="30">
        <v>202101157941</v>
      </c>
      <c r="C1639" t="s">
        <v>4314</v>
      </c>
      <c r="D1639" t="s">
        <v>4315</v>
      </c>
      <c r="E1639" t="s">
        <v>4896</v>
      </c>
      <c r="F1639" t="s">
        <v>90</v>
      </c>
      <c r="G1639" s="27" t="str">
        <f t="shared" si="50"/>
        <v>9114 BEECHNUT 7  HOUSTON</v>
      </c>
      <c r="H1639" s="27" t="str">
        <f t="shared" si="51"/>
        <v>HOUSTON TX 77036</v>
      </c>
    </row>
    <row r="1640" spans="1:8" x14ac:dyDescent="0.2">
      <c r="A1640" s="27">
        <f>COUNTIFS(C:C,C1640,D:D,D1640)</f>
        <v>1</v>
      </c>
      <c r="B1640" s="30">
        <v>202101157943</v>
      </c>
      <c r="C1640" t="s">
        <v>3191</v>
      </c>
      <c r="D1640" t="s">
        <v>3192</v>
      </c>
      <c r="E1640" t="s">
        <v>5175</v>
      </c>
      <c r="F1640" t="s">
        <v>88</v>
      </c>
      <c r="G1640" s="27" t="str">
        <f t="shared" si="50"/>
        <v>10433 ALEDO DR  DALLAS</v>
      </c>
      <c r="H1640" s="27" t="str">
        <f t="shared" si="51"/>
        <v>HOUSTON TX 75228</v>
      </c>
    </row>
    <row r="1641" spans="1:8" x14ac:dyDescent="0.2">
      <c r="A1641" s="27">
        <f>COUNTIFS(C:C,C1641,D:D,D1641)</f>
        <v>1</v>
      </c>
      <c r="B1641" s="30">
        <v>202101157944</v>
      </c>
      <c r="C1641" t="s">
        <v>3287</v>
      </c>
      <c r="D1641" t="s">
        <v>3288</v>
      </c>
      <c r="E1641" t="s">
        <v>4881</v>
      </c>
      <c r="F1641" t="s">
        <v>157</v>
      </c>
      <c r="G1641" s="27" t="str">
        <f t="shared" si="50"/>
        <v>1118 POLAR BEAR TRAI L CROSBY</v>
      </c>
      <c r="H1641" s="27" t="str">
        <f t="shared" si="51"/>
        <v>HOUSTON TX 77532</v>
      </c>
    </row>
    <row r="1642" spans="1:8" x14ac:dyDescent="0.2">
      <c r="A1642" s="27">
        <f>COUNTIFS(C:C,C1642,D:D,D1642)</f>
        <v>1</v>
      </c>
      <c r="B1642" s="30">
        <v>202101157946</v>
      </c>
      <c r="C1642" t="s">
        <v>3171</v>
      </c>
      <c r="D1642" t="s">
        <v>3172</v>
      </c>
      <c r="E1642" t="s">
        <v>4982</v>
      </c>
      <c r="F1642" t="s">
        <v>88</v>
      </c>
      <c r="G1642" s="27" t="str">
        <f t="shared" ref="G1642:G1705" si="52">D1642&amp;" "&amp;MID(E1642,1,FIND(" TX",E1642)-1)</f>
        <v>9903 DEER TRAIL DRIV E HOUSTON</v>
      </c>
      <c r="H1642" s="27" t="str">
        <f t="shared" ref="H1642:H1705" si="53">"HOUSTON "&amp;MID(E1642,FIND("TX",E1642),8)</f>
        <v>HOUSTON TX 77038</v>
      </c>
    </row>
    <row r="1643" spans="1:8" x14ac:dyDescent="0.2">
      <c r="A1643" s="27">
        <f>COUNTIFS(C:C,C1643,D:D,D1643)</f>
        <v>1</v>
      </c>
      <c r="B1643" s="30">
        <v>202101157948</v>
      </c>
      <c r="C1643" t="s">
        <v>4316</v>
      </c>
      <c r="D1643" t="s">
        <v>4317</v>
      </c>
      <c r="E1643" t="s">
        <v>4920</v>
      </c>
      <c r="F1643" t="s">
        <v>93</v>
      </c>
      <c r="G1643" s="27" t="str">
        <f t="shared" si="52"/>
        <v>15306 EVERGREEN PLACE DR HOUSTON</v>
      </c>
      <c r="H1643" s="27" t="str">
        <f t="shared" si="53"/>
        <v>HOUSTON TX 77083</v>
      </c>
    </row>
    <row r="1644" spans="1:8" x14ac:dyDescent="0.2">
      <c r="A1644" s="27">
        <f>COUNTIFS(C:C,C1644,D:D,D1644)</f>
        <v>1</v>
      </c>
      <c r="B1644" s="30">
        <v>202101157953</v>
      </c>
      <c r="C1644" s="28" t="s">
        <v>1902</v>
      </c>
      <c r="D1644" s="28" t="s">
        <v>1903</v>
      </c>
      <c r="E1644" s="28" t="s">
        <v>4878</v>
      </c>
      <c r="F1644" s="28" t="s">
        <v>66</v>
      </c>
      <c r="G1644" s="27" t="str">
        <f t="shared" si="52"/>
        <v>17812 HORTHHAGEN DR  HOUSTON</v>
      </c>
      <c r="H1644" s="27" t="str">
        <f t="shared" si="53"/>
        <v>HOUSTON TX 77048</v>
      </c>
    </row>
    <row r="1645" spans="1:8" x14ac:dyDescent="0.2">
      <c r="A1645" s="27">
        <f>COUNTIFS(C:C,C1645,D:D,D1645)</f>
        <v>1</v>
      </c>
      <c r="B1645" s="30">
        <v>202101157957</v>
      </c>
      <c r="C1645" t="s">
        <v>4318</v>
      </c>
      <c r="D1645" t="s">
        <v>4319</v>
      </c>
      <c r="E1645" t="s">
        <v>4960</v>
      </c>
      <c r="F1645" t="s">
        <v>90</v>
      </c>
      <c r="G1645" s="27" t="str">
        <f t="shared" si="52"/>
        <v>103 GOODSON DRIVE  HOUSTON</v>
      </c>
      <c r="H1645" s="27" t="str">
        <f t="shared" si="53"/>
        <v>HOUSTON TX 77060</v>
      </c>
    </row>
    <row r="1646" spans="1:8" x14ac:dyDescent="0.2">
      <c r="A1646" s="27">
        <f>COUNTIFS(C:C,C1646,D:D,D1646)</f>
        <v>1</v>
      </c>
      <c r="B1646" s="30">
        <v>202101157961</v>
      </c>
      <c r="C1646" t="s">
        <v>4320</v>
      </c>
      <c r="D1646" t="s">
        <v>4321</v>
      </c>
      <c r="E1646" t="s">
        <v>4920</v>
      </c>
      <c r="F1646" t="s">
        <v>88</v>
      </c>
      <c r="G1646" s="27" t="str">
        <f t="shared" si="52"/>
        <v>7315 MESONES DRIVE  HOUSTON</v>
      </c>
      <c r="H1646" s="27" t="str">
        <f t="shared" si="53"/>
        <v>HOUSTON TX 77083</v>
      </c>
    </row>
    <row r="1647" spans="1:8" x14ac:dyDescent="0.2">
      <c r="A1647" s="27">
        <f>COUNTIFS(C:C,C1647,D:D,D1647)</f>
        <v>1</v>
      </c>
      <c r="B1647" s="30">
        <v>202101157962</v>
      </c>
      <c r="C1647" t="s">
        <v>4322</v>
      </c>
      <c r="D1647" t="s">
        <v>4323</v>
      </c>
      <c r="E1647" t="s">
        <v>5264</v>
      </c>
      <c r="G1647" s="27" t="str">
        <f t="shared" si="52"/>
        <v>2101 PALM CASTLE DR  LEAGUE CIT</v>
      </c>
      <c r="H1647" s="27" t="str">
        <f t="shared" si="53"/>
        <v>HOUSTON TX 7753</v>
      </c>
    </row>
    <row r="1648" spans="1:8" x14ac:dyDescent="0.2">
      <c r="A1648" s="27">
        <f>COUNTIFS(C:C,C1648,D:D,D1648)</f>
        <v>1</v>
      </c>
      <c r="B1648" s="30">
        <v>202101157963</v>
      </c>
      <c r="C1648" t="s">
        <v>4758</v>
      </c>
      <c r="D1648" t="s">
        <v>4324</v>
      </c>
      <c r="E1648" t="s">
        <v>5009</v>
      </c>
      <c r="G1648" s="27" t="str">
        <f t="shared" si="52"/>
        <v>510-A  WATERFRONT DR  SEABROOK</v>
      </c>
      <c r="H1648" s="27" t="str">
        <f t="shared" si="53"/>
        <v>HOUSTON TX 77586</v>
      </c>
    </row>
    <row r="1649" spans="1:8" x14ac:dyDescent="0.2">
      <c r="A1649" s="27">
        <f>COUNTIFS(C:C,C1649,D:D,D1649)</f>
        <v>1</v>
      </c>
      <c r="B1649" s="30">
        <v>202101157964</v>
      </c>
      <c r="C1649" t="s">
        <v>4325</v>
      </c>
      <c r="D1649" t="s">
        <v>4326</v>
      </c>
      <c r="E1649" t="s">
        <v>5132</v>
      </c>
      <c r="F1649" t="s">
        <v>88</v>
      </c>
      <c r="G1649" s="27" t="str">
        <f t="shared" si="52"/>
        <v>711 FM 1959 RD 1106  HOUSTON</v>
      </c>
      <c r="H1649" s="27" t="str">
        <f t="shared" si="53"/>
        <v>HOUSTON TX 77598</v>
      </c>
    </row>
    <row r="1650" spans="1:8" x14ac:dyDescent="0.2">
      <c r="A1650" s="27">
        <f>COUNTIFS(C:C,C1650,D:D,D1650)</f>
        <v>1</v>
      </c>
      <c r="B1650" s="30">
        <v>202101157965</v>
      </c>
      <c r="C1650" t="s">
        <v>4327</v>
      </c>
      <c r="D1650" t="s">
        <v>4328</v>
      </c>
      <c r="E1650" t="s">
        <v>4896</v>
      </c>
      <c r="F1650" t="s">
        <v>175</v>
      </c>
      <c r="G1650" s="27" t="str">
        <f t="shared" si="52"/>
        <v>9968 BELLAIRE BOULEV ARD #100 HOUSTON</v>
      </c>
      <c r="H1650" s="27" t="str">
        <f t="shared" si="53"/>
        <v>HOUSTON TX 77036</v>
      </c>
    </row>
    <row r="1651" spans="1:8" x14ac:dyDescent="0.2">
      <c r="A1651" s="27">
        <f>COUNTIFS(C:C,C1651,D:D,D1651)</f>
        <v>1</v>
      </c>
      <c r="B1651" s="30">
        <v>202101157968</v>
      </c>
      <c r="C1651" t="s">
        <v>4759</v>
      </c>
      <c r="D1651" t="s">
        <v>4328</v>
      </c>
      <c r="E1651" t="s">
        <v>4896</v>
      </c>
      <c r="F1651" t="s">
        <v>175</v>
      </c>
      <c r="G1651" s="27" t="str">
        <f t="shared" si="52"/>
        <v>9968 BELLAIRE BOULEV ARD #100 HOUSTON</v>
      </c>
      <c r="H1651" s="27" t="str">
        <f t="shared" si="53"/>
        <v>HOUSTON TX 77036</v>
      </c>
    </row>
    <row r="1652" spans="1:8" x14ac:dyDescent="0.2">
      <c r="A1652" s="27">
        <f>COUNTIFS(C:C,C1652,D:D,D1652)</f>
        <v>1</v>
      </c>
      <c r="B1652" s="30">
        <v>202101157970</v>
      </c>
      <c r="C1652" t="s">
        <v>2434</v>
      </c>
      <c r="D1652" t="s">
        <v>2435</v>
      </c>
      <c r="E1652" t="s">
        <v>5133</v>
      </c>
      <c r="F1652" t="s">
        <v>53</v>
      </c>
      <c r="G1652" s="27" t="str">
        <f t="shared" si="52"/>
        <v>209 W. CAROLINE ST  TRINITY</v>
      </c>
      <c r="H1652" s="27" t="str">
        <f t="shared" si="53"/>
        <v>HOUSTON TX 75862</v>
      </c>
    </row>
    <row r="1653" spans="1:8" x14ac:dyDescent="0.2">
      <c r="A1653" s="27">
        <f>COUNTIFS(C:C,C1653,D:D,D1653)</f>
        <v>1</v>
      </c>
      <c r="B1653" s="30">
        <v>202101157972</v>
      </c>
      <c r="C1653" t="s">
        <v>4329</v>
      </c>
      <c r="D1653" t="s">
        <v>4330</v>
      </c>
      <c r="E1653" t="s">
        <v>4876</v>
      </c>
      <c r="F1653" t="s">
        <v>90</v>
      </c>
      <c r="G1653" s="27" t="str">
        <f t="shared" si="52"/>
        <v>11849 ALGONQUIN  HOUSTON</v>
      </c>
      <c r="H1653" s="27" t="str">
        <f t="shared" si="53"/>
        <v>HOUSTON TX 77015</v>
      </c>
    </row>
    <row r="1654" spans="1:8" x14ac:dyDescent="0.2">
      <c r="A1654" s="27">
        <f>COUNTIFS(C:C,C1654,D:D,D1654)</f>
        <v>1</v>
      </c>
      <c r="B1654" s="30">
        <v>202101157975</v>
      </c>
      <c r="C1654" t="s">
        <v>4331</v>
      </c>
      <c r="D1654" t="s">
        <v>4332</v>
      </c>
      <c r="E1654" t="s">
        <v>4936</v>
      </c>
      <c r="F1654" t="s">
        <v>94</v>
      </c>
      <c r="G1654" s="27" t="str">
        <f t="shared" si="52"/>
        <v>7900 CREEKBEND DR  HOUSTON</v>
      </c>
      <c r="H1654" s="27" t="str">
        <f t="shared" si="53"/>
        <v>HOUSTON TX 77071</v>
      </c>
    </row>
    <row r="1655" spans="1:8" x14ac:dyDescent="0.2">
      <c r="A1655" s="27">
        <f>COUNTIFS(C:C,C1655,D:D,D1655)</f>
        <v>1</v>
      </c>
      <c r="B1655" s="30">
        <v>202101157976</v>
      </c>
      <c r="C1655" t="s">
        <v>4333</v>
      </c>
      <c r="D1655" t="s">
        <v>4334</v>
      </c>
      <c r="E1655" t="s">
        <v>4933</v>
      </c>
      <c r="F1655" t="s">
        <v>90</v>
      </c>
      <c r="G1655" s="27" t="str">
        <f t="shared" si="52"/>
        <v>2001 OJEMAN RD 2114  HOUSTON</v>
      </c>
      <c r="H1655" s="27" t="str">
        <f t="shared" si="53"/>
        <v>HOUSTON TX 77080</v>
      </c>
    </row>
    <row r="1656" spans="1:8" x14ac:dyDescent="0.2">
      <c r="A1656" s="27">
        <f>COUNTIFS(C:C,C1656,D:D,D1656)</f>
        <v>1</v>
      </c>
      <c r="B1656" s="30">
        <v>202101157978</v>
      </c>
      <c r="C1656" t="s">
        <v>4335</v>
      </c>
      <c r="D1656" t="s">
        <v>4336</v>
      </c>
      <c r="E1656" t="s">
        <v>5265</v>
      </c>
      <c r="F1656" t="s">
        <v>51</v>
      </c>
      <c r="G1656" s="27" t="str">
        <f t="shared" si="52"/>
        <v>16802 DUNBAR GROVE  SUGAR LAND</v>
      </c>
      <c r="H1656" s="27" t="str">
        <f t="shared" si="53"/>
        <v>HOUSTON TX 77498</v>
      </c>
    </row>
    <row r="1657" spans="1:8" x14ac:dyDescent="0.2">
      <c r="A1657" s="27">
        <f>COUNTIFS(C:C,C1657,D:D,D1657)</f>
        <v>1</v>
      </c>
      <c r="B1657" s="30">
        <v>202101157980</v>
      </c>
      <c r="C1657" t="s">
        <v>4337</v>
      </c>
      <c r="D1657" t="s">
        <v>4338</v>
      </c>
      <c r="E1657" t="s">
        <v>5202</v>
      </c>
      <c r="F1657" t="s">
        <v>71</v>
      </c>
      <c r="G1657" s="27" t="str">
        <f t="shared" si="52"/>
        <v>516 E FOREST AVE  SHOREACRES</v>
      </c>
      <c r="H1657" s="27" t="str">
        <f t="shared" si="53"/>
        <v>HOUSTON TX 77571</v>
      </c>
    </row>
    <row r="1658" spans="1:8" x14ac:dyDescent="0.2">
      <c r="A1658" s="27">
        <f>COUNTIFS(C:C,C1658,D:D,D1658)</f>
        <v>1</v>
      </c>
      <c r="B1658" s="30">
        <v>202101157981</v>
      </c>
      <c r="C1658" t="s">
        <v>3049</v>
      </c>
      <c r="D1658" t="s">
        <v>3050</v>
      </c>
      <c r="E1658" t="s">
        <v>4991</v>
      </c>
      <c r="F1658" t="s">
        <v>88</v>
      </c>
      <c r="G1658" s="27" t="str">
        <f t="shared" si="52"/>
        <v>301 WILCREST DR  HOUSTON</v>
      </c>
      <c r="H1658" s="27" t="str">
        <f t="shared" si="53"/>
        <v>HOUSTON TX 77042</v>
      </c>
    </row>
    <row r="1659" spans="1:8" x14ac:dyDescent="0.2">
      <c r="A1659" s="27">
        <f>COUNTIFS(C:C,C1659,D:D,D1659)</f>
        <v>1</v>
      </c>
      <c r="B1659" s="30">
        <v>202101157982</v>
      </c>
      <c r="C1659" t="s">
        <v>4339</v>
      </c>
      <c r="D1659" t="s">
        <v>4340</v>
      </c>
      <c r="E1659" t="s">
        <v>5079</v>
      </c>
      <c r="F1659" t="s">
        <v>88</v>
      </c>
      <c r="G1659" s="27" t="str">
        <f t="shared" si="52"/>
        <v>791 BATESWOOD DR 32 6 HOUSTON</v>
      </c>
      <c r="H1659" s="27" t="str">
        <f t="shared" si="53"/>
        <v>HOUSTON TX 77079</v>
      </c>
    </row>
    <row r="1660" spans="1:8" x14ac:dyDescent="0.2">
      <c r="A1660" s="27">
        <f>COUNTIFS(C:C,C1660,D:D,D1660)</f>
        <v>1</v>
      </c>
      <c r="B1660" s="30">
        <v>202101157983</v>
      </c>
      <c r="C1660" t="s">
        <v>4341</v>
      </c>
      <c r="D1660" t="s">
        <v>4342</v>
      </c>
      <c r="E1660" t="s">
        <v>4866</v>
      </c>
      <c r="F1660" t="s">
        <v>90</v>
      </c>
      <c r="G1660" s="27" t="str">
        <f t="shared" si="52"/>
        <v>7211 NORTHLINE DR AP T 326 HOUSTON</v>
      </c>
      <c r="H1660" s="27" t="str">
        <f t="shared" si="53"/>
        <v>HOUSTON TX 77076</v>
      </c>
    </row>
    <row r="1661" spans="1:8" x14ac:dyDescent="0.2">
      <c r="A1661" s="27">
        <f>COUNTIFS(C:C,C1661,D:D,D1661)</f>
        <v>1</v>
      </c>
      <c r="B1661" s="30">
        <v>202101157984</v>
      </c>
      <c r="C1661" s="28" t="s">
        <v>1147</v>
      </c>
      <c r="D1661" s="28" t="s">
        <v>1148</v>
      </c>
      <c r="E1661" s="28" t="s">
        <v>4951</v>
      </c>
      <c r="F1661" s="28" t="s">
        <v>300</v>
      </c>
      <c r="G1661" s="27" t="str">
        <f t="shared" si="52"/>
        <v>8419 SUNNY RIDGE DR  HOUSTON</v>
      </c>
      <c r="H1661" s="27" t="str">
        <f t="shared" si="53"/>
        <v>HOUSTON TX 77095</v>
      </c>
    </row>
    <row r="1662" spans="1:8" x14ac:dyDescent="0.2">
      <c r="A1662" s="27">
        <f>COUNTIFS(C:C,C1662,D:D,D1662)</f>
        <v>1</v>
      </c>
      <c r="B1662" s="30">
        <v>202101157988</v>
      </c>
      <c r="C1662" t="s">
        <v>4343</v>
      </c>
      <c r="D1662" t="s">
        <v>4344</v>
      </c>
      <c r="E1662" t="s">
        <v>4991</v>
      </c>
      <c r="F1662" t="s">
        <v>53</v>
      </c>
      <c r="G1662" s="27" t="str">
        <f t="shared" si="52"/>
        <v>2950 W SAM HOUSTON P KWY S 102 HOUSTON</v>
      </c>
      <c r="H1662" s="27" t="str">
        <f t="shared" si="53"/>
        <v>HOUSTON TX 77042</v>
      </c>
    </row>
    <row r="1663" spans="1:8" x14ac:dyDescent="0.2">
      <c r="A1663" s="27">
        <f>COUNTIFS(C:C,C1663,D:D,D1663)</f>
        <v>1</v>
      </c>
      <c r="B1663" s="30">
        <v>202101158003</v>
      </c>
      <c r="C1663" t="s">
        <v>4345</v>
      </c>
      <c r="D1663" t="s">
        <v>4346</v>
      </c>
      <c r="E1663" t="s">
        <v>4854</v>
      </c>
      <c r="F1663" t="s">
        <v>53</v>
      </c>
      <c r="G1663" s="27" t="str">
        <f t="shared" si="52"/>
        <v>3405 MELBOURNE ST  HOUSTON</v>
      </c>
      <c r="H1663" s="27" t="str">
        <f t="shared" si="53"/>
        <v>HOUSTON TX 77026</v>
      </c>
    </row>
    <row r="1664" spans="1:8" x14ac:dyDescent="0.2">
      <c r="A1664" s="27">
        <f>COUNTIFS(C:C,C1664,D:D,D1664)</f>
        <v>1</v>
      </c>
      <c r="B1664" s="30">
        <v>202101158004</v>
      </c>
      <c r="C1664" t="s">
        <v>2643</v>
      </c>
      <c r="D1664" t="s">
        <v>2644</v>
      </c>
      <c r="E1664" t="s">
        <v>4937</v>
      </c>
      <c r="F1664" t="s">
        <v>88</v>
      </c>
      <c r="G1664" s="27" t="str">
        <f t="shared" si="52"/>
        <v>7014 PALMETTO  HOUSTON</v>
      </c>
      <c r="H1664" s="27" t="str">
        <f t="shared" si="53"/>
        <v>HOUSTON TX 77087</v>
      </c>
    </row>
    <row r="1665" spans="1:8" x14ac:dyDescent="0.2">
      <c r="A1665" s="27">
        <f>COUNTIFS(C:C,C1665,D:D,D1665)</f>
        <v>1</v>
      </c>
      <c r="B1665" s="30">
        <v>202101158005</v>
      </c>
      <c r="C1665" s="28" t="s">
        <v>1424</v>
      </c>
      <c r="D1665" s="28" t="s">
        <v>1425</v>
      </c>
      <c r="E1665" s="28" t="s">
        <v>5002</v>
      </c>
      <c r="F1665" s="28" t="s">
        <v>88</v>
      </c>
      <c r="G1665" s="27" t="str">
        <f t="shared" si="52"/>
        <v>3806 PARKRIDGE GLEN DR HOUSTON</v>
      </c>
      <c r="H1665" s="27" t="str">
        <f t="shared" si="53"/>
        <v>HOUSTON TX 77082</v>
      </c>
    </row>
    <row r="1666" spans="1:8" x14ac:dyDescent="0.2">
      <c r="A1666" s="27">
        <f>COUNTIFS(C:C,C1666,D:D,D1666)</f>
        <v>1</v>
      </c>
      <c r="B1666" s="30">
        <v>202101158007</v>
      </c>
      <c r="C1666" s="28" t="s">
        <v>1693</v>
      </c>
      <c r="D1666" s="28" t="s">
        <v>1694</v>
      </c>
      <c r="E1666" s="28" t="s">
        <v>4932</v>
      </c>
      <c r="F1666" s="28" t="s">
        <v>88</v>
      </c>
      <c r="G1666" s="27" t="str">
        <f t="shared" si="52"/>
        <v>4901 W 43RD STREET  HOUSTON</v>
      </c>
      <c r="H1666" s="27" t="str">
        <f t="shared" si="53"/>
        <v>HOUSTON TX 77092</v>
      </c>
    </row>
    <row r="1667" spans="1:8" x14ac:dyDescent="0.2">
      <c r="A1667" s="27">
        <f>COUNTIFS(C:C,C1667,D:D,D1667)</f>
        <v>1</v>
      </c>
      <c r="B1667" s="30">
        <v>202101158014</v>
      </c>
      <c r="C1667" t="s">
        <v>4347</v>
      </c>
      <c r="D1667" t="s">
        <v>4348</v>
      </c>
      <c r="E1667" t="s">
        <v>5009</v>
      </c>
      <c r="F1667" t="s">
        <v>175</v>
      </c>
      <c r="G1667" s="27" t="str">
        <f t="shared" si="52"/>
        <v>3402 OCEAN RIDGE CIR CLE SEABROOK</v>
      </c>
      <c r="H1667" s="27" t="str">
        <f t="shared" si="53"/>
        <v>HOUSTON TX 77586</v>
      </c>
    </row>
    <row r="1668" spans="1:8" x14ac:dyDescent="0.2">
      <c r="A1668" s="27">
        <f>COUNTIFS(C:C,C1668,D:D,D1668)</f>
        <v>1</v>
      </c>
      <c r="B1668" s="30">
        <v>202101158016</v>
      </c>
      <c r="C1668" t="s">
        <v>2981</v>
      </c>
      <c r="D1668" t="s">
        <v>2982</v>
      </c>
      <c r="E1668" t="s">
        <v>4874</v>
      </c>
      <c r="F1668" t="s">
        <v>53</v>
      </c>
      <c r="G1668" s="27" t="str">
        <f t="shared" si="52"/>
        <v>5401 DOOLITTLE BLVD  HOUSTON</v>
      </c>
      <c r="H1668" s="27" t="str">
        <f t="shared" si="53"/>
        <v>HOUSTON TX 77033</v>
      </c>
    </row>
    <row r="1669" spans="1:8" x14ac:dyDescent="0.2">
      <c r="A1669" s="27">
        <f>COUNTIFS(C:C,C1669,D:D,D1669)</f>
        <v>1</v>
      </c>
      <c r="B1669" s="30">
        <v>202101158017</v>
      </c>
      <c r="C1669" t="s">
        <v>4760</v>
      </c>
      <c r="D1669" t="s">
        <v>4349</v>
      </c>
      <c r="E1669" t="s">
        <v>5009</v>
      </c>
      <c r="F1669" t="s">
        <v>175</v>
      </c>
      <c r="G1669" s="27" t="str">
        <f t="shared" si="52"/>
        <v>510-B  11TH AVENUE  SEABROOK</v>
      </c>
      <c r="H1669" s="27" t="str">
        <f t="shared" si="53"/>
        <v>HOUSTON TX 77586</v>
      </c>
    </row>
    <row r="1670" spans="1:8" x14ac:dyDescent="0.2">
      <c r="A1670" s="27">
        <f>COUNTIFS(C:C,C1670,D:D,D1670)</f>
        <v>1</v>
      </c>
      <c r="B1670" s="30">
        <v>202101158020</v>
      </c>
      <c r="C1670" t="s">
        <v>2332</v>
      </c>
      <c r="D1670" t="s">
        <v>2333</v>
      </c>
      <c r="E1670" t="s">
        <v>5002</v>
      </c>
      <c r="F1670" t="s">
        <v>4805</v>
      </c>
      <c r="G1670" s="27" t="str">
        <f t="shared" si="52"/>
        <v>3225 WOODLAND PARK D R HOUSTON</v>
      </c>
      <c r="H1670" s="27" t="str">
        <f t="shared" si="53"/>
        <v>HOUSTON TX 77082</v>
      </c>
    </row>
    <row r="1671" spans="1:8" x14ac:dyDescent="0.2">
      <c r="A1671" s="27">
        <f>COUNTIFS(C:C,C1671,D:D,D1671)</f>
        <v>1</v>
      </c>
      <c r="B1671" s="30">
        <v>202101158022</v>
      </c>
      <c r="C1671" t="s">
        <v>4350</v>
      </c>
      <c r="D1671" t="s">
        <v>4328</v>
      </c>
      <c r="E1671" t="s">
        <v>4896</v>
      </c>
      <c r="F1671" t="s">
        <v>175</v>
      </c>
      <c r="G1671" s="27" t="str">
        <f t="shared" si="52"/>
        <v>9968 BELLAIRE BOULEV ARD #100 HOUSTON</v>
      </c>
      <c r="H1671" s="27" t="str">
        <f t="shared" si="53"/>
        <v>HOUSTON TX 77036</v>
      </c>
    </row>
    <row r="1672" spans="1:8" x14ac:dyDescent="0.2">
      <c r="A1672" s="27">
        <f>COUNTIFS(C:C,C1672,D:D,D1672)</f>
        <v>1</v>
      </c>
      <c r="B1672" s="30">
        <v>202101158024</v>
      </c>
      <c r="C1672" t="s">
        <v>2709</v>
      </c>
      <c r="D1672" t="s">
        <v>2710</v>
      </c>
      <c r="E1672" t="s">
        <v>4943</v>
      </c>
      <c r="F1672" t="s">
        <v>88</v>
      </c>
      <c r="G1672" s="27" t="str">
        <f t="shared" si="52"/>
        <v>14220 PARK ROW APT 21 5 HOUSTON</v>
      </c>
      <c r="H1672" s="27" t="str">
        <f t="shared" si="53"/>
        <v>HOUSTON TX 77084</v>
      </c>
    </row>
    <row r="1673" spans="1:8" x14ac:dyDescent="0.2">
      <c r="A1673" s="27">
        <f>COUNTIFS(C:C,C1673,D:D,D1673)</f>
        <v>1</v>
      </c>
      <c r="B1673" s="30">
        <v>202101158025</v>
      </c>
      <c r="C1673" t="s">
        <v>4761</v>
      </c>
      <c r="D1673" t="s">
        <v>4351</v>
      </c>
      <c r="E1673" t="s">
        <v>4896</v>
      </c>
      <c r="F1673" t="s">
        <v>175</v>
      </c>
      <c r="G1673" s="27" t="str">
        <f t="shared" si="52"/>
        <v>9888 BELLAIRE BOULEV ARD #136 HOUSTON</v>
      </c>
      <c r="H1673" s="27" t="str">
        <f t="shared" si="53"/>
        <v>HOUSTON TX 77036</v>
      </c>
    </row>
    <row r="1674" spans="1:8" x14ac:dyDescent="0.2">
      <c r="A1674" s="27">
        <f>COUNTIFS(C:C,C1674,D:D,D1674)</f>
        <v>1</v>
      </c>
      <c r="B1674" s="30">
        <v>202101158026</v>
      </c>
      <c r="C1674" s="28" t="s">
        <v>4963</v>
      </c>
      <c r="D1674" s="28" t="s">
        <v>812</v>
      </c>
      <c r="E1674" s="28" t="s">
        <v>4876</v>
      </c>
      <c r="F1674" s="28" t="s">
        <v>289</v>
      </c>
      <c r="G1674" s="27" t="str">
        <f t="shared" si="52"/>
        <v>695 NORMANDY  HOUSTON</v>
      </c>
      <c r="H1674" s="27" t="str">
        <f t="shared" si="53"/>
        <v>HOUSTON TX 77015</v>
      </c>
    </row>
    <row r="1675" spans="1:8" x14ac:dyDescent="0.2">
      <c r="A1675" s="27">
        <f>COUNTIFS(C:C,C1675,D:D,D1675)</f>
        <v>1</v>
      </c>
      <c r="B1675" s="30">
        <v>202101158029</v>
      </c>
      <c r="C1675" s="28" t="s">
        <v>972</v>
      </c>
      <c r="D1675" s="28" t="s">
        <v>973</v>
      </c>
      <c r="E1675" s="28" t="s">
        <v>4949</v>
      </c>
      <c r="F1675" s="28" t="s">
        <v>67</v>
      </c>
      <c r="G1675" s="27" t="str">
        <f t="shared" si="52"/>
        <v>14202 NORDIC  HOUSTON</v>
      </c>
      <c r="H1675" s="27" t="str">
        <f t="shared" si="53"/>
        <v>HOUSTON TX 77049</v>
      </c>
    </row>
    <row r="1676" spans="1:8" x14ac:dyDescent="0.2">
      <c r="A1676" s="27">
        <f>COUNTIFS(C:C,C1676,D:D,D1676)</f>
        <v>1</v>
      </c>
      <c r="B1676" s="30">
        <v>202101158032</v>
      </c>
      <c r="C1676" t="s">
        <v>2963</v>
      </c>
      <c r="D1676" t="s">
        <v>2964</v>
      </c>
      <c r="E1676" t="s">
        <v>4855</v>
      </c>
      <c r="F1676" t="s">
        <v>64</v>
      </c>
      <c r="G1676" s="27" t="str">
        <f t="shared" si="52"/>
        <v>9103 KENTSHIRE DR  HOUSTON</v>
      </c>
      <c r="H1676" s="27" t="str">
        <f t="shared" si="53"/>
        <v>HOUSTON TX 77078</v>
      </c>
    </row>
    <row r="1677" spans="1:8" x14ac:dyDescent="0.2">
      <c r="A1677" s="27">
        <f>COUNTIFS(C:C,C1677,D:D,D1677)</f>
        <v>1</v>
      </c>
      <c r="B1677" s="30">
        <v>202101158038</v>
      </c>
      <c r="C1677" s="28" t="s">
        <v>1211</v>
      </c>
      <c r="D1677" s="28" t="s">
        <v>1212</v>
      </c>
      <c r="E1677" s="28" t="s">
        <v>4901</v>
      </c>
      <c r="F1677" s="28" t="s">
        <v>88</v>
      </c>
      <c r="G1677" s="27" t="str">
        <f t="shared" si="52"/>
        <v>8323 CINNAMON LANE  HOUSTON</v>
      </c>
      <c r="H1677" s="27" t="str">
        <f t="shared" si="53"/>
        <v>HOUSTON TX 77072</v>
      </c>
    </row>
    <row r="1678" spans="1:8" x14ac:dyDescent="0.2">
      <c r="A1678" s="27">
        <f>COUNTIFS(C:C,C1678,D:D,D1678)</f>
        <v>1</v>
      </c>
      <c r="B1678" s="30">
        <v>202101158044</v>
      </c>
      <c r="C1678" t="s">
        <v>4352</v>
      </c>
      <c r="D1678" t="s">
        <v>4353</v>
      </c>
      <c r="E1678" t="s">
        <v>4896</v>
      </c>
      <c r="F1678" t="s">
        <v>70</v>
      </c>
      <c r="G1678" s="27" t="str">
        <f t="shared" si="52"/>
        <v>9011 BELLAIRE BLVD  HOUSTON</v>
      </c>
      <c r="H1678" s="27" t="str">
        <f t="shared" si="53"/>
        <v>HOUSTON TX 77036</v>
      </c>
    </row>
    <row r="1679" spans="1:8" x14ac:dyDescent="0.2">
      <c r="A1679" s="27">
        <f>COUNTIFS(C:C,C1679,D:D,D1679)</f>
        <v>1</v>
      </c>
      <c r="B1679" s="30">
        <v>202101158053</v>
      </c>
      <c r="C1679" t="s">
        <v>4355</v>
      </c>
      <c r="D1679" t="s">
        <v>4356</v>
      </c>
      <c r="E1679" t="s">
        <v>4880</v>
      </c>
      <c r="F1679" t="s">
        <v>87</v>
      </c>
      <c r="G1679" s="27" t="str">
        <f t="shared" si="52"/>
        <v>2329 ST EMANUEL ST  HOUSTON</v>
      </c>
      <c r="H1679" s="27" t="str">
        <f t="shared" si="53"/>
        <v>HOUSTON TX 77004</v>
      </c>
    </row>
    <row r="1680" spans="1:8" x14ac:dyDescent="0.2">
      <c r="A1680" s="27">
        <f>COUNTIFS(C:C,C1680,D:D,D1680)</f>
        <v>1</v>
      </c>
      <c r="B1680" s="30">
        <v>202101158061</v>
      </c>
      <c r="C1680" t="s">
        <v>2836</v>
      </c>
      <c r="D1680" t="s">
        <v>2837</v>
      </c>
      <c r="E1680" t="s">
        <v>4987</v>
      </c>
      <c r="F1680" t="s">
        <v>97</v>
      </c>
      <c r="G1680" s="27" t="str">
        <f t="shared" si="52"/>
        <v>1950 SPENWICK DR  HOUSTON</v>
      </c>
      <c r="H1680" s="27" t="str">
        <f t="shared" si="53"/>
        <v>HOUSTON TX 77055</v>
      </c>
    </row>
    <row r="1681" spans="1:8" x14ac:dyDescent="0.2">
      <c r="A1681" s="27">
        <f>COUNTIFS(C:C,C1681,D:D,D1681)</f>
        <v>1</v>
      </c>
      <c r="B1681" s="30">
        <v>202101158062</v>
      </c>
      <c r="C1681" s="28" t="s">
        <v>1281</v>
      </c>
      <c r="D1681" s="28" t="s">
        <v>1282</v>
      </c>
      <c r="E1681" s="28" t="s">
        <v>4876</v>
      </c>
      <c r="F1681" s="28" t="s">
        <v>97</v>
      </c>
      <c r="G1681" s="27" t="str">
        <f t="shared" si="52"/>
        <v>350 QUEENSTOWN RD  HOUSTON</v>
      </c>
      <c r="H1681" s="27" t="str">
        <f t="shared" si="53"/>
        <v>HOUSTON TX 77015</v>
      </c>
    </row>
    <row r="1682" spans="1:8" x14ac:dyDescent="0.2">
      <c r="A1682" s="27">
        <f>COUNTIFS(C:C,C1682,D:D,D1682)</f>
        <v>1</v>
      </c>
      <c r="B1682" s="30">
        <v>202101158063</v>
      </c>
      <c r="C1682" t="s">
        <v>4354</v>
      </c>
      <c r="D1682" t="s">
        <v>1282</v>
      </c>
      <c r="E1682" t="s">
        <v>4876</v>
      </c>
      <c r="F1682" t="s">
        <v>97</v>
      </c>
      <c r="G1682" s="27" t="str">
        <f t="shared" si="52"/>
        <v>350 QUEENSTOWN RD  HOUSTON</v>
      </c>
      <c r="H1682" s="27" t="str">
        <f t="shared" si="53"/>
        <v>HOUSTON TX 77015</v>
      </c>
    </row>
    <row r="1683" spans="1:8" x14ac:dyDescent="0.2">
      <c r="A1683" s="27">
        <f>COUNTIFS(C:C,C1683,D:D,D1683)</f>
        <v>1</v>
      </c>
      <c r="B1683" s="30">
        <v>202101158072</v>
      </c>
      <c r="C1683" t="s">
        <v>1984</v>
      </c>
      <c r="D1683" t="s">
        <v>1985</v>
      </c>
      <c r="E1683" t="s">
        <v>4934</v>
      </c>
      <c r="F1683" t="s">
        <v>53</v>
      </c>
      <c r="G1683" s="27" t="str">
        <f t="shared" si="52"/>
        <v>6619 AVENUE H  HOUSTON</v>
      </c>
      <c r="H1683" s="27" t="str">
        <f t="shared" si="53"/>
        <v>HOUSTON TX 77011</v>
      </c>
    </row>
    <row r="1684" spans="1:8" x14ac:dyDescent="0.2">
      <c r="A1684" s="27">
        <f>COUNTIFS(C:C,C1684,D:D,D1684)</f>
        <v>1</v>
      </c>
      <c r="B1684" s="30">
        <v>202101158083</v>
      </c>
      <c r="C1684" t="s">
        <v>4361</v>
      </c>
      <c r="D1684" t="s">
        <v>4362</v>
      </c>
      <c r="E1684" t="s">
        <v>4862</v>
      </c>
      <c r="F1684" t="s">
        <v>79</v>
      </c>
      <c r="G1684" s="27" t="str">
        <f t="shared" si="52"/>
        <v>15530 ELLA BLVD  HOUSTON</v>
      </c>
      <c r="H1684" s="27" t="str">
        <f t="shared" si="53"/>
        <v>HOUSTON TX 77090</v>
      </c>
    </row>
    <row r="1685" spans="1:8" x14ac:dyDescent="0.2">
      <c r="A1685" s="27">
        <f>COUNTIFS(C:C,C1685,D:D,D1685)</f>
        <v>1</v>
      </c>
      <c r="B1685" s="30">
        <v>202101158084</v>
      </c>
      <c r="C1685" s="28" t="s">
        <v>1629</v>
      </c>
      <c r="D1685" s="28" t="s">
        <v>1630</v>
      </c>
      <c r="E1685" s="28" t="s">
        <v>4862</v>
      </c>
      <c r="F1685" s="28" t="s">
        <v>68</v>
      </c>
      <c r="G1685" s="27" t="str">
        <f t="shared" si="52"/>
        <v>17135 AMAROSE DR  HOUSTON</v>
      </c>
      <c r="H1685" s="27" t="str">
        <f t="shared" si="53"/>
        <v>HOUSTON TX 77090</v>
      </c>
    </row>
    <row r="1686" spans="1:8" x14ac:dyDescent="0.2">
      <c r="A1686" s="27">
        <f>COUNTIFS(C:C,C1686,D:D,D1686)</f>
        <v>1</v>
      </c>
      <c r="B1686" s="30">
        <v>202101158087</v>
      </c>
      <c r="C1686" t="s">
        <v>4363</v>
      </c>
      <c r="D1686" t="s">
        <v>4364</v>
      </c>
      <c r="E1686" t="s">
        <v>4915</v>
      </c>
      <c r="F1686" t="s">
        <v>51</v>
      </c>
      <c r="G1686" s="27" t="str">
        <f t="shared" si="52"/>
        <v>5520 CAVALCADE ST  HOUSTON</v>
      </c>
      <c r="H1686" s="27" t="str">
        <f t="shared" si="53"/>
        <v>HOUSTON TX 77021</v>
      </c>
    </row>
    <row r="1687" spans="1:8" x14ac:dyDescent="0.2">
      <c r="A1687" s="27">
        <f>COUNTIFS(C:C,C1687,D:D,D1687)</f>
        <v>1</v>
      </c>
      <c r="B1687" s="30">
        <v>202101158088</v>
      </c>
      <c r="C1687" s="28" t="s">
        <v>1299</v>
      </c>
      <c r="D1687" s="28" t="s">
        <v>1300</v>
      </c>
      <c r="E1687" s="28" t="s">
        <v>5024</v>
      </c>
      <c r="F1687" s="28" t="s">
        <v>71</v>
      </c>
      <c r="G1687" s="27" t="str">
        <f t="shared" si="52"/>
        <v>201 N 13TH AVE 702  EDINBURG</v>
      </c>
      <c r="H1687" s="27" t="str">
        <f t="shared" si="53"/>
        <v>HOUSTON TX 78541</v>
      </c>
    </row>
    <row r="1688" spans="1:8" x14ac:dyDescent="0.2">
      <c r="A1688" s="27">
        <f>COUNTIFS(C:C,C1688,D:D,D1688)</f>
        <v>1</v>
      </c>
      <c r="B1688" s="30">
        <v>202101158089</v>
      </c>
      <c r="C1688" s="28" t="s">
        <v>536</v>
      </c>
      <c r="D1688" s="28" t="s">
        <v>537</v>
      </c>
      <c r="E1688" s="28" t="s">
        <v>4875</v>
      </c>
      <c r="F1688" s="28" t="s">
        <v>71</v>
      </c>
      <c r="G1688" s="27" t="str">
        <f t="shared" si="52"/>
        <v>2528 BENNINGTON ST  HOUSTON</v>
      </c>
      <c r="H1688" s="27" t="str">
        <f t="shared" si="53"/>
        <v>HOUSTON TX 77093</v>
      </c>
    </row>
    <row r="1689" spans="1:8" x14ac:dyDescent="0.2">
      <c r="A1689" s="27">
        <f>COUNTIFS(C:C,C1689,D:D,D1689)</f>
        <v>1</v>
      </c>
      <c r="B1689" s="30">
        <v>202101158101</v>
      </c>
      <c r="C1689" t="s">
        <v>2356</v>
      </c>
      <c r="D1689" t="s">
        <v>2357</v>
      </c>
      <c r="E1689" t="s">
        <v>4907</v>
      </c>
      <c r="F1689" t="s">
        <v>346</v>
      </c>
      <c r="G1689" s="27" t="str">
        <f t="shared" si="52"/>
        <v>2005 OAKS DR  PASADENA</v>
      </c>
      <c r="H1689" s="27" t="str">
        <f t="shared" si="53"/>
        <v>HOUSTON TX 77502</v>
      </c>
    </row>
    <row r="1690" spans="1:8" x14ac:dyDescent="0.2">
      <c r="A1690" s="27">
        <f>COUNTIFS(C:C,C1690,D:D,D1690)</f>
        <v>1</v>
      </c>
      <c r="B1690" s="30">
        <v>202101158102</v>
      </c>
      <c r="C1690" t="s">
        <v>4365</v>
      </c>
      <c r="D1690" t="s">
        <v>4366</v>
      </c>
      <c r="E1690" t="s">
        <v>4948</v>
      </c>
      <c r="F1690" t="s">
        <v>57</v>
      </c>
      <c r="G1690" s="27" t="str">
        <f t="shared" si="52"/>
        <v>6631 MINOLA STREET  HOUSTON</v>
      </c>
      <c r="H1690" s="27" t="str">
        <f t="shared" si="53"/>
        <v>HOUSTON TX 77007</v>
      </c>
    </row>
    <row r="1691" spans="1:8" x14ac:dyDescent="0.2">
      <c r="A1691" s="27">
        <f>COUNTIFS(C:C,C1691,D:D,D1691)</f>
        <v>1</v>
      </c>
      <c r="B1691" s="30">
        <v>202101158103</v>
      </c>
      <c r="C1691" t="s">
        <v>2747</v>
      </c>
      <c r="D1691" t="s">
        <v>2748</v>
      </c>
      <c r="E1691" t="s">
        <v>4867</v>
      </c>
      <c r="F1691" t="s">
        <v>64</v>
      </c>
      <c r="G1691" s="27" t="str">
        <f t="shared" si="52"/>
        <v>2006 BEATTY ST  HOUSTON</v>
      </c>
      <c r="H1691" s="27" t="str">
        <f t="shared" si="53"/>
        <v>HOUSTON TX 77023</v>
      </c>
    </row>
    <row r="1692" spans="1:8" x14ac:dyDescent="0.2">
      <c r="A1692" s="27">
        <f>COUNTIFS(C:C,C1692,D:D,D1692)</f>
        <v>1</v>
      </c>
      <c r="B1692" s="30">
        <v>202101158104</v>
      </c>
      <c r="C1692" t="s">
        <v>4367</v>
      </c>
      <c r="D1692" t="s">
        <v>4368</v>
      </c>
      <c r="E1692" t="s">
        <v>5266</v>
      </c>
      <c r="F1692" t="s">
        <v>64</v>
      </c>
      <c r="G1692" s="27" t="str">
        <f t="shared" si="52"/>
        <v>785 4TH ST  SOUR LAKE</v>
      </c>
      <c r="H1692" s="27" t="str">
        <f t="shared" si="53"/>
        <v>HOUSTON TX 77659</v>
      </c>
    </row>
    <row r="1693" spans="1:8" x14ac:dyDescent="0.2">
      <c r="A1693" s="27">
        <f>COUNTIFS(C:C,C1693,D:D,D1693)</f>
        <v>1</v>
      </c>
      <c r="B1693" s="30">
        <v>202101158107</v>
      </c>
      <c r="C1693" t="s">
        <v>4357</v>
      </c>
      <c r="D1693" t="s">
        <v>4358</v>
      </c>
      <c r="E1693" t="s">
        <v>4907</v>
      </c>
      <c r="F1693" t="s">
        <v>64</v>
      </c>
      <c r="G1693" s="27" t="str">
        <f t="shared" si="52"/>
        <v>2109 MERIE ST  PASADENA</v>
      </c>
      <c r="H1693" s="27" t="str">
        <f t="shared" si="53"/>
        <v>HOUSTON TX 77502</v>
      </c>
    </row>
    <row r="1694" spans="1:8" x14ac:dyDescent="0.2">
      <c r="A1694" s="27">
        <f>COUNTIFS(C:C,C1694,D:D,D1694)</f>
        <v>1</v>
      </c>
      <c r="B1694" s="30">
        <v>202101158109</v>
      </c>
      <c r="C1694" t="s">
        <v>4359</v>
      </c>
      <c r="D1694" t="s">
        <v>4360</v>
      </c>
      <c r="E1694" t="s">
        <v>4943</v>
      </c>
      <c r="F1694" t="s">
        <v>103</v>
      </c>
      <c r="G1694" s="27" t="str">
        <f t="shared" si="52"/>
        <v>2927 DESTIN SHORE DR  HOUSTON</v>
      </c>
      <c r="H1694" s="27" t="str">
        <f t="shared" si="53"/>
        <v>HOUSTON TX 77084</v>
      </c>
    </row>
    <row r="1695" spans="1:8" x14ac:dyDescent="0.2">
      <c r="A1695" s="27">
        <f>COUNTIFS(C:C,C1695,D:D,D1695)</f>
        <v>1</v>
      </c>
      <c r="B1695" s="30">
        <v>202101158123</v>
      </c>
      <c r="C1695" t="s">
        <v>4369</v>
      </c>
      <c r="D1695" t="s">
        <v>4370</v>
      </c>
      <c r="E1695" t="s">
        <v>4931</v>
      </c>
      <c r="F1695" t="s">
        <v>63</v>
      </c>
      <c r="G1695" s="27" t="str">
        <f t="shared" si="52"/>
        <v>14531 ELLA 2902  HOUSTON</v>
      </c>
      <c r="H1695" s="27" t="str">
        <f t="shared" si="53"/>
        <v>HOUSTON TX 77014</v>
      </c>
    </row>
    <row r="1696" spans="1:8" x14ac:dyDescent="0.2">
      <c r="A1696" s="27">
        <f>COUNTIFS(C:C,C1696,D:D,D1696)</f>
        <v>1</v>
      </c>
      <c r="B1696" s="30">
        <v>202101158126</v>
      </c>
      <c r="C1696" t="s">
        <v>3033</v>
      </c>
      <c r="D1696" t="s">
        <v>3034</v>
      </c>
      <c r="E1696" t="s">
        <v>4914</v>
      </c>
      <c r="F1696" t="s">
        <v>78</v>
      </c>
      <c r="G1696" s="27" t="str">
        <f t="shared" si="52"/>
        <v>12850 WHITTINGTON DR  HOUSTON</v>
      </c>
      <c r="H1696" s="27" t="str">
        <f t="shared" si="53"/>
        <v>HOUSTON TX 77077</v>
      </c>
    </row>
    <row r="1697" spans="1:8" x14ac:dyDescent="0.2">
      <c r="A1697" s="27">
        <f>COUNTIFS(C:C,C1697,D:D,D1697)</f>
        <v>1</v>
      </c>
      <c r="B1697" s="30">
        <v>202101158127</v>
      </c>
      <c r="C1697" t="s">
        <v>4371</v>
      </c>
      <c r="D1697" t="s">
        <v>4372</v>
      </c>
      <c r="E1697" t="s">
        <v>4997</v>
      </c>
      <c r="F1697" t="s">
        <v>79</v>
      </c>
      <c r="G1697" s="27" t="str">
        <f t="shared" si="52"/>
        <v>10811 ODYSSEY CT  HOUSTON</v>
      </c>
      <c r="H1697" s="27" t="str">
        <f t="shared" si="53"/>
        <v>HOUSTON TX 77099</v>
      </c>
    </row>
    <row r="1698" spans="1:8" x14ac:dyDescent="0.2">
      <c r="A1698" s="27">
        <f>COUNTIFS(C:C,C1698,D:D,D1698)</f>
        <v>1</v>
      </c>
      <c r="B1698" s="30">
        <v>202101158129</v>
      </c>
      <c r="C1698" s="28" t="s">
        <v>1746</v>
      </c>
      <c r="D1698" s="28" t="s">
        <v>1747</v>
      </c>
      <c r="E1698" s="28" t="s">
        <v>4915</v>
      </c>
      <c r="F1698" s="28" t="s">
        <v>68</v>
      </c>
      <c r="G1698" s="27" t="str">
        <f t="shared" si="52"/>
        <v>4403 HULL ST  HOUSTON</v>
      </c>
      <c r="H1698" s="27" t="str">
        <f t="shared" si="53"/>
        <v>HOUSTON TX 77021</v>
      </c>
    </row>
    <row r="1699" spans="1:8" x14ac:dyDescent="0.2">
      <c r="A1699" s="27">
        <f>COUNTIFS(C:C,C1699,D:D,D1699)</f>
        <v>1</v>
      </c>
      <c r="B1699" s="30">
        <v>202101158130</v>
      </c>
      <c r="C1699" s="28" t="s">
        <v>1635</v>
      </c>
      <c r="D1699" s="28" t="s">
        <v>1636</v>
      </c>
      <c r="E1699" s="28" t="s">
        <v>5061</v>
      </c>
      <c r="F1699" s="28" t="s">
        <v>88</v>
      </c>
      <c r="G1699" s="27" t="str">
        <f t="shared" si="52"/>
        <v>532 COUNTY ROAD 234 2 DAYTON</v>
      </c>
      <c r="H1699" s="27" t="str">
        <f t="shared" si="53"/>
        <v>HOUSTON TX 77535</v>
      </c>
    </row>
    <row r="1700" spans="1:8" x14ac:dyDescent="0.2">
      <c r="A1700" s="27">
        <f>COUNTIFS(C:C,C1700,D:D,D1700)</f>
        <v>1</v>
      </c>
      <c r="B1700" s="30">
        <v>202101158131</v>
      </c>
      <c r="C1700" t="s">
        <v>5159</v>
      </c>
      <c r="D1700" t="s">
        <v>2860</v>
      </c>
      <c r="E1700" t="s">
        <v>5023</v>
      </c>
      <c r="F1700" t="s">
        <v>353</v>
      </c>
      <c r="G1700" s="27" t="str">
        <f t="shared" si="52"/>
        <v>2827 DUNVALE RD  HOUSTON</v>
      </c>
      <c r="H1700" s="27" t="str">
        <f t="shared" si="53"/>
        <v>HOUSTON TX 77063</v>
      </c>
    </row>
    <row r="1701" spans="1:8" x14ac:dyDescent="0.2">
      <c r="A1701" s="27">
        <f>COUNTIFS(C:C,C1701,D:D,D1701)</f>
        <v>1</v>
      </c>
      <c r="B1701" s="30">
        <v>202101158132</v>
      </c>
      <c r="C1701" t="s">
        <v>2476</v>
      </c>
      <c r="D1701" t="s">
        <v>2477</v>
      </c>
      <c r="E1701" t="s">
        <v>4941</v>
      </c>
      <c r="F1701" t="s">
        <v>79</v>
      </c>
      <c r="G1701" s="27" t="str">
        <f t="shared" si="52"/>
        <v>14144 AVERY BROOK LN  CYPRESS</v>
      </c>
      <c r="H1701" s="27" t="str">
        <f t="shared" si="53"/>
        <v>HOUSTON TX 77429</v>
      </c>
    </row>
    <row r="1702" spans="1:8" x14ac:dyDescent="0.2">
      <c r="A1702" s="27">
        <f>COUNTIFS(C:C,C1702,D:D,D1702)</f>
        <v>1</v>
      </c>
      <c r="B1702" s="30">
        <v>202101158135</v>
      </c>
      <c r="C1702" t="s">
        <v>2225</v>
      </c>
      <c r="D1702" t="s">
        <v>2226</v>
      </c>
      <c r="E1702" t="s">
        <v>5115</v>
      </c>
      <c r="F1702" t="s">
        <v>336</v>
      </c>
      <c r="G1702" s="27" t="str">
        <f t="shared" si="52"/>
        <v>15331 E. WESTWOOD CIR CLE MISSOIURI</v>
      </c>
      <c r="H1702" s="27" t="str">
        <f t="shared" si="53"/>
        <v>HOUSTON TX 77071</v>
      </c>
    </row>
    <row r="1703" spans="1:8" x14ac:dyDescent="0.2">
      <c r="A1703" s="27">
        <f>COUNTIFS(C:C,C1703,D:D,D1703)</f>
        <v>1</v>
      </c>
      <c r="B1703" s="30">
        <v>202101158138</v>
      </c>
      <c r="C1703" t="s">
        <v>3029</v>
      </c>
      <c r="D1703" t="s">
        <v>3030</v>
      </c>
      <c r="E1703" t="s">
        <v>4850</v>
      </c>
      <c r="F1703" t="s">
        <v>88</v>
      </c>
      <c r="G1703" s="27" t="str">
        <f t="shared" si="52"/>
        <v>11150 BEAMER RD  HOUSTON</v>
      </c>
      <c r="H1703" s="27" t="str">
        <f t="shared" si="53"/>
        <v>HOUSTON TX 77089</v>
      </c>
    </row>
    <row r="1704" spans="1:8" x14ac:dyDescent="0.2">
      <c r="A1704" s="27">
        <f>COUNTIFS(C:C,C1704,D:D,D1704)</f>
        <v>1</v>
      </c>
      <c r="B1704" s="30">
        <v>202101158139</v>
      </c>
      <c r="C1704" t="s">
        <v>2059</v>
      </c>
      <c r="D1704" t="s">
        <v>2060</v>
      </c>
      <c r="E1704" t="s">
        <v>4915</v>
      </c>
      <c r="F1704" t="s">
        <v>53</v>
      </c>
      <c r="G1704" s="27" t="str">
        <f t="shared" si="52"/>
        <v>3509 SEABROOK  HOUSTON</v>
      </c>
      <c r="H1704" s="27" t="str">
        <f t="shared" si="53"/>
        <v>HOUSTON TX 77021</v>
      </c>
    </row>
    <row r="1705" spans="1:8" x14ac:dyDescent="0.2">
      <c r="A1705" s="27">
        <f>COUNTIFS(C:C,C1705,D:D,D1705)</f>
        <v>1</v>
      </c>
      <c r="B1705" s="30">
        <v>202101158145</v>
      </c>
      <c r="C1705" t="s">
        <v>2480</v>
      </c>
      <c r="D1705" t="s">
        <v>2481</v>
      </c>
      <c r="E1705" t="s">
        <v>4997</v>
      </c>
      <c r="F1705" t="s">
        <v>344</v>
      </c>
      <c r="G1705" s="27" t="str">
        <f t="shared" si="52"/>
        <v>10714 ODYSSEY CT  HOUSTON</v>
      </c>
      <c r="H1705" s="27" t="str">
        <f t="shared" si="53"/>
        <v>HOUSTON TX 77099</v>
      </c>
    </row>
    <row r="1706" spans="1:8" x14ac:dyDescent="0.2">
      <c r="A1706" s="27">
        <f>COUNTIFS(C:C,C1706,D:D,D1706)</f>
        <v>1</v>
      </c>
      <c r="B1706" s="30">
        <v>202101158148</v>
      </c>
      <c r="C1706" t="s">
        <v>4373</v>
      </c>
      <c r="D1706" t="s">
        <v>4374</v>
      </c>
      <c r="E1706" t="s">
        <v>4986</v>
      </c>
      <c r="F1706" t="s">
        <v>343</v>
      </c>
      <c r="G1706" s="27" t="str">
        <f t="shared" ref="G1706:G1769" si="54">D1706&amp;" "&amp;MID(E1706,1,FIND(" TX",E1706)-1)</f>
        <v>613 WILSON RD  HUMBLE</v>
      </c>
      <c r="H1706" s="27" t="str">
        <f t="shared" ref="H1706:H1769" si="55">"HOUSTON "&amp;MID(E1706,FIND("TX",E1706),8)</f>
        <v>HOUSTON TX 77338</v>
      </c>
    </row>
    <row r="1707" spans="1:8" x14ac:dyDescent="0.2">
      <c r="A1707" s="27">
        <f>COUNTIFS(C:C,C1707,D:D,D1707)</f>
        <v>1</v>
      </c>
      <c r="B1707" s="30">
        <v>202101158149</v>
      </c>
      <c r="C1707" t="s">
        <v>3289</v>
      </c>
      <c r="D1707" t="s">
        <v>3290</v>
      </c>
      <c r="E1707" t="s">
        <v>4896</v>
      </c>
      <c r="F1707" t="s">
        <v>53</v>
      </c>
      <c r="G1707" s="27" t="str">
        <f t="shared" si="54"/>
        <v>6425 S GESSNER RD  HOUSTON</v>
      </c>
      <c r="H1707" s="27" t="str">
        <f t="shared" si="55"/>
        <v>HOUSTON TX 77036</v>
      </c>
    </row>
    <row r="1708" spans="1:8" x14ac:dyDescent="0.2">
      <c r="A1708" s="27">
        <f>COUNTIFS(C:C,C1708,D:D,D1708)</f>
        <v>1</v>
      </c>
      <c r="B1708" s="30">
        <v>202101158150</v>
      </c>
      <c r="C1708" t="s">
        <v>2300</v>
      </c>
      <c r="D1708" t="s">
        <v>2301</v>
      </c>
      <c r="E1708" t="s">
        <v>4910</v>
      </c>
      <c r="F1708" t="s">
        <v>53</v>
      </c>
      <c r="G1708" s="27" t="str">
        <f t="shared" si="54"/>
        <v>936 ASHLAND BLVD  CHANNELVIE</v>
      </c>
      <c r="H1708" s="27" t="str">
        <f t="shared" si="55"/>
        <v>HOUSTON TX 77530</v>
      </c>
    </row>
    <row r="1709" spans="1:8" x14ac:dyDescent="0.2">
      <c r="A1709" s="27">
        <f>COUNTIFS(C:C,C1709,D:D,D1709)</f>
        <v>1</v>
      </c>
      <c r="B1709" s="30">
        <v>202101158155</v>
      </c>
      <c r="C1709" s="28" t="s">
        <v>1474</v>
      </c>
      <c r="D1709" s="28" t="s">
        <v>1475</v>
      </c>
      <c r="E1709" s="28" t="s">
        <v>5043</v>
      </c>
      <c r="F1709" s="28" t="s">
        <v>87</v>
      </c>
      <c r="G1709" s="27" t="str">
        <f t="shared" si="54"/>
        <v>5509 SW 9TH  AMARILLO</v>
      </c>
      <c r="H1709" s="27" t="str">
        <f t="shared" si="55"/>
        <v>HOUSTON TX 79106</v>
      </c>
    </row>
    <row r="1710" spans="1:8" x14ac:dyDescent="0.2">
      <c r="A1710" s="27">
        <f>COUNTIFS(C:C,C1710,D:D,D1710)</f>
        <v>1</v>
      </c>
      <c r="B1710" s="30">
        <v>202101158157</v>
      </c>
      <c r="C1710" s="28" t="s">
        <v>1243</v>
      </c>
      <c r="D1710" s="28" t="s">
        <v>1244</v>
      </c>
      <c r="E1710" s="28" t="s">
        <v>5017</v>
      </c>
      <c r="F1710" s="28" t="s">
        <v>88</v>
      </c>
      <c r="G1710" s="27" t="str">
        <f t="shared" si="54"/>
        <v>22715 IMPERIAL VALLEY DR HARRIS CO</v>
      </c>
      <c r="H1710" s="27" t="str">
        <f t="shared" si="55"/>
        <v>HOUSTON TX 77073</v>
      </c>
    </row>
    <row r="1711" spans="1:8" x14ac:dyDescent="0.2">
      <c r="A1711" s="27">
        <f>COUNTIFS(C:C,C1711,D:D,D1711)</f>
        <v>1</v>
      </c>
      <c r="B1711" s="30">
        <v>202101158160</v>
      </c>
      <c r="C1711" t="s">
        <v>2861</v>
      </c>
      <c r="D1711" t="s">
        <v>2862</v>
      </c>
      <c r="E1711" t="s">
        <v>4933</v>
      </c>
      <c r="F1711" t="s">
        <v>53</v>
      </c>
      <c r="G1711" s="27" t="str">
        <f t="shared" si="54"/>
        <v>9635 VILVEN LN  HOUSTON</v>
      </c>
      <c r="H1711" s="27" t="str">
        <f t="shared" si="55"/>
        <v>HOUSTON TX 77080</v>
      </c>
    </row>
    <row r="1712" spans="1:8" x14ac:dyDescent="0.2">
      <c r="A1712" s="27">
        <f>COUNTIFS(C:C,C1712,D:D,D1712)</f>
        <v>1</v>
      </c>
      <c r="B1712" s="30">
        <v>202101158163</v>
      </c>
      <c r="C1712" t="s">
        <v>2121</v>
      </c>
      <c r="D1712" t="s">
        <v>2122</v>
      </c>
      <c r="E1712" t="s">
        <v>4900</v>
      </c>
      <c r="F1712" t="s">
        <v>88</v>
      </c>
      <c r="G1712" s="27" t="str">
        <f t="shared" si="54"/>
        <v>2410 BLUE REEF ROAD  KATY</v>
      </c>
      <c r="H1712" s="27" t="str">
        <f t="shared" si="55"/>
        <v>HOUSTON TX 77449</v>
      </c>
    </row>
    <row r="1713" spans="1:8" x14ac:dyDescent="0.2">
      <c r="A1713" s="27">
        <f>COUNTIFS(C:C,C1713,D:D,D1713)</f>
        <v>1</v>
      </c>
      <c r="B1713" s="30">
        <v>202101158164</v>
      </c>
      <c r="C1713" s="28" t="s">
        <v>1547</v>
      </c>
      <c r="D1713" s="28" t="s">
        <v>1548</v>
      </c>
      <c r="E1713" s="28" t="s">
        <v>4906</v>
      </c>
      <c r="F1713" s="28" t="s">
        <v>88</v>
      </c>
      <c r="G1713" s="27" t="str">
        <f t="shared" si="54"/>
        <v>4415 SHAVER S  PASADENA</v>
      </c>
      <c r="H1713" s="27" t="str">
        <f t="shared" si="55"/>
        <v>HOUSTON TX 77504</v>
      </c>
    </row>
    <row r="1714" spans="1:8" x14ac:dyDescent="0.2">
      <c r="A1714" s="27">
        <f>COUNTIFS(C:C,C1714,D:D,D1714)</f>
        <v>1</v>
      </c>
      <c r="B1714" s="30">
        <v>202101158166</v>
      </c>
      <c r="C1714" t="s">
        <v>2055</v>
      </c>
      <c r="D1714" t="s">
        <v>2056</v>
      </c>
      <c r="E1714" t="s">
        <v>4906</v>
      </c>
      <c r="F1714" t="s">
        <v>87</v>
      </c>
      <c r="G1714" s="27" t="str">
        <f t="shared" si="54"/>
        <v>3101 SPENCER HWY  PASADENA</v>
      </c>
      <c r="H1714" s="27" t="str">
        <f t="shared" si="55"/>
        <v>HOUSTON TX 77504</v>
      </c>
    </row>
    <row r="1715" spans="1:8" x14ac:dyDescent="0.2">
      <c r="A1715" s="27">
        <f>COUNTIFS(C:C,C1715,D:D,D1715)</f>
        <v>1</v>
      </c>
      <c r="B1715" s="30">
        <v>202101158168</v>
      </c>
      <c r="C1715" t="s">
        <v>4377</v>
      </c>
      <c r="D1715" t="s">
        <v>4378</v>
      </c>
      <c r="E1715" t="s">
        <v>5023</v>
      </c>
      <c r="F1715" t="s">
        <v>53</v>
      </c>
      <c r="G1715" s="27" t="str">
        <f t="shared" si="54"/>
        <v>8155 RICHMOND AVE 20 6 HOUSTON</v>
      </c>
      <c r="H1715" s="27" t="str">
        <f t="shared" si="55"/>
        <v>HOUSTON TX 77063</v>
      </c>
    </row>
    <row r="1716" spans="1:8" x14ac:dyDescent="0.2">
      <c r="A1716" s="27">
        <f>COUNTIFS(C:C,C1716,D:D,D1716)</f>
        <v>1</v>
      </c>
      <c r="B1716" s="30">
        <v>202101158169</v>
      </c>
      <c r="C1716" t="s">
        <v>4375</v>
      </c>
      <c r="D1716" t="s">
        <v>4376</v>
      </c>
      <c r="E1716" t="s">
        <v>5079</v>
      </c>
      <c r="F1716" t="s">
        <v>328</v>
      </c>
      <c r="G1716" s="27" t="str">
        <f t="shared" si="54"/>
        <v>700 THICKET LN  HOUSTON</v>
      </c>
      <c r="H1716" s="27" t="str">
        <f t="shared" si="55"/>
        <v>HOUSTON TX 77079</v>
      </c>
    </row>
    <row r="1717" spans="1:8" x14ac:dyDescent="0.2">
      <c r="A1717" s="27">
        <f>COUNTIFS(C:C,C1717,D:D,D1717)</f>
        <v>1</v>
      </c>
      <c r="B1717" s="30">
        <v>202101158174</v>
      </c>
      <c r="C1717" s="28" t="s">
        <v>565</v>
      </c>
      <c r="D1717" s="28" t="s">
        <v>566</v>
      </c>
      <c r="E1717" s="28" t="s">
        <v>4851</v>
      </c>
      <c r="F1717" s="28" t="s">
        <v>99</v>
      </c>
      <c r="G1717" s="27" t="str">
        <f t="shared" si="54"/>
        <v>112 HUMBLE AVE  BAYTOWN</v>
      </c>
      <c r="H1717" s="27" t="str">
        <f t="shared" si="55"/>
        <v>HOUSTON TX 77521</v>
      </c>
    </row>
    <row r="1718" spans="1:8" x14ac:dyDescent="0.2">
      <c r="A1718" s="27">
        <f>COUNTIFS(C:C,C1718,D:D,D1718)</f>
        <v>1</v>
      </c>
      <c r="B1718" s="30">
        <v>202101158175</v>
      </c>
      <c r="C1718" s="28" t="s">
        <v>833</v>
      </c>
      <c r="D1718" s="28" t="s">
        <v>834</v>
      </c>
      <c r="E1718" s="28" t="s">
        <v>4953</v>
      </c>
      <c r="F1718" s="28" t="s">
        <v>99</v>
      </c>
      <c r="G1718" s="27" t="str">
        <f t="shared" si="54"/>
        <v>2102 BROADWAY ST  HOUSTON</v>
      </c>
      <c r="H1718" s="27" t="str">
        <f t="shared" si="55"/>
        <v>HOUSTON TX 77012</v>
      </c>
    </row>
    <row r="1719" spans="1:8" x14ac:dyDescent="0.2">
      <c r="A1719" s="27">
        <f>COUNTIFS(C:C,C1719,D:D,D1719)</f>
        <v>1</v>
      </c>
      <c r="B1719" s="30">
        <v>202101158180</v>
      </c>
      <c r="C1719" t="s">
        <v>4762</v>
      </c>
      <c r="D1719" t="s">
        <v>4379</v>
      </c>
      <c r="E1719" t="s">
        <v>5267</v>
      </c>
      <c r="F1719" t="s">
        <v>381</v>
      </c>
      <c r="G1719" s="27" t="str">
        <f t="shared" si="54"/>
        <v>1790 HUGHES LANDING BLVD STE 4 WOODLANDS</v>
      </c>
      <c r="H1719" s="27" t="str">
        <f t="shared" si="55"/>
        <v>HOUSTON TX 77380</v>
      </c>
    </row>
    <row r="1720" spans="1:8" x14ac:dyDescent="0.2">
      <c r="A1720" s="27">
        <f>COUNTIFS(C:C,C1720,D:D,D1720)</f>
        <v>1</v>
      </c>
      <c r="B1720" s="30">
        <v>202101158181</v>
      </c>
      <c r="C1720" s="28" t="s">
        <v>1663</v>
      </c>
      <c r="D1720" s="28" t="s">
        <v>1664</v>
      </c>
      <c r="E1720" s="28" t="s">
        <v>4852</v>
      </c>
      <c r="F1720" s="28" t="s">
        <v>53</v>
      </c>
      <c r="G1720" s="27" t="str">
        <f t="shared" si="54"/>
        <v>11450 SUBURBAN  HOUSTON</v>
      </c>
      <c r="H1720" s="27" t="str">
        <f t="shared" si="55"/>
        <v>HOUSTON TX 77016</v>
      </c>
    </row>
    <row r="1721" spans="1:8" x14ac:dyDescent="0.2">
      <c r="A1721" s="27">
        <f>COUNTIFS(C:C,C1721,D:D,D1721)</f>
        <v>1</v>
      </c>
      <c r="B1721" s="30">
        <v>202101158183</v>
      </c>
      <c r="C1721" t="s">
        <v>4380</v>
      </c>
      <c r="D1721" t="s">
        <v>4381</v>
      </c>
      <c r="E1721" t="s">
        <v>5268</v>
      </c>
      <c r="F1721" t="s">
        <v>381</v>
      </c>
      <c r="G1721" s="27" t="str">
        <f t="shared" si="54"/>
        <v>6310 FM 2025  CLEVELAND</v>
      </c>
      <c r="H1721" s="27" t="str">
        <f t="shared" si="55"/>
        <v>HOUSTON TX 77328</v>
      </c>
    </row>
    <row r="1722" spans="1:8" x14ac:dyDescent="0.2">
      <c r="A1722" s="27">
        <f>COUNTIFS(C:C,C1722,D:D,D1722)</f>
        <v>1</v>
      </c>
      <c r="B1722" s="30">
        <v>202101158186</v>
      </c>
      <c r="C1722" t="s">
        <v>4382</v>
      </c>
      <c r="D1722" t="s">
        <v>4383</v>
      </c>
      <c r="E1722" t="s">
        <v>5180</v>
      </c>
      <c r="F1722" t="s">
        <v>381</v>
      </c>
      <c r="G1722" s="27" t="str">
        <f t="shared" si="54"/>
        <v>411 MILL CREEK RD  PINEHURST</v>
      </c>
      <c r="H1722" s="27" t="str">
        <f t="shared" si="55"/>
        <v>HOUSTON TX 77362</v>
      </c>
    </row>
    <row r="1723" spans="1:8" x14ac:dyDescent="0.2">
      <c r="A1723" s="27">
        <f>COUNTIFS(C:C,C1723,D:D,D1723)</f>
        <v>1</v>
      </c>
      <c r="B1723" s="30">
        <v>202101158188</v>
      </c>
      <c r="C1723" t="s">
        <v>4384</v>
      </c>
      <c r="D1723" t="s">
        <v>4385</v>
      </c>
      <c r="E1723" t="s">
        <v>4954</v>
      </c>
      <c r="F1723" t="s">
        <v>381</v>
      </c>
      <c r="G1723" s="27" t="str">
        <f t="shared" si="54"/>
        <v>2517 DRY BAND LANE  PEARLAND</v>
      </c>
      <c r="H1723" s="27" t="str">
        <f t="shared" si="55"/>
        <v>HOUSTON TX 77584</v>
      </c>
    </row>
    <row r="1724" spans="1:8" x14ac:dyDescent="0.2">
      <c r="A1724" s="27">
        <f>COUNTIFS(C:C,C1724,D:D,D1724)</f>
        <v>1</v>
      </c>
      <c r="B1724" s="30">
        <v>202101158194</v>
      </c>
      <c r="C1724" t="s">
        <v>2573</v>
      </c>
      <c r="D1724" t="s">
        <v>2574</v>
      </c>
      <c r="E1724" t="s">
        <v>4968</v>
      </c>
      <c r="F1724" t="s">
        <v>86</v>
      </c>
      <c r="G1724" s="27" t="str">
        <f t="shared" si="54"/>
        <v>1112 NANCY  PEARLAND</v>
      </c>
      <c r="H1724" s="27" t="str">
        <f t="shared" si="55"/>
        <v>HOUSTON TX 77581</v>
      </c>
    </row>
    <row r="1725" spans="1:8" x14ac:dyDescent="0.2">
      <c r="A1725" s="27">
        <f>COUNTIFS(C:C,C1725,D:D,D1725)</f>
        <v>1</v>
      </c>
      <c r="B1725" s="30">
        <v>202101158198</v>
      </c>
      <c r="C1725" t="s">
        <v>2442</v>
      </c>
      <c r="D1725" t="s">
        <v>2443</v>
      </c>
      <c r="E1725" t="s">
        <v>4895</v>
      </c>
      <c r="F1725" t="s">
        <v>59</v>
      </c>
      <c r="G1725" s="27" t="str">
        <f t="shared" si="54"/>
        <v>2200 JEFFERSON ST  HOUSTON</v>
      </c>
      <c r="H1725" s="27" t="str">
        <f t="shared" si="55"/>
        <v>HOUSTON TX 77003</v>
      </c>
    </row>
    <row r="1726" spans="1:8" x14ac:dyDescent="0.2">
      <c r="A1726" s="27">
        <f>COUNTIFS(C:C,C1726,D:D,D1726)</f>
        <v>1</v>
      </c>
      <c r="B1726" s="30">
        <v>202101158201</v>
      </c>
      <c r="C1726" t="s">
        <v>2681</v>
      </c>
      <c r="D1726" t="s">
        <v>2682</v>
      </c>
      <c r="E1726" t="s">
        <v>4915</v>
      </c>
      <c r="F1726" t="s">
        <v>78</v>
      </c>
      <c r="G1726" s="27" t="str">
        <f t="shared" si="54"/>
        <v>3560 DIXIE DR  HOUSTON</v>
      </c>
      <c r="H1726" s="27" t="str">
        <f t="shared" si="55"/>
        <v>HOUSTON TX 77021</v>
      </c>
    </row>
    <row r="1727" spans="1:8" x14ac:dyDescent="0.2">
      <c r="A1727" s="27">
        <f>COUNTIFS(C:C,C1727,D:D,D1727)</f>
        <v>1</v>
      </c>
      <c r="B1727" s="30">
        <v>202101158210</v>
      </c>
      <c r="C1727" t="s">
        <v>4386</v>
      </c>
      <c r="D1727" t="s">
        <v>4387</v>
      </c>
      <c r="E1727" t="s">
        <v>4890</v>
      </c>
      <c r="F1727" t="s">
        <v>70</v>
      </c>
      <c r="G1727" s="27" t="str">
        <f t="shared" si="54"/>
        <v>8906 AIRPORT BLVD  HOUSTON</v>
      </c>
      <c r="H1727" s="27" t="str">
        <f t="shared" si="55"/>
        <v>HOUSTON TX 77061</v>
      </c>
    </row>
    <row r="1728" spans="1:8" x14ac:dyDescent="0.2">
      <c r="A1728" s="27">
        <f>COUNTIFS(C:C,C1728,D:D,D1728)</f>
        <v>1</v>
      </c>
      <c r="B1728" s="30">
        <v>202101158213</v>
      </c>
      <c r="C1728" t="s">
        <v>4388</v>
      </c>
      <c r="D1728" t="s">
        <v>4389</v>
      </c>
      <c r="E1728" t="s">
        <v>5066</v>
      </c>
      <c r="F1728" t="s">
        <v>173</v>
      </c>
      <c r="G1728" s="27" t="str">
        <f t="shared" si="54"/>
        <v>1915 HOLLYSWAY  SUGAR LAND</v>
      </c>
      <c r="H1728" s="27" t="str">
        <f t="shared" si="55"/>
        <v>HOUSTON TX 77479</v>
      </c>
    </row>
    <row r="1729" spans="1:8" x14ac:dyDescent="0.2">
      <c r="A1729" s="27">
        <f>COUNTIFS(C:C,C1729,D:D,D1729)</f>
        <v>1</v>
      </c>
      <c r="B1729" s="30">
        <v>202101158216</v>
      </c>
      <c r="C1729" t="s">
        <v>2470</v>
      </c>
      <c r="D1729" t="s">
        <v>2471</v>
      </c>
      <c r="E1729" t="s">
        <v>4889</v>
      </c>
      <c r="F1729" t="s">
        <v>53</v>
      </c>
      <c r="G1729" s="27" t="str">
        <f t="shared" si="54"/>
        <v>2410 QUIVER LN  HOUSTON</v>
      </c>
      <c r="H1729" s="27" t="str">
        <f t="shared" si="55"/>
        <v>HOUSTON TX 77067</v>
      </c>
    </row>
    <row r="1730" spans="1:8" x14ac:dyDescent="0.2">
      <c r="A1730" s="27">
        <f>COUNTIFS(C:C,C1730,D:D,D1730)</f>
        <v>1</v>
      </c>
      <c r="B1730" s="30">
        <v>202101158217</v>
      </c>
      <c r="C1730" t="s">
        <v>2073</v>
      </c>
      <c r="D1730" t="s">
        <v>2074</v>
      </c>
      <c r="E1730" t="s">
        <v>5096</v>
      </c>
      <c r="F1730" t="s">
        <v>91</v>
      </c>
      <c r="G1730" s="27" t="str">
        <f t="shared" si="54"/>
        <v>114 SUSIE CT  ALVIN</v>
      </c>
      <c r="H1730" s="27" t="str">
        <f t="shared" si="55"/>
        <v xml:space="preserve">HOUSTON TX      </v>
      </c>
    </row>
    <row r="1731" spans="1:8" x14ac:dyDescent="0.2">
      <c r="A1731" s="27">
        <f>COUNTIFS(C:C,C1731,D:D,D1731)</f>
        <v>1</v>
      </c>
      <c r="B1731" s="30">
        <v>202101158223</v>
      </c>
      <c r="C1731" s="28" t="s">
        <v>577</v>
      </c>
      <c r="D1731" s="28" t="s">
        <v>578</v>
      </c>
      <c r="E1731" s="28" t="s">
        <v>4877</v>
      </c>
      <c r="F1731" s="28" t="s">
        <v>69</v>
      </c>
      <c r="G1731" s="27" t="str">
        <f t="shared" si="54"/>
        <v>1800 FM 1092 RD  MISSOURI C</v>
      </c>
      <c r="H1731" s="27" t="str">
        <f t="shared" si="55"/>
        <v>HOUSTON TX 77459</v>
      </c>
    </row>
    <row r="1732" spans="1:8" x14ac:dyDescent="0.2">
      <c r="A1732" s="27">
        <f>COUNTIFS(C:C,C1732,D:D,D1732)</f>
        <v>1</v>
      </c>
      <c r="B1732" s="30">
        <v>202101158228</v>
      </c>
      <c r="C1732" t="s">
        <v>1967</v>
      </c>
      <c r="D1732" t="s">
        <v>1968</v>
      </c>
      <c r="E1732" t="s">
        <v>4910</v>
      </c>
      <c r="F1732" t="s">
        <v>53</v>
      </c>
      <c r="G1732" s="27" t="str">
        <f t="shared" si="54"/>
        <v>14803 SHEFFIELD TERRA CE CHANNELVIE</v>
      </c>
      <c r="H1732" s="27" t="str">
        <f t="shared" si="55"/>
        <v>HOUSTON TX 77530</v>
      </c>
    </row>
    <row r="1733" spans="1:8" x14ac:dyDescent="0.2">
      <c r="A1733" s="27">
        <f>COUNTIFS(C:C,C1733,D:D,D1733)</f>
        <v>1</v>
      </c>
      <c r="B1733" s="30">
        <v>202101158230</v>
      </c>
      <c r="C1733" s="28" t="s">
        <v>1388</v>
      </c>
      <c r="D1733" s="28" t="s">
        <v>1389</v>
      </c>
      <c r="E1733" s="28" t="s">
        <v>5032</v>
      </c>
      <c r="F1733" s="28" t="s">
        <v>53</v>
      </c>
      <c r="G1733" s="27" t="str">
        <f t="shared" si="54"/>
        <v>1525 VERMONT  HOUSTON</v>
      </c>
      <c r="H1733" s="27" t="str">
        <f t="shared" si="55"/>
        <v>HOUSTON TX 77006</v>
      </c>
    </row>
    <row r="1734" spans="1:8" x14ac:dyDescent="0.2">
      <c r="A1734" s="27">
        <f>COUNTIFS(C:C,C1734,D:D,D1734)</f>
        <v>1</v>
      </c>
      <c r="B1734" s="30">
        <v>202101158235</v>
      </c>
      <c r="C1734" t="s">
        <v>3248</v>
      </c>
      <c r="D1734" t="s">
        <v>3249</v>
      </c>
      <c r="E1734" t="s">
        <v>4978</v>
      </c>
      <c r="F1734" t="s">
        <v>53</v>
      </c>
      <c r="G1734" s="27" t="str">
        <f t="shared" si="54"/>
        <v>10302 JUNIPER GLEN DR  HOUSTON</v>
      </c>
      <c r="H1734" s="27" t="str">
        <f t="shared" si="55"/>
        <v>HOUSTON TX 77041</v>
      </c>
    </row>
    <row r="1735" spans="1:8" x14ac:dyDescent="0.2">
      <c r="A1735" s="27">
        <f>COUNTIFS(C:C,C1735,D:D,D1735)</f>
        <v>1</v>
      </c>
      <c r="B1735" s="30">
        <v>202101158238</v>
      </c>
      <c r="C1735" s="28" t="s">
        <v>1153</v>
      </c>
      <c r="D1735" s="28" t="s">
        <v>1154</v>
      </c>
      <c r="E1735" s="28" t="s">
        <v>4986</v>
      </c>
      <c r="F1735" s="28" t="s">
        <v>343</v>
      </c>
      <c r="G1735" s="27" t="str">
        <f t="shared" si="54"/>
        <v>20623 KIWI PL  HUMBLE</v>
      </c>
      <c r="H1735" s="27" t="str">
        <f t="shared" si="55"/>
        <v>HOUSTON TX 77338</v>
      </c>
    </row>
    <row r="1736" spans="1:8" x14ac:dyDescent="0.2">
      <c r="A1736" s="27">
        <f>COUNTIFS(C:C,C1736,D:D,D1736)</f>
        <v>1</v>
      </c>
      <c r="B1736" s="30">
        <v>202101158240</v>
      </c>
      <c r="C1736" t="s">
        <v>4390</v>
      </c>
      <c r="D1736" t="s">
        <v>3121</v>
      </c>
      <c r="E1736" t="s">
        <v>4886</v>
      </c>
      <c r="F1736" t="s">
        <v>58</v>
      </c>
      <c r="G1736" s="27" t="str">
        <f t="shared" si="54"/>
        <v>12600 DUNLAP ST  HOUSTON</v>
      </c>
      <c r="H1736" s="27" t="str">
        <f t="shared" si="55"/>
        <v>HOUSTON TX 77035</v>
      </c>
    </row>
    <row r="1737" spans="1:8" x14ac:dyDescent="0.2">
      <c r="A1737" s="27">
        <f>COUNTIFS(C:C,C1737,D:D,D1737)</f>
        <v>1</v>
      </c>
      <c r="B1737" s="30">
        <v>202101158242</v>
      </c>
      <c r="C1737" s="28" t="s">
        <v>1062</v>
      </c>
      <c r="D1737" s="28" t="s">
        <v>1063</v>
      </c>
      <c r="E1737" s="28" t="s">
        <v>4988</v>
      </c>
      <c r="F1737" s="28" t="s">
        <v>78</v>
      </c>
      <c r="G1737" s="27" t="str">
        <f t="shared" si="54"/>
        <v>2603 DAWN STAR DR  MISSOURI C</v>
      </c>
      <c r="H1737" s="27" t="str">
        <f t="shared" si="55"/>
        <v>HOUSTON TX 77489</v>
      </c>
    </row>
    <row r="1738" spans="1:8" x14ac:dyDescent="0.2">
      <c r="A1738" s="27">
        <f>COUNTIFS(C:C,C1738,D:D,D1738)</f>
        <v>1</v>
      </c>
      <c r="B1738" s="30">
        <v>202101158244</v>
      </c>
      <c r="C1738" t="s">
        <v>2406</v>
      </c>
      <c r="D1738" t="s">
        <v>2407</v>
      </c>
      <c r="E1738" t="s">
        <v>4891</v>
      </c>
      <c r="F1738" t="s">
        <v>64</v>
      </c>
      <c r="G1738" s="27" t="str">
        <f t="shared" si="54"/>
        <v>5850 W GULF BANK  HOUSTON</v>
      </c>
      <c r="H1738" s="27" t="str">
        <f t="shared" si="55"/>
        <v>HOUSTON TX 77088</v>
      </c>
    </row>
    <row r="1739" spans="1:8" x14ac:dyDescent="0.2">
      <c r="A1739" s="27">
        <f>COUNTIFS(C:C,C1739,D:D,D1739)</f>
        <v>1</v>
      </c>
      <c r="B1739" s="30">
        <v>202101158246</v>
      </c>
      <c r="C1739" s="28" t="s">
        <v>486</v>
      </c>
      <c r="D1739" s="28" t="s">
        <v>487</v>
      </c>
      <c r="E1739" s="28" t="s">
        <v>4874</v>
      </c>
      <c r="F1739" s="28" t="s">
        <v>169</v>
      </c>
      <c r="G1739" s="27" t="str">
        <f t="shared" si="54"/>
        <v>5209 CHENNAULT ST  HOUSTON</v>
      </c>
      <c r="H1739" s="27" t="str">
        <f t="shared" si="55"/>
        <v>HOUSTON TX 77033</v>
      </c>
    </row>
    <row r="1740" spans="1:8" x14ac:dyDescent="0.2">
      <c r="A1740" s="27">
        <f>COUNTIFS(C:C,C1740,D:D,D1740)</f>
        <v>1</v>
      </c>
      <c r="B1740" s="30">
        <v>202101158249</v>
      </c>
      <c r="C1740" t="s">
        <v>4391</v>
      </c>
      <c r="D1740" t="s">
        <v>4392</v>
      </c>
      <c r="E1740" t="s">
        <v>4878</v>
      </c>
      <c r="F1740" t="s">
        <v>169</v>
      </c>
      <c r="G1740" s="27" t="str">
        <f t="shared" si="54"/>
        <v>5418 TAVENOR  HOUSTON</v>
      </c>
      <c r="H1740" s="27" t="str">
        <f t="shared" si="55"/>
        <v>HOUSTON TX 77048</v>
      </c>
    </row>
    <row r="1741" spans="1:8" x14ac:dyDescent="0.2">
      <c r="A1741" s="27">
        <f>COUNTIFS(C:C,C1741,D:D,D1741)</f>
        <v>1</v>
      </c>
      <c r="B1741" s="30">
        <v>202101158250</v>
      </c>
      <c r="C1741" s="28" t="s">
        <v>1935</v>
      </c>
      <c r="D1741" s="28" t="s">
        <v>1936</v>
      </c>
      <c r="E1741" s="28" t="s">
        <v>4981</v>
      </c>
      <c r="F1741" s="28" t="s">
        <v>64</v>
      </c>
      <c r="G1741" s="27" t="str">
        <f t="shared" si="54"/>
        <v>10600 SOUTHDOWN TRACE TRAIL 180 HOUSTON</v>
      </c>
      <c r="H1741" s="27" t="str">
        <f t="shared" si="55"/>
        <v>HOUSTON TX 77034</v>
      </c>
    </row>
    <row r="1742" spans="1:8" x14ac:dyDescent="0.2">
      <c r="A1742" s="27">
        <f>COUNTIFS(C:C,C1742,D:D,D1742)</f>
        <v>1</v>
      </c>
      <c r="B1742" s="30">
        <v>202101158251</v>
      </c>
      <c r="C1742" t="s">
        <v>4393</v>
      </c>
      <c r="D1742" t="s">
        <v>4394</v>
      </c>
      <c r="E1742" t="s">
        <v>4898</v>
      </c>
      <c r="F1742" t="s">
        <v>64</v>
      </c>
      <c r="G1742" s="27" t="str">
        <f t="shared" si="54"/>
        <v>7909 S SAM HOUSTON P KWY E 815 HOUSTON</v>
      </c>
      <c r="H1742" s="27" t="str">
        <f t="shared" si="55"/>
        <v>HOUSTON TX 77075</v>
      </c>
    </row>
    <row r="1743" spans="1:8" x14ac:dyDescent="0.2">
      <c r="A1743" s="27">
        <f>COUNTIFS(C:C,C1743,D:D,D1743)</f>
        <v>1</v>
      </c>
      <c r="B1743" s="30">
        <v>202101158252</v>
      </c>
      <c r="C1743" s="28" t="s">
        <v>746</v>
      </c>
      <c r="D1743" s="28" t="s">
        <v>747</v>
      </c>
      <c r="E1743" s="28" t="s">
        <v>4881</v>
      </c>
      <c r="F1743" s="28" t="s">
        <v>57</v>
      </c>
      <c r="G1743" s="27" t="str">
        <f t="shared" si="54"/>
        <v>17711 PORT O CALL ST  CROSBY</v>
      </c>
      <c r="H1743" s="27" t="str">
        <f t="shared" si="55"/>
        <v>HOUSTON TX 77532</v>
      </c>
    </row>
    <row r="1744" spans="1:8" x14ac:dyDescent="0.2">
      <c r="A1744" s="27">
        <f>COUNTIFS(C:C,C1744,D:D,D1744)</f>
        <v>1</v>
      </c>
      <c r="B1744" s="30">
        <v>202101158256</v>
      </c>
      <c r="C1744" s="28" t="s">
        <v>488</v>
      </c>
      <c r="D1744" s="28" t="s">
        <v>489</v>
      </c>
      <c r="E1744" s="28" t="s">
        <v>4884</v>
      </c>
      <c r="F1744" s="28" t="s">
        <v>87</v>
      </c>
      <c r="G1744" s="27" t="str">
        <f t="shared" si="54"/>
        <v>24200 FOX HOLLOW  HOCKLEY</v>
      </c>
      <c r="H1744" s="27" t="str">
        <f t="shared" si="55"/>
        <v>HOUSTON TX 77447</v>
      </c>
    </row>
    <row r="1745" spans="1:8" x14ac:dyDescent="0.2">
      <c r="A1745" s="27">
        <f>COUNTIFS(C:C,C1745,D:D,D1745)</f>
        <v>1</v>
      </c>
      <c r="B1745" s="30">
        <v>202101158257</v>
      </c>
      <c r="C1745" t="s">
        <v>4395</v>
      </c>
      <c r="D1745" t="s">
        <v>4396</v>
      </c>
      <c r="E1745" t="s">
        <v>4975</v>
      </c>
      <c r="F1745" t="s">
        <v>96</v>
      </c>
      <c r="G1745" s="27" t="str">
        <f t="shared" si="54"/>
        <v>11810 HAMMOND DR  HOUSTON</v>
      </c>
      <c r="H1745" s="27" t="str">
        <f t="shared" si="55"/>
        <v>HOUSTON TX 77065</v>
      </c>
    </row>
    <row r="1746" spans="1:8" x14ac:dyDescent="0.2">
      <c r="A1746" s="27">
        <f>COUNTIFS(C:C,C1746,D:D,D1746)</f>
        <v>1</v>
      </c>
      <c r="B1746" s="30">
        <v>202101158258</v>
      </c>
      <c r="C1746" t="s">
        <v>3491</v>
      </c>
      <c r="D1746" t="s">
        <v>3492</v>
      </c>
      <c r="E1746" t="s">
        <v>4939</v>
      </c>
      <c r="F1746" t="s">
        <v>79</v>
      </c>
      <c r="G1746" s="27" t="str">
        <f t="shared" si="54"/>
        <v>11035 HERON VILLAGE D R HOUSTON</v>
      </c>
      <c r="H1746" s="27" t="str">
        <f t="shared" si="55"/>
        <v>HOUSTON TX 77064</v>
      </c>
    </row>
    <row r="1747" spans="1:8" x14ac:dyDescent="0.2">
      <c r="A1747" s="27">
        <f>COUNTIFS(C:C,C1747,D:D,D1747)</f>
        <v>1</v>
      </c>
      <c r="B1747" s="30">
        <v>202101158260</v>
      </c>
      <c r="C1747" t="s">
        <v>4397</v>
      </c>
      <c r="D1747" t="s">
        <v>4398</v>
      </c>
      <c r="E1747" t="s">
        <v>4984</v>
      </c>
      <c r="F1747" t="s">
        <v>53</v>
      </c>
      <c r="G1747" s="27" t="str">
        <f t="shared" si="54"/>
        <v>414 CHERRY SPRINGS LN SPRING</v>
      </c>
      <c r="H1747" s="27" t="str">
        <f t="shared" si="55"/>
        <v>HOUSTON TX 77373</v>
      </c>
    </row>
    <row r="1748" spans="1:8" x14ac:dyDescent="0.2">
      <c r="A1748" s="27">
        <f>COUNTIFS(C:C,C1748,D:D,D1748)</f>
        <v>1</v>
      </c>
      <c r="B1748" s="30">
        <v>202101158261</v>
      </c>
      <c r="C1748" s="28" t="s">
        <v>1016</v>
      </c>
      <c r="D1748" s="28" t="s">
        <v>1017</v>
      </c>
      <c r="E1748" s="28" t="s">
        <v>4900</v>
      </c>
      <c r="F1748" s="28" t="s">
        <v>56</v>
      </c>
      <c r="G1748" s="27" t="str">
        <f t="shared" si="54"/>
        <v>5631 COBARK CREEK TR L KATY</v>
      </c>
      <c r="H1748" s="27" t="str">
        <f t="shared" si="55"/>
        <v>HOUSTON TX 77449</v>
      </c>
    </row>
    <row r="1749" spans="1:8" x14ac:dyDescent="0.2">
      <c r="A1749" s="27">
        <f>COUNTIFS(C:C,C1749,D:D,D1749)</f>
        <v>1</v>
      </c>
      <c r="B1749" s="30">
        <v>202101158263</v>
      </c>
      <c r="C1749" t="s">
        <v>2032</v>
      </c>
      <c r="D1749" t="s">
        <v>2033</v>
      </c>
      <c r="E1749" t="s">
        <v>4936</v>
      </c>
      <c r="F1749" t="s">
        <v>71</v>
      </c>
      <c r="G1749" s="27" t="str">
        <f t="shared" si="54"/>
        <v>10793 BRAES BEND DR  HOUSTON</v>
      </c>
      <c r="H1749" s="27" t="str">
        <f t="shared" si="55"/>
        <v>HOUSTON TX 77071</v>
      </c>
    </row>
    <row r="1750" spans="1:8" x14ac:dyDescent="0.2">
      <c r="A1750" s="27">
        <f>COUNTIFS(C:C,C1750,D:D,D1750)</f>
        <v>1</v>
      </c>
      <c r="B1750" s="30">
        <v>202101158264</v>
      </c>
      <c r="C1750" t="s">
        <v>2490</v>
      </c>
      <c r="D1750" t="s">
        <v>2491</v>
      </c>
      <c r="E1750" t="s">
        <v>4967</v>
      </c>
      <c r="F1750" t="s">
        <v>98</v>
      </c>
      <c r="G1750" s="27" t="str">
        <f t="shared" si="54"/>
        <v>15301 NORTHWEST FRWY  HOUSTON</v>
      </c>
      <c r="H1750" s="27" t="str">
        <f t="shared" si="55"/>
        <v>HOUSTON TX 77040</v>
      </c>
    </row>
    <row r="1751" spans="1:8" x14ac:dyDescent="0.2">
      <c r="A1751" s="27">
        <f>COUNTIFS(C:C,C1751,D:D,D1751)</f>
        <v>1</v>
      </c>
      <c r="B1751" s="30">
        <v>202101158265</v>
      </c>
      <c r="C1751" t="s">
        <v>2302</v>
      </c>
      <c r="D1751" t="s">
        <v>2303</v>
      </c>
      <c r="E1751" t="s">
        <v>4938</v>
      </c>
      <c r="F1751" t="s">
        <v>176</v>
      </c>
      <c r="G1751" s="27" t="str">
        <f t="shared" si="54"/>
        <v>639 HIDEN VALLEY DR  HOUSTON</v>
      </c>
      <c r="H1751" s="27" t="str">
        <f t="shared" si="55"/>
        <v>HOUSTON TX 77037</v>
      </c>
    </row>
    <row r="1752" spans="1:8" x14ac:dyDescent="0.2">
      <c r="A1752" s="27">
        <f>COUNTIFS(C:C,C1752,D:D,D1752)</f>
        <v>1</v>
      </c>
      <c r="B1752" s="30">
        <v>202101158266</v>
      </c>
      <c r="C1752" t="s">
        <v>2799</v>
      </c>
      <c r="D1752" t="s">
        <v>2800</v>
      </c>
      <c r="E1752" t="s">
        <v>4875</v>
      </c>
      <c r="F1752" t="s">
        <v>78</v>
      </c>
      <c r="G1752" s="27" t="str">
        <f t="shared" si="54"/>
        <v>7002 ESMMES ST  HOUSTON</v>
      </c>
      <c r="H1752" s="27" t="str">
        <f t="shared" si="55"/>
        <v>HOUSTON TX 77093</v>
      </c>
    </row>
    <row r="1753" spans="1:8" x14ac:dyDescent="0.2">
      <c r="A1753" s="27">
        <f>COUNTIFS(C:C,C1753,D:D,D1753)</f>
        <v>1</v>
      </c>
      <c r="B1753" s="30">
        <v>202101158267</v>
      </c>
      <c r="C1753" t="s">
        <v>2382</v>
      </c>
      <c r="D1753" t="s">
        <v>2383</v>
      </c>
      <c r="E1753" t="s">
        <v>5075</v>
      </c>
      <c r="F1753" t="s">
        <v>79</v>
      </c>
      <c r="G1753" s="27" t="str">
        <f t="shared" si="54"/>
        <v>17502 CHESTNUT TRL  RICHMOND</v>
      </c>
      <c r="H1753" s="27" t="str">
        <f t="shared" si="55"/>
        <v>HOUSTON TX 77407</v>
      </c>
    </row>
    <row r="1754" spans="1:8" x14ac:dyDescent="0.2">
      <c r="A1754" s="27">
        <f>COUNTIFS(C:C,C1754,D:D,D1754)</f>
        <v>1</v>
      </c>
      <c r="B1754" s="30">
        <v>202101158270</v>
      </c>
      <c r="C1754" s="28" t="s">
        <v>1452</v>
      </c>
      <c r="D1754" s="28" t="s">
        <v>1453</v>
      </c>
      <c r="E1754" s="28" t="s">
        <v>4966</v>
      </c>
      <c r="F1754" s="28" t="s">
        <v>90</v>
      </c>
      <c r="G1754" s="27" t="str">
        <f t="shared" si="54"/>
        <v>2605 KINGSDALE DR  DEER PARK</v>
      </c>
      <c r="H1754" s="27" t="str">
        <f t="shared" si="55"/>
        <v>HOUSTON TX 77536</v>
      </c>
    </row>
    <row r="1755" spans="1:8" x14ac:dyDescent="0.2">
      <c r="A1755" s="27">
        <f>COUNTIFS(C:C,C1755,D:D,D1755)</f>
        <v>1</v>
      </c>
      <c r="B1755" s="30">
        <v>202101158271</v>
      </c>
      <c r="C1755" t="s">
        <v>4399</v>
      </c>
      <c r="D1755" t="s">
        <v>4400</v>
      </c>
      <c r="E1755" t="s">
        <v>4951</v>
      </c>
      <c r="F1755" t="s">
        <v>66</v>
      </c>
      <c r="G1755" s="27" t="str">
        <f t="shared" si="54"/>
        <v>15503 FM 529 APT 724  HOUSTON</v>
      </c>
      <c r="H1755" s="27" t="str">
        <f t="shared" si="55"/>
        <v>HOUSTON TX 77095</v>
      </c>
    </row>
    <row r="1756" spans="1:8" x14ac:dyDescent="0.2">
      <c r="A1756" s="27">
        <f>COUNTIFS(C:C,C1756,D:D,D1756)</f>
        <v>1</v>
      </c>
      <c r="B1756" s="30">
        <v>202101158272</v>
      </c>
      <c r="C1756" s="28" t="s">
        <v>1006</v>
      </c>
      <c r="D1756" s="28" t="s">
        <v>1007</v>
      </c>
      <c r="E1756" s="28" t="s">
        <v>4856</v>
      </c>
      <c r="F1756" s="28" t="s">
        <v>76</v>
      </c>
      <c r="G1756" s="27" t="str">
        <f t="shared" si="54"/>
        <v>8306 GULF FREEWAY  HOUSTON</v>
      </c>
      <c r="H1756" s="27" t="str">
        <f t="shared" si="55"/>
        <v>HOUSTON TX 77017</v>
      </c>
    </row>
    <row r="1757" spans="1:8" x14ac:dyDescent="0.2">
      <c r="A1757" s="27">
        <f>COUNTIFS(C:C,C1757,D:D,D1757)</f>
        <v>1</v>
      </c>
      <c r="B1757" s="30">
        <v>202101158274</v>
      </c>
      <c r="C1757" s="28" t="s">
        <v>1740</v>
      </c>
      <c r="D1757" s="28" t="s">
        <v>1741</v>
      </c>
      <c r="E1757" s="28" t="s">
        <v>5016</v>
      </c>
      <c r="F1757" s="28" t="s">
        <v>4795</v>
      </c>
      <c r="G1757" s="27" t="str">
        <f t="shared" si="54"/>
        <v>6200 GREENS RD  HOUSTON</v>
      </c>
      <c r="H1757" s="27" t="str">
        <f t="shared" si="55"/>
        <v>HOUSTON TX 77396</v>
      </c>
    </row>
    <row r="1758" spans="1:8" x14ac:dyDescent="0.2">
      <c r="A1758" s="27">
        <f>COUNTIFS(C:C,C1758,D:D,D1758)</f>
        <v>1</v>
      </c>
      <c r="B1758" s="30">
        <v>202101158276</v>
      </c>
      <c r="C1758" t="s">
        <v>4401</v>
      </c>
      <c r="D1758" t="s">
        <v>4402</v>
      </c>
      <c r="E1758" t="s">
        <v>4918</v>
      </c>
      <c r="F1758" t="s">
        <v>64</v>
      </c>
      <c r="G1758" s="27" t="str">
        <f t="shared" si="54"/>
        <v>3606 CLAVERTON DR  HOUSTON</v>
      </c>
      <c r="H1758" s="27" t="str">
        <f t="shared" si="55"/>
        <v>HOUSTON TX 77066</v>
      </c>
    </row>
    <row r="1759" spans="1:8" x14ac:dyDescent="0.2">
      <c r="A1759" s="27">
        <f>COUNTIFS(C:C,C1759,D:D,D1759)</f>
        <v>1</v>
      </c>
      <c r="B1759" s="30">
        <v>202101158277</v>
      </c>
      <c r="C1759" t="s">
        <v>2795</v>
      </c>
      <c r="D1759" t="s">
        <v>2796</v>
      </c>
      <c r="E1759" t="s">
        <v>4876</v>
      </c>
      <c r="F1759" t="s">
        <v>174</v>
      </c>
      <c r="G1759" s="27" t="str">
        <f t="shared" si="54"/>
        <v>14823 EASINGWOOD  HOUSTON</v>
      </c>
      <c r="H1759" s="27" t="str">
        <f t="shared" si="55"/>
        <v>HOUSTON TX 77015</v>
      </c>
    </row>
    <row r="1760" spans="1:8" x14ac:dyDescent="0.2">
      <c r="A1760" s="27">
        <f>COUNTIFS(C:C,C1760,D:D,D1760)</f>
        <v>1</v>
      </c>
      <c r="B1760" s="30">
        <v>202101158282</v>
      </c>
      <c r="C1760" t="s">
        <v>3013</v>
      </c>
      <c r="D1760" t="s">
        <v>3014</v>
      </c>
      <c r="E1760" t="s">
        <v>4941</v>
      </c>
      <c r="F1760" t="s">
        <v>86</v>
      </c>
      <c r="G1760" s="27" t="str">
        <f t="shared" si="54"/>
        <v>12035 HUFFMEISTER RD  CYPRESS</v>
      </c>
      <c r="H1760" s="27" t="str">
        <f t="shared" si="55"/>
        <v>HOUSTON TX 77429</v>
      </c>
    </row>
    <row r="1761" spans="1:8" x14ac:dyDescent="0.2">
      <c r="A1761" s="27">
        <f>COUNTIFS(C:C,C1761,D:D,D1761)</f>
        <v>1</v>
      </c>
      <c r="B1761" s="30">
        <v>202101158283</v>
      </c>
      <c r="C1761" s="28" t="s">
        <v>1434</v>
      </c>
      <c r="D1761" s="28" t="s">
        <v>1435</v>
      </c>
      <c r="E1761" s="28" t="s">
        <v>5008</v>
      </c>
      <c r="F1761" s="28" t="s">
        <v>87</v>
      </c>
      <c r="G1761" s="27" t="str">
        <f t="shared" si="54"/>
        <v>519 BROAD RIPPLE DR IVE HUFFMAN</v>
      </c>
      <c r="H1761" s="27" t="str">
        <f t="shared" si="55"/>
        <v>HOUSTON TX 77336</v>
      </c>
    </row>
    <row r="1762" spans="1:8" x14ac:dyDescent="0.2">
      <c r="A1762" s="27">
        <f>COUNTIFS(C:C,C1762,D:D,D1762)</f>
        <v>1</v>
      </c>
      <c r="B1762" s="30">
        <v>202101158284</v>
      </c>
      <c r="C1762" s="28" t="s">
        <v>1000</v>
      </c>
      <c r="D1762" s="28" t="s">
        <v>1001</v>
      </c>
      <c r="E1762" s="28" t="s">
        <v>4988</v>
      </c>
      <c r="F1762" s="28" t="s">
        <v>88</v>
      </c>
      <c r="G1762" s="27" t="str">
        <f t="shared" si="54"/>
        <v>906 HEATHCLIFF DR  MISSOURI C</v>
      </c>
      <c r="H1762" s="27" t="str">
        <f t="shared" si="55"/>
        <v>HOUSTON TX 77489</v>
      </c>
    </row>
    <row r="1763" spans="1:8" x14ac:dyDescent="0.2">
      <c r="A1763" s="27">
        <f>COUNTIFS(C:C,C1763,D:D,D1763)</f>
        <v>1</v>
      </c>
      <c r="B1763" s="30">
        <v>202101158286</v>
      </c>
      <c r="C1763" s="28" t="s">
        <v>866</v>
      </c>
      <c r="D1763" s="28" t="s">
        <v>867</v>
      </c>
      <c r="E1763" s="28" t="s">
        <v>4875</v>
      </c>
      <c r="F1763" s="28" t="s">
        <v>53</v>
      </c>
      <c r="G1763" s="27" t="str">
        <f t="shared" si="54"/>
        <v>7601 CURRY RD APT 11  HOUSTON</v>
      </c>
      <c r="H1763" s="27" t="str">
        <f t="shared" si="55"/>
        <v>HOUSTON TX 77093</v>
      </c>
    </row>
    <row r="1764" spans="1:8" x14ac:dyDescent="0.2">
      <c r="A1764" s="27">
        <f>COUNTIFS(C:C,C1764,D:D,D1764)</f>
        <v>1</v>
      </c>
      <c r="B1764" s="30">
        <v>202101158291</v>
      </c>
      <c r="C1764" t="s">
        <v>4403</v>
      </c>
      <c r="D1764" t="s">
        <v>4404</v>
      </c>
      <c r="E1764" t="s">
        <v>4943</v>
      </c>
      <c r="F1764" t="s">
        <v>90</v>
      </c>
      <c r="G1764" s="27" t="str">
        <f t="shared" si="54"/>
        <v>1960 BARKER CYPRESS 1492 HOUSTON</v>
      </c>
      <c r="H1764" s="27" t="str">
        <f t="shared" si="55"/>
        <v>HOUSTON TX 77084</v>
      </c>
    </row>
    <row r="1765" spans="1:8" x14ac:dyDescent="0.2">
      <c r="A1765" s="27">
        <f>COUNTIFS(C:C,C1765,D:D,D1765)</f>
        <v>1</v>
      </c>
      <c r="B1765" s="30">
        <v>202101158292</v>
      </c>
      <c r="C1765" t="s">
        <v>4405</v>
      </c>
      <c r="D1765" t="s">
        <v>4406</v>
      </c>
      <c r="E1765" t="s">
        <v>4852</v>
      </c>
      <c r="F1765" t="s">
        <v>56</v>
      </c>
      <c r="G1765" s="27" t="str">
        <f t="shared" si="54"/>
        <v>7709 BIGWOOD ST  HOUSTON</v>
      </c>
      <c r="H1765" s="27" t="str">
        <f t="shared" si="55"/>
        <v>HOUSTON TX 77016</v>
      </c>
    </row>
    <row r="1766" spans="1:8" x14ac:dyDescent="0.2">
      <c r="A1766" s="27">
        <f>COUNTIFS(C:C,C1766,D:D,D1766)</f>
        <v>1</v>
      </c>
      <c r="B1766" s="30">
        <v>202101158294</v>
      </c>
      <c r="C1766" t="s">
        <v>2898</v>
      </c>
      <c r="D1766" t="s">
        <v>2899</v>
      </c>
      <c r="E1766" t="s">
        <v>4851</v>
      </c>
      <c r="F1766" t="s">
        <v>99</v>
      </c>
      <c r="G1766" s="27" t="str">
        <f t="shared" si="54"/>
        <v>4600 CHAPPARRAL  BAYTOWN</v>
      </c>
      <c r="H1766" s="27" t="str">
        <f t="shared" si="55"/>
        <v>HOUSTON TX 77521</v>
      </c>
    </row>
    <row r="1767" spans="1:8" x14ac:dyDescent="0.2">
      <c r="A1767" s="27">
        <f>COUNTIFS(C:C,C1767,D:D,D1767)</f>
        <v>1</v>
      </c>
      <c r="B1767" s="30">
        <v>202101158296</v>
      </c>
      <c r="C1767" t="s">
        <v>2402</v>
      </c>
      <c r="D1767" t="s">
        <v>2403</v>
      </c>
      <c r="E1767" t="s">
        <v>4879</v>
      </c>
      <c r="F1767" t="s">
        <v>75</v>
      </c>
      <c r="G1767" s="27" t="str">
        <f t="shared" si="54"/>
        <v>787 MILLVILLE DR  HOUSTON</v>
      </c>
      <c r="H1767" s="27" t="str">
        <f t="shared" si="55"/>
        <v>HOUSTON TX 77091</v>
      </c>
    </row>
    <row r="1768" spans="1:8" x14ac:dyDescent="0.2">
      <c r="A1768" s="27">
        <f>COUNTIFS(C:C,C1768,D:D,D1768)</f>
        <v>1</v>
      </c>
      <c r="B1768" s="30">
        <v>202101158297</v>
      </c>
      <c r="C1768" t="s">
        <v>4407</v>
      </c>
      <c r="D1768" t="s">
        <v>4408</v>
      </c>
      <c r="E1768" t="s">
        <v>4952</v>
      </c>
      <c r="F1768" t="s">
        <v>88</v>
      </c>
      <c r="G1768" s="27" t="str">
        <f t="shared" si="54"/>
        <v>407 RICHEY APT 36  PASADENA</v>
      </c>
      <c r="H1768" s="27" t="str">
        <f t="shared" si="55"/>
        <v>HOUSTON TX 77506</v>
      </c>
    </row>
    <row r="1769" spans="1:8" x14ac:dyDescent="0.2">
      <c r="A1769" s="27">
        <f>COUNTIFS(C:C,C1769,D:D,D1769)</f>
        <v>1</v>
      </c>
      <c r="B1769" s="30">
        <v>202101158299</v>
      </c>
      <c r="C1769" t="s">
        <v>4409</v>
      </c>
      <c r="D1769" t="s">
        <v>4410</v>
      </c>
      <c r="E1769" t="s">
        <v>5073</v>
      </c>
      <c r="F1769" t="s">
        <v>64</v>
      </c>
      <c r="G1769" s="27" t="str">
        <f t="shared" si="54"/>
        <v>1102 W 15TH ST  HOUSTON</v>
      </c>
      <c r="H1769" s="27" t="str">
        <f t="shared" si="55"/>
        <v>HOUSTON TX 77008</v>
      </c>
    </row>
    <row r="1770" spans="1:8" x14ac:dyDescent="0.2">
      <c r="A1770" s="27">
        <f>COUNTIFS(C:C,C1770,D:D,D1770)</f>
        <v>1</v>
      </c>
      <c r="B1770" s="30">
        <v>202101158303</v>
      </c>
      <c r="C1770" t="s">
        <v>4411</v>
      </c>
      <c r="D1770" t="s">
        <v>4412</v>
      </c>
      <c r="E1770" t="s">
        <v>4944</v>
      </c>
      <c r="F1770" t="s">
        <v>90</v>
      </c>
      <c r="G1770" s="27" t="str">
        <f t="shared" ref="G1770:G1833" si="56">D1770&amp;" "&amp;MID(E1770,1,FIND(" TX",E1770)-1)</f>
        <v>3210 BEAVER GLEN  KINGWOOD</v>
      </c>
      <c r="H1770" s="27" t="str">
        <f t="shared" ref="H1770:H1833" si="57">"HOUSTON "&amp;MID(E1770,FIND("TX",E1770),8)</f>
        <v>HOUSTON TX 77339</v>
      </c>
    </row>
    <row r="1771" spans="1:8" x14ac:dyDescent="0.2">
      <c r="A1771" s="27">
        <f>COUNTIFS(C:C,C1771,D:D,D1771)</f>
        <v>1</v>
      </c>
      <c r="B1771" s="30">
        <v>202101158304</v>
      </c>
      <c r="C1771" t="s">
        <v>4413</v>
      </c>
      <c r="D1771" t="s">
        <v>4414</v>
      </c>
      <c r="E1771" t="s">
        <v>5265</v>
      </c>
      <c r="F1771" t="s">
        <v>87</v>
      </c>
      <c r="G1771" s="27" t="str">
        <f t="shared" si="56"/>
        <v>13403 GOLDENMERE CT  SUGAR LAND</v>
      </c>
      <c r="H1771" s="27" t="str">
        <f t="shared" si="57"/>
        <v>HOUSTON TX 77498</v>
      </c>
    </row>
    <row r="1772" spans="1:8" x14ac:dyDescent="0.2">
      <c r="A1772" s="27">
        <f>COUNTIFS(C:C,C1772,D:D,D1772)</f>
        <v>1</v>
      </c>
      <c r="B1772" s="30">
        <v>202101158309</v>
      </c>
      <c r="C1772" t="s">
        <v>2016</v>
      </c>
      <c r="D1772" t="s">
        <v>2017</v>
      </c>
      <c r="E1772" t="s">
        <v>5080</v>
      </c>
      <c r="F1772" t="s">
        <v>51</v>
      </c>
      <c r="G1772" s="27" t="str">
        <f t="shared" si="56"/>
        <v>1701 UPLAND DR APT 1 1 HOUSTON</v>
      </c>
      <c r="H1772" s="27" t="str">
        <f t="shared" si="57"/>
        <v>HOUSTON TX 77043</v>
      </c>
    </row>
    <row r="1773" spans="1:8" x14ac:dyDescent="0.2">
      <c r="A1773" s="27">
        <f>COUNTIFS(C:C,C1773,D:D,D1773)</f>
        <v>1</v>
      </c>
      <c r="B1773" s="30">
        <v>202101158312</v>
      </c>
      <c r="C1773" s="28" t="s">
        <v>1193</v>
      </c>
      <c r="D1773" s="28" t="s">
        <v>1194</v>
      </c>
      <c r="E1773" s="28" t="s">
        <v>4910</v>
      </c>
      <c r="F1773" s="28" t="s">
        <v>71</v>
      </c>
      <c r="G1773" s="27" t="str">
        <f t="shared" si="56"/>
        <v>1123 RED BUD ST  CHANNELVIE</v>
      </c>
      <c r="H1773" s="27" t="str">
        <f t="shared" si="57"/>
        <v>HOUSTON TX 77530</v>
      </c>
    </row>
    <row r="1774" spans="1:8" x14ac:dyDescent="0.2">
      <c r="A1774" s="27">
        <f>COUNTIFS(C:C,C1774,D:D,D1774)</f>
        <v>1</v>
      </c>
      <c r="B1774" s="30">
        <v>202101158322</v>
      </c>
      <c r="C1774" t="s">
        <v>2544</v>
      </c>
      <c r="D1774" t="s">
        <v>2545</v>
      </c>
      <c r="E1774" t="s">
        <v>5120</v>
      </c>
      <c r="F1774" t="s">
        <v>160</v>
      </c>
      <c r="G1774" s="27" t="str">
        <f t="shared" si="56"/>
        <v>16441 EL CAMINO REAL  HOUSTON</v>
      </c>
      <c r="H1774" s="27" t="str">
        <f t="shared" si="57"/>
        <v>HOUSTON TX 77062</v>
      </c>
    </row>
    <row r="1775" spans="1:8" x14ac:dyDescent="0.2">
      <c r="A1775" s="27">
        <f>COUNTIFS(C:C,C1775,D:D,D1775)</f>
        <v>1</v>
      </c>
      <c r="B1775" s="30">
        <v>202101158324</v>
      </c>
      <c r="C1775" t="s">
        <v>1994</v>
      </c>
      <c r="D1775" t="s">
        <v>1995</v>
      </c>
      <c r="E1775" t="s">
        <v>4934</v>
      </c>
      <c r="F1775" t="s">
        <v>87</v>
      </c>
      <c r="G1775" s="27" t="str">
        <f t="shared" si="56"/>
        <v>605 N EASTWOOD ST  HOUSTON</v>
      </c>
      <c r="H1775" s="27" t="str">
        <f t="shared" si="57"/>
        <v>HOUSTON TX 77011</v>
      </c>
    </row>
    <row r="1776" spans="1:8" x14ac:dyDescent="0.2">
      <c r="A1776" s="27">
        <f>COUNTIFS(C:C,C1776,D:D,D1776)</f>
        <v>1</v>
      </c>
      <c r="B1776" s="30">
        <v>202101158332</v>
      </c>
      <c r="C1776" s="28" t="s">
        <v>950</v>
      </c>
      <c r="D1776" s="28" t="s">
        <v>951</v>
      </c>
      <c r="E1776" s="28" t="s">
        <v>4988</v>
      </c>
      <c r="F1776" s="28" t="s">
        <v>88</v>
      </c>
      <c r="G1776" s="27" t="str">
        <f t="shared" si="56"/>
        <v>8606 ROCKMONT COURT  MISSOURI C</v>
      </c>
      <c r="H1776" s="27" t="str">
        <f t="shared" si="57"/>
        <v>HOUSTON TX 77489</v>
      </c>
    </row>
    <row r="1777" spans="1:8" x14ac:dyDescent="0.2">
      <c r="A1777" s="27">
        <f>COUNTIFS(C:C,C1777,D:D,D1777)</f>
        <v>1</v>
      </c>
      <c r="B1777" s="30">
        <v>202101158334</v>
      </c>
      <c r="C1777" t="s">
        <v>4415</v>
      </c>
      <c r="D1777" t="s">
        <v>4416</v>
      </c>
      <c r="E1777" t="s">
        <v>5032</v>
      </c>
      <c r="F1777" t="s">
        <v>88</v>
      </c>
      <c r="G1777" s="27" t="str">
        <f t="shared" si="56"/>
        <v>108 AVONDALE ST  HOUSTON</v>
      </c>
      <c r="H1777" s="27" t="str">
        <f t="shared" si="57"/>
        <v>HOUSTON TX 77006</v>
      </c>
    </row>
    <row r="1778" spans="1:8" x14ac:dyDescent="0.2">
      <c r="A1778" s="27">
        <f>COUNTIFS(C:C,C1778,D:D,D1778)</f>
        <v>1</v>
      </c>
      <c r="B1778" s="30">
        <v>202101158335</v>
      </c>
      <c r="C1778" t="s">
        <v>3306</v>
      </c>
      <c r="D1778" t="s">
        <v>3307</v>
      </c>
      <c r="E1778" t="s">
        <v>4967</v>
      </c>
      <c r="F1778" t="s">
        <v>73</v>
      </c>
      <c r="G1778" s="27" t="str">
        <f t="shared" si="56"/>
        <v>9519 EBLEN  HOUSTON</v>
      </c>
      <c r="H1778" s="27" t="str">
        <f t="shared" si="57"/>
        <v>HOUSTON TX 77040</v>
      </c>
    </row>
    <row r="1779" spans="1:8" x14ac:dyDescent="0.2">
      <c r="A1779" s="27">
        <f>COUNTIFS(C:C,C1779,D:D,D1779)</f>
        <v>1</v>
      </c>
      <c r="B1779" s="30">
        <v>202101158342</v>
      </c>
      <c r="C1779" s="28" t="s">
        <v>880</v>
      </c>
      <c r="D1779" s="28" t="s">
        <v>881</v>
      </c>
      <c r="E1779" s="28" t="s">
        <v>4973</v>
      </c>
      <c r="F1779" s="28" t="s">
        <v>90</v>
      </c>
      <c r="G1779" s="27" t="str">
        <f t="shared" si="56"/>
        <v>7047 BISSONNET ST  HOUSTON</v>
      </c>
      <c r="H1779" s="27" t="str">
        <f t="shared" si="57"/>
        <v>HOUSTON TX 77074</v>
      </c>
    </row>
    <row r="1780" spans="1:8" x14ac:dyDescent="0.2">
      <c r="A1780" s="27">
        <f>COUNTIFS(C:C,C1780,D:D,D1780)</f>
        <v>1</v>
      </c>
      <c r="B1780" s="30">
        <v>202101158348</v>
      </c>
      <c r="C1780" s="28" t="s">
        <v>464</v>
      </c>
      <c r="D1780" s="28" t="s">
        <v>465</v>
      </c>
      <c r="E1780" s="28" t="s">
        <v>4865</v>
      </c>
      <c r="F1780" s="28" t="s">
        <v>53</v>
      </c>
      <c r="G1780" s="27" t="str">
        <f t="shared" si="56"/>
        <v>10638 BAIMBRIDGE  HOUSTON</v>
      </c>
      <c r="H1780" s="27" t="str">
        <f t="shared" si="57"/>
        <v xml:space="preserve">HOUSTON TX      </v>
      </c>
    </row>
    <row r="1781" spans="1:8" x14ac:dyDescent="0.2">
      <c r="A1781" s="27">
        <f>COUNTIFS(C:C,C1781,D:D,D1781)</f>
        <v>1</v>
      </c>
      <c r="B1781" s="30">
        <v>202101158352</v>
      </c>
      <c r="C1781" s="28" t="s">
        <v>912</v>
      </c>
      <c r="D1781" s="28" t="s">
        <v>913</v>
      </c>
      <c r="E1781" s="28" t="s">
        <v>4952</v>
      </c>
      <c r="F1781" s="28" t="s">
        <v>87</v>
      </c>
      <c r="G1781" s="27" t="str">
        <f t="shared" si="56"/>
        <v>2001 JENKINS RD  PASADENA</v>
      </c>
      <c r="H1781" s="27" t="str">
        <f t="shared" si="57"/>
        <v>HOUSTON TX 77506</v>
      </c>
    </row>
    <row r="1782" spans="1:8" x14ac:dyDescent="0.2">
      <c r="A1782" s="27">
        <f>COUNTIFS(C:C,C1782,D:D,D1782)</f>
        <v>1</v>
      </c>
      <c r="B1782" s="30">
        <v>202101158355</v>
      </c>
      <c r="C1782" s="28" t="s">
        <v>5082</v>
      </c>
      <c r="D1782" s="28" t="s">
        <v>5083</v>
      </c>
      <c r="E1782" s="28" t="s">
        <v>4886</v>
      </c>
      <c r="F1782" s="28" t="s">
        <v>61</v>
      </c>
      <c r="G1782" s="27" t="str">
        <f t="shared" si="56"/>
        <v>6300 W BELLFORT APT 593 HOUSTON</v>
      </c>
      <c r="H1782" s="27" t="str">
        <f t="shared" si="57"/>
        <v>HOUSTON TX 77035</v>
      </c>
    </row>
    <row r="1783" spans="1:8" x14ac:dyDescent="0.2">
      <c r="A1783" s="27">
        <f>COUNTIFS(C:C,C1783,D:D,D1783)</f>
        <v>1</v>
      </c>
      <c r="B1783" s="30">
        <v>202101158369</v>
      </c>
      <c r="C1783" s="28" t="s">
        <v>852</v>
      </c>
      <c r="D1783" s="28" t="s">
        <v>853</v>
      </c>
      <c r="E1783" s="28" t="s">
        <v>4862</v>
      </c>
      <c r="F1783" s="28" t="s">
        <v>68</v>
      </c>
      <c r="G1783" s="27" t="str">
        <f t="shared" si="56"/>
        <v>990 CYPRESS STATION DRIVE HOUSTON</v>
      </c>
      <c r="H1783" s="27" t="str">
        <f t="shared" si="57"/>
        <v>HOUSTON TX 77090</v>
      </c>
    </row>
    <row r="1784" spans="1:8" x14ac:dyDescent="0.2">
      <c r="A1784" s="27">
        <f>COUNTIFS(C:C,C1784,D:D,D1784)</f>
        <v>1</v>
      </c>
      <c r="B1784" s="30">
        <v>202101158370</v>
      </c>
      <c r="C1784" t="s">
        <v>4417</v>
      </c>
      <c r="D1784" t="s">
        <v>4418</v>
      </c>
      <c r="E1784" t="s">
        <v>4878</v>
      </c>
      <c r="F1784" t="s">
        <v>67</v>
      </c>
      <c r="G1784" s="27" t="str">
        <f t="shared" si="56"/>
        <v>5901 SELINSKY RD 208  HOUSTON</v>
      </c>
      <c r="H1784" s="27" t="str">
        <f t="shared" si="57"/>
        <v>HOUSTON TX 77048</v>
      </c>
    </row>
    <row r="1785" spans="1:8" x14ac:dyDescent="0.2">
      <c r="A1785" s="27">
        <f>COUNTIFS(C:C,C1785,D:D,D1785)</f>
        <v>1</v>
      </c>
      <c r="B1785" s="30">
        <v>202101158372</v>
      </c>
      <c r="C1785" t="s">
        <v>2659</v>
      </c>
      <c r="D1785" t="s">
        <v>2660</v>
      </c>
      <c r="E1785" t="s">
        <v>4852</v>
      </c>
      <c r="F1785" t="s">
        <v>56</v>
      </c>
      <c r="G1785" s="27" t="str">
        <f t="shared" si="56"/>
        <v>7810 LAVENDER ST  HOUSTON</v>
      </c>
      <c r="H1785" s="27" t="str">
        <f t="shared" si="57"/>
        <v>HOUSTON TX 77016</v>
      </c>
    </row>
    <row r="1786" spans="1:8" x14ac:dyDescent="0.2">
      <c r="A1786" s="27">
        <f>COUNTIFS(C:C,C1786,D:D,D1786)</f>
        <v>1</v>
      </c>
      <c r="B1786" s="30">
        <v>202101158373</v>
      </c>
      <c r="C1786" s="28" t="s">
        <v>654</v>
      </c>
      <c r="D1786" s="28" t="s">
        <v>655</v>
      </c>
      <c r="E1786" s="28" t="s">
        <v>4853</v>
      </c>
      <c r="F1786" s="28" t="s">
        <v>58</v>
      </c>
      <c r="G1786" s="27" t="str">
        <f t="shared" si="56"/>
        <v>13834 ALDINE WESTFIEL D HOUSTON</v>
      </c>
      <c r="H1786" s="27" t="str">
        <f t="shared" si="57"/>
        <v>HOUSTON TX 77039</v>
      </c>
    </row>
    <row r="1787" spans="1:8" x14ac:dyDescent="0.2">
      <c r="A1787" s="27">
        <f>COUNTIFS(C:C,C1787,D:D,D1787)</f>
        <v>1</v>
      </c>
      <c r="B1787" s="30">
        <v>202101158375</v>
      </c>
      <c r="C1787" t="s">
        <v>2894</v>
      </c>
      <c r="D1787" t="s">
        <v>2895</v>
      </c>
      <c r="E1787" t="s">
        <v>4891</v>
      </c>
      <c r="F1787" t="s">
        <v>53</v>
      </c>
      <c r="G1787" s="27" t="str">
        <f t="shared" si="56"/>
        <v>7050 INWOOD PARK DR  HOUSTON</v>
      </c>
      <c r="H1787" s="27" t="str">
        <f t="shared" si="57"/>
        <v>HOUSTON TX 77088</v>
      </c>
    </row>
    <row r="1788" spans="1:8" x14ac:dyDescent="0.2">
      <c r="A1788" s="27">
        <f>COUNTIFS(C:C,C1788,D:D,D1788)</f>
        <v>1</v>
      </c>
      <c r="B1788" s="30">
        <v>202101158383</v>
      </c>
      <c r="C1788" t="s">
        <v>3104</v>
      </c>
      <c r="D1788" t="s">
        <v>3105</v>
      </c>
      <c r="E1788" t="s">
        <v>4997</v>
      </c>
      <c r="F1788" t="s">
        <v>335</v>
      </c>
      <c r="G1788" s="27" t="str">
        <f t="shared" si="56"/>
        <v>10023 LEAWOOD BLVD  HOUSTON</v>
      </c>
      <c r="H1788" s="27" t="str">
        <f t="shared" si="57"/>
        <v>HOUSTON TX 77099</v>
      </c>
    </row>
    <row r="1789" spans="1:8" x14ac:dyDescent="0.2">
      <c r="A1789" s="27">
        <f>COUNTIFS(C:C,C1789,D:D,D1789)</f>
        <v>1</v>
      </c>
      <c r="B1789" s="30">
        <v>202101158391</v>
      </c>
      <c r="C1789" t="s">
        <v>2099</v>
      </c>
      <c r="D1789" t="s">
        <v>2100</v>
      </c>
      <c r="E1789" t="s">
        <v>4937</v>
      </c>
      <c r="F1789" t="s">
        <v>88</v>
      </c>
      <c r="G1789" s="27" t="str">
        <f t="shared" si="56"/>
        <v>7421 SOUTHWAY  HOUSTON</v>
      </c>
      <c r="H1789" s="27" t="str">
        <f t="shared" si="57"/>
        <v>HOUSTON TX 77087</v>
      </c>
    </row>
    <row r="1790" spans="1:8" x14ac:dyDescent="0.2">
      <c r="A1790" s="27">
        <f>COUNTIFS(C:C,C1790,D:D,D1790)</f>
        <v>1</v>
      </c>
      <c r="B1790" s="30">
        <v>202101158393</v>
      </c>
      <c r="C1790" s="28" t="s">
        <v>1217</v>
      </c>
      <c r="D1790" s="28" t="s">
        <v>1218</v>
      </c>
      <c r="E1790" s="28" t="s">
        <v>4987</v>
      </c>
      <c r="F1790" s="28" t="s">
        <v>88</v>
      </c>
      <c r="G1790" s="27" t="str">
        <f t="shared" si="56"/>
        <v>2201 WIRT RD  HOUSTON</v>
      </c>
      <c r="H1790" s="27" t="str">
        <f t="shared" si="57"/>
        <v>HOUSTON TX 77055</v>
      </c>
    </row>
    <row r="1791" spans="1:8" x14ac:dyDescent="0.2">
      <c r="A1791" s="27">
        <f>COUNTIFS(C:C,C1791,D:D,D1791)</f>
        <v>1</v>
      </c>
      <c r="B1791" s="30">
        <v>202101158394</v>
      </c>
      <c r="C1791" s="28" t="s">
        <v>1705</v>
      </c>
      <c r="D1791" s="28" t="s">
        <v>1706</v>
      </c>
      <c r="E1791" s="28" t="s">
        <v>4952</v>
      </c>
      <c r="F1791" s="28" t="s">
        <v>53</v>
      </c>
      <c r="G1791" s="27" t="str">
        <f t="shared" si="56"/>
        <v>1001 W HART AVE  PASADENA</v>
      </c>
      <c r="H1791" s="27" t="str">
        <f t="shared" si="57"/>
        <v>HOUSTON TX 77506</v>
      </c>
    </row>
    <row r="1792" spans="1:8" x14ac:dyDescent="0.2">
      <c r="A1792" s="27">
        <f>COUNTIFS(C:C,C1792,D:D,D1792)</f>
        <v>1</v>
      </c>
      <c r="B1792" s="30">
        <v>202101158395</v>
      </c>
      <c r="C1792" t="s">
        <v>4419</v>
      </c>
      <c r="D1792" t="s">
        <v>7605</v>
      </c>
      <c r="E1792" t="s">
        <v>4978</v>
      </c>
      <c r="F1792" t="s">
        <v>57</v>
      </c>
      <c r="G1792" s="27" t="str">
        <f t="shared" si="56"/>
        <v>5626 E TOWNERGL HOUSTON</v>
      </c>
      <c r="H1792" s="27" t="str">
        <f t="shared" si="57"/>
        <v>HOUSTON TX 77041</v>
      </c>
    </row>
    <row r="1793" spans="1:8" x14ac:dyDescent="0.2">
      <c r="A1793" s="27">
        <f>COUNTIFS(C:C,C1793,D:D,D1793)</f>
        <v>1</v>
      </c>
      <c r="B1793" s="30">
        <v>202101158400</v>
      </c>
      <c r="C1793" s="28" t="s">
        <v>819</v>
      </c>
      <c r="D1793" s="28" t="s">
        <v>820</v>
      </c>
      <c r="E1793" s="28" t="s">
        <v>4964</v>
      </c>
      <c r="F1793" s="28" t="s">
        <v>99</v>
      </c>
      <c r="G1793" s="27" t="str">
        <f t="shared" si="56"/>
        <v>2518 2ND STREET  GALENA PAR</v>
      </c>
      <c r="H1793" s="27" t="str">
        <f t="shared" si="57"/>
        <v>HOUSTON TX 77547</v>
      </c>
    </row>
    <row r="1794" spans="1:8" x14ac:dyDescent="0.2">
      <c r="A1794" s="27">
        <f>COUNTIFS(C:C,C1794,D:D,D1794)</f>
        <v>1</v>
      </c>
      <c r="B1794" s="30">
        <v>202101158401</v>
      </c>
      <c r="C1794" s="28" t="s">
        <v>1231</v>
      </c>
      <c r="D1794" s="28" t="s">
        <v>1232</v>
      </c>
      <c r="E1794" s="28" t="s">
        <v>4865</v>
      </c>
      <c r="F1794" s="28" t="s">
        <v>160</v>
      </c>
      <c r="G1794" s="27" t="str">
        <f t="shared" si="56"/>
        <v>14580 CROSBY FREEWAY  HOUSTON</v>
      </c>
      <c r="H1794" s="27" t="str">
        <f t="shared" si="57"/>
        <v xml:space="preserve">HOUSTON TX      </v>
      </c>
    </row>
    <row r="1795" spans="1:8" x14ac:dyDescent="0.2">
      <c r="A1795" s="27">
        <f>COUNTIFS(C:C,C1795,D:D,D1795)</f>
        <v>1</v>
      </c>
      <c r="B1795" s="30">
        <v>202101158411</v>
      </c>
      <c r="C1795" t="s">
        <v>4420</v>
      </c>
      <c r="D1795" t="s">
        <v>4421</v>
      </c>
      <c r="E1795" t="s">
        <v>4999</v>
      </c>
      <c r="F1795" t="s">
        <v>96</v>
      </c>
      <c r="G1795" s="27" t="str">
        <f t="shared" si="56"/>
        <v>6230 PEBBLE CANYON C T KATY</v>
      </c>
      <c r="H1795" s="27" t="str">
        <f t="shared" si="57"/>
        <v>HOUSTON TX 77450</v>
      </c>
    </row>
    <row r="1796" spans="1:8" x14ac:dyDescent="0.2">
      <c r="A1796" s="27">
        <f>COUNTIFS(C:C,C1796,D:D,D1796)</f>
        <v>1</v>
      </c>
      <c r="B1796" s="30">
        <v>202101158413</v>
      </c>
      <c r="C1796" t="s">
        <v>3077</v>
      </c>
      <c r="D1796" t="s">
        <v>3078</v>
      </c>
      <c r="E1796" t="s">
        <v>4994</v>
      </c>
      <c r="F1796" t="s">
        <v>53</v>
      </c>
      <c r="G1796" s="27" t="str">
        <f t="shared" si="56"/>
        <v>3500 LOUETTA RD  SPRING</v>
      </c>
      <c r="H1796" s="27" t="str">
        <f t="shared" si="57"/>
        <v>HOUSTON TX 77388</v>
      </c>
    </row>
    <row r="1797" spans="1:8" x14ac:dyDescent="0.2">
      <c r="A1797" s="27">
        <f>COUNTIFS(C:C,C1797,D:D,D1797)</f>
        <v>1</v>
      </c>
      <c r="B1797" s="30">
        <v>202101158416</v>
      </c>
      <c r="C1797" s="28" t="s">
        <v>1111</v>
      </c>
      <c r="D1797" s="28" t="s">
        <v>1112</v>
      </c>
      <c r="E1797" s="28" t="s">
        <v>4879</v>
      </c>
      <c r="F1797" s="28" t="s">
        <v>88</v>
      </c>
      <c r="G1797" s="27" t="str">
        <f t="shared" si="56"/>
        <v>790 W LITTLE YORK  HOUSTON</v>
      </c>
      <c r="H1797" s="27" t="str">
        <f t="shared" si="57"/>
        <v>HOUSTON TX 77091</v>
      </c>
    </row>
    <row r="1798" spans="1:8" x14ac:dyDescent="0.2">
      <c r="A1798" s="27">
        <f>COUNTIFS(C:C,C1798,D:D,D1798)</f>
        <v>1</v>
      </c>
      <c r="B1798" s="30">
        <v>202101158420</v>
      </c>
      <c r="C1798" t="s">
        <v>2961</v>
      </c>
      <c r="D1798" t="s">
        <v>2962</v>
      </c>
      <c r="E1798" t="s">
        <v>4931</v>
      </c>
      <c r="F1798" t="s">
        <v>56</v>
      </c>
      <c r="G1798" s="27" t="str">
        <f t="shared" si="56"/>
        <v>14335 ELLA BLVD  HOUSTON</v>
      </c>
      <c r="H1798" s="27" t="str">
        <f t="shared" si="57"/>
        <v>HOUSTON TX 77014</v>
      </c>
    </row>
    <row r="1799" spans="1:8" x14ac:dyDescent="0.2">
      <c r="A1799" s="27">
        <f>COUNTIFS(C:C,C1799,D:D,D1799)</f>
        <v>1</v>
      </c>
      <c r="B1799" s="30">
        <v>202101158422</v>
      </c>
      <c r="C1799" t="s">
        <v>2450</v>
      </c>
      <c r="D1799" t="s">
        <v>2451</v>
      </c>
      <c r="E1799" t="s">
        <v>4877</v>
      </c>
      <c r="F1799" t="s">
        <v>67</v>
      </c>
      <c r="G1799" s="27" t="str">
        <f t="shared" si="56"/>
        <v>2204 HILTON HEAD  MISSOURI C</v>
      </c>
      <c r="H1799" s="27" t="str">
        <f t="shared" si="57"/>
        <v>HOUSTON TX 77459</v>
      </c>
    </row>
    <row r="1800" spans="1:8" x14ac:dyDescent="0.2">
      <c r="A1800" s="27">
        <f>COUNTIFS(C:C,C1800,D:D,D1800)</f>
        <v>1</v>
      </c>
      <c r="B1800" s="30">
        <v>202101158429</v>
      </c>
      <c r="C1800" s="28" t="s">
        <v>630</v>
      </c>
      <c r="D1800" s="28" t="s">
        <v>631</v>
      </c>
      <c r="E1800" s="28" t="s">
        <v>4850</v>
      </c>
      <c r="F1800" s="28" t="s">
        <v>90</v>
      </c>
      <c r="G1800" s="27" t="str">
        <f t="shared" si="56"/>
        <v>9443 WINDY SPRING LN  HOUSTON</v>
      </c>
      <c r="H1800" s="27" t="str">
        <f t="shared" si="57"/>
        <v>HOUSTON TX 77089</v>
      </c>
    </row>
    <row r="1801" spans="1:8" x14ac:dyDescent="0.2">
      <c r="A1801" s="27">
        <f>COUNTIFS(C:C,C1801,D:D,D1801)</f>
        <v>1</v>
      </c>
      <c r="B1801" s="30">
        <v>202101158432</v>
      </c>
      <c r="C1801" s="28" t="s">
        <v>1428</v>
      </c>
      <c r="D1801" s="28" t="s">
        <v>1429</v>
      </c>
      <c r="E1801" s="28" t="s">
        <v>4973</v>
      </c>
      <c r="F1801" s="28" t="s">
        <v>71</v>
      </c>
      <c r="G1801" s="27" t="str">
        <f t="shared" si="56"/>
        <v>6143 BEECHNUT ST  HOUSTON</v>
      </c>
      <c r="H1801" s="27" t="str">
        <f t="shared" si="57"/>
        <v>HOUSTON TX 77074</v>
      </c>
    </row>
    <row r="1802" spans="1:8" x14ac:dyDescent="0.2">
      <c r="A1802" s="27">
        <f>COUNTIFS(C:C,C1802,D:D,D1802)</f>
        <v>1</v>
      </c>
      <c r="B1802" s="30">
        <v>202101158436</v>
      </c>
      <c r="C1802" t="s">
        <v>4422</v>
      </c>
      <c r="D1802" t="s">
        <v>4423</v>
      </c>
      <c r="E1802" t="s">
        <v>4952</v>
      </c>
      <c r="F1802" t="s">
        <v>53</v>
      </c>
      <c r="G1802" s="27" t="str">
        <f t="shared" si="56"/>
        <v>1705 JENKINS RD 22  PASADENA</v>
      </c>
      <c r="H1802" s="27" t="str">
        <f t="shared" si="57"/>
        <v>HOUSTON TX 77506</v>
      </c>
    </row>
    <row r="1803" spans="1:8" x14ac:dyDescent="0.2">
      <c r="A1803" s="27">
        <f>COUNTIFS(C:C,C1803,D:D,D1803)</f>
        <v>1</v>
      </c>
      <c r="B1803" s="30">
        <v>202101158438</v>
      </c>
      <c r="C1803" t="s">
        <v>2803</v>
      </c>
      <c r="D1803" t="s">
        <v>2804</v>
      </c>
      <c r="E1803" t="s">
        <v>5019</v>
      </c>
      <c r="F1803" t="s">
        <v>88</v>
      </c>
      <c r="G1803" s="27" t="str">
        <f t="shared" si="56"/>
        <v>981 ASHLAND BLVD  HOUSTON</v>
      </c>
      <c r="H1803" s="27" t="str">
        <f t="shared" si="57"/>
        <v>HOUSTON TX 77530</v>
      </c>
    </row>
    <row r="1804" spans="1:8" x14ac:dyDescent="0.2">
      <c r="A1804" s="27">
        <f>COUNTIFS(C:C,C1804,D:D,D1804)</f>
        <v>1</v>
      </c>
      <c r="B1804" s="30">
        <v>202101158440</v>
      </c>
      <c r="C1804" t="s">
        <v>2557</v>
      </c>
      <c r="D1804" t="s">
        <v>2558</v>
      </c>
      <c r="E1804" t="s">
        <v>4864</v>
      </c>
      <c r="F1804" t="s">
        <v>90</v>
      </c>
      <c r="G1804" s="27" t="str">
        <f t="shared" si="56"/>
        <v>2315 CHEW ST  HOUSTON</v>
      </c>
      <c r="H1804" s="27" t="str">
        <f t="shared" si="57"/>
        <v>HOUSTON TX 77020</v>
      </c>
    </row>
    <row r="1805" spans="1:8" x14ac:dyDescent="0.2">
      <c r="A1805" s="27">
        <f>COUNTIFS(C:C,C1805,D:D,D1805)</f>
        <v>1</v>
      </c>
      <c r="B1805" s="30">
        <v>202101158441</v>
      </c>
      <c r="C1805" s="28" t="s">
        <v>1480</v>
      </c>
      <c r="D1805" s="28" t="s">
        <v>1481</v>
      </c>
      <c r="E1805" s="28" t="s">
        <v>4901</v>
      </c>
      <c r="F1805" s="28" t="s">
        <v>88</v>
      </c>
      <c r="G1805" s="27" t="str">
        <f t="shared" si="56"/>
        <v>11135 WILLWOOD DR  HOUSTON</v>
      </c>
      <c r="H1805" s="27" t="str">
        <f t="shared" si="57"/>
        <v>HOUSTON TX 77072</v>
      </c>
    </row>
    <row r="1806" spans="1:8" x14ac:dyDescent="0.2">
      <c r="A1806" s="27">
        <f>COUNTIFS(C:C,C1806,D:D,D1806)</f>
        <v>1</v>
      </c>
      <c r="B1806" s="30">
        <v>202101158443</v>
      </c>
      <c r="C1806" s="28" t="s">
        <v>970</v>
      </c>
      <c r="D1806" s="28" t="s">
        <v>971</v>
      </c>
      <c r="E1806" s="28" t="s">
        <v>4890</v>
      </c>
      <c r="F1806" s="28" t="s">
        <v>56</v>
      </c>
      <c r="G1806" s="27" t="str">
        <f t="shared" si="56"/>
        <v>8501 BROADWAY ST APT 2001 HOUSTON</v>
      </c>
      <c r="H1806" s="27" t="str">
        <f t="shared" si="57"/>
        <v>HOUSTON TX 77061</v>
      </c>
    </row>
    <row r="1807" spans="1:8" x14ac:dyDescent="0.2">
      <c r="A1807" s="27">
        <f>COUNTIFS(C:C,C1807,D:D,D1807)</f>
        <v>1</v>
      </c>
      <c r="B1807" s="30">
        <v>202101158445</v>
      </c>
      <c r="C1807" s="28" t="s">
        <v>1252</v>
      </c>
      <c r="D1807" s="28" t="s">
        <v>1253</v>
      </c>
      <c r="E1807" s="28" t="s">
        <v>4850</v>
      </c>
      <c r="F1807" s="28" t="s">
        <v>88</v>
      </c>
      <c r="G1807" s="27" t="str">
        <f t="shared" si="56"/>
        <v>10700 FUQUA ST APT 27 3 HOUSTON</v>
      </c>
      <c r="H1807" s="27" t="str">
        <f t="shared" si="57"/>
        <v>HOUSTON TX 77089</v>
      </c>
    </row>
    <row r="1808" spans="1:8" x14ac:dyDescent="0.2">
      <c r="A1808" s="27">
        <f>COUNTIFS(C:C,C1808,D:D,D1808)</f>
        <v>1</v>
      </c>
      <c r="B1808" s="30">
        <v>202101158446</v>
      </c>
      <c r="C1808" t="s">
        <v>4424</v>
      </c>
      <c r="D1808" t="s">
        <v>4425</v>
      </c>
      <c r="E1808" t="s">
        <v>4960</v>
      </c>
      <c r="F1808" t="s">
        <v>88</v>
      </c>
      <c r="G1808" s="27" t="str">
        <f t="shared" si="56"/>
        <v>1 GOODSON DR 110  HOUSTON</v>
      </c>
      <c r="H1808" s="27" t="str">
        <f t="shared" si="57"/>
        <v>HOUSTON TX 77060</v>
      </c>
    </row>
    <row r="1809" spans="1:8" x14ac:dyDescent="0.2">
      <c r="A1809" s="27">
        <f>COUNTIFS(C:C,C1809,D:D,D1809)</f>
        <v>1</v>
      </c>
      <c r="B1809" s="30">
        <v>202101158447</v>
      </c>
      <c r="C1809" t="s">
        <v>4426</v>
      </c>
      <c r="D1809" t="s">
        <v>4427</v>
      </c>
      <c r="E1809" t="s">
        <v>4850</v>
      </c>
      <c r="F1809" t="s">
        <v>88</v>
      </c>
      <c r="G1809" s="27" t="str">
        <f t="shared" si="56"/>
        <v>10631 SEAFORD DR  HOUSTON</v>
      </c>
      <c r="H1809" s="27" t="str">
        <f t="shared" si="57"/>
        <v>HOUSTON TX 77089</v>
      </c>
    </row>
    <row r="1810" spans="1:8" x14ac:dyDescent="0.2">
      <c r="A1810" s="27">
        <f>COUNTIFS(C:C,C1810,D:D,D1810)</f>
        <v>1</v>
      </c>
      <c r="B1810" s="30">
        <v>202101158448</v>
      </c>
      <c r="C1810" s="28" t="s">
        <v>650</v>
      </c>
      <c r="D1810" s="28" t="s">
        <v>651</v>
      </c>
      <c r="E1810" s="28" t="s">
        <v>4915</v>
      </c>
      <c r="F1810" s="28" t="s">
        <v>56</v>
      </c>
      <c r="G1810" s="27" t="str">
        <f t="shared" si="56"/>
        <v>3437 BACON ST  HOUSTON</v>
      </c>
      <c r="H1810" s="27" t="str">
        <f t="shared" si="57"/>
        <v>HOUSTON TX 77021</v>
      </c>
    </row>
    <row r="1811" spans="1:8" x14ac:dyDescent="0.2">
      <c r="A1811" s="27">
        <f>COUNTIFS(C:C,C1811,D:D,D1811)</f>
        <v>1</v>
      </c>
      <c r="B1811" s="30">
        <v>202101158449</v>
      </c>
      <c r="C1811" t="s">
        <v>4428</v>
      </c>
      <c r="D1811" t="s">
        <v>4429</v>
      </c>
      <c r="E1811" t="s">
        <v>4907</v>
      </c>
      <c r="F1811" t="s">
        <v>90</v>
      </c>
      <c r="G1811" s="27" t="str">
        <f t="shared" si="56"/>
        <v>808 ARMOR AVE  PASADENA</v>
      </c>
      <c r="H1811" s="27" t="str">
        <f t="shared" si="57"/>
        <v>HOUSTON TX 77502</v>
      </c>
    </row>
    <row r="1812" spans="1:8" x14ac:dyDescent="0.2">
      <c r="A1812" s="27">
        <f>COUNTIFS(C:C,C1812,D:D,D1812)</f>
        <v>1</v>
      </c>
      <c r="B1812" s="30">
        <v>202101158450</v>
      </c>
      <c r="C1812" s="28" t="s">
        <v>406</v>
      </c>
      <c r="D1812" s="28" t="s">
        <v>407</v>
      </c>
      <c r="E1812" s="28" t="s">
        <v>4854</v>
      </c>
      <c r="F1812" s="28" t="s">
        <v>275</v>
      </c>
      <c r="G1812" s="27" t="str">
        <f t="shared" si="56"/>
        <v>4718 KRESS ST  HOUSTON</v>
      </c>
      <c r="H1812" s="27" t="str">
        <f t="shared" si="57"/>
        <v>HOUSTON TX 77026</v>
      </c>
    </row>
    <row r="1813" spans="1:8" x14ac:dyDescent="0.2">
      <c r="A1813" s="27">
        <f>COUNTIFS(C:C,C1813,D:D,D1813)</f>
        <v>1</v>
      </c>
      <c r="B1813" s="30">
        <v>202101158452</v>
      </c>
      <c r="C1813" t="s">
        <v>3152</v>
      </c>
      <c r="D1813" t="s">
        <v>3153</v>
      </c>
      <c r="E1813" t="s">
        <v>4967</v>
      </c>
      <c r="F1813" t="s">
        <v>71</v>
      </c>
      <c r="G1813" s="27" t="str">
        <f t="shared" si="56"/>
        <v>9215 WOODWIND LAKES DR HOUSTON</v>
      </c>
      <c r="H1813" s="27" t="str">
        <f t="shared" si="57"/>
        <v>HOUSTON TX 77040</v>
      </c>
    </row>
    <row r="1814" spans="1:8" x14ac:dyDescent="0.2">
      <c r="A1814" s="27">
        <f>COUNTIFS(C:C,C1814,D:D,D1814)</f>
        <v>1</v>
      </c>
      <c r="B1814" s="30">
        <v>202101158455</v>
      </c>
      <c r="C1814" t="s">
        <v>4430</v>
      </c>
      <c r="D1814" t="s">
        <v>4431</v>
      </c>
      <c r="E1814" t="s">
        <v>5269</v>
      </c>
      <c r="F1814" t="s">
        <v>71</v>
      </c>
      <c r="G1814" s="27" t="str">
        <f t="shared" si="56"/>
        <v>2501 PEBBLE BROOK DR  HOUSTON</v>
      </c>
      <c r="H1814" s="27" t="str">
        <f t="shared" si="57"/>
        <v>HOUSTON TX 77536</v>
      </c>
    </row>
    <row r="1815" spans="1:8" x14ac:dyDescent="0.2">
      <c r="A1815" s="27">
        <f>COUNTIFS(C:C,C1815,D:D,D1815)</f>
        <v>1</v>
      </c>
      <c r="B1815" s="30">
        <v>202101158456</v>
      </c>
      <c r="C1815" t="s">
        <v>4432</v>
      </c>
      <c r="D1815" t="s">
        <v>4433</v>
      </c>
      <c r="E1815" t="s">
        <v>4889</v>
      </c>
      <c r="F1815" t="s">
        <v>88</v>
      </c>
      <c r="G1815" s="27" t="str">
        <f t="shared" si="56"/>
        <v>13503 NORTHBOROUGH DR 1008 HOUSTON</v>
      </c>
      <c r="H1815" s="27" t="str">
        <f t="shared" si="57"/>
        <v>HOUSTON TX 77067</v>
      </c>
    </row>
    <row r="1816" spans="1:8" x14ac:dyDescent="0.2">
      <c r="A1816" s="27">
        <f>COUNTIFS(C:C,C1816,D:D,D1816)</f>
        <v>1</v>
      </c>
      <c r="B1816" s="30">
        <v>202101158457</v>
      </c>
      <c r="C1816" s="28" t="s">
        <v>1376</v>
      </c>
      <c r="D1816" s="28" t="s">
        <v>1377</v>
      </c>
      <c r="E1816" s="28" t="s">
        <v>4861</v>
      </c>
      <c r="F1816" s="28" t="s">
        <v>90</v>
      </c>
      <c r="G1816" s="27" t="str">
        <f t="shared" si="56"/>
        <v>8326 COLONIAL LN  HOUSTON</v>
      </c>
      <c r="H1816" s="27" t="str">
        <f t="shared" si="57"/>
        <v>HOUSTON TX 77051</v>
      </c>
    </row>
    <row r="1817" spans="1:8" x14ac:dyDescent="0.2">
      <c r="A1817" s="27">
        <f>COUNTIFS(C:C,C1817,D:D,D1817)</f>
        <v>1</v>
      </c>
      <c r="B1817" s="30">
        <v>202101158459</v>
      </c>
      <c r="C1817" t="s">
        <v>3390</v>
      </c>
      <c r="D1817" t="s">
        <v>3391</v>
      </c>
      <c r="E1817" t="s">
        <v>4852</v>
      </c>
      <c r="F1817" t="s">
        <v>71</v>
      </c>
      <c r="G1817" s="27" t="str">
        <f t="shared" si="56"/>
        <v>3846 BENNINGTON ST  HOUSTON</v>
      </c>
      <c r="H1817" s="27" t="str">
        <f t="shared" si="57"/>
        <v>HOUSTON TX 77016</v>
      </c>
    </row>
    <row r="1818" spans="1:8" x14ac:dyDescent="0.2">
      <c r="A1818" s="27">
        <f>COUNTIFS(C:C,C1818,D:D,D1818)</f>
        <v>1</v>
      </c>
      <c r="B1818" s="30">
        <v>202101158461</v>
      </c>
      <c r="C1818" s="28" t="s">
        <v>1850</v>
      </c>
      <c r="D1818" s="28" t="s">
        <v>7609</v>
      </c>
      <c r="E1818" s="28" t="s">
        <v>5073</v>
      </c>
      <c r="F1818" s="28" t="s">
        <v>87</v>
      </c>
      <c r="G1818" s="27" t="str">
        <f t="shared" si="56"/>
        <v>2530 W 18TH ST HOUSTON</v>
      </c>
      <c r="H1818" s="27" t="str">
        <f t="shared" si="57"/>
        <v>HOUSTON TX 77008</v>
      </c>
    </row>
    <row r="1819" spans="1:8" x14ac:dyDescent="0.2">
      <c r="A1819" s="27">
        <f>COUNTIFS(C:C,C1819,D:D,D1819)</f>
        <v>1</v>
      </c>
      <c r="B1819" s="30">
        <v>202101158463</v>
      </c>
      <c r="C1819" s="28" t="s">
        <v>412</v>
      </c>
      <c r="D1819" s="28" t="s">
        <v>413</v>
      </c>
      <c r="E1819" s="28" t="s">
        <v>4856</v>
      </c>
      <c r="F1819" s="28" t="s">
        <v>53</v>
      </c>
      <c r="G1819" s="27" t="str">
        <f t="shared" si="56"/>
        <v>5639 STARLING ST  HOUSTON</v>
      </c>
      <c r="H1819" s="27" t="str">
        <f t="shared" si="57"/>
        <v>HOUSTON TX 77017</v>
      </c>
    </row>
    <row r="1820" spans="1:8" x14ac:dyDescent="0.2">
      <c r="A1820" s="27">
        <f>COUNTIFS(C:C,C1820,D:D,D1820)</f>
        <v>1</v>
      </c>
      <c r="B1820" s="30">
        <v>202101158464</v>
      </c>
      <c r="C1820" t="s">
        <v>3037</v>
      </c>
      <c r="D1820" t="s">
        <v>3038</v>
      </c>
      <c r="E1820" t="s">
        <v>4898</v>
      </c>
      <c r="F1820" t="s">
        <v>88</v>
      </c>
      <c r="G1820" s="27" t="str">
        <f t="shared" si="56"/>
        <v>9220 NATHANIEL  HOUSTON</v>
      </c>
      <c r="H1820" s="27" t="str">
        <f t="shared" si="57"/>
        <v>HOUSTON TX 77075</v>
      </c>
    </row>
    <row r="1821" spans="1:8" x14ac:dyDescent="0.2">
      <c r="A1821" s="27">
        <f>COUNTIFS(C:C,C1821,D:D,D1821)</f>
        <v>1</v>
      </c>
      <c r="B1821" s="30">
        <v>202101158467</v>
      </c>
      <c r="C1821" t="s">
        <v>2926</v>
      </c>
      <c r="D1821" t="s">
        <v>2927</v>
      </c>
      <c r="E1821" t="s">
        <v>4866</v>
      </c>
      <c r="F1821" t="s">
        <v>84</v>
      </c>
      <c r="G1821" s="27" t="str">
        <f t="shared" si="56"/>
        <v>11131 CLARK RD  HOUSTON</v>
      </c>
      <c r="H1821" s="27" t="str">
        <f t="shared" si="57"/>
        <v>HOUSTON TX 77076</v>
      </c>
    </row>
    <row r="1822" spans="1:8" x14ac:dyDescent="0.2">
      <c r="A1822" s="27">
        <f>COUNTIFS(C:C,C1822,D:D,D1822)</f>
        <v>1</v>
      </c>
      <c r="B1822" s="30">
        <v>202101158468</v>
      </c>
      <c r="C1822" s="28" t="s">
        <v>1805</v>
      </c>
      <c r="D1822" s="28" t="s">
        <v>1806</v>
      </c>
      <c r="E1822" s="28" t="s">
        <v>4896</v>
      </c>
      <c r="F1822" s="28" t="s">
        <v>88</v>
      </c>
      <c r="G1822" s="27" t="str">
        <f t="shared" si="56"/>
        <v>6005 S GESSNER RD  HOUSTON</v>
      </c>
      <c r="H1822" s="27" t="str">
        <f t="shared" si="57"/>
        <v>HOUSTON TX 77036</v>
      </c>
    </row>
    <row r="1823" spans="1:8" x14ac:dyDescent="0.2">
      <c r="A1823" s="27">
        <f>COUNTIFS(C:C,C1823,D:D,D1823)</f>
        <v>1</v>
      </c>
      <c r="B1823" s="30">
        <v>202101158469</v>
      </c>
      <c r="C1823" s="28" t="s">
        <v>1742</v>
      </c>
      <c r="D1823" s="28" t="s">
        <v>1743</v>
      </c>
      <c r="E1823" s="28" t="s">
        <v>4932</v>
      </c>
      <c r="F1823" s="28" t="s">
        <v>56</v>
      </c>
      <c r="G1823" s="27" t="str">
        <f t="shared" si="56"/>
        <v>5959 PINEMONT DR  HOUSTON</v>
      </c>
      <c r="H1823" s="27" t="str">
        <f t="shared" si="57"/>
        <v>HOUSTON TX 77092</v>
      </c>
    </row>
    <row r="1824" spans="1:8" x14ac:dyDescent="0.2">
      <c r="A1824" s="27">
        <f>COUNTIFS(C:C,C1824,D:D,D1824)</f>
        <v>1</v>
      </c>
      <c r="B1824" s="30">
        <v>202101158470</v>
      </c>
      <c r="C1824" s="28" t="s">
        <v>1460</v>
      </c>
      <c r="D1824" s="28" t="s">
        <v>1461</v>
      </c>
      <c r="E1824" s="28" t="s">
        <v>5042</v>
      </c>
      <c r="F1824" s="28" t="s">
        <v>314</v>
      </c>
      <c r="G1824" s="27" t="str">
        <f t="shared" si="56"/>
        <v>7201 SPENCER HWY  DEER PARK</v>
      </c>
      <c r="H1824" s="27" t="str">
        <f t="shared" si="57"/>
        <v>HOUSTON TX 77571</v>
      </c>
    </row>
    <row r="1825" spans="1:8" x14ac:dyDescent="0.2">
      <c r="A1825" s="27">
        <f>COUNTIFS(C:C,C1825,D:D,D1825)</f>
        <v>1</v>
      </c>
      <c r="B1825" s="30">
        <v>202101158476</v>
      </c>
      <c r="C1825" t="s">
        <v>4434</v>
      </c>
      <c r="D1825" t="s">
        <v>4435</v>
      </c>
      <c r="E1825" t="s">
        <v>4887</v>
      </c>
      <c r="F1825" t="s">
        <v>88</v>
      </c>
      <c r="G1825" s="27" t="str">
        <f t="shared" si="56"/>
        <v>8030 OAK LEAF MEADOW CT ROSHARON</v>
      </c>
      <c r="H1825" s="27" t="str">
        <f t="shared" si="57"/>
        <v>HOUSTON TX 77583</v>
      </c>
    </row>
    <row r="1826" spans="1:8" x14ac:dyDescent="0.2">
      <c r="A1826" s="27">
        <f>COUNTIFS(C:C,C1826,D:D,D1826)</f>
        <v>1</v>
      </c>
      <c r="B1826" s="30">
        <v>202101158490</v>
      </c>
      <c r="C1826" t="s">
        <v>2685</v>
      </c>
      <c r="D1826" t="s">
        <v>2686</v>
      </c>
      <c r="E1826" t="s">
        <v>4896</v>
      </c>
      <c r="F1826" t="s">
        <v>87</v>
      </c>
      <c r="G1826" s="27" t="str">
        <f t="shared" si="56"/>
        <v>9403 BELLAIRE BLVD  HOUSTON</v>
      </c>
      <c r="H1826" s="27" t="str">
        <f t="shared" si="57"/>
        <v>HOUSTON TX 77036</v>
      </c>
    </row>
    <row r="1827" spans="1:8" x14ac:dyDescent="0.2">
      <c r="A1827" s="27">
        <f>COUNTIFS(C:C,C1827,D:D,D1827)</f>
        <v>1</v>
      </c>
      <c r="B1827" s="30">
        <v>202101158491</v>
      </c>
      <c r="C1827" s="28" t="s">
        <v>1191</v>
      </c>
      <c r="D1827" s="28" t="s">
        <v>1192</v>
      </c>
      <c r="E1827" s="28" t="s">
        <v>5005</v>
      </c>
      <c r="F1827" s="28" t="s">
        <v>67</v>
      </c>
      <c r="G1827" s="27" t="str">
        <f t="shared" si="56"/>
        <v>5731 EDWARD DR  HOUSTON</v>
      </c>
      <c r="H1827" s="27" t="str">
        <f t="shared" si="57"/>
        <v>HOUSTON TX 77032</v>
      </c>
    </row>
    <row r="1828" spans="1:8" x14ac:dyDescent="0.2">
      <c r="A1828" s="27">
        <f>COUNTIFS(C:C,C1828,D:D,D1828)</f>
        <v>1</v>
      </c>
      <c r="B1828" s="30">
        <v>202101158493</v>
      </c>
      <c r="C1828" t="s">
        <v>3093</v>
      </c>
      <c r="D1828" t="s">
        <v>3094</v>
      </c>
      <c r="E1828" t="s">
        <v>5023</v>
      </c>
      <c r="F1828" t="s">
        <v>88</v>
      </c>
      <c r="G1828" s="27" t="str">
        <f t="shared" si="56"/>
        <v>2929 DUNVALE RD  HOUSTON</v>
      </c>
      <c r="H1828" s="27" t="str">
        <f t="shared" si="57"/>
        <v>HOUSTON TX 77063</v>
      </c>
    </row>
    <row r="1829" spans="1:8" x14ac:dyDescent="0.2">
      <c r="A1829" s="27">
        <f>COUNTIFS(C:C,C1829,D:D,D1829)</f>
        <v>1</v>
      </c>
      <c r="B1829" s="30">
        <v>202101158502</v>
      </c>
      <c r="C1829" s="28" t="s">
        <v>1699</v>
      </c>
      <c r="D1829" s="28" t="s">
        <v>1700</v>
      </c>
      <c r="E1829" s="28" t="s">
        <v>4896</v>
      </c>
      <c r="F1829" s="28" t="s">
        <v>4792</v>
      </c>
      <c r="G1829" s="27" t="str">
        <f t="shared" si="56"/>
        <v>7700 CORPORATE DR  HOUSTON</v>
      </c>
      <c r="H1829" s="27" t="str">
        <f t="shared" si="57"/>
        <v>HOUSTON TX 77036</v>
      </c>
    </row>
    <row r="1830" spans="1:8" x14ac:dyDescent="0.2">
      <c r="A1830" s="27">
        <f>COUNTIFS(C:C,C1830,D:D,D1830)</f>
        <v>1</v>
      </c>
      <c r="B1830" s="30">
        <v>202101158504</v>
      </c>
      <c r="C1830" t="s">
        <v>4436</v>
      </c>
      <c r="D1830" t="s">
        <v>4437</v>
      </c>
      <c r="E1830" t="s">
        <v>4865</v>
      </c>
      <c r="F1830" t="s">
        <v>88</v>
      </c>
      <c r="G1830" s="27" t="str">
        <f t="shared" si="56"/>
        <v>6733 GLENMONT DR  HOUSTON</v>
      </c>
      <c r="H1830" s="27" t="str">
        <f t="shared" si="57"/>
        <v xml:space="preserve">HOUSTON TX      </v>
      </c>
    </row>
    <row r="1831" spans="1:8" x14ac:dyDescent="0.2">
      <c r="A1831" s="27">
        <f>COUNTIFS(C:C,C1831,D:D,D1831)</f>
        <v>1</v>
      </c>
      <c r="B1831" s="30">
        <v>202101158505</v>
      </c>
      <c r="C1831" s="28" t="s">
        <v>1882</v>
      </c>
      <c r="D1831" s="28" t="s">
        <v>1883</v>
      </c>
      <c r="E1831" s="28" t="s">
        <v>5017</v>
      </c>
      <c r="F1831" s="28" t="s">
        <v>86</v>
      </c>
      <c r="G1831" s="27" t="str">
        <f t="shared" si="56"/>
        <v>706 DANBURY PARK LN  HARRIS CO</v>
      </c>
      <c r="H1831" s="27" t="str">
        <f t="shared" si="57"/>
        <v>HOUSTON TX 77073</v>
      </c>
    </row>
    <row r="1832" spans="1:8" x14ac:dyDescent="0.2">
      <c r="A1832" s="27">
        <f>COUNTIFS(C:C,C1832,D:D,D1832)</f>
        <v>1</v>
      </c>
      <c r="B1832" s="30">
        <v>202101158509</v>
      </c>
      <c r="C1832" s="28" t="s">
        <v>446</v>
      </c>
      <c r="D1832" s="28" t="s">
        <v>447</v>
      </c>
      <c r="E1832" s="28" t="s">
        <v>4869</v>
      </c>
      <c r="F1832" s="28" t="s">
        <v>64</v>
      </c>
      <c r="G1832" s="27" t="str">
        <f t="shared" si="56"/>
        <v>827 OAK ST APT  HOUSTON</v>
      </c>
      <c r="H1832" s="27" t="str">
        <f t="shared" si="57"/>
        <v>HOUSTON TX 77018</v>
      </c>
    </row>
    <row r="1833" spans="1:8" x14ac:dyDescent="0.2">
      <c r="A1833" s="27">
        <f>COUNTIFS(C:C,C1833,D:D,D1833)</f>
        <v>1</v>
      </c>
      <c r="B1833" s="30">
        <v>202101158511</v>
      </c>
      <c r="C1833" t="s">
        <v>4438</v>
      </c>
      <c r="D1833" t="s">
        <v>4439</v>
      </c>
      <c r="E1833" t="s">
        <v>5270</v>
      </c>
      <c r="F1833" t="s">
        <v>350</v>
      </c>
      <c r="G1833" s="27" t="str">
        <f t="shared" si="56"/>
        <v>2107 LINDEN CREEK LN  PASADENA</v>
      </c>
      <c r="H1833" s="27" t="str">
        <f t="shared" si="57"/>
        <v>HOUSTON TX 77017</v>
      </c>
    </row>
    <row r="1834" spans="1:8" x14ac:dyDescent="0.2">
      <c r="A1834" s="27">
        <f>COUNTIFS(C:C,C1834,D:D,D1834)</f>
        <v>1</v>
      </c>
      <c r="B1834" s="30">
        <v>202101158512</v>
      </c>
      <c r="C1834" t="s">
        <v>4440</v>
      </c>
      <c r="D1834" t="s">
        <v>2895</v>
      </c>
      <c r="E1834" t="s">
        <v>4891</v>
      </c>
      <c r="F1834" t="s">
        <v>67</v>
      </c>
      <c r="G1834" s="27" t="str">
        <f t="shared" ref="G1834:G1897" si="58">D1834&amp;" "&amp;MID(E1834,1,FIND(" TX",E1834)-1)</f>
        <v>7050 INWOOD PARK DR  HOUSTON</v>
      </c>
      <c r="H1834" s="27" t="str">
        <f t="shared" ref="H1834:H1897" si="59">"HOUSTON "&amp;MID(E1834,FIND("TX",E1834),8)</f>
        <v>HOUSTON TX 77088</v>
      </c>
    </row>
    <row r="1835" spans="1:8" x14ac:dyDescent="0.2">
      <c r="A1835" s="27">
        <f>COUNTIFS(C:C,C1835,D:D,D1835)</f>
        <v>1</v>
      </c>
      <c r="B1835" s="30">
        <v>202101158514</v>
      </c>
      <c r="C1835" t="s">
        <v>2446</v>
      </c>
      <c r="D1835" t="s">
        <v>2447</v>
      </c>
      <c r="E1835" t="s">
        <v>4900</v>
      </c>
      <c r="F1835" t="s">
        <v>4807</v>
      </c>
      <c r="G1835" s="27" t="str">
        <f t="shared" si="58"/>
        <v>19411 CADABRA DR  KATY</v>
      </c>
      <c r="H1835" s="27" t="str">
        <f t="shared" si="59"/>
        <v>HOUSTON TX 77449</v>
      </c>
    </row>
    <row r="1836" spans="1:8" x14ac:dyDescent="0.2">
      <c r="A1836" s="27">
        <f>COUNTIFS(C:C,C1836,D:D,D1836)</f>
        <v>1</v>
      </c>
      <c r="B1836" s="30">
        <v>202101158515</v>
      </c>
      <c r="C1836" t="s">
        <v>2042</v>
      </c>
      <c r="D1836" t="s">
        <v>2043</v>
      </c>
      <c r="E1836" t="s">
        <v>4944</v>
      </c>
      <c r="F1836" t="s">
        <v>88</v>
      </c>
      <c r="G1836" s="27" t="str">
        <f t="shared" si="58"/>
        <v>10 KINGS RIVER CT  KINGWOOD</v>
      </c>
      <c r="H1836" s="27" t="str">
        <f t="shared" si="59"/>
        <v>HOUSTON TX 77339</v>
      </c>
    </row>
    <row r="1837" spans="1:8" x14ac:dyDescent="0.2">
      <c r="A1837" s="27">
        <f>COUNTIFS(C:C,C1837,D:D,D1837)</f>
        <v>1</v>
      </c>
      <c r="B1837" s="30">
        <v>202101158517</v>
      </c>
      <c r="C1837" t="s">
        <v>4441</v>
      </c>
      <c r="D1837" t="s">
        <v>4442</v>
      </c>
      <c r="E1837" t="s">
        <v>4951</v>
      </c>
      <c r="F1837" t="s">
        <v>94</v>
      </c>
      <c r="G1837" s="27" t="str">
        <f t="shared" si="58"/>
        <v>15455 POINT NORTHWEST BLVD HOUSTON</v>
      </c>
      <c r="H1837" s="27" t="str">
        <f t="shared" si="59"/>
        <v>HOUSTON TX 77095</v>
      </c>
    </row>
    <row r="1838" spans="1:8" x14ac:dyDescent="0.2">
      <c r="A1838" s="27">
        <f>COUNTIFS(C:C,C1838,D:D,D1838)</f>
        <v>1</v>
      </c>
      <c r="B1838" s="30">
        <v>202101158520</v>
      </c>
      <c r="C1838" s="28" t="s">
        <v>1301</v>
      </c>
      <c r="D1838" s="28" t="s">
        <v>1302</v>
      </c>
      <c r="E1838" s="28" t="s">
        <v>4874</v>
      </c>
      <c r="F1838" s="28" t="s">
        <v>276</v>
      </c>
      <c r="G1838" s="27" t="str">
        <f t="shared" si="58"/>
        <v>5313 WILMINGTON ST  HOUSTON</v>
      </c>
      <c r="H1838" s="27" t="str">
        <f t="shared" si="59"/>
        <v>HOUSTON TX 77033</v>
      </c>
    </row>
    <row r="1839" spans="1:8" x14ac:dyDescent="0.2">
      <c r="A1839" s="27">
        <f>COUNTIFS(C:C,C1839,D:D,D1839)</f>
        <v>1</v>
      </c>
      <c r="B1839" s="30">
        <v>202101158523</v>
      </c>
      <c r="C1839" t="s">
        <v>4443</v>
      </c>
      <c r="D1839" t="s">
        <v>4444</v>
      </c>
      <c r="E1839" t="s">
        <v>4871</v>
      </c>
      <c r="F1839" t="s">
        <v>53</v>
      </c>
      <c r="G1839" s="27" t="str">
        <f t="shared" si="58"/>
        <v>3525 S SAM HOUSTON P KWY E 626 HOUSTON</v>
      </c>
      <c r="H1839" s="27" t="str">
        <f t="shared" si="59"/>
        <v>HOUSTON TX 77047</v>
      </c>
    </row>
    <row r="1840" spans="1:8" x14ac:dyDescent="0.2">
      <c r="A1840" s="27">
        <f>COUNTIFS(C:C,C1840,D:D,D1840)</f>
        <v>1</v>
      </c>
      <c r="B1840" s="30">
        <v>202101158525</v>
      </c>
      <c r="C1840" t="s">
        <v>3085</v>
      </c>
      <c r="D1840" t="s">
        <v>3086</v>
      </c>
      <c r="E1840" t="s">
        <v>4987</v>
      </c>
      <c r="F1840" t="s">
        <v>98</v>
      </c>
      <c r="G1840" s="27" t="str">
        <f t="shared" si="58"/>
        <v>1514 FREEDONA DR  HOUSTON</v>
      </c>
      <c r="H1840" s="27" t="str">
        <f t="shared" si="59"/>
        <v>HOUSTON TX 77055</v>
      </c>
    </row>
    <row r="1841" spans="1:8" x14ac:dyDescent="0.2">
      <c r="A1841" s="27">
        <f>COUNTIFS(C:C,C1841,D:D,D1841)</f>
        <v>1</v>
      </c>
      <c r="B1841" s="30">
        <v>202101158526</v>
      </c>
      <c r="C1841" s="28" t="s">
        <v>1579</v>
      </c>
      <c r="D1841" s="28" t="s">
        <v>1580</v>
      </c>
      <c r="E1841" s="28" t="s">
        <v>4878</v>
      </c>
      <c r="F1841" s="28" t="s">
        <v>316</v>
      </c>
      <c r="G1841" s="27" t="str">
        <f t="shared" si="58"/>
        <v>13945 OLD CHOCOLATE B AYOU RD HOUSTON</v>
      </c>
      <c r="H1841" s="27" t="str">
        <f t="shared" si="59"/>
        <v>HOUSTON TX 77048</v>
      </c>
    </row>
    <row r="1842" spans="1:8" x14ac:dyDescent="0.2">
      <c r="A1842" s="27">
        <f>COUNTIFS(C:C,C1842,D:D,D1842)</f>
        <v>1</v>
      </c>
      <c r="B1842" s="30">
        <v>202101158528</v>
      </c>
      <c r="C1842" t="s">
        <v>4445</v>
      </c>
      <c r="D1842" t="s">
        <v>2325</v>
      </c>
      <c r="E1842" t="s">
        <v>4939</v>
      </c>
      <c r="F1842" t="s">
        <v>88</v>
      </c>
      <c r="G1842" s="27" t="str">
        <f t="shared" si="58"/>
        <v>11000 CRESCENT MOON D R HOUSTON</v>
      </c>
      <c r="H1842" s="27" t="str">
        <f t="shared" si="59"/>
        <v>HOUSTON TX 77064</v>
      </c>
    </row>
    <row r="1843" spans="1:8" x14ac:dyDescent="0.2">
      <c r="A1843" s="27">
        <f>COUNTIFS(C:C,C1843,D:D,D1843)</f>
        <v>1</v>
      </c>
      <c r="B1843" s="30">
        <v>202101158529</v>
      </c>
      <c r="C1843" s="28" t="s">
        <v>1330</v>
      </c>
      <c r="D1843" s="28" t="s">
        <v>503</v>
      </c>
      <c r="E1843" s="28" t="s">
        <v>4891</v>
      </c>
      <c r="F1843" s="28" t="s">
        <v>88</v>
      </c>
      <c r="G1843" s="27" t="str">
        <f t="shared" si="58"/>
        <v>1415 W GULF BANK RD  HOUSTON</v>
      </c>
      <c r="H1843" s="27" t="str">
        <f t="shared" si="59"/>
        <v>HOUSTON TX 77088</v>
      </c>
    </row>
    <row r="1844" spans="1:8" x14ac:dyDescent="0.2">
      <c r="A1844" s="27">
        <f>COUNTIFS(C:C,C1844,D:D,D1844)</f>
        <v>1</v>
      </c>
      <c r="B1844" s="30">
        <v>202101158530</v>
      </c>
      <c r="C1844" t="s">
        <v>3108</v>
      </c>
      <c r="D1844" t="s">
        <v>3109</v>
      </c>
      <c r="E1844" t="s">
        <v>5069</v>
      </c>
      <c r="F1844" t="s">
        <v>96</v>
      </c>
      <c r="G1844" s="27" t="str">
        <f t="shared" si="58"/>
        <v>4747 WIDEROP LN  FRIENDSWOO</v>
      </c>
      <c r="H1844" s="27" t="str">
        <f t="shared" si="59"/>
        <v>HOUSTON TX 77546</v>
      </c>
    </row>
    <row r="1845" spans="1:8" x14ac:dyDescent="0.2">
      <c r="A1845" s="27">
        <f>COUNTIFS(C:C,C1845,D:D,D1845)</f>
        <v>1</v>
      </c>
      <c r="B1845" s="30">
        <v>202101158531</v>
      </c>
      <c r="C1845" s="28" t="s">
        <v>1615</v>
      </c>
      <c r="D1845" s="28" t="s">
        <v>1616</v>
      </c>
      <c r="E1845" s="28" t="s">
        <v>4988</v>
      </c>
      <c r="F1845" s="28" t="s">
        <v>78</v>
      </c>
      <c r="G1845" s="27" t="str">
        <f t="shared" si="58"/>
        <v>2635 VILLAGE SQUARE DR MISSOURI C</v>
      </c>
      <c r="H1845" s="27" t="str">
        <f t="shared" si="59"/>
        <v>HOUSTON TX 77489</v>
      </c>
    </row>
    <row r="1846" spans="1:8" x14ac:dyDescent="0.2">
      <c r="A1846" s="27">
        <f>COUNTIFS(C:C,C1846,D:D,D1846)</f>
        <v>1</v>
      </c>
      <c r="B1846" s="30">
        <v>202101158532</v>
      </c>
      <c r="C1846" t="s">
        <v>4446</v>
      </c>
      <c r="D1846" t="s">
        <v>4447</v>
      </c>
      <c r="E1846" t="s">
        <v>4978</v>
      </c>
      <c r="F1846" t="s">
        <v>88</v>
      </c>
      <c r="G1846" s="27" t="str">
        <f t="shared" si="58"/>
        <v>6969 GUHN RD 143  HOUSTON</v>
      </c>
      <c r="H1846" s="27" t="str">
        <f t="shared" si="59"/>
        <v>HOUSTON TX 77041</v>
      </c>
    </row>
    <row r="1847" spans="1:8" x14ac:dyDescent="0.2">
      <c r="A1847" s="27">
        <f>COUNTIFS(C:C,C1847,D:D,D1847)</f>
        <v>1</v>
      </c>
      <c r="B1847" s="30">
        <v>202101158534</v>
      </c>
      <c r="C1847" t="s">
        <v>4448</v>
      </c>
      <c r="D1847" t="s">
        <v>4449</v>
      </c>
      <c r="E1847" t="s">
        <v>4895</v>
      </c>
      <c r="F1847" t="s">
        <v>88</v>
      </c>
      <c r="G1847" s="27" t="str">
        <f t="shared" si="58"/>
        <v>217 GRACE ST  HOUSTON</v>
      </c>
      <c r="H1847" s="27" t="str">
        <f t="shared" si="59"/>
        <v>HOUSTON TX 77003</v>
      </c>
    </row>
    <row r="1848" spans="1:8" x14ac:dyDescent="0.2">
      <c r="A1848" s="27">
        <f>COUNTIFS(C:C,C1848,D:D,D1848)</f>
        <v>1</v>
      </c>
      <c r="B1848" s="30">
        <v>202101158538</v>
      </c>
      <c r="C1848" t="s">
        <v>4450</v>
      </c>
      <c r="D1848" t="s">
        <v>4451</v>
      </c>
      <c r="E1848" t="s">
        <v>4865</v>
      </c>
      <c r="F1848" t="s">
        <v>90</v>
      </c>
      <c r="G1848" s="27" t="str">
        <f t="shared" si="58"/>
        <v>14135 BANDERA ST  HOUSTON</v>
      </c>
      <c r="H1848" s="27" t="str">
        <f t="shared" si="59"/>
        <v xml:space="preserve">HOUSTON TX      </v>
      </c>
    </row>
    <row r="1849" spans="1:8" x14ac:dyDescent="0.2">
      <c r="A1849" s="27">
        <f>COUNTIFS(C:C,C1849,D:D,D1849)</f>
        <v>1</v>
      </c>
      <c r="B1849" s="30">
        <v>202101158540</v>
      </c>
      <c r="C1849" s="28" t="s">
        <v>696</v>
      </c>
      <c r="D1849" s="28" t="s">
        <v>697</v>
      </c>
      <c r="E1849" s="28" t="s">
        <v>4878</v>
      </c>
      <c r="F1849" s="28" t="s">
        <v>53</v>
      </c>
      <c r="G1849" s="27" t="str">
        <f t="shared" si="58"/>
        <v>12707 MURR WAY  HOUSTON</v>
      </c>
      <c r="H1849" s="27" t="str">
        <f t="shared" si="59"/>
        <v>HOUSTON TX 77048</v>
      </c>
    </row>
    <row r="1850" spans="1:8" x14ac:dyDescent="0.2">
      <c r="A1850" s="27">
        <f>COUNTIFS(C:C,C1850,D:D,D1850)</f>
        <v>1</v>
      </c>
      <c r="B1850" s="30">
        <v>202101158542</v>
      </c>
      <c r="C1850" s="28" t="s">
        <v>548</v>
      </c>
      <c r="D1850" s="28" t="s">
        <v>7611</v>
      </c>
      <c r="E1850" s="28" t="s">
        <v>4893</v>
      </c>
      <c r="F1850" s="28" t="s">
        <v>88</v>
      </c>
      <c r="G1850" s="27" t="str">
        <f t="shared" si="58"/>
        <v>3111 WUTHERING HOUSTON</v>
      </c>
      <c r="H1850" s="27" t="str">
        <f t="shared" si="59"/>
        <v>HOUSTON TX 77045</v>
      </c>
    </row>
    <row r="1851" spans="1:8" x14ac:dyDescent="0.2">
      <c r="A1851" s="27">
        <f>COUNTIFS(C:C,C1851,D:D,D1851)</f>
        <v>1</v>
      </c>
      <c r="B1851" s="30">
        <v>202101158543</v>
      </c>
      <c r="C1851" t="s">
        <v>4452</v>
      </c>
      <c r="D1851" t="s">
        <v>4453</v>
      </c>
      <c r="E1851" t="s">
        <v>4850</v>
      </c>
      <c r="F1851" t="s">
        <v>88</v>
      </c>
      <c r="G1851" s="27" t="str">
        <f t="shared" si="58"/>
        <v>9930 BUENA PARK CT  HOUSTON</v>
      </c>
      <c r="H1851" s="27" t="str">
        <f t="shared" si="59"/>
        <v>HOUSTON TX 77089</v>
      </c>
    </row>
    <row r="1852" spans="1:8" x14ac:dyDescent="0.2">
      <c r="A1852" s="27">
        <f>COUNTIFS(C:C,C1852,D:D,D1852)</f>
        <v>1</v>
      </c>
      <c r="B1852" s="30">
        <v>202101158544</v>
      </c>
      <c r="C1852" s="28" t="s">
        <v>786</v>
      </c>
      <c r="D1852" s="28" t="s">
        <v>787</v>
      </c>
      <c r="E1852" s="28" t="s">
        <v>4955</v>
      </c>
      <c r="F1852" s="28" t="s">
        <v>87</v>
      </c>
      <c r="G1852" s="27" t="str">
        <f t="shared" si="58"/>
        <v>4802 SYCAMORE AVE  PASADENA</v>
      </c>
      <c r="H1852" s="27" t="str">
        <f t="shared" si="59"/>
        <v xml:space="preserve">HOUSTON TX      </v>
      </c>
    </row>
    <row r="1853" spans="1:8" x14ac:dyDescent="0.2">
      <c r="A1853" s="27">
        <f>COUNTIFS(C:C,C1853,D:D,D1853)</f>
        <v>1</v>
      </c>
      <c r="B1853" s="30">
        <v>202101158549</v>
      </c>
      <c r="C1853" t="s">
        <v>4454</v>
      </c>
      <c r="D1853" t="s">
        <v>4455</v>
      </c>
      <c r="E1853" t="s">
        <v>4867</v>
      </c>
      <c r="F1853" t="s">
        <v>88</v>
      </c>
      <c r="G1853" s="27" t="str">
        <f t="shared" si="58"/>
        <v>2602 BEATTY ST  HOUSTON</v>
      </c>
      <c r="H1853" s="27" t="str">
        <f t="shared" si="59"/>
        <v>HOUSTON TX 77023</v>
      </c>
    </row>
    <row r="1854" spans="1:8" x14ac:dyDescent="0.2">
      <c r="A1854" s="27">
        <f>COUNTIFS(C:C,C1854,D:D,D1854)</f>
        <v>1</v>
      </c>
      <c r="B1854" s="30">
        <v>202101158554</v>
      </c>
      <c r="C1854" t="s">
        <v>4456</v>
      </c>
      <c r="D1854" t="s">
        <v>4457</v>
      </c>
      <c r="E1854" t="s">
        <v>4919</v>
      </c>
      <c r="F1854" t="s">
        <v>51</v>
      </c>
      <c r="G1854" s="27" t="str">
        <f t="shared" si="58"/>
        <v>6550 HILLCROFT AVE 3 19 HOUSTON</v>
      </c>
      <c r="H1854" s="27" t="str">
        <f t="shared" si="59"/>
        <v>HOUSTON TX 77081</v>
      </c>
    </row>
    <row r="1855" spans="1:8" x14ac:dyDescent="0.2">
      <c r="A1855" s="27">
        <f>COUNTIFS(C:C,C1855,D:D,D1855)</f>
        <v>1</v>
      </c>
      <c r="B1855" s="30">
        <v>202101158559</v>
      </c>
      <c r="C1855" t="s">
        <v>4458</v>
      </c>
      <c r="D1855" t="s">
        <v>4459</v>
      </c>
      <c r="E1855" t="s">
        <v>4886</v>
      </c>
      <c r="F1855" t="s">
        <v>53</v>
      </c>
      <c r="G1855" s="27" t="str">
        <f t="shared" si="58"/>
        <v>6301 W BELLFORT AVE 171 HOUSTON</v>
      </c>
      <c r="H1855" s="27" t="str">
        <f t="shared" si="59"/>
        <v>HOUSTON TX 77035</v>
      </c>
    </row>
    <row r="1856" spans="1:8" x14ac:dyDescent="0.2">
      <c r="A1856" s="27">
        <f>COUNTIFS(C:C,C1856,D:D,D1856)</f>
        <v>1</v>
      </c>
      <c r="B1856" s="30">
        <v>202101158561</v>
      </c>
      <c r="C1856" t="s">
        <v>4460</v>
      </c>
      <c r="D1856" t="s">
        <v>4461</v>
      </c>
      <c r="E1856" t="s">
        <v>4917</v>
      </c>
      <c r="F1856" t="s">
        <v>4845</v>
      </c>
      <c r="G1856" s="27" t="str">
        <f t="shared" si="58"/>
        <v>8800 S BRAESWOOD BLV D HOUSTON</v>
      </c>
      <c r="H1856" s="27" t="str">
        <f t="shared" si="59"/>
        <v>HOUSTON TX 77031</v>
      </c>
    </row>
    <row r="1857" spans="1:8" x14ac:dyDescent="0.2">
      <c r="A1857" s="27">
        <f>COUNTIFS(C:C,C1857,D:D,D1857)</f>
        <v>1</v>
      </c>
      <c r="B1857" s="30">
        <v>202101158562</v>
      </c>
      <c r="C1857" t="s">
        <v>4462</v>
      </c>
      <c r="D1857" t="s">
        <v>4463</v>
      </c>
      <c r="E1857" t="s">
        <v>4987</v>
      </c>
      <c r="F1857" t="s">
        <v>88</v>
      </c>
      <c r="G1857" s="27" t="str">
        <f t="shared" si="58"/>
        <v>7760 HAMMERLY BLVD 4 4 HOUSTON</v>
      </c>
      <c r="H1857" s="27" t="str">
        <f t="shared" si="59"/>
        <v>HOUSTON TX 77055</v>
      </c>
    </row>
    <row r="1858" spans="1:8" x14ac:dyDescent="0.2">
      <c r="A1858" s="27">
        <f>COUNTIFS(C:C,C1858,D:D,D1858)</f>
        <v>1</v>
      </c>
      <c r="B1858" s="30">
        <v>202101158564</v>
      </c>
      <c r="C1858" t="s">
        <v>4464</v>
      </c>
      <c r="D1858" t="s">
        <v>4465</v>
      </c>
      <c r="E1858" t="s">
        <v>5124</v>
      </c>
      <c r="F1858" t="s">
        <v>88</v>
      </c>
      <c r="G1858" s="27" t="str">
        <f t="shared" si="58"/>
        <v>2930 WESTHEIMER RD  HOUSTON</v>
      </c>
      <c r="H1858" s="27" t="str">
        <f t="shared" si="59"/>
        <v>HOUSTON TX 77019</v>
      </c>
    </row>
    <row r="1859" spans="1:8" x14ac:dyDescent="0.2">
      <c r="A1859" s="27">
        <f>COUNTIFS(C:C,C1859,D:D,D1859)</f>
        <v>1</v>
      </c>
      <c r="B1859" s="30">
        <v>202101158567</v>
      </c>
      <c r="C1859" t="s">
        <v>4466</v>
      </c>
      <c r="D1859" t="s">
        <v>4467</v>
      </c>
      <c r="E1859" t="s">
        <v>5271</v>
      </c>
      <c r="F1859" t="s">
        <v>88</v>
      </c>
      <c r="G1859" s="27" t="str">
        <f t="shared" si="58"/>
        <v>821 E DREYER  PHARR</v>
      </c>
      <c r="H1859" s="27" t="str">
        <f t="shared" si="59"/>
        <v>HOUSTON TX 78577</v>
      </c>
    </row>
    <row r="1860" spans="1:8" x14ac:dyDescent="0.2">
      <c r="A1860" s="27">
        <f>COUNTIFS(C:C,C1860,D:D,D1860)</f>
        <v>1</v>
      </c>
      <c r="B1860" s="30">
        <v>202101158569</v>
      </c>
      <c r="C1860" t="s">
        <v>2191</v>
      </c>
      <c r="D1860" t="s">
        <v>2192</v>
      </c>
      <c r="E1860" t="s">
        <v>5109</v>
      </c>
      <c r="F1860" t="s">
        <v>90</v>
      </c>
      <c r="G1860" s="27" t="str">
        <f t="shared" si="58"/>
        <v>13011 BETHEL CT  SANTA FE</v>
      </c>
      <c r="H1860" s="27" t="str">
        <f t="shared" si="59"/>
        <v xml:space="preserve">HOUSTON TX      </v>
      </c>
    </row>
    <row r="1861" spans="1:8" x14ac:dyDescent="0.2">
      <c r="A1861" s="27">
        <f>COUNTIFS(C:C,C1861,D:D,D1861)</f>
        <v>1</v>
      </c>
      <c r="B1861" s="30">
        <v>202101158573</v>
      </c>
      <c r="C1861" t="s">
        <v>4468</v>
      </c>
      <c r="D1861" t="s">
        <v>4469</v>
      </c>
      <c r="E1861" t="s">
        <v>4856</v>
      </c>
      <c r="F1861" t="s">
        <v>53</v>
      </c>
      <c r="G1861" s="27" t="str">
        <f t="shared" si="58"/>
        <v>815 AXILDA ST  HOUSTON</v>
      </c>
      <c r="H1861" s="27" t="str">
        <f t="shared" si="59"/>
        <v>HOUSTON TX 77017</v>
      </c>
    </row>
    <row r="1862" spans="1:8" x14ac:dyDescent="0.2">
      <c r="A1862" s="27">
        <f>COUNTIFS(C:C,C1862,D:D,D1862)</f>
        <v>1</v>
      </c>
      <c r="B1862" s="30">
        <v>202101158574</v>
      </c>
      <c r="C1862" t="s">
        <v>2850</v>
      </c>
      <c r="D1862" t="s">
        <v>2423</v>
      </c>
      <c r="E1862" t="s">
        <v>4952</v>
      </c>
      <c r="F1862" t="s">
        <v>88</v>
      </c>
      <c r="G1862" s="27" t="str">
        <f t="shared" si="58"/>
        <v>1100 BURKE RD  PASADENA</v>
      </c>
      <c r="H1862" s="27" t="str">
        <f t="shared" si="59"/>
        <v>HOUSTON TX 77506</v>
      </c>
    </row>
    <row r="1863" spans="1:8" x14ac:dyDescent="0.2">
      <c r="A1863" s="27">
        <f>COUNTIFS(C:C,C1863,D:D,D1863)</f>
        <v>1</v>
      </c>
      <c r="B1863" s="30">
        <v>202101158575</v>
      </c>
      <c r="C1863" t="s">
        <v>2348</v>
      </c>
      <c r="D1863" t="s">
        <v>2349</v>
      </c>
      <c r="E1863" t="s">
        <v>4955</v>
      </c>
      <c r="F1863" t="s">
        <v>68</v>
      </c>
      <c r="G1863" s="27" t="str">
        <f t="shared" si="58"/>
        <v>1803 MERLE ST  PASADENA</v>
      </c>
      <c r="H1863" s="27" t="str">
        <f t="shared" si="59"/>
        <v xml:space="preserve">HOUSTON TX      </v>
      </c>
    </row>
    <row r="1864" spans="1:8" x14ac:dyDescent="0.2">
      <c r="A1864" s="27">
        <f>COUNTIFS(C:C,C1864,D:D,D1864)</f>
        <v>1</v>
      </c>
      <c r="B1864" s="30">
        <v>202101158577</v>
      </c>
      <c r="C1864" t="s">
        <v>2195</v>
      </c>
      <c r="D1864" t="s">
        <v>2196</v>
      </c>
      <c r="E1864" t="s">
        <v>4859</v>
      </c>
      <c r="F1864" t="s">
        <v>75</v>
      </c>
      <c r="G1864" s="27" t="str">
        <f t="shared" si="58"/>
        <v>1116 VERDE TRAILS DR  HOUSTON</v>
      </c>
      <c r="H1864" s="27" t="str">
        <f t="shared" si="59"/>
        <v>HOUSTON TX 77073</v>
      </c>
    </row>
    <row r="1865" spans="1:8" x14ac:dyDescent="0.2">
      <c r="A1865" s="27">
        <f>COUNTIFS(C:C,C1865,D:D,D1865)</f>
        <v>1</v>
      </c>
      <c r="B1865" s="30">
        <v>202101158578</v>
      </c>
      <c r="C1865" t="s">
        <v>3148</v>
      </c>
      <c r="D1865" t="s">
        <v>3149</v>
      </c>
      <c r="E1865" t="s">
        <v>4865</v>
      </c>
      <c r="F1865" t="s">
        <v>78</v>
      </c>
      <c r="G1865" s="27" t="str">
        <f t="shared" si="58"/>
        <v>1518 ELKANS RD  HOUSTON</v>
      </c>
      <c r="H1865" s="27" t="str">
        <f t="shared" si="59"/>
        <v xml:space="preserve">HOUSTON TX      </v>
      </c>
    </row>
    <row r="1866" spans="1:8" x14ac:dyDescent="0.2">
      <c r="A1866" s="27">
        <f>COUNTIFS(C:C,C1866,D:D,D1866)</f>
        <v>1</v>
      </c>
      <c r="B1866" s="30">
        <v>202101158579</v>
      </c>
      <c r="C1866" s="28" t="s">
        <v>827</v>
      </c>
      <c r="D1866" s="28" t="s">
        <v>828</v>
      </c>
      <c r="E1866" s="28" t="s">
        <v>4874</v>
      </c>
      <c r="F1866" s="28" t="s">
        <v>88</v>
      </c>
      <c r="G1866" s="27" t="str">
        <f t="shared" si="58"/>
        <v>4929 REDBUD ST  HOUSTON</v>
      </c>
      <c r="H1866" s="27" t="str">
        <f t="shared" si="59"/>
        <v>HOUSTON TX 77033</v>
      </c>
    </row>
    <row r="1867" spans="1:8" x14ac:dyDescent="0.2">
      <c r="A1867" s="27">
        <f>COUNTIFS(C:C,C1867,D:D,D1867)</f>
        <v>1</v>
      </c>
      <c r="B1867" s="30">
        <v>202101158580</v>
      </c>
      <c r="C1867" t="s">
        <v>4470</v>
      </c>
      <c r="D1867" t="s">
        <v>4471</v>
      </c>
      <c r="E1867" t="s">
        <v>5104</v>
      </c>
      <c r="F1867" t="s">
        <v>83</v>
      </c>
      <c r="G1867" s="27" t="str">
        <f t="shared" si="58"/>
        <v>12445 CARIDAS DR  HOUSTON</v>
      </c>
      <c r="H1867" s="27" t="str">
        <f t="shared" si="59"/>
        <v>HOUSTON TX 77085</v>
      </c>
    </row>
    <row r="1868" spans="1:8" x14ac:dyDescent="0.2">
      <c r="A1868" s="27">
        <f>COUNTIFS(C:C,C1868,D:D,D1868)</f>
        <v>1</v>
      </c>
      <c r="B1868" s="30">
        <v>202101158582</v>
      </c>
      <c r="C1868" s="28" t="s">
        <v>1090</v>
      </c>
      <c r="D1868" s="28" t="s">
        <v>1091</v>
      </c>
      <c r="E1868" s="28" t="s">
        <v>4894</v>
      </c>
      <c r="F1868" s="28" t="s">
        <v>53</v>
      </c>
      <c r="G1868" s="27" t="str">
        <f t="shared" si="58"/>
        <v>4907 HARDY ST  HOUSTON</v>
      </c>
      <c r="H1868" s="27" t="str">
        <f t="shared" si="59"/>
        <v>HOUSTON TX 77009</v>
      </c>
    </row>
    <row r="1869" spans="1:8" x14ac:dyDescent="0.2">
      <c r="A1869" s="27">
        <f>COUNTIFS(C:C,C1869,D:D,D1869)</f>
        <v>1</v>
      </c>
      <c r="B1869" s="30">
        <v>202101158583</v>
      </c>
      <c r="C1869" s="28" t="s">
        <v>1092</v>
      </c>
      <c r="D1869" s="28" t="s">
        <v>1093</v>
      </c>
      <c r="E1869" s="28" t="s">
        <v>4866</v>
      </c>
      <c r="F1869" s="28" t="s">
        <v>78</v>
      </c>
      <c r="G1869" s="27" t="str">
        <f t="shared" si="58"/>
        <v>321 INNSDALE STREET  HOUSTON</v>
      </c>
      <c r="H1869" s="27" t="str">
        <f t="shared" si="59"/>
        <v>HOUSTON TX 77076</v>
      </c>
    </row>
    <row r="1870" spans="1:8" x14ac:dyDescent="0.2">
      <c r="A1870" s="27">
        <f>COUNTIFS(C:C,C1870,D:D,D1870)</f>
        <v>1</v>
      </c>
      <c r="B1870" s="30">
        <v>202101158586</v>
      </c>
      <c r="C1870" s="28" t="s">
        <v>476</v>
      </c>
      <c r="D1870" s="28" t="s">
        <v>477</v>
      </c>
      <c r="E1870" s="28" t="s">
        <v>4879</v>
      </c>
      <c r="F1870" s="28" t="s">
        <v>87</v>
      </c>
      <c r="G1870" s="27" t="str">
        <f t="shared" si="58"/>
        <v>2421 CARMEL ST  HOUSTON</v>
      </c>
      <c r="H1870" s="27" t="str">
        <f t="shared" si="59"/>
        <v>HOUSTON TX 77091</v>
      </c>
    </row>
    <row r="1871" spans="1:8" x14ac:dyDescent="0.2">
      <c r="A1871" s="27">
        <f>COUNTIFS(C:C,C1871,D:D,D1871)</f>
        <v>1</v>
      </c>
      <c r="B1871" s="30">
        <v>202101158587</v>
      </c>
      <c r="C1871" s="28" t="s">
        <v>1821</v>
      </c>
      <c r="D1871" s="28" t="s">
        <v>1822</v>
      </c>
      <c r="E1871" s="28" t="s">
        <v>4919</v>
      </c>
      <c r="F1871" s="28" t="s">
        <v>88</v>
      </c>
      <c r="G1871" s="27" t="str">
        <f t="shared" si="58"/>
        <v>6111 GLENMONT DR  HOUSTON</v>
      </c>
      <c r="H1871" s="27" t="str">
        <f t="shared" si="59"/>
        <v>HOUSTON TX 77081</v>
      </c>
    </row>
    <row r="1872" spans="1:8" x14ac:dyDescent="0.2">
      <c r="A1872" s="27">
        <f>COUNTIFS(C:C,C1872,D:D,D1872)</f>
        <v>1</v>
      </c>
      <c r="B1872" s="30">
        <v>202101158588</v>
      </c>
      <c r="C1872" t="s">
        <v>4472</v>
      </c>
      <c r="D1872" t="s">
        <v>4473</v>
      </c>
      <c r="E1872" t="s">
        <v>5002</v>
      </c>
      <c r="F1872" t="s">
        <v>156</v>
      </c>
      <c r="G1872" s="27" t="str">
        <f t="shared" si="58"/>
        <v>12910 ASHFORD POINT D R HOUSTON</v>
      </c>
      <c r="H1872" s="27" t="str">
        <f t="shared" si="59"/>
        <v>HOUSTON TX 77082</v>
      </c>
    </row>
    <row r="1873" spans="1:8" x14ac:dyDescent="0.2">
      <c r="A1873" s="27">
        <f>COUNTIFS(C:C,C1873,D:D,D1873)</f>
        <v>1</v>
      </c>
      <c r="B1873" s="30">
        <v>202101158589</v>
      </c>
      <c r="C1873" t="s">
        <v>4474</v>
      </c>
      <c r="D1873" t="s">
        <v>4475</v>
      </c>
      <c r="E1873" t="s">
        <v>5009</v>
      </c>
      <c r="F1873" t="s">
        <v>68</v>
      </c>
      <c r="G1873" s="27" t="str">
        <f t="shared" si="58"/>
        <v>2546 ACDIANA LN  SEABROOK</v>
      </c>
      <c r="H1873" s="27" t="str">
        <f t="shared" si="59"/>
        <v>HOUSTON TX 77586</v>
      </c>
    </row>
    <row r="1874" spans="1:8" x14ac:dyDescent="0.2">
      <c r="A1874" s="27">
        <f>COUNTIFS(C:C,C1874,D:D,D1874)</f>
        <v>1</v>
      </c>
      <c r="B1874" s="30">
        <v>202101158590</v>
      </c>
      <c r="C1874" t="s">
        <v>4476</v>
      </c>
      <c r="D1874" t="s">
        <v>4477</v>
      </c>
      <c r="E1874" t="s">
        <v>4943</v>
      </c>
      <c r="F1874" t="s">
        <v>90</v>
      </c>
      <c r="G1874" s="27" t="str">
        <f t="shared" si="58"/>
        <v>16631 CAINGORM DR  HOUSTON</v>
      </c>
      <c r="H1874" s="27" t="str">
        <f t="shared" si="59"/>
        <v>HOUSTON TX 77084</v>
      </c>
    </row>
    <row r="1875" spans="1:8" x14ac:dyDescent="0.2">
      <c r="A1875" s="27">
        <f>COUNTIFS(C:C,C1875,D:D,D1875)</f>
        <v>1</v>
      </c>
      <c r="B1875" s="30">
        <v>202101158591</v>
      </c>
      <c r="C1875" t="s">
        <v>4478</v>
      </c>
      <c r="D1875" t="s">
        <v>4479</v>
      </c>
      <c r="E1875" t="s">
        <v>4898</v>
      </c>
      <c r="F1875" t="s">
        <v>53</v>
      </c>
      <c r="G1875" s="27" t="str">
        <f t="shared" si="58"/>
        <v>10207 GULF MEADOWS DR  HOUSTON</v>
      </c>
      <c r="H1875" s="27" t="str">
        <f t="shared" si="59"/>
        <v>HOUSTON TX 77075</v>
      </c>
    </row>
    <row r="1876" spans="1:8" x14ac:dyDescent="0.2">
      <c r="A1876" s="27">
        <f>COUNTIFS(C:C,C1876,D:D,D1876)</f>
        <v>1</v>
      </c>
      <c r="B1876" s="30">
        <v>202101158592</v>
      </c>
      <c r="C1876" s="28" t="s">
        <v>1717</v>
      </c>
      <c r="D1876" s="28" t="s">
        <v>1718</v>
      </c>
      <c r="E1876" s="28" t="s">
        <v>4869</v>
      </c>
      <c r="F1876" s="28" t="s">
        <v>87</v>
      </c>
      <c r="G1876" s="27" t="str">
        <f t="shared" si="58"/>
        <v>718 MARTIN ST  HOUSTON</v>
      </c>
      <c r="H1876" s="27" t="str">
        <f t="shared" si="59"/>
        <v>HOUSTON TX 77018</v>
      </c>
    </row>
    <row r="1877" spans="1:8" x14ac:dyDescent="0.2">
      <c r="A1877" s="27">
        <f>COUNTIFS(C:C,C1877,D:D,D1877)</f>
        <v>1</v>
      </c>
      <c r="B1877" s="30">
        <v>202101158593</v>
      </c>
      <c r="C1877" t="s">
        <v>4480</v>
      </c>
      <c r="D1877" t="s">
        <v>4481</v>
      </c>
      <c r="E1877" t="s">
        <v>4900</v>
      </c>
      <c r="F1877" t="s">
        <v>88</v>
      </c>
      <c r="G1877" s="27" t="str">
        <f t="shared" si="58"/>
        <v>20710 CALLOWAY CREST CT KATY</v>
      </c>
      <c r="H1877" s="27" t="str">
        <f t="shared" si="59"/>
        <v>HOUSTON TX 77449</v>
      </c>
    </row>
    <row r="1878" spans="1:8" x14ac:dyDescent="0.2">
      <c r="A1878" s="27">
        <f>COUNTIFS(C:C,C1878,D:D,D1878)</f>
        <v>1</v>
      </c>
      <c r="B1878" s="30">
        <v>202101158596</v>
      </c>
      <c r="C1878" t="s">
        <v>4482</v>
      </c>
      <c r="D1878" t="s">
        <v>4483</v>
      </c>
      <c r="E1878" t="s">
        <v>4982</v>
      </c>
      <c r="F1878" t="s">
        <v>79</v>
      </c>
      <c r="G1878" s="27" t="str">
        <f t="shared" si="58"/>
        <v>10445 GREENS CROSSING 127 HOUSTON</v>
      </c>
      <c r="H1878" s="27" t="str">
        <f t="shared" si="59"/>
        <v>HOUSTON TX 77038</v>
      </c>
    </row>
    <row r="1879" spans="1:8" x14ac:dyDescent="0.2">
      <c r="A1879" s="27">
        <f>COUNTIFS(C:C,C1879,D:D,D1879)</f>
        <v>1</v>
      </c>
      <c r="B1879" s="30">
        <v>202101158600</v>
      </c>
      <c r="C1879" s="28" t="s">
        <v>1838</v>
      </c>
      <c r="D1879" s="28" t="s">
        <v>1839</v>
      </c>
      <c r="E1879" s="28" t="s">
        <v>4859</v>
      </c>
      <c r="F1879" s="28" t="s">
        <v>53</v>
      </c>
      <c r="G1879" s="27" t="str">
        <f t="shared" si="58"/>
        <v>914 VISTA BEND DR  HOUSTON</v>
      </c>
      <c r="H1879" s="27" t="str">
        <f t="shared" si="59"/>
        <v>HOUSTON TX 77073</v>
      </c>
    </row>
    <row r="1880" spans="1:8" x14ac:dyDescent="0.2">
      <c r="A1880" s="27">
        <f>COUNTIFS(C:C,C1880,D:D,D1880)</f>
        <v>1</v>
      </c>
      <c r="B1880" s="30">
        <v>202101158603</v>
      </c>
      <c r="C1880" t="s">
        <v>4484</v>
      </c>
      <c r="D1880" t="s">
        <v>4485</v>
      </c>
      <c r="E1880" t="s">
        <v>4977</v>
      </c>
      <c r="F1880" t="s">
        <v>88</v>
      </c>
      <c r="G1880" s="27" t="str">
        <f t="shared" si="58"/>
        <v>6330 WINDSWEPT LN 11 6 HOUSTON</v>
      </c>
      <c r="H1880" s="27" t="str">
        <f t="shared" si="59"/>
        <v>HOUSTON TX 77057</v>
      </c>
    </row>
    <row r="1881" spans="1:8" x14ac:dyDescent="0.2">
      <c r="A1881" s="27">
        <f>COUNTIFS(C:C,C1881,D:D,D1881)</f>
        <v>1</v>
      </c>
      <c r="B1881" s="30">
        <v>202101158610</v>
      </c>
      <c r="C1881" t="s">
        <v>2733</v>
      </c>
      <c r="D1881" t="s">
        <v>2734</v>
      </c>
      <c r="E1881" t="s">
        <v>4886</v>
      </c>
      <c r="F1881" t="s">
        <v>88</v>
      </c>
      <c r="G1881" s="27" t="str">
        <f t="shared" si="58"/>
        <v>6300 WEST BELLFORT S T HOUSTON</v>
      </c>
      <c r="H1881" s="27" t="str">
        <f t="shared" si="59"/>
        <v>HOUSTON TX 77035</v>
      </c>
    </row>
    <row r="1882" spans="1:8" x14ac:dyDescent="0.2">
      <c r="A1882" s="27">
        <f>COUNTIFS(C:C,C1882,D:D,D1882)</f>
        <v>1</v>
      </c>
      <c r="B1882" s="30">
        <v>202101158611</v>
      </c>
      <c r="C1882" t="s">
        <v>2936</v>
      </c>
      <c r="D1882" t="s">
        <v>2937</v>
      </c>
      <c r="E1882" t="s">
        <v>4886</v>
      </c>
      <c r="F1882" t="s">
        <v>57</v>
      </c>
      <c r="G1882" s="27" t="str">
        <f t="shared" si="58"/>
        <v>14550 FONMEADOW DR  HOUSTON</v>
      </c>
      <c r="H1882" s="27" t="str">
        <f t="shared" si="59"/>
        <v>HOUSTON TX 77035</v>
      </c>
    </row>
    <row r="1883" spans="1:8" x14ac:dyDescent="0.2">
      <c r="A1883" s="27">
        <f>COUNTIFS(C:C,C1883,D:D,D1883)</f>
        <v>1</v>
      </c>
      <c r="B1883" s="30">
        <v>202101158612</v>
      </c>
      <c r="C1883" t="s">
        <v>2601</v>
      </c>
      <c r="D1883" t="s">
        <v>2602</v>
      </c>
      <c r="E1883" t="s">
        <v>4943</v>
      </c>
      <c r="F1883" t="s">
        <v>53</v>
      </c>
      <c r="G1883" s="27" t="str">
        <f t="shared" si="58"/>
        <v>5635 TIMBER CREEK PL ACE DR HOUSTON</v>
      </c>
      <c r="H1883" s="27" t="str">
        <f t="shared" si="59"/>
        <v>HOUSTON TX 77084</v>
      </c>
    </row>
    <row r="1884" spans="1:8" x14ac:dyDescent="0.2">
      <c r="A1884" s="27">
        <f>COUNTIFS(C:C,C1884,D:D,D1884)</f>
        <v>1</v>
      </c>
      <c r="B1884" s="30">
        <v>202101158613</v>
      </c>
      <c r="C1884" t="s">
        <v>3199</v>
      </c>
      <c r="D1884" t="s">
        <v>3200</v>
      </c>
      <c r="E1884" t="s">
        <v>4869</v>
      </c>
      <c r="F1884" t="s">
        <v>66</v>
      </c>
      <c r="G1884" s="27" t="str">
        <f t="shared" si="58"/>
        <v>5050 YALE ST  HOUSTON</v>
      </c>
      <c r="H1884" s="27" t="str">
        <f t="shared" si="59"/>
        <v>HOUSTON TX 77018</v>
      </c>
    </row>
    <row r="1885" spans="1:8" x14ac:dyDescent="0.2">
      <c r="A1885" s="27">
        <f>COUNTIFS(C:C,C1885,D:D,D1885)</f>
        <v>1</v>
      </c>
      <c r="B1885" s="30">
        <v>202101158615</v>
      </c>
      <c r="C1885" t="s">
        <v>2877</v>
      </c>
      <c r="D1885" t="s">
        <v>2878</v>
      </c>
      <c r="E1885" t="s">
        <v>4854</v>
      </c>
      <c r="F1885" t="s">
        <v>99</v>
      </c>
      <c r="G1885" s="27" t="str">
        <f t="shared" si="58"/>
        <v>3103 QUITMAN ST  HOUSTON</v>
      </c>
      <c r="H1885" s="27" t="str">
        <f t="shared" si="59"/>
        <v>HOUSTON TX 77026</v>
      </c>
    </row>
    <row r="1886" spans="1:8" x14ac:dyDescent="0.2">
      <c r="A1886" s="27">
        <f>COUNTIFS(C:C,C1886,D:D,D1886)</f>
        <v>1</v>
      </c>
      <c r="B1886" s="30">
        <v>202101158616</v>
      </c>
      <c r="C1886" t="s">
        <v>4486</v>
      </c>
      <c r="D1886" t="s">
        <v>4487</v>
      </c>
      <c r="E1886" t="s">
        <v>5077</v>
      </c>
      <c r="F1886" t="s">
        <v>88</v>
      </c>
      <c r="G1886" s="27" t="str">
        <f t="shared" si="58"/>
        <v>302 OATES RD  HOUSTON</v>
      </c>
      <c r="H1886" s="27" t="str">
        <f t="shared" si="59"/>
        <v>HOUSTON TX 77013</v>
      </c>
    </row>
    <row r="1887" spans="1:8" x14ac:dyDescent="0.2">
      <c r="A1887" s="27">
        <f>COUNTIFS(C:C,C1887,D:D,D1887)</f>
        <v>1</v>
      </c>
      <c r="B1887" s="30">
        <v>202101158618</v>
      </c>
      <c r="C1887" t="s">
        <v>4488</v>
      </c>
      <c r="D1887" t="s">
        <v>4489</v>
      </c>
      <c r="E1887" t="s">
        <v>5137</v>
      </c>
      <c r="F1887" t="s">
        <v>4846</v>
      </c>
      <c r="G1887" s="27" t="str">
        <f t="shared" si="58"/>
        <v>5220 BROWNWAY ST 121 6 HOUSTON</v>
      </c>
      <c r="H1887" s="27" t="str">
        <f t="shared" si="59"/>
        <v>HOUSTON TX 77056</v>
      </c>
    </row>
    <row r="1888" spans="1:8" x14ac:dyDescent="0.2">
      <c r="A1888" s="27">
        <f>COUNTIFS(C:C,C1888,D:D,D1888)</f>
        <v>1</v>
      </c>
      <c r="B1888" s="30">
        <v>202101158620</v>
      </c>
      <c r="C1888" t="s">
        <v>3075</v>
      </c>
      <c r="D1888" t="s">
        <v>3076</v>
      </c>
      <c r="E1888" t="s">
        <v>5025</v>
      </c>
      <c r="F1888" t="s">
        <v>53</v>
      </c>
      <c r="G1888" s="27" t="str">
        <f t="shared" si="58"/>
        <v>23526 PADOVA GARDENS DR KATY</v>
      </c>
      <c r="H1888" s="27" t="str">
        <f t="shared" si="59"/>
        <v>HOUSTON TX 77493</v>
      </c>
    </row>
    <row r="1889" spans="1:8" x14ac:dyDescent="0.2">
      <c r="A1889" s="27">
        <f>COUNTIFS(C:C,C1889,D:D,D1889)</f>
        <v>1</v>
      </c>
      <c r="B1889" s="30">
        <v>202101158622</v>
      </c>
      <c r="C1889" t="s">
        <v>4490</v>
      </c>
      <c r="D1889" t="s">
        <v>4491</v>
      </c>
      <c r="E1889" t="s">
        <v>4853</v>
      </c>
      <c r="F1889" t="s">
        <v>382</v>
      </c>
      <c r="G1889" s="27" t="str">
        <f t="shared" si="58"/>
        <v>5771 EAST HAMPTON DR  HOUSTON</v>
      </c>
      <c r="H1889" s="27" t="str">
        <f t="shared" si="59"/>
        <v>HOUSTON TX 77039</v>
      </c>
    </row>
    <row r="1890" spans="1:8" x14ac:dyDescent="0.2">
      <c r="A1890" s="27">
        <f>COUNTIFS(C:C,C1890,D:D,D1890)</f>
        <v>1</v>
      </c>
      <c r="B1890" s="30">
        <v>202101158624</v>
      </c>
      <c r="C1890" t="s">
        <v>2000</v>
      </c>
      <c r="D1890" t="s">
        <v>2001</v>
      </c>
      <c r="E1890" t="s">
        <v>5091</v>
      </c>
      <c r="F1890" t="s">
        <v>96</v>
      </c>
      <c r="G1890" s="27" t="str">
        <f t="shared" si="58"/>
        <v>3514 WEISER DRIVE  HOUSTON</v>
      </c>
      <c r="H1890" s="27" t="str">
        <f t="shared" si="59"/>
        <v>HOUSTON TX 77503</v>
      </c>
    </row>
    <row r="1891" spans="1:8" x14ac:dyDescent="0.2">
      <c r="A1891" s="27">
        <f>COUNTIFS(C:C,C1891,D:D,D1891)</f>
        <v>1</v>
      </c>
      <c r="B1891" s="30">
        <v>202101158625</v>
      </c>
      <c r="C1891" t="s">
        <v>4492</v>
      </c>
      <c r="D1891" t="s">
        <v>4493</v>
      </c>
      <c r="E1891" t="s">
        <v>5081</v>
      </c>
      <c r="F1891" t="s">
        <v>79</v>
      </c>
      <c r="G1891" s="27" t="str">
        <f t="shared" si="58"/>
        <v>6214 GREAT OAKS DR  HOUSTON</v>
      </c>
      <c r="H1891" s="27" t="str">
        <f t="shared" si="59"/>
        <v>HOUSTON TX 77050</v>
      </c>
    </row>
    <row r="1892" spans="1:8" x14ac:dyDescent="0.2">
      <c r="A1892" s="27">
        <f>COUNTIFS(C:C,C1892,D:D,D1892)</f>
        <v>1</v>
      </c>
      <c r="B1892" s="30">
        <v>202101158626</v>
      </c>
      <c r="C1892" s="28" t="s">
        <v>1117</v>
      </c>
      <c r="D1892" s="28" t="s">
        <v>1118</v>
      </c>
      <c r="E1892" s="28" t="s">
        <v>4997</v>
      </c>
      <c r="F1892" s="28" t="s">
        <v>88</v>
      </c>
      <c r="G1892" s="27" t="str">
        <f t="shared" si="58"/>
        <v>9520 WILCREST DR  HOUSTON</v>
      </c>
      <c r="H1892" s="27" t="str">
        <f t="shared" si="59"/>
        <v>HOUSTON TX 77099</v>
      </c>
    </row>
    <row r="1893" spans="1:8" x14ac:dyDescent="0.2">
      <c r="A1893" s="27">
        <f>COUNTIFS(C:C,C1893,D:D,D1893)</f>
        <v>1</v>
      </c>
      <c r="B1893" s="30">
        <v>202101158627</v>
      </c>
      <c r="C1893" t="s">
        <v>2953</v>
      </c>
      <c r="D1893" t="s">
        <v>2954</v>
      </c>
      <c r="E1893" t="s">
        <v>4900</v>
      </c>
      <c r="F1893" t="s">
        <v>160</v>
      </c>
      <c r="G1893" s="27" t="str">
        <f t="shared" si="58"/>
        <v>19211 HOPEVIEW CT  KATY</v>
      </c>
      <c r="H1893" s="27" t="str">
        <f t="shared" si="59"/>
        <v>HOUSTON TX 77449</v>
      </c>
    </row>
    <row r="1894" spans="1:8" x14ac:dyDescent="0.2">
      <c r="A1894" s="27">
        <f>COUNTIFS(C:C,C1894,D:D,D1894)</f>
        <v>1</v>
      </c>
      <c r="B1894" s="30">
        <v>202101158628</v>
      </c>
      <c r="C1894" t="s">
        <v>2846</v>
      </c>
      <c r="D1894" t="s">
        <v>2847</v>
      </c>
      <c r="E1894" t="s">
        <v>4901</v>
      </c>
      <c r="F1894" t="s">
        <v>79</v>
      </c>
      <c r="G1894" s="27" t="str">
        <f t="shared" si="58"/>
        <v>7140 S DAIRY ASHFORD  HOUSTON</v>
      </c>
      <c r="H1894" s="27" t="str">
        <f t="shared" si="59"/>
        <v>HOUSTON TX 77072</v>
      </c>
    </row>
    <row r="1895" spans="1:8" x14ac:dyDescent="0.2">
      <c r="A1895" s="27">
        <f>COUNTIFS(C:C,C1895,D:D,D1895)</f>
        <v>1</v>
      </c>
      <c r="B1895" s="30">
        <v>202101158629</v>
      </c>
      <c r="C1895" t="s">
        <v>2580</v>
      </c>
      <c r="D1895" t="s">
        <v>2581</v>
      </c>
      <c r="E1895" t="s">
        <v>4855</v>
      </c>
      <c r="F1895" t="s">
        <v>66</v>
      </c>
      <c r="G1895" s="27" t="str">
        <f t="shared" si="58"/>
        <v>9550 N WAYSIDE DR  HOUSTON</v>
      </c>
      <c r="H1895" s="27" t="str">
        <f t="shared" si="59"/>
        <v>HOUSTON TX 77078</v>
      </c>
    </row>
    <row r="1896" spans="1:8" x14ac:dyDescent="0.2">
      <c r="A1896" s="27">
        <f>COUNTIFS(C:C,C1896,D:D,D1896)</f>
        <v>1</v>
      </c>
      <c r="B1896" s="30">
        <v>202101158631</v>
      </c>
      <c r="C1896" s="28" t="s">
        <v>1293</v>
      </c>
      <c r="D1896" s="28" t="s">
        <v>1294</v>
      </c>
      <c r="E1896" s="28" t="s">
        <v>5023</v>
      </c>
      <c r="F1896" s="28" t="s">
        <v>288</v>
      </c>
      <c r="G1896" s="27" t="str">
        <f t="shared" si="58"/>
        <v>8165 RICHMOND AVE  HOUSTON</v>
      </c>
      <c r="H1896" s="27" t="str">
        <f t="shared" si="59"/>
        <v>HOUSTON TX 77063</v>
      </c>
    </row>
    <row r="1897" spans="1:8" x14ac:dyDescent="0.2">
      <c r="A1897" s="27">
        <f>COUNTIFS(C:C,C1897,D:D,D1897)</f>
        <v>1</v>
      </c>
      <c r="B1897" s="30">
        <v>202101158632</v>
      </c>
      <c r="C1897" t="s">
        <v>4494</v>
      </c>
      <c r="D1897" t="s">
        <v>4495</v>
      </c>
      <c r="E1897" t="s">
        <v>5061</v>
      </c>
      <c r="F1897" t="s">
        <v>64</v>
      </c>
      <c r="G1897" s="27" t="str">
        <f t="shared" si="58"/>
        <v>18 CR 42682  DAYTON</v>
      </c>
      <c r="H1897" s="27" t="str">
        <f t="shared" si="59"/>
        <v>HOUSTON TX 77535</v>
      </c>
    </row>
    <row r="1898" spans="1:8" x14ac:dyDescent="0.2">
      <c r="A1898" s="27">
        <f>COUNTIFS(C:C,C1898,D:D,D1898)</f>
        <v>1</v>
      </c>
      <c r="B1898" s="30">
        <v>202101158634</v>
      </c>
      <c r="C1898" t="s">
        <v>2757</v>
      </c>
      <c r="D1898" t="s">
        <v>2758</v>
      </c>
      <c r="E1898" t="s">
        <v>5061</v>
      </c>
      <c r="F1898" t="s">
        <v>64</v>
      </c>
      <c r="G1898" s="27" t="str">
        <f t="shared" ref="G1898:G1961" si="60">D1898&amp;" "&amp;MID(E1898,1,FIND(" TX",E1898)-1)</f>
        <v>315 LAVACA LN  DAYTON</v>
      </c>
      <c r="H1898" s="27" t="str">
        <f t="shared" ref="H1898:H1961" si="61">"HOUSTON "&amp;MID(E1898,FIND("TX",E1898),8)</f>
        <v>HOUSTON TX 77535</v>
      </c>
    </row>
    <row r="1899" spans="1:8" x14ac:dyDescent="0.2">
      <c r="A1899" s="27">
        <f>COUNTIFS(C:C,C1899,D:D,D1899)</f>
        <v>1</v>
      </c>
      <c r="B1899" s="30">
        <v>202101158639</v>
      </c>
      <c r="C1899" s="28" t="s">
        <v>1416</v>
      </c>
      <c r="D1899" s="28" t="s">
        <v>1417</v>
      </c>
      <c r="E1899" s="28" t="s">
        <v>4878</v>
      </c>
      <c r="F1899" s="28" t="s">
        <v>312</v>
      </c>
      <c r="G1899" s="27" t="str">
        <f t="shared" si="60"/>
        <v>5639 ELM SPRINGS DR  HOUSTON</v>
      </c>
      <c r="H1899" s="27" t="str">
        <f t="shared" si="61"/>
        <v>HOUSTON TX 77048</v>
      </c>
    </row>
    <row r="1900" spans="1:8" x14ac:dyDescent="0.2">
      <c r="A1900" s="27">
        <f>COUNTIFS(C:C,C1900,D:D,D1900)</f>
        <v>1</v>
      </c>
      <c r="B1900" s="30">
        <v>202101158645</v>
      </c>
      <c r="C1900" s="28" t="s">
        <v>1695</v>
      </c>
      <c r="D1900" s="28" t="s">
        <v>1696</v>
      </c>
      <c r="E1900" s="28" t="s">
        <v>4960</v>
      </c>
      <c r="F1900" s="28" t="s">
        <v>51</v>
      </c>
      <c r="G1900" s="27" t="str">
        <f t="shared" si="60"/>
        <v>187 CASA GRANDE  HOUSTON</v>
      </c>
      <c r="H1900" s="27" t="str">
        <f t="shared" si="61"/>
        <v>HOUSTON TX 77060</v>
      </c>
    </row>
    <row r="1901" spans="1:8" x14ac:dyDescent="0.2">
      <c r="A1901" s="27">
        <f>COUNTIFS(C:C,C1901,D:D,D1901)</f>
        <v>1</v>
      </c>
      <c r="B1901" s="30">
        <v>202101158646</v>
      </c>
      <c r="C1901" s="28" t="s">
        <v>1307</v>
      </c>
      <c r="D1901" s="28" t="s">
        <v>1308</v>
      </c>
      <c r="E1901" s="28" t="s">
        <v>4864</v>
      </c>
      <c r="F1901" s="28" t="s">
        <v>68</v>
      </c>
      <c r="G1901" s="27" t="str">
        <f t="shared" si="60"/>
        <v>2222 LOCKWOOD DR  HOUSTON</v>
      </c>
      <c r="H1901" s="27" t="str">
        <f t="shared" si="61"/>
        <v>HOUSTON TX 77020</v>
      </c>
    </row>
    <row r="1902" spans="1:8" x14ac:dyDescent="0.2">
      <c r="A1902" s="27">
        <f>COUNTIFS(C:C,C1902,D:D,D1902)</f>
        <v>1</v>
      </c>
      <c r="B1902" s="30">
        <v>202101158647</v>
      </c>
      <c r="C1902" s="28" t="s">
        <v>1046</v>
      </c>
      <c r="D1902" s="28" t="s">
        <v>1047</v>
      </c>
      <c r="E1902" s="28" t="s">
        <v>4880</v>
      </c>
      <c r="F1902" s="28" t="s">
        <v>64</v>
      </c>
      <c r="G1902" s="27" t="str">
        <f t="shared" si="60"/>
        <v>3711 SOUTHMORE BLVD  HOUSTON</v>
      </c>
      <c r="H1902" s="27" t="str">
        <f t="shared" si="61"/>
        <v>HOUSTON TX 77004</v>
      </c>
    </row>
    <row r="1903" spans="1:8" x14ac:dyDescent="0.2">
      <c r="A1903" s="27">
        <f>COUNTIFS(C:C,C1903,D:D,D1903)</f>
        <v>1</v>
      </c>
      <c r="B1903" s="30">
        <v>202101158652</v>
      </c>
      <c r="C1903" s="28" t="s">
        <v>910</v>
      </c>
      <c r="D1903" s="28" t="s">
        <v>911</v>
      </c>
      <c r="E1903" s="28" t="s">
        <v>4982</v>
      </c>
      <c r="F1903" s="28" t="s">
        <v>98</v>
      </c>
      <c r="G1903" s="27" t="str">
        <f t="shared" si="60"/>
        <v>411 WEST RD APT  HOUSTON</v>
      </c>
      <c r="H1903" s="27" t="str">
        <f t="shared" si="61"/>
        <v>HOUSTON TX 77038</v>
      </c>
    </row>
    <row r="1904" spans="1:8" x14ac:dyDescent="0.2">
      <c r="A1904" s="27">
        <f>COUNTIFS(C:C,C1904,D:D,D1904)</f>
        <v>1</v>
      </c>
      <c r="B1904" s="30">
        <v>202101158654</v>
      </c>
      <c r="C1904" t="s">
        <v>1959</v>
      </c>
      <c r="D1904" t="s">
        <v>1960</v>
      </c>
      <c r="E1904" t="s">
        <v>4854</v>
      </c>
      <c r="F1904" t="s">
        <v>56</v>
      </c>
      <c r="G1904" s="27" t="str">
        <f t="shared" si="60"/>
        <v>3433 LINN  HOUSTON</v>
      </c>
      <c r="H1904" s="27" t="str">
        <f t="shared" si="61"/>
        <v>HOUSTON TX 77026</v>
      </c>
    </row>
    <row r="1905" spans="1:8" x14ac:dyDescent="0.2">
      <c r="A1905" s="27">
        <f>COUNTIFS(C:C,C1905,D:D,D1905)</f>
        <v>1</v>
      </c>
      <c r="B1905" s="30">
        <v>202101158658</v>
      </c>
      <c r="C1905" t="s">
        <v>2553</v>
      </c>
      <c r="D1905" t="s">
        <v>2554</v>
      </c>
      <c r="E1905" t="s">
        <v>4891</v>
      </c>
      <c r="F1905" t="s">
        <v>68</v>
      </c>
      <c r="G1905" s="27" t="str">
        <f t="shared" si="60"/>
        <v>9601 W MONTGOMERY RD APT 104 HOUSTON</v>
      </c>
      <c r="H1905" s="27" t="str">
        <f t="shared" si="61"/>
        <v>HOUSTON TX 77088</v>
      </c>
    </row>
    <row r="1906" spans="1:8" x14ac:dyDescent="0.2">
      <c r="A1906" s="27">
        <f>COUNTIFS(C:C,C1906,D:D,D1906)</f>
        <v>1</v>
      </c>
      <c r="B1906" s="30">
        <v>202101158659</v>
      </c>
      <c r="C1906" s="28" t="s">
        <v>1868</v>
      </c>
      <c r="D1906" s="28" t="s">
        <v>1869</v>
      </c>
      <c r="E1906" s="28" t="s">
        <v>4886</v>
      </c>
      <c r="F1906" s="28" t="s">
        <v>88</v>
      </c>
      <c r="G1906" s="27" t="str">
        <f t="shared" si="60"/>
        <v>6201 W BELLFORT ST  HOUSTON</v>
      </c>
      <c r="H1906" s="27" t="str">
        <f t="shared" si="61"/>
        <v>HOUSTON TX 77035</v>
      </c>
    </row>
    <row r="1907" spans="1:8" x14ac:dyDescent="0.2">
      <c r="A1907" s="27">
        <f>COUNTIFS(C:C,C1907,D:D,D1907)</f>
        <v>1</v>
      </c>
      <c r="B1907" s="30">
        <v>202101158660</v>
      </c>
      <c r="C1907" t="s">
        <v>4496</v>
      </c>
      <c r="D1907" t="s">
        <v>7604</v>
      </c>
      <c r="E1907" t="s">
        <v>4960</v>
      </c>
      <c r="F1907" t="s">
        <v>53</v>
      </c>
      <c r="G1907" s="27" t="str">
        <f t="shared" si="60"/>
        <v>303 BUSCH HOUSTON</v>
      </c>
      <c r="H1907" s="27" t="str">
        <f t="shared" si="61"/>
        <v>HOUSTON TX 77060</v>
      </c>
    </row>
    <row r="1908" spans="1:8" x14ac:dyDescent="0.2">
      <c r="A1908" s="27">
        <f>COUNTIFS(C:C,C1908,D:D,D1908)</f>
        <v>1</v>
      </c>
      <c r="B1908" s="30">
        <v>202101158661</v>
      </c>
      <c r="C1908" t="s">
        <v>4497</v>
      </c>
      <c r="D1908" t="s">
        <v>4498</v>
      </c>
      <c r="E1908" t="s">
        <v>5026</v>
      </c>
      <c r="F1908" t="s">
        <v>53</v>
      </c>
      <c r="G1908" s="27" t="str">
        <f t="shared" si="60"/>
        <v>15338 SILVERMAN ST  WEBSTER</v>
      </c>
      <c r="H1908" s="27" t="str">
        <f t="shared" si="61"/>
        <v>HOUSTON TX 77598</v>
      </c>
    </row>
    <row r="1909" spans="1:8" x14ac:dyDescent="0.2">
      <c r="A1909" s="27">
        <f>COUNTIFS(C:C,C1909,D:D,D1909)</f>
        <v>1</v>
      </c>
      <c r="B1909" s="30">
        <v>202101158662</v>
      </c>
      <c r="C1909" t="s">
        <v>3260</v>
      </c>
      <c r="D1909" t="s">
        <v>3261</v>
      </c>
      <c r="E1909" t="s">
        <v>4878</v>
      </c>
      <c r="F1909" t="s">
        <v>79</v>
      </c>
      <c r="G1909" s="27" t="str">
        <f t="shared" si="60"/>
        <v>4533 ALLISON RD  HOUSTON</v>
      </c>
      <c r="H1909" s="27" t="str">
        <f t="shared" si="61"/>
        <v>HOUSTON TX 77048</v>
      </c>
    </row>
    <row r="1910" spans="1:8" x14ac:dyDescent="0.2">
      <c r="A1910" s="27">
        <f>COUNTIFS(C:C,C1910,D:D,D1910)</f>
        <v>1</v>
      </c>
      <c r="B1910" s="30">
        <v>202101158667</v>
      </c>
      <c r="C1910" s="28" t="s">
        <v>1667</v>
      </c>
      <c r="D1910" s="28" t="s">
        <v>1668</v>
      </c>
      <c r="E1910" s="28" t="s">
        <v>4851</v>
      </c>
      <c r="F1910" s="28" t="s">
        <v>88</v>
      </c>
      <c r="G1910" s="27" t="str">
        <f t="shared" si="60"/>
        <v>1200 NORTHWOOD DR #5 08 BAYTOWN</v>
      </c>
      <c r="H1910" s="27" t="str">
        <f t="shared" si="61"/>
        <v>HOUSTON TX 77521</v>
      </c>
    </row>
    <row r="1911" spans="1:8" x14ac:dyDescent="0.2">
      <c r="A1911" s="27">
        <f>COUNTIFS(C:C,C1911,D:D,D1911)</f>
        <v>1</v>
      </c>
      <c r="B1911" s="30">
        <v>202101158668</v>
      </c>
      <c r="C1911" s="28" t="s">
        <v>1331</v>
      </c>
      <c r="D1911" s="28" t="s">
        <v>1332</v>
      </c>
      <c r="E1911" s="28" t="s">
        <v>4876</v>
      </c>
      <c r="F1911" s="28" t="s">
        <v>78</v>
      </c>
      <c r="G1911" s="27" t="str">
        <f t="shared" si="60"/>
        <v>14512 TEXARKANA  HOUSTON</v>
      </c>
      <c r="H1911" s="27" t="str">
        <f t="shared" si="61"/>
        <v>HOUSTON TX 77015</v>
      </c>
    </row>
    <row r="1912" spans="1:8" x14ac:dyDescent="0.2">
      <c r="A1912" s="27">
        <f>COUNTIFS(C:C,C1912,D:D,D1912)</f>
        <v>1</v>
      </c>
      <c r="B1912" s="30">
        <v>202101158669</v>
      </c>
      <c r="C1912" t="s">
        <v>4499</v>
      </c>
      <c r="D1912" t="s">
        <v>4500</v>
      </c>
      <c r="E1912" t="s">
        <v>4861</v>
      </c>
      <c r="F1912" t="s">
        <v>68</v>
      </c>
      <c r="G1912" s="27" t="str">
        <f t="shared" si="60"/>
        <v>3002 AIRPORT BLVD  HOUSTON</v>
      </c>
      <c r="H1912" s="27" t="str">
        <f t="shared" si="61"/>
        <v>HOUSTON TX 77051</v>
      </c>
    </row>
    <row r="1913" spans="1:8" x14ac:dyDescent="0.2">
      <c r="A1913" s="27">
        <f>COUNTIFS(C:C,C1913,D:D,D1913)</f>
        <v>1</v>
      </c>
      <c r="B1913" s="30">
        <v>202101158670</v>
      </c>
      <c r="C1913" t="s">
        <v>2731</v>
      </c>
      <c r="D1913" t="s">
        <v>2732</v>
      </c>
      <c r="E1913" t="s">
        <v>4969</v>
      </c>
      <c r="F1913" t="s">
        <v>88</v>
      </c>
      <c r="G1913" s="27" t="str">
        <f t="shared" si="60"/>
        <v>135 S CHESTNUT  TOMBALL</v>
      </c>
      <c r="H1913" s="27" t="str">
        <f t="shared" si="61"/>
        <v>HOUSTON TX 77375</v>
      </c>
    </row>
    <row r="1914" spans="1:8" x14ac:dyDescent="0.2">
      <c r="A1914" s="27">
        <f>COUNTIFS(C:C,C1914,D:D,D1914)</f>
        <v>1</v>
      </c>
      <c r="B1914" s="30">
        <v>202101158671</v>
      </c>
      <c r="C1914" t="s">
        <v>2838</v>
      </c>
      <c r="D1914" t="s">
        <v>2839</v>
      </c>
      <c r="E1914" t="s">
        <v>4901</v>
      </c>
      <c r="F1914" t="s">
        <v>91</v>
      </c>
      <c r="G1914" s="27" t="str">
        <f t="shared" si="60"/>
        <v>1442 LAKESIDE ESTATE S DR HOUSTON</v>
      </c>
      <c r="H1914" s="27" t="str">
        <f t="shared" si="61"/>
        <v>HOUSTON TX 77072</v>
      </c>
    </row>
    <row r="1915" spans="1:8" x14ac:dyDescent="0.2">
      <c r="A1915" s="27">
        <f>COUNTIFS(C:C,C1915,D:D,D1915)</f>
        <v>1</v>
      </c>
      <c r="B1915" s="30">
        <v>202101158674</v>
      </c>
      <c r="C1915" t="s">
        <v>4501</v>
      </c>
      <c r="D1915" t="s">
        <v>4502</v>
      </c>
      <c r="E1915" t="s">
        <v>5272</v>
      </c>
      <c r="F1915" t="s">
        <v>61</v>
      </c>
      <c r="G1915" s="27" t="str">
        <f t="shared" si="60"/>
        <v>27702 SASS FIELDS CT  FULSHEAR</v>
      </c>
      <c r="H1915" s="27" t="str">
        <f t="shared" si="61"/>
        <v>HOUSTON TX 77441</v>
      </c>
    </row>
    <row r="1916" spans="1:8" x14ac:dyDescent="0.2">
      <c r="A1916" s="27">
        <f>COUNTIFS(C:C,C1916,D:D,D1916)</f>
        <v>1</v>
      </c>
      <c r="B1916" s="30">
        <v>202101158675</v>
      </c>
      <c r="C1916" t="s">
        <v>2777</v>
      </c>
      <c r="D1916" t="s">
        <v>2778</v>
      </c>
      <c r="E1916" t="s">
        <v>4856</v>
      </c>
      <c r="F1916" t="s">
        <v>78</v>
      </c>
      <c r="G1916" s="27" t="str">
        <f t="shared" si="60"/>
        <v>2106 LINDEN CREEK LN  HOUSTON</v>
      </c>
      <c r="H1916" s="27" t="str">
        <f t="shared" si="61"/>
        <v>HOUSTON TX 77017</v>
      </c>
    </row>
    <row r="1917" spans="1:8" x14ac:dyDescent="0.2">
      <c r="A1917" s="27">
        <f>COUNTIFS(C:C,C1917,D:D,D1917)</f>
        <v>1</v>
      </c>
      <c r="B1917" s="30">
        <v>202101158677</v>
      </c>
      <c r="C1917" t="s">
        <v>4503</v>
      </c>
      <c r="D1917" t="s">
        <v>4504</v>
      </c>
      <c r="E1917" t="s">
        <v>5273</v>
      </c>
      <c r="F1917" t="s">
        <v>68</v>
      </c>
      <c r="G1917" s="27" t="str">
        <f t="shared" si="60"/>
        <v>7206 FOXWOOD  HUMBLE</v>
      </c>
      <c r="H1917" s="27" t="str">
        <f t="shared" si="61"/>
        <v>HOUSTON TX 77373</v>
      </c>
    </row>
    <row r="1918" spans="1:8" x14ac:dyDescent="0.2">
      <c r="A1918" s="27">
        <f>COUNTIFS(C:C,C1918,D:D,D1918)</f>
        <v>1</v>
      </c>
      <c r="B1918" s="30">
        <v>202101158680</v>
      </c>
      <c r="C1918" s="28" t="s">
        <v>522</v>
      </c>
      <c r="D1918" s="28" t="s">
        <v>523</v>
      </c>
      <c r="E1918" s="28" t="s">
        <v>4897</v>
      </c>
      <c r="F1918" s="28" t="s">
        <v>56</v>
      </c>
      <c r="G1918" s="27" t="str">
        <f t="shared" si="60"/>
        <v>301 CANIFF RD  SOUTH HOUS</v>
      </c>
      <c r="H1918" s="27" t="str">
        <f t="shared" si="61"/>
        <v>HOUSTON TX 77587</v>
      </c>
    </row>
    <row r="1919" spans="1:8" x14ac:dyDescent="0.2">
      <c r="A1919" s="27">
        <f>COUNTIFS(C:C,C1919,D:D,D1919)</f>
        <v>1</v>
      </c>
      <c r="B1919" s="30">
        <v>202101158682</v>
      </c>
      <c r="C1919" t="s">
        <v>4505</v>
      </c>
      <c r="D1919" t="s">
        <v>4506</v>
      </c>
      <c r="E1919" t="s">
        <v>4893</v>
      </c>
      <c r="F1919" t="s">
        <v>328</v>
      </c>
      <c r="G1919" s="27" t="str">
        <f t="shared" si="60"/>
        <v>3723 BROOKMEADE  HOUSTON</v>
      </c>
      <c r="H1919" s="27" t="str">
        <f t="shared" si="61"/>
        <v>HOUSTON TX 77045</v>
      </c>
    </row>
    <row r="1920" spans="1:8" x14ac:dyDescent="0.2">
      <c r="A1920" s="27">
        <f>COUNTIFS(C:C,C1920,D:D,D1920)</f>
        <v>1</v>
      </c>
      <c r="B1920" s="30">
        <v>202101158684</v>
      </c>
      <c r="C1920" t="s">
        <v>4507</v>
      </c>
      <c r="D1920" t="s">
        <v>4508</v>
      </c>
      <c r="E1920" t="s">
        <v>4962</v>
      </c>
      <c r="F1920" t="s">
        <v>88</v>
      </c>
      <c r="G1920" s="27" t="str">
        <f t="shared" si="60"/>
        <v>2509 22ND AVE N  TEXAS CITY</v>
      </c>
      <c r="H1920" s="27" t="str">
        <f t="shared" si="61"/>
        <v>HOUSTON TX 77590</v>
      </c>
    </row>
    <row r="1921" spans="1:8" x14ac:dyDescent="0.2">
      <c r="A1921" s="27">
        <f>COUNTIFS(C:C,C1921,D:D,D1921)</f>
        <v>1</v>
      </c>
      <c r="B1921" s="30">
        <v>202101158685</v>
      </c>
      <c r="C1921" t="s">
        <v>4509</v>
      </c>
      <c r="D1921" t="s">
        <v>4510</v>
      </c>
      <c r="E1921" t="s">
        <v>4935</v>
      </c>
      <c r="F1921" t="s">
        <v>88</v>
      </c>
      <c r="G1921" s="27" t="str">
        <f t="shared" si="60"/>
        <v>2503 SHEARWATER BEND DR HUMBLE</v>
      </c>
      <c r="H1921" s="27" t="str">
        <f t="shared" si="61"/>
        <v>HOUSTON TX 77396</v>
      </c>
    </row>
    <row r="1922" spans="1:8" x14ac:dyDescent="0.2">
      <c r="A1922" s="27">
        <f>COUNTIFS(C:C,C1922,D:D,D1922)</f>
        <v>1</v>
      </c>
      <c r="B1922" s="30">
        <v>202101158687</v>
      </c>
      <c r="C1922" t="s">
        <v>4511</v>
      </c>
      <c r="D1922" t="s">
        <v>4512</v>
      </c>
      <c r="E1922" t="s">
        <v>5005</v>
      </c>
      <c r="F1922" t="s">
        <v>87</v>
      </c>
      <c r="G1922" s="27" t="str">
        <f t="shared" si="60"/>
        <v>15425 WELDON DR  HOUSTON</v>
      </c>
      <c r="H1922" s="27" t="str">
        <f t="shared" si="61"/>
        <v>HOUSTON TX 77032</v>
      </c>
    </row>
    <row r="1923" spans="1:8" x14ac:dyDescent="0.2">
      <c r="A1923" s="27">
        <f>COUNTIFS(C:C,C1923,D:D,D1923)</f>
        <v>1</v>
      </c>
      <c r="B1923" s="30">
        <v>202101158688</v>
      </c>
      <c r="C1923" t="s">
        <v>4513</v>
      </c>
      <c r="D1923" t="s">
        <v>4514</v>
      </c>
      <c r="E1923" t="s">
        <v>4877</v>
      </c>
      <c r="F1923" t="s">
        <v>383</v>
      </c>
      <c r="G1923" s="27" t="str">
        <f t="shared" si="60"/>
        <v>8585 SIENNA SPRINGS BLVD MISSOURI C</v>
      </c>
      <c r="H1923" s="27" t="str">
        <f t="shared" si="61"/>
        <v>HOUSTON TX 77459</v>
      </c>
    </row>
    <row r="1924" spans="1:8" x14ac:dyDescent="0.2">
      <c r="A1924" s="27">
        <f>COUNTIFS(C:C,C1924,D:D,D1924)</f>
        <v>1</v>
      </c>
      <c r="B1924" s="30">
        <v>202101158689</v>
      </c>
      <c r="C1924" s="28" t="s">
        <v>1195</v>
      </c>
      <c r="D1924" s="28" t="s">
        <v>1196</v>
      </c>
      <c r="E1924" s="28" t="s">
        <v>5014</v>
      </c>
      <c r="F1924" s="28" t="s">
        <v>87</v>
      </c>
      <c r="G1924" s="27" t="str">
        <f t="shared" si="60"/>
        <v>10923 BIRCH DR  LA PORTE</v>
      </c>
      <c r="H1924" s="27" t="str">
        <f t="shared" si="61"/>
        <v>HOUSTON TX 77571</v>
      </c>
    </row>
    <row r="1925" spans="1:8" x14ac:dyDescent="0.2">
      <c r="A1925" s="27">
        <f>COUNTIFS(C:C,C1925,D:D,D1925)</f>
        <v>1</v>
      </c>
      <c r="B1925" s="30">
        <v>202101158692</v>
      </c>
      <c r="C1925" s="28" t="s">
        <v>1671</v>
      </c>
      <c r="D1925" s="28" t="s">
        <v>1672</v>
      </c>
      <c r="E1925" s="28" t="s">
        <v>5016</v>
      </c>
      <c r="F1925" s="28" t="s">
        <v>51</v>
      </c>
      <c r="G1925" s="27" t="str">
        <f t="shared" si="60"/>
        <v>13935 SMITH RD  HOUSTON</v>
      </c>
      <c r="H1925" s="27" t="str">
        <f t="shared" si="61"/>
        <v>HOUSTON TX 77396</v>
      </c>
    </row>
    <row r="1926" spans="1:8" x14ac:dyDescent="0.2">
      <c r="A1926" s="27">
        <f>COUNTIFS(C:C,C1926,D:D,D1926)</f>
        <v>1</v>
      </c>
      <c r="B1926" s="30">
        <v>202101158695</v>
      </c>
      <c r="C1926" s="28" t="s">
        <v>1585</v>
      </c>
      <c r="D1926" s="28" t="s">
        <v>1586</v>
      </c>
      <c r="E1926" s="28" t="s">
        <v>4852</v>
      </c>
      <c r="F1926" s="28" t="s">
        <v>79</v>
      </c>
      <c r="G1926" s="27" t="str">
        <f t="shared" si="60"/>
        <v>6735 LEEDALE ST  HOUSTON</v>
      </c>
      <c r="H1926" s="27" t="str">
        <f t="shared" si="61"/>
        <v>HOUSTON TX 77016</v>
      </c>
    </row>
    <row r="1927" spans="1:8" x14ac:dyDescent="0.2">
      <c r="A1927" s="27">
        <f>COUNTIFS(C:C,C1927,D:D,D1927)</f>
        <v>1</v>
      </c>
      <c r="B1927" s="30">
        <v>202101158697</v>
      </c>
      <c r="C1927" t="s">
        <v>2458</v>
      </c>
      <c r="D1927" t="s">
        <v>2459</v>
      </c>
      <c r="E1927" t="s">
        <v>4908</v>
      </c>
      <c r="F1927" t="s">
        <v>68</v>
      </c>
      <c r="G1927" s="27" t="str">
        <f t="shared" si="60"/>
        <v>21315 GABLE MEADOWS L N SPRING</v>
      </c>
      <c r="H1927" s="27" t="str">
        <f t="shared" si="61"/>
        <v>HOUSTON TX 77379</v>
      </c>
    </row>
    <row r="1928" spans="1:8" x14ac:dyDescent="0.2">
      <c r="A1928" s="27">
        <f>COUNTIFS(C:C,C1928,D:D,D1928)</f>
        <v>1</v>
      </c>
      <c r="B1928" s="30">
        <v>202101158699</v>
      </c>
      <c r="C1928" t="s">
        <v>4515</v>
      </c>
      <c r="D1928" t="s">
        <v>4516</v>
      </c>
      <c r="E1928" t="s">
        <v>5274</v>
      </c>
      <c r="F1928" t="s">
        <v>71</v>
      </c>
      <c r="G1928" s="27" t="str">
        <f t="shared" si="60"/>
        <v>720 18TH ST  SAN LEON</v>
      </c>
      <c r="H1928" s="27" t="str">
        <f t="shared" si="61"/>
        <v>HOUSTON TX 77539</v>
      </c>
    </row>
    <row r="1929" spans="1:8" x14ac:dyDescent="0.2">
      <c r="A1929" s="27">
        <f>COUNTIFS(C:C,C1929,D:D,D1929)</f>
        <v>1</v>
      </c>
      <c r="B1929" s="30">
        <v>202101158700</v>
      </c>
      <c r="C1929" t="s">
        <v>4517</v>
      </c>
      <c r="D1929" t="s">
        <v>4518</v>
      </c>
      <c r="E1929" t="s">
        <v>5275</v>
      </c>
      <c r="F1929" t="s">
        <v>53</v>
      </c>
      <c r="G1929" s="27" t="e">
        <f t="shared" si="60"/>
        <v>#VALUE!</v>
      </c>
      <c r="H1929" s="27" t="e">
        <f t="shared" si="61"/>
        <v>#VALUE!</v>
      </c>
    </row>
    <row r="1930" spans="1:8" x14ac:dyDescent="0.2">
      <c r="A1930" s="27">
        <f>COUNTIFS(C:C,C1930,D:D,D1930)</f>
        <v>1</v>
      </c>
      <c r="B1930" s="30">
        <v>202101158701</v>
      </c>
      <c r="C1930" s="28" t="s">
        <v>520</v>
      </c>
      <c r="D1930" s="28" t="s">
        <v>521</v>
      </c>
      <c r="E1930" s="28" t="s">
        <v>4896</v>
      </c>
      <c r="F1930" s="28" t="s">
        <v>88</v>
      </c>
      <c r="G1930" s="27" t="str">
        <f t="shared" si="60"/>
        <v>9892 FORUM PARK DR  HOUSTON</v>
      </c>
      <c r="H1930" s="27" t="str">
        <f t="shared" si="61"/>
        <v>HOUSTON TX 77036</v>
      </c>
    </row>
    <row r="1931" spans="1:8" x14ac:dyDescent="0.2">
      <c r="A1931" s="27">
        <f>COUNTIFS(C:C,C1931,D:D,D1931)</f>
        <v>1</v>
      </c>
      <c r="B1931" s="30">
        <v>202101158705</v>
      </c>
      <c r="C1931" s="28" t="s">
        <v>1842</v>
      </c>
      <c r="D1931" s="28" t="s">
        <v>1843</v>
      </c>
      <c r="E1931" s="28" t="s">
        <v>4933</v>
      </c>
      <c r="F1931" s="28" t="s">
        <v>91</v>
      </c>
      <c r="G1931" s="27" t="str">
        <f t="shared" si="60"/>
        <v>9001 KEMPWOOD DR  HOUSTON</v>
      </c>
      <c r="H1931" s="27" t="str">
        <f t="shared" si="61"/>
        <v>HOUSTON TX 77080</v>
      </c>
    </row>
    <row r="1932" spans="1:8" x14ac:dyDescent="0.2">
      <c r="A1932" s="27">
        <f>COUNTIFS(C:C,C1932,D:D,D1932)</f>
        <v>1</v>
      </c>
      <c r="B1932" s="30">
        <v>202101158707</v>
      </c>
      <c r="C1932" s="28" t="s">
        <v>1811</v>
      </c>
      <c r="D1932" s="28" t="s">
        <v>1812</v>
      </c>
      <c r="E1932" s="28" t="s">
        <v>4865</v>
      </c>
      <c r="F1932" s="28" t="s">
        <v>87</v>
      </c>
      <c r="G1932" s="27" t="str">
        <f t="shared" si="60"/>
        <v>5824 GULFTON ST  HOUSTON</v>
      </c>
      <c r="H1932" s="27" t="str">
        <f t="shared" si="61"/>
        <v xml:space="preserve">HOUSTON TX      </v>
      </c>
    </row>
    <row r="1933" spans="1:8" x14ac:dyDescent="0.2">
      <c r="A1933" s="27">
        <f>COUNTIFS(C:C,C1933,D:D,D1933)</f>
        <v>1</v>
      </c>
      <c r="B1933" s="30">
        <v>202101158708</v>
      </c>
      <c r="C1933" t="s">
        <v>4521</v>
      </c>
      <c r="D1933" t="s">
        <v>4522</v>
      </c>
      <c r="E1933" t="s">
        <v>5276</v>
      </c>
      <c r="F1933" t="s">
        <v>88</v>
      </c>
      <c r="G1933" s="27" t="e">
        <f t="shared" si="60"/>
        <v>#VALUE!</v>
      </c>
      <c r="H1933" s="27" t="e">
        <f t="shared" si="61"/>
        <v>#VALUE!</v>
      </c>
    </row>
    <row r="1934" spans="1:8" x14ac:dyDescent="0.2">
      <c r="A1934" s="27">
        <f>COUNTIFS(C:C,C1934,D:D,D1934)</f>
        <v>1</v>
      </c>
      <c r="B1934" s="30">
        <v>202101158710</v>
      </c>
      <c r="C1934" s="28" t="s">
        <v>908</v>
      </c>
      <c r="D1934" s="28" t="s">
        <v>909</v>
      </c>
      <c r="E1934" s="28" t="s">
        <v>4978</v>
      </c>
      <c r="F1934" s="28" t="s">
        <v>87</v>
      </c>
      <c r="G1934" s="27" t="str">
        <f t="shared" si="60"/>
        <v>13323 BLAZEY DR  HOUSTON</v>
      </c>
      <c r="H1934" s="27" t="str">
        <f t="shared" si="61"/>
        <v>HOUSTON TX 77041</v>
      </c>
    </row>
    <row r="1935" spans="1:8" x14ac:dyDescent="0.2">
      <c r="A1935" s="27">
        <f>COUNTIFS(C:C,C1935,D:D,D1935)</f>
        <v>1</v>
      </c>
      <c r="B1935" s="30">
        <v>202101158711</v>
      </c>
      <c r="C1935" t="s">
        <v>4519</v>
      </c>
      <c r="D1935" t="s">
        <v>4520</v>
      </c>
      <c r="E1935" t="s">
        <v>4994</v>
      </c>
      <c r="F1935" t="s">
        <v>53</v>
      </c>
      <c r="G1935" s="27" t="str">
        <f t="shared" si="60"/>
        <v>3223 SPRING CYPREES  SPRING</v>
      </c>
      <c r="H1935" s="27" t="str">
        <f t="shared" si="61"/>
        <v>HOUSTON TX 77388</v>
      </c>
    </row>
    <row r="1936" spans="1:8" x14ac:dyDescent="0.2">
      <c r="A1936" s="27">
        <f>COUNTIFS(C:C,C1936,D:D,D1936)</f>
        <v>1</v>
      </c>
      <c r="B1936" s="30">
        <v>202101158714</v>
      </c>
      <c r="C1936" s="28" t="s">
        <v>1390</v>
      </c>
      <c r="D1936" s="28" t="s">
        <v>1391</v>
      </c>
      <c r="E1936" s="28" t="s">
        <v>4915</v>
      </c>
      <c r="F1936" s="28" t="s">
        <v>88</v>
      </c>
      <c r="G1936" s="27" t="str">
        <f t="shared" si="60"/>
        <v>6405 GOFORTH  HOUSTON</v>
      </c>
      <c r="H1936" s="27" t="str">
        <f t="shared" si="61"/>
        <v>HOUSTON TX 77021</v>
      </c>
    </row>
    <row r="1937" spans="1:8" x14ac:dyDescent="0.2">
      <c r="A1937" s="27">
        <f>COUNTIFS(C:C,C1937,D:D,D1937)</f>
        <v>1</v>
      </c>
      <c r="B1937" s="30">
        <v>202101158715</v>
      </c>
      <c r="C1937" t="s">
        <v>2922</v>
      </c>
      <c r="D1937" t="s">
        <v>2923</v>
      </c>
      <c r="E1937" t="s">
        <v>4864</v>
      </c>
      <c r="F1937" t="s">
        <v>71</v>
      </c>
      <c r="G1937" s="27" t="str">
        <f t="shared" si="60"/>
        <v>1602 SIMPSON  HOUSTON</v>
      </c>
      <c r="H1937" s="27" t="str">
        <f t="shared" si="61"/>
        <v>HOUSTON TX 77020</v>
      </c>
    </row>
    <row r="1938" spans="1:8" x14ac:dyDescent="0.2">
      <c r="A1938" s="27">
        <f>COUNTIFS(C:C,C1938,D:D,D1938)</f>
        <v>1</v>
      </c>
      <c r="B1938" s="30">
        <v>202101158716</v>
      </c>
      <c r="C1938" s="28" t="s">
        <v>1679</v>
      </c>
      <c r="D1938" s="28" t="s">
        <v>1680</v>
      </c>
      <c r="E1938" s="28" t="s">
        <v>4894</v>
      </c>
      <c r="F1938" s="28" t="s">
        <v>87</v>
      </c>
      <c r="G1938" s="27" t="str">
        <f t="shared" si="60"/>
        <v>4604 CHAPMAN  HOUSTON</v>
      </c>
      <c r="H1938" s="27" t="str">
        <f t="shared" si="61"/>
        <v>HOUSTON TX 77009</v>
      </c>
    </row>
    <row r="1939" spans="1:8" x14ac:dyDescent="0.2">
      <c r="A1939" s="27">
        <f>COUNTIFS(C:C,C1939,D:D,D1939)</f>
        <v>1</v>
      </c>
      <c r="B1939" s="30">
        <v>202101158718</v>
      </c>
      <c r="C1939" s="28" t="s">
        <v>813</v>
      </c>
      <c r="D1939" s="28" t="s">
        <v>814</v>
      </c>
      <c r="E1939" s="28" t="s">
        <v>4869</v>
      </c>
      <c r="F1939" s="28" t="s">
        <v>53</v>
      </c>
      <c r="G1939" s="27" t="str">
        <f t="shared" si="60"/>
        <v>304 E 39TH ST 4  HOUSTON</v>
      </c>
      <c r="H1939" s="27" t="str">
        <f t="shared" si="61"/>
        <v>HOUSTON TX 77018</v>
      </c>
    </row>
    <row r="1940" spans="1:8" x14ac:dyDescent="0.2">
      <c r="A1940" s="27">
        <f>COUNTIFS(C:C,C1940,D:D,D1940)</f>
        <v>1</v>
      </c>
      <c r="B1940" s="30">
        <v>202101158719</v>
      </c>
      <c r="C1940" t="s">
        <v>4523</v>
      </c>
      <c r="D1940" t="s">
        <v>4524</v>
      </c>
      <c r="E1940" t="s">
        <v>4933</v>
      </c>
      <c r="F1940" t="s">
        <v>88</v>
      </c>
      <c r="G1940" s="27" t="str">
        <f t="shared" si="60"/>
        <v>WITTE  RD APT 74  HOUSTON</v>
      </c>
      <c r="H1940" s="27" t="str">
        <f t="shared" si="61"/>
        <v>HOUSTON TX 77080</v>
      </c>
    </row>
    <row r="1941" spans="1:8" x14ac:dyDescent="0.2">
      <c r="A1941" s="27">
        <f>COUNTIFS(C:C,C1941,D:D,D1941)</f>
        <v>1</v>
      </c>
      <c r="B1941" s="30">
        <v>202101158720</v>
      </c>
      <c r="C1941" s="28" t="s">
        <v>890</v>
      </c>
      <c r="D1941" s="28" t="s">
        <v>891</v>
      </c>
      <c r="E1941" s="28" t="s">
        <v>4886</v>
      </c>
      <c r="F1941" s="28" t="s">
        <v>88</v>
      </c>
      <c r="G1941" s="27" t="str">
        <f t="shared" si="60"/>
        <v>6034 LATTIMER DR  HOUSTON</v>
      </c>
      <c r="H1941" s="27" t="str">
        <f t="shared" si="61"/>
        <v>HOUSTON TX 77035</v>
      </c>
    </row>
    <row r="1942" spans="1:8" x14ac:dyDescent="0.2">
      <c r="A1942" s="27">
        <f>COUNTIFS(C:C,C1942,D:D,D1942)</f>
        <v>1</v>
      </c>
      <c r="B1942" s="30">
        <v>202101158721</v>
      </c>
      <c r="C1942" s="28" t="s">
        <v>609</v>
      </c>
      <c r="D1942" s="28" t="s">
        <v>610</v>
      </c>
      <c r="E1942" s="28" t="s">
        <v>4855</v>
      </c>
      <c r="F1942" s="28" t="s">
        <v>53</v>
      </c>
      <c r="G1942" s="27" t="str">
        <f t="shared" si="60"/>
        <v>8818 LINDA VISTA RD  HOUSTON</v>
      </c>
      <c r="H1942" s="27" t="str">
        <f t="shared" si="61"/>
        <v>HOUSTON TX 77078</v>
      </c>
    </row>
    <row r="1943" spans="1:8" x14ac:dyDescent="0.2">
      <c r="A1943" s="27">
        <f>COUNTIFS(C:C,C1943,D:D,D1943)</f>
        <v>1</v>
      </c>
      <c r="B1943" s="30">
        <v>202101158727</v>
      </c>
      <c r="C1943" t="s">
        <v>4525</v>
      </c>
      <c r="D1943" t="s">
        <v>4526</v>
      </c>
      <c r="E1943" t="s">
        <v>4920</v>
      </c>
      <c r="F1943" t="s">
        <v>88</v>
      </c>
      <c r="G1943" s="27" t="str">
        <f t="shared" si="60"/>
        <v>6403 SIERRA BLANCA D R 1910 HOUSTON</v>
      </c>
      <c r="H1943" s="27" t="str">
        <f t="shared" si="61"/>
        <v>HOUSTON TX 77083</v>
      </c>
    </row>
    <row r="1944" spans="1:8" x14ac:dyDescent="0.2">
      <c r="A1944" s="27">
        <f>COUNTIFS(C:C,C1944,D:D,D1944)</f>
        <v>1</v>
      </c>
      <c r="B1944" s="30">
        <v>202101158729</v>
      </c>
      <c r="C1944" s="28" t="s">
        <v>1516</v>
      </c>
      <c r="D1944" s="28" t="s">
        <v>1517</v>
      </c>
      <c r="E1944" s="28" t="s">
        <v>5050</v>
      </c>
      <c r="F1944" s="28" t="s">
        <v>88</v>
      </c>
      <c r="G1944" s="27" t="str">
        <f t="shared" si="60"/>
        <v>5100 FM 1960 W  HOUSTON</v>
      </c>
      <c r="H1944" s="27" t="str">
        <f t="shared" si="61"/>
        <v>HOUSTON TX 77069</v>
      </c>
    </row>
    <row r="1945" spans="1:8" x14ac:dyDescent="0.2">
      <c r="A1945" s="27">
        <f>COUNTIFS(C:C,C1945,D:D,D1945)</f>
        <v>1</v>
      </c>
      <c r="B1945" s="30">
        <v>202101158731</v>
      </c>
      <c r="C1945" t="s">
        <v>3168</v>
      </c>
      <c r="D1945" t="s">
        <v>3169</v>
      </c>
      <c r="E1945" t="s">
        <v>5172</v>
      </c>
      <c r="F1945" t="s">
        <v>53</v>
      </c>
      <c r="G1945" s="27" t="e">
        <f t="shared" si="60"/>
        <v>#VALUE!</v>
      </c>
      <c r="H1945" s="27" t="e">
        <f t="shared" si="61"/>
        <v>#VALUE!</v>
      </c>
    </row>
    <row r="1946" spans="1:8" x14ac:dyDescent="0.2">
      <c r="A1946" s="27">
        <f>COUNTIFS(C:C,C1946,D:D,D1946)</f>
        <v>1</v>
      </c>
      <c r="B1946" s="30">
        <v>202101158732</v>
      </c>
      <c r="C1946" t="s">
        <v>2006</v>
      </c>
      <c r="D1946" t="s">
        <v>2007</v>
      </c>
      <c r="E1946" t="s">
        <v>4898</v>
      </c>
      <c r="F1946" t="s">
        <v>53</v>
      </c>
      <c r="G1946" s="27" t="str">
        <f t="shared" si="60"/>
        <v>8326 CONSTELLATION L N HOUSTON</v>
      </c>
      <c r="H1946" s="27" t="str">
        <f t="shared" si="61"/>
        <v>HOUSTON TX 77075</v>
      </c>
    </row>
    <row r="1947" spans="1:8" x14ac:dyDescent="0.2">
      <c r="A1947" s="27">
        <f>COUNTIFS(C:C,C1947,D:D,D1947)</f>
        <v>1</v>
      </c>
      <c r="B1947" s="30">
        <v>202101158734</v>
      </c>
      <c r="C1947" s="28" t="s">
        <v>1817</v>
      </c>
      <c r="D1947" s="28" t="s">
        <v>1818</v>
      </c>
      <c r="E1947" s="28" t="s">
        <v>5077</v>
      </c>
      <c r="F1947" s="28" t="s">
        <v>88</v>
      </c>
      <c r="G1947" s="27" t="str">
        <f t="shared" si="60"/>
        <v>10674 OAKBROOK  HOUSTON</v>
      </c>
      <c r="H1947" s="27" t="str">
        <f t="shared" si="61"/>
        <v>HOUSTON TX 77013</v>
      </c>
    </row>
    <row r="1948" spans="1:8" x14ac:dyDescent="0.2">
      <c r="A1948" s="27">
        <f>COUNTIFS(C:C,C1948,D:D,D1948)</f>
        <v>1</v>
      </c>
      <c r="B1948" s="30">
        <v>202101158735</v>
      </c>
      <c r="C1948" t="s">
        <v>4527</v>
      </c>
      <c r="D1948" t="s">
        <v>4528</v>
      </c>
      <c r="E1948" t="s">
        <v>5152</v>
      </c>
      <c r="F1948" t="s">
        <v>88</v>
      </c>
      <c r="G1948" s="27" t="str">
        <f t="shared" si="60"/>
        <v>8510 HOLLY SPRING LN  BAYTOWN</v>
      </c>
      <c r="H1948" s="27" t="str">
        <f t="shared" si="61"/>
        <v>HOUSTON TX 77523</v>
      </c>
    </row>
    <row r="1949" spans="1:8" x14ac:dyDescent="0.2">
      <c r="A1949" s="27">
        <f>COUNTIFS(C:C,C1949,D:D,D1949)</f>
        <v>1</v>
      </c>
      <c r="B1949" s="30">
        <v>202101158737</v>
      </c>
      <c r="C1949" t="s">
        <v>4529</v>
      </c>
      <c r="D1949" t="s">
        <v>4530</v>
      </c>
      <c r="E1949" t="s">
        <v>4898</v>
      </c>
      <c r="F1949" t="s">
        <v>88</v>
      </c>
      <c r="G1949" s="27" t="str">
        <f t="shared" si="60"/>
        <v>7909 S SAM HOUSTON P KWY E 833 HOUSTON</v>
      </c>
      <c r="H1949" s="27" t="str">
        <f t="shared" si="61"/>
        <v>HOUSTON TX 77075</v>
      </c>
    </row>
    <row r="1950" spans="1:8" x14ac:dyDescent="0.2">
      <c r="A1950" s="27">
        <f>COUNTIFS(C:C,C1950,D:D,D1950)</f>
        <v>1</v>
      </c>
      <c r="B1950" s="30">
        <v>202101158738</v>
      </c>
      <c r="C1950" s="28" t="s">
        <v>1656</v>
      </c>
      <c r="D1950" s="28" t="s">
        <v>1657</v>
      </c>
      <c r="E1950" s="28" t="s">
        <v>4877</v>
      </c>
      <c r="F1950" s="28" t="s">
        <v>79</v>
      </c>
      <c r="G1950" s="27" t="str">
        <f t="shared" si="60"/>
        <v>2726 PLANTATION WOOD LN MISSOURI C</v>
      </c>
      <c r="H1950" s="27" t="str">
        <f t="shared" si="61"/>
        <v>HOUSTON TX 77459</v>
      </c>
    </row>
    <row r="1951" spans="1:8" x14ac:dyDescent="0.2">
      <c r="A1951" s="27">
        <f>COUNTIFS(C:C,C1951,D:D,D1951)</f>
        <v>1</v>
      </c>
      <c r="B1951" s="30">
        <v>202101158740</v>
      </c>
      <c r="C1951" t="s">
        <v>4531</v>
      </c>
      <c r="D1951" t="s">
        <v>4532</v>
      </c>
      <c r="E1951" t="s">
        <v>4854</v>
      </c>
      <c r="F1951" t="s">
        <v>58</v>
      </c>
      <c r="G1951" s="27" t="str">
        <f t="shared" si="60"/>
        <v>2316 HUTTON  HOUSTON</v>
      </c>
      <c r="H1951" s="27" t="str">
        <f t="shared" si="61"/>
        <v>HOUSTON TX 77026</v>
      </c>
    </row>
    <row r="1952" spans="1:8" x14ac:dyDescent="0.2">
      <c r="A1952" s="27">
        <f>COUNTIFS(C:C,C1952,D:D,D1952)</f>
        <v>1</v>
      </c>
      <c r="B1952" s="30">
        <v>202101158742</v>
      </c>
      <c r="C1952" t="s">
        <v>4533</v>
      </c>
      <c r="D1952" t="s">
        <v>4534</v>
      </c>
      <c r="E1952" t="s">
        <v>5277</v>
      </c>
      <c r="F1952" t="s">
        <v>51</v>
      </c>
      <c r="G1952" s="27" t="e">
        <f t="shared" si="60"/>
        <v>#VALUE!</v>
      </c>
      <c r="H1952" s="27" t="e">
        <f t="shared" si="61"/>
        <v>#VALUE!</v>
      </c>
    </row>
    <row r="1953" spans="1:8" x14ac:dyDescent="0.2">
      <c r="A1953" s="27">
        <f>COUNTIFS(C:C,C1953,D:D,D1953)</f>
        <v>1</v>
      </c>
      <c r="B1953" s="30">
        <v>202101158743</v>
      </c>
      <c r="C1953" s="28" t="s">
        <v>1382</v>
      </c>
      <c r="D1953" s="28" t="s">
        <v>1383</v>
      </c>
      <c r="E1953" s="28" t="s">
        <v>4919</v>
      </c>
      <c r="F1953" s="28" t="s">
        <v>80</v>
      </c>
      <c r="G1953" s="27" t="str">
        <f t="shared" si="60"/>
        <v>5500 EL CAMINO DEL R EY ST HOUSTON</v>
      </c>
      <c r="H1953" s="27" t="str">
        <f t="shared" si="61"/>
        <v>HOUSTON TX 77081</v>
      </c>
    </row>
    <row r="1954" spans="1:8" x14ac:dyDescent="0.2">
      <c r="A1954" s="27">
        <f>COUNTIFS(C:C,C1954,D:D,D1954)</f>
        <v>1</v>
      </c>
      <c r="B1954" s="30">
        <v>202101158744</v>
      </c>
      <c r="C1954" s="28" t="s">
        <v>444</v>
      </c>
      <c r="D1954" s="28" t="s">
        <v>445</v>
      </c>
      <c r="E1954" s="28" t="s">
        <v>4868</v>
      </c>
      <c r="F1954" s="28" t="s">
        <v>105</v>
      </c>
      <c r="G1954" s="27" t="str">
        <f t="shared" si="60"/>
        <v>10852 SHADY LN  HARRIS CO</v>
      </c>
      <c r="H1954" s="27" t="str">
        <f t="shared" si="61"/>
        <v>HOUSTON TX 77093</v>
      </c>
    </row>
    <row r="1955" spans="1:8" x14ac:dyDescent="0.2">
      <c r="A1955" s="27">
        <f>COUNTIFS(C:C,C1955,D:D,D1955)</f>
        <v>1</v>
      </c>
      <c r="B1955" s="30">
        <v>202101158745</v>
      </c>
      <c r="C1955" s="28" t="s">
        <v>962</v>
      </c>
      <c r="D1955" s="28" t="s">
        <v>963</v>
      </c>
      <c r="E1955" s="28" t="s">
        <v>4851</v>
      </c>
      <c r="F1955" s="28" t="s">
        <v>53</v>
      </c>
      <c r="G1955" s="27" t="str">
        <f t="shared" si="60"/>
        <v>2500 EAST JAME  BAYTOWN</v>
      </c>
      <c r="H1955" s="27" t="str">
        <f t="shared" si="61"/>
        <v>HOUSTON TX 77521</v>
      </c>
    </row>
    <row r="1956" spans="1:8" x14ac:dyDescent="0.2">
      <c r="A1956" s="27">
        <f>COUNTIFS(C:C,C1956,D:D,D1956)</f>
        <v>1</v>
      </c>
      <c r="B1956" s="30">
        <v>202101158747</v>
      </c>
      <c r="C1956" t="s">
        <v>4535</v>
      </c>
      <c r="D1956" t="s">
        <v>4536</v>
      </c>
      <c r="E1956" t="s">
        <v>4943</v>
      </c>
      <c r="F1956" t="s">
        <v>53</v>
      </c>
      <c r="G1956" s="27" t="str">
        <f t="shared" si="60"/>
        <v>16978 JENIKAY LN  HOUSTON</v>
      </c>
      <c r="H1956" s="27" t="str">
        <f t="shared" si="61"/>
        <v>HOUSTON TX 77084</v>
      </c>
    </row>
    <row r="1957" spans="1:8" x14ac:dyDescent="0.2">
      <c r="A1957" s="27">
        <f>COUNTIFS(C:C,C1957,D:D,D1957)</f>
        <v>1</v>
      </c>
      <c r="B1957" s="30">
        <v>202101158748</v>
      </c>
      <c r="C1957" s="28" t="s">
        <v>742</v>
      </c>
      <c r="D1957" s="28" t="s">
        <v>743</v>
      </c>
      <c r="E1957" s="28" t="s">
        <v>4948</v>
      </c>
      <c r="F1957" s="28" t="s">
        <v>177</v>
      </c>
      <c r="G1957" s="27" t="str">
        <f t="shared" si="60"/>
        <v>6215 TIERWESTER  HOUSTON</v>
      </c>
      <c r="H1957" s="27" t="str">
        <f t="shared" si="61"/>
        <v>HOUSTON TX 77007</v>
      </c>
    </row>
    <row r="1958" spans="1:8" x14ac:dyDescent="0.2">
      <c r="A1958" s="27">
        <f>COUNTIFS(C:C,C1958,D:D,D1958)</f>
        <v>1</v>
      </c>
      <c r="B1958" s="30">
        <v>202101158749</v>
      </c>
      <c r="C1958" t="s">
        <v>2075</v>
      </c>
      <c r="D1958" t="s">
        <v>2076</v>
      </c>
      <c r="E1958" t="s">
        <v>5097</v>
      </c>
      <c r="F1958" t="s">
        <v>53</v>
      </c>
      <c r="G1958" s="27" t="str">
        <f t="shared" si="60"/>
        <v>2401 WESTRIDGE ST  HOUSTON</v>
      </c>
      <c r="H1958" s="27" t="str">
        <f t="shared" si="61"/>
        <v>HOUSTON TX 77054</v>
      </c>
    </row>
    <row r="1959" spans="1:8" x14ac:dyDescent="0.2">
      <c r="A1959" s="27">
        <f>COUNTIFS(C:C,C1959,D:D,D1959)</f>
        <v>1</v>
      </c>
      <c r="B1959" s="30">
        <v>202101158751</v>
      </c>
      <c r="C1959" t="s">
        <v>2571</v>
      </c>
      <c r="D1959" t="s">
        <v>2572</v>
      </c>
      <c r="E1959" t="s">
        <v>4862</v>
      </c>
      <c r="F1959" t="s">
        <v>79</v>
      </c>
      <c r="G1959" s="27" t="str">
        <f t="shared" si="60"/>
        <v>100 HOLLOW TREE LN  HOUSTON</v>
      </c>
      <c r="H1959" s="27" t="str">
        <f t="shared" si="61"/>
        <v>HOUSTON TX 77090</v>
      </c>
    </row>
    <row r="1960" spans="1:8" x14ac:dyDescent="0.2">
      <c r="A1960" s="27">
        <f>COUNTIFS(C:C,C1960,D:D,D1960)</f>
        <v>1</v>
      </c>
      <c r="B1960" s="30">
        <v>202101158754</v>
      </c>
      <c r="C1960" s="28" t="s">
        <v>621</v>
      </c>
      <c r="D1960" s="28" t="s">
        <v>622</v>
      </c>
      <c r="E1960" s="28" t="s">
        <v>4924</v>
      </c>
      <c r="F1960" s="28" t="s">
        <v>87</v>
      </c>
      <c r="G1960" s="27" t="str">
        <f t="shared" si="60"/>
        <v>1277 DICKSINSON RD  ALVIN</v>
      </c>
      <c r="H1960" s="27" t="str">
        <f t="shared" si="61"/>
        <v>HOUSTON TX 77511</v>
      </c>
    </row>
    <row r="1961" spans="1:8" x14ac:dyDescent="0.2">
      <c r="A1961" s="27">
        <f>COUNTIFS(C:C,C1961,D:D,D1961)</f>
        <v>1</v>
      </c>
      <c r="B1961" s="30">
        <v>202101158755</v>
      </c>
      <c r="C1961" t="s">
        <v>2902</v>
      </c>
      <c r="D1961" t="s">
        <v>2903</v>
      </c>
      <c r="E1961" t="s">
        <v>4879</v>
      </c>
      <c r="F1961" t="s">
        <v>355</v>
      </c>
      <c r="G1961" s="27" t="str">
        <f t="shared" si="60"/>
        <v>9303 W TIDWELL  HOUSTON</v>
      </c>
      <c r="H1961" s="27" t="str">
        <f t="shared" si="61"/>
        <v>HOUSTON TX 77091</v>
      </c>
    </row>
    <row r="1962" spans="1:8" x14ac:dyDescent="0.2">
      <c r="A1962" s="27">
        <f>COUNTIFS(C:C,C1962,D:D,D1962)</f>
        <v>1</v>
      </c>
      <c r="B1962" s="30">
        <v>202101158758</v>
      </c>
      <c r="C1962" t="s">
        <v>4537</v>
      </c>
      <c r="D1962" t="s">
        <v>4538</v>
      </c>
      <c r="E1962" t="s">
        <v>4860</v>
      </c>
      <c r="F1962" t="s">
        <v>61</v>
      </c>
      <c r="G1962" s="27" t="str">
        <f t="shared" ref="G1962:G2025" si="62">D1962&amp;" "&amp;MID(E1962,1,FIND(" TX",E1962)-1)</f>
        <v>400 E HOMAN  BAYTOWN</v>
      </c>
      <c r="H1962" s="27" t="str">
        <f t="shared" ref="H1962:H2025" si="63">"HOUSTON "&amp;MID(E1962,FIND("TX",E1962),8)</f>
        <v>HOUSTON TX 77520</v>
      </c>
    </row>
    <row r="1963" spans="1:8" x14ac:dyDescent="0.2">
      <c r="A1963" s="27">
        <f>COUNTIFS(C:C,C1963,D:D,D1963)</f>
        <v>1</v>
      </c>
      <c r="B1963" s="30">
        <v>202101158767</v>
      </c>
      <c r="C1963" s="28" t="s">
        <v>1324</v>
      </c>
      <c r="D1963" s="28" t="s">
        <v>1325</v>
      </c>
      <c r="E1963" s="28" t="s">
        <v>4919</v>
      </c>
      <c r="F1963" s="28" t="s">
        <v>88</v>
      </c>
      <c r="G1963" s="27" t="str">
        <f t="shared" si="62"/>
        <v>5605 CHIMNEY ROCK RD  HOUSTON</v>
      </c>
      <c r="H1963" s="27" t="str">
        <f t="shared" si="63"/>
        <v>HOUSTON TX 77081</v>
      </c>
    </row>
    <row r="1964" spans="1:8" x14ac:dyDescent="0.2">
      <c r="A1964" s="27">
        <f>COUNTIFS(C:C,C1964,D:D,D1964)</f>
        <v>1</v>
      </c>
      <c r="B1964" s="30">
        <v>202101158768</v>
      </c>
      <c r="C1964" t="s">
        <v>4539</v>
      </c>
      <c r="D1964" t="s">
        <v>4540</v>
      </c>
      <c r="E1964" t="s">
        <v>4900</v>
      </c>
      <c r="F1964" t="s">
        <v>53</v>
      </c>
      <c r="G1964" s="27" t="str">
        <f t="shared" si="62"/>
        <v>20722 LONE CREEK CT  KATY</v>
      </c>
      <c r="H1964" s="27" t="str">
        <f t="shared" si="63"/>
        <v>HOUSTON TX 77449</v>
      </c>
    </row>
    <row r="1965" spans="1:8" x14ac:dyDescent="0.2">
      <c r="A1965" s="27">
        <f>COUNTIFS(C:C,C1965,D:D,D1965)</f>
        <v>1</v>
      </c>
      <c r="B1965" s="30">
        <v>202101158769</v>
      </c>
      <c r="C1965" t="s">
        <v>4541</v>
      </c>
      <c r="D1965" t="s">
        <v>4542</v>
      </c>
      <c r="E1965" t="s">
        <v>4977</v>
      </c>
      <c r="F1965" t="s">
        <v>64</v>
      </c>
      <c r="G1965" s="27" t="str">
        <f t="shared" si="62"/>
        <v>2096 AUGUSTA DR  HOUSTON</v>
      </c>
      <c r="H1965" s="27" t="str">
        <f t="shared" si="63"/>
        <v>HOUSTON TX 77057</v>
      </c>
    </row>
    <row r="1966" spans="1:8" x14ac:dyDescent="0.2">
      <c r="A1966" s="27">
        <f>COUNTIFS(C:C,C1966,D:D,D1966)</f>
        <v>1</v>
      </c>
      <c r="B1966" s="30">
        <v>202101158770</v>
      </c>
      <c r="C1966" t="s">
        <v>4543</v>
      </c>
      <c r="D1966" t="s">
        <v>4544</v>
      </c>
      <c r="E1966" t="s">
        <v>4893</v>
      </c>
      <c r="F1966" t="s">
        <v>79</v>
      </c>
      <c r="G1966" s="27" t="str">
        <f t="shared" si="62"/>
        <v>14519 CAMPDEN HILL RD  HOUSTON</v>
      </c>
      <c r="H1966" s="27" t="str">
        <f t="shared" si="63"/>
        <v>HOUSTON TX 77045</v>
      </c>
    </row>
    <row r="1967" spans="1:8" x14ac:dyDescent="0.2">
      <c r="A1967" s="27">
        <f>COUNTIFS(C:C,C1967,D:D,D1967)</f>
        <v>1</v>
      </c>
      <c r="B1967" s="30">
        <v>202101158772</v>
      </c>
      <c r="C1967" s="28" t="s">
        <v>1187</v>
      </c>
      <c r="D1967" s="28" t="s">
        <v>1188</v>
      </c>
      <c r="E1967" s="28" t="s">
        <v>4936</v>
      </c>
      <c r="F1967" s="28" t="s">
        <v>57</v>
      </c>
      <c r="G1967" s="27" t="str">
        <f t="shared" si="62"/>
        <v>7843 REDGATE CIR  HOUSTON</v>
      </c>
      <c r="H1967" s="27" t="str">
        <f t="shared" si="63"/>
        <v>HOUSTON TX 77071</v>
      </c>
    </row>
    <row r="1968" spans="1:8" x14ac:dyDescent="0.2">
      <c r="A1968" s="27">
        <f>COUNTIFS(C:C,C1968,D:D,D1968)</f>
        <v>1</v>
      </c>
      <c r="B1968" s="30">
        <v>202101158774</v>
      </c>
      <c r="C1968" s="28" t="s">
        <v>1237</v>
      </c>
      <c r="D1968" s="28" t="s">
        <v>1238</v>
      </c>
      <c r="E1968" s="28" t="s">
        <v>4949</v>
      </c>
      <c r="F1968" s="28" t="s">
        <v>57</v>
      </c>
      <c r="G1968" s="27" t="str">
        <f t="shared" si="62"/>
        <v>16458 RODEO RIVER DRI VE HOUSTON</v>
      </c>
      <c r="H1968" s="27" t="str">
        <f t="shared" si="63"/>
        <v>HOUSTON TX 77049</v>
      </c>
    </row>
    <row r="1969" spans="1:8" x14ac:dyDescent="0.2">
      <c r="A1969" s="27">
        <f>COUNTIFS(C:C,C1969,D:D,D1969)</f>
        <v>1</v>
      </c>
      <c r="B1969" s="30">
        <v>202101158775</v>
      </c>
      <c r="C1969" t="s">
        <v>4545</v>
      </c>
      <c r="D1969" t="s">
        <v>4546</v>
      </c>
      <c r="E1969" t="s">
        <v>4851</v>
      </c>
      <c r="F1969" t="s">
        <v>88</v>
      </c>
      <c r="G1969" s="27" t="str">
        <f t="shared" si="62"/>
        <v>3300 ROLLINGBROOK  BAYTOWN</v>
      </c>
      <c r="H1969" s="27" t="str">
        <f t="shared" si="63"/>
        <v>HOUSTON TX 77521</v>
      </c>
    </row>
    <row r="1970" spans="1:8" x14ac:dyDescent="0.2">
      <c r="A1970" s="27">
        <f>COUNTIFS(C:C,C1970,D:D,D1970)</f>
        <v>1</v>
      </c>
      <c r="B1970" s="30">
        <v>202101158776</v>
      </c>
      <c r="C1970" t="s">
        <v>2101</v>
      </c>
      <c r="D1970" t="s">
        <v>2102</v>
      </c>
      <c r="E1970" t="s">
        <v>5101</v>
      </c>
      <c r="F1970" t="s">
        <v>64</v>
      </c>
      <c r="G1970" s="27" t="str">
        <f t="shared" si="62"/>
        <v>18930 BRIGHTON TRAILS LN HARRIS CO</v>
      </c>
      <c r="H1970" s="27" t="str">
        <f t="shared" si="63"/>
        <v>HOUSTON TX 77377</v>
      </c>
    </row>
    <row r="1971" spans="1:8" x14ac:dyDescent="0.2">
      <c r="A1971" s="27">
        <f>COUNTIFS(C:C,C1971,D:D,D1971)</f>
        <v>1</v>
      </c>
      <c r="B1971" s="30">
        <v>202101158782</v>
      </c>
      <c r="C1971" t="s">
        <v>4547</v>
      </c>
      <c r="D1971" t="s">
        <v>4548</v>
      </c>
      <c r="E1971" t="s">
        <v>5060</v>
      </c>
      <c r="F1971" t="s">
        <v>96</v>
      </c>
      <c r="G1971" s="27" t="str">
        <f t="shared" si="62"/>
        <v>7519 BRINKWORTH LN  HOUSTON</v>
      </c>
      <c r="H1971" s="27" t="str">
        <f t="shared" si="63"/>
        <v>HOUSTON TX 77070</v>
      </c>
    </row>
    <row r="1972" spans="1:8" x14ac:dyDescent="0.2">
      <c r="A1972" s="27">
        <f>COUNTIFS(C:C,C1972,D:D,D1972)</f>
        <v>1</v>
      </c>
      <c r="B1972" s="30">
        <v>202101158783</v>
      </c>
      <c r="C1972" s="28" t="s">
        <v>1925</v>
      </c>
      <c r="D1972" s="28" t="s">
        <v>1926</v>
      </c>
      <c r="E1972" s="28" t="s">
        <v>4969</v>
      </c>
      <c r="F1972" s="28" t="s">
        <v>57</v>
      </c>
      <c r="G1972" s="27" t="str">
        <f t="shared" si="62"/>
        <v>24919 MATHEWS ROAD  TOMBALL</v>
      </c>
      <c r="H1972" s="27" t="str">
        <f t="shared" si="63"/>
        <v>HOUSTON TX 77375</v>
      </c>
    </row>
    <row r="1973" spans="1:8" x14ac:dyDescent="0.2">
      <c r="A1973" s="27">
        <f>COUNTIFS(C:C,C1973,D:D,D1973)</f>
        <v>1</v>
      </c>
      <c r="B1973" s="30">
        <v>202101158786</v>
      </c>
      <c r="C1973" t="s">
        <v>4549</v>
      </c>
      <c r="D1973" t="s">
        <v>851</v>
      </c>
      <c r="E1973" t="s">
        <v>4952</v>
      </c>
      <c r="F1973" t="s">
        <v>88</v>
      </c>
      <c r="G1973" s="27" t="str">
        <f t="shared" si="62"/>
        <v>1120 RED BLUFF RD  PASADENA</v>
      </c>
      <c r="H1973" s="27" t="str">
        <f t="shared" si="63"/>
        <v>HOUSTON TX 77506</v>
      </c>
    </row>
    <row r="1974" spans="1:8" x14ac:dyDescent="0.2">
      <c r="A1974" s="27">
        <f>COUNTIFS(C:C,C1974,D:D,D1974)</f>
        <v>1</v>
      </c>
      <c r="B1974" s="30">
        <v>202101158789</v>
      </c>
      <c r="C1974" s="28" t="s">
        <v>1933</v>
      </c>
      <c r="D1974" s="28" t="s">
        <v>1934</v>
      </c>
      <c r="E1974" s="28" t="s">
        <v>4908</v>
      </c>
      <c r="F1974" s="28" t="s">
        <v>53</v>
      </c>
      <c r="G1974" s="27" t="str">
        <f t="shared" si="62"/>
        <v>16222 STUEBNER AIRLIN E RD SPRING</v>
      </c>
      <c r="H1974" s="27" t="str">
        <f t="shared" si="63"/>
        <v>HOUSTON TX 77379</v>
      </c>
    </row>
    <row r="1975" spans="1:8" x14ac:dyDescent="0.2">
      <c r="A1975" s="27">
        <f>COUNTIFS(C:C,C1975,D:D,D1975)</f>
        <v>1</v>
      </c>
      <c r="B1975" s="30">
        <v>202101158793</v>
      </c>
      <c r="C1975" s="28" t="s">
        <v>1478</v>
      </c>
      <c r="D1975" s="28" t="s">
        <v>1479</v>
      </c>
      <c r="E1975" s="28" t="s">
        <v>4889</v>
      </c>
      <c r="F1975" s="28" t="s">
        <v>69</v>
      </c>
      <c r="G1975" s="27" t="str">
        <f t="shared" si="62"/>
        <v>1212 GRAND PLAZA DR  HOUSTON</v>
      </c>
      <c r="H1975" s="27" t="str">
        <f t="shared" si="63"/>
        <v>HOUSTON TX 77067</v>
      </c>
    </row>
    <row r="1976" spans="1:8" x14ac:dyDescent="0.2">
      <c r="A1976" s="27">
        <f>COUNTIFS(C:C,C1976,D:D,D1976)</f>
        <v>1</v>
      </c>
      <c r="B1976" s="30">
        <v>202101158795</v>
      </c>
      <c r="C1976" s="28" t="s">
        <v>504</v>
      </c>
      <c r="D1976" s="28" t="s">
        <v>505</v>
      </c>
      <c r="E1976" s="28" t="s">
        <v>4892</v>
      </c>
      <c r="F1976" s="28" t="s">
        <v>88</v>
      </c>
      <c r="G1976" s="27" t="str">
        <f t="shared" si="62"/>
        <v>1647 KELLIWOOD OAKS DR HARRIS CO</v>
      </c>
      <c r="H1976" s="27" t="str">
        <f t="shared" si="63"/>
        <v>HOUSTON TX 77450</v>
      </c>
    </row>
    <row r="1977" spans="1:8" x14ac:dyDescent="0.2">
      <c r="A1977" s="27">
        <f>COUNTIFS(C:C,C1977,D:D,D1977)</f>
        <v>1</v>
      </c>
      <c r="B1977" s="30">
        <v>202101158797</v>
      </c>
      <c r="C1977" t="s">
        <v>4550</v>
      </c>
      <c r="D1977" t="s">
        <v>4551</v>
      </c>
      <c r="E1977" t="s">
        <v>4891</v>
      </c>
      <c r="F1977" t="s">
        <v>78</v>
      </c>
      <c r="G1977" s="27" t="str">
        <f t="shared" si="62"/>
        <v>8904 NYSSA ST  HOUSTON</v>
      </c>
      <c r="H1977" s="27" t="str">
        <f t="shared" si="63"/>
        <v>HOUSTON TX 77088</v>
      </c>
    </row>
    <row r="1978" spans="1:8" x14ac:dyDescent="0.2">
      <c r="A1978" s="27">
        <f>COUNTIFS(C:C,C1978,D:D,D1978)</f>
        <v>1</v>
      </c>
      <c r="B1978" s="30">
        <v>202101158798</v>
      </c>
      <c r="C1978" t="s">
        <v>4552</v>
      </c>
      <c r="D1978" t="s">
        <v>4553</v>
      </c>
      <c r="E1978" t="s">
        <v>4910</v>
      </c>
      <c r="F1978" t="s">
        <v>53</v>
      </c>
      <c r="G1978" s="27" t="str">
        <f t="shared" si="62"/>
        <v>16320 PECAN ST APT 1  CHANNELVIE</v>
      </c>
      <c r="H1978" s="27" t="str">
        <f t="shared" si="63"/>
        <v>HOUSTON TX 77530</v>
      </c>
    </row>
    <row r="1979" spans="1:8" x14ac:dyDescent="0.2">
      <c r="A1979" s="27">
        <f>COUNTIFS(C:C,C1979,D:D,D1979)</f>
        <v>1</v>
      </c>
      <c r="B1979" s="30">
        <v>202101158800</v>
      </c>
      <c r="C1979" t="s">
        <v>2330</v>
      </c>
      <c r="D1979" t="s">
        <v>2331</v>
      </c>
      <c r="E1979" t="s">
        <v>4981</v>
      </c>
      <c r="F1979" t="s">
        <v>88</v>
      </c>
      <c r="G1979" s="27" t="str">
        <f t="shared" si="62"/>
        <v>101 E EDGEBROOK  HOUSTON</v>
      </c>
      <c r="H1979" s="27" t="str">
        <f t="shared" si="63"/>
        <v>HOUSTON TX 77034</v>
      </c>
    </row>
    <row r="1980" spans="1:8" x14ac:dyDescent="0.2">
      <c r="A1980" s="27">
        <f>COUNTIFS(C:C,C1980,D:D,D1980)</f>
        <v>1</v>
      </c>
      <c r="B1980" s="30">
        <v>202101158801</v>
      </c>
      <c r="C1980" s="28" t="s">
        <v>1646</v>
      </c>
      <c r="D1980" s="28" t="s">
        <v>1647</v>
      </c>
      <c r="E1980" s="28" t="s">
        <v>5064</v>
      </c>
      <c r="F1980" s="28" t="s">
        <v>92</v>
      </c>
      <c r="G1980" s="27" t="str">
        <f t="shared" si="62"/>
        <v>4317 AVE K  GALVESTON</v>
      </c>
      <c r="H1980" s="27" t="str">
        <f t="shared" si="63"/>
        <v>HOUSTON TX 77550</v>
      </c>
    </row>
    <row r="1981" spans="1:8" x14ac:dyDescent="0.2">
      <c r="A1981" s="27">
        <f>COUNTIFS(C:C,C1981,D:D,D1981)</f>
        <v>1</v>
      </c>
      <c r="B1981" s="30">
        <v>202101158806</v>
      </c>
      <c r="C1981" t="s">
        <v>2352</v>
      </c>
      <c r="D1981" t="s">
        <v>2353</v>
      </c>
      <c r="E1981" t="s">
        <v>4905</v>
      </c>
      <c r="F1981" t="s">
        <v>88</v>
      </c>
      <c r="G1981" s="27" t="str">
        <f t="shared" si="62"/>
        <v>2802 PRESTON AVE  PASADENA</v>
      </c>
      <c r="H1981" s="27" t="str">
        <f t="shared" si="63"/>
        <v>HOUSTON TX 77503</v>
      </c>
    </row>
    <row r="1982" spans="1:8" x14ac:dyDescent="0.2">
      <c r="A1982" s="27">
        <f>COUNTIFS(C:C,C1982,D:D,D1982)</f>
        <v>1</v>
      </c>
      <c r="B1982" s="30">
        <v>202101158809</v>
      </c>
      <c r="C1982" t="s">
        <v>3322</v>
      </c>
      <c r="D1982" t="s">
        <v>3323</v>
      </c>
      <c r="E1982" t="s">
        <v>4862</v>
      </c>
      <c r="F1982" t="s">
        <v>58</v>
      </c>
      <c r="G1982" s="27" t="str">
        <f t="shared" si="62"/>
        <v>14530 MYERS DR  HOUSTON</v>
      </c>
      <c r="H1982" s="27" t="str">
        <f t="shared" si="63"/>
        <v>HOUSTON TX 77090</v>
      </c>
    </row>
    <row r="1983" spans="1:8" x14ac:dyDescent="0.2">
      <c r="A1983" s="27">
        <f>COUNTIFS(C:C,C1983,D:D,D1983)</f>
        <v>1</v>
      </c>
      <c r="B1983" s="30">
        <v>202101158810</v>
      </c>
      <c r="C1983" s="28" t="s">
        <v>882</v>
      </c>
      <c r="D1983" s="28" t="s">
        <v>883</v>
      </c>
      <c r="E1983" s="28" t="s">
        <v>4974</v>
      </c>
      <c r="F1983" s="28" t="s">
        <v>96</v>
      </c>
      <c r="G1983" s="27" t="str">
        <f t="shared" si="62"/>
        <v>4807 STONECROP CT  KINGWOOD</v>
      </c>
      <c r="H1983" s="27" t="str">
        <f t="shared" si="63"/>
        <v>HOUSTON TX 77345</v>
      </c>
    </row>
    <row r="1984" spans="1:8" x14ac:dyDescent="0.2">
      <c r="A1984" s="27">
        <f>COUNTIFS(C:C,C1984,D:D,D1984)</f>
        <v>1</v>
      </c>
      <c r="B1984" s="30">
        <v>202101158811</v>
      </c>
      <c r="C1984" t="s">
        <v>4554</v>
      </c>
      <c r="D1984" t="s">
        <v>4555</v>
      </c>
      <c r="E1984" t="s">
        <v>4867</v>
      </c>
      <c r="F1984" t="s">
        <v>88</v>
      </c>
      <c r="G1984" s="27" t="str">
        <f t="shared" si="62"/>
        <v>4219 LAMAR ST  HOUSTON</v>
      </c>
      <c r="H1984" s="27" t="str">
        <f t="shared" si="63"/>
        <v>HOUSTON TX 77023</v>
      </c>
    </row>
    <row r="1985" spans="1:8" x14ac:dyDescent="0.2">
      <c r="A1985" s="27">
        <f>COUNTIFS(C:C,C1985,D:D,D1985)</f>
        <v>1</v>
      </c>
      <c r="B1985" s="30">
        <v>202101158812</v>
      </c>
      <c r="C1985" s="28" t="s">
        <v>1534</v>
      </c>
      <c r="D1985" s="28" t="s">
        <v>1535</v>
      </c>
      <c r="E1985" s="28" t="s">
        <v>5053</v>
      </c>
      <c r="F1985" s="28" t="s">
        <v>61</v>
      </c>
      <c r="G1985" s="27" t="str">
        <f t="shared" si="62"/>
        <v>146 LOMITAS DR  ELGIN</v>
      </c>
      <c r="H1985" s="27" t="str">
        <f t="shared" si="63"/>
        <v>HOUSTON TX 78621</v>
      </c>
    </row>
    <row r="1986" spans="1:8" x14ac:dyDescent="0.2">
      <c r="A1986" s="27">
        <f>COUNTIFS(C:C,C1986,D:D,D1986)</f>
        <v>1</v>
      </c>
      <c r="B1986" s="30">
        <v>202101158813</v>
      </c>
      <c r="C1986" t="s">
        <v>2590</v>
      </c>
      <c r="D1986" t="s">
        <v>2591</v>
      </c>
      <c r="E1986" t="s">
        <v>4860</v>
      </c>
      <c r="F1986" t="s">
        <v>79</v>
      </c>
      <c r="G1986" s="27" t="str">
        <f t="shared" si="62"/>
        <v>807 SOUTH CIRCLE DR  BAYTOWN</v>
      </c>
      <c r="H1986" s="27" t="str">
        <f t="shared" si="63"/>
        <v>HOUSTON TX 77520</v>
      </c>
    </row>
    <row r="1987" spans="1:8" x14ac:dyDescent="0.2">
      <c r="A1987" s="27">
        <f>COUNTIFS(C:C,C1987,D:D,D1987)</f>
        <v>1</v>
      </c>
      <c r="B1987" s="30">
        <v>202101158819</v>
      </c>
      <c r="C1987" t="s">
        <v>4556</v>
      </c>
      <c r="D1987" t="s">
        <v>4557</v>
      </c>
      <c r="E1987" t="s">
        <v>4896</v>
      </c>
      <c r="F1987" t="s">
        <v>335</v>
      </c>
      <c r="G1987" s="27" t="str">
        <f t="shared" si="62"/>
        <v>8711 TOWN PARK DR  HOUSTON</v>
      </c>
      <c r="H1987" s="27" t="str">
        <f t="shared" si="63"/>
        <v>HOUSTON TX 77036</v>
      </c>
    </row>
    <row r="1988" spans="1:8" x14ac:dyDescent="0.2">
      <c r="A1988" s="27">
        <f>COUNTIFS(C:C,C1988,D:D,D1988)</f>
        <v>1</v>
      </c>
      <c r="B1988" s="30">
        <v>202101158824</v>
      </c>
      <c r="C1988" t="s">
        <v>4558</v>
      </c>
      <c r="D1988" t="s">
        <v>4559</v>
      </c>
      <c r="E1988" t="s">
        <v>5064</v>
      </c>
      <c r="F1988" t="s">
        <v>53</v>
      </c>
      <c r="G1988" s="27" t="str">
        <f t="shared" si="62"/>
        <v>2608 AVENUE L  GALVESTON</v>
      </c>
      <c r="H1988" s="27" t="str">
        <f t="shared" si="63"/>
        <v>HOUSTON TX 77550</v>
      </c>
    </row>
    <row r="1989" spans="1:8" x14ac:dyDescent="0.2">
      <c r="A1989" s="27">
        <f>COUNTIFS(C:C,C1989,D:D,D1989)</f>
        <v>1</v>
      </c>
      <c r="B1989" s="30">
        <v>202101158825</v>
      </c>
      <c r="C1989" t="s">
        <v>2240</v>
      </c>
      <c r="D1989" t="s">
        <v>2241</v>
      </c>
      <c r="E1989" t="s">
        <v>5117</v>
      </c>
      <c r="F1989" t="s">
        <v>53</v>
      </c>
      <c r="G1989" s="27" t="str">
        <f t="shared" si="62"/>
        <v>16308 LIVE OAK SQUARE DR PORTER</v>
      </c>
      <c r="H1989" s="27" t="str">
        <f t="shared" si="63"/>
        <v>HOUSTON TX 77365</v>
      </c>
    </row>
    <row r="1990" spans="1:8" x14ac:dyDescent="0.2">
      <c r="A1990" s="27">
        <f>COUNTIFS(C:C,C1990,D:D,D1990)</f>
        <v>1</v>
      </c>
      <c r="B1990" s="30">
        <v>202101158826</v>
      </c>
      <c r="C1990" t="s">
        <v>4560</v>
      </c>
      <c r="D1990" t="s">
        <v>4561</v>
      </c>
      <c r="E1990" t="s">
        <v>5157</v>
      </c>
      <c r="F1990" t="s">
        <v>88</v>
      </c>
      <c r="G1990" s="27" t="str">
        <f t="shared" si="62"/>
        <v>9111 KATY FWY STE 30 9 HOUSTON</v>
      </c>
      <c r="H1990" s="27" t="str">
        <f t="shared" si="63"/>
        <v>HOUSTON TX 77024</v>
      </c>
    </row>
    <row r="1991" spans="1:8" x14ac:dyDescent="0.2">
      <c r="A1991" s="27">
        <f>COUNTIFS(C:C,C1991,D:D,D1991)</f>
        <v>1</v>
      </c>
      <c r="B1991" s="30">
        <v>202101158828</v>
      </c>
      <c r="C1991" s="28" t="s">
        <v>992</v>
      </c>
      <c r="D1991" s="28" t="s">
        <v>993</v>
      </c>
      <c r="E1991" s="28" t="s">
        <v>4982</v>
      </c>
      <c r="F1991" s="28" t="s">
        <v>88</v>
      </c>
      <c r="G1991" s="27" t="str">
        <f t="shared" si="62"/>
        <v>2819 BANFF MOUNTAIN TRL HOUSTON</v>
      </c>
      <c r="H1991" s="27" t="str">
        <f t="shared" si="63"/>
        <v>HOUSTON TX 77038</v>
      </c>
    </row>
    <row r="1992" spans="1:8" x14ac:dyDescent="0.2">
      <c r="A1992" s="27">
        <f>COUNTIFS(C:C,C1992,D:D,D1992)</f>
        <v>1</v>
      </c>
      <c r="B1992" s="30">
        <v>202101158830</v>
      </c>
      <c r="C1992" t="s">
        <v>3277</v>
      </c>
      <c r="D1992" t="s">
        <v>3278</v>
      </c>
      <c r="E1992" t="s">
        <v>4896</v>
      </c>
      <c r="F1992" t="s">
        <v>98</v>
      </c>
      <c r="G1992" s="27" t="str">
        <f t="shared" si="62"/>
        <v>10111 BISSONNET ST  HOUSTON</v>
      </c>
      <c r="H1992" s="27" t="str">
        <f t="shared" si="63"/>
        <v>HOUSTON TX 77036</v>
      </c>
    </row>
    <row r="1993" spans="1:8" x14ac:dyDescent="0.2">
      <c r="A1993" s="27">
        <f>COUNTIFS(C:C,C1993,D:D,D1993)</f>
        <v>1</v>
      </c>
      <c r="B1993" s="30">
        <v>202101158833</v>
      </c>
      <c r="C1993" t="s">
        <v>4562</v>
      </c>
      <c r="D1993" t="s">
        <v>4563</v>
      </c>
      <c r="E1993" t="s">
        <v>4938</v>
      </c>
      <c r="F1993" t="s">
        <v>88</v>
      </c>
      <c r="G1993" s="27" t="str">
        <f t="shared" si="62"/>
        <v>1222 HAVNER LN  HOUSTON</v>
      </c>
      <c r="H1993" s="27" t="str">
        <f t="shared" si="63"/>
        <v>HOUSTON TX 77037</v>
      </c>
    </row>
    <row r="1994" spans="1:8" x14ac:dyDescent="0.2">
      <c r="A1994" s="27">
        <f>COUNTIFS(C:C,C1994,D:D,D1994)</f>
        <v>1</v>
      </c>
      <c r="B1994" s="30">
        <v>202101158835</v>
      </c>
      <c r="C1994" t="s">
        <v>4564</v>
      </c>
      <c r="D1994" t="s">
        <v>4565</v>
      </c>
      <c r="E1994" t="s">
        <v>5060</v>
      </c>
      <c r="F1994" t="s">
        <v>88</v>
      </c>
      <c r="G1994" s="27" t="str">
        <f t="shared" si="62"/>
        <v>10318 DYER GLENN  HOUSTON</v>
      </c>
      <c r="H1994" s="27" t="str">
        <f t="shared" si="63"/>
        <v>HOUSTON TX 77070</v>
      </c>
    </row>
    <row r="1995" spans="1:8" x14ac:dyDescent="0.2">
      <c r="A1995" s="27">
        <f>COUNTIFS(C:C,C1995,D:D,D1995)</f>
        <v>1</v>
      </c>
      <c r="B1995" s="30">
        <v>202101158837</v>
      </c>
      <c r="C1995" t="s">
        <v>2863</v>
      </c>
      <c r="D1995" t="s">
        <v>2864</v>
      </c>
      <c r="E1995" t="s">
        <v>4950</v>
      </c>
      <c r="F1995" t="s">
        <v>79</v>
      </c>
      <c r="G1995" s="27" t="str">
        <f t="shared" si="62"/>
        <v>258 LENA DR  HOUSTON</v>
      </c>
      <c r="H1995" s="27" t="str">
        <f t="shared" si="63"/>
        <v>HOUSTON TX 77022</v>
      </c>
    </row>
    <row r="1996" spans="1:8" x14ac:dyDescent="0.2">
      <c r="A1996" s="27">
        <f>COUNTIFS(C:C,C1996,D:D,D1996)</f>
        <v>1</v>
      </c>
      <c r="B1996" s="30">
        <v>202101158842</v>
      </c>
      <c r="C1996" t="s">
        <v>4566</v>
      </c>
      <c r="D1996" t="s">
        <v>4567</v>
      </c>
      <c r="E1996" t="s">
        <v>5181</v>
      </c>
      <c r="F1996" t="s">
        <v>156</v>
      </c>
      <c r="G1996" s="27" t="str">
        <f t="shared" si="62"/>
        <v>11800 GRANT RD  HARRIS CO</v>
      </c>
      <c r="H1996" s="27" t="str">
        <f t="shared" si="63"/>
        <v>HOUSTON TX 77070</v>
      </c>
    </row>
    <row r="1997" spans="1:8" x14ac:dyDescent="0.2">
      <c r="A1997" s="27">
        <f>COUNTIFS(C:C,C1997,D:D,D1997)</f>
        <v>1</v>
      </c>
      <c r="B1997" s="30">
        <v>202101158843</v>
      </c>
      <c r="C1997" t="s">
        <v>4568</v>
      </c>
      <c r="D1997" t="s">
        <v>4569</v>
      </c>
      <c r="E1997" t="s">
        <v>4939</v>
      </c>
      <c r="F1997" t="s">
        <v>178</v>
      </c>
      <c r="G1997" s="27" t="str">
        <f t="shared" si="62"/>
        <v>8527 OLD MEADOW LANE  HOUSTON</v>
      </c>
      <c r="H1997" s="27" t="str">
        <f t="shared" si="63"/>
        <v>HOUSTON TX 77064</v>
      </c>
    </row>
    <row r="1998" spans="1:8" x14ac:dyDescent="0.2">
      <c r="A1998" s="27">
        <f>COUNTIFS(C:C,C1998,D:D,D1998)</f>
        <v>1</v>
      </c>
      <c r="B1998" s="30">
        <v>202101158847</v>
      </c>
      <c r="C1998" t="s">
        <v>4570</v>
      </c>
      <c r="D1998" t="s">
        <v>4571</v>
      </c>
      <c r="E1998" t="s">
        <v>4920</v>
      </c>
      <c r="F1998" t="s">
        <v>88</v>
      </c>
      <c r="G1998" s="27" t="str">
        <f t="shared" si="62"/>
        <v>6403 SIERRA BLANCA 4 501 HOUSTON</v>
      </c>
      <c r="H1998" s="27" t="str">
        <f t="shared" si="63"/>
        <v>HOUSTON TX 77083</v>
      </c>
    </row>
    <row r="1999" spans="1:8" x14ac:dyDescent="0.2">
      <c r="A1999" s="27">
        <f>COUNTIFS(C:C,C1999,D:D,D1999)</f>
        <v>1</v>
      </c>
      <c r="B1999" s="30">
        <v>202101158853</v>
      </c>
      <c r="C1999" t="s">
        <v>3394</v>
      </c>
      <c r="D1999" t="s">
        <v>3395</v>
      </c>
      <c r="E1999" t="s">
        <v>5167</v>
      </c>
      <c r="F1999" t="s">
        <v>368</v>
      </c>
      <c r="G1999" s="27" t="str">
        <f t="shared" si="62"/>
        <v>3400 N LOOP 336 W  CONROE</v>
      </c>
      <c r="H1999" s="27" t="str">
        <f t="shared" si="63"/>
        <v>HOUSTON TX 77304</v>
      </c>
    </row>
    <row r="2000" spans="1:8" x14ac:dyDescent="0.2">
      <c r="A2000" s="27">
        <f>COUNTIFS(C:C,C2000,D:D,D2000)</f>
        <v>1</v>
      </c>
      <c r="B2000" s="30">
        <v>202101158855</v>
      </c>
      <c r="C2000" t="s">
        <v>4572</v>
      </c>
      <c r="D2000" t="s">
        <v>4573</v>
      </c>
      <c r="E2000" t="s">
        <v>4986</v>
      </c>
      <c r="F2000" t="s">
        <v>96</v>
      </c>
      <c r="G2000" s="27" t="str">
        <f t="shared" si="62"/>
        <v>20406 LANDSHIRE  HUMBLE</v>
      </c>
      <c r="H2000" s="27" t="str">
        <f t="shared" si="63"/>
        <v>HOUSTON TX 77338</v>
      </c>
    </row>
    <row r="2001" spans="1:8" x14ac:dyDescent="0.2">
      <c r="A2001" s="27">
        <f>COUNTIFS(C:C,C2001,D:D,D2001)</f>
        <v>1</v>
      </c>
      <c r="B2001" s="30">
        <v>202101158856</v>
      </c>
      <c r="C2001" t="s">
        <v>3126</v>
      </c>
      <c r="D2001" t="s">
        <v>3127</v>
      </c>
      <c r="E2001" t="s">
        <v>4956</v>
      </c>
      <c r="F2001" t="s">
        <v>87</v>
      </c>
      <c r="G2001" s="27" t="str">
        <f t="shared" si="62"/>
        <v>17719 BOONERS COVE CT  HUMBLE</v>
      </c>
      <c r="H2001" s="27" t="str">
        <f t="shared" si="63"/>
        <v>HOUSTON TX 77346</v>
      </c>
    </row>
    <row r="2002" spans="1:8" x14ac:dyDescent="0.2">
      <c r="A2002" s="27">
        <f>COUNTIFS(C:C,C2002,D:D,D2002)</f>
        <v>1</v>
      </c>
      <c r="B2002" s="30">
        <v>202101158860</v>
      </c>
      <c r="C2002" t="s">
        <v>2162</v>
      </c>
      <c r="D2002" t="s">
        <v>2163</v>
      </c>
      <c r="E2002" t="s">
        <v>4935</v>
      </c>
      <c r="F2002" t="s">
        <v>95</v>
      </c>
      <c r="G2002" s="27" t="str">
        <f t="shared" si="62"/>
        <v>11519 SANDSTONE CANYO N DR HUMBLE</v>
      </c>
      <c r="H2002" s="27" t="str">
        <f t="shared" si="63"/>
        <v>HOUSTON TX 77396</v>
      </c>
    </row>
    <row r="2003" spans="1:8" x14ac:dyDescent="0.2">
      <c r="A2003" s="27">
        <f>COUNTIFS(C:C,C2003,D:D,D2003)</f>
        <v>1</v>
      </c>
      <c r="B2003" s="30">
        <v>202101158862</v>
      </c>
      <c r="C2003" t="s">
        <v>2244</v>
      </c>
      <c r="D2003" t="s">
        <v>2245</v>
      </c>
      <c r="E2003" t="s">
        <v>5118</v>
      </c>
      <c r="F2003" t="s">
        <v>87</v>
      </c>
      <c r="G2003" s="27" t="str">
        <f t="shared" si="62"/>
        <v>11111 PLEASANT COLNEY DR JERSEY VIL</v>
      </c>
      <c r="H2003" s="27" t="str">
        <f t="shared" si="63"/>
        <v xml:space="preserve">HOUSTON TX      </v>
      </c>
    </row>
    <row r="2004" spans="1:8" x14ac:dyDescent="0.2">
      <c r="A2004" s="27">
        <f>COUNTIFS(C:C,C2004,D:D,D2004)</f>
        <v>1</v>
      </c>
      <c r="B2004" s="30">
        <v>202101158863</v>
      </c>
      <c r="C2004" s="28" t="s">
        <v>996</v>
      </c>
      <c r="D2004" s="28" t="s">
        <v>997</v>
      </c>
      <c r="E2004" s="28" t="s">
        <v>4852</v>
      </c>
      <c r="F2004" s="28" t="s">
        <v>88</v>
      </c>
      <c r="G2004" s="27" t="str">
        <f t="shared" si="62"/>
        <v>9918 WOODWICK ST  HOUSTON</v>
      </c>
      <c r="H2004" s="27" t="str">
        <f t="shared" si="63"/>
        <v>HOUSTON TX 77016</v>
      </c>
    </row>
    <row r="2005" spans="1:8" x14ac:dyDescent="0.2">
      <c r="A2005" s="27">
        <f>COUNTIFS(C:C,C2005,D:D,D2005)</f>
        <v>1</v>
      </c>
      <c r="B2005" s="30">
        <v>202101158865</v>
      </c>
      <c r="C2005" t="s">
        <v>4574</v>
      </c>
      <c r="D2005" t="s">
        <v>4575</v>
      </c>
      <c r="E2005" t="s">
        <v>5278</v>
      </c>
      <c r="F2005" t="s">
        <v>79</v>
      </c>
      <c r="G2005" s="27" t="str">
        <f t="shared" si="62"/>
        <v>1010 PIRTLE ST  LA MARQUE</v>
      </c>
      <c r="H2005" s="27" t="str">
        <f t="shared" si="63"/>
        <v>HOUSTON TX 77546</v>
      </c>
    </row>
    <row r="2006" spans="1:8" x14ac:dyDescent="0.2">
      <c r="A2006" s="27">
        <f>COUNTIFS(C:C,C2006,D:D,D2006)</f>
        <v>1</v>
      </c>
      <c r="B2006" s="30">
        <v>202101158866</v>
      </c>
      <c r="C2006" s="28" t="s">
        <v>806</v>
      </c>
      <c r="D2006" s="28" t="s">
        <v>807</v>
      </c>
      <c r="E2006" s="28" t="s">
        <v>4866</v>
      </c>
      <c r="F2006" s="28" t="s">
        <v>92</v>
      </c>
      <c r="G2006" s="27" t="str">
        <f t="shared" si="62"/>
        <v>5714 WERNER ST  HOUSTON</v>
      </c>
      <c r="H2006" s="27" t="str">
        <f t="shared" si="63"/>
        <v>HOUSTON TX 77076</v>
      </c>
    </row>
    <row r="2007" spans="1:8" x14ac:dyDescent="0.2">
      <c r="A2007" s="27">
        <f>COUNTIFS(C:C,C2007,D:D,D2007)</f>
        <v>1</v>
      </c>
      <c r="B2007" s="30">
        <v>202101158867</v>
      </c>
      <c r="C2007" t="s">
        <v>4576</v>
      </c>
      <c r="D2007" t="s">
        <v>4577</v>
      </c>
      <c r="E2007" t="s">
        <v>5023</v>
      </c>
      <c r="F2007" t="s">
        <v>53</v>
      </c>
      <c r="G2007" s="27" t="str">
        <f t="shared" si="62"/>
        <v>2827 DUNVALE RD 2110  HOUSTON</v>
      </c>
      <c r="H2007" s="27" t="str">
        <f t="shared" si="63"/>
        <v>HOUSTON TX 77063</v>
      </c>
    </row>
    <row r="2008" spans="1:8" x14ac:dyDescent="0.2">
      <c r="A2008" s="27">
        <f>COUNTIFS(C:C,C2008,D:D,D2008)</f>
        <v>1</v>
      </c>
      <c r="B2008" s="30">
        <v>202101158869</v>
      </c>
      <c r="C2008" s="28" t="s">
        <v>736</v>
      </c>
      <c r="D2008" s="28" t="s">
        <v>737</v>
      </c>
      <c r="E2008" s="28" t="s">
        <v>4945</v>
      </c>
      <c r="F2008" s="28" t="s">
        <v>88</v>
      </c>
      <c r="G2008" s="27" t="str">
        <f t="shared" si="62"/>
        <v>1217 WESTWOOD DR  ROSENBERG</v>
      </c>
      <c r="H2008" s="27" t="str">
        <f t="shared" si="63"/>
        <v>HOUSTON TX 77471</v>
      </c>
    </row>
    <row r="2009" spans="1:8" x14ac:dyDescent="0.2">
      <c r="A2009" s="27">
        <f>COUNTIFS(C:C,C2009,D:D,D2009)</f>
        <v>1</v>
      </c>
      <c r="B2009" s="30">
        <v>202101158871</v>
      </c>
      <c r="C2009" s="28" t="s">
        <v>1074</v>
      </c>
      <c r="D2009" s="28" t="s">
        <v>1075</v>
      </c>
      <c r="E2009" s="28" t="s">
        <v>4952</v>
      </c>
      <c r="F2009" s="28" t="s">
        <v>53</v>
      </c>
      <c r="G2009" s="27" t="str">
        <f t="shared" si="62"/>
        <v>500 W PITTS AVE  PASADENA</v>
      </c>
      <c r="H2009" s="27" t="str">
        <f t="shared" si="63"/>
        <v>HOUSTON TX 77506</v>
      </c>
    </row>
    <row r="2010" spans="1:8" x14ac:dyDescent="0.2">
      <c r="A2010" s="27">
        <f>COUNTIFS(C:C,C2010,D:D,D2010)</f>
        <v>1</v>
      </c>
      <c r="B2010" s="30">
        <v>202101158872</v>
      </c>
      <c r="C2010" t="s">
        <v>4578</v>
      </c>
      <c r="D2010" t="s">
        <v>4579</v>
      </c>
      <c r="E2010" t="s">
        <v>4896</v>
      </c>
      <c r="F2010" t="s">
        <v>53</v>
      </c>
      <c r="G2010" s="27" t="str">
        <f t="shared" si="62"/>
        <v>9000 TOWN PARK DR 50 4 HOUSTON</v>
      </c>
      <c r="H2010" s="27" t="str">
        <f t="shared" si="63"/>
        <v>HOUSTON TX 77036</v>
      </c>
    </row>
    <row r="2011" spans="1:8" x14ac:dyDescent="0.2">
      <c r="A2011" s="27">
        <f>COUNTIFS(C:C,C2011,D:D,D2011)</f>
        <v>1</v>
      </c>
      <c r="B2011" s="30">
        <v>202101158874</v>
      </c>
      <c r="C2011" t="s">
        <v>3398</v>
      </c>
      <c r="D2011" t="s">
        <v>3399</v>
      </c>
      <c r="E2011" t="s">
        <v>5147</v>
      </c>
      <c r="F2011" t="s">
        <v>53</v>
      </c>
      <c r="G2011" s="27" t="str">
        <f t="shared" si="62"/>
        <v>46B    HALL DR  MONTGOMERY</v>
      </c>
      <c r="H2011" s="27" t="str">
        <f t="shared" si="63"/>
        <v>HOUSTON TX 77316</v>
      </c>
    </row>
    <row r="2012" spans="1:8" x14ac:dyDescent="0.2">
      <c r="A2012" s="27">
        <f>COUNTIFS(C:C,C2012,D:D,D2012)</f>
        <v>1</v>
      </c>
      <c r="B2012" s="30">
        <v>202101158876</v>
      </c>
      <c r="C2012" t="s">
        <v>1957</v>
      </c>
      <c r="D2012" t="s">
        <v>1958</v>
      </c>
      <c r="E2012" t="s">
        <v>4874</v>
      </c>
      <c r="F2012" t="s">
        <v>87</v>
      </c>
      <c r="G2012" s="27" t="str">
        <f t="shared" si="62"/>
        <v>7926 DARNAY DRIVE  HOUSTON</v>
      </c>
      <c r="H2012" s="27" t="str">
        <f t="shared" si="63"/>
        <v>HOUSTON TX 77033</v>
      </c>
    </row>
    <row r="2013" spans="1:8" x14ac:dyDescent="0.2">
      <c r="A2013" s="27">
        <f>COUNTIFS(C:C,C2013,D:D,D2013)</f>
        <v>1</v>
      </c>
      <c r="B2013" s="30">
        <v>202101158879</v>
      </c>
      <c r="C2013" t="s">
        <v>4580</v>
      </c>
      <c r="D2013" t="s">
        <v>4581</v>
      </c>
      <c r="E2013" t="s">
        <v>5140</v>
      </c>
      <c r="F2013" t="s">
        <v>328</v>
      </c>
      <c r="G2013" s="27" t="str">
        <f t="shared" si="62"/>
        <v>11002 HERON NEST ST  HARRIS CO</v>
      </c>
      <c r="H2013" s="27" t="str">
        <f t="shared" si="63"/>
        <v>HOUSTON TX 77064</v>
      </c>
    </row>
    <row r="2014" spans="1:8" x14ac:dyDescent="0.2">
      <c r="A2014" s="27">
        <f>COUNTIFS(C:C,C2014,D:D,D2014)</f>
        <v>1</v>
      </c>
      <c r="B2014" s="30">
        <v>202101158880</v>
      </c>
      <c r="C2014" t="s">
        <v>2885</v>
      </c>
      <c r="D2014" t="s">
        <v>2886</v>
      </c>
      <c r="E2014" t="s">
        <v>4871</v>
      </c>
      <c r="F2014" t="s">
        <v>354</v>
      </c>
      <c r="G2014" s="27" t="str">
        <f t="shared" si="62"/>
        <v>13025 DONEGAL WAY  HOUSTON</v>
      </c>
      <c r="H2014" s="27" t="str">
        <f t="shared" si="63"/>
        <v>HOUSTON TX 77047</v>
      </c>
    </row>
    <row r="2015" spans="1:8" x14ac:dyDescent="0.2">
      <c r="A2015" s="27">
        <f>COUNTIFS(C:C,C2015,D:D,D2015)</f>
        <v>1</v>
      </c>
      <c r="B2015" s="30">
        <v>202101158883</v>
      </c>
      <c r="C2015" t="s">
        <v>2561</v>
      </c>
      <c r="D2015" t="s">
        <v>2562</v>
      </c>
      <c r="E2015" t="s">
        <v>4891</v>
      </c>
      <c r="F2015" t="s">
        <v>53</v>
      </c>
      <c r="G2015" s="27" t="str">
        <f t="shared" si="62"/>
        <v>11111 W. MONTGOMERY  HOUSTON</v>
      </c>
      <c r="H2015" s="27" t="str">
        <f t="shared" si="63"/>
        <v>HOUSTON TX 77088</v>
      </c>
    </row>
    <row r="2016" spans="1:8" x14ac:dyDescent="0.2">
      <c r="A2016" s="27">
        <f>COUNTIFS(C:C,C2016,D:D,D2016)</f>
        <v>1</v>
      </c>
      <c r="B2016" s="30">
        <v>202101158884</v>
      </c>
      <c r="C2016" s="28" t="s">
        <v>1155</v>
      </c>
      <c r="D2016" s="28" t="s">
        <v>1156</v>
      </c>
      <c r="E2016" s="28" t="s">
        <v>4920</v>
      </c>
      <c r="F2016" s="28" t="s">
        <v>78</v>
      </c>
      <c r="G2016" s="27" t="str">
        <f t="shared" si="62"/>
        <v>14427 ANDREA WAY LN  HOUSTON</v>
      </c>
      <c r="H2016" s="27" t="str">
        <f t="shared" si="63"/>
        <v>HOUSTON TX 77083</v>
      </c>
    </row>
    <row r="2017" spans="1:8" x14ac:dyDescent="0.2">
      <c r="A2017" s="27">
        <f>COUNTIFS(C:C,C2017,D:D,D2017)</f>
        <v>1</v>
      </c>
      <c r="B2017" s="30">
        <v>202101158885</v>
      </c>
      <c r="C2017" t="s">
        <v>4582</v>
      </c>
      <c r="D2017" t="s">
        <v>4583</v>
      </c>
      <c r="E2017" t="s">
        <v>4934</v>
      </c>
      <c r="F2017" t="s">
        <v>51</v>
      </c>
      <c r="G2017" s="27" t="str">
        <f t="shared" si="62"/>
        <v>313 N 72ND ST  HOUSTON</v>
      </c>
      <c r="H2017" s="27" t="str">
        <f t="shared" si="63"/>
        <v>HOUSTON TX 77011</v>
      </c>
    </row>
    <row r="2018" spans="1:8" x14ac:dyDescent="0.2">
      <c r="A2018" s="27">
        <f>COUNTIFS(C:C,C2018,D:D,D2018)</f>
        <v>1</v>
      </c>
      <c r="B2018" s="30">
        <v>202101158887</v>
      </c>
      <c r="C2018" s="28" t="s">
        <v>1173</v>
      </c>
      <c r="D2018" s="28" t="s">
        <v>1174</v>
      </c>
      <c r="E2018" s="28" t="s">
        <v>4917</v>
      </c>
      <c r="F2018" s="28" t="s">
        <v>4778</v>
      </c>
      <c r="G2018" s="27" t="str">
        <f t="shared" si="62"/>
        <v>12403 ROCKHAMPTON DR  HOUSTON</v>
      </c>
      <c r="H2018" s="27" t="str">
        <f t="shared" si="63"/>
        <v>HOUSTON TX 77031</v>
      </c>
    </row>
    <row r="2019" spans="1:8" x14ac:dyDescent="0.2">
      <c r="A2019" s="27">
        <f>COUNTIFS(C:C,C2019,D:D,D2019)</f>
        <v>1</v>
      </c>
      <c r="B2019" s="30">
        <v>202101158888</v>
      </c>
      <c r="C2019" s="28" t="s">
        <v>1528</v>
      </c>
      <c r="D2019" s="28" t="s">
        <v>1529</v>
      </c>
      <c r="E2019" s="28" t="s">
        <v>4854</v>
      </c>
      <c r="F2019" s="28" t="s">
        <v>53</v>
      </c>
      <c r="G2019" s="27" t="str">
        <f t="shared" si="62"/>
        <v>3510 CRANE ST  HOUSTON</v>
      </c>
      <c r="H2019" s="27" t="str">
        <f t="shared" si="63"/>
        <v>HOUSTON TX 77026</v>
      </c>
    </row>
    <row r="2020" spans="1:8" x14ac:dyDescent="0.2">
      <c r="A2020" s="27">
        <f>COUNTIFS(C:C,C2020,D:D,D2020)</f>
        <v>1</v>
      </c>
      <c r="B2020" s="30">
        <v>202101158889</v>
      </c>
      <c r="C2020" s="28" t="s">
        <v>748</v>
      </c>
      <c r="D2020" s="28" t="s">
        <v>749</v>
      </c>
      <c r="E2020" s="28" t="s">
        <v>4949</v>
      </c>
      <c r="F2020" s="28" t="s">
        <v>64</v>
      </c>
      <c r="G2020" s="27" t="str">
        <f t="shared" si="62"/>
        <v>1735 EDENA DR  HOUSTON</v>
      </c>
      <c r="H2020" s="27" t="str">
        <f t="shared" si="63"/>
        <v>HOUSTON TX 77049</v>
      </c>
    </row>
    <row r="2021" spans="1:8" x14ac:dyDescent="0.2">
      <c r="A2021" s="27">
        <f>COUNTIFS(C:C,C2021,D:D,D2021)</f>
        <v>1</v>
      </c>
      <c r="B2021" s="30">
        <v>202101158890</v>
      </c>
      <c r="C2021" t="s">
        <v>2793</v>
      </c>
      <c r="D2021" t="s">
        <v>2794</v>
      </c>
      <c r="E2021" t="s">
        <v>4953</v>
      </c>
      <c r="F2021" t="s">
        <v>51</v>
      </c>
      <c r="G2021" s="27" t="str">
        <f t="shared" si="62"/>
        <v>7906 ANZA CIR  HOUSTON</v>
      </c>
      <c r="H2021" s="27" t="str">
        <f t="shared" si="63"/>
        <v>HOUSTON TX 77012</v>
      </c>
    </row>
    <row r="2022" spans="1:8" x14ac:dyDescent="0.2">
      <c r="A2022" s="27">
        <f>COUNTIFS(C:C,C2022,D:D,D2022)</f>
        <v>1</v>
      </c>
      <c r="B2022" s="30">
        <v>202101158894</v>
      </c>
      <c r="C2022" t="s">
        <v>4584</v>
      </c>
      <c r="D2022" t="s">
        <v>4585</v>
      </c>
      <c r="E2022" t="s">
        <v>4960</v>
      </c>
      <c r="F2022" t="s">
        <v>4847</v>
      </c>
      <c r="G2022" s="27" t="str">
        <f t="shared" si="62"/>
        <v>502 DALE ST  HOUSTON</v>
      </c>
      <c r="H2022" s="27" t="str">
        <f t="shared" si="63"/>
        <v>HOUSTON TX 77060</v>
      </c>
    </row>
    <row r="2023" spans="1:8" x14ac:dyDescent="0.2">
      <c r="A2023" s="27">
        <f>COUNTIFS(C:C,C2023,D:D,D2023)</f>
        <v>1</v>
      </c>
      <c r="B2023" s="30">
        <v>202101158897</v>
      </c>
      <c r="C2023" t="s">
        <v>4586</v>
      </c>
      <c r="D2023" t="s">
        <v>4587</v>
      </c>
      <c r="E2023" t="s">
        <v>4943</v>
      </c>
      <c r="F2023" t="s">
        <v>343</v>
      </c>
      <c r="G2023" s="27" t="str">
        <f t="shared" si="62"/>
        <v>5455 TIMBER CREEK PL ACE DR HOUSTON</v>
      </c>
      <c r="H2023" s="27" t="str">
        <f t="shared" si="63"/>
        <v>HOUSTON TX 77084</v>
      </c>
    </row>
    <row r="2024" spans="1:8" x14ac:dyDescent="0.2">
      <c r="A2024" s="27">
        <f>COUNTIFS(C:C,C2024,D:D,D2024)</f>
        <v>1</v>
      </c>
      <c r="B2024" s="30">
        <v>202101158898</v>
      </c>
      <c r="C2024" s="28" t="s">
        <v>1888</v>
      </c>
      <c r="D2024" s="28" t="s">
        <v>1889</v>
      </c>
      <c r="E2024" s="28" t="s">
        <v>4900</v>
      </c>
      <c r="F2024" s="28" t="s">
        <v>53</v>
      </c>
      <c r="G2024" s="27" t="str">
        <f t="shared" si="62"/>
        <v>6326 AUSTINVILLE DRI VER KATY</v>
      </c>
      <c r="H2024" s="27" t="str">
        <f t="shared" si="63"/>
        <v>HOUSTON TX 77449</v>
      </c>
    </row>
    <row r="2025" spans="1:8" x14ac:dyDescent="0.2">
      <c r="A2025" s="27">
        <f>COUNTIFS(C:C,C2025,D:D,D2025)</f>
        <v>1</v>
      </c>
      <c r="B2025" s="30">
        <v>202101158899</v>
      </c>
      <c r="C2025" t="s">
        <v>3162</v>
      </c>
      <c r="D2025" t="s">
        <v>3163</v>
      </c>
      <c r="E2025" t="s">
        <v>4875</v>
      </c>
      <c r="F2025" t="s">
        <v>53</v>
      </c>
      <c r="G2025" s="27" t="str">
        <f t="shared" si="62"/>
        <v>3335 PERSIMMON  HOUSTON</v>
      </c>
      <c r="H2025" s="27" t="str">
        <f t="shared" si="63"/>
        <v>HOUSTON TX 77093</v>
      </c>
    </row>
    <row r="2026" spans="1:8" x14ac:dyDescent="0.2">
      <c r="A2026" s="27">
        <f>COUNTIFS(C:C,C2026,D:D,D2026)</f>
        <v>1</v>
      </c>
      <c r="B2026" s="30">
        <v>202101158901</v>
      </c>
      <c r="C2026" t="s">
        <v>4588</v>
      </c>
      <c r="D2026" t="s">
        <v>4589</v>
      </c>
      <c r="E2026" t="s">
        <v>4896</v>
      </c>
      <c r="F2026" t="s">
        <v>90</v>
      </c>
      <c r="G2026" s="27" t="str">
        <f t="shared" ref="G2026:G2089" si="64">D2026&amp;" "&amp;MID(E2026,1,FIND(" TX",E2026)-1)</f>
        <v>7500 CLAREWOOD DR 11 1 HOUSTON</v>
      </c>
      <c r="H2026" s="27" t="str">
        <f t="shared" ref="H2026:H2089" si="65">"HOUSTON "&amp;MID(E2026,FIND("TX",E2026),8)</f>
        <v>HOUSTON TX 77036</v>
      </c>
    </row>
    <row r="2027" spans="1:8" x14ac:dyDescent="0.2">
      <c r="A2027" s="27">
        <f>COUNTIFS(C:C,C2027,D:D,D2027)</f>
        <v>1</v>
      </c>
      <c r="B2027" s="30">
        <v>202101158908</v>
      </c>
      <c r="C2027" t="s">
        <v>4590</v>
      </c>
      <c r="D2027" t="s">
        <v>4591</v>
      </c>
      <c r="E2027" t="s">
        <v>4851</v>
      </c>
      <c r="F2027" t="s">
        <v>350</v>
      </c>
      <c r="G2027" s="27" t="str">
        <f t="shared" si="64"/>
        <v>5207 NATILUS LANE  BAYTOWN</v>
      </c>
      <c r="H2027" s="27" t="str">
        <f t="shared" si="65"/>
        <v>HOUSTON TX 77521</v>
      </c>
    </row>
    <row r="2028" spans="1:8" x14ac:dyDescent="0.2">
      <c r="A2028" s="27">
        <f>COUNTIFS(C:C,C2028,D:D,D2028)</f>
        <v>1</v>
      </c>
      <c r="B2028" s="30">
        <v>202101158910</v>
      </c>
      <c r="C2028" s="28" t="s">
        <v>440</v>
      </c>
      <c r="D2028" s="28" t="s">
        <v>441</v>
      </c>
      <c r="E2028" s="28" t="s">
        <v>4856</v>
      </c>
      <c r="F2028" s="28" t="s">
        <v>73</v>
      </c>
      <c r="G2028" s="27" t="str">
        <f t="shared" si="64"/>
        <v>8201 EASTON ST  HOUSTON</v>
      </c>
      <c r="H2028" s="27" t="str">
        <f t="shared" si="65"/>
        <v>HOUSTON TX 77017</v>
      </c>
    </row>
    <row r="2029" spans="1:8" x14ac:dyDescent="0.2">
      <c r="A2029" s="27">
        <f>COUNTIFS(C:C,C2029,D:D,D2029)</f>
        <v>1</v>
      </c>
      <c r="B2029" s="30">
        <v>202101158911</v>
      </c>
      <c r="C2029" t="s">
        <v>4592</v>
      </c>
      <c r="D2029" t="s">
        <v>4593</v>
      </c>
      <c r="E2029" t="s">
        <v>5279</v>
      </c>
      <c r="F2029" t="s">
        <v>53</v>
      </c>
      <c r="G2029" s="27" t="str">
        <f t="shared" si="64"/>
        <v>4918 VALLEY RIDGE DR APT 3054 IRVING</v>
      </c>
      <c r="H2029" s="27" t="str">
        <f t="shared" si="65"/>
        <v>HOUSTON TX 75062</v>
      </c>
    </row>
    <row r="2030" spans="1:8" x14ac:dyDescent="0.2">
      <c r="A2030" s="27">
        <f>COUNTIFS(C:C,C2030,D:D,D2030)</f>
        <v>1</v>
      </c>
      <c r="B2030" s="30">
        <v>202101158914</v>
      </c>
      <c r="C2030" t="s">
        <v>2288</v>
      </c>
      <c r="D2030" t="s">
        <v>2289</v>
      </c>
      <c r="E2030" t="s">
        <v>5121</v>
      </c>
      <c r="F2030" t="s">
        <v>79</v>
      </c>
      <c r="G2030" s="27" t="str">
        <f t="shared" si="64"/>
        <v>18204 CHISHOLM TRL  HARRIS CO</v>
      </c>
      <c r="H2030" s="27" t="str">
        <f t="shared" si="65"/>
        <v>HOUSTON TX 77060</v>
      </c>
    </row>
    <row r="2031" spans="1:8" x14ac:dyDescent="0.2">
      <c r="A2031" s="27">
        <f>COUNTIFS(C:C,C2031,D:D,D2031)</f>
        <v>1</v>
      </c>
      <c r="B2031" s="30">
        <v>202101158919</v>
      </c>
      <c r="C2031" t="s">
        <v>2390</v>
      </c>
      <c r="D2031" t="s">
        <v>2391</v>
      </c>
      <c r="E2031" t="s">
        <v>4960</v>
      </c>
      <c r="F2031" t="s">
        <v>71</v>
      </c>
      <c r="G2031" s="27" t="str">
        <f t="shared" si="64"/>
        <v>525 SEMINAR DR  HOUSTON</v>
      </c>
      <c r="H2031" s="27" t="str">
        <f t="shared" si="65"/>
        <v>HOUSTON TX 77060</v>
      </c>
    </row>
    <row r="2032" spans="1:8" x14ac:dyDescent="0.2">
      <c r="A2032" s="27">
        <f>COUNTIFS(C:C,C2032,D:D,D2032)</f>
        <v>1</v>
      </c>
      <c r="B2032" s="30">
        <v>202101158920</v>
      </c>
      <c r="C2032" t="s">
        <v>3043</v>
      </c>
      <c r="D2032" t="s">
        <v>3044</v>
      </c>
      <c r="E2032" t="s">
        <v>4935</v>
      </c>
      <c r="F2032" t="s">
        <v>51</v>
      </c>
      <c r="G2032" s="27" t="str">
        <f t="shared" si="64"/>
        <v>15914 OWL STREET  HUMBLE</v>
      </c>
      <c r="H2032" s="27" t="str">
        <f t="shared" si="65"/>
        <v>HOUSTON TX 77396</v>
      </c>
    </row>
    <row r="2033" spans="1:8" x14ac:dyDescent="0.2">
      <c r="A2033" s="27">
        <f>COUNTIFS(C:C,C2033,D:D,D2033)</f>
        <v>1</v>
      </c>
      <c r="B2033" s="30">
        <v>202101158921</v>
      </c>
      <c r="C2033" t="s">
        <v>4594</v>
      </c>
      <c r="D2033" t="s">
        <v>4595</v>
      </c>
      <c r="E2033" t="s">
        <v>4884</v>
      </c>
      <c r="F2033" t="s">
        <v>53</v>
      </c>
      <c r="G2033" s="27" t="str">
        <f t="shared" si="64"/>
        <v>23780 COUNTRY LN  HOCKLEY</v>
      </c>
      <c r="H2033" s="27" t="str">
        <f t="shared" si="65"/>
        <v>HOUSTON TX 77447</v>
      </c>
    </row>
    <row r="2034" spans="1:8" x14ac:dyDescent="0.2">
      <c r="A2034" s="27">
        <f>COUNTIFS(C:C,C2034,D:D,D2034)</f>
        <v>1</v>
      </c>
      <c r="B2034" s="30">
        <v>202101158922</v>
      </c>
      <c r="C2034" s="28" t="s">
        <v>1565</v>
      </c>
      <c r="D2034" s="28" t="s">
        <v>1566</v>
      </c>
      <c r="E2034" s="28" t="s">
        <v>4984</v>
      </c>
      <c r="F2034" s="28" t="s">
        <v>97</v>
      </c>
      <c r="G2034" s="27" t="str">
        <f t="shared" si="64"/>
        <v>2800 HIRSCHFIELD RD  SPRING</v>
      </c>
      <c r="H2034" s="27" t="str">
        <f t="shared" si="65"/>
        <v>HOUSTON TX 77373</v>
      </c>
    </row>
    <row r="2035" spans="1:8" x14ac:dyDescent="0.2">
      <c r="A2035" s="27">
        <f>COUNTIFS(C:C,C2035,D:D,D2035)</f>
        <v>1</v>
      </c>
      <c r="B2035" s="30">
        <v>202101158925</v>
      </c>
      <c r="C2035" s="28" t="s">
        <v>829</v>
      </c>
      <c r="D2035" s="28" t="s">
        <v>830</v>
      </c>
      <c r="E2035" s="28" t="s">
        <v>4937</v>
      </c>
      <c r="F2035" s="28" t="s">
        <v>88</v>
      </c>
      <c r="G2035" s="27" t="str">
        <f t="shared" si="64"/>
        <v>6805 FLAMINGO DR  HOUSTON</v>
      </c>
      <c r="H2035" s="27" t="str">
        <f t="shared" si="65"/>
        <v>HOUSTON TX 77087</v>
      </c>
    </row>
    <row r="2036" spans="1:8" x14ac:dyDescent="0.2">
      <c r="A2036" s="27">
        <f>COUNTIFS(C:C,C2036,D:D,D2036)</f>
        <v>1</v>
      </c>
      <c r="B2036" s="30">
        <v>202101158926</v>
      </c>
      <c r="C2036" t="s">
        <v>1961</v>
      </c>
      <c r="D2036" t="s">
        <v>1962</v>
      </c>
      <c r="E2036" t="s">
        <v>4850</v>
      </c>
      <c r="F2036" t="s">
        <v>56</v>
      </c>
      <c r="G2036" s="27" t="str">
        <f t="shared" si="64"/>
        <v>10202 SAGEBUD  HOUSTON</v>
      </c>
      <c r="H2036" s="27" t="str">
        <f t="shared" si="65"/>
        <v>HOUSTON TX 77089</v>
      </c>
    </row>
    <row r="2037" spans="1:8" x14ac:dyDescent="0.2">
      <c r="A2037" s="27">
        <f>COUNTIFS(C:C,C2037,D:D,D2037)</f>
        <v>1</v>
      </c>
      <c r="B2037" s="30">
        <v>202101158927</v>
      </c>
      <c r="C2037" s="28" t="s">
        <v>914</v>
      </c>
      <c r="D2037" s="28" t="s">
        <v>915</v>
      </c>
      <c r="E2037" s="28" t="s">
        <v>4981</v>
      </c>
      <c r="F2037" s="28" t="s">
        <v>51</v>
      </c>
      <c r="G2037" s="27" t="str">
        <f t="shared" si="64"/>
        <v>10910 GULF FREEWAY  HOUSTON</v>
      </c>
      <c r="H2037" s="27" t="str">
        <f t="shared" si="65"/>
        <v>HOUSTON TX 77034</v>
      </c>
    </row>
    <row r="2038" spans="1:8" x14ac:dyDescent="0.2">
      <c r="A2038" s="27">
        <f>COUNTIFS(C:C,C2038,D:D,D2038)</f>
        <v>1</v>
      </c>
      <c r="B2038" s="30">
        <v>202101158931</v>
      </c>
      <c r="C2038" s="28" t="s">
        <v>1496</v>
      </c>
      <c r="D2038" s="28" t="s">
        <v>1497</v>
      </c>
      <c r="E2038" s="28" t="s">
        <v>5048</v>
      </c>
      <c r="F2038" s="28" t="s">
        <v>96</v>
      </c>
      <c r="G2038" s="27" t="str">
        <f t="shared" si="64"/>
        <v>23215 NAPLES DR  SPRING</v>
      </c>
      <c r="H2038" s="27" t="str">
        <f t="shared" si="65"/>
        <v>HOUSTON TX 77073</v>
      </c>
    </row>
    <row r="2039" spans="1:8" x14ac:dyDescent="0.2">
      <c r="A2039" s="27">
        <f>COUNTIFS(C:C,C2039,D:D,D2039)</f>
        <v>1</v>
      </c>
      <c r="B2039" s="30">
        <v>202101158933</v>
      </c>
      <c r="C2039" s="28" t="s">
        <v>607</v>
      </c>
      <c r="D2039" s="28" t="s">
        <v>608</v>
      </c>
      <c r="E2039" s="28" t="s">
        <v>4851</v>
      </c>
      <c r="F2039" s="28" t="s">
        <v>4767</v>
      </c>
      <c r="G2039" s="27" t="str">
        <f t="shared" si="64"/>
        <v>6900 N MAIN  BAYTOWN</v>
      </c>
      <c r="H2039" s="27" t="str">
        <f t="shared" si="65"/>
        <v>HOUSTON TX 77521</v>
      </c>
    </row>
    <row r="2040" spans="1:8" x14ac:dyDescent="0.2">
      <c r="A2040" s="27">
        <f>COUNTIFS(C:C,C2040,D:D,D2040)</f>
        <v>1</v>
      </c>
      <c r="B2040" s="30">
        <v>202101158936</v>
      </c>
      <c r="C2040" t="s">
        <v>2061</v>
      </c>
      <c r="D2040" t="s">
        <v>2062</v>
      </c>
      <c r="E2040" t="s">
        <v>4915</v>
      </c>
      <c r="F2040" t="s">
        <v>75</v>
      </c>
      <c r="G2040" s="27" t="str">
        <f t="shared" si="64"/>
        <v>6210 CULBERSON ST  HOUSTON</v>
      </c>
      <c r="H2040" s="27" t="str">
        <f t="shared" si="65"/>
        <v>HOUSTON TX 77021</v>
      </c>
    </row>
    <row r="2041" spans="1:8" x14ac:dyDescent="0.2">
      <c r="A2041" s="27">
        <f>COUNTIFS(C:C,C2041,D:D,D2041)</f>
        <v>1</v>
      </c>
      <c r="B2041" s="30">
        <v>202101158938</v>
      </c>
      <c r="C2041" s="28" t="s">
        <v>1488</v>
      </c>
      <c r="D2041" s="28" t="s">
        <v>1489</v>
      </c>
      <c r="E2041" s="28" t="s">
        <v>4857</v>
      </c>
      <c r="F2041" s="28" t="s">
        <v>4783</v>
      </c>
      <c r="G2041" s="27" t="str">
        <f t="shared" si="64"/>
        <v>7878 SPENCER HWY  PASADENA</v>
      </c>
      <c r="H2041" s="27" t="str">
        <f t="shared" si="65"/>
        <v>HOUSTON TX 77505</v>
      </c>
    </row>
    <row r="2042" spans="1:8" x14ac:dyDescent="0.2">
      <c r="A2042" s="27">
        <f>COUNTIFS(C:C,C2042,D:D,D2042)</f>
        <v>1</v>
      </c>
      <c r="B2042" s="30">
        <v>202101158939</v>
      </c>
      <c r="C2042" t="s">
        <v>2364</v>
      </c>
      <c r="D2042" t="s">
        <v>2365</v>
      </c>
      <c r="E2042" t="s">
        <v>4906</v>
      </c>
      <c r="F2042" t="s">
        <v>87</v>
      </c>
      <c r="G2042" s="27" t="str">
        <f t="shared" si="64"/>
        <v>3363 S SHAVER ST  PASADENA</v>
      </c>
      <c r="H2042" s="27" t="str">
        <f t="shared" si="65"/>
        <v>HOUSTON TX 77504</v>
      </c>
    </row>
    <row r="2043" spans="1:8" x14ac:dyDescent="0.2">
      <c r="A2043" s="27">
        <f>COUNTIFS(C:C,C2043,D:D,D2043)</f>
        <v>1</v>
      </c>
      <c r="B2043" s="30">
        <v>202101158943</v>
      </c>
      <c r="C2043" s="28" t="s">
        <v>1669</v>
      </c>
      <c r="D2043" s="28" t="s">
        <v>1670</v>
      </c>
      <c r="E2043" s="28" t="s">
        <v>4875</v>
      </c>
      <c r="F2043" s="28" t="s">
        <v>99</v>
      </c>
      <c r="G2043" s="27" t="str">
        <f t="shared" si="64"/>
        <v>1523 SKINNER RD  HOUSTON</v>
      </c>
      <c r="H2043" s="27" t="str">
        <f t="shared" si="65"/>
        <v>HOUSTON TX 77093</v>
      </c>
    </row>
    <row r="2044" spans="1:8" x14ac:dyDescent="0.2">
      <c r="A2044" s="27">
        <f>COUNTIFS(C:C,C2044,D:D,D2044)</f>
        <v>1</v>
      </c>
      <c r="B2044" s="30">
        <v>202101158944</v>
      </c>
      <c r="C2044" t="s">
        <v>4596</v>
      </c>
      <c r="D2044" t="s">
        <v>4597</v>
      </c>
      <c r="E2044" t="s">
        <v>4899</v>
      </c>
      <c r="F2044" t="s">
        <v>88</v>
      </c>
      <c r="G2044" s="27" t="str">
        <f t="shared" si="64"/>
        <v>7807 WATER PARK LANE  HOUSTON</v>
      </c>
      <c r="H2044" s="27" t="str">
        <f t="shared" si="65"/>
        <v>HOUSTON TX 77086</v>
      </c>
    </row>
    <row r="2045" spans="1:8" x14ac:dyDescent="0.2">
      <c r="A2045" s="27">
        <f>COUNTIFS(C:C,C2045,D:D,D2045)</f>
        <v>1</v>
      </c>
      <c r="B2045" s="30">
        <v>202101158945</v>
      </c>
      <c r="C2045" s="28" t="s">
        <v>400</v>
      </c>
      <c r="D2045" s="28" t="s">
        <v>401</v>
      </c>
      <c r="E2045" s="28" t="s">
        <v>4851</v>
      </c>
      <c r="F2045" s="28" t="s">
        <v>157</v>
      </c>
      <c r="G2045" s="27" t="str">
        <f t="shared" si="64"/>
        <v>805 SCHILLING AVE  BAYTOWN</v>
      </c>
      <c r="H2045" s="27" t="str">
        <f t="shared" si="65"/>
        <v>HOUSTON TX 77521</v>
      </c>
    </row>
    <row r="2046" spans="1:8" x14ac:dyDescent="0.2">
      <c r="A2046" s="27">
        <f>COUNTIFS(C:C,C2046,D:D,D2046)</f>
        <v>1</v>
      </c>
      <c r="B2046" s="30">
        <v>202101158946</v>
      </c>
      <c r="C2046" s="28" t="s">
        <v>1793</v>
      </c>
      <c r="D2046" s="28" t="s">
        <v>1794</v>
      </c>
      <c r="E2046" s="28" t="s">
        <v>4905</v>
      </c>
      <c r="F2046" s="28" t="s">
        <v>88</v>
      </c>
      <c r="G2046" s="27" t="str">
        <f t="shared" si="64"/>
        <v>3201 RED BLUFF  PASADENA</v>
      </c>
      <c r="H2046" s="27" t="str">
        <f t="shared" si="65"/>
        <v>HOUSTON TX 77503</v>
      </c>
    </row>
    <row r="2047" spans="1:8" x14ac:dyDescent="0.2">
      <c r="A2047" s="27">
        <f>COUNTIFS(C:C,C2047,D:D,D2047)</f>
        <v>1</v>
      </c>
      <c r="B2047" s="30">
        <v>202101158947</v>
      </c>
      <c r="C2047" t="s">
        <v>2211</v>
      </c>
      <c r="D2047" t="s">
        <v>2212</v>
      </c>
      <c r="E2047" t="s">
        <v>5077</v>
      </c>
      <c r="F2047" t="s">
        <v>170</v>
      </c>
      <c r="G2047" s="27" t="str">
        <f t="shared" si="64"/>
        <v>12200 FLEMING DR 1308  HOUSTON</v>
      </c>
      <c r="H2047" s="27" t="str">
        <f t="shared" si="65"/>
        <v>HOUSTON TX 77013</v>
      </c>
    </row>
    <row r="2048" spans="1:8" x14ac:dyDescent="0.2">
      <c r="A2048" s="27">
        <f>COUNTIFS(C:C,C2048,D:D,D2048)</f>
        <v>1</v>
      </c>
      <c r="B2048" s="30">
        <v>202101158948</v>
      </c>
      <c r="C2048" s="28" t="s">
        <v>1832</v>
      </c>
      <c r="D2048" s="28" t="s">
        <v>1833</v>
      </c>
      <c r="E2048" s="28" t="s">
        <v>5078</v>
      </c>
      <c r="F2048" s="28" t="s">
        <v>92</v>
      </c>
      <c r="G2048" s="27" t="str">
        <f t="shared" si="64"/>
        <v>19919 FAIRGRANGE PLAC E LN HARRIS CO</v>
      </c>
      <c r="H2048" s="27" t="str">
        <f t="shared" si="65"/>
        <v>HOUSTON TX 77449</v>
      </c>
    </row>
    <row r="2049" spans="1:8" x14ac:dyDescent="0.2">
      <c r="A2049" s="27">
        <f>COUNTIFS(C:C,C2049,D:D,D2049)</f>
        <v>1</v>
      </c>
      <c r="B2049" s="30">
        <v>202101158953</v>
      </c>
      <c r="C2049" t="s">
        <v>4598</v>
      </c>
      <c r="D2049" t="s">
        <v>4599</v>
      </c>
      <c r="E2049" t="s">
        <v>4865</v>
      </c>
      <c r="F2049" t="s">
        <v>84</v>
      </c>
      <c r="G2049" s="27" t="str">
        <f t="shared" si="64"/>
        <v>8420 MCGIRTS VILLAGE LN HOUSTON</v>
      </c>
      <c r="H2049" s="27" t="str">
        <f t="shared" si="65"/>
        <v xml:space="preserve">HOUSTON TX      </v>
      </c>
    </row>
    <row r="2050" spans="1:8" x14ac:dyDescent="0.2">
      <c r="A2050" s="27">
        <f>COUNTIFS(C:C,C2050,D:D,D2050)</f>
        <v>1</v>
      </c>
      <c r="B2050" s="30">
        <v>202101158958</v>
      </c>
      <c r="C2050" t="s">
        <v>4600</v>
      </c>
      <c r="D2050" t="s">
        <v>4601</v>
      </c>
      <c r="E2050" t="s">
        <v>5280</v>
      </c>
      <c r="F2050" t="s">
        <v>88</v>
      </c>
      <c r="G2050" s="27" t="str">
        <f t="shared" si="64"/>
        <v>8425 AIRLINE DR  HARRIS CO</v>
      </c>
      <c r="H2050" s="27" t="str">
        <f t="shared" si="65"/>
        <v>HOUSTON TX 77037</v>
      </c>
    </row>
    <row r="2051" spans="1:8" x14ac:dyDescent="0.2">
      <c r="A2051" s="27">
        <f>COUNTIFS(C:C,C2051,D:D,D2051)</f>
        <v>1</v>
      </c>
      <c r="B2051" s="30">
        <v>202101158959</v>
      </c>
      <c r="C2051" s="28" t="s">
        <v>906</v>
      </c>
      <c r="D2051" s="28" t="s">
        <v>907</v>
      </c>
      <c r="E2051" s="28" t="s">
        <v>4977</v>
      </c>
      <c r="F2051" s="28" t="s">
        <v>51</v>
      </c>
      <c r="G2051" s="27" t="str">
        <f t="shared" si="64"/>
        <v>1430 FOUNTAIN VIEW D R HOUSTON</v>
      </c>
      <c r="H2051" s="27" t="str">
        <f t="shared" si="65"/>
        <v>HOUSTON TX 77057</v>
      </c>
    </row>
    <row r="2052" spans="1:8" x14ac:dyDescent="0.2">
      <c r="A2052" s="27">
        <f>COUNTIFS(C:C,C2052,D:D,D2052)</f>
        <v>1</v>
      </c>
      <c r="B2052" s="30">
        <v>202101158960</v>
      </c>
      <c r="C2052" t="s">
        <v>2829</v>
      </c>
      <c r="D2052" t="s">
        <v>2830</v>
      </c>
      <c r="E2052" t="s">
        <v>4932</v>
      </c>
      <c r="F2052" t="s">
        <v>53</v>
      </c>
      <c r="G2052" s="27" t="str">
        <f t="shared" si="64"/>
        <v>5218 MILWEE ST  HOUSTON</v>
      </c>
      <c r="H2052" s="27" t="str">
        <f t="shared" si="65"/>
        <v>HOUSTON TX 77092</v>
      </c>
    </row>
    <row r="2053" spans="1:8" x14ac:dyDescent="0.2">
      <c r="A2053" s="27">
        <f>COUNTIFS(C:C,C2053,D:D,D2053)</f>
        <v>1</v>
      </c>
      <c r="B2053" s="30">
        <v>202101158961</v>
      </c>
      <c r="C2053" t="s">
        <v>1982</v>
      </c>
      <c r="D2053" t="s">
        <v>1983</v>
      </c>
      <c r="E2053" t="s">
        <v>4859</v>
      </c>
      <c r="F2053" t="s">
        <v>87</v>
      </c>
      <c r="G2053" s="27" t="str">
        <f t="shared" si="64"/>
        <v>15742 YOUPON VALLEY D R HOUSTON</v>
      </c>
      <c r="H2053" s="27" t="str">
        <f t="shared" si="65"/>
        <v>HOUSTON TX 77073</v>
      </c>
    </row>
    <row r="2054" spans="1:8" x14ac:dyDescent="0.2">
      <c r="A2054" s="27">
        <f>COUNTIFS(C:C,C2054,D:D,D2054)</f>
        <v>1</v>
      </c>
      <c r="B2054" s="30">
        <v>202101158962</v>
      </c>
      <c r="C2054" t="s">
        <v>3310</v>
      </c>
      <c r="D2054" t="s">
        <v>3311</v>
      </c>
      <c r="E2054" t="s">
        <v>4901</v>
      </c>
      <c r="F2054" t="s">
        <v>4827</v>
      </c>
      <c r="G2054" s="27" t="str">
        <f t="shared" si="64"/>
        <v>10534 BEECHNUT ST  HOUSTON</v>
      </c>
      <c r="H2054" s="27" t="str">
        <f t="shared" si="65"/>
        <v>HOUSTON TX 77072</v>
      </c>
    </row>
    <row r="2055" spans="1:8" x14ac:dyDescent="0.2">
      <c r="A2055" s="27">
        <f>COUNTIFS(C:C,C2055,D:D,D2055)</f>
        <v>1</v>
      </c>
      <c r="B2055" s="30">
        <v>202101158967</v>
      </c>
      <c r="C2055" s="28" t="s">
        <v>1681</v>
      </c>
      <c r="D2055" s="28" t="s">
        <v>1682</v>
      </c>
      <c r="E2055" s="28" t="s">
        <v>4935</v>
      </c>
      <c r="F2055" s="28" t="s">
        <v>65</v>
      </c>
      <c r="G2055" s="27" t="str">
        <f t="shared" si="64"/>
        <v>2715 KINGFISHER DR  HUMBLE</v>
      </c>
      <c r="H2055" s="27" t="str">
        <f t="shared" si="65"/>
        <v>HOUSTON TX 77396</v>
      </c>
    </row>
    <row r="2056" spans="1:8" x14ac:dyDescent="0.2">
      <c r="A2056" s="27">
        <f>COUNTIFS(C:C,C2056,D:D,D2056)</f>
        <v>1</v>
      </c>
      <c r="B2056" s="30">
        <v>202101158974</v>
      </c>
      <c r="C2056" s="28" t="s">
        <v>686</v>
      </c>
      <c r="D2056" s="28" t="s">
        <v>687</v>
      </c>
      <c r="E2056" s="28" t="s">
        <v>4897</v>
      </c>
      <c r="F2056" s="28" t="s">
        <v>87</v>
      </c>
      <c r="G2056" s="27" t="str">
        <f t="shared" si="64"/>
        <v>408 AVENUE B  SOUTH HOUS</v>
      </c>
      <c r="H2056" s="27" t="str">
        <f t="shared" si="65"/>
        <v>HOUSTON TX 77587</v>
      </c>
    </row>
    <row r="2057" spans="1:8" x14ac:dyDescent="0.2">
      <c r="A2057" s="27">
        <f>COUNTIFS(C:C,C2057,D:D,D2057)</f>
        <v>1</v>
      </c>
      <c r="B2057" s="30">
        <v>202101158975</v>
      </c>
      <c r="C2057" t="s">
        <v>4602</v>
      </c>
      <c r="D2057" t="s">
        <v>4603</v>
      </c>
      <c r="E2057" t="s">
        <v>4936</v>
      </c>
      <c r="F2057" t="s">
        <v>90</v>
      </c>
      <c r="G2057" s="27" t="str">
        <f t="shared" si="64"/>
        <v>11118 HENNING DR  HOUSTON</v>
      </c>
      <c r="H2057" s="27" t="str">
        <f t="shared" si="65"/>
        <v>HOUSTON TX 77071</v>
      </c>
    </row>
    <row r="2058" spans="1:8" x14ac:dyDescent="0.2">
      <c r="A2058" s="27">
        <f>COUNTIFS(C:C,C2058,D:D,D2058)</f>
        <v>1</v>
      </c>
      <c r="B2058" s="30">
        <v>202101158977</v>
      </c>
      <c r="C2058" t="s">
        <v>2526</v>
      </c>
      <c r="D2058" t="s">
        <v>2527</v>
      </c>
      <c r="E2058" t="s">
        <v>4918</v>
      </c>
      <c r="F2058" t="s">
        <v>90</v>
      </c>
      <c r="G2058" s="27" t="str">
        <f t="shared" si="64"/>
        <v>5514 PEBBLE SPRINGS DR HOUSTON</v>
      </c>
      <c r="H2058" s="27" t="str">
        <f t="shared" si="65"/>
        <v>HOUSTON TX 77066</v>
      </c>
    </row>
    <row r="2059" spans="1:8" x14ac:dyDescent="0.2">
      <c r="A2059" s="27">
        <f>COUNTIFS(C:C,C2059,D:D,D2059)</f>
        <v>1</v>
      </c>
      <c r="B2059" s="30">
        <v>202101158978</v>
      </c>
      <c r="C2059" s="28" t="s">
        <v>796</v>
      </c>
      <c r="D2059" s="28" t="s">
        <v>797</v>
      </c>
      <c r="E2059" s="28" t="s">
        <v>4957</v>
      </c>
      <c r="F2059" s="28" t="s">
        <v>53</v>
      </c>
      <c r="G2059" s="27" t="str">
        <f t="shared" si="64"/>
        <v>15416 STOLTJE DRIVE  CONROE</v>
      </c>
      <c r="H2059" s="27" t="str">
        <f t="shared" si="65"/>
        <v>HOUSTON TX 77306</v>
      </c>
    </row>
    <row r="2060" spans="1:8" x14ac:dyDescent="0.2">
      <c r="A2060" s="27">
        <f>COUNTIFS(C:C,C2060,D:D,D2060)</f>
        <v>1</v>
      </c>
      <c r="B2060" s="30">
        <v>202101158979</v>
      </c>
      <c r="C2060" t="s">
        <v>4604</v>
      </c>
      <c r="D2060" t="s">
        <v>4605</v>
      </c>
      <c r="E2060" t="s">
        <v>4873</v>
      </c>
      <c r="F2060" t="s">
        <v>53</v>
      </c>
      <c r="G2060" s="27" t="str">
        <f t="shared" si="64"/>
        <v>13115 BLOSSOM FIELD C T HOUSTON</v>
      </c>
      <c r="H2060" s="27" t="str">
        <f t="shared" si="65"/>
        <v>HOUSTON TX 77044</v>
      </c>
    </row>
    <row r="2061" spans="1:8" x14ac:dyDescent="0.2">
      <c r="A2061" s="27">
        <f>COUNTIFS(C:C,C2061,D:D,D2061)</f>
        <v>1</v>
      </c>
      <c r="B2061" s="30">
        <v>202101158982</v>
      </c>
      <c r="C2061" t="s">
        <v>3150</v>
      </c>
      <c r="D2061" t="s">
        <v>3151</v>
      </c>
      <c r="E2061" t="s">
        <v>4891</v>
      </c>
      <c r="F2061" t="s">
        <v>79</v>
      </c>
      <c r="G2061" s="27" t="str">
        <f t="shared" si="64"/>
        <v>9634 PARK HEATH LN  HOUSTON</v>
      </c>
      <c r="H2061" s="27" t="str">
        <f t="shared" si="65"/>
        <v>HOUSTON TX 77088</v>
      </c>
    </row>
    <row r="2062" spans="1:8" x14ac:dyDescent="0.2">
      <c r="A2062" s="27">
        <f>COUNTIFS(C:C,C2062,D:D,D2062)</f>
        <v>1</v>
      </c>
      <c r="B2062" s="30">
        <v>202101158983</v>
      </c>
      <c r="C2062" s="28" t="s">
        <v>1115</v>
      </c>
      <c r="D2062" s="28" t="s">
        <v>1116</v>
      </c>
      <c r="E2062" s="28" t="s">
        <v>4967</v>
      </c>
      <c r="F2062" s="28" t="s">
        <v>90</v>
      </c>
      <c r="G2062" s="27" t="str">
        <f t="shared" si="64"/>
        <v>7251 JUNCO DR  HOUSTON</v>
      </c>
      <c r="H2062" s="27" t="str">
        <f t="shared" si="65"/>
        <v>HOUSTON TX 77040</v>
      </c>
    </row>
    <row r="2063" spans="1:8" x14ac:dyDescent="0.2">
      <c r="A2063" s="27">
        <f>COUNTIFS(C:C,C2063,D:D,D2063)</f>
        <v>1</v>
      </c>
      <c r="B2063" s="30">
        <v>202101158985</v>
      </c>
      <c r="C2063" t="s">
        <v>4606</v>
      </c>
      <c r="D2063" t="s">
        <v>4607</v>
      </c>
      <c r="E2063" t="s">
        <v>4935</v>
      </c>
      <c r="F2063" t="s">
        <v>64</v>
      </c>
      <c r="G2063" s="27" t="str">
        <f t="shared" si="64"/>
        <v>16727 QUIET TRAIL DR  HUMBLE</v>
      </c>
      <c r="H2063" s="27" t="str">
        <f t="shared" si="65"/>
        <v>HOUSTON TX 77396</v>
      </c>
    </row>
    <row r="2064" spans="1:8" x14ac:dyDescent="0.2">
      <c r="A2064" s="27">
        <f>COUNTIFS(C:C,C2064,D:D,D2064)</f>
        <v>1</v>
      </c>
      <c r="B2064" s="30">
        <v>202101158986</v>
      </c>
      <c r="C2064" t="s">
        <v>3279</v>
      </c>
      <c r="D2064" t="s">
        <v>3280</v>
      </c>
      <c r="E2064" t="s">
        <v>4952</v>
      </c>
      <c r="F2064" t="s">
        <v>53</v>
      </c>
      <c r="G2064" s="27" t="str">
        <f t="shared" si="64"/>
        <v>1705 JENKINS ROAD  PASADENA</v>
      </c>
      <c r="H2064" s="27" t="str">
        <f t="shared" si="65"/>
        <v>HOUSTON TX 77506</v>
      </c>
    </row>
    <row r="2065" spans="1:8" x14ac:dyDescent="0.2">
      <c r="A2065" s="27">
        <f>COUNTIFS(C:C,C2065,D:D,D2065)</f>
        <v>1</v>
      </c>
      <c r="B2065" s="30">
        <v>202101158992</v>
      </c>
      <c r="C2065" t="s">
        <v>4608</v>
      </c>
      <c r="D2065" t="s">
        <v>4609</v>
      </c>
      <c r="E2065" t="s">
        <v>4865</v>
      </c>
      <c r="F2065" t="s">
        <v>362</v>
      </c>
      <c r="G2065" s="27" t="str">
        <f t="shared" si="64"/>
        <v>1612 SWEET GRASS TRL  HOUSTON</v>
      </c>
      <c r="H2065" s="27" t="str">
        <f t="shared" si="65"/>
        <v xml:space="preserve">HOUSTON TX      </v>
      </c>
    </row>
    <row r="2066" spans="1:8" x14ac:dyDescent="0.2">
      <c r="A2066" s="27">
        <f>COUNTIFS(C:C,C2066,D:D,D2066)</f>
        <v>1</v>
      </c>
      <c r="B2066" s="30">
        <v>202101158993</v>
      </c>
      <c r="C2066" s="28" t="s">
        <v>1470</v>
      </c>
      <c r="D2066" s="28" t="s">
        <v>1471</v>
      </c>
      <c r="E2066" s="28" t="s">
        <v>4864</v>
      </c>
      <c r="F2066" s="28" t="s">
        <v>64</v>
      </c>
      <c r="G2066" s="27" t="str">
        <f t="shared" si="64"/>
        <v>708 MAJESTIC ST  HOUSTON</v>
      </c>
      <c r="H2066" s="27" t="str">
        <f t="shared" si="65"/>
        <v>HOUSTON TX 77020</v>
      </c>
    </row>
    <row r="2067" spans="1:8" x14ac:dyDescent="0.2">
      <c r="A2067" s="27">
        <f>COUNTIFS(C:C,C2067,D:D,D2067)</f>
        <v>1</v>
      </c>
      <c r="B2067" s="30">
        <v>202101158994</v>
      </c>
      <c r="C2067" s="28" t="s">
        <v>490</v>
      </c>
      <c r="D2067" s="28" t="s">
        <v>491</v>
      </c>
      <c r="E2067" s="28" t="s">
        <v>4885</v>
      </c>
      <c r="F2067" s="28" t="s">
        <v>87</v>
      </c>
      <c r="G2067" s="27" t="str">
        <f t="shared" si="64"/>
        <v>7302 ALABONSON RD  HARRIS CO</v>
      </c>
      <c r="H2067" s="27" t="str">
        <f t="shared" si="65"/>
        <v>HOUSTON TX 77088</v>
      </c>
    </row>
    <row r="2068" spans="1:8" x14ac:dyDescent="0.2">
      <c r="A2068" s="27">
        <f>COUNTIFS(C:C,C2068,D:D,D2068)</f>
        <v>1</v>
      </c>
      <c r="B2068" s="30">
        <v>202101158998</v>
      </c>
      <c r="C2068" t="s">
        <v>4610</v>
      </c>
      <c r="D2068" t="s">
        <v>4611</v>
      </c>
      <c r="E2068" t="s">
        <v>5281</v>
      </c>
      <c r="F2068" t="s">
        <v>88</v>
      </c>
      <c r="G2068" s="27" t="e">
        <f t="shared" si="64"/>
        <v>#VALUE!</v>
      </c>
      <c r="H2068" s="27" t="e">
        <f t="shared" si="65"/>
        <v>#VALUE!</v>
      </c>
    </row>
    <row r="2069" spans="1:8" x14ac:dyDescent="0.2">
      <c r="A2069" s="27">
        <f>COUNTIFS(C:C,C2069,D:D,D2069)</f>
        <v>1</v>
      </c>
      <c r="B2069" s="30">
        <v>202101159001</v>
      </c>
      <c r="C2069" s="28" t="s">
        <v>1048</v>
      </c>
      <c r="D2069" s="28" t="s">
        <v>1049</v>
      </c>
      <c r="E2069" s="28" t="s">
        <v>4866</v>
      </c>
      <c r="F2069" s="28" t="s">
        <v>66</v>
      </c>
      <c r="G2069" s="27" t="str">
        <f t="shared" si="64"/>
        <v>121 E WITCHER LN  HOUSTON</v>
      </c>
      <c r="H2069" s="27" t="str">
        <f t="shared" si="65"/>
        <v>HOUSTON TX 77076</v>
      </c>
    </row>
    <row r="2070" spans="1:8" x14ac:dyDescent="0.2">
      <c r="A2070" s="27">
        <f>COUNTIFS(C:C,C2070,D:D,D2070)</f>
        <v>1</v>
      </c>
      <c r="B2070" s="30">
        <v>202101159002</v>
      </c>
      <c r="C2070" t="s">
        <v>4612</v>
      </c>
      <c r="D2070" t="s">
        <v>4613</v>
      </c>
      <c r="E2070" t="s">
        <v>4866</v>
      </c>
      <c r="F2070" t="s">
        <v>97</v>
      </c>
      <c r="G2070" s="27" t="str">
        <f t="shared" si="64"/>
        <v>9722 MARYDEL  HOUSTON</v>
      </c>
      <c r="H2070" s="27" t="str">
        <f t="shared" si="65"/>
        <v>HOUSTON TX 77076</v>
      </c>
    </row>
    <row r="2071" spans="1:8" x14ac:dyDescent="0.2">
      <c r="A2071" s="27">
        <f>COUNTIFS(C:C,C2071,D:D,D2071)</f>
        <v>1</v>
      </c>
      <c r="B2071" s="30">
        <v>202101159003</v>
      </c>
      <c r="C2071" t="s">
        <v>4614</v>
      </c>
      <c r="D2071" t="s">
        <v>4615</v>
      </c>
      <c r="E2071" t="s">
        <v>4918</v>
      </c>
      <c r="F2071" t="s">
        <v>64</v>
      </c>
      <c r="G2071" s="27" t="str">
        <f t="shared" si="64"/>
        <v>3631 CHEANEY DR  HOUSTON</v>
      </c>
      <c r="H2071" s="27" t="str">
        <f t="shared" si="65"/>
        <v>HOUSTON TX 77066</v>
      </c>
    </row>
    <row r="2072" spans="1:8" x14ac:dyDescent="0.2">
      <c r="A2072" s="27">
        <f>COUNTIFS(C:C,C2072,D:D,D2072)</f>
        <v>1</v>
      </c>
      <c r="B2072" s="30">
        <v>202101159014</v>
      </c>
      <c r="C2072" t="s">
        <v>4616</v>
      </c>
      <c r="D2072" t="s">
        <v>4617</v>
      </c>
      <c r="E2072" t="s">
        <v>4970</v>
      </c>
      <c r="F2072" t="s">
        <v>90</v>
      </c>
      <c r="G2072" s="27" t="str">
        <f t="shared" si="64"/>
        <v>10301 SANDPIPER DR 27 5 HOUSTON</v>
      </c>
      <c r="H2072" s="27" t="str">
        <f t="shared" si="65"/>
        <v>HOUSTON TX 77096</v>
      </c>
    </row>
    <row r="2073" spans="1:8" x14ac:dyDescent="0.2">
      <c r="A2073" s="27">
        <f>COUNTIFS(C:C,C2073,D:D,D2073)</f>
        <v>1</v>
      </c>
      <c r="B2073" s="30">
        <v>202101159017</v>
      </c>
      <c r="C2073" t="s">
        <v>4618</v>
      </c>
      <c r="D2073" t="s">
        <v>4619</v>
      </c>
      <c r="E2073" t="s">
        <v>4879</v>
      </c>
      <c r="F2073" t="s">
        <v>51</v>
      </c>
      <c r="G2073" s="27" t="str">
        <f t="shared" si="64"/>
        <v>945 W LITTLE YORK R D HOUSTON</v>
      </c>
      <c r="H2073" s="27" t="str">
        <f t="shared" si="65"/>
        <v>HOUSTON TX 77091</v>
      </c>
    </row>
    <row r="2074" spans="1:8" x14ac:dyDescent="0.2">
      <c r="A2074" s="27">
        <f>COUNTIFS(C:C,C2074,D:D,D2074)</f>
        <v>1</v>
      </c>
      <c r="B2074" s="30">
        <v>202101159030</v>
      </c>
      <c r="C2074" t="s">
        <v>4620</v>
      </c>
      <c r="D2074" t="s">
        <v>4621</v>
      </c>
      <c r="E2074" t="s">
        <v>4936</v>
      </c>
      <c r="F2074" t="s">
        <v>80</v>
      </c>
      <c r="G2074" s="27" t="str">
        <f t="shared" si="64"/>
        <v>11827 SOUTH MICHAEL C IR HOUSTON</v>
      </c>
      <c r="H2074" s="27" t="str">
        <f t="shared" si="65"/>
        <v>HOUSTON TX 77071</v>
      </c>
    </row>
    <row r="2075" spans="1:8" x14ac:dyDescent="0.2">
      <c r="A2075" s="27">
        <f>COUNTIFS(C:C,C2075,D:D,D2075)</f>
        <v>1</v>
      </c>
      <c r="B2075" s="30">
        <v>202101159041</v>
      </c>
      <c r="C2075" t="s">
        <v>3364</v>
      </c>
      <c r="D2075" t="s">
        <v>3365</v>
      </c>
      <c r="E2075" t="s">
        <v>4970</v>
      </c>
      <c r="F2075" t="s">
        <v>59</v>
      </c>
      <c r="G2075" s="27" t="str">
        <f t="shared" si="64"/>
        <v>6400 W BELLFORT AVE  HOUSTON</v>
      </c>
      <c r="H2075" s="27" t="str">
        <f t="shared" si="65"/>
        <v>HOUSTON TX 77096</v>
      </c>
    </row>
    <row r="2076" spans="1:8" x14ac:dyDescent="0.2">
      <c r="A2076" s="27">
        <f>COUNTIFS(C:C,C2076,D:D,D2076)</f>
        <v>1</v>
      </c>
      <c r="B2076" s="30">
        <v>202101159044</v>
      </c>
      <c r="C2076" t="s">
        <v>4622</v>
      </c>
      <c r="D2076" t="s">
        <v>4623</v>
      </c>
      <c r="E2076" t="s">
        <v>5282</v>
      </c>
      <c r="F2076" t="s">
        <v>96</v>
      </c>
      <c r="G2076" s="27" t="str">
        <f t="shared" si="64"/>
        <v>19924 WOODROW WILSON ST MANOR</v>
      </c>
      <c r="H2076" s="27" t="str">
        <f t="shared" si="65"/>
        <v>HOUSTON TX 78653</v>
      </c>
    </row>
    <row r="2077" spans="1:8" x14ac:dyDescent="0.2">
      <c r="A2077" s="27">
        <f>COUNTIFS(C:C,C2077,D:D,D2077)</f>
        <v>1</v>
      </c>
      <c r="B2077" s="30">
        <v>202101159045</v>
      </c>
      <c r="C2077" t="s">
        <v>4624</v>
      </c>
      <c r="D2077" t="s">
        <v>4625</v>
      </c>
      <c r="E2077" t="s">
        <v>4981</v>
      </c>
      <c r="F2077" t="s">
        <v>53</v>
      </c>
      <c r="G2077" s="27" t="str">
        <f t="shared" si="64"/>
        <v>10910 GULF FWY  HOUSTON</v>
      </c>
      <c r="H2077" s="27" t="str">
        <f t="shared" si="65"/>
        <v>HOUSTON TX 77034</v>
      </c>
    </row>
    <row r="2078" spans="1:8" x14ac:dyDescent="0.2">
      <c r="A2078" s="27">
        <f>COUNTIFS(C:C,C2078,D:D,D2078)</f>
        <v>1</v>
      </c>
      <c r="B2078" s="30">
        <v>202101159046</v>
      </c>
      <c r="C2078" t="s">
        <v>3408</v>
      </c>
      <c r="D2078" t="s">
        <v>3409</v>
      </c>
      <c r="E2078" t="s">
        <v>5187</v>
      </c>
      <c r="F2078" t="s">
        <v>88</v>
      </c>
      <c r="G2078" s="27" t="str">
        <f t="shared" si="64"/>
        <v>3723 KIM ST  FRESNO</v>
      </c>
      <c r="H2078" s="27" t="str">
        <f t="shared" si="65"/>
        <v>HOUSTON TX 77545</v>
      </c>
    </row>
    <row r="2079" spans="1:8" x14ac:dyDescent="0.2">
      <c r="A2079" s="27">
        <f>COUNTIFS(C:C,C2079,D:D,D2079)</f>
        <v>1</v>
      </c>
      <c r="B2079" s="30">
        <v>202101159049</v>
      </c>
      <c r="C2079" t="s">
        <v>2821</v>
      </c>
      <c r="D2079" t="s">
        <v>2822</v>
      </c>
      <c r="E2079" t="s">
        <v>4877</v>
      </c>
      <c r="F2079" t="s">
        <v>4816</v>
      </c>
      <c r="G2079" s="27" t="str">
        <f t="shared" si="64"/>
        <v>3626 FALLBROOK DR.  MISSOURI C</v>
      </c>
      <c r="H2079" s="27" t="str">
        <f t="shared" si="65"/>
        <v>HOUSTON TX 77459</v>
      </c>
    </row>
    <row r="2080" spans="1:8" x14ac:dyDescent="0.2">
      <c r="A2080" s="27">
        <f>COUNTIFS(C:C,C2080,D:D,D2080)</f>
        <v>1</v>
      </c>
      <c r="B2080" s="30">
        <v>202101159051</v>
      </c>
      <c r="C2080" t="s">
        <v>4628</v>
      </c>
      <c r="D2080" t="s">
        <v>4629</v>
      </c>
      <c r="E2080" t="s">
        <v>4903</v>
      </c>
      <c r="F2080" t="s">
        <v>71</v>
      </c>
      <c r="G2080" s="27" t="str">
        <f t="shared" si="64"/>
        <v>18631 PARKLAND SQ DR  CYPRESS</v>
      </c>
      <c r="H2080" s="27" t="str">
        <f t="shared" si="65"/>
        <v>HOUSTON TX 77433</v>
      </c>
    </row>
    <row r="2081" spans="1:8" x14ac:dyDescent="0.2">
      <c r="A2081" s="27">
        <f>COUNTIFS(C:C,C2081,D:D,D2081)</f>
        <v>1</v>
      </c>
      <c r="B2081" s="30">
        <v>202101159052</v>
      </c>
      <c r="C2081" t="s">
        <v>2338</v>
      </c>
      <c r="D2081" t="s">
        <v>2339</v>
      </c>
      <c r="E2081" t="s">
        <v>4891</v>
      </c>
      <c r="F2081" t="s">
        <v>4806</v>
      </c>
      <c r="G2081" s="27" t="str">
        <f t="shared" si="64"/>
        <v>2509 DOLLY WRIGHT ST . HOUSTON</v>
      </c>
      <c r="H2081" s="27" t="str">
        <f t="shared" si="65"/>
        <v>HOUSTON TX 77088</v>
      </c>
    </row>
    <row r="2082" spans="1:8" x14ac:dyDescent="0.2">
      <c r="A2082" s="27">
        <f>COUNTIFS(C:C,C2082,D:D,D2082)</f>
        <v>1</v>
      </c>
      <c r="B2082" s="30">
        <v>202101159053</v>
      </c>
      <c r="C2082" t="s">
        <v>4626</v>
      </c>
      <c r="D2082" t="s">
        <v>4627</v>
      </c>
      <c r="E2082" t="s">
        <v>5124</v>
      </c>
      <c r="F2082" t="s">
        <v>88</v>
      </c>
      <c r="G2082" s="27" t="str">
        <f t="shared" si="64"/>
        <v>806 VALENTINE WAY  HOUSTON</v>
      </c>
      <c r="H2082" s="27" t="str">
        <f t="shared" si="65"/>
        <v>HOUSTON TX 77019</v>
      </c>
    </row>
    <row r="2083" spans="1:8" x14ac:dyDescent="0.2">
      <c r="A2083" s="27">
        <f>COUNTIFS(C:C,C2083,D:D,D2083)</f>
        <v>1</v>
      </c>
      <c r="B2083" s="30">
        <v>202101159055</v>
      </c>
      <c r="C2083" t="s">
        <v>4630</v>
      </c>
      <c r="D2083" t="s">
        <v>4623</v>
      </c>
      <c r="E2083" t="s">
        <v>5282</v>
      </c>
      <c r="F2083" t="s">
        <v>96</v>
      </c>
      <c r="G2083" s="27" t="str">
        <f t="shared" si="64"/>
        <v>19924 WOODROW WILSON ST MANOR</v>
      </c>
      <c r="H2083" s="27" t="str">
        <f t="shared" si="65"/>
        <v>HOUSTON TX 78653</v>
      </c>
    </row>
    <row r="2084" spans="1:8" x14ac:dyDescent="0.2">
      <c r="A2084" s="27">
        <f>COUNTIFS(C:C,C2084,D:D,D2084)</f>
        <v>1</v>
      </c>
      <c r="B2084" s="30">
        <v>202101159056</v>
      </c>
      <c r="C2084" s="28" t="s">
        <v>841</v>
      </c>
      <c r="D2084" s="28" t="s">
        <v>842</v>
      </c>
      <c r="E2084" s="28" t="s">
        <v>4854</v>
      </c>
      <c r="F2084" s="28" t="s">
        <v>290</v>
      </c>
      <c r="G2084" s="27" t="str">
        <f t="shared" si="64"/>
        <v>5010 WYLIE ST  HOUSTON</v>
      </c>
      <c r="H2084" s="27" t="str">
        <f t="shared" si="65"/>
        <v>HOUSTON TX 77026</v>
      </c>
    </row>
    <row r="2085" spans="1:8" x14ac:dyDescent="0.2">
      <c r="A2085" s="27">
        <f>COUNTIFS(C:C,C2085,D:D,D2085)</f>
        <v>1</v>
      </c>
      <c r="B2085" s="30">
        <v>202101159060</v>
      </c>
      <c r="C2085" t="s">
        <v>4631</v>
      </c>
      <c r="D2085" t="s">
        <v>4632</v>
      </c>
      <c r="E2085" t="s">
        <v>4862</v>
      </c>
      <c r="F2085" t="s">
        <v>53</v>
      </c>
      <c r="G2085" s="27" t="str">
        <f t="shared" si="64"/>
        <v>1000 CYPRESS STATION DRIVE 221 HOUSTON</v>
      </c>
      <c r="H2085" s="27" t="str">
        <f t="shared" si="65"/>
        <v>HOUSTON TX 77090</v>
      </c>
    </row>
    <row r="2086" spans="1:8" x14ac:dyDescent="0.2">
      <c r="A2086" s="27">
        <f>COUNTIFS(C:C,C2086,D:D,D2086)</f>
        <v>1</v>
      </c>
      <c r="B2086" s="30">
        <v>202101159061</v>
      </c>
      <c r="C2086" s="28" t="s">
        <v>821</v>
      </c>
      <c r="D2086" s="28" t="s">
        <v>822</v>
      </c>
      <c r="E2086" s="28" t="s">
        <v>4965</v>
      </c>
      <c r="F2086" s="28" t="s">
        <v>51</v>
      </c>
      <c r="G2086" s="27" t="str">
        <f t="shared" si="64"/>
        <v>14526 ALDERSON ST  HOUSTON</v>
      </c>
      <c r="H2086" s="27" t="str">
        <f t="shared" si="65"/>
        <v>HOUSTON TX 77532</v>
      </c>
    </row>
    <row r="2087" spans="1:8" x14ac:dyDescent="0.2">
      <c r="A2087" s="27">
        <f>COUNTIFS(C:C,C2087,D:D,D2087)</f>
        <v>1</v>
      </c>
      <c r="B2087" s="30">
        <v>202101159063</v>
      </c>
      <c r="C2087" t="s">
        <v>4633</v>
      </c>
      <c r="D2087" t="s">
        <v>4634</v>
      </c>
      <c r="E2087" t="s">
        <v>4879</v>
      </c>
      <c r="F2087" t="s">
        <v>336</v>
      </c>
      <c r="G2087" s="27" t="str">
        <f t="shared" si="64"/>
        <v>6619 ARABELLA ST  HOUSTON</v>
      </c>
      <c r="H2087" s="27" t="str">
        <f t="shared" si="65"/>
        <v>HOUSTON TX 77091</v>
      </c>
    </row>
    <row r="2088" spans="1:8" x14ac:dyDescent="0.2">
      <c r="A2088" s="27">
        <f>COUNTIFS(C:C,C2088,D:D,D2088)</f>
        <v>1</v>
      </c>
      <c r="B2088" s="30">
        <v>202101159069</v>
      </c>
      <c r="C2088" s="28" t="s">
        <v>1426</v>
      </c>
      <c r="D2088" s="28" t="s">
        <v>1427</v>
      </c>
      <c r="E2088" s="28" t="s">
        <v>4880</v>
      </c>
      <c r="F2088" s="28" t="s">
        <v>53</v>
      </c>
      <c r="G2088" s="27" t="str">
        <f t="shared" si="64"/>
        <v>3516 ADAIR ST  HOUSTON</v>
      </c>
      <c r="H2088" s="27" t="str">
        <f t="shared" si="65"/>
        <v>HOUSTON TX 77004</v>
      </c>
    </row>
    <row r="2089" spans="1:8" x14ac:dyDescent="0.2">
      <c r="A2089" s="27">
        <f>COUNTIFS(C:C,C2089,D:D,D2089)</f>
        <v>1</v>
      </c>
      <c r="B2089" s="30">
        <v>202101159072</v>
      </c>
      <c r="C2089" t="s">
        <v>4635</v>
      </c>
      <c r="D2089" t="s">
        <v>4636</v>
      </c>
      <c r="E2089" t="s">
        <v>4984</v>
      </c>
      <c r="F2089" t="s">
        <v>64</v>
      </c>
      <c r="G2089" s="27" t="str">
        <f t="shared" si="64"/>
        <v>23723 SPRING DANE DR  SPRING</v>
      </c>
      <c r="H2089" s="27" t="str">
        <f t="shared" si="65"/>
        <v>HOUSTON TX 77373</v>
      </c>
    </row>
    <row r="2090" spans="1:8" x14ac:dyDescent="0.2">
      <c r="A2090" s="27">
        <f>COUNTIFS(C:C,C2090,D:D,D2090)</f>
        <v>1</v>
      </c>
      <c r="B2090" s="30">
        <v>202101159074</v>
      </c>
      <c r="C2090" s="28" t="s">
        <v>1652</v>
      </c>
      <c r="D2090" s="28" t="s">
        <v>1653</v>
      </c>
      <c r="E2090" s="28" t="s">
        <v>4969</v>
      </c>
      <c r="F2090" s="28" t="s">
        <v>86</v>
      </c>
      <c r="G2090" s="27" t="str">
        <f t="shared" ref="G2090:G2153" si="66">D2090&amp;" "&amp;MID(E2090,1,FIND(" TX",E2090)-1)</f>
        <v>22803 TOMBALL PKWY  TOMBALL</v>
      </c>
      <c r="H2090" s="27" t="str">
        <f t="shared" ref="H2090:H2153" si="67">"HOUSTON "&amp;MID(E2090,FIND("TX",E2090),8)</f>
        <v>HOUSTON TX 77375</v>
      </c>
    </row>
    <row r="2091" spans="1:8" x14ac:dyDescent="0.2">
      <c r="A2091" s="27">
        <f>COUNTIFS(C:C,C2091,D:D,D2091)</f>
        <v>1</v>
      </c>
      <c r="B2091" s="30">
        <v>202101159079</v>
      </c>
      <c r="C2091" s="28" t="s">
        <v>432</v>
      </c>
      <c r="D2091" s="28" t="s">
        <v>433</v>
      </c>
      <c r="E2091" s="28" t="s">
        <v>4859</v>
      </c>
      <c r="F2091" s="28" t="s">
        <v>66</v>
      </c>
      <c r="G2091" s="27" t="str">
        <f t="shared" si="66"/>
        <v>2406 JONAHS WAY  HOUSTON</v>
      </c>
      <c r="H2091" s="27" t="str">
        <f t="shared" si="67"/>
        <v>HOUSTON TX 77073</v>
      </c>
    </row>
    <row r="2092" spans="1:8" x14ac:dyDescent="0.2">
      <c r="A2092" s="27">
        <f>COUNTIFS(C:C,C2092,D:D,D2092)</f>
        <v>1</v>
      </c>
      <c r="B2092" s="30">
        <v>202101159090</v>
      </c>
      <c r="C2092" t="s">
        <v>3332</v>
      </c>
      <c r="D2092" t="s">
        <v>3333</v>
      </c>
      <c r="E2092" t="s">
        <v>4855</v>
      </c>
      <c r="F2092" t="s">
        <v>53</v>
      </c>
      <c r="G2092" s="27" t="str">
        <f t="shared" si="66"/>
        <v>10134 VALLEY WIND DR  HOUSTON</v>
      </c>
      <c r="H2092" s="27" t="str">
        <f t="shared" si="67"/>
        <v>HOUSTON TX 77078</v>
      </c>
    </row>
    <row r="2093" spans="1:8" x14ac:dyDescent="0.2">
      <c r="A2093" s="27">
        <f>COUNTIFS(C:C,C2093,D:D,D2093)</f>
        <v>1</v>
      </c>
      <c r="B2093" s="30">
        <v>202101159091</v>
      </c>
      <c r="C2093" t="s">
        <v>3353</v>
      </c>
      <c r="D2093" t="s">
        <v>3354</v>
      </c>
      <c r="E2093" t="s">
        <v>4879</v>
      </c>
      <c r="F2093" t="s">
        <v>99</v>
      </c>
      <c r="G2093" s="27" t="str">
        <f t="shared" si="66"/>
        <v>7020 STUEBNER AIRLIN E RD HOUSTON</v>
      </c>
      <c r="H2093" s="27" t="str">
        <f t="shared" si="67"/>
        <v>HOUSTON TX 77091</v>
      </c>
    </row>
    <row r="2094" spans="1:8" x14ac:dyDescent="0.2">
      <c r="A2094" s="27">
        <f>COUNTIFS(C:C,C2094,D:D,D2094)</f>
        <v>1</v>
      </c>
      <c r="B2094" s="30">
        <v>202101159092</v>
      </c>
      <c r="C2094" t="s">
        <v>2478</v>
      </c>
      <c r="D2094" t="s">
        <v>2479</v>
      </c>
      <c r="E2094" t="s">
        <v>4850</v>
      </c>
      <c r="F2094" t="s">
        <v>174</v>
      </c>
      <c r="G2094" s="27" t="str">
        <f t="shared" si="66"/>
        <v>11622 GRAYWOOD DR  HOUSTON</v>
      </c>
      <c r="H2094" s="27" t="str">
        <f t="shared" si="67"/>
        <v>HOUSTON TX 77089</v>
      </c>
    </row>
    <row r="2095" spans="1:8" x14ac:dyDescent="0.2">
      <c r="A2095" s="27">
        <f>COUNTIFS(C:C,C2095,D:D,D2095)</f>
        <v>1</v>
      </c>
      <c r="B2095" s="30">
        <v>202101159093</v>
      </c>
      <c r="C2095" t="s">
        <v>4637</v>
      </c>
      <c r="D2095" t="s">
        <v>4638</v>
      </c>
      <c r="E2095" t="s">
        <v>4982</v>
      </c>
      <c r="F2095" t="s">
        <v>82</v>
      </c>
      <c r="G2095" s="27" t="str">
        <f t="shared" si="66"/>
        <v>12011 SABINE WOOD TRA ILS HOUSTON</v>
      </c>
      <c r="H2095" s="27" t="str">
        <f t="shared" si="67"/>
        <v>HOUSTON TX 77038</v>
      </c>
    </row>
    <row r="2096" spans="1:8" x14ac:dyDescent="0.2">
      <c r="A2096" s="27">
        <f>COUNTIFS(C:C,C2096,D:D,D2096)</f>
        <v>1</v>
      </c>
      <c r="B2096" s="30">
        <v>202101159095</v>
      </c>
      <c r="C2096" s="28" t="s">
        <v>1613</v>
      </c>
      <c r="D2096" s="28" t="s">
        <v>1614</v>
      </c>
      <c r="E2096" s="28" t="s">
        <v>4964</v>
      </c>
      <c r="F2096" s="28" t="s">
        <v>59</v>
      </c>
      <c r="G2096" s="27" t="str">
        <f t="shared" si="66"/>
        <v>2512 N 6TH ST  GALENA PAR</v>
      </c>
      <c r="H2096" s="27" t="str">
        <f t="shared" si="67"/>
        <v>HOUSTON TX 77547</v>
      </c>
    </row>
    <row r="2097" spans="1:8" x14ac:dyDescent="0.2">
      <c r="A2097" s="27">
        <f>COUNTIFS(C:C,C2097,D:D,D2097)</f>
        <v>1</v>
      </c>
      <c r="B2097" s="30">
        <v>202101159098</v>
      </c>
      <c r="C2097" t="s">
        <v>3091</v>
      </c>
      <c r="D2097" t="s">
        <v>3092</v>
      </c>
      <c r="E2097" t="s">
        <v>4865</v>
      </c>
      <c r="F2097" t="s">
        <v>79</v>
      </c>
      <c r="G2097" s="27" t="str">
        <f t="shared" si="66"/>
        <v>2605 REED RD  HOUSTON</v>
      </c>
      <c r="H2097" s="27" t="str">
        <f t="shared" si="67"/>
        <v xml:space="preserve">HOUSTON TX      </v>
      </c>
    </row>
    <row r="2098" spans="1:8" x14ac:dyDescent="0.2">
      <c r="A2098" s="27">
        <f>COUNTIFS(C:C,C2098,D:D,D2098)</f>
        <v>1</v>
      </c>
      <c r="B2098" s="30">
        <v>202101159099</v>
      </c>
      <c r="C2098" t="s">
        <v>4639</v>
      </c>
      <c r="D2098" t="s">
        <v>4640</v>
      </c>
      <c r="E2098" t="s">
        <v>4900</v>
      </c>
      <c r="F2098" t="s">
        <v>53</v>
      </c>
      <c r="G2098" s="27" t="str">
        <f t="shared" si="66"/>
        <v>4807 CLIFFPOINT CT  KATY</v>
      </c>
      <c r="H2098" s="27" t="str">
        <f t="shared" si="67"/>
        <v>HOUSTON TX 77449</v>
      </c>
    </row>
    <row r="2099" spans="1:8" x14ac:dyDescent="0.2">
      <c r="A2099" s="27">
        <f>COUNTIFS(C:C,C2099,D:D,D2099)</f>
        <v>1</v>
      </c>
      <c r="B2099" s="30">
        <v>202101159102</v>
      </c>
      <c r="C2099" s="28" t="s">
        <v>625</v>
      </c>
      <c r="D2099" s="28" t="s">
        <v>626</v>
      </c>
      <c r="E2099" s="28" t="s">
        <v>4860</v>
      </c>
      <c r="F2099" s="28" t="s">
        <v>53</v>
      </c>
      <c r="G2099" s="27" t="str">
        <f t="shared" si="66"/>
        <v>308 W. FRANCIS ST  BAYTOWN</v>
      </c>
      <c r="H2099" s="27" t="str">
        <f t="shared" si="67"/>
        <v>HOUSTON TX 77520</v>
      </c>
    </row>
    <row r="2100" spans="1:8" x14ac:dyDescent="0.2">
      <c r="A2100" s="27">
        <f>COUNTIFS(C:C,C2100,D:D,D2100)</f>
        <v>1</v>
      </c>
      <c r="B2100" s="30">
        <v>202101159103</v>
      </c>
      <c r="C2100" t="s">
        <v>4641</v>
      </c>
      <c r="D2100" t="s">
        <v>4642</v>
      </c>
      <c r="E2100" t="s">
        <v>4931</v>
      </c>
      <c r="F2100" t="s">
        <v>53</v>
      </c>
      <c r="G2100" s="27" t="str">
        <f t="shared" si="66"/>
        <v>4122 HAMBLEDON VILLA GE DR HOUSTON</v>
      </c>
      <c r="H2100" s="27" t="str">
        <f t="shared" si="67"/>
        <v>HOUSTON TX 77014</v>
      </c>
    </row>
    <row r="2101" spans="1:8" x14ac:dyDescent="0.2">
      <c r="A2101" s="27">
        <f>COUNTIFS(C:C,C2101,D:D,D2101)</f>
        <v>1</v>
      </c>
      <c r="B2101" s="30">
        <v>202101159104</v>
      </c>
      <c r="C2101" t="s">
        <v>2158</v>
      </c>
      <c r="D2101" t="s">
        <v>2159</v>
      </c>
      <c r="E2101" t="s">
        <v>4943</v>
      </c>
      <c r="F2101" t="s">
        <v>92</v>
      </c>
      <c r="G2101" s="27" t="str">
        <f t="shared" si="66"/>
        <v>15903 YORKTOWN CROSSI NG PKWY HOUSTON</v>
      </c>
      <c r="H2101" s="27" t="str">
        <f t="shared" si="67"/>
        <v>HOUSTON TX 77084</v>
      </c>
    </row>
    <row r="2102" spans="1:8" x14ac:dyDescent="0.2">
      <c r="A2102" s="27">
        <f>COUNTIFS(C:C,C2102,D:D,D2102)</f>
        <v>1</v>
      </c>
      <c r="B2102" s="30">
        <v>202101159105</v>
      </c>
      <c r="C2102" s="28" t="s">
        <v>1256</v>
      </c>
      <c r="D2102" s="28" t="s">
        <v>1257</v>
      </c>
      <c r="E2102" s="28" t="s">
        <v>4915</v>
      </c>
      <c r="F2102" s="28" t="s">
        <v>51</v>
      </c>
      <c r="G2102" s="27" t="str">
        <f t="shared" si="66"/>
        <v>3360 ALICE ST  HOUSTON</v>
      </c>
      <c r="H2102" s="27" t="str">
        <f t="shared" si="67"/>
        <v>HOUSTON TX 77021</v>
      </c>
    </row>
    <row r="2103" spans="1:8" x14ac:dyDescent="0.2">
      <c r="A2103" s="27">
        <f>COUNTIFS(C:C,C2103,D:D,D2103)</f>
        <v>1</v>
      </c>
      <c r="B2103" s="30">
        <v>202101159106</v>
      </c>
      <c r="C2103" t="s">
        <v>4643</v>
      </c>
      <c r="D2103" t="s">
        <v>4644</v>
      </c>
      <c r="E2103" t="s">
        <v>4873</v>
      </c>
      <c r="F2103" t="s">
        <v>88</v>
      </c>
      <c r="G2103" s="27" t="str">
        <f t="shared" si="66"/>
        <v>13146 SANDHILL PARK L N HOUSTON</v>
      </c>
      <c r="H2103" s="27" t="str">
        <f t="shared" si="67"/>
        <v>HOUSTON TX 77044</v>
      </c>
    </row>
    <row r="2104" spans="1:8" x14ac:dyDescent="0.2">
      <c r="A2104" s="27">
        <f>COUNTIFS(C:C,C2104,D:D,D2104)</f>
        <v>1</v>
      </c>
      <c r="B2104" s="30">
        <v>202101159109</v>
      </c>
      <c r="C2104" s="28" t="s">
        <v>1862</v>
      </c>
      <c r="D2104" s="28" t="s">
        <v>1863</v>
      </c>
      <c r="E2104" s="28" t="s">
        <v>4889</v>
      </c>
      <c r="F2104" s="28" t="s">
        <v>56</v>
      </c>
      <c r="G2104" s="27" t="str">
        <f t="shared" si="66"/>
        <v>12275 COBBS CREEK RD  HOUSTON</v>
      </c>
      <c r="H2104" s="27" t="str">
        <f t="shared" si="67"/>
        <v>HOUSTON TX 77067</v>
      </c>
    </row>
    <row r="2105" spans="1:8" x14ac:dyDescent="0.2">
      <c r="A2105" s="27">
        <f>COUNTIFS(C:C,C2105,D:D,D2105)</f>
        <v>1</v>
      </c>
      <c r="B2105" s="30">
        <v>202101159111</v>
      </c>
      <c r="C2105" t="s">
        <v>4645</v>
      </c>
      <c r="D2105" t="s">
        <v>4646</v>
      </c>
      <c r="E2105" t="s">
        <v>4951</v>
      </c>
      <c r="F2105" t="s">
        <v>79</v>
      </c>
      <c r="G2105" s="27" t="str">
        <f t="shared" si="66"/>
        <v>8310 E. COPPER LAKES DR HOUSTON</v>
      </c>
      <c r="H2105" s="27" t="str">
        <f t="shared" si="67"/>
        <v>HOUSTON TX 77095</v>
      </c>
    </row>
    <row r="2106" spans="1:8" x14ac:dyDescent="0.2">
      <c r="A2106" s="27">
        <f>COUNTIFS(C:C,C2106,D:D,D2106)</f>
        <v>1</v>
      </c>
      <c r="B2106" s="30">
        <v>202101159112</v>
      </c>
      <c r="C2106" t="s">
        <v>4647</v>
      </c>
      <c r="D2106" t="s">
        <v>4648</v>
      </c>
      <c r="E2106" t="s">
        <v>4924</v>
      </c>
      <c r="F2106" t="s">
        <v>79</v>
      </c>
      <c r="G2106" s="27" t="str">
        <f t="shared" si="66"/>
        <v>2605 W DUMBLE ST  ALVIN</v>
      </c>
      <c r="H2106" s="27" t="str">
        <f t="shared" si="67"/>
        <v>HOUSTON TX 77511</v>
      </c>
    </row>
    <row r="2107" spans="1:8" x14ac:dyDescent="0.2">
      <c r="A2107" s="27">
        <f>COUNTIFS(C:C,C2107,D:D,D2107)</f>
        <v>1</v>
      </c>
      <c r="B2107" s="30">
        <v>202101159113</v>
      </c>
      <c r="C2107" t="s">
        <v>4649</v>
      </c>
      <c r="D2107" t="s">
        <v>4650</v>
      </c>
      <c r="E2107" t="s">
        <v>4875</v>
      </c>
      <c r="F2107" t="s">
        <v>53</v>
      </c>
      <c r="G2107" s="27" t="str">
        <f t="shared" si="66"/>
        <v>11079 COPLEY LN  HOUSTON</v>
      </c>
      <c r="H2107" s="27" t="str">
        <f t="shared" si="67"/>
        <v>HOUSTON TX 77093</v>
      </c>
    </row>
    <row r="2108" spans="1:8" x14ac:dyDescent="0.2">
      <c r="A2108" s="27">
        <f>COUNTIFS(C:C,C2108,D:D,D2108)</f>
        <v>1</v>
      </c>
      <c r="B2108" s="30">
        <v>202101159114</v>
      </c>
      <c r="C2108" t="s">
        <v>2292</v>
      </c>
      <c r="D2108" t="s">
        <v>2293</v>
      </c>
      <c r="E2108" t="s">
        <v>4960</v>
      </c>
      <c r="F2108" t="s">
        <v>79</v>
      </c>
      <c r="G2108" s="27" t="str">
        <f t="shared" si="66"/>
        <v>197 GOODSON DR  HOUSTON</v>
      </c>
      <c r="H2108" s="27" t="str">
        <f t="shared" si="67"/>
        <v>HOUSTON TX 77060</v>
      </c>
    </row>
    <row r="2109" spans="1:8" x14ac:dyDescent="0.2">
      <c r="A2109" s="27">
        <f>COUNTIFS(C:C,C2109,D:D,D2109)</f>
        <v>1</v>
      </c>
      <c r="B2109" s="30">
        <v>202101159117</v>
      </c>
      <c r="C2109" t="s">
        <v>2641</v>
      </c>
      <c r="D2109" t="s">
        <v>2642</v>
      </c>
      <c r="E2109" t="s">
        <v>4879</v>
      </c>
      <c r="F2109" t="s">
        <v>79</v>
      </c>
      <c r="G2109" s="27" t="str">
        <f t="shared" si="66"/>
        <v>790 W LITTLE YORK A PT 1206 HOUSTON</v>
      </c>
      <c r="H2109" s="27" t="str">
        <f t="shared" si="67"/>
        <v>HOUSTON TX 77091</v>
      </c>
    </row>
    <row r="2110" spans="1:8" x14ac:dyDescent="0.2">
      <c r="A2110" s="27">
        <f>COUNTIFS(C:C,C2110,D:D,D2110)</f>
        <v>1</v>
      </c>
      <c r="B2110" s="30">
        <v>202101159121</v>
      </c>
      <c r="C2110" t="s">
        <v>4651</v>
      </c>
      <c r="D2110" t="s">
        <v>4652</v>
      </c>
      <c r="E2110" t="s">
        <v>5283</v>
      </c>
      <c r="F2110" t="s">
        <v>88</v>
      </c>
      <c r="G2110" s="27" t="str">
        <f t="shared" si="66"/>
        <v>708 S EAST ST  WEIMAR</v>
      </c>
      <c r="H2110" s="27" t="str">
        <f t="shared" si="67"/>
        <v>HOUSTON TX 78962</v>
      </c>
    </row>
    <row r="2111" spans="1:8" x14ac:dyDescent="0.2">
      <c r="A2111" s="27">
        <f>COUNTIFS(C:C,C2111,D:D,D2111)</f>
        <v>1</v>
      </c>
      <c r="B2111" s="30">
        <v>202101159124</v>
      </c>
      <c r="C2111" s="28" t="s">
        <v>798</v>
      </c>
      <c r="D2111" s="28" t="s">
        <v>799</v>
      </c>
      <c r="E2111" s="28" t="s">
        <v>4896</v>
      </c>
      <c r="F2111" s="28" t="s">
        <v>88</v>
      </c>
      <c r="G2111" s="27" t="str">
        <f t="shared" si="66"/>
        <v>9619 OREGANO CIR  HOUSTON</v>
      </c>
      <c r="H2111" s="27" t="str">
        <f t="shared" si="67"/>
        <v>HOUSTON TX 77036</v>
      </c>
    </row>
    <row r="2112" spans="1:8" x14ac:dyDescent="0.2">
      <c r="A2112" s="27">
        <f>COUNTIFS(C:C,C2112,D:D,D2112)</f>
        <v>1</v>
      </c>
      <c r="B2112" s="30">
        <v>202101159130</v>
      </c>
      <c r="C2112" t="s">
        <v>4653</v>
      </c>
      <c r="D2112" t="s">
        <v>4654</v>
      </c>
      <c r="E2112" t="s">
        <v>4867</v>
      </c>
      <c r="F2112" t="s">
        <v>85</v>
      </c>
      <c r="G2112" s="27" t="str">
        <f t="shared" si="66"/>
        <v>6103 GULF FWY IB 226  HOUSTON</v>
      </c>
      <c r="H2112" s="27" t="str">
        <f t="shared" si="67"/>
        <v>HOUSTON TX 77023</v>
      </c>
    </row>
    <row r="2113" spans="1:8" x14ac:dyDescent="0.2">
      <c r="A2113" s="27">
        <f>COUNTIFS(C:C,C2113,D:D,D2113)</f>
        <v>1</v>
      </c>
      <c r="B2113" s="30">
        <v>202101159131</v>
      </c>
      <c r="C2113" t="s">
        <v>3120</v>
      </c>
      <c r="D2113" t="s">
        <v>3121</v>
      </c>
      <c r="E2113" t="s">
        <v>4886</v>
      </c>
      <c r="F2113" t="s">
        <v>59</v>
      </c>
      <c r="G2113" s="27" t="str">
        <f t="shared" si="66"/>
        <v>12600 DUNLAP ST  HOUSTON</v>
      </c>
      <c r="H2113" s="27" t="str">
        <f t="shared" si="67"/>
        <v>HOUSTON TX 77035</v>
      </c>
    </row>
    <row r="2114" spans="1:8" x14ac:dyDescent="0.2">
      <c r="A2114" s="27">
        <f>COUNTIFS(C:C,C2114,D:D,D2114)</f>
        <v>1</v>
      </c>
      <c r="B2114" s="30">
        <v>202101159134</v>
      </c>
      <c r="C2114" t="s">
        <v>3340</v>
      </c>
      <c r="D2114" t="s">
        <v>3341</v>
      </c>
      <c r="E2114" t="s">
        <v>4896</v>
      </c>
      <c r="F2114" t="s">
        <v>4829</v>
      </c>
      <c r="G2114" s="27" t="str">
        <f t="shared" si="66"/>
        <v>9290 WOODFAIR DR  HOUSTON</v>
      </c>
      <c r="H2114" s="27" t="str">
        <f t="shared" si="67"/>
        <v>HOUSTON TX 77036</v>
      </c>
    </row>
    <row r="2115" spans="1:8" x14ac:dyDescent="0.2">
      <c r="A2115" s="27">
        <f>COUNTIFS(C:C,C2115,D:D,D2115)</f>
        <v>1</v>
      </c>
      <c r="B2115" s="30">
        <v>202101159136</v>
      </c>
      <c r="C2115" t="s">
        <v>4655</v>
      </c>
      <c r="D2115" t="s">
        <v>4656</v>
      </c>
      <c r="E2115" t="s">
        <v>5284</v>
      </c>
      <c r="F2115" t="s">
        <v>56</v>
      </c>
      <c r="G2115" s="27" t="str">
        <f t="shared" si="66"/>
        <v>10445 GREENS CROSSING BLVD 511 HARRIS CO</v>
      </c>
      <c r="H2115" s="27" t="str">
        <f t="shared" si="67"/>
        <v>HOUSTON TX 77038</v>
      </c>
    </row>
    <row r="2116" spans="1:8" x14ac:dyDescent="0.2">
      <c r="A2116" s="27">
        <f>COUNTIFS(C:C,C2116,D:D,D2116)</f>
        <v>1</v>
      </c>
      <c r="B2116" s="30">
        <v>202101159137</v>
      </c>
      <c r="C2116" s="28" t="s">
        <v>549</v>
      </c>
      <c r="D2116" s="28" t="s">
        <v>550</v>
      </c>
      <c r="E2116" s="28" t="s">
        <v>4854</v>
      </c>
      <c r="F2116" s="28" t="s">
        <v>88</v>
      </c>
      <c r="G2116" s="27" t="str">
        <f t="shared" si="66"/>
        <v>3108 CRESTON DR  HOUSTON</v>
      </c>
      <c r="H2116" s="27" t="str">
        <f t="shared" si="67"/>
        <v>HOUSTON TX 77026</v>
      </c>
    </row>
    <row r="2117" spans="1:8" x14ac:dyDescent="0.2">
      <c r="A2117" s="27">
        <f>COUNTIFS(C:C,C2117,D:D,D2117)</f>
        <v>1</v>
      </c>
      <c r="B2117" s="30">
        <v>202101159138</v>
      </c>
      <c r="C2117" t="s">
        <v>3079</v>
      </c>
      <c r="D2117" t="s">
        <v>3080</v>
      </c>
      <c r="E2117" t="s">
        <v>4915</v>
      </c>
      <c r="F2117" t="s">
        <v>53</v>
      </c>
      <c r="G2117" s="27" t="str">
        <f t="shared" si="66"/>
        <v>4213 ALICE ST  HOUSTON</v>
      </c>
      <c r="H2117" s="27" t="str">
        <f t="shared" si="67"/>
        <v>HOUSTON TX 77021</v>
      </c>
    </row>
    <row r="2118" spans="1:8" x14ac:dyDescent="0.2">
      <c r="A2118" s="27">
        <f>COUNTIFS(C:C,C2118,D:D,D2118)</f>
        <v>1</v>
      </c>
      <c r="B2118" s="30">
        <v>202101159139</v>
      </c>
      <c r="C2118" t="s">
        <v>4657</v>
      </c>
      <c r="D2118" t="s">
        <v>4658</v>
      </c>
      <c r="E2118" t="s">
        <v>4854</v>
      </c>
      <c r="F2118" t="s">
        <v>53</v>
      </c>
      <c r="G2118" s="27" t="str">
        <f t="shared" si="66"/>
        <v>2314 BRINGHURST ST  HOUSTON</v>
      </c>
      <c r="H2118" s="27" t="str">
        <f t="shared" si="67"/>
        <v>HOUSTON TX 77026</v>
      </c>
    </row>
    <row r="2119" spans="1:8" x14ac:dyDescent="0.2">
      <c r="A2119" s="27">
        <f>COUNTIFS(C:C,C2119,D:D,D2119)</f>
        <v>1</v>
      </c>
      <c r="B2119" s="30">
        <v>202101159144</v>
      </c>
      <c r="C2119" t="s">
        <v>4659</v>
      </c>
      <c r="D2119" t="s">
        <v>4660</v>
      </c>
      <c r="E2119" t="s">
        <v>4943</v>
      </c>
      <c r="F2119" t="s">
        <v>79</v>
      </c>
      <c r="G2119" s="27" t="str">
        <f t="shared" si="66"/>
        <v>14220 PARK ROW  HOUSTON</v>
      </c>
      <c r="H2119" s="27" t="str">
        <f t="shared" si="67"/>
        <v>HOUSTON TX 77084</v>
      </c>
    </row>
    <row r="2120" spans="1:8" x14ac:dyDescent="0.2">
      <c r="A2120" s="27">
        <f>COUNTIFS(C:C,C2120,D:D,D2120)</f>
        <v>1</v>
      </c>
      <c r="B2120" s="30">
        <v>202101159146</v>
      </c>
      <c r="C2120" t="s">
        <v>2047</v>
      </c>
      <c r="D2120" t="s">
        <v>2048</v>
      </c>
      <c r="E2120" t="s">
        <v>4880</v>
      </c>
      <c r="F2120" t="s">
        <v>64</v>
      </c>
      <c r="G2120" s="27" t="str">
        <f t="shared" si="66"/>
        <v>1817 ISABELLA ST  HOUSTON</v>
      </c>
      <c r="H2120" s="27" t="str">
        <f t="shared" si="67"/>
        <v>HOUSTON TX 77004</v>
      </c>
    </row>
    <row r="2121" spans="1:8" x14ac:dyDescent="0.2">
      <c r="A2121" s="27">
        <f>COUNTIFS(C:C,C2121,D:D,D2121)</f>
        <v>1</v>
      </c>
      <c r="B2121" s="30">
        <v>202101159149</v>
      </c>
      <c r="C2121" s="28" t="s">
        <v>518</v>
      </c>
      <c r="D2121" s="28" t="s">
        <v>519</v>
      </c>
      <c r="E2121" s="28" t="s">
        <v>4895</v>
      </c>
      <c r="F2121" s="28" t="s">
        <v>75</v>
      </c>
      <c r="G2121" s="27" t="str">
        <f t="shared" si="66"/>
        <v>1933 HUSSION ST APT 3509 HOUSTON</v>
      </c>
      <c r="H2121" s="27" t="str">
        <f t="shared" si="67"/>
        <v>HOUSTON TX 77003</v>
      </c>
    </row>
    <row r="2122" spans="1:8" x14ac:dyDescent="0.2">
      <c r="A2122" s="27">
        <f>COUNTIFS(C:C,C2122,D:D,D2122)</f>
        <v>1</v>
      </c>
      <c r="B2122" s="30">
        <v>202101159150</v>
      </c>
      <c r="C2122" t="s">
        <v>4661</v>
      </c>
      <c r="D2122" t="s">
        <v>4662</v>
      </c>
      <c r="E2122" t="s">
        <v>4973</v>
      </c>
      <c r="F2122" t="s">
        <v>53</v>
      </c>
      <c r="G2122" s="27" t="str">
        <f t="shared" si="66"/>
        <v>9001 SOUTH BRAESWOOD BLVD 1803 HOUSTON</v>
      </c>
      <c r="H2122" s="27" t="str">
        <f t="shared" si="67"/>
        <v>HOUSTON TX 77074</v>
      </c>
    </row>
    <row r="2123" spans="1:8" x14ac:dyDescent="0.2">
      <c r="A2123" s="27">
        <f>COUNTIFS(C:C,C2123,D:D,D2123)</f>
        <v>1</v>
      </c>
      <c r="B2123" s="30">
        <v>202101159151</v>
      </c>
      <c r="C2123" s="28" t="s">
        <v>422</v>
      </c>
      <c r="D2123" s="28" t="s">
        <v>423</v>
      </c>
      <c r="E2123" s="28" t="s">
        <v>4859</v>
      </c>
      <c r="F2123" s="28" t="s">
        <v>71</v>
      </c>
      <c r="G2123" s="27" t="str">
        <f t="shared" si="66"/>
        <v>1431 BRIGHTON FORT D R HOUSTON</v>
      </c>
      <c r="H2123" s="27" t="str">
        <f t="shared" si="67"/>
        <v>HOUSTON TX 77073</v>
      </c>
    </row>
    <row r="2124" spans="1:8" x14ac:dyDescent="0.2">
      <c r="A2124" s="27">
        <f>COUNTIFS(C:C,C2124,D:D,D2124)</f>
        <v>1</v>
      </c>
      <c r="B2124" s="30">
        <v>202101159153</v>
      </c>
      <c r="C2124" s="28" t="s">
        <v>872</v>
      </c>
      <c r="D2124" s="28" t="s">
        <v>873</v>
      </c>
      <c r="E2124" s="28" t="s">
        <v>4950</v>
      </c>
      <c r="F2124" s="28" t="s">
        <v>53</v>
      </c>
      <c r="G2124" s="27" t="str">
        <f t="shared" si="66"/>
        <v>8520 MADIE DR  HOUSTON</v>
      </c>
      <c r="H2124" s="27" t="str">
        <f t="shared" si="67"/>
        <v>HOUSTON TX 77022</v>
      </c>
    </row>
    <row r="2125" spans="1:8" x14ac:dyDescent="0.2">
      <c r="A2125" s="27">
        <f>COUNTIFS(C:C,C2125,D:D,D2125)</f>
        <v>1</v>
      </c>
      <c r="B2125" s="30">
        <v>202101159155</v>
      </c>
      <c r="C2125" t="s">
        <v>4663</v>
      </c>
      <c r="D2125" t="s">
        <v>4664</v>
      </c>
      <c r="E2125" t="s">
        <v>5285</v>
      </c>
      <c r="F2125" t="s">
        <v>88</v>
      </c>
      <c r="G2125" s="27" t="str">
        <f t="shared" si="66"/>
        <v>176 STAPLES DR  STAPLES</v>
      </c>
      <c r="H2125" s="27" t="str">
        <f t="shared" si="67"/>
        <v>HOUSTON TX 78670</v>
      </c>
    </row>
    <row r="2126" spans="1:8" x14ac:dyDescent="0.2">
      <c r="A2126" s="27">
        <f>COUNTIFS(C:C,C2126,D:D,D2126)</f>
        <v>1</v>
      </c>
      <c r="B2126" s="30">
        <v>202101159157</v>
      </c>
      <c r="C2126" t="s">
        <v>4665</v>
      </c>
      <c r="D2126" t="s">
        <v>4666</v>
      </c>
      <c r="E2126" t="s">
        <v>5187</v>
      </c>
      <c r="F2126" t="s">
        <v>88</v>
      </c>
      <c r="G2126" s="27" t="str">
        <f t="shared" si="66"/>
        <v>419 CYPRESS AVE  FRESNO</v>
      </c>
      <c r="H2126" s="27" t="str">
        <f t="shared" si="67"/>
        <v>HOUSTON TX 77545</v>
      </c>
    </row>
    <row r="2127" spans="1:8" x14ac:dyDescent="0.2">
      <c r="A2127" s="27">
        <f>COUNTIFS(C:C,C2127,D:D,D2127)</f>
        <v>1</v>
      </c>
      <c r="B2127" s="30">
        <v>202101159158</v>
      </c>
      <c r="C2127" t="s">
        <v>4667</v>
      </c>
      <c r="D2127" t="s">
        <v>4668</v>
      </c>
      <c r="E2127" t="s">
        <v>4903</v>
      </c>
      <c r="F2127" t="s">
        <v>71</v>
      </c>
      <c r="G2127" s="27" t="str">
        <f t="shared" si="66"/>
        <v>20239 BARON BROOK DR  CYPRESS</v>
      </c>
      <c r="H2127" s="27" t="str">
        <f t="shared" si="67"/>
        <v>HOUSTON TX 77433</v>
      </c>
    </row>
    <row r="2128" spans="1:8" x14ac:dyDescent="0.2">
      <c r="A2128" s="27">
        <f>COUNTIFS(C:C,C2128,D:D,D2128)</f>
        <v>1</v>
      </c>
      <c r="B2128" s="30">
        <v>202101159160</v>
      </c>
      <c r="C2128" t="s">
        <v>2924</v>
      </c>
      <c r="D2128" t="s">
        <v>2925</v>
      </c>
      <c r="E2128" t="s">
        <v>4915</v>
      </c>
      <c r="F2128" t="s">
        <v>53</v>
      </c>
      <c r="G2128" s="27" t="str">
        <f t="shared" si="66"/>
        <v>6813 SHERWOOD DR  HOUSTON</v>
      </c>
      <c r="H2128" s="27" t="str">
        <f t="shared" si="67"/>
        <v>HOUSTON TX 77021</v>
      </c>
    </row>
    <row r="2129" spans="1:8" x14ac:dyDescent="0.2">
      <c r="A2129" s="27">
        <f>COUNTIFS(C:C,C2129,D:D,D2129)</f>
        <v>1</v>
      </c>
      <c r="B2129" s="30">
        <v>202101159164</v>
      </c>
      <c r="C2129" t="s">
        <v>4669</v>
      </c>
      <c r="D2129" t="s">
        <v>4670</v>
      </c>
      <c r="E2129" t="s">
        <v>4981</v>
      </c>
      <c r="F2129" t="s">
        <v>362</v>
      </c>
      <c r="G2129" s="27" t="str">
        <f t="shared" si="66"/>
        <v>10910 GUULG FWY 571  HOUSTON</v>
      </c>
      <c r="H2129" s="27" t="str">
        <f t="shared" si="67"/>
        <v>HOUSTON TX 77034</v>
      </c>
    </row>
    <row r="2130" spans="1:8" x14ac:dyDescent="0.2">
      <c r="A2130" s="27">
        <f>COUNTIFS(C:C,C2130,D:D,D2130)</f>
        <v>1</v>
      </c>
      <c r="B2130" s="30">
        <v>202101159165</v>
      </c>
      <c r="C2130" t="s">
        <v>3081</v>
      </c>
      <c r="D2130" t="s">
        <v>3082</v>
      </c>
      <c r="E2130" t="s">
        <v>4903</v>
      </c>
      <c r="F2130" t="s">
        <v>71</v>
      </c>
      <c r="G2130" s="27" t="str">
        <f t="shared" si="66"/>
        <v>19903 MOUNTAIN DALE  CYPRESS</v>
      </c>
      <c r="H2130" s="27" t="str">
        <f t="shared" si="67"/>
        <v>HOUSTON TX 77433</v>
      </c>
    </row>
    <row r="2131" spans="1:8" x14ac:dyDescent="0.2">
      <c r="A2131" s="27">
        <f>COUNTIFS(C:C,C2131,D:D,D2131)</f>
        <v>1</v>
      </c>
      <c r="B2131" s="30">
        <v>202101159166</v>
      </c>
      <c r="C2131" t="s">
        <v>4671</v>
      </c>
      <c r="D2131" t="s">
        <v>4672</v>
      </c>
      <c r="E2131" t="s">
        <v>5286</v>
      </c>
      <c r="F2131" t="s">
        <v>100</v>
      </c>
      <c r="G2131" s="27" t="e">
        <f t="shared" si="66"/>
        <v>#VALUE!</v>
      </c>
      <c r="H2131" s="27" t="e">
        <f t="shared" si="67"/>
        <v>#VALUE!</v>
      </c>
    </row>
    <row r="2132" spans="1:8" x14ac:dyDescent="0.2">
      <c r="A2132" s="27">
        <f>COUNTIFS(C:C,C2132,D:D,D2132)</f>
        <v>1</v>
      </c>
      <c r="B2132" s="30">
        <v>202101159167</v>
      </c>
      <c r="C2132" t="s">
        <v>4673</v>
      </c>
      <c r="D2132" t="s">
        <v>4674</v>
      </c>
      <c r="E2132" t="s">
        <v>4856</v>
      </c>
      <c r="F2132" t="s">
        <v>79</v>
      </c>
      <c r="G2132" s="27" t="str">
        <f t="shared" si="66"/>
        <v>5634 BERRY CREEK DR  HOUSTON</v>
      </c>
      <c r="H2132" s="27" t="str">
        <f t="shared" si="67"/>
        <v>HOUSTON TX 77017</v>
      </c>
    </row>
    <row r="2133" spans="1:8" x14ac:dyDescent="0.2">
      <c r="A2133" s="27">
        <f>COUNTIFS(C:C,C2133,D:D,D2133)</f>
        <v>1</v>
      </c>
      <c r="B2133" s="30">
        <v>202101159168</v>
      </c>
      <c r="C2133" t="s">
        <v>3234</v>
      </c>
      <c r="D2133" t="s">
        <v>3235</v>
      </c>
      <c r="E2133" t="s">
        <v>4951</v>
      </c>
      <c r="F2133" t="s">
        <v>75</v>
      </c>
      <c r="G2133" s="27" t="str">
        <f t="shared" si="66"/>
        <v>17403 TEMPE CT  HOUSTON</v>
      </c>
      <c r="H2133" s="27" t="str">
        <f t="shared" si="67"/>
        <v>HOUSTON TX 77095</v>
      </c>
    </row>
    <row r="2134" spans="1:8" x14ac:dyDescent="0.2">
      <c r="A2134" s="27">
        <f>COUNTIFS(C:C,C2134,D:D,D2134)</f>
        <v>1</v>
      </c>
      <c r="B2134" s="30">
        <v>202101159169</v>
      </c>
      <c r="C2134" t="s">
        <v>4675</v>
      </c>
      <c r="D2134" t="s">
        <v>4676</v>
      </c>
      <c r="E2134" t="s">
        <v>5143</v>
      </c>
      <c r="F2134" t="s">
        <v>59</v>
      </c>
      <c r="G2134" s="27" t="str">
        <f t="shared" si="66"/>
        <v>3280 ALABAMA ST  HOUSTON</v>
      </c>
      <c r="H2134" s="27" t="str">
        <f t="shared" si="67"/>
        <v>HOUSTON TX 77098</v>
      </c>
    </row>
    <row r="2135" spans="1:8" x14ac:dyDescent="0.2">
      <c r="A2135" s="27">
        <f>COUNTIFS(C:C,C2135,D:D,D2135)</f>
        <v>1</v>
      </c>
      <c r="B2135" s="30">
        <v>202101159170</v>
      </c>
      <c r="C2135" s="28" t="s">
        <v>823</v>
      </c>
      <c r="D2135" s="28" t="s">
        <v>824</v>
      </c>
      <c r="E2135" s="28" t="s">
        <v>4855</v>
      </c>
      <c r="F2135" s="28" t="s">
        <v>98</v>
      </c>
      <c r="G2135" s="27" t="str">
        <f t="shared" si="66"/>
        <v>10334 VALLEY WIND DR  HOUSTON</v>
      </c>
      <c r="H2135" s="27" t="str">
        <f t="shared" si="67"/>
        <v>HOUSTON TX 77078</v>
      </c>
    </row>
    <row r="2136" spans="1:8" x14ac:dyDescent="0.2">
      <c r="A2136" s="27">
        <f>COUNTIFS(C:C,C2136,D:D,D2136)</f>
        <v>1</v>
      </c>
      <c r="B2136" s="30">
        <v>202101159175</v>
      </c>
      <c r="C2136" s="28" t="s">
        <v>416</v>
      </c>
      <c r="D2136" s="28" t="s">
        <v>417</v>
      </c>
      <c r="E2136" s="28" t="s">
        <v>4858</v>
      </c>
      <c r="F2136" s="28" t="s">
        <v>300</v>
      </c>
      <c r="G2136" s="27" t="str">
        <f t="shared" si="66"/>
        <v>8331 FM 2977  RICHMOND</v>
      </c>
      <c r="H2136" s="27" t="str">
        <f t="shared" si="67"/>
        <v>HOUSTON TX 77469</v>
      </c>
    </row>
    <row r="2137" spans="1:8" x14ac:dyDescent="0.2">
      <c r="A2137" s="27">
        <f>COUNTIFS(C:C,C2137,D:D,D2137)</f>
        <v>1</v>
      </c>
      <c r="B2137" s="30">
        <v>202101159176</v>
      </c>
      <c r="C2137" t="s">
        <v>2549</v>
      </c>
      <c r="D2137" t="s">
        <v>2550</v>
      </c>
      <c r="E2137" t="s">
        <v>4876</v>
      </c>
      <c r="F2137" t="s">
        <v>71</v>
      </c>
      <c r="G2137" s="27" t="str">
        <f t="shared" si="66"/>
        <v>13393 HOLIFAX  HOUSTON</v>
      </c>
      <c r="H2137" s="27" t="str">
        <f t="shared" si="67"/>
        <v>HOUSTON TX 77015</v>
      </c>
    </row>
    <row r="2138" spans="1:8" x14ac:dyDescent="0.2">
      <c r="A2138" s="27">
        <f>COUNTIFS(C:C,C2138,D:D,D2138)</f>
        <v>1</v>
      </c>
      <c r="B2138" s="30">
        <v>202101159177</v>
      </c>
      <c r="C2138" s="28" t="s">
        <v>1896</v>
      </c>
      <c r="D2138" s="28" t="s">
        <v>1897</v>
      </c>
      <c r="E2138" s="28" t="s">
        <v>5081</v>
      </c>
      <c r="F2138" s="28" t="s">
        <v>79</v>
      </c>
      <c r="G2138" s="27" t="str">
        <f t="shared" si="66"/>
        <v>6226 GREY OAKS DR  HOUSTON</v>
      </c>
      <c r="H2138" s="27" t="str">
        <f t="shared" si="67"/>
        <v>HOUSTON TX 77050</v>
      </c>
    </row>
    <row r="2139" spans="1:8" x14ac:dyDescent="0.2">
      <c r="A2139" s="27">
        <f>COUNTIFS(C:C,C2139,D:D,D2139)</f>
        <v>1</v>
      </c>
      <c r="B2139" s="30">
        <v>202101159178</v>
      </c>
      <c r="C2139" t="s">
        <v>2940</v>
      </c>
      <c r="D2139" t="s">
        <v>2941</v>
      </c>
      <c r="E2139" t="s">
        <v>4987</v>
      </c>
      <c r="F2139" t="s">
        <v>80</v>
      </c>
      <c r="G2139" s="27" t="str">
        <f t="shared" si="66"/>
        <v>1514 FREEDONIA DR  HOUSTON</v>
      </c>
      <c r="H2139" s="27" t="str">
        <f t="shared" si="67"/>
        <v>HOUSTON TX 77055</v>
      </c>
    </row>
    <row r="2140" spans="1:8" x14ac:dyDescent="0.2">
      <c r="A2140" s="27">
        <f>COUNTIFS(C:C,C2140,D:D,D2140)</f>
        <v>1</v>
      </c>
      <c r="B2140" s="30">
        <v>202101159185</v>
      </c>
      <c r="C2140" t="s">
        <v>4677</v>
      </c>
      <c r="D2140" t="s">
        <v>4678</v>
      </c>
      <c r="E2140" t="s">
        <v>4852</v>
      </c>
      <c r="F2140" t="s">
        <v>61</v>
      </c>
      <c r="G2140" s="27" t="str">
        <f t="shared" si="66"/>
        <v>10718 CAXTON ST  HOUSTON</v>
      </c>
      <c r="H2140" s="27" t="str">
        <f t="shared" si="67"/>
        <v>HOUSTON TX 77016</v>
      </c>
    </row>
    <row r="2141" spans="1:8" x14ac:dyDescent="0.2">
      <c r="A2141" s="27">
        <f>COUNTIFS(C:C,C2141,D:D,D2141)</f>
        <v>1</v>
      </c>
      <c r="B2141" s="30">
        <v>202101159187</v>
      </c>
      <c r="C2141" s="28" t="s">
        <v>1320</v>
      </c>
      <c r="D2141" s="28" t="s">
        <v>1321</v>
      </c>
      <c r="E2141" s="28" t="s">
        <v>4960</v>
      </c>
      <c r="F2141" s="28" t="s">
        <v>98</v>
      </c>
      <c r="G2141" s="27" t="str">
        <f t="shared" si="66"/>
        <v>6 N SAM HOUSTON P KWY E HOUSTON</v>
      </c>
      <c r="H2141" s="27" t="str">
        <f t="shared" si="67"/>
        <v>HOUSTON TX 77060</v>
      </c>
    </row>
    <row r="2142" spans="1:8" x14ac:dyDescent="0.2">
      <c r="A2142" s="27">
        <f>COUNTIFS(C:C,C2142,D:D,D2142)</f>
        <v>1</v>
      </c>
      <c r="B2142" s="30">
        <v>202101159188</v>
      </c>
      <c r="C2142" t="s">
        <v>4679</v>
      </c>
      <c r="D2142" t="s">
        <v>4680</v>
      </c>
      <c r="E2142" t="s">
        <v>4907</v>
      </c>
      <c r="F2142" t="s">
        <v>68</v>
      </c>
      <c r="G2142" s="27" t="str">
        <f t="shared" si="66"/>
        <v>1208 INWOOD LN  PASADENA</v>
      </c>
      <c r="H2142" s="27" t="str">
        <f t="shared" si="67"/>
        <v>HOUSTON TX 77502</v>
      </c>
    </row>
    <row r="2143" spans="1:8" x14ac:dyDescent="0.2">
      <c r="A2143" s="27">
        <f>COUNTIFS(C:C,C2143,D:D,D2143)</f>
        <v>1</v>
      </c>
      <c r="B2143" s="30">
        <v>202101159190</v>
      </c>
      <c r="C2143" t="s">
        <v>4681</v>
      </c>
      <c r="D2143" t="s">
        <v>4682</v>
      </c>
      <c r="E2143" t="s">
        <v>4861</v>
      </c>
      <c r="F2143" t="s">
        <v>80</v>
      </c>
      <c r="G2143" s="27" t="str">
        <f t="shared" si="66"/>
        <v>3630 NITA  HOUSTON</v>
      </c>
      <c r="H2143" s="27" t="str">
        <f t="shared" si="67"/>
        <v>HOUSTON TX 77051</v>
      </c>
    </row>
    <row r="2144" spans="1:8" x14ac:dyDescent="0.2">
      <c r="A2144" s="27">
        <f>COUNTIFS(C:C,C2144,D:D,D2144)</f>
        <v>1</v>
      </c>
      <c r="B2144" s="30">
        <v>202101159191</v>
      </c>
      <c r="C2144" s="28" t="s">
        <v>672</v>
      </c>
      <c r="D2144" s="28" t="s">
        <v>673</v>
      </c>
      <c r="E2144" s="28" t="s">
        <v>4865</v>
      </c>
      <c r="F2144" s="28" t="s">
        <v>68</v>
      </c>
      <c r="G2144" s="27" t="str">
        <f t="shared" si="66"/>
        <v>1250 DUNLAP APT 401  HOUSTON</v>
      </c>
      <c r="H2144" s="27" t="str">
        <f t="shared" si="67"/>
        <v xml:space="preserve">HOUSTON TX      </v>
      </c>
    </row>
    <row r="2145" spans="1:8" x14ac:dyDescent="0.2">
      <c r="A2145" s="27">
        <f>COUNTIFS(C:C,C2145,D:D,D2145)</f>
        <v>1</v>
      </c>
      <c r="B2145" s="30">
        <v>202101159196</v>
      </c>
      <c r="C2145" t="s">
        <v>4683</v>
      </c>
      <c r="D2145" t="s">
        <v>4684</v>
      </c>
      <c r="E2145" t="s">
        <v>5070</v>
      </c>
      <c r="F2145" t="s">
        <v>64</v>
      </c>
      <c r="G2145" s="27" t="str">
        <f t="shared" si="66"/>
        <v>709 N 12TH  LAPORTE</v>
      </c>
      <c r="H2145" s="27" t="str">
        <f t="shared" si="67"/>
        <v>HOUSTON TX 77571</v>
      </c>
    </row>
    <row r="2146" spans="1:8" x14ac:dyDescent="0.2">
      <c r="A2146" s="27">
        <f>COUNTIFS(C:C,C2146,D:D,D2146)</f>
        <v>1</v>
      </c>
      <c r="B2146" s="30">
        <v>202101159198</v>
      </c>
      <c r="C2146" t="s">
        <v>5173</v>
      </c>
      <c r="D2146" t="s">
        <v>3170</v>
      </c>
      <c r="E2146" t="s">
        <v>5124</v>
      </c>
      <c r="F2146" t="s">
        <v>326</v>
      </c>
      <c r="G2146" s="27" t="str">
        <f t="shared" si="66"/>
        <v>918 SKYLINE VISTA  HOUSTON</v>
      </c>
      <c r="H2146" s="27" t="str">
        <f t="shared" si="67"/>
        <v>HOUSTON TX 77019</v>
      </c>
    </row>
    <row r="2147" spans="1:8" x14ac:dyDescent="0.2">
      <c r="A2147" s="27">
        <f>COUNTIFS(C:C,C2147,D:D,D2147)</f>
        <v>1</v>
      </c>
      <c r="B2147" s="30">
        <v>202101159199</v>
      </c>
      <c r="C2147" s="28" t="s">
        <v>718</v>
      </c>
      <c r="D2147" s="28" t="s">
        <v>719</v>
      </c>
      <c r="E2147" s="28" t="s">
        <v>4937</v>
      </c>
      <c r="F2147" s="28" t="s">
        <v>4772</v>
      </c>
      <c r="G2147" s="27" t="str">
        <f t="shared" si="66"/>
        <v>6130 SUNNYCREST ST  HOUSTON</v>
      </c>
      <c r="H2147" s="27" t="str">
        <f t="shared" si="67"/>
        <v>HOUSTON TX 77087</v>
      </c>
    </row>
    <row r="2148" spans="1:8" x14ac:dyDescent="0.2">
      <c r="A2148" s="27">
        <f>COUNTIFS(C:C,C2148,D:D,D2148)</f>
        <v>1</v>
      </c>
      <c r="B2148" s="30">
        <v>202101159205</v>
      </c>
      <c r="C2148" s="28" t="s">
        <v>1245</v>
      </c>
      <c r="D2148" s="28" t="s">
        <v>1246</v>
      </c>
      <c r="E2148" s="28" t="s">
        <v>4918</v>
      </c>
      <c r="F2148" s="28" t="s">
        <v>78</v>
      </c>
      <c r="G2148" s="27" t="str">
        <f t="shared" si="66"/>
        <v>4902 EL SALVADOR DR  HOUSTON</v>
      </c>
      <c r="H2148" s="27" t="str">
        <f t="shared" si="67"/>
        <v>HOUSTON TX 77066</v>
      </c>
    </row>
    <row r="2149" spans="1:8" x14ac:dyDescent="0.2">
      <c r="A2149" s="27">
        <f>COUNTIFS(C:C,C2149,D:D,D2149)</f>
        <v>1</v>
      </c>
      <c r="B2149" s="30">
        <v>202101159206</v>
      </c>
      <c r="C2149" t="s">
        <v>4685</v>
      </c>
      <c r="D2149" t="s">
        <v>4686</v>
      </c>
      <c r="E2149" t="s">
        <v>4958</v>
      </c>
      <c r="F2149" t="s">
        <v>53</v>
      </c>
      <c r="G2149" s="27" t="str">
        <f t="shared" si="66"/>
        <v>4114 WOODHAVEN  HOUSTON</v>
      </c>
      <c r="H2149" s="27" t="str">
        <f t="shared" si="67"/>
        <v>HOUSTON TX 77025</v>
      </c>
    </row>
    <row r="2150" spans="1:8" x14ac:dyDescent="0.2">
      <c r="A2150" s="27">
        <f>COUNTIFS(C:C,C2150,D:D,D2150)</f>
        <v>1</v>
      </c>
      <c r="B2150" s="30">
        <v>202101159213</v>
      </c>
      <c r="C2150" t="s">
        <v>4687</v>
      </c>
      <c r="D2150" t="s">
        <v>4688</v>
      </c>
      <c r="E2150" t="s">
        <v>4986</v>
      </c>
      <c r="F2150" t="s">
        <v>53</v>
      </c>
      <c r="G2150" s="27" t="str">
        <f t="shared" si="66"/>
        <v>20919 NIRNAMWOOD BLVD  HUMBLE</v>
      </c>
      <c r="H2150" s="27" t="str">
        <f t="shared" si="67"/>
        <v>HOUSTON TX 77338</v>
      </c>
    </row>
    <row r="2151" spans="1:8" x14ac:dyDescent="0.2">
      <c r="A2151" s="27">
        <f>COUNTIFS(C:C,C2151,D:D,D2151)</f>
        <v>1</v>
      </c>
      <c r="B2151" s="30">
        <v>202101159219</v>
      </c>
      <c r="C2151" t="s">
        <v>2629</v>
      </c>
      <c r="D2151" t="s">
        <v>2630</v>
      </c>
      <c r="E2151" t="s">
        <v>5050</v>
      </c>
      <c r="F2151" t="s">
        <v>66</v>
      </c>
      <c r="G2151" s="27" t="str">
        <f t="shared" si="66"/>
        <v>14222 WUNDERLICH  HOUSTON</v>
      </c>
      <c r="H2151" s="27" t="str">
        <f t="shared" si="67"/>
        <v>HOUSTON TX 77069</v>
      </c>
    </row>
    <row r="2152" spans="1:8" x14ac:dyDescent="0.2">
      <c r="A2152" s="27">
        <f>COUNTIFS(C:C,C2152,D:D,D2152)</f>
        <v>1</v>
      </c>
      <c r="B2152" s="30">
        <v>202101159222</v>
      </c>
      <c r="C2152" s="28" t="s">
        <v>1054</v>
      </c>
      <c r="D2152" s="28" t="s">
        <v>1055</v>
      </c>
      <c r="E2152" s="28" t="s">
        <v>4856</v>
      </c>
      <c r="F2152" s="28" t="s">
        <v>87</v>
      </c>
      <c r="G2152" s="27" t="str">
        <f t="shared" si="66"/>
        <v>302 MAROBY ST  HOUSTON</v>
      </c>
      <c r="H2152" s="27" t="str">
        <f t="shared" si="67"/>
        <v>HOUSTON TX 77017</v>
      </c>
    </row>
    <row r="2153" spans="1:8" x14ac:dyDescent="0.2">
      <c r="A2153" s="27">
        <f>COUNTIFS(C:C,C2153,D:D,D2153)</f>
        <v>1</v>
      </c>
      <c r="B2153" s="30">
        <v>202101159223</v>
      </c>
      <c r="C2153" t="s">
        <v>2575</v>
      </c>
      <c r="D2153" t="s">
        <v>2576</v>
      </c>
      <c r="E2153" t="s">
        <v>4991</v>
      </c>
      <c r="F2153" t="s">
        <v>180</v>
      </c>
      <c r="G2153" s="27" t="str">
        <f t="shared" si="66"/>
        <v>10550 VALLEY FORGE DR APT 104 HOUSTON</v>
      </c>
      <c r="H2153" s="27" t="str">
        <f t="shared" si="67"/>
        <v>HOUSTON TX 77042</v>
      </c>
    </row>
    <row r="2154" spans="1:8" x14ac:dyDescent="0.2">
      <c r="A2154" s="27">
        <f>COUNTIFS(C:C,C2154,D:D,D2154)</f>
        <v>1</v>
      </c>
      <c r="B2154" s="30">
        <v>202101159227</v>
      </c>
      <c r="C2154" t="s">
        <v>4689</v>
      </c>
      <c r="D2154" t="s">
        <v>4690</v>
      </c>
      <c r="E2154" t="s">
        <v>4898</v>
      </c>
      <c r="F2154" t="s">
        <v>53</v>
      </c>
      <c r="G2154" s="27" t="str">
        <f t="shared" ref="G2154:G2217" si="68">D2154&amp;" "&amp;MID(E2154,1,FIND(" TX",E2154)-1)</f>
        <v>7911 PEEKSKILL LN  HOUSTON</v>
      </c>
      <c r="H2154" s="27" t="str">
        <f t="shared" ref="H2154:H2217" si="69">"HOUSTON "&amp;MID(E2154,FIND("TX",E2154),8)</f>
        <v>HOUSTON TX 77075</v>
      </c>
    </row>
    <row r="2155" spans="1:8" x14ac:dyDescent="0.2">
      <c r="A2155" s="27">
        <f>COUNTIFS(C:C,C2155,D:D,D2155)</f>
        <v>1</v>
      </c>
      <c r="B2155" s="30">
        <v>202101159230</v>
      </c>
      <c r="C2155" t="s">
        <v>2977</v>
      </c>
      <c r="D2155" t="s">
        <v>2978</v>
      </c>
      <c r="E2155" t="s">
        <v>4950</v>
      </c>
      <c r="F2155" t="s">
        <v>357</v>
      </c>
      <c r="G2155" s="27" t="str">
        <f t="shared" si="68"/>
        <v>7140 APPLETON ST  HOUSTON</v>
      </c>
      <c r="H2155" s="27" t="str">
        <f t="shared" si="69"/>
        <v>HOUSTON TX 77022</v>
      </c>
    </row>
    <row r="2156" spans="1:8" x14ac:dyDescent="0.2">
      <c r="A2156" s="27">
        <f>COUNTIFS(C:C,C2156,D:D,D2156)</f>
        <v>1</v>
      </c>
      <c r="B2156" s="30">
        <v>202101159234</v>
      </c>
      <c r="C2156" t="s">
        <v>2555</v>
      </c>
      <c r="D2156" t="s">
        <v>2556</v>
      </c>
      <c r="E2156" t="s">
        <v>4932</v>
      </c>
      <c r="F2156" t="s">
        <v>75</v>
      </c>
      <c r="G2156" s="27" t="str">
        <f t="shared" si="68"/>
        <v>4910 BLANTON BLVD  HOUSTON</v>
      </c>
      <c r="H2156" s="27" t="str">
        <f t="shared" si="69"/>
        <v>HOUSTON TX 77092</v>
      </c>
    </row>
    <row r="2157" spans="1:8" x14ac:dyDescent="0.2">
      <c r="A2157" s="27">
        <f>COUNTIFS(C:C,C2157,D:D,D2157)</f>
        <v>1</v>
      </c>
      <c r="B2157" s="30">
        <v>202101159244</v>
      </c>
      <c r="C2157" s="28" t="s">
        <v>1774</v>
      </c>
      <c r="D2157" s="28" t="s">
        <v>1775</v>
      </c>
      <c r="E2157" s="28" t="s">
        <v>4943</v>
      </c>
      <c r="F2157" s="28" t="s">
        <v>90</v>
      </c>
      <c r="G2157" s="27" t="str">
        <f t="shared" si="68"/>
        <v>1822 BARKER CYPRESS DR HOUSTON</v>
      </c>
      <c r="H2157" s="27" t="str">
        <f t="shared" si="69"/>
        <v>HOUSTON TX 77084</v>
      </c>
    </row>
    <row r="2158" spans="1:8" x14ac:dyDescent="0.2">
      <c r="A2158" s="27">
        <f>COUNTIFS(C:C,C2158,D:D,D2158)</f>
        <v>1</v>
      </c>
      <c r="B2158" s="30">
        <v>202101159247</v>
      </c>
      <c r="C2158" t="s">
        <v>4691</v>
      </c>
      <c r="D2158" t="s">
        <v>4692</v>
      </c>
      <c r="E2158" t="s">
        <v>4953</v>
      </c>
      <c r="F2158" t="s">
        <v>88</v>
      </c>
      <c r="G2158" s="27" t="str">
        <f t="shared" si="68"/>
        <v>9226 E AVENUE Q  HOUSTON</v>
      </c>
      <c r="H2158" s="27" t="str">
        <f t="shared" si="69"/>
        <v>HOUSTON TX 77012</v>
      </c>
    </row>
    <row r="2159" spans="1:8" x14ac:dyDescent="0.2">
      <c r="A2159" s="27">
        <f>COUNTIFS(C:C,C2159,D:D,D2159)</f>
        <v>1</v>
      </c>
      <c r="B2159" s="30">
        <v>202101159248</v>
      </c>
      <c r="C2159" t="s">
        <v>3300</v>
      </c>
      <c r="D2159" t="s">
        <v>3301</v>
      </c>
      <c r="E2159" t="s">
        <v>4850</v>
      </c>
      <c r="F2159" t="s">
        <v>79</v>
      </c>
      <c r="G2159" s="27" t="str">
        <f t="shared" si="68"/>
        <v>11106 SAGERIVER DR  HOUSTON</v>
      </c>
      <c r="H2159" s="27" t="str">
        <f t="shared" si="69"/>
        <v>HOUSTON TX 77089</v>
      </c>
    </row>
    <row r="2160" spans="1:8" x14ac:dyDescent="0.2">
      <c r="A2160" s="27">
        <f>COUNTIFS(C:C,C2160,D:D,D2160)</f>
        <v>1</v>
      </c>
      <c r="B2160" s="30">
        <v>202101159249</v>
      </c>
      <c r="C2160" t="s">
        <v>4693</v>
      </c>
      <c r="D2160" t="s">
        <v>4694</v>
      </c>
      <c r="E2160" t="s">
        <v>4943</v>
      </c>
      <c r="F2160" t="s">
        <v>88</v>
      </c>
      <c r="G2160" s="27" t="str">
        <f t="shared" si="68"/>
        <v>1822 BARKER CYPRESS RD APT 508 HOUSTON</v>
      </c>
      <c r="H2160" s="27" t="str">
        <f t="shared" si="69"/>
        <v>HOUSTON TX 77084</v>
      </c>
    </row>
    <row r="2161" spans="1:8" x14ac:dyDescent="0.2">
      <c r="A2161" s="27">
        <f>COUNTIFS(C:C,C2161,D:D,D2161)</f>
        <v>1</v>
      </c>
      <c r="B2161" s="30">
        <v>202101159251</v>
      </c>
      <c r="C2161" t="s">
        <v>2831</v>
      </c>
      <c r="D2161" t="s">
        <v>2832</v>
      </c>
      <c r="E2161" t="s">
        <v>4865</v>
      </c>
      <c r="F2161" t="s">
        <v>53</v>
      </c>
      <c r="G2161" s="27" t="str">
        <f t="shared" si="68"/>
        <v>1490 HARWIN  HOUSTON</v>
      </c>
      <c r="H2161" s="27" t="str">
        <f t="shared" si="69"/>
        <v xml:space="preserve">HOUSTON TX      </v>
      </c>
    </row>
    <row r="2162" spans="1:8" x14ac:dyDescent="0.2">
      <c r="A2162" s="27">
        <f>COUNTIFS(C:C,C2162,D:D,D2162)</f>
        <v>1</v>
      </c>
      <c r="B2162" s="30">
        <v>202101159260</v>
      </c>
      <c r="C2162" t="s">
        <v>2183</v>
      </c>
      <c r="D2162" t="s">
        <v>2184</v>
      </c>
      <c r="E2162" t="s">
        <v>4931</v>
      </c>
      <c r="F2162" t="s">
        <v>51</v>
      </c>
      <c r="G2162" s="27" t="str">
        <f t="shared" si="68"/>
        <v>3707 PINTAN  HOUSTON</v>
      </c>
      <c r="H2162" s="27" t="str">
        <f t="shared" si="69"/>
        <v>HOUSTON TX 77014</v>
      </c>
    </row>
    <row r="2163" spans="1:8" x14ac:dyDescent="0.2">
      <c r="A2163" s="27">
        <f>COUNTIFS(C:C,C2163,D:D,D2163)</f>
        <v>2</v>
      </c>
      <c r="B2163" s="30">
        <v>202101159262</v>
      </c>
      <c r="C2163" t="s">
        <v>2152</v>
      </c>
      <c r="D2163" t="s">
        <v>2153</v>
      </c>
      <c r="E2163" t="s">
        <v>5073</v>
      </c>
      <c r="F2163" t="s">
        <v>51</v>
      </c>
      <c r="G2163" s="27" t="str">
        <f t="shared" si="68"/>
        <v>2002 BEALL ST TRLR 2  HOUSTON</v>
      </c>
      <c r="H2163" s="27" t="str">
        <f t="shared" si="69"/>
        <v>HOUSTON TX 77008</v>
      </c>
    </row>
    <row r="2164" spans="1:8" x14ac:dyDescent="0.2">
      <c r="A2164" s="27">
        <f>COUNTIFS(C:C,C2164,D:D,D2164)</f>
        <v>1</v>
      </c>
      <c r="B2164" s="30">
        <v>202101159264</v>
      </c>
      <c r="C2164" t="s">
        <v>2947</v>
      </c>
      <c r="D2164" t="s">
        <v>2948</v>
      </c>
      <c r="E2164" t="s">
        <v>4894</v>
      </c>
      <c r="F2164" t="s">
        <v>79</v>
      </c>
      <c r="G2164" s="27" t="str">
        <f t="shared" si="68"/>
        <v>3303 ELSER ST  HOUSTON</v>
      </c>
      <c r="H2164" s="27" t="str">
        <f t="shared" si="69"/>
        <v>HOUSTON TX 77009</v>
      </c>
    </row>
    <row r="2165" spans="1:8" x14ac:dyDescent="0.2">
      <c r="A2165" s="27">
        <f>COUNTIFS(C:C,C2165,D:D,D2165)</f>
        <v>1</v>
      </c>
      <c r="B2165" s="30">
        <v>202101159265</v>
      </c>
      <c r="C2165" t="s">
        <v>4697</v>
      </c>
      <c r="D2165" t="s">
        <v>4698</v>
      </c>
      <c r="E2165" t="s">
        <v>5023</v>
      </c>
      <c r="F2165" t="s">
        <v>90</v>
      </c>
      <c r="G2165" s="27" t="str">
        <f t="shared" si="68"/>
        <v>2502 WESTERLAND 491  HOUSTON</v>
      </c>
      <c r="H2165" s="27" t="str">
        <f t="shared" si="69"/>
        <v>HOUSTON TX 77063</v>
      </c>
    </row>
    <row r="2166" spans="1:8" x14ac:dyDescent="0.2">
      <c r="A2166" s="27">
        <f>COUNTIFS(C:C,C2166,D:D,D2166)</f>
        <v>1</v>
      </c>
      <c r="B2166" s="30">
        <v>202101159266</v>
      </c>
      <c r="C2166" t="s">
        <v>4699</v>
      </c>
      <c r="D2166" t="s">
        <v>4700</v>
      </c>
      <c r="E2166" t="s">
        <v>4896</v>
      </c>
      <c r="F2166" t="s">
        <v>53</v>
      </c>
      <c r="G2166" s="27" t="str">
        <f t="shared" si="68"/>
        <v>8721 TOWN PARK DR 12 84 HOUSTON</v>
      </c>
      <c r="H2166" s="27" t="str">
        <f t="shared" si="69"/>
        <v>HOUSTON TX 77036</v>
      </c>
    </row>
    <row r="2167" spans="1:8" x14ac:dyDescent="0.2">
      <c r="A2167" s="27">
        <f>COUNTIFS(C:C,C2167,D:D,D2167)</f>
        <v>1</v>
      </c>
      <c r="B2167" s="30">
        <v>202101159271</v>
      </c>
      <c r="C2167" t="s">
        <v>2565</v>
      </c>
      <c r="D2167" t="s">
        <v>2566</v>
      </c>
      <c r="E2167" t="s">
        <v>4975</v>
      </c>
      <c r="F2167" t="s">
        <v>88</v>
      </c>
      <c r="G2167" s="27" t="str">
        <f t="shared" si="68"/>
        <v>12710 BEXHILL DRIVE.  HOUSTON</v>
      </c>
      <c r="H2167" s="27" t="str">
        <f t="shared" si="69"/>
        <v>HOUSTON TX 77065</v>
      </c>
    </row>
    <row r="2168" spans="1:8" x14ac:dyDescent="0.2">
      <c r="A2168" s="27">
        <f>COUNTIFS(C:C,C2168,D:D,D2168)</f>
        <v>1</v>
      </c>
      <c r="B2168" s="30">
        <v>202101159273</v>
      </c>
      <c r="C2168" s="28" t="s">
        <v>924</v>
      </c>
      <c r="D2168" s="28" t="s">
        <v>925</v>
      </c>
      <c r="E2168" s="28" t="s">
        <v>4854</v>
      </c>
      <c r="F2168" s="28" t="s">
        <v>61</v>
      </c>
      <c r="G2168" s="27" t="str">
        <f t="shared" si="68"/>
        <v>4220 WIPPRECHT ST  HOUSTON</v>
      </c>
      <c r="H2168" s="27" t="str">
        <f t="shared" si="69"/>
        <v>HOUSTON TX 77026</v>
      </c>
    </row>
    <row r="2169" spans="1:8" x14ac:dyDescent="0.2">
      <c r="A2169" s="27">
        <f>COUNTIFS(C:C,C2169,D:D,D2169)</f>
        <v>1</v>
      </c>
      <c r="B2169" s="30">
        <v>202101159278</v>
      </c>
      <c r="C2169" s="28" t="s">
        <v>1807</v>
      </c>
      <c r="D2169" s="28" t="s">
        <v>1808</v>
      </c>
      <c r="E2169" s="28" t="s">
        <v>4864</v>
      </c>
      <c r="F2169" s="28" t="s">
        <v>53</v>
      </c>
      <c r="G2169" s="27" t="str">
        <f t="shared" si="68"/>
        <v>6406 TEXARKANA  HOUSTON</v>
      </c>
      <c r="H2169" s="27" t="str">
        <f t="shared" si="69"/>
        <v>HOUSTON TX 77020</v>
      </c>
    </row>
    <row r="2170" spans="1:8" x14ac:dyDescent="0.2">
      <c r="A2170" s="27">
        <f>COUNTIFS(C:C,C2170,D:D,D2170)</f>
        <v>1</v>
      </c>
      <c r="B2170" s="30">
        <v>202101159279</v>
      </c>
      <c r="C2170" t="s">
        <v>4701</v>
      </c>
      <c r="D2170" t="s">
        <v>4702</v>
      </c>
      <c r="E2170" t="s">
        <v>4901</v>
      </c>
      <c r="F2170" t="s">
        <v>88</v>
      </c>
      <c r="G2170" s="27" t="str">
        <f t="shared" si="68"/>
        <v>11554 SANDS POINT DR  HOUSTON</v>
      </c>
      <c r="H2170" s="27" t="str">
        <f t="shared" si="69"/>
        <v>HOUSTON TX 77072</v>
      </c>
    </row>
    <row r="2171" spans="1:8" x14ac:dyDescent="0.2">
      <c r="A2171" s="27">
        <f>COUNTIFS(C:C,C2171,D:D,D2171)</f>
        <v>1</v>
      </c>
      <c r="B2171" s="30">
        <v>202101159286</v>
      </c>
      <c r="C2171" s="28" t="s">
        <v>1366</v>
      </c>
      <c r="D2171" s="28" t="s">
        <v>1367</v>
      </c>
      <c r="E2171" s="28" t="s">
        <v>5030</v>
      </c>
      <c r="F2171" s="28" t="s">
        <v>87</v>
      </c>
      <c r="G2171" s="27" t="str">
        <f t="shared" si="68"/>
        <v>4719 RAVEN CIR E  EDINBURG</v>
      </c>
      <c r="H2171" s="27" t="str">
        <f t="shared" si="69"/>
        <v>HOUSTON TX 78542</v>
      </c>
    </row>
    <row r="2172" spans="1:8" x14ac:dyDescent="0.2">
      <c r="A2172" s="27">
        <f>COUNTIFS(C:C,C2172,D:D,D2172)</f>
        <v>1</v>
      </c>
      <c r="B2172" s="30">
        <v>202101159290</v>
      </c>
      <c r="C2172" s="28" t="s">
        <v>528</v>
      </c>
      <c r="D2172" s="28" t="s">
        <v>529</v>
      </c>
      <c r="E2172" s="28" t="s">
        <v>4899</v>
      </c>
      <c r="F2172" s="28" t="s">
        <v>71</v>
      </c>
      <c r="G2172" s="27" t="str">
        <f t="shared" si="68"/>
        <v>7310 SILVER STAR DR  HOUSTON</v>
      </c>
      <c r="H2172" s="27" t="str">
        <f t="shared" si="69"/>
        <v>HOUSTON TX 77086</v>
      </c>
    </row>
    <row r="2173" spans="1:8" x14ac:dyDescent="0.2">
      <c r="A2173" s="27">
        <f>COUNTIFS(C:C,C2173,D:D,D2173)</f>
        <v>1</v>
      </c>
      <c r="B2173" s="30">
        <v>202101159291</v>
      </c>
      <c r="C2173" t="s">
        <v>2715</v>
      </c>
      <c r="D2173" t="s">
        <v>2716</v>
      </c>
      <c r="E2173" t="s">
        <v>4919</v>
      </c>
      <c r="F2173" t="s">
        <v>51</v>
      </c>
      <c r="G2173" s="27" t="str">
        <f t="shared" si="68"/>
        <v>5314 DASHWOOD DR  HOUSTON</v>
      </c>
      <c r="H2173" s="27" t="str">
        <f t="shared" si="69"/>
        <v>HOUSTON TX 77081</v>
      </c>
    </row>
    <row r="2174" spans="1:8" x14ac:dyDescent="0.2">
      <c r="A2174" s="27">
        <f>COUNTIFS(C:C,C2174,D:D,D2174)</f>
        <v>1</v>
      </c>
      <c r="B2174" s="30">
        <v>202101159292</v>
      </c>
      <c r="C2174" t="s">
        <v>3296</v>
      </c>
      <c r="D2174" t="s">
        <v>3297</v>
      </c>
      <c r="E2174" t="s">
        <v>4864</v>
      </c>
      <c r="F2174" t="s">
        <v>100</v>
      </c>
      <c r="G2174" s="27" t="str">
        <f t="shared" si="68"/>
        <v>1909 HARLEM ST  HOUSTON</v>
      </c>
      <c r="H2174" s="27" t="str">
        <f t="shared" si="69"/>
        <v>HOUSTON TX 77020</v>
      </c>
    </row>
    <row r="2175" spans="1:8" x14ac:dyDescent="0.2">
      <c r="A2175" s="27">
        <f>COUNTIFS(C:C,C2175,D:D,D2175)</f>
        <v>1</v>
      </c>
      <c r="B2175" s="30">
        <v>202101159294</v>
      </c>
      <c r="C2175" s="28" t="s">
        <v>1183</v>
      </c>
      <c r="D2175" s="28" t="s">
        <v>1184</v>
      </c>
      <c r="E2175" s="28" t="s">
        <v>4891</v>
      </c>
      <c r="F2175" s="28" t="s">
        <v>385</v>
      </c>
      <c r="G2175" s="27" t="str">
        <f t="shared" si="68"/>
        <v>3615 ABINGER LN  HOUSTON</v>
      </c>
      <c r="H2175" s="27" t="str">
        <f t="shared" si="69"/>
        <v>HOUSTON TX 77088</v>
      </c>
    </row>
    <row r="2176" spans="1:8" x14ac:dyDescent="0.2">
      <c r="A2176" s="27">
        <f>COUNTIFS(C:C,C2176,D:D,D2176)</f>
        <v>1</v>
      </c>
      <c r="B2176" s="30">
        <v>202101159295</v>
      </c>
      <c r="C2176" s="28" t="s">
        <v>954</v>
      </c>
      <c r="D2176" s="28" t="s">
        <v>955</v>
      </c>
      <c r="E2176" s="28" t="s">
        <v>4879</v>
      </c>
      <c r="F2176" s="28" t="s">
        <v>64</v>
      </c>
      <c r="G2176" s="27" t="str">
        <f t="shared" si="68"/>
        <v>2303 W TIDWELL RD  HOUSTON</v>
      </c>
      <c r="H2176" s="27" t="str">
        <f t="shared" si="69"/>
        <v>HOUSTON TX 77091</v>
      </c>
    </row>
    <row r="2177" spans="1:8" x14ac:dyDescent="0.2">
      <c r="A2177" s="27">
        <f>COUNTIFS(C:C,C2177,D:D,D2177)</f>
        <v>1</v>
      </c>
      <c r="B2177" s="30">
        <v>202101159301</v>
      </c>
      <c r="C2177" t="s">
        <v>4705</v>
      </c>
      <c r="D2177" t="s">
        <v>4706</v>
      </c>
      <c r="E2177" t="s">
        <v>4901</v>
      </c>
      <c r="F2177" t="s">
        <v>88</v>
      </c>
      <c r="G2177" s="27" t="str">
        <f t="shared" si="68"/>
        <v>10535 BEECHNUT ST 132 4 HOUSTON</v>
      </c>
      <c r="H2177" s="27" t="str">
        <f t="shared" si="69"/>
        <v>HOUSTON TX 77072</v>
      </c>
    </row>
    <row r="2178" spans="1:8" x14ac:dyDescent="0.2">
      <c r="A2178" s="27">
        <f>COUNTIFS(C:C,C2178,D:D,D2178)</f>
        <v>1</v>
      </c>
      <c r="B2178" s="30">
        <v>202101159302</v>
      </c>
      <c r="C2178" t="s">
        <v>4707</v>
      </c>
      <c r="D2178" t="s">
        <v>4708</v>
      </c>
      <c r="E2178" t="s">
        <v>4865</v>
      </c>
      <c r="F2178" t="s">
        <v>68</v>
      </c>
      <c r="G2178" s="27" t="str">
        <f t="shared" si="68"/>
        <v>5227 PENSDALE  HOUSTON</v>
      </c>
      <c r="H2178" s="27" t="str">
        <f t="shared" si="69"/>
        <v xml:space="preserve">HOUSTON TX      </v>
      </c>
    </row>
    <row r="2179" spans="1:8" x14ac:dyDescent="0.2">
      <c r="A2179" s="27">
        <f>COUNTIFS(C:C,C2179,D:D,D2179)</f>
        <v>1</v>
      </c>
      <c r="B2179" s="30">
        <v>202101159303</v>
      </c>
      <c r="C2179" t="s">
        <v>2701</v>
      </c>
      <c r="D2179" t="s">
        <v>2702</v>
      </c>
      <c r="E2179" t="s">
        <v>4951</v>
      </c>
      <c r="F2179" t="s">
        <v>67</v>
      </c>
      <c r="G2179" s="27" t="str">
        <f t="shared" si="68"/>
        <v>9125 SH-6-S  HOUSTON</v>
      </c>
      <c r="H2179" s="27" t="str">
        <f t="shared" si="69"/>
        <v>HOUSTON TX 77095</v>
      </c>
    </row>
    <row r="2180" spans="1:8" x14ac:dyDescent="0.2">
      <c r="A2180" s="27">
        <f>COUNTIFS(C:C,C2180,D:D,D2180)</f>
        <v>1</v>
      </c>
      <c r="B2180" s="30">
        <v>202101159306</v>
      </c>
      <c r="C2180" t="s">
        <v>3007</v>
      </c>
      <c r="D2180" t="s">
        <v>3008</v>
      </c>
      <c r="E2180" t="s">
        <v>4891</v>
      </c>
      <c r="F2180" t="s">
        <v>64</v>
      </c>
      <c r="G2180" s="27" t="str">
        <f t="shared" si="68"/>
        <v>907 RAINY RIVER DR  HOUSTON</v>
      </c>
      <c r="H2180" s="27" t="str">
        <f t="shared" si="69"/>
        <v>HOUSTON TX 77088</v>
      </c>
    </row>
    <row r="2181" spans="1:8" x14ac:dyDescent="0.2">
      <c r="A2181" s="27">
        <f>COUNTIFS(C:C,C2181,D:D,D2181)</f>
        <v>1</v>
      </c>
      <c r="B2181" s="30">
        <v>202101159307</v>
      </c>
      <c r="C2181" s="28" t="s">
        <v>1894</v>
      </c>
      <c r="D2181" s="28" t="s">
        <v>1895</v>
      </c>
      <c r="E2181" s="28" t="s">
        <v>4854</v>
      </c>
      <c r="F2181" s="28" t="s">
        <v>78</v>
      </c>
      <c r="G2181" s="27" t="str">
        <f t="shared" si="68"/>
        <v>4115 COURTNEY ST  HOUSTON</v>
      </c>
      <c r="H2181" s="27" t="str">
        <f t="shared" si="69"/>
        <v>HOUSTON TX 77026</v>
      </c>
    </row>
    <row r="2182" spans="1:8" x14ac:dyDescent="0.2">
      <c r="A2182" s="27">
        <f>COUNTIFS(C:C,C2182,D:D,D2182)</f>
        <v>1</v>
      </c>
      <c r="B2182" s="30">
        <v>202101159318</v>
      </c>
      <c r="C2182" t="s">
        <v>4703</v>
      </c>
      <c r="D2182" t="s">
        <v>4704</v>
      </c>
      <c r="E2182" t="s">
        <v>4873</v>
      </c>
      <c r="F2182" t="s">
        <v>169</v>
      </c>
      <c r="G2182" s="27" t="str">
        <f t="shared" si="68"/>
        <v>12355 TIDWELL RD  HOUSTON</v>
      </c>
      <c r="H2182" s="27" t="str">
        <f t="shared" si="69"/>
        <v>HOUSTON TX 77044</v>
      </c>
    </row>
    <row r="2183" spans="1:8" x14ac:dyDescent="0.2">
      <c r="A2183" s="27">
        <f>COUNTIFS(C:C,C2183,D:D,D2183)</f>
        <v>1</v>
      </c>
      <c r="B2183" s="30">
        <v>202101159323</v>
      </c>
      <c r="C2183" t="s">
        <v>4695</v>
      </c>
      <c r="D2183" t="s">
        <v>4696</v>
      </c>
      <c r="E2183" t="s">
        <v>5014</v>
      </c>
      <c r="F2183" t="s">
        <v>88</v>
      </c>
      <c r="G2183" s="27" t="str">
        <f t="shared" si="68"/>
        <v>3914 WILLMONT  LA PORTE</v>
      </c>
      <c r="H2183" s="27" t="str">
        <f t="shared" si="69"/>
        <v>HOUSTON TX 77571</v>
      </c>
    </row>
    <row r="2184" spans="1:8" x14ac:dyDescent="0.2">
      <c r="A2184" s="27">
        <f>COUNTIFS(C:C,C2184,D:D,D2184)</f>
        <v>1</v>
      </c>
      <c r="B2184" s="30">
        <v>202101159327</v>
      </c>
      <c r="C2184" s="28" t="s">
        <v>870</v>
      </c>
      <c r="D2184" s="28" t="s">
        <v>871</v>
      </c>
      <c r="E2184" s="28" t="s">
        <v>4891</v>
      </c>
      <c r="F2184" s="28" t="s">
        <v>169</v>
      </c>
      <c r="G2184" s="27" t="str">
        <f t="shared" si="68"/>
        <v>3510 PINE RIDGE  HOUSTON</v>
      </c>
      <c r="H2184" s="27" t="str">
        <f t="shared" si="69"/>
        <v>HOUSTON TX 77088</v>
      </c>
    </row>
    <row r="2185" spans="1:8" x14ac:dyDescent="0.2">
      <c r="A2185" s="27">
        <f>COUNTIFS(C:C,C2185,D:D,D2185)</f>
        <v>1</v>
      </c>
      <c r="B2185" s="30">
        <v>202101159332</v>
      </c>
      <c r="C2185" s="28" t="s">
        <v>774</v>
      </c>
      <c r="D2185" s="28" t="s">
        <v>775</v>
      </c>
      <c r="E2185" s="28" t="s">
        <v>4894</v>
      </c>
      <c r="F2185" s="28" t="s">
        <v>88</v>
      </c>
      <c r="G2185" s="27" t="str">
        <f t="shared" si="68"/>
        <v>2424 MCKEE ST  HOUSTON</v>
      </c>
      <c r="H2185" s="27" t="str">
        <f t="shared" si="69"/>
        <v>HOUSTON TX 77009</v>
      </c>
    </row>
    <row r="2186" spans="1:8" x14ac:dyDescent="0.2">
      <c r="A2186" s="27">
        <f>COUNTIFS(C:C,C2186,D:D,D2186)</f>
        <v>1</v>
      </c>
      <c r="B2186" s="30">
        <v>202101159334</v>
      </c>
      <c r="C2186" t="s">
        <v>4709</v>
      </c>
      <c r="D2186" t="s">
        <v>4710</v>
      </c>
      <c r="E2186" t="s">
        <v>4869</v>
      </c>
      <c r="F2186" t="s">
        <v>67</v>
      </c>
      <c r="G2186" s="27" t="str">
        <f t="shared" si="68"/>
        <v>827 OAK ST 3  HOUSTON</v>
      </c>
      <c r="H2186" s="27" t="str">
        <f t="shared" si="69"/>
        <v>HOUSTON TX 77018</v>
      </c>
    </row>
    <row r="2187" spans="1:8" x14ac:dyDescent="0.2">
      <c r="A2187" s="27">
        <f>COUNTIFS(C:C,C2187,D:D,D2187)</f>
        <v>1</v>
      </c>
      <c r="B2187" s="30">
        <v>202101159335</v>
      </c>
      <c r="C2187" t="s">
        <v>3017</v>
      </c>
      <c r="D2187" t="s">
        <v>3018</v>
      </c>
      <c r="E2187" t="s">
        <v>4896</v>
      </c>
      <c r="F2187" t="s">
        <v>170</v>
      </c>
      <c r="G2187" s="27" t="str">
        <f t="shared" si="68"/>
        <v>9367 WESTWOOD VILLAG E DR HOUSTON</v>
      </c>
      <c r="H2187" s="27" t="str">
        <f t="shared" si="69"/>
        <v>HOUSTON TX 77036</v>
      </c>
    </row>
    <row r="2188" spans="1:8" x14ac:dyDescent="0.2">
      <c r="A2188" s="27">
        <f>COUNTIFS(C:C,C2188,D:D,D2188)</f>
        <v>1</v>
      </c>
      <c r="B2188" s="30">
        <v>202101159337</v>
      </c>
      <c r="C2188" t="s">
        <v>4711</v>
      </c>
      <c r="D2188" t="s">
        <v>4712</v>
      </c>
      <c r="E2188" t="s">
        <v>4935</v>
      </c>
      <c r="F2188" t="s">
        <v>53</v>
      </c>
      <c r="G2188" s="27" t="str">
        <f t="shared" si="68"/>
        <v>17222 ATASCOCITA BEND DR HUMBLE</v>
      </c>
      <c r="H2188" s="27" t="str">
        <f t="shared" si="69"/>
        <v>HOUSTON TX 77396</v>
      </c>
    </row>
    <row r="2189" spans="1:8" x14ac:dyDescent="0.2">
      <c r="A2189" s="27">
        <f>COUNTIFS(C:C,C2189,D:D,D2189)</f>
        <v>1</v>
      </c>
      <c r="B2189" s="30">
        <v>202101159338</v>
      </c>
      <c r="C2189" t="s">
        <v>4713</v>
      </c>
      <c r="D2189" t="s">
        <v>4714</v>
      </c>
      <c r="E2189" t="s">
        <v>4886</v>
      </c>
      <c r="F2189" t="s">
        <v>88</v>
      </c>
      <c r="G2189" s="27" t="str">
        <f t="shared" si="68"/>
        <v>5251 GASMER  HOUSTON</v>
      </c>
      <c r="H2189" s="27" t="str">
        <f t="shared" si="69"/>
        <v>HOUSTON TX 77035</v>
      </c>
    </row>
    <row r="2190" spans="1:8" x14ac:dyDescent="0.2">
      <c r="A2190" s="27">
        <f>COUNTIFS(C:C,C2190,D:D,D2190)</f>
        <v>1</v>
      </c>
      <c r="B2190" s="30">
        <v>202101159342</v>
      </c>
      <c r="C2190" t="s">
        <v>2637</v>
      </c>
      <c r="D2190" t="s">
        <v>2638</v>
      </c>
      <c r="E2190" t="s">
        <v>5005</v>
      </c>
      <c r="F2190" t="s">
        <v>68</v>
      </c>
      <c r="G2190" s="27" t="str">
        <f t="shared" si="68"/>
        <v>5350 AEROPARK  HOUSTON</v>
      </c>
      <c r="H2190" s="27" t="str">
        <f t="shared" si="69"/>
        <v>HOUSTON TX 77032</v>
      </c>
    </row>
    <row r="2191" spans="1:8" x14ac:dyDescent="0.2">
      <c r="A2191" s="27">
        <f>COUNTIFS(C:C,C2191,D:D,D2191)</f>
        <v>1</v>
      </c>
      <c r="B2191" s="30">
        <v>202101159344</v>
      </c>
      <c r="C2191" s="28" t="s">
        <v>948</v>
      </c>
      <c r="D2191" s="28" t="s">
        <v>949</v>
      </c>
      <c r="E2191" s="28" t="s">
        <v>4873</v>
      </c>
      <c r="F2191" s="28" t="s">
        <v>87</v>
      </c>
      <c r="G2191" s="27" t="str">
        <f t="shared" si="68"/>
        <v>12819 FOREST BLOOM LN  HOUSTON</v>
      </c>
      <c r="H2191" s="27" t="str">
        <f t="shared" si="69"/>
        <v>HOUSTON TX 77044</v>
      </c>
    </row>
    <row r="2192" spans="1:8" x14ac:dyDescent="0.2">
      <c r="A2192" s="27">
        <f>COUNTIFS(C:C,C2192,D:D,D2192)</f>
        <v>1</v>
      </c>
      <c r="B2192" s="30">
        <v>202101159346</v>
      </c>
      <c r="C2192" t="s">
        <v>4715</v>
      </c>
      <c r="D2192" t="s">
        <v>4716</v>
      </c>
      <c r="E2192" t="s">
        <v>5287</v>
      </c>
      <c r="F2192" t="s">
        <v>51</v>
      </c>
      <c r="G2192" s="27" t="str">
        <f t="shared" si="68"/>
        <v>15311 ZENITH GLEN LAN E HOUSTON</v>
      </c>
      <c r="H2192" s="27" t="str">
        <f t="shared" si="69"/>
        <v>HOUSTON TX 77429</v>
      </c>
    </row>
    <row r="2193" spans="1:8" x14ac:dyDescent="0.2">
      <c r="A2193" s="27">
        <f>COUNTIFS(C:C,C2193,D:D,D2193)</f>
        <v>1</v>
      </c>
      <c r="B2193" s="30">
        <v>202101159350</v>
      </c>
      <c r="C2193" t="s">
        <v>2797</v>
      </c>
      <c r="D2193" t="s">
        <v>2798</v>
      </c>
      <c r="E2193" t="s">
        <v>4939</v>
      </c>
      <c r="F2193" t="s">
        <v>53</v>
      </c>
      <c r="G2193" s="27" t="str">
        <f t="shared" si="68"/>
        <v>10103 WILLOW CROSSING  HOUSTON</v>
      </c>
      <c r="H2193" s="27" t="str">
        <f t="shared" si="69"/>
        <v>HOUSTON TX 77064</v>
      </c>
    </row>
    <row r="2194" spans="1:8" x14ac:dyDescent="0.2">
      <c r="A2194" s="27">
        <f>COUNTIFS(C:C,C2194,D:D,D2194)</f>
        <v>1</v>
      </c>
      <c r="B2194" s="30">
        <v>202101159351</v>
      </c>
      <c r="C2194" t="s">
        <v>4717</v>
      </c>
      <c r="D2194" t="s">
        <v>4718</v>
      </c>
      <c r="E2194" t="s">
        <v>4908</v>
      </c>
      <c r="F2194" t="s">
        <v>88</v>
      </c>
      <c r="G2194" s="27" t="str">
        <f t="shared" si="68"/>
        <v>20910 BROAD HOLLOW CT  SPRING</v>
      </c>
      <c r="H2194" s="27" t="str">
        <f t="shared" si="69"/>
        <v>HOUSTON TX 77379</v>
      </c>
    </row>
    <row r="2195" spans="1:8" x14ac:dyDescent="0.2">
      <c r="A2195" s="27">
        <f>COUNTIFS(C:C,C2195,D:D,D2195)</f>
        <v>1</v>
      </c>
      <c r="B2195" s="30">
        <v>202101159355</v>
      </c>
      <c r="C2195" s="28" t="s">
        <v>666</v>
      </c>
      <c r="D2195" s="28" t="s">
        <v>667</v>
      </c>
      <c r="E2195" s="28" t="s">
        <v>4910</v>
      </c>
      <c r="F2195" s="28" t="s">
        <v>57</v>
      </c>
      <c r="G2195" s="27" t="str">
        <f t="shared" si="68"/>
        <v>16212 WOOD DRIVE  CHANNELVIE</v>
      </c>
      <c r="H2195" s="27" t="str">
        <f t="shared" si="69"/>
        <v>HOUSTON TX 77530</v>
      </c>
    </row>
    <row r="2196" spans="1:8" x14ac:dyDescent="0.2">
      <c r="A2196" s="27">
        <f>COUNTIFS(C:C,C2196,D:D,D2196)</f>
        <v>1</v>
      </c>
      <c r="B2196" s="30">
        <v>202101159360</v>
      </c>
      <c r="C2196" t="s">
        <v>2284</v>
      </c>
      <c r="D2196" t="s">
        <v>2285</v>
      </c>
      <c r="E2196" t="s">
        <v>4872</v>
      </c>
      <c r="F2196" t="s">
        <v>53</v>
      </c>
      <c r="G2196" s="27" t="str">
        <f t="shared" si="68"/>
        <v>7410 TOUCHSTONE ST  HOUSTON</v>
      </c>
      <c r="H2196" s="27" t="str">
        <f t="shared" si="69"/>
        <v>HOUSTON TX 77028</v>
      </c>
    </row>
    <row r="2197" spans="1:8" x14ac:dyDescent="0.2">
      <c r="A2197" s="27">
        <f>COUNTIFS(C:C,C2197,D:D,D2197)</f>
        <v>1</v>
      </c>
      <c r="B2197" s="30">
        <v>202101159361</v>
      </c>
      <c r="C2197" t="s">
        <v>4719</v>
      </c>
      <c r="D2197" t="s">
        <v>4720</v>
      </c>
      <c r="E2197" t="s">
        <v>5288</v>
      </c>
      <c r="F2197" t="s">
        <v>64</v>
      </c>
      <c r="G2197" s="27" t="str">
        <f t="shared" si="68"/>
        <v>5080 HELBIG RD 103  BEAUMONT</v>
      </c>
      <c r="H2197" s="27" t="str">
        <f t="shared" si="69"/>
        <v>HOUSTON TX 77703</v>
      </c>
    </row>
    <row r="2198" spans="1:8" x14ac:dyDescent="0.2">
      <c r="A2198" s="27">
        <f>COUNTIFS(C:C,C2198,D:D,D2198)</f>
        <v>1</v>
      </c>
      <c r="B2198" s="30">
        <v>202101159372</v>
      </c>
      <c r="C2198" s="28" t="s">
        <v>1944</v>
      </c>
      <c r="D2198" s="28" t="s">
        <v>1945</v>
      </c>
      <c r="E2198" s="28" t="s">
        <v>4901</v>
      </c>
      <c r="F2198" s="28" t="s">
        <v>57</v>
      </c>
      <c r="G2198" s="27" t="str">
        <f t="shared" si="68"/>
        <v>8100 MAPLECREST DR  HOUSTON</v>
      </c>
      <c r="H2198" s="27" t="str">
        <f t="shared" si="69"/>
        <v>HOUSTON TX 77072</v>
      </c>
    </row>
    <row r="2199" spans="1:8" x14ac:dyDescent="0.2">
      <c r="A2199" s="27">
        <f>COUNTIFS(C:C,C2199,D:D,D2199)</f>
        <v>1</v>
      </c>
      <c r="B2199" s="30">
        <v>202101159373</v>
      </c>
      <c r="C2199" s="28" t="s">
        <v>790</v>
      </c>
      <c r="D2199" s="28" t="s">
        <v>791</v>
      </c>
      <c r="E2199" s="28" t="s">
        <v>4874</v>
      </c>
      <c r="F2199" s="28" t="s">
        <v>88</v>
      </c>
      <c r="G2199" s="27" t="str">
        <f t="shared" si="68"/>
        <v>7617 ST LO RD  HOUSTON</v>
      </c>
      <c r="H2199" s="27" t="str">
        <f t="shared" si="69"/>
        <v>HOUSTON TX 77033</v>
      </c>
    </row>
    <row r="2200" spans="1:8" x14ac:dyDescent="0.2">
      <c r="A2200" s="27">
        <f>COUNTIFS(C:C,C2200,D:D,D2200)</f>
        <v>1</v>
      </c>
      <c r="B2200" s="30">
        <v>202101159374</v>
      </c>
      <c r="C2200" t="s">
        <v>4721</v>
      </c>
      <c r="D2200" t="s">
        <v>4722</v>
      </c>
      <c r="E2200" t="s">
        <v>4938</v>
      </c>
      <c r="F2200" t="s">
        <v>88</v>
      </c>
      <c r="G2200" s="27" t="str">
        <f t="shared" si="68"/>
        <v>11960 AIRLINE DR 901  HOUSTON</v>
      </c>
      <c r="H2200" s="27" t="str">
        <f t="shared" si="69"/>
        <v>HOUSTON TX 77037</v>
      </c>
    </row>
    <row r="2201" spans="1:8" x14ac:dyDescent="0.2">
      <c r="A2201" s="27">
        <f>COUNTIFS(C:C,C2201,D:D,D2201)</f>
        <v>1</v>
      </c>
      <c r="B2201" s="30">
        <v>202101159375</v>
      </c>
      <c r="C2201" s="28" t="s">
        <v>1750</v>
      </c>
      <c r="D2201" s="28" t="s">
        <v>1751</v>
      </c>
      <c r="E2201" s="28" t="s">
        <v>4969</v>
      </c>
      <c r="F2201" s="28" t="s">
        <v>88</v>
      </c>
      <c r="G2201" s="27" t="str">
        <f t="shared" si="68"/>
        <v>21322 SWEET GRASS LAN E TOMBALL</v>
      </c>
      <c r="H2201" s="27" t="str">
        <f t="shared" si="69"/>
        <v>HOUSTON TX 77375</v>
      </c>
    </row>
    <row r="2202" spans="1:8" x14ac:dyDescent="0.2">
      <c r="A2202" s="27">
        <f>COUNTIFS(C:C,C2202,D:D,D2202)</f>
        <v>1</v>
      </c>
      <c r="B2202" s="30">
        <v>202101159377</v>
      </c>
      <c r="C2202" t="s">
        <v>3344</v>
      </c>
      <c r="D2202" t="s">
        <v>3345</v>
      </c>
      <c r="E2202" t="s">
        <v>4914</v>
      </c>
      <c r="F2202" t="s">
        <v>88</v>
      </c>
      <c r="G2202" s="27" t="str">
        <f t="shared" si="68"/>
        <v>919 IVY PARKWAY DR  HOUSTON</v>
      </c>
      <c r="H2202" s="27" t="str">
        <f t="shared" si="69"/>
        <v>HOUSTON TX 77077</v>
      </c>
    </row>
    <row r="2203" spans="1:8" x14ac:dyDescent="0.2">
      <c r="A2203" s="27">
        <f>COUNTIFS(C:C,C2203,D:D,D2203)</f>
        <v>1</v>
      </c>
      <c r="B2203" s="30">
        <v>202101159378</v>
      </c>
      <c r="C2203" s="28" t="s">
        <v>1906</v>
      </c>
      <c r="D2203" s="28" t="s">
        <v>1907</v>
      </c>
      <c r="E2203" s="28" t="s">
        <v>4975</v>
      </c>
      <c r="F2203" s="28" t="s">
        <v>64</v>
      </c>
      <c r="G2203" s="27" t="str">
        <f t="shared" si="68"/>
        <v>12402 MILE DRIVE  HOUSTON</v>
      </c>
      <c r="H2203" s="27" t="str">
        <f t="shared" si="69"/>
        <v>HOUSTON TX 77065</v>
      </c>
    </row>
    <row r="2204" spans="1:8" x14ac:dyDescent="0.2">
      <c r="A2204" s="27">
        <f>COUNTIFS(C:C,C2204,D:D,D2204)</f>
        <v>1</v>
      </c>
      <c r="B2204" s="30">
        <v>202101159382</v>
      </c>
      <c r="C2204" t="s">
        <v>2633</v>
      </c>
      <c r="D2204" t="s">
        <v>2634</v>
      </c>
      <c r="E2204" t="s">
        <v>4906</v>
      </c>
      <c r="F2204" t="s">
        <v>276</v>
      </c>
      <c r="G2204" s="27" t="str">
        <f t="shared" si="68"/>
        <v>1322 GAMMA ST  PASADENA</v>
      </c>
      <c r="H2204" s="27" t="str">
        <f t="shared" si="69"/>
        <v>HOUSTON TX 77504</v>
      </c>
    </row>
    <row r="2205" spans="1:8" x14ac:dyDescent="0.2">
      <c r="A2205" s="27">
        <f>COUNTIFS(C:C,C2205,D:D,D2205)</f>
        <v>1</v>
      </c>
      <c r="B2205" s="30">
        <v>202101159385</v>
      </c>
      <c r="C2205" t="s">
        <v>2097</v>
      </c>
      <c r="D2205" t="s">
        <v>2098</v>
      </c>
      <c r="E2205" t="s">
        <v>4981</v>
      </c>
      <c r="F2205" t="s">
        <v>88</v>
      </c>
      <c r="G2205" s="27" t="str">
        <f t="shared" si="68"/>
        <v>13623 YARDMASTER TRL  HOUSTON</v>
      </c>
      <c r="H2205" s="27" t="str">
        <f t="shared" si="69"/>
        <v>HOUSTON TX 77034</v>
      </c>
    </row>
    <row r="2206" spans="1:8" x14ac:dyDescent="0.2">
      <c r="A2206" s="27">
        <f>COUNTIFS(C:C,C2206,D:D,D2206)</f>
        <v>1</v>
      </c>
      <c r="B2206" s="30">
        <v>202101159386</v>
      </c>
      <c r="C2206" t="s">
        <v>4723</v>
      </c>
      <c r="D2206" t="s">
        <v>4724</v>
      </c>
      <c r="E2206" t="s">
        <v>4952</v>
      </c>
      <c r="F2206" t="s">
        <v>53</v>
      </c>
      <c r="G2206" s="27" t="str">
        <f t="shared" si="68"/>
        <v>2216 HARRIS AVE  PASADENA</v>
      </c>
      <c r="H2206" s="27" t="str">
        <f t="shared" si="69"/>
        <v>HOUSTON TX 77506</v>
      </c>
    </row>
    <row r="2207" spans="1:8" x14ac:dyDescent="0.2">
      <c r="A2207" s="27">
        <f>COUNTIFS(C:C,C2207,D:D,D2207)</f>
        <v>1</v>
      </c>
      <c r="B2207" s="30">
        <v>202101159387</v>
      </c>
      <c r="C2207" t="s">
        <v>4725</v>
      </c>
      <c r="D2207" t="s">
        <v>4726</v>
      </c>
      <c r="E2207" t="s">
        <v>4871</v>
      </c>
      <c r="F2207" t="s">
        <v>169</v>
      </c>
      <c r="G2207" s="27" t="str">
        <f t="shared" si="68"/>
        <v>3810 BOTANY LANE  HOUSTON</v>
      </c>
      <c r="H2207" s="27" t="str">
        <f t="shared" si="69"/>
        <v>HOUSTON TX 77047</v>
      </c>
    </row>
    <row r="2208" spans="1:8" x14ac:dyDescent="0.2">
      <c r="A2208" s="27">
        <f>COUNTIFS(C:C,C2208,D:D,D2208)</f>
        <v>1</v>
      </c>
      <c r="B2208" s="30">
        <v>202101159388</v>
      </c>
      <c r="C2208" t="s">
        <v>2252</v>
      </c>
      <c r="D2208" t="s">
        <v>2253</v>
      </c>
      <c r="E2208" t="s">
        <v>4975</v>
      </c>
      <c r="F2208" t="s">
        <v>79</v>
      </c>
      <c r="G2208" s="27" t="str">
        <f t="shared" si="68"/>
        <v>1351 GREENS PKWY APT 217 HOUSTON</v>
      </c>
      <c r="H2208" s="27" t="str">
        <f t="shared" si="69"/>
        <v>HOUSTON TX 77065</v>
      </c>
    </row>
    <row r="2209" spans="1:8" x14ac:dyDescent="0.2">
      <c r="A2209" s="27">
        <f>COUNTIFS(C:C,C2209,D:D,D2209)</f>
        <v>1</v>
      </c>
      <c r="B2209" s="30">
        <v>202101159389</v>
      </c>
      <c r="C2209" t="s">
        <v>4727</v>
      </c>
      <c r="D2209" t="s">
        <v>4728</v>
      </c>
      <c r="E2209" t="s">
        <v>4950</v>
      </c>
      <c r="F2209" t="s">
        <v>88</v>
      </c>
      <c r="G2209" s="27" t="str">
        <f t="shared" si="68"/>
        <v>7019 FINN  HOUSTON</v>
      </c>
      <c r="H2209" s="27" t="str">
        <f t="shared" si="69"/>
        <v>HOUSTON TX 77022</v>
      </c>
    </row>
    <row r="2210" spans="1:8" x14ac:dyDescent="0.2">
      <c r="A2210" s="27">
        <f>COUNTIFS(C:C,C2210,D:D,D2210)</f>
        <v>1</v>
      </c>
      <c r="B2210" s="30">
        <v>202101159393</v>
      </c>
      <c r="C2210" t="s">
        <v>2126</v>
      </c>
      <c r="D2210" t="s">
        <v>2127</v>
      </c>
      <c r="E2210" t="s">
        <v>4903</v>
      </c>
      <c r="F2210" t="s">
        <v>51</v>
      </c>
      <c r="G2210" s="27" t="str">
        <f t="shared" si="68"/>
        <v>12515 BARKER CYPRESS RD CYPRESS</v>
      </c>
      <c r="H2210" s="27" t="str">
        <f t="shared" si="69"/>
        <v>HOUSTON TX 77433</v>
      </c>
    </row>
    <row r="2211" spans="1:8" x14ac:dyDescent="0.2">
      <c r="A2211" s="27">
        <f>COUNTIFS(C:C,C2211,D:D,D2211)</f>
        <v>1</v>
      </c>
      <c r="B2211" s="30">
        <v>202101159395</v>
      </c>
      <c r="C2211" t="s">
        <v>2167</v>
      </c>
      <c r="D2211" t="s">
        <v>2168</v>
      </c>
      <c r="E2211" t="s">
        <v>4860</v>
      </c>
      <c r="F2211" t="s">
        <v>53</v>
      </c>
      <c r="G2211" s="27" t="str">
        <f t="shared" si="68"/>
        <v>502 N JONES AVE  BAYTOWN</v>
      </c>
      <c r="H2211" s="27" t="str">
        <f t="shared" si="69"/>
        <v>HOUSTON TX 77520</v>
      </c>
    </row>
    <row r="2212" spans="1:8" x14ac:dyDescent="0.2">
      <c r="A2212" s="27">
        <f>COUNTIFS(C:C,C2212,D:D,D2212)</f>
        <v>1</v>
      </c>
      <c r="B2212" s="30">
        <v>202101159397</v>
      </c>
      <c r="C2212" t="s">
        <v>4729</v>
      </c>
      <c r="D2212" t="s">
        <v>4730</v>
      </c>
      <c r="E2212" t="s">
        <v>5195</v>
      </c>
      <c r="F2212" t="s">
        <v>88</v>
      </c>
      <c r="G2212" s="27" t="str">
        <f t="shared" si="68"/>
        <v>2310 E MULBERRY  ANGLETON</v>
      </c>
      <c r="H2212" s="27" t="str">
        <f t="shared" si="69"/>
        <v>HOUSTON TX 77515</v>
      </c>
    </row>
    <row r="2213" spans="1:8" x14ac:dyDescent="0.2">
      <c r="A2213" s="27">
        <f>COUNTIFS(C:C,C2213,D:D,D2213)</f>
        <v>1</v>
      </c>
      <c r="B2213" s="30">
        <v>202101159399</v>
      </c>
      <c r="C2213" s="28" t="s">
        <v>898</v>
      </c>
      <c r="D2213" s="28" t="s">
        <v>899</v>
      </c>
      <c r="E2213" s="28" t="s">
        <v>4899</v>
      </c>
      <c r="F2213" s="28" t="s">
        <v>87</v>
      </c>
      <c r="G2213" s="27" t="str">
        <f t="shared" si="68"/>
        <v>12635 RED BUD VILLA L N HOUSTON</v>
      </c>
      <c r="H2213" s="27" t="str">
        <f t="shared" si="69"/>
        <v>HOUSTON TX 77086</v>
      </c>
    </row>
    <row r="2214" spans="1:8" x14ac:dyDescent="0.2">
      <c r="A2214" s="27">
        <f>COUNTIFS(C:C,C2214,D:D,D2214)</f>
        <v>1</v>
      </c>
      <c r="B2214" s="30">
        <v>202101159400</v>
      </c>
      <c r="C2214" s="28" t="s">
        <v>1687</v>
      </c>
      <c r="D2214" s="28" t="s">
        <v>1688</v>
      </c>
      <c r="E2214" s="28" t="s">
        <v>5068</v>
      </c>
      <c r="F2214" s="28" t="s">
        <v>71</v>
      </c>
      <c r="G2214" s="27" t="str">
        <f t="shared" si="68"/>
        <v>5901 WEBER RD 2801  CORPUS CHR</v>
      </c>
      <c r="H2214" s="27" t="str">
        <f t="shared" si="69"/>
        <v>HOUSTON TX 78415</v>
      </c>
    </row>
    <row r="2215" spans="1:8" x14ac:dyDescent="0.2">
      <c r="A2215" s="27">
        <f>COUNTIFS(C:C,C2215,D:D,D2215)</f>
        <v>1</v>
      </c>
      <c r="B2215" s="30">
        <v>202101159401</v>
      </c>
      <c r="C2215" t="s">
        <v>4731</v>
      </c>
      <c r="D2215" t="s">
        <v>4732</v>
      </c>
      <c r="E2215" t="s">
        <v>4905</v>
      </c>
      <c r="F2215" t="s">
        <v>90</v>
      </c>
      <c r="G2215" s="27" t="str">
        <f t="shared" si="68"/>
        <v>1901 VIRGINIA LN  PASADENA</v>
      </c>
      <c r="H2215" s="27" t="str">
        <f t="shared" si="69"/>
        <v>HOUSTON TX 77503</v>
      </c>
    </row>
    <row r="2216" spans="1:8" x14ac:dyDescent="0.2">
      <c r="A2216" s="27">
        <f>COUNTIFS(C:C,C2216,D:D,D2216)</f>
        <v>1</v>
      </c>
      <c r="B2216" s="30">
        <v>202101159406</v>
      </c>
      <c r="C2216" s="28" t="s">
        <v>1809</v>
      </c>
      <c r="D2216" s="28" t="s">
        <v>1810</v>
      </c>
      <c r="E2216" s="28" t="s">
        <v>5075</v>
      </c>
      <c r="F2216" s="28" t="s">
        <v>88</v>
      </c>
      <c r="G2216" s="27" t="str">
        <f t="shared" si="68"/>
        <v>20914 SHELBY MEADOW  RICHMOND</v>
      </c>
      <c r="H2216" s="27" t="str">
        <f t="shared" si="69"/>
        <v>HOUSTON TX 77407</v>
      </c>
    </row>
    <row r="2217" spans="1:8" x14ac:dyDescent="0.2">
      <c r="A2217" s="27">
        <f>COUNTIFS(C:C,C2217,D:D,D2217)</f>
        <v>1</v>
      </c>
      <c r="B2217" s="30">
        <v>202101159407</v>
      </c>
      <c r="C2217" t="s">
        <v>4733</v>
      </c>
      <c r="D2217" t="s">
        <v>4734</v>
      </c>
      <c r="E2217" t="s">
        <v>5289</v>
      </c>
      <c r="F2217" t="s">
        <v>51</v>
      </c>
      <c r="G2217" s="27" t="e">
        <f t="shared" si="68"/>
        <v>#VALUE!</v>
      </c>
      <c r="H2217" s="27" t="e">
        <f t="shared" si="69"/>
        <v>#VALUE!</v>
      </c>
    </row>
    <row r="2218" spans="1:8" x14ac:dyDescent="0.2">
      <c r="A2218" s="27">
        <f>COUNTIFS(C:C,C2218,D:D,D2218)</f>
        <v>1</v>
      </c>
      <c r="B2218" s="30">
        <v>202101159408</v>
      </c>
      <c r="C2218" t="s">
        <v>4735</v>
      </c>
      <c r="D2218" t="s">
        <v>4736</v>
      </c>
      <c r="E2218" t="s">
        <v>5290</v>
      </c>
      <c r="F2218" t="s">
        <v>53</v>
      </c>
      <c r="G2218" s="27" t="str">
        <f t="shared" ref="G2218:G2281" si="70">D2218&amp;" "&amp;MID(E2218,1,FIND(" TX",E2218)-1)</f>
        <v>714 93RD ST  GALVESTON</v>
      </c>
      <c r="H2218" s="27" t="str">
        <f t="shared" ref="H2218:H2281" si="71">"HOUSTON "&amp;MID(E2218,FIND("TX",E2218),8)</f>
        <v>HOUSTON TX 77554</v>
      </c>
    </row>
    <row r="2219" spans="1:8" x14ac:dyDescent="0.2">
      <c r="A2219" s="27">
        <f>COUNTIFS(C:C,C2219,D:D,D2219)</f>
        <v>1</v>
      </c>
      <c r="B2219" s="30">
        <v>202101159410</v>
      </c>
      <c r="C2219" t="s">
        <v>2010</v>
      </c>
      <c r="D2219" t="s">
        <v>2011</v>
      </c>
      <c r="E2219" t="s">
        <v>4975</v>
      </c>
      <c r="F2219" t="s">
        <v>88</v>
      </c>
      <c r="G2219" s="27" t="str">
        <f t="shared" si="70"/>
        <v>10802 GREEN CREEK DR  HOUSTON</v>
      </c>
      <c r="H2219" s="27" t="str">
        <f t="shared" si="71"/>
        <v>HOUSTON TX 77065</v>
      </c>
    </row>
    <row r="2220" spans="1:8" x14ac:dyDescent="0.2">
      <c r="A2220" s="27">
        <f>COUNTIFS(C:C,C2220,D:D,D2220)</f>
        <v>1</v>
      </c>
      <c r="B2220" s="30">
        <v>202101159412</v>
      </c>
      <c r="C2220" t="s">
        <v>4737</v>
      </c>
      <c r="D2220" t="s">
        <v>869</v>
      </c>
      <c r="E2220" t="s">
        <v>4960</v>
      </c>
      <c r="F2220" t="s">
        <v>4848</v>
      </c>
      <c r="G2220" s="27" t="str">
        <f t="shared" si="70"/>
        <v>17103 IMPERIAL VALLEY DR HOUSTON</v>
      </c>
      <c r="H2220" s="27" t="str">
        <f t="shared" si="71"/>
        <v>HOUSTON TX 77060</v>
      </c>
    </row>
    <row r="2221" spans="1:8" x14ac:dyDescent="0.2">
      <c r="A2221" s="27">
        <f>COUNTIFS(C:C,C2221,D:D,D2221)</f>
        <v>1</v>
      </c>
      <c r="B2221" s="30">
        <v>202101159413</v>
      </c>
      <c r="C2221" t="s">
        <v>2494</v>
      </c>
      <c r="D2221" t="s">
        <v>2495</v>
      </c>
      <c r="E2221" t="s">
        <v>4860</v>
      </c>
      <c r="F2221" t="s">
        <v>156</v>
      </c>
      <c r="G2221" s="27" t="str">
        <f t="shared" si="70"/>
        <v>1601 GARTH RD  BAYTOWN</v>
      </c>
      <c r="H2221" s="27" t="str">
        <f t="shared" si="71"/>
        <v>HOUSTON TX 77520</v>
      </c>
    </row>
    <row r="2222" spans="1:8" x14ac:dyDescent="0.2">
      <c r="A2222" s="27">
        <f>COUNTIFS(C:C,C2222,D:D,D2222)</f>
        <v>1</v>
      </c>
      <c r="B2222" s="30">
        <v>202101159414</v>
      </c>
      <c r="C2222" s="28" t="s">
        <v>794</v>
      </c>
      <c r="D2222" s="28" t="s">
        <v>795</v>
      </c>
      <c r="E2222" s="28" t="s">
        <v>4906</v>
      </c>
      <c r="F2222" s="28" t="s">
        <v>96</v>
      </c>
      <c r="G2222" s="27" t="str">
        <f t="shared" si="70"/>
        <v>4719 PARKLAND ST  PASADENA</v>
      </c>
      <c r="H2222" s="27" t="str">
        <f t="shared" si="71"/>
        <v>HOUSTON TX 77504</v>
      </c>
    </row>
    <row r="2223" spans="1:8" x14ac:dyDescent="0.2">
      <c r="A2223" s="27">
        <f>COUNTIFS(C:C,C2223,D:D,D2223)</f>
        <v>1</v>
      </c>
      <c r="B2223" s="30">
        <v>202101159415</v>
      </c>
      <c r="C2223" t="s">
        <v>2484</v>
      </c>
      <c r="D2223" t="s">
        <v>2485</v>
      </c>
      <c r="E2223" t="s">
        <v>4853</v>
      </c>
      <c r="F2223" t="s">
        <v>64</v>
      </c>
      <c r="G2223" s="27" t="str">
        <f t="shared" si="70"/>
        <v>3811 BALMORHEA AVE  HOUSTON</v>
      </c>
      <c r="H2223" s="27" t="str">
        <f t="shared" si="71"/>
        <v>HOUSTON TX 77039</v>
      </c>
    </row>
    <row r="2224" spans="1:8" x14ac:dyDescent="0.2">
      <c r="A2224" s="27">
        <f>COUNTIFS(C:C,C2224,D:D,D2224)</f>
        <v>1</v>
      </c>
      <c r="B2224" s="30">
        <v>202101159416</v>
      </c>
      <c r="C2224" t="s">
        <v>2410</v>
      </c>
      <c r="D2224" t="s">
        <v>2411</v>
      </c>
      <c r="E2224" t="s">
        <v>5097</v>
      </c>
      <c r="F2224" t="s">
        <v>275</v>
      </c>
      <c r="G2224" s="27" t="str">
        <f t="shared" si="70"/>
        <v>2600 WESTRIDGE ST  HOUSTON</v>
      </c>
      <c r="H2224" s="27" t="str">
        <f t="shared" si="71"/>
        <v>HOUSTON TX 77054</v>
      </c>
    </row>
    <row r="2225" spans="1:8" x14ac:dyDescent="0.2">
      <c r="A2225" s="27">
        <f>COUNTIFS(C:C,C2225,D:D,D2225)</f>
        <v>1</v>
      </c>
      <c r="B2225" s="30">
        <v>202101159417</v>
      </c>
      <c r="C2225" s="28" t="s">
        <v>1904</v>
      </c>
      <c r="D2225" s="28" t="s">
        <v>1905</v>
      </c>
      <c r="E2225" s="28" t="s">
        <v>4950</v>
      </c>
      <c r="F2225" s="28" t="s">
        <v>329</v>
      </c>
      <c r="G2225" s="27" t="str">
        <f t="shared" si="70"/>
        <v>3324 BAYOU DR  HOUSTON</v>
      </c>
      <c r="H2225" s="27" t="str">
        <f t="shared" si="71"/>
        <v>HOUSTON TX 77022</v>
      </c>
    </row>
    <row r="2226" spans="1:8" x14ac:dyDescent="0.2">
      <c r="A2226" s="27">
        <f>COUNTIFS(C:C,C2226,D:D,D2226)</f>
        <v>1</v>
      </c>
      <c r="B2226" s="30">
        <v>202101159420</v>
      </c>
      <c r="C2226" s="28" t="s">
        <v>1123</v>
      </c>
      <c r="D2226" s="28" t="s">
        <v>1124</v>
      </c>
      <c r="E2226" s="28" t="s">
        <v>4936</v>
      </c>
      <c r="F2226" s="28" t="s">
        <v>172</v>
      </c>
      <c r="G2226" s="27" t="str">
        <f t="shared" si="70"/>
        <v>12226 BROOKVALLEY DR  HOUSTON</v>
      </c>
      <c r="H2226" s="27" t="str">
        <f t="shared" si="71"/>
        <v>HOUSTON TX 77071</v>
      </c>
    </row>
    <row r="2227" spans="1:8" x14ac:dyDescent="0.2">
      <c r="A2227" s="27">
        <f>COUNTIFS(C:C,C2227,D:D,D2227)</f>
        <v>1</v>
      </c>
      <c r="B2227" s="30">
        <v>202101159423</v>
      </c>
      <c r="C2227" t="s">
        <v>2197</v>
      </c>
      <c r="D2227" t="s">
        <v>2198</v>
      </c>
      <c r="E2227" t="s">
        <v>4906</v>
      </c>
      <c r="F2227" t="s">
        <v>58</v>
      </c>
      <c r="G2227" s="27" t="str">
        <f t="shared" si="70"/>
        <v>701 FAIRMONT PKWY  PASADENA</v>
      </c>
      <c r="H2227" s="27" t="str">
        <f t="shared" si="71"/>
        <v>HOUSTON TX 77504</v>
      </c>
    </row>
    <row r="2228" spans="1:8" x14ac:dyDescent="0.2">
      <c r="A2228" s="27">
        <f>COUNTIFS(C:C,C2228,D:D,D2228)</f>
        <v>1</v>
      </c>
      <c r="B2228" s="30">
        <v>202101159433</v>
      </c>
      <c r="C2228" t="s">
        <v>2418</v>
      </c>
      <c r="D2228" t="s">
        <v>2419</v>
      </c>
      <c r="E2228" t="s">
        <v>4876</v>
      </c>
      <c r="F2228" t="s">
        <v>75</v>
      </c>
      <c r="G2228" s="27" t="str">
        <f t="shared" si="70"/>
        <v>14138 LAREDO  HOUSTON</v>
      </c>
      <c r="H2228" s="27" t="str">
        <f t="shared" si="71"/>
        <v>HOUSTON TX 77015</v>
      </c>
    </row>
    <row r="2229" spans="1:8" x14ac:dyDescent="0.2">
      <c r="A2229" s="27">
        <f>COUNTIFS(C:C,C2229,D:D,D2229)</f>
        <v>1</v>
      </c>
      <c r="B2229" s="30">
        <v>202101159435</v>
      </c>
      <c r="C2229" s="28" t="s">
        <v>1241</v>
      </c>
      <c r="D2229" s="28" t="s">
        <v>1242</v>
      </c>
      <c r="E2229" s="28" t="s">
        <v>4950</v>
      </c>
      <c r="F2229" s="28" t="s">
        <v>68</v>
      </c>
      <c r="G2229" s="27" t="str">
        <f t="shared" si="70"/>
        <v>315 VICTORIA DR  HOUSTON</v>
      </c>
      <c r="H2229" s="27" t="str">
        <f t="shared" si="71"/>
        <v>HOUSTON TX 77022</v>
      </c>
    </row>
    <row r="2230" spans="1:8" x14ac:dyDescent="0.2">
      <c r="A2230" s="27">
        <f>COUNTIFS(C:C,C2230,D:D,D2230)</f>
        <v>1</v>
      </c>
      <c r="B2230" s="30">
        <v>202101159440</v>
      </c>
      <c r="C2230" s="28" t="s">
        <v>460</v>
      </c>
      <c r="D2230" s="28" t="s">
        <v>461</v>
      </c>
      <c r="E2230" s="28" t="s">
        <v>4876</v>
      </c>
      <c r="F2230" s="28" t="s">
        <v>96</v>
      </c>
      <c r="G2230" s="27" t="str">
        <f t="shared" si="70"/>
        <v>12910 PEGGY LANE  HOUSTON</v>
      </c>
      <c r="H2230" s="27" t="str">
        <f t="shared" si="71"/>
        <v>HOUSTON TX 77015</v>
      </c>
    </row>
    <row r="2231" spans="1:8" x14ac:dyDescent="0.2">
      <c r="A2231" s="27">
        <f>COUNTIFS(C:C,C2231,D:D,D2231)</f>
        <v>1</v>
      </c>
      <c r="B2231" s="30">
        <v>202101159444</v>
      </c>
      <c r="C2231" t="s">
        <v>4738</v>
      </c>
      <c r="D2231" t="s">
        <v>4739</v>
      </c>
      <c r="E2231" t="s">
        <v>4874</v>
      </c>
      <c r="F2231" t="s">
        <v>53</v>
      </c>
      <c r="G2231" s="27" t="str">
        <f t="shared" si="70"/>
        <v>9319 CLEARWAY DR  HOUSTON</v>
      </c>
      <c r="H2231" s="27" t="str">
        <f t="shared" si="71"/>
        <v>HOUSTON TX 77033</v>
      </c>
    </row>
    <row r="2232" spans="1:8" x14ac:dyDescent="0.2">
      <c r="A2232" s="27">
        <f>COUNTIFS(C:C,C2232,D:D,D2232)</f>
        <v>1</v>
      </c>
      <c r="B2232" s="30">
        <v>202101159445</v>
      </c>
      <c r="C2232" t="s">
        <v>4740</v>
      </c>
      <c r="D2232" t="s">
        <v>4741</v>
      </c>
      <c r="E2232" t="s">
        <v>4875</v>
      </c>
      <c r="F2232" t="s">
        <v>53</v>
      </c>
      <c r="G2232" s="27" t="str">
        <f t="shared" si="70"/>
        <v>2514 KOWIS  HOUSTON</v>
      </c>
      <c r="H2232" s="27" t="str">
        <f t="shared" si="71"/>
        <v>HOUSTON TX 77093</v>
      </c>
    </row>
    <row r="2233" spans="1:8" x14ac:dyDescent="0.2">
      <c r="A2233" s="27">
        <f>COUNTIFS(C:C,C2233,D:D,D2233)</f>
        <v>1</v>
      </c>
      <c r="B2233" s="30">
        <v>202101159446</v>
      </c>
      <c r="C2233" t="s">
        <v>2179</v>
      </c>
      <c r="D2233" t="s">
        <v>2180</v>
      </c>
      <c r="E2233" t="s">
        <v>4879</v>
      </c>
      <c r="F2233" t="s">
        <v>79</v>
      </c>
      <c r="G2233" s="27" t="str">
        <f t="shared" si="70"/>
        <v>6407 ANTIONE DR  HOUSTON</v>
      </c>
      <c r="H2233" s="27" t="str">
        <f t="shared" si="71"/>
        <v>HOUSTON TX 77091</v>
      </c>
    </row>
    <row r="2234" spans="1:8" x14ac:dyDescent="0.2">
      <c r="A2234" s="27">
        <f>COUNTIFS(C:C,C2234,D:D,D2234)</f>
        <v>1</v>
      </c>
      <c r="B2234" s="30">
        <v>202101159448</v>
      </c>
      <c r="C2234" t="s">
        <v>4742</v>
      </c>
      <c r="D2234" t="s">
        <v>4743</v>
      </c>
      <c r="E2234" t="s">
        <v>4999</v>
      </c>
      <c r="F2234" t="s">
        <v>53</v>
      </c>
      <c r="G2234" s="27" t="str">
        <f t="shared" si="70"/>
        <v>21131 PARK VALLEY DR  KATY</v>
      </c>
      <c r="H2234" s="27" t="str">
        <f t="shared" si="71"/>
        <v>HOUSTON TX 77450</v>
      </c>
    </row>
    <row r="2235" spans="1:8" x14ac:dyDescent="0.2">
      <c r="A2235" s="27">
        <f>COUNTIFS(C:C,C2235,D:D,D2235)</f>
        <v>1</v>
      </c>
      <c r="B2235" s="30">
        <v>202101159450</v>
      </c>
      <c r="C2235" t="s">
        <v>2619</v>
      </c>
      <c r="D2235" t="s">
        <v>2620</v>
      </c>
      <c r="E2235" t="s">
        <v>4997</v>
      </c>
      <c r="F2235" t="s">
        <v>75</v>
      </c>
      <c r="G2235" s="27" t="str">
        <f t="shared" si="70"/>
        <v>10800 KIPP WAY DR  HOUSTON</v>
      </c>
      <c r="H2235" s="27" t="str">
        <f t="shared" si="71"/>
        <v>HOUSTON TX 77099</v>
      </c>
    </row>
    <row r="2236" spans="1:8" x14ac:dyDescent="0.2">
      <c r="A2236" s="27">
        <f>COUNTIFS(C:C,C2236,D:D,D2236)</f>
        <v>1</v>
      </c>
      <c r="B2236" s="30">
        <v>202101159453</v>
      </c>
      <c r="C2236" s="28" t="s">
        <v>1151</v>
      </c>
      <c r="D2236" s="28" t="s">
        <v>1152</v>
      </c>
      <c r="E2236" s="28" t="s">
        <v>4859</v>
      </c>
      <c r="F2236" s="28" t="s">
        <v>86</v>
      </c>
      <c r="G2236" s="27" t="str">
        <f t="shared" si="70"/>
        <v>20411 FERNBUSH DR  HOUSTON</v>
      </c>
      <c r="H2236" s="27" t="str">
        <f t="shared" si="71"/>
        <v>HOUSTON TX 77073</v>
      </c>
    </row>
    <row r="2237" spans="1:8" x14ac:dyDescent="0.2">
      <c r="A2237" s="27">
        <f>COUNTIFS(C:C,C2237,D:D,D2237)</f>
        <v>1</v>
      </c>
      <c r="B2237" s="30">
        <v>202101159454</v>
      </c>
      <c r="C2237" t="s">
        <v>3122</v>
      </c>
      <c r="D2237" t="s">
        <v>3123</v>
      </c>
      <c r="E2237" t="s">
        <v>5002</v>
      </c>
      <c r="F2237" t="s">
        <v>68</v>
      </c>
      <c r="G2237" s="27" t="str">
        <f t="shared" si="70"/>
        <v>14734 LOXLEY MEADOWS DR HOUSTON</v>
      </c>
      <c r="H2237" s="27" t="str">
        <f t="shared" si="71"/>
        <v>HOUSTON TX 77082</v>
      </c>
    </row>
    <row r="2238" spans="1:8" x14ac:dyDescent="0.2">
      <c r="A2238" s="27">
        <f>COUNTIFS(C:C,C2238,D:D,D2238)</f>
        <v>1</v>
      </c>
      <c r="B2238" s="30">
        <v>202101159455</v>
      </c>
      <c r="C2238" t="s">
        <v>4744</v>
      </c>
      <c r="D2238" t="s">
        <v>4745</v>
      </c>
      <c r="E2238" t="s">
        <v>4862</v>
      </c>
      <c r="F2238" t="s">
        <v>56</v>
      </c>
      <c r="G2238" s="27" t="str">
        <f t="shared" si="70"/>
        <v>101 HOLLOW TREE LN  HOUSTON</v>
      </c>
      <c r="H2238" s="27" t="str">
        <f t="shared" si="71"/>
        <v>HOUSTON TX 77090</v>
      </c>
    </row>
    <row r="2239" spans="1:8" x14ac:dyDescent="0.2">
      <c r="A2239" s="27">
        <f>COUNTIFS(C:C,C2239,D:D,D2239)</f>
        <v>1</v>
      </c>
      <c r="B2239" s="30">
        <v>202101159458</v>
      </c>
      <c r="C2239" t="s">
        <v>4746</v>
      </c>
      <c r="D2239" t="s">
        <v>4747</v>
      </c>
      <c r="E2239" t="s">
        <v>4960</v>
      </c>
      <c r="F2239" t="s">
        <v>79</v>
      </c>
      <c r="G2239" s="27" t="str">
        <f t="shared" si="70"/>
        <v>855 GREENS ROAD  HOUSTON</v>
      </c>
      <c r="H2239" s="27" t="str">
        <f t="shared" si="71"/>
        <v>HOUSTON TX 77060</v>
      </c>
    </row>
    <row r="2240" spans="1:8" x14ac:dyDescent="0.2">
      <c r="A2240" s="27">
        <f>COUNTIFS(C:C,C2240,D:D,D2240)</f>
        <v>1</v>
      </c>
      <c r="B2240" s="30">
        <v>202101159459</v>
      </c>
      <c r="C2240" t="s">
        <v>2504</v>
      </c>
      <c r="D2240" t="s">
        <v>2505</v>
      </c>
      <c r="E2240" t="s">
        <v>4938</v>
      </c>
      <c r="F2240" t="s">
        <v>64</v>
      </c>
      <c r="G2240" s="27" t="str">
        <f t="shared" si="70"/>
        <v>520 GULF BANK RD  HOUSTON</v>
      </c>
      <c r="H2240" s="27" t="str">
        <f t="shared" si="71"/>
        <v>HOUSTON TX 77037</v>
      </c>
    </row>
    <row r="2241" spans="1:8" x14ac:dyDescent="0.2">
      <c r="A2241" s="27">
        <f>COUNTIFS(C:C,C2241,D:D,D2241)</f>
        <v>1</v>
      </c>
      <c r="B2241" s="30">
        <v>202101159461</v>
      </c>
      <c r="C2241" t="s">
        <v>4748</v>
      </c>
      <c r="D2241" t="s">
        <v>4749</v>
      </c>
      <c r="E2241" t="s">
        <v>4918</v>
      </c>
      <c r="F2241" t="s">
        <v>53</v>
      </c>
      <c r="G2241" s="27" t="str">
        <f t="shared" si="70"/>
        <v>5219 GREEN SPRINGS D R HOUSTON</v>
      </c>
      <c r="H2241" s="27" t="str">
        <f t="shared" si="71"/>
        <v>HOUSTON TX 77066</v>
      </c>
    </row>
    <row r="2242" spans="1:8" x14ac:dyDescent="0.2">
      <c r="A2242" s="27">
        <f>COUNTIFS(C:C,C2242,D:D,D2242)</f>
        <v>1</v>
      </c>
      <c r="B2242" s="30">
        <v>202101159464</v>
      </c>
      <c r="C2242" t="s">
        <v>4750</v>
      </c>
      <c r="D2242" t="s">
        <v>4751</v>
      </c>
      <c r="E2242" t="s">
        <v>4876</v>
      </c>
      <c r="F2242" t="s">
        <v>88</v>
      </c>
      <c r="G2242" s="27" t="str">
        <f t="shared" si="70"/>
        <v>14307 MCNAIR  HOUSTON</v>
      </c>
      <c r="H2242" s="27" t="str">
        <f t="shared" si="71"/>
        <v>HOUSTON TX 77015</v>
      </c>
    </row>
    <row r="2243" spans="1:8" x14ac:dyDescent="0.2">
      <c r="A2243" s="27">
        <f>COUNTIFS(C:C,C2243,D:D,D2243)</f>
        <v>1</v>
      </c>
      <c r="B2243" s="30">
        <v>202101160902</v>
      </c>
      <c r="C2243" t="s">
        <v>5330</v>
      </c>
      <c r="D2243" t="s">
        <v>5331</v>
      </c>
      <c r="E2243" t="s">
        <v>4915</v>
      </c>
      <c r="F2243" t="s">
        <v>57</v>
      </c>
      <c r="G2243" s="27" t="str">
        <f t="shared" si="70"/>
        <v>4415 PERRY ST  HOUSTON</v>
      </c>
      <c r="H2243" s="27" t="str">
        <f t="shared" si="71"/>
        <v>HOUSTON TX 77021</v>
      </c>
    </row>
    <row r="2244" spans="1:8" x14ac:dyDescent="0.2">
      <c r="A2244" s="27">
        <f>COUNTIFS(C:C,C2244,D:D,D2244)</f>
        <v>1</v>
      </c>
      <c r="B2244" s="30">
        <v>202101160913</v>
      </c>
      <c r="C2244" t="s">
        <v>5719</v>
      </c>
      <c r="D2244" t="s">
        <v>5720</v>
      </c>
      <c r="E2244" t="s">
        <v>4934</v>
      </c>
      <c r="F2244" t="s">
        <v>79</v>
      </c>
      <c r="G2244" s="27" t="str">
        <f t="shared" si="70"/>
        <v>9 CLIFTON  HOUSTON</v>
      </c>
      <c r="H2244" s="27" t="str">
        <f t="shared" si="71"/>
        <v>HOUSTON TX 77011</v>
      </c>
    </row>
    <row r="2245" spans="1:8" x14ac:dyDescent="0.2">
      <c r="A2245" s="27">
        <f>COUNTIFS(C:C,C2245,D:D,D2245)</f>
        <v>1</v>
      </c>
      <c r="B2245" s="30">
        <v>202101160914</v>
      </c>
      <c r="C2245" t="s">
        <v>5490</v>
      </c>
      <c r="D2245" t="s">
        <v>5491</v>
      </c>
      <c r="E2245" t="s">
        <v>4896</v>
      </c>
      <c r="F2245" t="s">
        <v>56</v>
      </c>
      <c r="G2245" s="27" t="str">
        <f t="shared" si="70"/>
        <v>9209 BEECHNUT ST  HOUSTON</v>
      </c>
      <c r="H2245" s="27" t="str">
        <f t="shared" si="71"/>
        <v>HOUSTON TX 77036</v>
      </c>
    </row>
    <row r="2246" spans="1:8" x14ac:dyDescent="0.2">
      <c r="A2246" s="27">
        <f>COUNTIFS(C:C,C2246,D:D,D2246)</f>
        <v>1</v>
      </c>
      <c r="B2246" s="30">
        <v>202101160915</v>
      </c>
      <c r="C2246" t="s">
        <v>5502</v>
      </c>
      <c r="D2246" t="s">
        <v>5503</v>
      </c>
      <c r="E2246" t="s">
        <v>4876</v>
      </c>
      <c r="F2246" t="s">
        <v>79</v>
      </c>
      <c r="G2246" s="27" t="str">
        <f t="shared" si="70"/>
        <v>13502 DULUTH ST  HOUSTON</v>
      </c>
      <c r="H2246" s="27" t="str">
        <f t="shared" si="71"/>
        <v>HOUSTON TX 77015</v>
      </c>
    </row>
    <row r="2247" spans="1:8" x14ac:dyDescent="0.2">
      <c r="A2247" s="27">
        <f>COUNTIFS(C:C,C2247,D:D,D2247)</f>
        <v>1</v>
      </c>
      <c r="B2247" s="30">
        <v>202101160930</v>
      </c>
      <c r="C2247" t="s">
        <v>5492</v>
      </c>
      <c r="D2247" t="s">
        <v>5493</v>
      </c>
      <c r="E2247" t="s">
        <v>4860</v>
      </c>
      <c r="F2247" t="s">
        <v>156</v>
      </c>
      <c r="G2247" s="27" t="str">
        <f t="shared" si="70"/>
        <v>501 MASSEY TOMPKINS ROAD BAYTOWN</v>
      </c>
      <c r="H2247" s="27" t="str">
        <f t="shared" si="71"/>
        <v>HOUSTON TX 77520</v>
      </c>
    </row>
    <row r="2248" spans="1:8" x14ac:dyDescent="0.2">
      <c r="A2248" s="27">
        <f>COUNTIFS(C:C,C2248,D:D,D2248)</f>
        <v>1</v>
      </c>
      <c r="B2248" s="30">
        <v>202101160938</v>
      </c>
      <c r="C2248" t="s">
        <v>5511</v>
      </c>
      <c r="D2248" t="s">
        <v>5512</v>
      </c>
      <c r="E2248" t="s">
        <v>4879</v>
      </c>
      <c r="F2248" t="s">
        <v>61</v>
      </c>
      <c r="G2248" s="27" t="str">
        <f t="shared" si="70"/>
        <v>5550 DE SOTO ST APT 311 HOUSTON</v>
      </c>
      <c r="H2248" s="27" t="str">
        <f t="shared" si="71"/>
        <v>HOUSTON TX 77091</v>
      </c>
    </row>
    <row r="2249" spans="1:8" x14ac:dyDescent="0.2">
      <c r="A2249" s="27">
        <f>COUNTIFS(C:C,C2249,D:D,D2249)</f>
        <v>1</v>
      </c>
      <c r="B2249" s="30">
        <v>202101160939</v>
      </c>
      <c r="C2249" t="s">
        <v>5676</v>
      </c>
      <c r="D2249" t="s">
        <v>5677</v>
      </c>
      <c r="E2249" t="s">
        <v>5033</v>
      </c>
      <c r="F2249" t="s">
        <v>79</v>
      </c>
      <c r="G2249" s="27" t="str">
        <f t="shared" si="70"/>
        <v>26527 DURANGO CANYON  KATY</v>
      </c>
      <c r="H2249" s="27" t="str">
        <f t="shared" si="71"/>
        <v>HOUSTON TX 77494</v>
      </c>
    </row>
    <row r="2250" spans="1:8" x14ac:dyDescent="0.2">
      <c r="A2250" s="27">
        <f>COUNTIFS(C:C,C2250,D:D,D2250)</f>
        <v>1</v>
      </c>
      <c r="B2250" s="30">
        <v>202101160947</v>
      </c>
      <c r="C2250" t="s">
        <v>5356</v>
      </c>
      <c r="D2250" t="s">
        <v>5357</v>
      </c>
      <c r="E2250" t="s">
        <v>4915</v>
      </c>
      <c r="F2250" t="s">
        <v>84</v>
      </c>
      <c r="G2250" s="27" t="str">
        <f t="shared" si="70"/>
        <v>5980 ARDMORE STREET  HOUSTON</v>
      </c>
      <c r="H2250" s="27" t="str">
        <f t="shared" si="71"/>
        <v>HOUSTON TX 77021</v>
      </c>
    </row>
    <row r="2251" spans="1:8" x14ac:dyDescent="0.2">
      <c r="A2251" s="27">
        <f>COUNTIFS(C:C,C2251,D:D,D2251)</f>
        <v>1</v>
      </c>
      <c r="B2251" s="30">
        <v>202101160952</v>
      </c>
      <c r="C2251" t="s">
        <v>5639</v>
      </c>
      <c r="D2251" t="s">
        <v>5640</v>
      </c>
      <c r="E2251" t="s">
        <v>4941</v>
      </c>
      <c r="F2251" t="s">
        <v>70</v>
      </c>
      <c r="G2251" s="27" t="str">
        <f t="shared" si="70"/>
        <v>15511 EAGLE FIELDS DR  CYPRESS</v>
      </c>
      <c r="H2251" s="27" t="str">
        <f t="shared" si="71"/>
        <v>HOUSTON TX 77429</v>
      </c>
    </row>
    <row r="2252" spans="1:8" x14ac:dyDescent="0.2">
      <c r="A2252" s="27">
        <f>COUNTIFS(C:C,C2252,D:D,D2252)</f>
        <v>1</v>
      </c>
      <c r="B2252" s="30">
        <v>202101160955</v>
      </c>
      <c r="C2252" t="s">
        <v>5457</v>
      </c>
      <c r="D2252" t="s">
        <v>5458</v>
      </c>
      <c r="E2252" t="s">
        <v>4984</v>
      </c>
      <c r="F2252" t="s">
        <v>66</v>
      </c>
      <c r="G2252" s="27" t="str">
        <f t="shared" si="70"/>
        <v>2022 BEACON CHAE CT  SPRING</v>
      </c>
      <c r="H2252" s="27" t="str">
        <f t="shared" si="71"/>
        <v>HOUSTON TX 77373</v>
      </c>
    </row>
    <row r="2253" spans="1:8" x14ac:dyDescent="0.2">
      <c r="A2253" s="27">
        <f>COUNTIFS(C:C,C2253,D:D,D2253)</f>
        <v>1</v>
      </c>
      <c r="B2253" s="30">
        <v>202101160956</v>
      </c>
      <c r="C2253" t="s">
        <v>5723</v>
      </c>
      <c r="D2253" t="s">
        <v>5724</v>
      </c>
      <c r="E2253" t="s">
        <v>4956</v>
      </c>
      <c r="F2253" t="s">
        <v>53</v>
      </c>
      <c r="G2253" s="27" t="str">
        <f t="shared" si="70"/>
        <v>12751 WHISTLING SPRIN G DR HUMBLE</v>
      </c>
      <c r="H2253" s="27" t="str">
        <f t="shared" si="71"/>
        <v>HOUSTON TX 77346</v>
      </c>
    </row>
    <row r="2254" spans="1:8" x14ac:dyDescent="0.2">
      <c r="A2254" s="27">
        <f>COUNTIFS(C:C,C2254,D:D,D2254)</f>
        <v>1</v>
      </c>
      <c r="B2254" s="30">
        <v>202101160959</v>
      </c>
      <c r="C2254" t="s">
        <v>5570</v>
      </c>
      <c r="D2254" t="s">
        <v>5571</v>
      </c>
      <c r="E2254" t="s">
        <v>5120</v>
      </c>
      <c r="F2254" t="s">
        <v>79</v>
      </c>
      <c r="G2254" s="27" t="str">
        <f t="shared" si="70"/>
        <v>15900 SPACE CENTER BL VD HOUSTON</v>
      </c>
      <c r="H2254" s="27" t="str">
        <f t="shared" si="71"/>
        <v>HOUSTON TX 77062</v>
      </c>
    </row>
    <row r="2255" spans="1:8" x14ac:dyDescent="0.2">
      <c r="A2255" s="27">
        <f>COUNTIFS(C:C,C2255,D:D,D2255)</f>
        <v>1</v>
      </c>
      <c r="B2255" s="30">
        <v>202101160961</v>
      </c>
      <c r="C2255" t="s">
        <v>5725</v>
      </c>
      <c r="D2255" t="s">
        <v>5726</v>
      </c>
      <c r="E2255" t="s">
        <v>4950</v>
      </c>
      <c r="F2255" t="s">
        <v>51</v>
      </c>
      <c r="G2255" s="27" t="str">
        <f t="shared" si="70"/>
        <v>26 FARRELL ST 9  HOUSTON</v>
      </c>
      <c r="H2255" s="27" t="str">
        <f t="shared" si="71"/>
        <v>HOUSTON TX 77022</v>
      </c>
    </row>
    <row r="2256" spans="1:8" x14ac:dyDescent="0.2">
      <c r="A2256" s="27">
        <f>COUNTIFS(C:C,C2256,D:D,D2256)</f>
        <v>1</v>
      </c>
      <c r="B2256" s="30">
        <v>202101160962</v>
      </c>
      <c r="C2256" t="s">
        <v>5389</v>
      </c>
      <c r="D2256" t="s">
        <v>5390</v>
      </c>
      <c r="E2256" t="s">
        <v>4875</v>
      </c>
      <c r="F2256" t="s">
        <v>53</v>
      </c>
      <c r="G2256" s="27" t="str">
        <f t="shared" si="70"/>
        <v>2430 DEUTSER ST  HOUSTON</v>
      </c>
      <c r="H2256" s="27" t="str">
        <f t="shared" si="71"/>
        <v>HOUSTON TX 77093</v>
      </c>
    </row>
    <row r="2257" spans="1:8" x14ac:dyDescent="0.2">
      <c r="A2257" s="27">
        <f>COUNTIFS(C:C,C2257,D:D,D2257)</f>
        <v>1</v>
      </c>
      <c r="B2257" s="30">
        <v>202101160968</v>
      </c>
      <c r="C2257" t="s">
        <v>5397</v>
      </c>
      <c r="D2257" t="s">
        <v>5398</v>
      </c>
      <c r="E2257" t="s">
        <v>4864</v>
      </c>
      <c r="F2257" t="s">
        <v>53</v>
      </c>
      <c r="G2257" s="27" t="str">
        <f t="shared" si="70"/>
        <v>5540 TREMPER ST  HOUSTON</v>
      </c>
      <c r="H2257" s="27" t="str">
        <f t="shared" si="71"/>
        <v>HOUSTON TX 77020</v>
      </c>
    </row>
    <row r="2258" spans="1:8" x14ac:dyDescent="0.2">
      <c r="A2258" s="27">
        <f>COUNTIFS(C:C,C2258,D:D,D2258)</f>
        <v>1</v>
      </c>
      <c r="B2258" s="30">
        <v>202101160969</v>
      </c>
      <c r="C2258" t="s">
        <v>5341</v>
      </c>
      <c r="D2258" t="s">
        <v>5342</v>
      </c>
      <c r="E2258" t="s">
        <v>4895</v>
      </c>
      <c r="F2258" t="s">
        <v>53</v>
      </c>
      <c r="G2258" s="27" t="str">
        <f t="shared" si="70"/>
        <v>3315 HARRISBURG BLVD  HOUSTON</v>
      </c>
      <c r="H2258" s="27" t="str">
        <f t="shared" si="71"/>
        <v>HOUSTON TX 77003</v>
      </c>
    </row>
    <row r="2259" spans="1:8" x14ac:dyDescent="0.2">
      <c r="A2259" s="27">
        <f>COUNTIFS(C:C,C2259,D:D,D2259)</f>
        <v>1</v>
      </c>
      <c r="B2259" s="30">
        <v>202101160975</v>
      </c>
      <c r="C2259" t="s">
        <v>5542</v>
      </c>
      <c r="D2259" t="s">
        <v>5543</v>
      </c>
      <c r="E2259" t="s">
        <v>4907</v>
      </c>
      <c r="F2259" t="s">
        <v>51</v>
      </c>
      <c r="G2259" s="27" t="str">
        <f t="shared" si="70"/>
        <v>2104 WALNUT  PASADENA</v>
      </c>
      <c r="H2259" s="27" t="str">
        <f t="shared" si="71"/>
        <v>HOUSTON TX 77502</v>
      </c>
    </row>
    <row r="2260" spans="1:8" x14ac:dyDescent="0.2">
      <c r="A2260" s="27">
        <f>COUNTIFS(C:C,C2260,D:D,D2260)</f>
        <v>1</v>
      </c>
      <c r="B2260" s="30">
        <v>202101160978</v>
      </c>
      <c r="C2260" t="s">
        <v>5431</v>
      </c>
      <c r="D2260" t="s">
        <v>5432</v>
      </c>
      <c r="E2260" t="s">
        <v>4960</v>
      </c>
      <c r="F2260" t="s">
        <v>61</v>
      </c>
      <c r="G2260" s="27" t="str">
        <f t="shared" si="70"/>
        <v>16000 COTILLION DR  HOUSTON</v>
      </c>
      <c r="H2260" s="27" t="str">
        <f t="shared" si="71"/>
        <v>HOUSTON TX 77060</v>
      </c>
    </row>
    <row r="2261" spans="1:8" x14ac:dyDescent="0.2">
      <c r="A2261" s="27">
        <f>COUNTIFS(C:C,C2261,D:D,D2261)</f>
        <v>1</v>
      </c>
      <c r="B2261" s="30">
        <v>202101160984</v>
      </c>
      <c r="C2261" t="s">
        <v>5538</v>
      </c>
      <c r="D2261" t="s">
        <v>5539</v>
      </c>
      <c r="E2261" t="s">
        <v>4897</v>
      </c>
      <c r="F2261" t="s">
        <v>85</v>
      </c>
      <c r="G2261" s="27" t="str">
        <f t="shared" si="70"/>
        <v>3600 S. SHAVER  SOUTH HOUS</v>
      </c>
      <c r="H2261" s="27" t="str">
        <f t="shared" si="71"/>
        <v>HOUSTON TX 77587</v>
      </c>
    </row>
    <row r="2262" spans="1:8" x14ac:dyDescent="0.2">
      <c r="A2262" s="27">
        <f>COUNTIFS(C:C,C2262,D:D,D2262)</f>
        <v>1</v>
      </c>
      <c r="B2262" s="30">
        <v>202101160986</v>
      </c>
      <c r="C2262" t="s">
        <v>5505</v>
      </c>
      <c r="D2262" t="s">
        <v>5506</v>
      </c>
      <c r="E2262" t="s">
        <v>4949</v>
      </c>
      <c r="F2262" t="s">
        <v>79</v>
      </c>
      <c r="G2262" s="27" t="str">
        <f t="shared" si="70"/>
        <v>14580 CROSBY FWY  HOUSTON</v>
      </c>
      <c r="H2262" s="27" t="str">
        <f t="shared" si="71"/>
        <v>HOUSTON TX 77049</v>
      </c>
    </row>
    <row r="2263" spans="1:8" x14ac:dyDescent="0.2">
      <c r="A2263" s="27">
        <f>COUNTIFS(C:C,C2263,D:D,D2263)</f>
        <v>1</v>
      </c>
      <c r="B2263" s="30">
        <v>202101160987</v>
      </c>
      <c r="C2263" t="s">
        <v>5376</v>
      </c>
      <c r="D2263" t="s">
        <v>5377</v>
      </c>
      <c r="E2263" t="s">
        <v>4903</v>
      </c>
      <c r="F2263" t="s">
        <v>53</v>
      </c>
      <c r="G2263" s="27" t="str">
        <f t="shared" si="70"/>
        <v>11211 BRIGHTWOOD HEIG HTS CT CYPRESS</v>
      </c>
      <c r="H2263" s="27" t="str">
        <f t="shared" si="71"/>
        <v>HOUSTON TX 77433</v>
      </c>
    </row>
    <row r="2264" spans="1:8" x14ac:dyDescent="0.2">
      <c r="A2264" s="27">
        <f>COUNTIFS(C:C,C2264,D:D,D2264)</f>
        <v>1</v>
      </c>
      <c r="B2264" s="30">
        <v>202101160994</v>
      </c>
      <c r="C2264" t="s">
        <v>5328</v>
      </c>
      <c r="D2264" t="s">
        <v>5329</v>
      </c>
      <c r="E2264" t="s">
        <v>4861</v>
      </c>
      <c r="F2264" t="s">
        <v>82</v>
      </c>
      <c r="G2264" s="27" t="str">
        <f t="shared" si="70"/>
        <v>3114 BRISBANE ST  HOUSTON</v>
      </c>
      <c r="H2264" s="27" t="str">
        <f t="shared" si="71"/>
        <v>HOUSTON TX 77051</v>
      </c>
    </row>
    <row r="2265" spans="1:8" x14ac:dyDescent="0.2">
      <c r="A2265" s="27">
        <f>COUNTIFS(C:C,C2265,D:D,D2265)</f>
        <v>1</v>
      </c>
      <c r="B2265" s="30">
        <v>202101160997</v>
      </c>
      <c r="C2265" t="s">
        <v>5521</v>
      </c>
      <c r="D2265" t="s">
        <v>5522</v>
      </c>
      <c r="E2265" t="s">
        <v>4861</v>
      </c>
      <c r="F2265" t="s">
        <v>51</v>
      </c>
      <c r="G2265" s="27" t="str">
        <f t="shared" si="70"/>
        <v>7902 ROCK ROSE ST  HOUSTON</v>
      </c>
      <c r="H2265" s="27" t="str">
        <f t="shared" si="71"/>
        <v>HOUSTON TX 77051</v>
      </c>
    </row>
    <row r="2266" spans="1:8" x14ac:dyDescent="0.2">
      <c r="A2266" s="27">
        <f>COUNTIFS(C:C,C2266,D:D,D2266)</f>
        <v>1</v>
      </c>
      <c r="B2266" s="30">
        <v>202101161004</v>
      </c>
      <c r="C2266" t="s">
        <v>5557</v>
      </c>
      <c r="D2266" t="s">
        <v>5558</v>
      </c>
      <c r="E2266" t="s">
        <v>4876</v>
      </c>
      <c r="F2266" t="s">
        <v>71</v>
      </c>
      <c r="G2266" s="27" t="str">
        <f t="shared" si="70"/>
        <v>13930 BONHAM STREET  HOUSTON</v>
      </c>
      <c r="H2266" s="27" t="str">
        <f t="shared" si="71"/>
        <v>HOUSTON TX 77015</v>
      </c>
    </row>
    <row r="2267" spans="1:8" x14ac:dyDescent="0.2">
      <c r="A2267" s="27">
        <f>COUNTIFS(C:C,C2267,D:D,D2267)</f>
        <v>1</v>
      </c>
      <c r="B2267" s="30">
        <v>202101161005</v>
      </c>
      <c r="C2267" t="s">
        <v>5372</v>
      </c>
      <c r="D2267" t="s">
        <v>5373</v>
      </c>
      <c r="E2267" t="s">
        <v>4988</v>
      </c>
      <c r="F2267" t="s">
        <v>51</v>
      </c>
      <c r="G2267" s="27" t="str">
        <f t="shared" si="70"/>
        <v>1827 RIPPLE CREEK DR  MISSOURI C</v>
      </c>
      <c r="H2267" s="27" t="str">
        <f t="shared" si="71"/>
        <v>HOUSTON TX 77489</v>
      </c>
    </row>
    <row r="2268" spans="1:8" x14ac:dyDescent="0.2">
      <c r="A2268" s="27">
        <f>COUNTIFS(C:C,C2268,D:D,D2268)</f>
        <v>1</v>
      </c>
      <c r="B2268" s="30">
        <v>202101161006</v>
      </c>
      <c r="C2268" t="s">
        <v>5645</v>
      </c>
      <c r="D2268" t="s">
        <v>5646</v>
      </c>
      <c r="E2268" t="s">
        <v>4909</v>
      </c>
      <c r="F2268" t="s">
        <v>53</v>
      </c>
      <c r="G2268" s="27" t="str">
        <f t="shared" si="70"/>
        <v>15119 BATHURST DR  HOUSTON</v>
      </c>
      <c r="H2268" s="27" t="str">
        <f t="shared" si="71"/>
        <v>HOUSTON TX 77053</v>
      </c>
    </row>
    <row r="2269" spans="1:8" x14ac:dyDescent="0.2">
      <c r="A2269" s="27">
        <f>COUNTIFS(C:C,C2269,D:D,D2269)</f>
        <v>1</v>
      </c>
      <c r="B2269" s="30">
        <v>202101161007</v>
      </c>
      <c r="C2269" t="s">
        <v>5547</v>
      </c>
      <c r="D2269" t="s">
        <v>5548</v>
      </c>
      <c r="E2269" t="s">
        <v>4984</v>
      </c>
      <c r="F2269" t="s">
        <v>102</v>
      </c>
      <c r="G2269" s="27" t="str">
        <f t="shared" si="70"/>
        <v>3030 HIRSCHFIELD #19 A SPRING</v>
      </c>
      <c r="H2269" s="27" t="str">
        <f t="shared" si="71"/>
        <v>HOUSTON TX 77373</v>
      </c>
    </row>
    <row r="2270" spans="1:8" x14ac:dyDescent="0.2">
      <c r="A2270" s="27">
        <f>COUNTIFS(C:C,C2270,D:D,D2270)</f>
        <v>1</v>
      </c>
      <c r="B2270" s="30">
        <v>202101161008</v>
      </c>
      <c r="C2270" t="s">
        <v>5587</v>
      </c>
      <c r="D2270" t="s">
        <v>5588</v>
      </c>
      <c r="E2270" t="s">
        <v>4969</v>
      </c>
      <c r="F2270" t="s">
        <v>53</v>
      </c>
      <c r="G2270" s="27" t="str">
        <f t="shared" si="70"/>
        <v>9530 FM2920  TOMBALL</v>
      </c>
      <c r="H2270" s="27" t="str">
        <f t="shared" si="71"/>
        <v>HOUSTON TX 77375</v>
      </c>
    </row>
    <row r="2271" spans="1:8" x14ac:dyDescent="0.2">
      <c r="A2271" s="27">
        <f>COUNTIFS(C:C,C2271,D:D,D2271)</f>
        <v>1</v>
      </c>
      <c r="B2271" s="30">
        <v>202101161009</v>
      </c>
      <c r="C2271" t="s">
        <v>5730</v>
      </c>
      <c r="D2271" t="s">
        <v>5731</v>
      </c>
      <c r="E2271" t="s">
        <v>4978</v>
      </c>
      <c r="F2271" t="s">
        <v>79</v>
      </c>
      <c r="G2271" s="27" t="str">
        <f t="shared" si="70"/>
        <v>6725 BRITTMOORE RD  HOUSTON</v>
      </c>
      <c r="H2271" s="27" t="str">
        <f t="shared" si="71"/>
        <v>HOUSTON TX 77041</v>
      </c>
    </row>
    <row r="2272" spans="1:8" x14ac:dyDescent="0.2">
      <c r="A2272" s="27">
        <f>COUNTIFS(C:C,C2272,D:D,D2272)</f>
        <v>1</v>
      </c>
      <c r="B2272" s="30">
        <v>202101161010</v>
      </c>
      <c r="C2272" t="s">
        <v>5488</v>
      </c>
      <c r="D2272" t="s">
        <v>5489</v>
      </c>
      <c r="E2272" t="s">
        <v>4886</v>
      </c>
      <c r="F2272" t="s">
        <v>79</v>
      </c>
      <c r="G2272" s="27" t="str">
        <f t="shared" si="70"/>
        <v>12136 SANDPIPER APT 8 99 HOUSTON</v>
      </c>
      <c r="H2272" s="27" t="str">
        <f t="shared" si="71"/>
        <v>HOUSTON TX 77035</v>
      </c>
    </row>
    <row r="2273" spans="1:8" x14ac:dyDescent="0.2">
      <c r="A2273" s="27">
        <f>COUNTIFS(C:C,C2273,D:D,D2273)</f>
        <v>1</v>
      </c>
      <c r="B2273" s="30">
        <v>202101161011</v>
      </c>
      <c r="C2273" t="s">
        <v>5629</v>
      </c>
      <c r="D2273" t="s">
        <v>5630</v>
      </c>
      <c r="E2273" t="s">
        <v>5026</v>
      </c>
      <c r="F2273" t="s">
        <v>53</v>
      </c>
      <c r="G2273" s="27" t="str">
        <f t="shared" si="70"/>
        <v>16460 SH 3  WEBSTER</v>
      </c>
      <c r="H2273" s="27" t="str">
        <f t="shared" si="71"/>
        <v>HOUSTON TX 77598</v>
      </c>
    </row>
    <row r="2274" spans="1:8" x14ac:dyDescent="0.2">
      <c r="A2274" s="27">
        <f>COUNTIFS(C:C,C2274,D:D,D2274)</f>
        <v>1</v>
      </c>
      <c r="B2274" s="30">
        <v>202101161012</v>
      </c>
      <c r="C2274" t="s">
        <v>5534</v>
      </c>
      <c r="D2274" t="s">
        <v>5535</v>
      </c>
      <c r="E2274" t="s">
        <v>4931</v>
      </c>
      <c r="F2274" t="s">
        <v>79</v>
      </c>
      <c r="G2274" s="27" t="str">
        <f t="shared" si="70"/>
        <v>14355 ELLA BLVD  HOUSTON</v>
      </c>
      <c r="H2274" s="27" t="str">
        <f t="shared" si="71"/>
        <v>HOUSTON TX 77014</v>
      </c>
    </row>
    <row r="2275" spans="1:8" x14ac:dyDescent="0.2">
      <c r="A2275" s="27">
        <f>COUNTIFS(C:C,C2275,D:D,D2275)</f>
        <v>1</v>
      </c>
      <c r="B2275" s="30">
        <v>202101161015</v>
      </c>
      <c r="C2275" t="s">
        <v>5625</v>
      </c>
      <c r="D2275" t="s">
        <v>5626</v>
      </c>
      <c r="E2275" t="s">
        <v>4865</v>
      </c>
      <c r="F2275" t="s">
        <v>79</v>
      </c>
      <c r="G2275" s="27" t="str">
        <f t="shared" si="70"/>
        <v>8115 PENROD ST  HOUSTON</v>
      </c>
      <c r="H2275" s="27" t="str">
        <f t="shared" si="71"/>
        <v xml:space="preserve">HOUSTON TX      </v>
      </c>
    </row>
    <row r="2276" spans="1:8" x14ac:dyDescent="0.2">
      <c r="A2276" s="27">
        <f>COUNTIFS(C:C,C2276,D:D,D2276)</f>
        <v>1</v>
      </c>
      <c r="B2276" s="30">
        <v>202101161017</v>
      </c>
      <c r="C2276" t="s">
        <v>5450</v>
      </c>
      <c r="D2276" t="s">
        <v>5451</v>
      </c>
      <c r="E2276" t="s">
        <v>4850</v>
      </c>
      <c r="F2276" t="s">
        <v>72</v>
      </c>
      <c r="G2276" s="27" t="str">
        <f t="shared" si="70"/>
        <v>11717 BEAMER RD  HOUSTON</v>
      </c>
      <c r="H2276" s="27" t="str">
        <f t="shared" si="71"/>
        <v>HOUSTON TX 77089</v>
      </c>
    </row>
    <row r="2277" spans="1:8" x14ac:dyDescent="0.2">
      <c r="A2277" s="27">
        <f>COUNTIFS(C:C,C2277,D:D,D2277)</f>
        <v>1</v>
      </c>
      <c r="B2277" s="30">
        <v>202101161018</v>
      </c>
      <c r="C2277" t="s">
        <v>5423</v>
      </c>
      <c r="D2277" t="s">
        <v>5424</v>
      </c>
      <c r="E2277" t="s">
        <v>4898</v>
      </c>
      <c r="F2277" t="s">
        <v>51</v>
      </c>
      <c r="G2277" s="27" t="str">
        <f t="shared" si="70"/>
        <v>8915 SPURFLOWER PATH LANE HOUSTON</v>
      </c>
      <c r="H2277" s="27" t="str">
        <f t="shared" si="71"/>
        <v>HOUSTON TX 77075</v>
      </c>
    </row>
    <row r="2278" spans="1:8" x14ac:dyDescent="0.2">
      <c r="A2278" s="27">
        <f>COUNTIFS(C:C,C2278,D:D,D2278)</f>
        <v>1</v>
      </c>
      <c r="B2278" s="30">
        <v>202101161027</v>
      </c>
      <c r="C2278" t="s">
        <v>5623</v>
      </c>
      <c r="D2278" t="s">
        <v>5624</v>
      </c>
      <c r="E2278" t="s">
        <v>4866</v>
      </c>
      <c r="F2278" t="s">
        <v>79</v>
      </c>
      <c r="G2278" s="27" t="str">
        <f t="shared" si="70"/>
        <v>610 JOHN ALBER RD  HOUSTON</v>
      </c>
      <c r="H2278" s="27" t="str">
        <f t="shared" si="71"/>
        <v>HOUSTON TX 77076</v>
      </c>
    </row>
    <row r="2279" spans="1:8" x14ac:dyDescent="0.2">
      <c r="A2279" s="27">
        <f>COUNTIFS(C:C,C2279,D:D,D2279)</f>
        <v>1</v>
      </c>
      <c r="B2279" s="30">
        <v>202101161029</v>
      </c>
      <c r="C2279" t="s">
        <v>5670</v>
      </c>
      <c r="D2279" t="s">
        <v>5671</v>
      </c>
      <c r="E2279" t="s">
        <v>4865</v>
      </c>
      <c r="F2279" t="s">
        <v>79</v>
      </c>
      <c r="G2279" s="27" t="str">
        <f t="shared" si="70"/>
        <v>2802 TOYAH  HOUSTON</v>
      </c>
      <c r="H2279" s="27" t="str">
        <f t="shared" si="71"/>
        <v xml:space="preserve">HOUSTON TX      </v>
      </c>
    </row>
    <row r="2280" spans="1:8" x14ac:dyDescent="0.2">
      <c r="A2280" s="27">
        <f>COUNTIFS(C:C,C2280,D:D,D2280)</f>
        <v>1</v>
      </c>
      <c r="B2280" s="30">
        <v>202101161036</v>
      </c>
      <c r="C2280" t="s">
        <v>5734</v>
      </c>
      <c r="D2280" t="s">
        <v>5735</v>
      </c>
      <c r="E2280" t="s">
        <v>4854</v>
      </c>
      <c r="F2280" t="s">
        <v>78</v>
      </c>
      <c r="G2280" s="27" t="str">
        <f t="shared" si="70"/>
        <v>3018 CACTUS ST  HOUSTON</v>
      </c>
      <c r="H2280" s="27" t="str">
        <f t="shared" si="71"/>
        <v>HOUSTON TX 77026</v>
      </c>
    </row>
    <row r="2281" spans="1:8" x14ac:dyDescent="0.2">
      <c r="A2281" s="27">
        <f>COUNTIFS(C:C,C2281,D:D,D2281)</f>
        <v>1</v>
      </c>
      <c r="B2281" s="30">
        <v>202101161039</v>
      </c>
      <c r="C2281" t="s">
        <v>5637</v>
      </c>
      <c r="D2281" t="s">
        <v>5638</v>
      </c>
      <c r="E2281" t="s">
        <v>4950</v>
      </c>
      <c r="F2281" t="s">
        <v>69</v>
      </c>
      <c r="G2281" s="27" t="str">
        <f t="shared" si="70"/>
        <v>611 DORCHESTER ST  HOUSTON</v>
      </c>
      <c r="H2281" s="27" t="str">
        <f t="shared" si="71"/>
        <v>HOUSTON TX 77022</v>
      </c>
    </row>
    <row r="2282" spans="1:8" x14ac:dyDescent="0.2">
      <c r="A2282" s="27">
        <f>COUNTIFS(C:C,C2282,D:D,D2282)</f>
        <v>1</v>
      </c>
      <c r="B2282" s="30">
        <v>202101161057</v>
      </c>
      <c r="C2282" t="s">
        <v>5661</v>
      </c>
      <c r="D2282" t="s">
        <v>5662</v>
      </c>
      <c r="E2282" t="s">
        <v>4918</v>
      </c>
      <c r="F2282" t="s">
        <v>53</v>
      </c>
      <c r="G2282" s="27" t="str">
        <f t="shared" ref="G2282:G2345" si="72">D2282&amp;" "&amp;MID(E2282,1,FIND(" TX",E2282)-1)</f>
        <v>5615 HAMILL RANCH LN  HOUSTON</v>
      </c>
      <c r="H2282" s="27" t="str">
        <f t="shared" ref="H2282:H2345" si="73">"HOUSTON "&amp;MID(E2282,FIND("TX",E2282),8)</f>
        <v>HOUSTON TX 77066</v>
      </c>
    </row>
    <row r="2283" spans="1:8" x14ac:dyDescent="0.2">
      <c r="A2283" s="27">
        <f>COUNTIFS(C:C,C2283,D:D,D2283)</f>
        <v>1</v>
      </c>
      <c r="B2283" s="30">
        <v>202101161060</v>
      </c>
      <c r="C2283" t="s">
        <v>5459</v>
      </c>
      <c r="D2283" t="s">
        <v>5460</v>
      </c>
      <c r="E2283" t="s">
        <v>4862</v>
      </c>
      <c r="F2283" t="s">
        <v>357</v>
      </c>
      <c r="G2283" s="27" t="str">
        <f t="shared" si="72"/>
        <v>16354 ELLA BLVD 4110  HOUSTON</v>
      </c>
      <c r="H2283" s="27" t="str">
        <f t="shared" si="73"/>
        <v>HOUSTON TX 77090</v>
      </c>
    </row>
    <row r="2284" spans="1:8" x14ac:dyDescent="0.2">
      <c r="A2284" s="27">
        <f>COUNTIFS(C:C,C2284,D:D,D2284)</f>
        <v>1</v>
      </c>
      <c r="B2284" s="30">
        <v>202101161081</v>
      </c>
      <c r="C2284" t="s">
        <v>5536</v>
      </c>
      <c r="D2284" t="s">
        <v>5537</v>
      </c>
      <c r="E2284" t="s">
        <v>4859</v>
      </c>
      <c r="F2284" t="s">
        <v>53</v>
      </c>
      <c r="G2284" s="27" t="str">
        <f t="shared" si="72"/>
        <v>20306 PLAZA EAST BLVD  HOUSTON</v>
      </c>
      <c r="H2284" s="27" t="str">
        <f t="shared" si="73"/>
        <v>HOUSTON TX 77073</v>
      </c>
    </row>
    <row r="2285" spans="1:8" x14ac:dyDescent="0.2">
      <c r="A2285" s="27">
        <f>COUNTIFS(C:C,C2285,D:D,D2285)</f>
        <v>1</v>
      </c>
      <c r="B2285" s="30">
        <v>202101161085</v>
      </c>
      <c r="C2285" t="s">
        <v>5683</v>
      </c>
      <c r="D2285" t="s">
        <v>5684</v>
      </c>
      <c r="E2285" t="s">
        <v>4857</v>
      </c>
      <c r="F2285" t="s">
        <v>61</v>
      </c>
      <c r="G2285" s="27" t="str">
        <f t="shared" si="72"/>
        <v>4049 SHAVER ST  PASADENA</v>
      </c>
      <c r="H2285" s="27" t="str">
        <f t="shared" si="73"/>
        <v>HOUSTON TX 77505</v>
      </c>
    </row>
    <row r="2286" spans="1:8" x14ac:dyDescent="0.2">
      <c r="A2286" s="27">
        <f>COUNTIFS(C:C,C2286,D:D,D2286)</f>
        <v>1</v>
      </c>
      <c r="B2286" s="30">
        <v>202101161089</v>
      </c>
      <c r="C2286" t="s">
        <v>5327</v>
      </c>
      <c r="D2286" t="s">
        <v>437</v>
      </c>
      <c r="E2286" t="s">
        <v>4865</v>
      </c>
      <c r="F2286" t="s">
        <v>103</v>
      </c>
      <c r="G2286" s="27" t="str">
        <f t="shared" si="72"/>
        <v>10001 S GESSNER  HOUSTON</v>
      </c>
      <c r="H2286" s="27" t="str">
        <f t="shared" si="73"/>
        <v xml:space="preserve">HOUSTON TX      </v>
      </c>
    </row>
    <row r="2287" spans="1:8" x14ac:dyDescent="0.2">
      <c r="A2287" s="27">
        <f>COUNTIFS(C:C,C2287,D:D,D2287)</f>
        <v>1</v>
      </c>
      <c r="B2287" s="30">
        <v>202101161094</v>
      </c>
      <c r="C2287" t="s">
        <v>5743</v>
      </c>
      <c r="D2287" t="s">
        <v>5744</v>
      </c>
      <c r="E2287" t="s">
        <v>4910</v>
      </c>
      <c r="F2287" t="s">
        <v>79</v>
      </c>
      <c r="G2287" s="27" t="str">
        <f t="shared" si="72"/>
        <v>1818 AMIE MICHELE LN  CHANNELVIE</v>
      </c>
      <c r="H2287" s="27" t="str">
        <f t="shared" si="73"/>
        <v>HOUSTON TX 77530</v>
      </c>
    </row>
    <row r="2288" spans="1:8" x14ac:dyDescent="0.2">
      <c r="A2288" s="27">
        <f>COUNTIFS(C:C,C2288,D:D,D2288)</f>
        <v>1</v>
      </c>
      <c r="B2288" s="30">
        <v>202101161101</v>
      </c>
      <c r="C2288" t="s">
        <v>5555</v>
      </c>
      <c r="D2288" t="s">
        <v>5556</v>
      </c>
      <c r="E2288" t="s">
        <v>4939</v>
      </c>
      <c r="F2288" t="s">
        <v>68</v>
      </c>
      <c r="G2288" s="27" t="str">
        <f t="shared" si="72"/>
        <v>8901 JONES RD  HOUSTON</v>
      </c>
      <c r="H2288" s="27" t="str">
        <f t="shared" si="73"/>
        <v>HOUSTON TX 77064</v>
      </c>
    </row>
    <row r="2289" spans="1:8" x14ac:dyDescent="0.2">
      <c r="A2289" s="27">
        <f>COUNTIFS(C:C,C2289,D:D,D2289)</f>
        <v>1</v>
      </c>
      <c r="B2289" s="30">
        <v>202101161109</v>
      </c>
      <c r="C2289" t="s">
        <v>5695</v>
      </c>
      <c r="D2289" t="s">
        <v>5696</v>
      </c>
      <c r="E2289" t="s">
        <v>4932</v>
      </c>
      <c r="F2289" t="s">
        <v>69</v>
      </c>
      <c r="G2289" s="27" t="str">
        <f t="shared" si="72"/>
        <v>4001 WATONGA BLVD  HOUSTON</v>
      </c>
      <c r="H2289" s="27" t="str">
        <f t="shared" si="73"/>
        <v>HOUSTON TX 77092</v>
      </c>
    </row>
    <row r="2290" spans="1:8" x14ac:dyDescent="0.2">
      <c r="A2290" s="27">
        <f>COUNTIFS(C:C,C2290,D:D,D2290)</f>
        <v>1</v>
      </c>
      <c r="B2290" s="30">
        <v>202101161112</v>
      </c>
      <c r="C2290" t="s">
        <v>5602</v>
      </c>
      <c r="D2290" t="s">
        <v>5603</v>
      </c>
      <c r="E2290" t="s">
        <v>4876</v>
      </c>
      <c r="F2290" t="s">
        <v>75</v>
      </c>
      <c r="G2290" s="27" t="str">
        <f t="shared" si="72"/>
        <v>13480 S THORNTREE  HOUSTON</v>
      </c>
      <c r="H2290" s="27" t="str">
        <f t="shared" si="73"/>
        <v>HOUSTON TX 77015</v>
      </c>
    </row>
    <row r="2291" spans="1:8" x14ac:dyDescent="0.2">
      <c r="A2291" s="27">
        <f>COUNTIFS(C:C,C2291,D:D,D2291)</f>
        <v>1</v>
      </c>
      <c r="B2291" s="30">
        <v>202101161117</v>
      </c>
      <c r="C2291" t="s">
        <v>5749</v>
      </c>
      <c r="D2291" t="s">
        <v>5750</v>
      </c>
      <c r="E2291" t="s">
        <v>4960</v>
      </c>
      <c r="F2291" t="s">
        <v>53</v>
      </c>
      <c r="G2291" s="27" t="str">
        <f t="shared" si="72"/>
        <v>17206 IMPERIAL VALLEY DR 105 HOUSTON</v>
      </c>
      <c r="H2291" s="27" t="str">
        <f t="shared" si="73"/>
        <v>HOUSTON TX 77060</v>
      </c>
    </row>
    <row r="2292" spans="1:8" x14ac:dyDescent="0.2">
      <c r="A2292" s="27">
        <f>COUNTIFS(C:C,C2292,D:D,D2292)</f>
        <v>1</v>
      </c>
      <c r="B2292" s="30">
        <v>202101161121</v>
      </c>
      <c r="C2292" t="s">
        <v>5403</v>
      </c>
      <c r="D2292" t="s">
        <v>5404</v>
      </c>
      <c r="E2292" t="s">
        <v>4937</v>
      </c>
      <c r="F2292" t="s">
        <v>58</v>
      </c>
      <c r="G2292" s="27" t="str">
        <f t="shared" si="72"/>
        <v>166 WINKLER DR 38  HOUSTON</v>
      </c>
      <c r="H2292" s="27" t="str">
        <f t="shared" si="73"/>
        <v>HOUSTON TX 77087</v>
      </c>
    </row>
    <row r="2293" spans="1:8" x14ac:dyDescent="0.2">
      <c r="A2293" s="27">
        <f>COUNTIFS(C:C,C2293,D:D,D2293)</f>
        <v>1</v>
      </c>
      <c r="B2293" s="30">
        <v>202101161122</v>
      </c>
      <c r="C2293" t="s">
        <v>5433</v>
      </c>
      <c r="D2293" t="s">
        <v>5434</v>
      </c>
      <c r="E2293" t="s">
        <v>4970</v>
      </c>
      <c r="F2293" t="s">
        <v>87</v>
      </c>
      <c r="G2293" s="27" t="str">
        <f t="shared" si="72"/>
        <v>5929 QUEENSLOCH DR  HOUSTON</v>
      </c>
      <c r="H2293" s="27" t="str">
        <f t="shared" si="73"/>
        <v>HOUSTON TX 77096</v>
      </c>
    </row>
    <row r="2294" spans="1:8" x14ac:dyDescent="0.2">
      <c r="A2294" s="27">
        <f>COUNTIFS(C:C,C2294,D:D,D2294)</f>
        <v>1</v>
      </c>
      <c r="B2294" s="30">
        <v>202101161133</v>
      </c>
      <c r="C2294" t="s">
        <v>5681</v>
      </c>
      <c r="D2294" t="s">
        <v>5682</v>
      </c>
      <c r="E2294" t="s">
        <v>4920</v>
      </c>
      <c r="F2294" t="s">
        <v>73</v>
      </c>
      <c r="G2294" s="27" t="str">
        <f t="shared" si="72"/>
        <v>6919 MARISOL DR.  HOUSTON</v>
      </c>
      <c r="H2294" s="27" t="str">
        <f t="shared" si="73"/>
        <v>HOUSTON TX 77083</v>
      </c>
    </row>
    <row r="2295" spans="1:8" x14ac:dyDescent="0.2">
      <c r="A2295" s="27">
        <f>COUNTIFS(C:C,C2295,D:D,D2295)</f>
        <v>1</v>
      </c>
      <c r="B2295" s="30">
        <v>202101161134</v>
      </c>
      <c r="C2295" t="s">
        <v>5381</v>
      </c>
      <c r="D2295" t="s">
        <v>5382</v>
      </c>
      <c r="E2295" t="s">
        <v>4879</v>
      </c>
      <c r="F2295" t="s">
        <v>65</v>
      </c>
      <c r="G2295" s="27" t="str">
        <f t="shared" si="72"/>
        <v>2434 DRUID ST  HOUSTON</v>
      </c>
      <c r="H2295" s="27" t="str">
        <f t="shared" si="73"/>
        <v>HOUSTON TX 77091</v>
      </c>
    </row>
    <row r="2296" spans="1:8" x14ac:dyDescent="0.2">
      <c r="A2296" s="27">
        <f>COUNTIFS(C:C,C2296,D:D,D2296)</f>
        <v>1</v>
      </c>
      <c r="B2296" s="30">
        <v>202101161136</v>
      </c>
      <c r="C2296" t="s">
        <v>5591</v>
      </c>
      <c r="D2296" t="s">
        <v>3194</v>
      </c>
      <c r="E2296" t="s">
        <v>4960</v>
      </c>
      <c r="F2296" t="s">
        <v>79</v>
      </c>
      <c r="G2296" s="27" t="str">
        <f t="shared" si="72"/>
        <v>17435 IMPERIAL VALLEY DR HOUSTON</v>
      </c>
      <c r="H2296" s="27" t="str">
        <f t="shared" si="73"/>
        <v>HOUSTON TX 77060</v>
      </c>
    </row>
    <row r="2297" spans="1:8" x14ac:dyDescent="0.2">
      <c r="A2297" s="27">
        <f>COUNTIFS(C:C,C2297,D:D,D2297)</f>
        <v>1</v>
      </c>
      <c r="B2297" s="30">
        <v>202101161137</v>
      </c>
      <c r="C2297" t="s">
        <v>5649</v>
      </c>
      <c r="D2297" t="s">
        <v>5650</v>
      </c>
      <c r="E2297" t="s">
        <v>4890</v>
      </c>
      <c r="F2297" t="s">
        <v>79</v>
      </c>
      <c r="G2297" s="27" t="str">
        <f t="shared" si="72"/>
        <v>6727 TELEPHONE RD  HOUSTON</v>
      </c>
      <c r="H2297" s="27" t="str">
        <f t="shared" si="73"/>
        <v>HOUSTON TX 77061</v>
      </c>
    </row>
    <row r="2298" spans="1:8" x14ac:dyDescent="0.2">
      <c r="A2298" s="27">
        <f>COUNTIFS(C:C,C2298,D:D,D2298)</f>
        <v>1</v>
      </c>
      <c r="B2298" s="30">
        <v>202101161138</v>
      </c>
      <c r="C2298" t="s">
        <v>5754</v>
      </c>
      <c r="D2298" t="s">
        <v>5755</v>
      </c>
      <c r="E2298" t="s">
        <v>4900</v>
      </c>
      <c r="F2298" t="s">
        <v>53</v>
      </c>
      <c r="G2298" s="27" t="str">
        <f t="shared" si="72"/>
        <v>18742 DRIFTWOOD SPRIN GS DR KATY</v>
      </c>
      <c r="H2298" s="27" t="str">
        <f t="shared" si="73"/>
        <v>HOUSTON TX 77449</v>
      </c>
    </row>
    <row r="2299" spans="1:8" x14ac:dyDescent="0.2">
      <c r="A2299" s="27">
        <f>COUNTIFS(C:C,C2299,D:D,D2299)</f>
        <v>1</v>
      </c>
      <c r="B2299" s="30">
        <v>202101161139</v>
      </c>
      <c r="C2299" t="s">
        <v>5758</v>
      </c>
      <c r="D2299" t="s">
        <v>5759</v>
      </c>
      <c r="E2299" t="s">
        <v>4856</v>
      </c>
      <c r="F2299" t="s">
        <v>64</v>
      </c>
      <c r="G2299" s="27" t="str">
        <f t="shared" si="72"/>
        <v>8606 FINDLAY ST  HOUSTON</v>
      </c>
      <c r="H2299" s="27" t="str">
        <f t="shared" si="73"/>
        <v>HOUSTON TX 77017</v>
      </c>
    </row>
    <row r="2300" spans="1:8" x14ac:dyDescent="0.2">
      <c r="A2300" s="27">
        <f>COUNTIFS(C:C,C2300,D:D,D2300)</f>
        <v>1</v>
      </c>
      <c r="B2300" s="30">
        <v>202101161143</v>
      </c>
      <c r="C2300" t="s">
        <v>5685</v>
      </c>
      <c r="D2300" t="s">
        <v>5686</v>
      </c>
      <c r="E2300" t="s">
        <v>4986</v>
      </c>
      <c r="F2300" t="s">
        <v>78</v>
      </c>
      <c r="G2300" s="27" t="str">
        <f t="shared" si="72"/>
        <v>3455 FM 1960 RD  HUMBLE</v>
      </c>
      <c r="H2300" s="27" t="str">
        <f t="shared" si="73"/>
        <v>HOUSTON TX 77338</v>
      </c>
    </row>
    <row r="2301" spans="1:8" x14ac:dyDescent="0.2">
      <c r="A2301" s="27">
        <f>COUNTIFS(C:C,C2301,D:D,D2301)</f>
        <v>1</v>
      </c>
      <c r="B2301" s="30">
        <v>202101161150</v>
      </c>
      <c r="C2301" t="s">
        <v>5470</v>
      </c>
      <c r="D2301" t="s">
        <v>5471</v>
      </c>
      <c r="E2301" t="s">
        <v>4916</v>
      </c>
      <c r="F2301" t="s">
        <v>53</v>
      </c>
      <c r="G2301" s="27" t="str">
        <f t="shared" si="72"/>
        <v>134 SANDY COVE  NASSAU BAY</v>
      </c>
      <c r="H2301" s="27" t="str">
        <f t="shared" si="73"/>
        <v>HOUSTON TX 77058</v>
      </c>
    </row>
    <row r="2302" spans="1:8" x14ac:dyDescent="0.2">
      <c r="A2302" s="27">
        <f>COUNTIFS(C:C,C2302,D:D,D2302)</f>
        <v>1</v>
      </c>
      <c r="B2302" s="30">
        <v>202101161152</v>
      </c>
      <c r="C2302" t="s">
        <v>5760</v>
      </c>
      <c r="D2302" t="s">
        <v>5761</v>
      </c>
      <c r="E2302" t="s">
        <v>4987</v>
      </c>
      <c r="F2302" t="s">
        <v>80</v>
      </c>
      <c r="G2302" s="27" t="str">
        <f t="shared" si="72"/>
        <v>8101 AMELIA RD 209B  HOUSTON</v>
      </c>
      <c r="H2302" s="27" t="str">
        <f t="shared" si="73"/>
        <v>HOUSTON TX 77055</v>
      </c>
    </row>
    <row r="2303" spans="1:8" x14ac:dyDescent="0.2">
      <c r="A2303" s="27">
        <f>COUNTIFS(C:C,C2303,D:D,D2303)</f>
        <v>1</v>
      </c>
      <c r="B2303" s="30">
        <v>202101161154</v>
      </c>
      <c r="C2303" t="s">
        <v>5589</v>
      </c>
      <c r="D2303" t="s">
        <v>5590</v>
      </c>
      <c r="E2303" t="s">
        <v>4872</v>
      </c>
      <c r="F2303" t="s">
        <v>79</v>
      </c>
      <c r="G2303" s="27" t="str">
        <f t="shared" si="72"/>
        <v>8166 HOMEWOOD LN  HOUSTON</v>
      </c>
      <c r="H2303" s="27" t="str">
        <f t="shared" si="73"/>
        <v>HOUSTON TX 77028</v>
      </c>
    </row>
    <row r="2304" spans="1:8" x14ac:dyDescent="0.2">
      <c r="A2304" s="27">
        <f>COUNTIFS(C:C,C2304,D:D,D2304)</f>
        <v>1</v>
      </c>
      <c r="B2304" s="30">
        <v>202101161157</v>
      </c>
      <c r="C2304" t="s">
        <v>5574</v>
      </c>
      <c r="D2304" t="s">
        <v>5575</v>
      </c>
      <c r="E2304" t="s">
        <v>4943</v>
      </c>
      <c r="F2304" t="s">
        <v>53</v>
      </c>
      <c r="G2304" s="27" t="str">
        <f t="shared" si="72"/>
        <v>4902 EVERGREEN HAVEN CT HOUSTON</v>
      </c>
      <c r="H2304" s="27" t="str">
        <f t="shared" si="73"/>
        <v>HOUSTON TX 77084</v>
      </c>
    </row>
    <row r="2305" spans="1:8" x14ac:dyDescent="0.2">
      <c r="A2305" s="27">
        <f>COUNTIFS(C:C,C2305,D:D,D2305)</f>
        <v>1</v>
      </c>
      <c r="B2305" s="30">
        <v>202101161158</v>
      </c>
      <c r="C2305" t="s">
        <v>5530</v>
      </c>
      <c r="D2305" t="s">
        <v>5531</v>
      </c>
      <c r="E2305" t="s">
        <v>4983</v>
      </c>
      <c r="F2305" t="s">
        <v>79</v>
      </c>
      <c r="G2305" s="27" t="str">
        <f t="shared" si="72"/>
        <v>12903 SUGAR RIDGE LN  STAFFORD</v>
      </c>
      <c r="H2305" s="27" t="str">
        <f t="shared" si="73"/>
        <v>HOUSTON TX 77477</v>
      </c>
    </row>
    <row r="2306" spans="1:8" x14ac:dyDescent="0.2">
      <c r="A2306" s="27">
        <f>COUNTIFS(C:C,C2306,D:D,D2306)</f>
        <v>1</v>
      </c>
      <c r="B2306" s="30">
        <v>202101161164</v>
      </c>
      <c r="C2306" t="s">
        <v>5606</v>
      </c>
      <c r="D2306" t="s">
        <v>5607</v>
      </c>
      <c r="E2306" t="s">
        <v>4928</v>
      </c>
      <c r="F2306" t="s">
        <v>5309</v>
      </c>
      <c r="G2306" s="27" t="str">
        <f t="shared" si="72"/>
        <v>210 BEGONIA LN  HIGHLANDS</v>
      </c>
      <c r="H2306" s="27" t="str">
        <f t="shared" si="73"/>
        <v>HOUSTON TX 77562</v>
      </c>
    </row>
    <row r="2307" spans="1:8" x14ac:dyDescent="0.2">
      <c r="A2307" s="27">
        <f>COUNTIFS(C:C,C2307,D:D,D2307)</f>
        <v>1</v>
      </c>
      <c r="B2307" s="30">
        <v>202101161167</v>
      </c>
      <c r="C2307" t="s">
        <v>5764</v>
      </c>
      <c r="D2307" t="s">
        <v>5765</v>
      </c>
      <c r="E2307" t="s">
        <v>4865</v>
      </c>
      <c r="F2307" t="s">
        <v>78</v>
      </c>
      <c r="G2307" s="27" t="str">
        <f t="shared" si="72"/>
        <v>6606 LUTHER ST  HOUSTON</v>
      </c>
      <c r="H2307" s="27" t="str">
        <f t="shared" si="73"/>
        <v xml:space="preserve">HOUSTON TX      </v>
      </c>
    </row>
    <row r="2308" spans="1:8" x14ac:dyDescent="0.2">
      <c r="A2308" s="27">
        <f>COUNTIFS(C:C,C2308,D:D,D2308)</f>
        <v>1</v>
      </c>
      <c r="B2308" s="30">
        <v>202101161174</v>
      </c>
      <c r="C2308" t="s">
        <v>5663</v>
      </c>
      <c r="D2308" t="s">
        <v>5664</v>
      </c>
      <c r="E2308" t="s">
        <v>4891</v>
      </c>
      <c r="F2308" t="s">
        <v>87</v>
      </c>
      <c r="G2308" s="27" t="str">
        <f t="shared" si="72"/>
        <v>2835 VEGA ST  HOUSTON</v>
      </c>
      <c r="H2308" s="27" t="str">
        <f t="shared" si="73"/>
        <v>HOUSTON TX 77088</v>
      </c>
    </row>
    <row r="2309" spans="1:8" x14ac:dyDescent="0.2">
      <c r="A2309" s="27">
        <f>COUNTIFS(C:C,C2309,D:D,D2309)</f>
        <v>1</v>
      </c>
      <c r="B2309" s="30">
        <v>202101161175</v>
      </c>
      <c r="C2309" t="s">
        <v>5768</v>
      </c>
      <c r="D2309" t="s">
        <v>5769</v>
      </c>
      <c r="E2309" t="s">
        <v>4853</v>
      </c>
      <c r="F2309" t="s">
        <v>86</v>
      </c>
      <c r="G2309" s="27" t="str">
        <f t="shared" si="72"/>
        <v>3414 KOWIS STREET  HOUSTON</v>
      </c>
      <c r="H2309" s="27" t="str">
        <f t="shared" si="73"/>
        <v>HOUSTON TX 77039</v>
      </c>
    </row>
    <row r="2310" spans="1:8" x14ac:dyDescent="0.2">
      <c r="A2310" s="27">
        <f>COUNTIFS(C:C,C2310,D:D,D2310)</f>
        <v>1</v>
      </c>
      <c r="B2310" s="30">
        <v>202101161181</v>
      </c>
      <c r="C2310" t="s">
        <v>5655</v>
      </c>
      <c r="D2310" t="s">
        <v>5656</v>
      </c>
      <c r="E2310" t="s">
        <v>5114</v>
      </c>
      <c r="F2310" t="s">
        <v>64</v>
      </c>
      <c r="G2310" s="27" t="str">
        <f t="shared" si="72"/>
        <v>1383 CALVERT DR  CEDAR HILL</v>
      </c>
      <c r="H2310" s="27" t="str">
        <f t="shared" si="73"/>
        <v>HOUSTON TX 75104</v>
      </c>
    </row>
    <row r="2311" spans="1:8" x14ac:dyDescent="0.2">
      <c r="A2311" s="27">
        <f>COUNTIFS(C:C,C2311,D:D,D2311)</f>
        <v>1</v>
      </c>
      <c r="B2311" s="30">
        <v>202101161184</v>
      </c>
      <c r="C2311" t="s">
        <v>5544</v>
      </c>
      <c r="D2311" t="s">
        <v>1568</v>
      </c>
      <c r="E2311" t="s">
        <v>4935</v>
      </c>
      <c r="F2311" t="s">
        <v>64</v>
      </c>
      <c r="G2311" s="27" t="str">
        <f t="shared" si="72"/>
        <v>2350 ATASCOCITA ROAD  HUMBLE</v>
      </c>
      <c r="H2311" s="27" t="str">
        <f t="shared" si="73"/>
        <v>HOUSTON TX 77396</v>
      </c>
    </row>
    <row r="2312" spans="1:8" x14ac:dyDescent="0.2">
      <c r="A2312" s="27">
        <f>COUNTIFS(C:C,C2312,D:D,D2312)</f>
        <v>1</v>
      </c>
      <c r="B2312" s="30">
        <v>202101161189</v>
      </c>
      <c r="C2312" t="s">
        <v>5528</v>
      </c>
      <c r="D2312" t="s">
        <v>5529</v>
      </c>
      <c r="E2312" t="s">
        <v>4978</v>
      </c>
      <c r="F2312" t="s">
        <v>79</v>
      </c>
      <c r="G2312" s="27" t="str">
        <f t="shared" si="72"/>
        <v>13226 CHIMNEY SWEEP D R HOUSTON</v>
      </c>
      <c r="H2312" s="27" t="str">
        <f t="shared" si="73"/>
        <v>HOUSTON TX 77041</v>
      </c>
    </row>
    <row r="2313" spans="1:8" x14ac:dyDescent="0.2">
      <c r="A2313" s="27">
        <f>COUNTIFS(C:C,C2313,D:D,D2313)</f>
        <v>1</v>
      </c>
      <c r="B2313" s="30">
        <v>202101161191</v>
      </c>
      <c r="C2313" t="s">
        <v>5401</v>
      </c>
      <c r="D2313" t="s">
        <v>5402</v>
      </c>
      <c r="E2313" t="s">
        <v>4852</v>
      </c>
      <c r="F2313" t="s">
        <v>75</v>
      </c>
      <c r="G2313" s="27" t="str">
        <f t="shared" si="72"/>
        <v>7309 BOGGESS RD  HOUSTON</v>
      </c>
      <c r="H2313" s="27" t="str">
        <f t="shared" si="73"/>
        <v>HOUSTON TX 77016</v>
      </c>
    </row>
    <row r="2314" spans="1:8" x14ac:dyDescent="0.2">
      <c r="A2314" s="27">
        <f>COUNTIFS(C:C,C2314,D:D,D2314)</f>
        <v>1</v>
      </c>
      <c r="B2314" s="30">
        <v>202101161198</v>
      </c>
      <c r="C2314" t="s">
        <v>5770</v>
      </c>
      <c r="D2314" t="s">
        <v>5771</v>
      </c>
      <c r="E2314" t="s">
        <v>4932</v>
      </c>
      <c r="F2314" t="s">
        <v>79</v>
      </c>
      <c r="G2314" s="27" t="str">
        <f t="shared" si="72"/>
        <v>3700 WATONGA BLVD AP T 2014 HOUSTON</v>
      </c>
      <c r="H2314" s="27" t="str">
        <f t="shared" si="73"/>
        <v>HOUSTON TX 77092</v>
      </c>
    </row>
    <row r="2315" spans="1:8" x14ac:dyDescent="0.2">
      <c r="A2315" s="27">
        <f>COUNTIFS(C:C,C2315,D:D,D2315)</f>
        <v>1</v>
      </c>
      <c r="B2315" s="30">
        <v>202101161199</v>
      </c>
      <c r="C2315" t="s">
        <v>5482</v>
      </c>
      <c r="D2315" t="s">
        <v>5483</v>
      </c>
      <c r="E2315" t="s">
        <v>4879</v>
      </c>
      <c r="F2315" t="s">
        <v>75</v>
      </c>
      <c r="G2315" s="27" t="str">
        <f t="shared" si="72"/>
        <v>784 MILLIVILLE DR  HOUSTON</v>
      </c>
      <c r="H2315" s="27" t="str">
        <f t="shared" si="73"/>
        <v>HOUSTON TX 77091</v>
      </c>
    </row>
    <row r="2316" spans="1:8" x14ac:dyDescent="0.2">
      <c r="A2316" s="27">
        <f>COUNTIFS(C:C,C2316,D:D,D2316)</f>
        <v>1</v>
      </c>
      <c r="B2316" s="30">
        <v>202101161201</v>
      </c>
      <c r="C2316" t="s">
        <v>5772</v>
      </c>
      <c r="D2316" t="s">
        <v>5773</v>
      </c>
      <c r="E2316" t="s">
        <v>4852</v>
      </c>
      <c r="F2316" t="s">
        <v>79</v>
      </c>
      <c r="G2316" s="27" t="str">
        <f t="shared" si="72"/>
        <v>10138 CHEEVES DR  HOUSTON</v>
      </c>
      <c r="H2316" s="27" t="str">
        <f t="shared" si="73"/>
        <v>HOUSTON TX 77016</v>
      </c>
    </row>
    <row r="2317" spans="1:8" x14ac:dyDescent="0.2">
      <c r="A2317" s="27">
        <f>COUNTIFS(C:C,C2317,D:D,D2317)</f>
        <v>1</v>
      </c>
      <c r="B2317" s="30">
        <v>202101161217</v>
      </c>
      <c r="C2317" t="s">
        <v>5532</v>
      </c>
      <c r="D2317" t="s">
        <v>5533</v>
      </c>
      <c r="E2317" t="s">
        <v>4934</v>
      </c>
      <c r="F2317" t="s">
        <v>87</v>
      </c>
      <c r="G2317" s="27" t="str">
        <f t="shared" si="72"/>
        <v>7411 CAPITOL ST  HOUSTON</v>
      </c>
      <c r="H2317" s="27" t="str">
        <f t="shared" si="73"/>
        <v>HOUSTON TX 77011</v>
      </c>
    </row>
    <row r="2318" spans="1:8" x14ac:dyDescent="0.2">
      <c r="A2318" s="27">
        <f>COUNTIFS(C:C,C2318,D:D,D2318)</f>
        <v>1</v>
      </c>
      <c r="B2318" s="30">
        <v>202101161228</v>
      </c>
      <c r="C2318" t="s">
        <v>5583</v>
      </c>
      <c r="D2318" t="s">
        <v>5584</v>
      </c>
      <c r="E2318" t="s">
        <v>4879</v>
      </c>
      <c r="F2318" t="s">
        <v>53</v>
      </c>
      <c r="G2318" s="27" t="str">
        <f t="shared" si="72"/>
        <v>1210 W DONOVAN  HOUSTON</v>
      </c>
      <c r="H2318" s="27" t="str">
        <f t="shared" si="73"/>
        <v>HOUSTON TX 77091</v>
      </c>
    </row>
    <row r="2319" spans="1:8" x14ac:dyDescent="0.2">
      <c r="A2319" s="27">
        <f>COUNTIFS(C:C,C2319,D:D,D2319)</f>
        <v>1</v>
      </c>
      <c r="B2319" s="30">
        <v>202101161230</v>
      </c>
      <c r="C2319" t="s">
        <v>5337</v>
      </c>
      <c r="D2319" t="s">
        <v>5338</v>
      </c>
      <c r="E2319" t="s">
        <v>4915</v>
      </c>
      <c r="F2319" t="s">
        <v>75</v>
      </c>
      <c r="G2319" s="27" t="str">
        <f t="shared" si="72"/>
        <v>6801 CONLEY ST  HOUSTON</v>
      </c>
      <c r="H2319" s="27" t="str">
        <f t="shared" si="73"/>
        <v>HOUSTON TX 77021</v>
      </c>
    </row>
    <row r="2320" spans="1:8" x14ac:dyDescent="0.2">
      <c r="A2320" s="27">
        <f>COUNTIFS(C:C,C2320,D:D,D2320)</f>
        <v>1</v>
      </c>
      <c r="B2320" s="30">
        <v>202101161232</v>
      </c>
      <c r="C2320" t="s">
        <v>5711</v>
      </c>
      <c r="D2320" t="s">
        <v>5712</v>
      </c>
      <c r="E2320" t="s">
        <v>4952</v>
      </c>
      <c r="F2320" t="s">
        <v>64</v>
      </c>
      <c r="G2320" s="27" t="str">
        <f t="shared" si="72"/>
        <v>2216 HARRIS  PASADENA</v>
      </c>
      <c r="H2320" s="27" t="str">
        <f t="shared" si="73"/>
        <v>HOUSTON TX 77506</v>
      </c>
    </row>
    <row r="2321" spans="1:8" x14ac:dyDescent="0.2">
      <c r="A2321" s="27">
        <f>COUNTIFS(C:C,C2321,D:D,D2321)</f>
        <v>1</v>
      </c>
      <c r="B2321" s="30">
        <v>202101161252</v>
      </c>
      <c r="C2321" t="s">
        <v>5780</v>
      </c>
      <c r="D2321" t="s">
        <v>5781</v>
      </c>
      <c r="E2321" t="s">
        <v>5782</v>
      </c>
      <c r="F2321" t="s">
        <v>79</v>
      </c>
      <c r="G2321" s="27" t="str">
        <f t="shared" si="72"/>
        <v>5230 ALLEN DR  BEAUMONT</v>
      </c>
      <c r="H2321" s="27" t="str">
        <f t="shared" si="73"/>
        <v>HOUSTON TX 77708</v>
      </c>
    </row>
    <row r="2322" spans="1:8" x14ac:dyDescent="0.2">
      <c r="A2322" s="27">
        <f>COUNTIFS(C:C,C2322,D:D,D2322)</f>
        <v>1</v>
      </c>
      <c r="B2322" s="30">
        <v>202101161254</v>
      </c>
      <c r="C2322" t="s">
        <v>5553</v>
      </c>
      <c r="D2322" t="s">
        <v>5554</v>
      </c>
      <c r="E2322" t="s">
        <v>4931</v>
      </c>
      <c r="F2322" t="s">
        <v>79</v>
      </c>
      <c r="G2322" s="27" t="str">
        <f t="shared" si="72"/>
        <v>2302 COBBDALE LN  HOUSTON</v>
      </c>
      <c r="H2322" s="27" t="str">
        <f t="shared" si="73"/>
        <v>HOUSTON TX 77014</v>
      </c>
    </row>
    <row r="2323" spans="1:8" x14ac:dyDescent="0.2">
      <c r="A2323" s="27">
        <f>COUNTIFS(C:C,C2323,D:D,D2323)</f>
        <v>1</v>
      </c>
      <c r="B2323" s="30">
        <v>202101161256</v>
      </c>
      <c r="C2323" t="s">
        <v>5515</v>
      </c>
      <c r="D2323" t="s">
        <v>5516</v>
      </c>
      <c r="E2323" t="s">
        <v>5061</v>
      </c>
      <c r="F2323" t="s">
        <v>71</v>
      </c>
      <c r="G2323" s="27" t="str">
        <f t="shared" si="72"/>
        <v>1098 COUNTY RD 6479  DAYTON</v>
      </c>
      <c r="H2323" s="27" t="str">
        <f t="shared" si="73"/>
        <v>HOUSTON TX 77535</v>
      </c>
    </row>
    <row r="2324" spans="1:8" x14ac:dyDescent="0.2">
      <c r="A2324" s="27">
        <f>COUNTIFS(C:C,C2324,D:D,D2324)</f>
        <v>1</v>
      </c>
      <c r="B2324" s="30">
        <v>202101161261</v>
      </c>
      <c r="C2324" t="s">
        <v>5783</v>
      </c>
      <c r="D2324" t="s">
        <v>5784</v>
      </c>
      <c r="E2324" t="s">
        <v>4933</v>
      </c>
      <c r="F2324" t="s">
        <v>5314</v>
      </c>
      <c r="G2324" s="27" t="str">
        <f t="shared" si="72"/>
        <v>2112 BAUER PARK DR  HOUSTON</v>
      </c>
      <c r="H2324" s="27" t="str">
        <f t="shared" si="73"/>
        <v>HOUSTON TX 77080</v>
      </c>
    </row>
    <row r="2325" spans="1:8" x14ac:dyDescent="0.2">
      <c r="A2325" s="27">
        <f>COUNTIFS(C:C,C2325,D:D,D2325)</f>
        <v>1</v>
      </c>
      <c r="B2325" s="30">
        <v>202101161263</v>
      </c>
      <c r="C2325" t="s">
        <v>5498</v>
      </c>
      <c r="D2325" t="s">
        <v>5499</v>
      </c>
      <c r="E2325" t="s">
        <v>4981</v>
      </c>
      <c r="F2325" t="s">
        <v>51</v>
      </c>
      <c r="G2325" s="27" t="str">
        <f t="shared" si="72"/>
        <v>1315 MARLEEN ST  HOUSTON</v>
      </c>
      <c r="H2325" s="27" t="str">
        <f t="shared" si="73"/>
        <v>HOUSTON TX 77034</v>
      </c>
    </row>
    <row r="2326" spans="1:8" x14ac:dyDescent="0.2">
      <c r="A2326" s="27">
        <f>COUNTIFS(C:C,C2326,D:D,D2326)</f>
        <v>1</v>
      </c>
      <c r="B2326" s="30">
        <v>202101161265</v>
      </c>
      <c r="C2326" t="s">
        <v>5540</v>
      </c>
      <c r="D2326" t="s">
        <v>5541</v>
      </c>
      <c r="E2326" t="s">
        <v>4862</v>
      </c>
      <c r="F2326" t="s">
        <v>70</v>
      </c>
      <c r="G2326" s="27" t="str">
        <f t="shared" si="72"/>
        <v>17331 RED OAK DR APT 27 HOUSTON</v>
      </c>
      <c r="H2326" s="27" t="str">
        <f t="shared" si="73"/>
        <v>HOUSTON TX 77090</v>
      </c>
    </row>
    <row r="2327" spans="1:8" x14ac:dyDescent="0.2">
      <c r="A2327" s="27">
        <f>COUNTIFS(C:C,C2327,D:D,D2327)</f>
        <v>1</v>
      </c>
      <c r="B2327" s="30">
        <v>202101161291</v>
      </c>
      <c r="C2327" t="s">
        <v>5785</v>
      </c>
      <c r="D2327" t="s">
        <v>5786</v>
      </c>
      <c r="E2327" t="s">
        <v>5097</v>
      </c>
      <c r="F2327" t="s">
        <v>53</v>
      </c>
      <c r="G2327" s="27" t="str">
        <f t="shared" si="72"/>
        <v>7447 CAMBRIDGE ST  HOUSTON</v>
      </c>
      <c r="H2327" s="27" t="str">
        <f t="shared" si="73"/>
        <v>HOUSTON TX 77054</v>
      </c>
    </row>
    <row r="2328" spans="1:8" x14ac:dyDescent="0.2">
      <c r="A2328" s="27">
        <f>COUNTIFS(C:C,C2328,D:D,D2328)</f>
        <v>1</v>
      </c>
      <c r="B2328" s="30">
        <v>202101161292</v>
      </c>
      <c r="C2328" t="s">
        <v>5374</v>
      </c>
      <c r="D2328" t="s">
        <v>5375</v>
      </c>
      <c r="E2328" t="s">
        <v>4956</v>
      </c>
      <c r="F2328" t="s">
        <v>87</v>
      </c>
      <c r="G2328" s="27" t="str">
        <f t="shared" si="72"/>
        <v>19422 DEE OAKS DR  HUMBLE</v>
      </c>
      <c r="H2328" s="27" t="str">
        <f t="shared" si="73"/>
        <v>HOUSTON TX 77346</v>
      </c>
    </row>
    <row r="2329" spans="1:8" x14ac:dyDescent="0.2">
      <c r="A2329" s="27">
        <f>COUNTIFS(C:C,C2329,D:D,D2329)</f>
        <v>1</v>
      </c>
      <c r="B2329" s="30">
        <v>202101161294</v>
      </c>
      <c r="C2329" t="s">
        <v>5545</v>
      </c>
      <c r="D2329" t="s">
        <v>5546</v>
      </c>
      <c r="E2329" t="s">
        <v>4901</v>
      </c>
      <c r="F2329" t="s">
        <v>75</v>
      </c>
      <c r="G2329" s="27" t="str">
        <f t="shared" si="72"/>
        <v>10522 BEECHNUT ST APT 3522 HOUSTON</v>
      </c>
      <c r="H2329" s="27" t="str">
        <f t="shared" si="73"/>
        <v>HOUSTON TX 77072</v>
      </c>
    </row>
    <row r="2330" spans="1:8" x14ac:dyDescent="0.2">
      <c r="A2330" s="27">
        <f>COUNTIFS(C:C,C2330,D:D,D2330)</f>
        <v>1</v>
      </c>
      <c r="B2330" s="30">
        <v>202101161295</v>
      </c>
      <c r="C2330" t="s">
        <v>5790</v>
      </c>
      <c r="D2330" t="s">
        <v>5791</v>
      </c>
      <c r="E2330" t="s">
        <v>4855</v>
      </c>
      <c r="F2330" t="s">
        <v>5316</v>
      </c>
      <c r="G2330" s="27" t="str">
        <f t="shared" si="72"/>
        <v>8322 MADERA RD  HOUSTON</v>
      </c>
      <c r="H2330" s="27" t="str">
        <f t="shared" si="73"/>
        <v>HOUSTON TX 77078</v>
      </c>
    </row>
    <row r="2331" spans="1:8" x14ac:dyDescent="0.2">
      <c r="A2331" s="27">
        <f>COUNTIFS(C:C,C2331,D:D,D2331)</f>
        <v>1</v>
      </c>
      <c r="B2331" s="30">
        <v>202101161297</v>
      </c>
      <c r="C2331" t="s">
        <v>5792</v>
      </c>
      <c r="D2331" t="s">
        <v>5793</v>
      </c>
      <c r="E2331" t="s">
        <v>4978</v>
      </c>
      <c r="F2331" t="s">
        <v>79</v>
      </c>
      <c r="G2331" s="27" t="str">
        <f t="shared" si="72"/>
        <v>13346 SOMERSWORTH  HOUSTON</v>
      </c>
      <c r="H2331" s="27" t="str">
        <f t="shared" si="73"/>
        <v>HOUSTON TX 77041</v>
      </c>
    </row>
    <row r="2332" spans="1:8" x14ac:dyDescent="0.2">
      <c r="A2332" s="27">
        <f>COUNTIFS(C:C,C2332,D:D,D2332)</f>
        <v>1</v>
      </c>
      <c r="B2332" s="30">
        <v>202101161298</v>
      </c>
      <c r="C2332" t="s">
        <v>5332</v>
      </c>
      <c r="D2332" t="s">
        <v>5333</v>
      </c>
      <c r="E2332" t="s">
        <v>5334</v>
      </c>
      <c r="F2332" t="s">
        <v>64</v>
      </c>
      <c r="G2332" s="27" t="str">
        <f t="shared" si="72"/>
        <v>2404 BLUE BONNET  HOUSTON</v>
      </c>
      <c r="H2332" s="27" t="str">
        <f t="shared" si="73"/>
        <v>HOUSTON TX 77030</v>
      </c>
    </row>
    <row r="2333" spans="1:8" x14ac:dyDescent="0.2">
      <c r="A2333" s="27">
        <f>COUNTIFS(C:C,C2333,D:D,D2333)</f>
        <v>1</v>
      </c>
      <c r="B2333" s="30">
        <v>202101161309</v>
      </c>
      <c r="C2333" t="s">
        <v>5419</v>
      </c>
      <c r="D2333" t="s">
        <v>5420</v>
      </c>
      <c r="E2333" t="s">
        <v>4875</v>
      </c>
      <c r="F2333" t="s">
        <v>56</v>
      </c>
      <c r="G2333" s="27" t="str">
        <f t="shared" si="72"/>
        <v>2310 HARDWOOD LN  HOUSTON</v>
      </c>
      <c r="H2333" s="27" t="str">
        <f t="shared" si="73"/>
        <v>HOUSTON TX 77093</v>
      </c>
    </row>
    <row r="2334" spans="1:8" x14ac:dyDescent="0.2">
      <c r="A2334" s="27">
        <f>COUNTIFS(C:C,C2334,D:D,D2334)</f>
        <v>1</v>
      </c>
      <c r="B2334" s="30">
        <v>202101161310</v>
      </c>
      <c r="C2334" t="s">
        <v>5598</v>
      </c>
      <c r="D2334" t="s">
        <v>5599</v>
      </c>
      <c r="E2334" t="s">
        <v>4850</v>
      </c>
      <c r="F2334" t="s">
        <v>75</v>
      </c>
      <c r="G2334" s="27" t="str">
        <f t="shared" si="72"/>
        <v>12323 BARBIZON DR  HOUSTON</v>
      </c>
      <c r="H2334" s="27" t="str">
        <f t="shared" si="73"/>
        <v>HOUSTON TX 77089</v>
      </c>
    </row>
    <row r="2335" spans="1:8" x14ac:dyDescent="0.2">
      <c r="A2335" s="27">
        <f>COUNTIFS(C:C,C2335,D:D,D2335)</f>
        <v>1</v>
      </c>
      <c r="B2335" s="30">
        <v>202101161312</v>
      </c>
      <c r="C2335" t="s">
        <v>5796</v>
      </c>
      <c r="D2335" t="s">
        <v>5797</v>
      </c>
      <c r="E2335" t="s">
        <v>5007</v>
      </c>
      <c r="F2335" t="s">
        <v>78</v>
      </c>
      <c r="G2335" s="27" t="str">
        <f t="shared" si="72"/>
        <v>247 BEAR CREEK DR  LUFKIN</v>
      </c>
      <c r="H2335" s="27" t="str">
        <f t="shared" si="73"/>
        <v>HOUSTON TX 75901</v>
      </c>
    </row>
    <row r="2336" spans="1:8" x14ac:dyDescent="0.2">
      <c r="A2336" s="27">
        <f>COUNTIFS(C:C,C2336,D:D,D2336)</f>
        <v>1</v>
      </c>
      <c r="B2336" s="30">
        <v>202101161315</v>
      </c>
      <c r="C2336" t="s">
        <v>5659</v>
      </c>
      <c r="D2336" t="s">
        <v>5660</v>
      </c>
      <c r="E2336" t="s">
        <v>4864</v>
      </c>
      <c r="F2336" t="s">
        <v>76</v>
      </c>
      <c r="G2336" s="27" t="str">
        <f t="shared" si="72"/>
        <v>1817 PANNELL ST  HOUSTON</v>
      </c>
      <c r="H2336" s="27" t="str">
        <f t="shared" si="73"/>
        <v>HOUSTON TX 77020</v>
      </c>
    </row>
    <row r="2337" spans="1:8" x14ac:dyDescent="0.2">
      <c r="A2337" s="27">
        <f>COUNTIFS(C:C,C2337,D:D,D2337)</f>
        <v>1</v>
      </c>
      <c r="B2337" s="30">
        <v>202101161319</v>
      </c>
      <c r="C2337" t="s">
        <v>5687</v>
      </c>
      <c r="D2337" t="s">
        <v>5688</v>
      </c>
      <c r="E2337" t="s">
        <v>4901</v>
      </c>
      <c r="F2337" t="s">
        <v>75</v>
      </c>
      <c r="G2337" s="27" t="str">
        <f t="shared" si="72"/>
        <v>12107 CEDAR GAP LN  HOUSTON</v>
      </c>
      <c r="H2337" s="27" t="str">
        <f t="shared" si="73"/>
        <v>HOUSTON TX 77072</v>
      </c>
    </row>
    <row r="2338" spans="1:8" x14ac:dyDescent="0.2">
      <c r="A2338" s="27">
        <f>COUNTIFS(C:C,C2338,D:D,D2338)</f>
        <v>1</v>
      </c>
      <c r="B2338" s="30">
        <v>202101161321</v>
      </c>
      <c r="C2338" t="s">
        <v>5618</v>
      </c>
      <c r="D2338" t="s">
        <v>5619</v>
      </c>
      <c r="E2338" t="s">
        <v>4854</v>
      </c>
      <c r="F2338" t="s">
        <v>5292</v>
      </c>
      <c r="G2338" s="27" t="str">
        <f t="shared" si="72"/>
        <v>1917 MELBOURNE  HOUSTON</v>
      </c>
      <c r="H2338" s="27" t="str">
        <f t="shared" si="73"/>
        <v>HOUSTON TX 77026</v>
      </c>
    </row>
    <row r="2339" spans="1:8" x14ac:dyDescent="0.2">
      <c r="A2339" s="27">
        <f>COUNTIFS(C:C,C2339,D:D,D2339)</f>
        <v>1</v>
      </c>
      <c r="B2339" s="30">
        <v>202101161323</v>
      </c>
      <c r="C2339" t="s">
        <v>5633</v>
      </c>
      <c r="D2339" t="s">
        <v>5634</v>
      </c>
      <c r="E2339" t="s">
        <v>4907</v>
      </c>
      <c r="F2339" t="s">
        <v>5292</v>
      </c>
      <c r="G2339" s="27" t="str">
        <f t="shared" si="72"/>
        <v>2914 HUCKLEBERRY LN  PASADENA</v>
      </c>
      <c r="H2339" s="27" t="str">
        <f t="shared" si="73"/>
        <v>HOUSTON TX 77502</v>
      </c>
    </row>
    <row r="2340" spans="1:8" x14ac:dyDescent="0.2">
      <c r="A2340" s="27">
        <f>COUNTIFS(C:C,C2340,D:D,D2340)</f>
        <v>1</v>
      </c>
      <c r="B2340" s="30">
        <v>202101161330</v>
      </c>
      <c r="C2340" t="s">
        <v>5798</v>
      </c>
      <c r="D2340" t="s">
        <v>5799</v>
      </c>
      <c r="E2340" t="s">
        <v>5064</v>
      </c>
      <c r="F2340" t="s">
        <v>71</v>
      </c>
      <c r="G2340" s="27" t="str">
        <f t="shared" si="72"/>
        <v>7200 AVE P 1/2  GALVESTON</v>
      </c>
      <c r="H2340" s="27" t="str">
        <f t="shared" si="73"/>
        <v>HOUSTON TX 77550</v>
      </c>
    </row>
    <row r="2341" spans="1:8" x14ac:dyDescent="0.2">
      <c r="A2341" s="27">
        <f>COUNTIFS(C:C,C2341,D:D,D2341)</f>
        <v>1</v>
      </c>
      <c r="B2341" s="30">
        <v>202101161333</v>
      </c>
      <c r="C2341" t="s">
        <v>5800</v>
      </c>
      <c r="D2341" t="s">
        <v>5801</v>
      </c>
      <c r="E2341" t="s">
        <v>5065</v>
      </c>
      <c r="F2341" t="s">
        <v>79</v>
      </c>
      <c r="G2341" s="27" t="str">
        <f t="shared" si="72"/>
        <v>2887 MORNING POND LN  DICKINSON</v>
      </c>
      <c r="H2341" s="27" t="str">
        <f t="shared" si="73"/>
        <v>HOUSTON TX 77539</v>
      </c>
    </row>
    <row r="2342" spans="1:8" x14ac:dyDescent="0.2">
      <c r="A2342" s="27">
        <f>COUNTIFS(C:C,C2342,D:D,D2342)</f>
        <v>1</v>
      </c>
      <c r="B2342" s="30">
        <v>202101161334</v>
      </c>
      <c r="C2342" t="s">
        <v>5693</v>
      </c>
      <c r="D2342" t="s">
        <v>5694</v>
      </c>
      <c r="E2342" t="s">
        <v>4951</v>
      </c>
      <c r="F2342" t="s">
        <v>79</v>
      </c>
      <c r="G2342" s="27" t="str">
        <f t="shared" si="72"/>
        <v>9942 LYNETTE FALLS D R HOUSTON</v>
      </c>
      <c r="H2342" s="27" t="str">
        <f t="shared" si="73"/>
        <v>HOUSTON TX 77095</v>
      </c>
    </row>
    <row r="2343" spans="1:8" x14ac:dyDescent="0.2">
      <c r="A2343" s="27">
        <f>COUNTIFS(C:C,C2343,D:D,D2343)</f>
        <v>1</v>
      </c>
      <c r="B2343" s="30">
        <v>202101161335</v>
      </c>
      <c r="C2343" t="s">
        <v>5802</v>
      </c>
      <c r="D2343" t="s">
        <v>5803</v>
      </c>
      <c r="E2343" t="s">
        <v>4891</v>
      </c>
      <c r="F2343" t="s">
        <v>71</v>
      </c>
      <c r="G2343" s="27" t="str">
        <f t="shared" si="72"/>
        <v>1415 W GULF BANK RD APT 312 HOUSTON</v>
      </c>
      <c r="H2343" s="27" t="str">
        <f t="shared" si="73"/>
        <v>HOUSTON TX 77088</v>
      </c>
    </row>
    <row r="2344" spans="1:8" x14ac:dyDescent="0.2">
      <c r="A2344" s="27">
        <f>COUNTIFS(C:C,C2344,D:D,D2344)</f>
        <v>1</v>
      </c>
      <c r="B2344" s="30">
        <v>202101161341</v>
      </c>
      <c r="C2344" t="s">
        <v>5614</v>
      </c>
      <c r="D2344" t="s">
        <v>5615</v>
      </c>
      <c r="E2344" t="s">
        <v>4867</v>
      </c>
      <c r="F2344" t="s">
        <v>87</v>
      </c>
      <c r="G2344" s="27" t="str">
        <f t="shared" si="72"/>
        <v>4540 MCKINNEY ST APT 4 HOUSTON</v>
      </c>
      <c r="H2344" s="27" t="str">
        <f t="shared" si="73"/>
        <v>HOUSTON TX 77023</v>
      </c>
    </row>
    <row r="2345" spans="1:8" x14ac:dyDescent="0.2">
      <c r="A2345" s="27">
        <f>COUNTIFS(C:C,C2345,D:D,D2345)</f>
        <v>1</v>
      </c>
      <c r="B2345" s="30">
        <v>202101161342</v>
      </c>
      <c r="C2345" t="s">
        <v>5691</v>
      </c>
      <c r="D2345" t="s">
        <v>5692</v>
      </c>
      <c r="E2345" t="s">
        <v>4914</v>
      </c>
      <c r="F2345" t="s">
        <v>343</v>
      </c>
      <c r="G2345" s="27" t="str">
        <f t="shared" si="72"/>
        <v>14515 BRIAR FOREST DR  HOUSTON</v>
      </c>
      <c r="H2345" s="27" t="str">
        <f t="shared" si="73"/>
        <v>HOUSTON TX 77077</v>
      </c>
    </row>
    <row r="2346" spans="1:8" x14ac:dyDescent="0.2">
      <c r="A2346" s="27">
        <f>COUNTIFS(C:C,C2346,D:D,D2346)</f>
        <v>1</v>
      </c>
      <c r="B2346" s="30">
        <v>202101161359</v>
      </c>
      <c r="C2346" t="s">
        <v>5709</v>
      </c>
      <c r="D2346" t="s">
        <v>5710</v>
      </c>
      <c r="E2346" t="s">
        <v>5117</v>
      </c>
      <c r="F2346" t="s">
        <v>75</v>
      </c>
      <c r="G2346" s="27" t="str">
        <f t="shared" ref="G2346:G2409" si="74">D2346&amp;" "&amp;MID(E2346,1,FIND(" TX",E2346)-1)</f>
        <v>22094 SUN HAVEN LN  PORTER</v>
      </c>
      <c r="H2346" s="27" t="str">
        <f t="shared" ref="H2346:H2409" si="75">"HOUSTON "&amp;MID(E2346,FIND("TX",E2346),8)</f>
        <v>HOUSTON TX 77365</v>
      </c>
    </row>
    <row r="2347" spans="1:8" x14ac:dyDescent="0.2">
      <c r="A2347" s="27">
        <f>COUNTIFS(C:C,C2347,D:D,D2347)</f>
        <v>1</v>
      </c>
      <c r="B2347" s="30">
        <v>202101161370</v>
      </c>
      <c r="C2347" t="s">
        <v>5627</v>
      </c>
      <c r="D2347" t="s">
        <v>5628</v>
      </c>
      <c r="E2347" t="s">
        <v>4900</v>
      </c>
      <c r="F2347" t="s">
        <v>79</v>
      </c>
      <c r="G2347" s="27" t="str">
        <f t="shared" si="74"/>
        <v>20110 COOPERS GULCH T RL KATY</v>
      </c>
      <c r="H2347" s="27" t="str">
        <f t="shared" si="75"/>
        <v>HOUSTON TX 77449</v>
      </c>
    </row>
    <row r="2348" spans="1:8" x14ac:dyDescent="0.2">
      <c r="A2348" s="27">
        <f>COUNTIFS(C:C,C2348,D:D,D2348)</f>
        <v>1</v>
      </c>
      <c r="B2348" s="30">
        <v>202101161372</v>
      </c>
      <c r="C2348" t="s">
        <v>5811</v>
      </c>
      <c r="D2348" t="s">
        <v>5812</v>
      </c>
      <c r="E2348" t="s">
        <v>5009</v>
      </c>
      <c r="F2348" t="s">
        <v>53</v>
      </c>
      <c r="G2348" s="27" t="str">
        <f t="shared" si="74"/>
        <v>2401 REPSDORPH RD  SEABROOK</v>
      </c>
      <c r="H2348" s="27" t="str">
        <f t="shared" si="75"/>
        <v>HOUSTON TX 77586</v>
      </c>
    </row>
    <row r="2349" spans="1:8" x14ac:dyDescent="0.2">
      <c r="A2349" s="27">
        <f>COUNTIFS(C:C,C2349,D:D,D2349)</f>
        <v>1</v>
      </c>
      <c r="B2349" s="30">
        <v>202101161378</v>
      </c>
      <c r="C2349" t="s">
        <v>5651</v>
      </c>
      <c r="D2349" t="s">
        <v>5652</v>
      </c>
      <c r="E2349" t="s">
        <v>4900</v>
      </c>
      <c r="F2349" t="s">
        <v>79</v>
      </c>
      <c r="G2349" s="27" t="str">
        <f t="shared" si="74"/>
        <v>3618 BENBROOK SPRING S LN KATY</v>
      </c>
      <c r="H2349" s="27" t="str">
        <f t="shared" si="75"/>
        <v>HOUSTON TX 77449</v>
      </c>
    </row>
    <row r="2350" spans="1:8" x14ac:dyDescent="0.2">
      <c r="A2350" s="27">
        <f>COUNTIFS(C:C,C2350,D:D,D2350)</f>
        <v>1</v>
      </c>
      <c r="B2350" s="30">
        <v>202101161379</v>
      </c>
      <c r="C2350" t="s">
        <v>5468</v>
      </c>
      <c r="D2350" t="s">
        <v>5469</v>
      </c>
      <c r="E2350" t="s">
        <v>4953</v>
      </c>
      <c r="F2350" t="s">
        <v>79</v>
      </c>
      <c r="G2350" s="27" t="str">
        <f t="shared" si="74"/>
        <v>7805 NARCISSUS ST  HOUSTON</v>
      </c>
      <c r="H2350" s="27" t="str">
        <f t="shared" si="75"/>
        <v>HOUSTON TX 77012</v>
      </c>
    </row>
    <row r="2351" spans="1:8" x14ac:dyDescent="0.2">
      <c r="A2351" s="27">
        <f>COUNTIFS(C:C,C2351,D:D,D2351)</f>
        <v>1</v>
      </c>
      <c r="B2351" s="30">
        <v>202101161381</v>
      </c>
      <c r="C2351" t="s">
        <v>5500</v>
      </c>
      <c r="D2351" t="s">
        <v>5501</v>
      </c>
      <c r="E2351" t="s">
        <v>4901</v>
      </c>
      <c r="F2351" t="s">
        <v>78</v>
      </c>
      <c r="G2351" s="27" t="str">
        <f t="shared" si="74"/>
        <v>7723 DEL GLEN LN  HOUSTON</v>
      </c>
      <c r="H2351" s="27" t="str">
        <f t="shared" si="75"/>
        <v>HOUSTON TX 77072</v>
      </c>
    </row>
    <row r="2352" spans="1:8" x14ac:dyDescent="0.2">
      <c r="A2352" s="27">
        <f>COUNTIFS(C:C,C2352,D:D,D2352)</f>
        <v>1</v>
      </c>
      <c r="B2352" s="30">
        <v>202101161383</v>
      </c>
      <c r="C2352" t="s">
        <v>5818</v>
      </c>
      <c r="D2352" t="s">
        <v>5819</v>
      </c>
      <c r="E2352" t="s">
        <v>4910</v>
      </c>
      <c r="F2352" t="s">
        <v>68</v>
      </c>
      <c r="G2352" s="27" t="str">
        <f t="shared" si="74"/>
        <v>950 STEVENAGE LN  CHANNELVIE</v>
      </c>
      <c r="H2352" s="27" t="str">
        <f t="shared" si="75"/>
        <v>HOUSTON TX 77530</v>
      </c>
    </row>
    <row r="2353" spans="1:8" x14ac:dyDescent="0.2">
      <c r="A2353" s="27">
        <f>COUNTIFS(C:C,C2353,D:D,D2353)</f>
        <v>1</v>
      </c>
      <c r="B2353" s="30">
        <v>202101161386</v>
      </c>
      <c r="C2353" t="s">
        <v>5596</v>
      </c>
      <c r="D2353" t="s">
        <v>5597</v>
      </c>
      <c r="E2353" t="s">
        <v>4901</v>
      </c>
      <c r="F2353" t="s">
        <v>104</v>
      </c>
      <c r="G2353" s="27" t="str">
        <f t="shared" si="74"/>
        <v>12857 HIGH STAR DR  HOUSTON</v>
      </c>
      <c r="H2353" s="27" t="str">
        <f t="shared" si="75"/>
        <v>HOUSTON TX 77072</v>
      </c>
    </row>
    <row r="2354" spans="1:8" x14ac:dyDescent="0.2">
      <c r="A2354" s="27">
        <f>COUNTIFS(C:C,C2354,D:D,D2354)</f>
        <v>1</v>
      </c>
      <c r="B2354" s="30">
        <v>202101161387</v>
      </c>
      <c r="C2354" t="s">
        <v>5822</v>
      </c>
      <c r="D2354" t="s">
        <v>5823</v>
      </c>
      <c r="E2354" t="s">
        <v>4984</v>
      </c>
      <c r="F2354" t="s">
        <v>71</v>
      </c>
      <c r="G2354" s="27" t="str">
        <f t="shared" si="74"/>
        <v>5023 QUAIL GATE DR  SPRING</v>
      </c>
      <c r="H2354" s="27" t="str">
        <f t="shared" si="75"/>
        <v>HOUSTON TX 77373</v>
      </c>
    </row>
    <row r="2355" spans="1:8" x14ac:dyDescent="0.2">
      <c r="A2355" s="27">
        <f>COUNTIFS(C:C,C2355,D:D,D2355)</f>
        <v>1</v>
      </c>
      <c r="B2355" s="30">
        <v>202101161388</v>
      </c>
      <c r="C2355" t="s">
        <v>5665</v>
      </c>
      <c r="D2355" t="s">
        <v>5666</v>
      </c>
      <c r="E2355" t="s">
        <v>5667</v>
      </c>
      <c r="F2355" t="s">
        <v>78</v>
      </c>
      <c r="G2355" s="27" t="str">
        <f t="shared" si="74"/>
        <v>14501 GARBER LN  HOUSTON</v>
      </c>
      <c r="H2355" s="27" t="str">
        <f t="shared" si="75"/>
        <v>HOUSTON TX 7015</v>
      </c>
    </row>
    <row r="2356" spans="1:8" x14ac:dyDescent="0.2">
      <c r="A2356" s="27">
        <f>COUNTIFS(C:C,C2356,D:D,D2356)</f>
        <v>1</v>
      </c>
      <c r="B2356" s="30">
        <v>202101161391</v>
      </c>
      <c r="C2356" t="s">
        <v>5600</v>
      </c>
      <c r="D2356" t="s">
        <v>5601</v>
      </c>
      <c r="E2356" t="s">
        <v>4853</v>
      </c>
      <c r="F2356" t="s">
        <v>68</v>
      </c>
      <c r="G2356" s="27" t="str">
        <f t="shared" si="74"/>
        <v>1506 SANDYDALE LN  HOUSTON</v>
      </c>
      <c r="H2356" s="27" t="str">
        <f t="shared" si="75"/>
        <v>HOUSTON TX 77039</v>
      </c>
    </row>
    <row r="2357" spans="1:8" x14ac:dyDescent="0.2">
      <c r="A2357" s="27">
        <f>COUNTIFS(C:C,C2357,D:D,D2357)</f>
        <v>1</v>
      </c>
      <c r="B2357" s="30">
        <v>202101161395</v>
      </c>
      <c r="C2357" t="s">
        <v>5828</v>
      </c>
      <c r="D2357" t="s">
        <v>5829</v>
      </c>
      <c r="E2357" t="s">
        <v>4864</v>
      </c>
      <c r="F2357" t="s">
        <v>5318</v>
      </c>
      <c r="G2357" s="27" t="str">
        <f t="shared" si="74"/>
        <v>4719 HARE ST  HOUSTON</v>
      </c>
      <c r="H2357" s="27" t="str">
        <f t="shared" si="75"/>
        <v>HOUSTON TX 77020</v>
      </c>
    </row>
    <row r="2358" spans="1:8" x14ac:dyDescent="0.2">
      <c r="A2358" s="27">
        <f>COUNTIFS(C:C,C2358,D:D,D2358)</f>
        <v>1</v>
      </c>
      <c r="B2358" s="30">
        <v>202101161398</v>
      </c>
      <c r="C2358" t="s">
        <v>5354</v>
      </c>
      <c r="D2358" t="s">
        <v>5355</v>
      </c>
      <c r="E2358" t="s">
        <v>4901</v>
      </c>
      <c r="F2358" t="s">
        <v>5300</v>
      </c>
      <c r="G2358" s="27" t="str">
        <f t="shared" si="74"/>
        <v>12345 SHARPVIEW  HOUSTON</v>
      </c>
      <c r="H2358" s="27" t="str">
        <f t="shared" si="75"/>
        <v>HOUSTON TX 77072</v>
      </c>
    </row>
    <row r="2359" spans="1:8" x14ac:dyDescent="0.2">
      <c r="A2359" s="27">
        <f>COUNTIFS(C:C,C2359,D:D,D2359)</f>
        <v>1</v>
      </c>
      <c r="B2359" s="30">
        <v>202101161399</v>
      </c>
      <c r="C2359" t="s">
        <v>5647</v>
      </c>
      <c r="D2359" t="s">
        <v>5648</v>
      </c>
      <c r="E2359" t="s">
        <v>5097</v>
      </c>
      <c r="F2359" t="s">
        <v>79</v>
      </c>
      <c r="G2359" s="27" t="str">
        <f t="shared" si="74"/>
        <v>3736 MAIN PLAZA DR  HOUSTON</v>
      </c>
      <c r="H2359" s="27" t="str">
        <f t="shared" si="75"/>
        <v>HOUSTON TX 77054</v>
      </c>
    </row>
    <row r="2360" spans="1:8" x14ac:dyDescent="0.2">
      <c r="A2360" s="27">
        <f>COUNTIFS(C:C,C2360,D:D,D2360)</f>
        <v>1</v>
      </c>
      <c r="B2360" s="30">
        <v>202101161402</v>
      </c>
      <c r="C2360" t="s">
        <v>5832</v>
      </c>
      <c r="D2360" t="s">
        <v>5833</v>
      </c>
      <c r="E2360" t="s">
        <v>4898</v>
      </c>
      <c r="F2360" t="s">
        <v>79</v>
      </c>
      <c r="G2360" s="27" t="str">
        <f t="shared" si="74"/>
        <v>9465 CLERWOOD DR  HOUSTON</v>
      </c>
      <c r="H2360" s="27" t="str">
        <f t="shared" si="75"/>
        <v>HOUSTON TX 77075</v>
      </c>
    </row>
    <row r="2361" spans="1:8" x14ac:dyDescent="0.2">
      <c r="A2361" s="27">
        <f>COUNTIFS(C:C,C2361,D:D,D2361)</f>
        <v>1</v>
      </c>
      <c r="B2361" s="30">
        <v>202101161407</v>
      </c>
      <c r="C2361" t="s">
        <v>5466</v>
      </c>
      <c r="D2361" t="s">
        <v>5467</v>
      </c>
      <c r="E2361" t="s">
        <v>5019</v>
      </c>
      <c r="F2361" t="s">
        <v>79</v>
      </c>
      <c r="G2361" s="27" t="str">
        <f t="shared" si="74"/>
        <v>1367 WROTHAM LN  HOUSTON</v>
      </c>
      <c r="H2361" s="27" t="str">
        <f t="shared" si="75"/>
        <v>HOUSTON TX 77530</v>
      </c>
    </row>
    <row r="2362" spans="1:8" x14ac:dyDescent="0.2">
      <c r="A2362" s="27">
        <f>COUNTIFS(C:C,C2362,D:D,D2362)</f>
        <v>1</v>
      </c>
      <c r="B2362" s="30">
        <v>202101161411</v>
      </c>
      <c r="C2362" t="s">
        <v>5440</v>
      </c>
      <c r="D2362" t="s">
        <v>5441</v>
      </c>
      <c r="E2362" t="s">
        <v>4934</v>
      </c>
      <c r="F2362" t="s">
        <v>57</v>
      </c>
      <c r="G2362" s="27" t="str">
        <f t="shared" si="74"/>
        <v>7330 AVENUE K  HOUSTON</v>
      </c>
      <c r="H2362" s="27" t="str">
        <f t="shared" si="75"/>
        <v>HOUSTON TX 77011</v>
      </c>
    </row>
    <row r="2363" spans="1:8" x14ac:dyDescent="0.2">
      <c r="A2363" s="27">
        <f>COUNTIFS(C:C,C2363,D:D,D2363)</f>
        <v>1</v>
      </c>
      <c r="B2363" s="30">
        <v>202101161412</v>
      </c>
      <c r="C2363" t="s">
        <v>5836</v>
      </c>
      <c r="D2363" t="s">
        <v>5837</v>
      </c>
      <c r="E2363" t="s">
        <v>4933</v>
      </c>
      <c r="F2363" t="s">
        <v>78</v>
      </c>
      <c r="G2363" s="27" t="str">
        <f t="shared" si="74"/>
        <v>3950 HOLLISTER ST 25 7 HOUSTON</v>
      </c>
      <c r="H2363" s="27" t="str">
        <f t="shared" si="75"/>
        <v>HOUSTON TX 77080</v>
      </c>
    </row>
    <row r="2364" spans="1:8" x14ac:dyDescent="0.2">
      <c r="A2364" s="27">
        <f>COUNTIFS(C:C,C2364,D:D,D2364)</f>
        <v>1</v>
      </c>
      <c r="B2364" s="30">
        <v>202101161413</v>
      </c>
      <c r="C2364" t="s">
        <v>5631</v>
      </c>
      <c r="D2364" t="s">
        <v>5632</v>
      </c>
      <c r="E2364" t="s">
        <v>4867</v>
      </c>
      <c r="F2364" t="s">
        <v>64</v>
      </c>
      <c r="G2364" s="27" t="str">
        <f t="shared" si="74"/>
        <v>7501 ELM ST  HOUSTON</v>
      </c>
      <c r="H2364" s="27" t="str">
        <f t="shared" si="75"/>
        <v>HOUSTON TX 77023</v>
      </c>
    </row>
    <row r="2365" spans="1:8" x14ac:dyDescent="0.2">
      <c r="A2365" s="27">
        <f>COUNTIFS(C:C,C2365,D:D,D2365)</f>
        <v>1</v>
      </c>
      <c r="B2365" s="30">
        <v>202101161416</v>
      </c>
      <c r="C2365" t="s">
        <v>5838</v>
      </c>
      <c r="D2365" t="s">
        <v>5839</v>
      </c>
      <c r="E2365" t="s">
        <v>4933</v>
      </c>
      <c r="F2365" t="s">
        <v>78</v>
      </c>
      <c r="G2365" s="27" t="str">
        <f t="shared" si="74"/>
        <v>9000 KEMPWOOD DR  HOUSTON</v>
      </c>
      <c r="H2365" s="27" t="str">
        <f t="shared" si="75"/>
        <v>HOUSTON TX 77080</v>
      </c>
    </row>
    <row r="2366" spans="1:8" x14ac:dyDescent="0.2">
      <c r="A2366" s="27">
        <f>COUNTIFS(C:C,C2366,D:D,D2366)</f>
        <v>1</v>
      </c>
      <c r="B2366" s="30">
        <v>202101161417</v>
      </c>
      <c r="C2366" t="s">
        <v>5840</v>
      </c>
      <c r="D2366" t="s">
        <v>5841</v>
      </c>
      <c r="E2366" t="s">
        <v>4973</v>
      </c>
      <c r="F2366" t="s">
        <v>51</v>
      </c>
      <c r="G2366" s="27" t="str">
        <f t="shared" si="74"/>
        <v>6500 HORNWOOD DR  HOUSTON</v>
      </c>
      <c r="H2366" s="27" t="str">
        <f t="shared" si="75"/>
        <v>HOUSTON TX 77074</v>
      </c>
    </row>
    <row r="2367" spans="1:8" x14ac:dyDescent="0.2">
      <c r="A2367" s="27">
        <f>COUNTIFS(C:C,C2367,D:D,D2367)</f>
        <v>1</v>
      </c>
      <c r="B2367" s="30">
        <v>202101161418</v>
      </c>
      <c r="C2367" t="s">
        <v>5842</v>
      </c>
      <c r="D2367" t="s">
        <v>5843</v>
      </c>
      <c r="E2367" t="s">
        <v>5033</v>
      </c>
      <c r="F2367" t="s">
        <v>51</v>
      </c>
      <c r="G2367" s="27" t="str">
        <f t="shared" si="74"/>
        <v>3002 PAXTON HILLS LA NE KATY</v>
      </c>
      <c r="H2367" s="27" t="str">
        <f t="shared" si="75"/>
        <v>HOUSTON TX 77494</v>
      </c>
    </row>
    <row r="2368" spans="1:8" x14ac:dyDescent="0.2">
      <c r="A2368" s="27">
        <f>COUNTIFS(C:C,C2368,D:D,D2368)</f>
        <v>1</v>
      </c>
      <c r="B2368" s="30">
        <v>202101161425</v>
      </c>
      <c r="C2368" t="s">
        <v>5621</v>
      </c>
      <c r="D2368" t="s">
        <v>5622</v>
      </c>
      <c r="E2368" t="s">
        <v>5014</v>
      </c>
      <c r="F2368" t="s">
        <v>72</v>
      </c>
      <c r="G2368" s="27" t="str">
        <f t="shared" si="74"/>
        <v>9715 STONEMONT  LA PORTE</v>
      </c>
      <c r="H2368" s="27" t="str">
        <f t="shared" si="75"/>
        <v>HOUSTON TX 77571</v>
      </c>
    </row>
    <row r="2369" spans="1:8" x14ac:dyDescent="0.2">
      <c r="A2369" s="27">
        <f>COUNTIFS(C:C,C2369,D:D,D2369)</f>
        <v>1</v>
      </c>
      <c r="B2369" s="30">
        <v>202101161426</v>
      </c>
      <c r="C2369" t="s">
        <v>5393</v>
      </c>
      <c r="D2369" t="s">
        <v>5394</v>
      </c>
      <c r="E2369" t="s">
        <v>4915</v>
      </c>
      <c r="F2369" t="s">
        <v>51</v>
      </c>
      <c r="G2369" s="27" t="str">
        <f t="shared" si="74"/>
        <v>6603 CONLEY ST  HOUSTON</v>
      </c>
      <c r="H2369" s="27" t="str">
        <f t="shared" si="75"/>
        <v>HOUSTON TX 77021</v>
      </c>
    </row>
    <row r="2370" spans="1:8" x14ac:dyDescent="0.2">
      <c r="A2370" s="27">
        <f>COUNTIFS(C:C,C2370,D:D,D2370)</f>
        <v>1</v>
      </c>
      <c r="B2370" s="30">
        <v>202101161427</v>
      </c>
      <c r="C2370" t="s">
        <v>5523</v>
      </c>
      <c r="D2370" t="s">
        <v>5524</v>
      </c>
      <c r="E2370" t="s">
        <v>5525</v>
      </c>
      <c r="F2370" t="s">
        <v>64</v>
      </c>
      <c r="G2370" s="27" t="str">
        <f t="shared" si="74"/>
        <v>2010 LASALLE LN  WEBSTER</v>
      </c>
      <c r="H2370" s="27" t="str">
        <f t="shared" si="75"/>
        <v>HOUSTON TX 77546</v>
      </c>
    </row>
    <row r="2371" spans="1:8" x14ac:dyDescent="0.2">
      <c r="A2371" s="27">
        <f>COUNTIFS(C:C,C2371,D:D,D2371)</f>
        <v>1</v>
      </c>
      <c r="B2371" s="30">
        <v>202101161428</v>
      </c>
      <c r="C2371" t="s">
        <v>5653</v>
      </c>
      <c r="D2371" t="s">
        <v>5654</v>
      </c>
      <c r="E2371" t="s">
        <v>4917</v>
      </c>
      <c r="F2371" t="s">
        <v>51</v>
      </c>
      <c r="G2371" s="27" t="str">
        <f t="shared" si="74"/>
        <v>10950 WESTBRAE PKWY  HOUSTON</v>
      </c>
      <c r="H2371" s="27" t="str">
        <f t="shared" si="75"/>
        <v>HOUSTON TX 77031</v>
      </c>
    </row>
    <row r="2372" spans="1:8" x14ac:dyDescent="0.2">
      <c r="A2372" s="27">
        <f>COUNTIFS(C:C,C2372,D:D,D2372)</f>
        <v>1</v>
      </c>
      <c r="B2372" s="30">
        <v>202101161429</v>
      </c>
      <c r="C2372" t="s">
        <v>5461</v>
      </c>
      <c r="D2372" t="s">
        <v>5462</v>
      </c>
      <c r="E2372" t="s">
        <v>4856</v>
      </c>
      <c r="F2372" t="s">
        <v>64</v>
      </c>
      <c r="G2372" s="27" t="str">
        <f t="shared" si="74"/>
        <v>2724 BROADWAY 79  HOUSTON</v>
      </c>
      <c r="H2372" s="27" t="str">
        <f t="shared" si="75"/>
        <v>HOUSTON TX 77017</v>
      </c>
    </row>
    <row r="2373" spans="1:8" x14ac:dyDescent="0.2">
      <c r="A2373" s="27">
        <f>COUNTIFS(C:C,C2373,D:D,D2373)</f>
        <v>1</v>
      </c>
      <c r="B2373" s="30">
        <v>202101161437</v>
      </c>
      <c r="C2373" t="s">
        <v>5513</v>
      </c>
      <c r="D2373" t="s">
        <v>5514</v>
      </c>
      <c r="E2373" t="s">
        <v>4850</v>
      </c>
      <c r="F2373" t="s">
        <v>5294</v>
      </c>
      <c r="G2373" s="27" t="str">
        <f t="shared" si="74"/>
        <v>12714 WHITE PLAINS  HOUSTON</v>
      </c>
      <c r="H2373" s="27" t="str">
        <f t="shared" si="75"/>
        <v>HOUSTON TX 77089</v>
      </c>
    </row>
    <row r="2374" spans="1:8" x14ac:dyDescent="0.2">
      <c r="A2374" s="27">
        <f>COUNTIFS(C:C,C2374,D:D,D2374)</f>
        <v>1</v>
      </c>
      <c r="B2374" s="30">
        <v>202101161438</v>
      </c>
      <c r="C2374" t="s">
        <v>5566</v>
      </c>
      <c r="D2374" t="s">
        <v>5567</v>
      </c>
      <c r="E2374" t="s">
        <v>4988</v>
      </c>
      <c r="F2374" t="s">
        <v>79</v>
      </c>
      <c r="G2374" s="27" t="str">
        <f t="shared" si="74"/>
        <v>1203 TINY TREE DR  MISSOURI C</v>
      </c>
      <c r="H2374" s="27" t="str">
        <f t="shared" si="75"/>
        <v>HOUSTON TX 77489</v>
      </c>
    </row>
    <row r="2375" spans="1:8" x14ac:dyDescent="0.2">
      <c r="A2375" s="27">
        <f>COUNTIFS(C:C,C2375,D:D,D2375)</f>
        <v>1</v>
      </c>
      <c r="B2375" s="30">
        <v>202101161441</v>
      </c>
      <c r="C2375" t="s">
        <v>5551</v>
      </c>
      <c r="D2375" t="s">
        <v>5552</v>
      </c>
      <c r="E2375" t="s">
        <v>4893</v>
      </c>
      <c r="F2375" t="s">
        <v>79</v>
      </c>
      <c r="G2375" s="27" t="str">
        <f t="shared" si="74"/>
        <v>3502 DARLINGHURST RD  HOUSTON</v>
      </c>
      <c r="H2375" s="27" t="str">
        <f t="shared" si="75"/>
        <v>HOUSTON TX 77045</v>
      </c>
    </row>
    <row r="2376" spans="1:8" x14ac:dyDescent="0.2">
      <c r="A2376" s="27">
        <f>COUNTIFS(C:C,C2376,D:D,D2376)</f>
        <v>1</v>
      </c>
      <c r="B2376" s="30">
        <v>202101161442</v>
      </c>
      <c r="C2376" t="s">
        <v>5844</v>
      </c>
      <c r="D2376" t="s">
        <v>5845</v>
      </c>
      <c r="E2376" t="s">
        <v>5121</v>
      </c>
      <c r="F2376" t="s">
        <v>79</v>
      </c>
      <c r="G2376" s="27" t="str">
        <f t="shared" si="74"/>
        <v>530 BRANDING IRON L N HARRIS CO</v>
      </c>
      <c r="H2376" s="27" t="str">
        <f t="shared" si="75"/>
        <v>HOUSTON TX 77060</v>
      </c>
    </row>
    <row r="2377" spans="1:8" x14ac:dyDescent="0.2">
      <c r="A2377" s="27">
        <f>COUNTIFS(C:C,C2377,D:D,D2377)</f>
        <v>1</v>
      </c>
      <c r="B2377" s="30">
        <v>202101161444</v>
      </c>
      <c r="C2377" t="s">
        <v>5564</v>
      </c>
      <c r="D2377" t="s">
        <v>5565</v>
      </c>
      <c r="E2377" t="s">
        <v>4889</v>
      </c>
      <c r="F2377" t="s">
        <v>79</v>
      </c>
      <c r="G2377" s="27" t="str">
        <f t="shared" si="74"/>
        <v>2002 BRIDGECROSSLLN  HOUSTON</v>
      </c>
      <c r="H2377" s="27" t="str">
        <f t="shared" si="75"/>
        <v>HOUSTON TX 77067</v>
      </c>
    </row>
    <row r="2378" spans="1:8" x14ac:dyDescent="0.2">
      <c r="A2378" s="27">
        <f>COUNTIFS(C:C,C2378,D:D,D2378)</f>
        <v>1</v>
      </c>
      <c r="B2378" s="30">
        <v>202101161445</v>
      </c>
      <c r="C2378" t="s">
        <v>5846</v>
      </c>
      <c r="D2378" t="s">
        <v>5847</v>
      </c>
      <c r="E2378" t="s">
        <v>5073</v>
      </c>
      <c r="F2378" t="s">
        <v>53</v>
      </c>
      <c r="G2378" s="27" t="str">
        <f t="shared" si="74"/>
        <v>1235 NORTH LOOP WEST SUITE 101 HOUSTON</v>
      </c>
      <c r="H2378" s="27" t="str">
        <f t="shared" si="75"/>
        <v>HOUSTON TX 77008</v>
      </c>
    </row>
    <row r="2379" spans="1:8" x14ac:dyDescent="0.2">
      <c r="A2379" s="27">
        <f>COUNTIFS(C:C,C2379,D:D,D2379)</f>
        <v>1</v>
      </c>
      <c r="B2379" s="30">
        <v>202101161452</v>
      </c>
      <c r="C2379" t="s">
        <v>5362</v>
      </c>
      <c r="D2379" t="s">
        <v>5363</v>
      </c>
      <c r="E2379" t="s">
        <v>4880</v>
      </c>
      <c r="F2379" t="s">
        <v>75</v>
      </c>
      <c r="G2379" s="27" t="str">
        <f t="shared" si="74"/>
        <v>3214 HUTCHINS ST APT 2 HOUSTON</v>
      </c>
      <c r="H2379" s="27" t="str">
        <f t="shared" si="75"/>
        <v>HOUSTON TX 77004</v>
      </c>
    </row>
    <row r="2380" spans="1:8" x14ac:dyDescent="0.2">
      <c r="A2380" s="27">
        <f>COUNTIFS(C:C,C2380,D:D,D2380)</f>
        <v>1</v>
      </c>
      <c r="B2380" s="30">
        <v>202101161460</v>
      </c>
      <c r="C2380" t="s">
        <v>5446</v>
      </c>
      <c r="D2380" t="s">
        <v>5447</v>
      </c>
      <c r="E2380" t="s">
        <v>4909</v>
      </c>
      <c r="F2380" t="s">
        <v>79</v>
      </c>
      <c r="G2380" s="27" t="str">
        <f t="shared" si="74"/>
        <v>5411 RIDGEMONT PL  HOUSTON</v>
      </c>
      <c r="H2380" s="27" t="str">
        <f t="shared" si="75"/>
        <v>HOUSTON TX 77053</v>
      </c>
    </row>
    <row r="2381" spans="1:8" x14ac:dyDescent="0.2">
      <c r="A2381" s="27">
        <f>COUNTIFS(C:C,C2381,D:D,D2381)</f>
        <v>1</v>
      </c>
      <c r="B2381" s="30">
        <v>202101161471</v>
      </c>
      <c r="C2381" t="s">
        <v>5864</v>
      </c>
      <c r="D2381" t="s">
        <v>5865</v>
      </c>
      <c r="E2381" t="s">
        <v>4969</v>
      </c>
      <c r="F2381" t="s">
        <v>79</v>
      </c>
      <c r="G2381" s="27" t="str">
        <f t="shared" si="74"/>
        <v>22511 WENBURY DR  TOMBALL</v>
      </c>
      <c r="H2381" s="27" t="str">
        <f t="shared" si="75"/>
        <v>HOUSTON TX 77375</v>
      </c>
    </row>
    <row r="2382" spans="1:8" x14ac:dyDescent="0.2">
      <c r="A2382" s="27">
        <f>COUNTIFS(C:C,C2382,D:D,D2382)</f>
        <v>1</v>
      </c>
      <c r="B2382" s="30">
        <v>202101161472</v>
      </c>
      <c r="C2382" t="s">
        <v>5868</v>
      </c>
      <c r="D2382" t="s">
        <v>5869</v>
      </c>
      <c r="E2382" t="s">
        <v>4941</v>
      </c>
      <c r="F2382" t="s">
        <v>5300</v>
      </c>
      <c r="G2382" s="27" t="str">
        <f t="shared" si="74"/>
        <v>12035 HUFFMEISTER RD APT 925 CYPRESS</v>
      </c>
      <c r="H2382" s="27" t="str">
        <f t="shared" si="75"/>
        <v>HOUSTON TX 77429</v>
      </c>
    </row>
    <row r="2383" spans="1:8" x14ac:dyDescent="0.2">
      <c r="A2383" s="27">
        <f>COUNTIFS(C:C,C2383,D:D,D2383)</f>
        <v>1</v>
      </c>
      <c r="B2383" s="30">
        <v>202101161488</v>
      </c>
      <c r="C2383" t="s">
        <v>5870</v>
      </c>
      <c r="D2383" t="s">
        <v>5871</v>
      </c>
      <c r="E2383" t="s">
        <v>4941</v>
      </c>
      <c r="F2383" t="s">
        <v>53</v>
      </c>
      <c r="G2383" s="27" t="str">
        <f t="shared" si="74"/>
        <v>19610 TRENT CREEK DR  CYPRESS</v>
      </c>
      <c r="H2383" s="27" t="str">
        <f t="shared" si="75"/>
        <v>HOUSTON TX 77429</v>
      </c>
    </row>
    <row r="2384" spans="1:8" x14ac:dyDescent="0.2">
      <c r="A2384" s="27">
        <f>COUNTIFS(C:C,C2384,D:D,D2384)</f>
        <v>1</v>
      </c>
      <c r="B2384" s="30">
        <v>202101161500</v>
      </c>
      <c r="C2384" t="s">
        <v>5592</v>
      </c>
      <c r="D2384" t="s">
        <v>5593</v>
      </c>
      <c r="E2384" t="s">
        <v>4896</v>
      </c>
      <c r="F2384" t="s">
        <v>5307</v>
      </c>
      <c r="G2384" s="27" t="str">
        <f t="shared" si="74"/>
        <v>9901 CLUB CREEK  HOUSTON</v>
      </c>
      <c r="H2384" s="27" t="str">
        <f t="shared" si="75"/>
        <v>HOUSTON TX 77036</v>
      </c>
    </row>
    <row r="2385" spans="1:8" x14ac:dyDescent="0.2">
      <c r="A2385" s="27">
        <f>COUNTIFS(C:C,C2385,D:D,D2385)</f>
        <v>1</v>
      </c>
      <c r="B2385" s="30">
        <v>202101161506</v>
      </c>
      <c r="C2385" t="s">
        <v>5874</v>
      </c>
      <c r="D2385" t="s">
        <v>5875</v>
      </c>
      <c r="E2385" t="s">
        <v>5078</v>
      </c>
      <c r="F2385" t="s">
        <v>71</v>
      </c>
      <c r="G2385" s="27" t="str">
        <f t="shared" si="74"/>
        <v>6239 BILLINSGATE DR  HARRIS CO</v>
      </c>
      <c r="H2385" s="27" t="str">
        <f t="shared" si="75"/>
        <v>HOUSTON TX 77449</v>
      </c>
    </row>
    <row r="2386" spans="1:8" x14ac:dyDescent="0.2">
      <c r="A2386" s="27">
        <f>COUNTIFS(C:C,C2386,D:D,D2386)</f>
        <v>1</v>
      </c>
      <c r="B2386" s="30">
        <v>202101161518</v>
      </c>
      <c r="C2386" t="s">
        <v>5880</v>
      </c>
      <c r="D2386" t="s">
        <v>5881</v>
      </c>
      <c r="E2386" t="s">
        <v>4984</v>
      </c>
      <c r="F2386" t="s">
        <v>88</v>
      </c>
      <c r="G2386" s="27" t="str">
        <f t="shared" si="74"/>
        <v>22307 ROCKGATE DR  SPRING</v>
      </c>
      <c r="H2386" s="27" t="str">
        <f t="shared" si="75"/>
        <v>HOUSTON TX 77373</v>
      </c>
    </row>
    <row r="2387" spans="1:8" x14ac:dyDescent="0.2">
      <c r="A2387" s="27">
        <f>COUNTIFS(C:C,C2387,D:D,D2387)</f>
        <v>1</v>
      </c>
      <c r="B2387" s="30">
        <v>202101161522</v>
      </c>
      <c r="C2387" t="s">
        <v>5882</v>
      </c>
      <c r="D2387" t="s">
        <v>5883</v>
      </c>
      <c r="E2387" t="s">
        <v>4933</v>
      </c>
      <c r="F2387" t="s">
        <v>88</v>
      </c>
      <c r="G2387" s="27" t="str">
        <f t="shared" si="74"/>
        <v>3607 TILSON LN  HOUSTON</v>
      </c>
      <c r="H2387" s="27" t="str">
        <f t="shared" si="75"/>
        <v>HOUSTON TX 77080</v>
      </c>
    </row>
    <row r="2388" spans="1:8" x14ac:dyDescent="0.2">
      <c r="A2388" s="27">
        <f>COUNTIFS(C:C,C2388,D:D,D2388)</f>
        <v>1</v>
      </c>
      <c r="B2388" s="30">
        <v>202101161524</v>
      </c>
      <c r="C2388" t="s">
        <v>5321</v>
      </c>
      <c r="D2388" t="s">
        <v>5322</v>
      </c>
      <c r="E2388" t="s">
        <v>4934</v>
      </c>
      <c r="F2388" t="s">
        <v>87</v>
      </c>
      <c r="G2388" s="27" t="str">
        <f t="shared" si="74"/>
        <v>6905 AVENUE S  HOUSTON</v>
      </c>
      <c r="H2388" s="27" t="str">
        <f t="shared" si="75"/>
        <v>HOUSTON TX 77011</v>
      </c>
    </row>
    <row r="2389" spans="1:8" x14ac:dyDescent="0.2">
      <c r="A2389" s="27">
        <f>COUNTIFS(C:C,C2389,D:D,D2389)</f>
        <v>1</v>
      </c>
      <c r="B2389" s="30">
        <v>202101161525</v>
      </c>
      <c r="C2389" t="s">
        <v>5884</v>
      </c>
      <c r="D2389" t="s">
        <v>5885</v>
      </c>
      <c r="E2389" t="s">
        <v>4903</v>
      </c>
      <c r="F2389" t="s">
        <v>88</v>
      </c>
      <c r="G2389" s="27" t="str">
        <f t="shared" si="74"/>
        <v>10880 BARKER CYPRESS RD CYPRESS</v>
      </c>
      <c r="H2389" s="27" t="str">
        <f t="shared" si="75"/>
        <v>HOUSTON TX 77433</v>
      </c>
    </row>
    <row r="2390" spans="1:8" x14ac:dyDescent="0.2">
      <c r="A2390" s="27">
        <f>COUNTIFS(C:C,C2390,D:D,D2390)</f>
        <v>1</v>
      </c>
      <c r="B2390" s="30">
        <v>202101161526</v>
      </c>
      <c r="C2390" t="s">
        <v>5886</v>
      </c>
      <c r="D2390" t="s">
        <v>5887</v>
      </c>
      <c r="E2390" t="s">
        <v>4850</v>
      </c>
      <c r="F2390" t="s">
        <v>88</v>
      </c>
      <c r="G2390" s="27" t="str">
        <f t="shared" si="74"/>
        <v>11575 PEARLAND PKWY 1 204 HOUSTON</v>
      </c>
      <c r="H2390" s="27" t="str">
        <f t="shared" si="75"/>
        <v>HOUSTON TX 77089</v>
      </c>
    </row>
    <row r="2391" spans="1:8" x14ac:dyDescent="0.2">
      <c r="A2391" s="27">
        <f>COUNTIFS(C:C,C2391,D:D,D2391)</f>
        <v>1</v>
      </c>
      <c r="B2391" s="30">
        <v>202101161527</v>
      </c>
      <c r="C2391" t="s">
        <v>5411</v>
      </c>
      <c r="D2391" t="s">
        <v>5412</v>
      </c>
      <c r="E2391" t="s">
        <v>4873</v>
      </c>
      <c r="F2391" t="s">
        <v>159</v>
      </c>
      <c r="G2391" s="27" t="str">
        <f t="shared" si="74"/>
        <v>13710 NUBENBROOK LAKE DR HOUSTON</v>
      </c>
      <c r="H2391" s="27" t="str">
        <f t="shared" si="75"/>
        <v>HOUSTON TX 77044</v>
      </c>
    </row>
    <row r="2392" spans="1:8" x14ac:dyDescent="0.2">
      <c r="A2392" s="27">
        <f>COUNTIFS(C:C,C2392,D:D,D2392)</f>
        <v>1</v>
      </c>
      <c r="B2392" s="30">
        <v>202101161528</v>
      </c>
      <c r="C2392" t="s">
        <v>5888</v>
      </c>
      <c r="D2392" t="s">
        <v>5889</v>
      </c>
      <c r="E2392" t="s">
        <v>4951</v>
      </c>
      <c r="F2392" t="s">
        <v>88</v>
      </c>
      <c r="G2392" s="27" t="str">
        <f t="shared" si="74"/>
        <v>15742 SWEETWATER CREE K DR HOUSTON</v>
      </c>
      <c r="H2392" s="27" t="str">
        <f t="shared" si="75"/>
        <v>HOUSTON TX 77095</v>
      </c>
    </row>
    <row r="2393" spans="1:8" x14ac:dyDescent="0.2">
      <c r="A2393" s="27">
        <f>COUNTIFS(C:C,C2393,D:D,D2393)</f>
        <v>1</v>
      </c>
      <c r="B2393" s="30">
        <v>202101161529</v>
      </c>
      <c r="C2393" t="s">
        <v>5425</v>
      </c>
      <c r="D2393" t="s">
        <v>5426</v>
      </c>
      <c r="E2393" t="s">
        <v>4852</v>
      </c>
      <c r="F2393" t="s">
        <v>88</v>
      </c>
      <c r="G2393" s="27" t="str">
        <f t="shared" si="74"/>
        <v>7210 WILEYVALE RD  HOUSTON</v>
      </c>
      <c r="H2393" s="27" t="str">
        <f t="shared" si="75"/>
        <v>HOUSTON TX 77016</v>
      </c>
    </row>
    <row r="2394" spans="1:8" x14ac:dyDescent="0.2">
      <c r="A2394" s="27">
        <f>COUNTIFS(C:C,C2394,D:D,D2394)</f>
        <v>1</v>
      </c>
      <c r="B2394" s="30">
        <v>202101161531</v>
      </c>
      <c r="C2394" t="s">
        <v>5358</v>
      </c>
      <c r="D2394" t="s">
        <v>5359</v>
      </c>
      <c r="E2394" t="s">
        <v>4866</v>
      </c>
      <c r="F2394" t="s">
        <v>88</v>
      </c>
      <c r="G2394" s="27" t="str">
        <f t="shared" si="74"/>
        <v>225 BURBANK ST  HOUSTON</v>
      </c>
      <c r="H2394" s="27" t="str">
        <f t="shared" si="75"/>
        <v>HOUSTON TX 77076</v>
      </c>
    </row>
    <row r="2395" spans="1:8" x14ac:dyDescent="0.2">
      <c r="A2395" s="27">
        <f>COUNTIFS(C:C,C2395,D:D,D2395)</f>
        <v>1</v>
      </c>
      <c r="B2395" s="30">
        <v>202101161548</v>
      </c>
      <c r="C2395" t="s">
        <v>5429</v>
      </c>
      <c r="D2395" t="s">
        <v>5430</v>
      </c>
      <c r="E2395" t="s">
        <v>4951</v>
      </c>
      <c r="F2395" t="s">
        <v>87</v>
      </c>
      <c r="G2395" s="27" t="str">
        <f t="shared" si="74"/>
        <v>8750 POINT PARK DR  HOUSTON</v>
      </c>
      <c r="H2395" s="27" t="str">
        <f t="shared" si="75"/>
        <v>HOUSTON TX 77095</v>
      </c>
    </row>
    <row r="2396" spans="1:8" x14ac:dyDescent="0.2">
      <c r="A2396" s="27">
        <f>COUNTIFS(C:C,C2396,D:D,D2396)</f>
        <v>1</v>
      </c>
      <c r="B2396" s="30">
        <v>202101161549</v>
      </c>
      <c r="C2396" t="s">
        <v>5689</v>
      </c>
      <c r="D2396" t="s">
        <v>5690</v>
      </c>
      <c r="E2396" t="s">
        <v>4874</v>
      </c>
      <c r="F2396" t="s">
        <v>51</v>
      </c>
      <c r="G2396" s="27" t="str">
        <f t="shared" si="74"/>
        <v>5345 GROVETON  HOUSTON</v>
      </c>
      <c r="H2396" s="27" t="str">
        <f t="shared" si="75"/>
        <v>HOUSTON TX 77033</v>
      </c>
    </row>
    <row r="2397" spans="1:8" x14ac:dyDescent="0.2">
      <c r="A2397" s="27">
        <f>COUNTIFS(C:C,C2397,D:D,D2397)</f>
        <v>1</v>
      </c>
      <c r="B2397" s="30">
        <v>202101161550</v>
      </c>
      <c r="C2397" t="s">
        <v>5335</v>
      </c>
      <c r="D2397" t="s">
        <v>5336</v>
      </c>
      <c r="E2397" t="s">
        <v>4854</v>
      </c>
      <c r="F2397" t="s">
        <v>88</v>
      </c>
      <c r="G2397" s="27" t="str">
        <f t="shared" si="74"/>
        <v>4109 KRESS ST  HOUSTON</v>
      </c>
      <c r="H2397" s="27" t="str">
        <f t="shared" si="75"/>
        <v>HOUSTON TX 77026</v>
      </c>
    </row>
    <row r="2398" spans="1:8" x14ac:dyDescent="0.2">
      <c r="A2398" s="27">
        <f>COUNTIFS(C:C,C2398,D:D,D2398)</f>
        <v>1</v>
      </c>
      <c r="B2398" s="30">
        <v>202101161551</v>
      </c>
      <c r="C2398" t="s">
        <v>5476</v>
      </c>
      <c r="D2398" t="s">
        <v>5477</v>
      </c>
      <c r="E2398" t="s">
        <v>5003</v>
      </c>
      <c r="F2398" t="s">
        <v>88</v>
      </c>
      <c r="G2398" s="27" t="str">
        <f t="shared" si="74"/>
        <v>17302 TRACE GLEN LN  FORT BEND</v>
      </c>
      <c r="H2398" s="27" t="str">
        <f t="shared" si="75"/>
        <v>HOUSTON TX 77083</v>
      </c>
    </row>
    <row r="2399" spans="1:8" x14ac:dyDescent="0.2">
      <c r="A2399" s="27">
        <f>COUNTIFS(C:C,C2399,D:D,D2399)</f>
        <v>1</v>
      </c>
      <c r="B2399" s="30">
        <v>202101161554</v>
      </c>
      <c r="C2399" t="s">
        <v>5893</v>
      </c>
      <c r="D2399" t="s">
        <v>5894</v>
      </c>
      <c r="E2399" t="s">
        <v>4896</v>
      </c>
      <c r="F2399" t="s">
        <v>88</v>
      </c>
      <c r="G2399" s="27" t="str">
        <f t="shared" si="74"/>
        <v>6200 MARINETTE DR 23 2 HOUSTON</v>
      </c>
      <c r="H2399" s="27" t="str">
        <f t="shared" si="75"/>
        <v>HOUSTON TX 77036</v>
      </c>
    </row>
    <row r="2400" spans="1:8" x14ac:dyDescent="0.2">
      <c r="A2400" s="27">
        <f>COUNTIFS(C:C,C2400,D:D,D2400)</f>
        <v>1</v>
      </c>
      <c r="B2400" s="30">
        <v>202101161559</v>
      </c>
      <c r="C2400" t="s">
        <v>5895</v>
      </c>
      <c r="D2400" t="s">
        <v>5896</v>
      </c>
      <c r="E2400" t="s">
        <v>5265</v>
      </c>
      <c r="F2400" t="s">
        <v>51</v>
      </c>
      <c r="G2400" s="27" t="str">
        <f t="shared" si="74"/>
        <v>2718 ELDRIDGE PKWY  SUGAR LAND</v>
      </c>
      <c r="H2400" s="27" t="str">
        <f t="shared" si="75"/>
        <v>HOUSTON TX 77498</v>
      </c>
    </row>
    <row r="2401" spans="1:8" x14ac:dyDescent="0.2">
      <c r="A2401" s="27">
        <f>COUNTIFS(C:C,C2401,D:D,D2401)</f>
        <v>1</v>
      </c>
      <c r="B2401" s="30">
        <v>202101161560</v>
      </c>
      <c r="C2401" t="s">
        <v>5370</v>
      </c>
      <c r="D2401" t="s">
        <v>5371</v>
      </c>
      <c r="E2401" t="s">
        <v>4908</v>
      </c>
      <c r="F2401" t="s">
        <v>335</v>
      </c>
      <c r="G2401" s="27" t="str">
        <f t="shared" si="74"/>
        <v>19920 CARROT ST  SPRING</v>
      </c>
      <c r="H2401" s="27" t="str">
        <f t="shared" si="75"/>
        <v>HOUSTON TX 77379</v>
      </c>
    </row>
    <row r="2402" spans="1:8" x14ac:dyDescent="0.2">
      <c r="A2402" s="27">
        <f>COUNTIFS(C:C,C2402,D:D,D2402)</f>
        <v>1</v>
      </c>
      <c r="B2402" s="30">
        <v>202101161568</v>
      </c>
      <c r="C2402" t="s">
        <v>5351</v>
      </c>
      <c r="D2402" t="s">
        <v>5352</v>
      </c>
      <c r="E2402" t="s">
        <v>5353</v>
      </c>
      <c r="F2402" t="s">
        <v>59</v>
      </c>
      <c r="G2402" s="27" t="str">
        <f t="shared" si="74"/>
        <v>1604 FIRST STREET  DIBOLL</v>
      </c>
      <c r="H2402" s="27" t="str">
        <f t="shared" si="75"/>
        <v>HOUSTON TX 75941</v>
      </c>
    </row>
    <row r="2403" spans="1:8" x14ac:dyDescent="0.2">
      <c r="A2403" s="27">
        <f>COUNTIFS(C:C,C2403,D:D,D2403)</f>
        <v>1</v>
      </c>
      <c r="B2403" s="30">
        <v>202101166016</v>
      </c>
      <c r="C2403" t="s">
        <v>5463</v>
      </c>
      <c r="D2403" t="s">
        <v>751</v>
      </c>
      <c r="E2403" t="s">
        <v>4875</v>
      </c>
      <c r="F2403" t="s">
        <v>200</v>
      </c>
      <c r="G2403" s="27" t="str">
        <f t="shared" si="74"/>
        <v>7320 JENSEN DR  HOUSTON</v>
      </c>
      <c r="H2403" s="27" t="str">
        <f t="shared" si="75"/>
        <v>HOUSTON TX 77093</v>
      </c>
    </row>
    <row r="2404" spans="1:8" x14ac:dyDescent="0.2">
      <c r="A2404" s="27">
        <f>COUNTIFS(C:C,C2404,D:D,D2404)</f>
        <v>1</v>
      </c>
      <c r="B2404" s="30">
        <v>202101166021</v>
      </c>
      <c r="C2404" t="s">
        <v>5674</v>
      </c>
      <c r="D2404" t="s">
        <v>5675</v>
      </c>
      <c r="E2404" t="s">
        <v>4948</v>
      </c>
      <c r="F2404" t="s">
        <v>5310</v>
      </c>
      <c r="G2404" s="27" t="str">
        <f t="shared" si="74"/>
        <v>230 TC JESTER BLVD  HOUSTON</v>
      </c>
      <c r="H2404" s="27" t="str">
        <f t="shared" si="75"/>
        <v>HOUSTON TX 77007</v>
      </c>
    </row>
    <row r="2405" spans="1:8" x14ac:dyDescent="0.2">
      <c r="A2405" s="27">
        <f>COUNTIFS(C:C,C2405,D:D,D2405)</f>
        <v>1</v>
      </c>
      <c r="B2405" s="30">
        <v>202101166025</v>
      </c>
      <c r="C2405" t="s">
        <v>5713</v>
      </c>
      <c r="D2405" t="s">
        <v>5714</v>
      </c>
      <c r="E2405" t="s">
        <v>5715</v>
      </c>
      <c r="F2405" t="s">
        <v>185</v>
      </c>
      <c r="G2405" s="27" t="e">
        <f t="shared" si="74"/>
        <v>#VALUE!</v>
      </c>
      <c r="H2405" s="27" t="e">
        <f t="shared" si="75"/>
        <v>#VALUE!</v>
      </c>
    </row>
    <row r="2406" spans="1:8" x14ac:dyDescent="0.2">
      <c r="A2406" s="27">
        <f>COUNTIFS(C:C,C2406,D:D,D2406)</f>
        <v>1</v>
      </c>
      <c r="B2406" s="30">
        <v>202101166026</v>
      </c>
      <c r="C2406" t="s">
        <v>5641</v>
      </c>
      <c r="D2406" t="s">
        <v>5642</v>
      </c>
      <c r="E2406" t="s">
        <v>4950</v>
      </c>
      <c r="F2406" t="s">
        <v>200</v>
      </c>
      <c r="G2406" s="27" t="str">
        <f t="shared" si="74"/>
        <v>607 DORCHESTER ST  HOUSTON</v>
      </c>
      <c r="H2406" s="27" t="str">
        <f t="shared" si="75"/>
        <v>HOUSTON TX 77022</v>
      </c>
    </row>
    <row r="2407" spans="1:8" x14ac:dyDescent="0.2">
      <c r="A2407" s="27">
        <f>COUNTIFS(C:C,C2407,D:D,D2407)</f>
        <v>1</v>
      </c>
      <c r="B2407" s="30">
        <v>202101166035</v>
      </c>
      <c r="C2407" t="s">
        <v>5716</v>
      </c>
      <c r="D2407" t="s">
        <v>5717</v>
      </c>
      <c r="E2407" t="s">
        <v>5718</v>
      </c>
      <c r="F2407" t="s">
        <v>209</v>
      </c>
      <c r="G2407" s="27" t="str">
        <f t="shared" si="74"/>
        <v>1258 BEMBERTON HILL  DALLAS</v>
      </c>
      <c r="H2407" s="27" t="str">
        <f t="shared" si="75"/>
        <v>HOUSTON TX 75217</v>
      </c>
    </row>
    <row r="2408" spans="1:8" x14ac:dyDescent="0.2">
      <c r="A2408" s="27">
        <f>COUNTIFS(C:C,C2408,D:D,D2408)</f>
        <v>1</v>
      </c>
      <c r="B2408" s="30">
        <v>202101166044</v>
      </c>
      <c r="C2408" t="s">
        <v>5643</v>
      </c>
      <c r="D2408" t="s">
        <v>5644</v>
      </c>
      <c r="E2408" t="s">
        <v>4854</v>
      </c>
      <c r="F2408" t="s">
        <v>244</v>
      </c>
      <c r="G2408" s="27" t="str">
        <f t="shared" si="74"/>
        <v>2134 HUTTON  HOUSTON</v>
      </c>
      <c r="H2408" s="27" t="str">
        <f t="shared" si="75"/>
        <v>HOUSTON TX 77026</v>
      </c>
    </row>
    <row r="2409" spans="1:8" x14ac:dyDescent="0.2">
      <c r="A2409" s="27">
        <f>COUNTIFS(C:C,C2409,D:D,D2409)</f>
        <v>1</v>
      </c>
      <c r="B2409" s="30">
        <v>202101166050</v>
      </c>
      <c r="C2409" t="s">
        <v>5721</v>
      </c>
      <c r="D2409" t="s">
        <v>5722</v>
      </c>
      <c r="E2409" t="s">
        <v>4874</v>
      </c>
      <c r="F2409" t="s">
        <v>187</v>
      </c>
      <c r="G2409" s="27" t="str">
        <f t="shared" si="74"/>
        <v>7002 SURCOURT  HOUSTON</v>
      </c>
      <c r="H2409" s="27" t="str">
        <f t="shared" si="75"/>
        <v>HOUSTON TX 77033</v>
      </c>
    </row>
    <row r="2410" spans="1:8" x14ac:dyDescent="0.2">
      <c r="A2410" s="27">
        <f>COUNTIFS(C:C,C2410,D:D,D2410)</f>
        <v>1</v>
      </c>
      <c r="B2410" s="30">
        <v>202101166062</v>
      </c>
      <c r="C2410" t="s">
        <v>5345</v>
      </c>
      <c r="D2410" t="s">
        <v>5346</v>
      </c>
      <c r="E2410" t="s">
        <v>5066</v>
      </c>
      <c r="F2410" t="s">
        <v>194</v>
      </c>
      <c r="G2410" s="27" t="str">
        <f t="shared" ref="G2410:G2473" si="76">D2410&amp;" "&amp;MID(E2410,1,FIND(" TX",E2410)-1)</f>
        <v>2806 S. BLUE MEADOW CIRCLE SUGAR LAND</v>
      </c>
      <c r="H2410" s="27" t="str">
        <f t="shared" ref="H2410:H2473" si="77">"HOUSTON "&amp;MID(E2410,FIND("TX",E2410),8)</f>
        <v>HOUSTON TX 77479</v>
      </c>
    </row>
    <row r="2411" spans="1:8" x14ac:dyDescent="0.2">
      <c r="A2411" s="27">
        <f>COUNTIFS(C:C,C2411,D:D,D2411)</f>
        <v>1</v>
      </c>
      <c r="B2411" s="30">
        <v>202101166063</v>
      </c>
      <c r="C2411" t="s">
        <v>5509</v>
      </c>
      <c r="D2411" t="s">
        <v>5510</v>
      </c>
      <c r="E2411" t="s">
        <v>4967</v>
      </c>
      <c r="F2411" t="s">
        <v>203</v>
      </c>
      <c r="G2411" s="27" t="str">
        <f t="shared" si="76"/>
        <v>8047 GROW LN  HOUSTON</v>
      </c>
      <c r="H2411" s="27" t="str">
        <f t="shared" si="77"/>
        <v>HOUSTON TX 77040</v>
      </c>
    </row>
    <row r="2412" spans="1:8" x14ac:dyDescent="0.2">
      <c r="A2412" s="27">
        <f>COUNTIFS(C:C,C2412,D:D,D2412)</f>
        <v>1</v>
      </c>
      <c r="B2412" s="30">
        <v>202101166067</v>
      </c>
      <c r="C2412" t="s">
        <v>5399</v>
      </c>
      <c r="D2412" t="s">
        <v>5400</v>
      </c>
      <c r="E2412" t="s">
        <v>4960</v>
      </c>
      <c r="F2412" t="s">
        <v>215</v>
      </c>
      <c r="G2412" s="27" t="str">
        <f t="shared" si="76"/>
        <v>220 NORTHPOINT DR  HOUSTON</v>
      </c>
      <c r="H2412" s="27" t="str">
        <f t="shared" si="77"/>
        <v>HOUSTON TX 77060</v>
      </c>
    </row>
    <row r="2413" spans="1:8" x14ac:dyDescent="0.2">
      <c r="A2413" s="27">
        <f>COUNTIFS(C:C,C2413,D:D,D2413)</f>
        <v>1</v>
      </c>
      <c r="B2413" s="30">
        <v>202101166068</v>
      </c>
      <c r="C2413" t="s">
        <v>5705</v>
      </c>
      <c r="D2413" t="s">
        <v>5706</v>
      </c>
      <c r="E2413" t="s">
        <v>4900</v>
      </c>
      <c r="F2413" t="s">
        <v>239</v>
      </c>
      <c r="G2413" s="27" t="str">
        <f t="shared" si="76"/>
        <v>20405 MISTY COVE DR  KATY</v>
      </c>
      <c r="H2413" s="27" t="str">
        <f t="shared" si="77"/>
        <v>HOUSTON TX 77449</v>
      </c>
    </row>
    <row r="2414" spans="1:8" x14ac:dyDescent="0.2">
      <c r="A2414" s="27">
        <f>COUNTIFS(C:C,C2414,D:D,D2414)</f>
        <v>1</v>
      </c>
      <c r="B2414" s="30">
        <v>202101166081</v>
      </c>
      <c r="C2414" t="s">
        <v>5347</v>
      </c>
      <c r="D2414" t="s">
        <v>5348</v>
      </c>
      <c r="E2414" t="s">
        <v>4984</v>
      </c>
      <c r="F2414" t="s">
        <v>209</v>
      </c>
      <c r="G2414" s="27" t="str">
        <f t="shared" si="76"/>
        <v>22710 PARADISE GATE  SPRING</v>
      </c>
      <c r="H2414" s="27" t="str">
        <f t="shared" si="77"/>
        <v>HOUSTON TX 77373</v>
      </c>
    </row>
    <row r="2415" spans="1:8" x14ac:dyDescent="0.2">
      <c r="A2415" s="27">
        <f>COUNTIFS(C:C,C2415,D:D,D2415)</f>
        <v>1</v>
      </c>
      <c r="B2415" s="30">
        <v>202101166100</v>
      </c>
      <c r="C2415" t="s">
        <v>5438</v>
      </c>
      <c r="D2415" t="s">
        <v>5439</v>
      </c>
      <c r="E2415" t="s">
        <v>4949</v>
      </c>
      <c r="F2415" t="s">
        <v>203</v>
      </c>
      <c r="G2415" s="27" t="str">
        <f t="shared" si="76"/>
        <v>10547 LANTRY WAY  HOUSTON</v>
      </c>
      <c r="H2415" s="27" t="str">
        <f t="shared" si="77"/>
        <v>HOUSTON TX 77049</v>
      </c>
    </row>
    <row r="2416" spans="1:8" x14ac:dyDescent="0.2">
      <c r="A2416" s="27">
        <f>COUNTIFS(C:C,C2416,D:D,D2416)</f>
        <v>1</v>
      </c>
      <c r="B2416" s="30">
        <v>202101166101</v>
      </c>
      <c r="C2416" t="s">
        <v>5409</v>
      </c>
      <c r="D2416" t="s">
        <v>5410</v>
      </c>
      <c r="E2416" t="s">
        <v>5077</v>
      </c>
      <c r="F2416" t="s">
        <v>216</v>
      </c>
      <c r="G2416" s="27" t="str">
        <f t="shared" si="76"/>
        <v>502 COOL MIST DR  HOUSTON</v>
      </c>
      <c r="H2416" s="27" t="str">
        <f t="shared" si="77"/>
        <v>HOUSTON TX 77013</v>
      </c>
    </row>
    <row r="2417" spans="1:8" x14ac:dyDescent="0.2">
      <c r="A2417" s="27">
        <f>COUNTIFS(C:C,C2417,D:D,D2417)</f>
        <v>1</v>
      </c>
      <c r="B2417" s="30">
        <v>202101166110</v>
      </c>
      <c r="C2417" t="s">
        <v>5360</v>
      </c>
      <c r="D2417" t="s">
        <v>5361</v>
      </c>
      <c r="E2417" t="s">
        <v>4894</v>
      </c>
      <c r="F2417" t="s">
        <v>5298</v>
      </c>
      <c r="G2417" s="27" t="str">
        <f t="shared" si="76"/>
        <v>2901 FULTON ST APT 3 27 HOUSTON</v>
      </c>
      <c r="H2417" s="27" t="str">
        <f t="shared" si="77"/>
        <v>HOUSTON TX 77009</v>
      </c>
    </row>
    <row r="2418" spans="1:8" x14ac:dyDescent="0.2">
      <c r="A2418" s="27">
        <f>COUNTIFS(C:C,C2418,D:D,D2418)</f>
        <v>1</v>
      </c>
      <c r="B2418" s="30">
        <v>202101166117</v>
      </c>
      <c r="C2418" t="s">
        <v>5727</v>
      </c>
      <c r="D2418" t="s">
        <v>5728</v>
      </c>
      <c r="E2418" t="s">
        <v>5729</v>
      </c>
      <c r="F2418" t="s">
        <v>203</v>
      </c>
      <c r="G2418" s="27" t="str">
        <f t="shared" si="76"/>
        <v>1711 40TH ST  GALVESTON</v>
      </c>
      <c r="H2418" s="27" t="str">
        <f t="shared" si="77"/>
        <v>HOUSTON TX 77551</v>
      </c>
    </row>
    <row r="2419" spans="1:8" x14ac:dyDescent="0.2">
      <c r="A2419" s="27">
        <f>COUNTIFS(C:C,C2419,D:D,D2419)</f>
        <v>1</v>
      </c>
      <c r="B2419" s="30">
        <v>202101166138</v>
      </c>
      <c r="C2419" t="s">
        <v>5405</v>
      </c>
      <c r="D2419" t="s">
        <v>5406</v>
      </c>
      <c r="E2419" t="s">
        <v>4915</v>
      </c>
      <c r="F2419" t="s">
        <v>5295</v>
      </c>
      <c r="G2419" s="27" t="str">
        <f t="shared" si="76"/>
        <v>4830 WINFREE DR  HOUSTON</v>
      </c>
      <c r="H2419" s="27" t="str">
        <f t="shared" si="77"/>
        <v>HOUSTON TX 77021</v>
      </c>
    </row>
    <row r="2420" spans="1:8" x14ac:dyDescent="0.2">
      <c r="A2420" s="27">
        <f>COUNTIFS(C:C,C2420,D:D,D2420)</f>
        <v>1</v>
      </c>
      <c r="B2420" s="30">
        <v>202101166141</v>
      </c>
      <c r="C2420" t="s">
        <v>5407</v>
      </c>
      <c r="D2420" t="s">
        <v>5408</v>
      </c>
      <c r="E2420" t="s">
        <v>4854</v>
      </c>
      <c r="F2420" t="s">
        <v>187</v>
      </c>
      <c r="G2420" s="27" t="str">
        <f t="shared" si="76"/>
        <v>4113 DABNEY ST  HOUSTON</v>
      </c>
      <c r="H2420" s="27" t="str">
        <f t="shared" si="77"/>
        <v>HOUSTON TX 77026</v>
      </c>
    </row>
    <row r="2421" spans="1:8" x14ac:dyDescent="0.2">
      <c r="A2421" s="27">
        <f>COUNTIFS(C:C,C2421,D:D,D2421)</f>
        <v>1</v>
      </c>
      <c r="B2421" s="30">
        <v>202101166144</v>
      </c>
      <c r="C2421" t="s">
        <v>5549</v>
      </c>
      <c r="D2421" t="s">
        <v>5550</v>
      </c>
      <c r="E2421" t="s">
        <v>4859</v>
      </c>
      <c r="F2421" t="s">
        <v>238</v>
      </c>
      <c r="G2421" s="27" t="str">
        <f t="shared" si="76"/>
        <v>19503 WANN PARK DR  HOUSTON</v>
      </c>
      <c r="H2421" s="27" t="str">
        <f t="shared" si="77"/>
        <v>HOUSTON TX 77073</v>
      </c>
    </row>
    <row r="2422" spans="1:8" x14ac:dyDescent="0.2">
      <c r="A2422" s="27">
        <f>COUNTIFS(C:C,C2422,D:D,D2422)</f>
        <v>1</v>
      </c>
      <c r="B2422" s="30">
        <v>202101166147</v>
      </c>
      <c r="C2422" t="s">
        <v>5579</v>
      </c>
      <c r="D2422" t="s">
        <v>5580</v>
      </c>
      <c r="E2422" t="s">
        <v>4919</v>
      </c>
      <c r="F2422" t="s">
        <v>188</v>
      </c>
      <c r="G2422" s="27" t="str">
        <f t="shared" si="76"/>
        <v>7906 GULFTON  HOUSTON</v>
      </c>
      <c r="H2422" s="27" t="str">
        <f t="shared" si="77"/>
        <v>HOUSTON TX 77081</v>
      </c>
    </row>
    <row r="2423" spans="1:8" x14ac:dyDescent="0.2">
      <c r="A2423" s="27">
        <f>COUNTIFS(C:C,C2423,D:D,D2423)</f>
        <v>1</v>
      </c>
      <c r="B2423" s="30">
        <v>202101166150</v>
      </c>
      <c r="C2423" t="s">
        <v>5435</v>
      </c>
      <c r="D2423" t="s">
        <v>5436</v>
      </c>
      <c r="E2423" t="s">
        <v>5073</v>
      </c>
      <c r="F2423" t="s">
        <v>209</v>
      </c>
      <c r="G2423" s="27" t="str">
        <f t="shared" si="76"/>
        <v>2420 HACKETT DR 97  HOUSTON</v>
      </c>
      <c r="H2423" s="27" t="str">
        <f t="shared" si="77"/>
        <v>HOUSTON TX 77008</v>
      </c>
    </row>
    <row r="2424" spans="1:8" x14ac:dyDescent="0.2">
      <c r="A2424" s="27">
        <f>COUNTIFS(C:C,C2424,D:D,D2424)</f>
        <v>1</v>
      </c>
      <c r="B2424" s="30">
        <v>202101166151</v>
      </c>
      <c r="C2424" t="s">
        <v>5368</v>
      </c>
      <c r="D2424" t="s">
        <v>5369</v>
      </c>
      <c r="E2424" t="s">
        <v>4960</v>
      </c>
      <c r="F2424" t="s">
        <v>207</v>
      </c>
      <c r="G2424" s="27" t="str">
        <f t="shared" si="76"/>
        <v>720 N SAM HOUSTON P KWY E HOUSTON</v>
      </c>
      <c r="H2424" s="27" t="str">
        <f t="shared" si="77"/>
        <v>HOUSTON TX 77060</v>
      </c>
    </row>
    <row r="2425" spans="1:8" x14ac:dyDescent="0.2">
      <c r="A2425" s="27">
        <f>COUNTIFS(C:C,C2425,D:D,D2425)</f>
        <v>1</v>
      </c>
      <c r="B2425" s="30">
        <v>202101166159</v>
      </c>
      <c r="C2425" t="s">
        <v>5732</v>
      </c>
      <c r="D2425" t="s">
        <v>5733</v>
      </c>
      <c r="E2425" t="s">
        <v>4975</v>
      </c>
      <c r="F2425" t="s">
        <v>194</v>
      </c>
      <c r="G2425" s="27" t="str">
        <f t="shared" si="76"/>
        <v>10811 CLIFFTON FORGE DR HOUSTON</v>
      </c>
      <c r="H2425" s="27" t="str">
        <f t="shared" si="77"/>
        <v>HOUSTON TX 77065</v>
      </c>
    </row>
    <row r="2426" spans="1:8" x14ac:dyDescent="0.2">
      <c r="A2426" s="27">
        <f>COUNTIFS(C:C,C2426,D:D,D2426)</f>
        <v>1</v>
      </c>
      <c r="B2426" s="30">
        <v>202101166172</v>
      </c>
      <c r="C2426" t="s">
        <v>5657</v>
      </c>
      <c r="D2426" t="s">
        <v>5658</v>
      </c>
      <c r="E2426" t="s">
        <v>4978</v>
      </c>
      <c r="F2426" t="s">
        <v>203</v>
      </c>
      <c r="G2426" s="27" t="str">
        <f t="shared" si="76"/>
        <v>10422 ROCKCREST RD  HOUSTON</v>
      </c>
      <c r="H2426" s="27" t="str">
        <f t="shared" si="77"/>
        <v>HOUSTON TX 77041</v>
      </c>
    </row>
    <row r="2427" spans="1:8" x14ac:dyDescent="0.2">
      <c r="A2427" s="27">
        <f>COUNTIFS(C:C,C2427,D:D,D2427)</f>
        <v>1</v>
      </c>
      <c r="B2427" s="30">
        <v>202101166180</v>
      </c>
      <c r="C2427" t="s">
        <v>5701</v>
      </c>
      <c r="D2427" t="s">
        <v>5702</v>
      </c>
      <c r="E2427" t="s">
        <v>4877</v>
      </c>
      <c r="F2427" t="s">
        <v>200</v>
      </c>
      <c r="G2427" s="27" t="str">
        <f t="shared" si="76"/>
        <v>5754 SLATE VALLEY CT  MISSOURI C</v>
      </c>
      <c r="H2427" s="27" t="str">
        <f t="shared" si="77"/>
        <v>HOUSTON TX 77459</v>
      </c>
    </row>
    <row r="2428" spans="1:8" x14ac:dyDescent="0.2">
      <c r="A2428" s="27">
        <f>COUNTIFS(C:C,C2428,D:D,D2428)</f>
        <v>1</v>
      </c>
      <c r="B2428" s="30">
        <v>202101166196</v>
      </c>
      <c r="C2428" t="s">
        <v>5413</v>
      </c>
      <c r="D2428" t="s">
        <v>5414</v>
      </c>
      <c r="E2428" t="s">
        <v>4875</v>
      </c>
      <c r="F2428" t="s">
        <v>233</v>
      </c>
      <c r="G2428" s="27" t="str">
        <f t="shared" si="76"/>
        <v>1715 ALDINE PARK LN  HOUSTON</v>
      </c>
      <c r="H2428" s="27" t="str">
        <f t="shared" si="77"/>
        <v>HOUSTON TX 77093</v>
      </c>
    </row>
    <row r="2429" spans="1:8" x14ac:dyDescent="0.2">
      <c r="A2429" s="27">
        <f>COUNTIFS(C:C,C2429,D:D,D2429)</f>
        <v>1</v>
      </c>
      <c r="B2429" s="30">
        <v>202101166197</v>
      </c>
      <c r="C2429" t="s">
        <v>5526</v>
      </c>
      <c r="D2429" t="s">
        <v>5527</v>
      </c>
      <c r="E2429" t="s">
        <v>4943</v>
      </c>
      <c r="F2429" t="s">
        <v>5306</v>
      </c>
      <c r="G2429" s="27" t="str">
        <f t="shared" si="76"/>
        <v>18107 LONGMOOR DR  HOUSTON</v>
      </c>
      <c r="H2429" s="27" t="str">
        <f t="shared" si="77"/>
        <v>HOUSTON TX 77084</v>
      </c>
    </row>
    <row r="2430" spans="1:8" x14ac:dyDescent="0.2">
      <c r="A2430" s="27">
        <f>COUNTIFS(C:C,C2430,D:D,D2430)</f>
        <v>1</v>
      </c>
      <c r="B2430" s="30">
        <v>202101166202</v>
      </c>
      <c r="C2430" t="s">
        <v>5707</v>
      </c>
      <c r="D2430" t="s">
        <v>5708</v>
      </c>
      <c r="E2430" t="s">
        <v>4865</v>
      </c>
      <c r="F2430" t="s">
        <v>203</v>
      </c>
      <c r="G2430" s="27" t="str">
        <f t="shared" si="76"/>
        <v>13290 FM 1960 ROAD W  HOUSTON</v>
      </c>
      <c r="H2430" s="27" t="str">
        <f t="shared" si="77"/>
        <v xml:space="preserve">HOUSTON TX      </v>
      </c>
    </row>
    <row r="2431" spans="1:8" x14ac:dyDescent="0.2">
      <c r="A2431" s="27">
        <f>COUNTIFS(C:C,C2431,D:D,D2431)</f>
        <v>1</v>
      </c>
      <c r="B2431" s="30">
        <v>202101166206</v>
      </c>
      <c r="C2431" t="s">
        <v>5417</v>
      </c>
      <c r="D2431" t="s">
        <v>5418</v>
      </c>
      <c r="E2431" t="s">
        <v>4867</v>
      </c>
      <c r="F2431" t="s">
        <v>194</v>
      </c>
      <c r="G2431" s="27" t="str">
        <f t="shared" si="76"/>
        <v>5324 LEELAND ST  HOUSTON</v>
      </c>
      <c r="H2431" s="27" t="str">
        <f t="shared" si="77"/>
        <v>HOUSTON TX 77023</v>
      </c>
    </row>
    <row r="2432" spans="1:8" x14ac:dyDescent="0.2">
      <c r="A2432" s="27">
        <f>COUNTIFS(C:C,C2432,D:D,D2432)</f>
        <v>1</v>
      </c>
      <c r="B2432" s="30">
        <v>202101166214</v>
      </c>
      <c r="C2432" t="s">
        <v>5478</v>
      </c>
      <c r="D2432" t="s">
        <v>5479</v>
      </c>
      <c r="E2432" t="s">
        <v>4951</v>
      </c>
      <c r="F2432" t="s">
        <v>203</v>
      </c>
      <c r="G2432" s="27" t="str">
        <f t="shared" si="76"/>
        <v>15335 GLENWOOD PARK D R HOUSTON</v>
      </c>
      <c r="H2432" s="27" t="str">
        <f t="shared" si="77"/>
        <v>HOUSTON TX 77095</v>
      </c>
    </row>
    <row r="2433" spans="1:8" x14ac:dyDescent="0.2">
      <c r="A2433" s="27">
        <f>COUNTIFS(C:C,C2433,D:D,D2433)</f>
        <v>1</v>
      </c>
      <c r="B2433" s="30">
        <v>202101166215</v>
      </c>
      <c r="C2433" t="s">
        <v>5519</v>
      </c>
      <c r="D2433" t="s">
        <v>5520</v>
      </c>
      <c r="E2433" t="s">
        <v>4967</v>
      </c>
      <c r="F2433" t="s">
        <v>5291</v>
      </c>
      <c r="G2433" s="27" t="str">
        <f t="shared" si="76"/>
        <v>7127 YELLOW PINE DR  HOUSTON</v>
      </c>
      <c r="H2433" s="27" t="str">
        <f t="shared" si="77"/>
        <v>HOUSTON TX 77040</v>
      </c>
    </row>
    <row r="2434" spans="1:8" x14ac:dyDescent="0.2">
      <c r="A2434" s="27">
        <f>COUNTIFS(C:C,C2434,D:D,D2434)</f>
        <v>1</v>
      </c>
      <c r="B2434" s="30">
        <v>202101166220</v>
      </c>
      <c r="C2434" t="s">
        <v>5452</v>
      </c>
      <c r="D2434" t="s">
        <v>5453</v>
      </c>
      <c r="E2434" t="s">
        <v>4886</v>
      </c>
      <c r="F2434" t="s">
        <v>218</v>
      </c>
      <c r="G2434" s="27" t="str">
        <f t="shared" si="76"/>
        <v>6363 W AIRPORT BLVD 3304 HOUSTON</v>
      </c>
      <c r="H2434" s="27" t="str">
        <f t="shared" si="77"/>
        <v>HOUSTON TX 77035</v>
      </c>
    </row>
    <row r="2435" spans="1:8" x14ac:dyDescent="0.2">
      <c r="A2435" s="27">
        <f>COUNTIFS(C:C,C2435,D:D,D2435)</f>
        <v>1</v>
      </c>
      <c r="B2435" s="30">
        <v>202101166228</v>
      </c>
      <c r="C2435" t="s">
        <v>5738</v>
      </c>
      <c r="D2435" t="s">
        <v>5739</v>
      </c>
      <c r="E2435" t="s">
        <v>4951</v>
      </c>
      <c r="F2435" t="s">
        <v>187</v>
      </c>
      <c r="G2435" s="27" t="str">
        <f t="shared" si="76"/>
        <v>15455 POINT NORTHWEST  HOUSTON</v>
      </c>
      <c r="H2435" s="27" t="str">
        <f t="shared" si="77"/>
        <v>HOUSTON TX 77095</v>
      </c>
    </row>
    <row r="2436" spans="1:8" x14ac:dyDescent="0.2">
      <c r="A2436" s="27">
        <f>COUNTIFS(C:C,C2436,D:D,D2436)</f>
        <v>1</v>
      </c>
      <c r="B2436" s="30">
        <v>202101166231</v>
      </c>
      <c r="C2436" t="s">
        <v>5736</v>
      </c>
      <c r="D2436" t="s">
        <v>5737</v>
      </c>
      <c r="E2436" t="s">
        <v>4891</v>
      </c>
      <c r="F2436" t="s">
        <v>218</v>
      </c>
      <c r="G2436" s="27" t="str">
        <f t="shared" si="76"/>
        <v>914 MOSHER LN  HOUSTON</v>
      </c>
      <c r="H2436" s="27" t="str">
        <f t="shared" si="77"/>
        <v>HOUSTON TX 77088</v>
      </c>
    </row>
    <row r="2437" spans="1:8" x14ac:dyDescent="0.2">
      <c r="A2437" s="27">
        <f>COUNTIFS(C:C,C2437,D:D,D2437)</f>
        <v>1</v>
      </c>
      <c r="B2437" s="30">
        <v>202101166233</v>
      </c>
      <c r="C2437" t="s">
        <v>5740</v>
      </c>
      <c r="D2437" t="s">
        <v>5741</v>
      </c>
      <c r="E2437" t="s">
        <v>5168</v>
      </c>
      <c r="F2437" t="s">
        <v>58</v>
      </c>
      <c r="G2437" s="27" t="str">
        <f t="shared" si="76"/>
        <v>16314 MULBERY RUN CT  SUGARLAND</v>
      </c>
      <c r="H2437" s="27" t="str">
        <f t="shared" si="77"/>
        <v>HOUSTON TX 77498</v>
      </c>
    </row>
    <row r="2438" spans="1:8" x14ac:dyDescent="0.2">
      <c r="A2438" s="27">
        <f>COUNTIFS(C:C,C2438,D:D,D2438)</f>
        <v>1</v>
      </c>
      <c r="B2438" s="30">
        <v>202101166234</v>
      </c>
      <c r="C2438" t="s">
        <v>5378</v>
      </c>
      <c r="D2438" t="s">
        <v>2391</v>
      </c>
      <c r="E2438" t="s">
        <v>4960</v>
      </c>
      <c r="F2438" t="s">
        <v>252</v>
      </c>
      <c r="G2438" s="27" t="str">
        <f t="shared" si="76"/>
        <v>525 SEMINAR DR  HOUSTON</v>
      </c>
      <c r="H2438" s="27" t="str">
        <f t="shared" si="77"/>
        <v>HOUSTON TX 77060</v>
      </c>
    </row>
    <row r="2439" spans="1:8" x14ac:dyDescent="0.2">
      <c r="A2439" s="27">
        <f>COUNTIFS(C:C,C2439,D:D,D2439)</f>
        <v>1</v>
      </c>
      <c r="B2439" s="30">
        <v>202101166242</v>
      </c>
      <c r="C2439" t="s">
        <v>5742</v>
      </c>
      <c r="D2439" t="s">
        <v>4442</v>
      </c>
      <c r="E2439" t="s">
        <v>4951</v>
      </c>
      <c r="F2439" t="s">
        <v>5312</v>
      </c>
      <c r="G2439" s="27" t="str">
        <f t="shared" si="76"/>
        <v>15455 POINT NORTHWEST BLVD HOUSTON</v>
      </c>
      <c r="H2439" s="27" t="str">
        <f t="shared" si="77"/>
        <v>HOUSTON TX 77095</v>
      </c>
    </row>
    <row r="2440" spans="1:8" x14ac:dyDescent="0.2">
      <c r="A2440" s="27">
        <f>COUNTIFS(C:C,C2440,D:D,D2440)</f>
        <v>1</v>
      </c>
      <c r="B2440" s="30">
        <v>202101166250</v>
      </c>
      <c r="C2440" t="s">
        <v>5387</v>
      </c>
      <c r="D2440" t="s">
        <v>5388</v>
      </c>
      <c r="E2440" t="s">
        <v>4988</v>
      </c>
      <c r="F2440" t="s">
        <v>235</v>
      </c>
      <c r="G2440" s="27" t="str">
        <f t="shared" si="76"/>
        <v>15235 RIDINGWOOD DRIV E MISSOURI C</v>
      </c>
      <c r="H2440" s="27" t="str">
        <f t="shared" si="77"/>
        <v>HOUSTON TX 77489</v>
      </c>
    </row>
    <row r="2441" spans="1:8" x14ac:dyDescent="0.2">
      <c r="A2441" s="27">
        <f>COUNTIFS(C:C,C2441,D:D,D2441)</f>
        <v>1</v>
      </c>
      <c r="B2441" s="30">
        <v>202101166259</v>
      </c>
      <c r="C2441" t="s">
        <v>5572</v>
      </c>
      <c r="D2441" t="s">
        <v>5573</v>
      </c>
      <c r="E2441" t="s">
        <v>4876</v>
      </c>
      <c r="F2441" t="s">
        <v>187</v>
      </c>
      <c r="G2441" s="27" t="str">
        <f t="shared" si="76"/>
        <v>14511 NIMITZ ST  HOUSTON</v>
      </c>
      <c r="H2441" s="27" t="str">
        <f t="shared" si="77"/>
        <v>HOUSTON TX 77015</v>
      </c>
    </row>
    <row r="2442" spans="1:8" x14ac:dyDescent="0.2">
      <c r="A2442" s="27">
        <f>COUNTIFS(C:C,C2442,D:D,D2442)</f>
        <v>1</v>
      </c>
      <c r="B2442" s="30">
        <v>202101166262</v>
      </c>
      <c r="C2442" t="s">
        <v>5604</v>
      </c>
      <c r="D2442" t="s">
        <v>5605</v>
      </c>
      <c r="E2442" t="s">
        <v>5048</v>
      </c>
      <c r="F2442" t="s">
        <v>5308</v>
      </c>
      <c r="G2442" s="27" t="str">
        <f t="shared" si="76"/>
        <v>21110 NORTH UNION CT  SPRING</v>
      </c>
      <c r="H2442" s="27" t="str">
        <f t="shared" si="77"/>
        <v>HOUSTON TX 77073</v>
      </c>
    </row>
    <row r="2443" spans="1:8" x14ac:dyDescent="0.2">
      <c r="A2443" s="27">
        <f>COUNTIFS(C:C,C2443,D:D,D2443)</f>
        <v>1</v>
      </c>
      <c r="B2443" s="30">
        <v>202101166265</v>
      </c>
      <c r="C2443" t="s">
        <v>5745</v>
      </c>
      <c r="D2443" t="s">
        <v>5746</v>
      </c>
      <c r="E2443" t="s">
        <v>5032</v>
      </c>
      <c r="F2443" t="s">
        <v>5313</v>
      </c>
      <c r="G2443" s="27" t="str">
        <f t="shared" si="76"/>
        <v>408 WESTHEIMER RD A PT 1 HOUSTON</v>
      </c>
      <c r="H2443" s="27" t="str">
        <f t="shared" si="77"/>
        <v>HOUSTON TX 77006</v>
      </c>
    </row>
    <row r="2444" spans="1:8" x14ac:dyDescent="0.2">
      <c r="A2444" s="27">
        <f>COUNTIFS(C:C,C2444,D:D,D2444)</f>
        <v>1</v>
      </c>
      <c r="B2444" s="30">
        <v>202101166269</v>
      </c>
      <c r="C2444" t="s">
        <v>5668</v>
      </c>
      <c r="D2444" t="s">
        <v>5669</v>
      </c>
      <c r="E2444" t="s">
        <v>4932</v>
      </c>
      <c r="F2444" t="s">
        <v>209</v>
      </c>
      <c r="G2444" s="27" t="str">
        <f t="shared" si="76"/>
        <v>12925 NORTHWEST FWY I B HOUSTON</v>
      </c>
      <c r="H2444" s="27" t="str">
        <f t="shared" si="77"/>
        <v>HOUSTON TX 77092</v>
      </c>
    </row>
    <row r="2445" spans="1:8" x14ac:dyDescent="0.2">
      <c r="A2445" s="27">
        <f>COUNTIFS(C:C,C2445,D:D,D2445)</f>
        <v>1</v>
      </c>
      <c r="B2445" s="30">
        <v>202101166274</v>
      </c>
      <c r="C2445" t="s">
        <v>5747</v>
      </c>
      <c r="D2445" t="s">
        <v>5748</v>
      </c>
      <c r="E2445" t="s">
        <v>4978</v>
      </c>
      <c r="F2445" t="s">
        <v>5293</v>
      </c>
      <c r="G2445" s="27" t="str">
        <f t="shared" si="76"/>
        <v>13310 SOMERSWORTH DR  HOUSTON</v>
      </c>
      <c r="H2445" s="27" t="str">
        <f t="shared" si="77"/>
        <v>HOUSTON TX 77041</v>
      </c>
    </row>
    <row r="2446" spans="1:8" x14ac:dyDescent="0.2">
      <c r="A2446" s="27">
        <f>COUNTIFS(C:C,C2446,D:D,D2446)</f>
        <v>1</v>
      </c>
      <c r="B2446" s="30">
        <v>202101166275</v>
      </c>
      <c r="C2446" t="s">
        <v>5343</v>
      </c>
      <c r="D2446" t="s">
        <v>5344</v>
      </c>
      <c r="E2446" t="s">
        <v>4880</v>
      </c>
      <c r="F2446" t="s">
        <v>217</v>
      </c>
      <c r="G2446" s="27" t="str">
        <f t="shared" si="76"/>
        <v>2713 TRUXILLO  HOUSTON</v>
      </c>
      <c r="H2446" s="27" t="str">
        <f t="shared" si="77"/>
        <v>HOUSTON TX 77004</v>
      </c>
    </row>
    <row r="2447" spans="1:8" x14ac:dyDescent="0.2">
      <c r="A2447" s="27">
        <f>COUNTIFS(C:C,C2447,D:D,D2447)</f>
        <v>1</v>
      </c>
      <c r="B2447" s="30">
        <v>202101166280</v>
      </c>
      <c r="C2447" t="s">
        <v>5474</v>
      </c>
      <c r="D2447" t="s">
        <v>5475</v>
      </c>
      <c r="E2447" t="s">
        <v>4855</v>
      </c>
      <c r="F2447" t="s">
        <v>215</v>
      </c>
      <c r="G2447" s="27" t="str">
        <f t="shared" si="76"/>
        <v>7939 CABOT  HOUSTON</v>
      </c>
      <c r="H2447" s="27" t="str">
        <f t="shared" si="77"/>
        <v>HOUSTON TX 77078</v>
      </c>
    </row>
    <row r="2448" spans="1:8" x14ac:dyDescent="0.2">
      <c r="A2448" s="27">
        <f>COUNTIFS(C:C,C2448,D:D,D2448)</f>
        <v>1</v>
      </c>
      <c r="B2448" s="30">
        <v>202101166282</v>
      </c>
      <c r="C2448" t="s">
        <v>5559</v>
      </c>
      <c r="D2448" t="s">
        <v>5560</v>
      </c>
      <c r="E2448" t="s">
        <v>5561</v>
      </c>
      <c r="F2448" t="s">
        <v>191</v>
      </c>
      <c r="G2448" s="27" t="str">
        <f t="shared" si="76"/>
        <v>2626 STRAIT LN  STAFFORD</v>
      </c>
      <c r="H2448" s="27" t="str">
        <f t="shared" si="77"/>
        <v>HOUSTON TX 77084</v>
      </c>
    </row>
    <row r="2449" spans="1:8" x14ac:dyDescent="0.2">
      <c r="A2449" s="27">
        <f>COUNTIFS(C:C,C2449,D:D,D2449)</f>
        <v>1</v>
      </c>
      <c r="B2449" s="30">
        <v>202101166284</v>
      </c>
      <c r="C2449" t="s">
        <v>5576</v>
      </c>
      <c r="D2449" t="s">
        <v>2429</v>
      </c>
      <c r="E2449" t="s">
        <v>4859</v>
      </c>
      <c r="F2449" t="s">
        <v>209</v>
      </c>
      <c r="G2449" s="27" t="str">
        <f t="shared" si="76"/>
        <v>20910 BURNT AMBER  HOUSTON</v>
      </c>
      <c r="H2449" s="27" t="str">
        <f t="shared" si="77"/>
        <v>HOUSTON TX 77073</v>
      </c>
    </row>
    <row r="2450" spans="1:8" x14ac:dyDescent="0.2">
      <c r="A2450" s="27">
        <f>COUNTIFS(C:C,C2450,D:D,D2450)</f>
        <v>1</v>
      </c>
      <c r="B2450" s="30">
        <v>202101166288</v>
      </c>
      <c r="C2450" t="s">
        <v>5751</v>
      </c>
      <c r="D2450" t="s">
        <v>5752</v>
      </c>
      <c r="E2450" t="s">
        <v>5753</v>
      </c>
      <c r="F2450" t="s">
        <v>5293</v>
      </c>
      <c r="G2450" s="27" t="str">
        <f t="shared" si="76"/>
        <v>14150 WUNDERLICH RD  HARRIS CO</v>
      </c>
      <c r="H2450" s="27" t="str">
        <f t="shared" si="77"/>
        <v>HOUSTON TX 77069</v>
      </c>
    </row>
    <row r="2451" spans="1:8" x14ac:dyDescent="0.2">
      <c r="A2451" s="27">
        <f>COUNTIFS(C:C,C2451,D:D,D2451)</f>
        <v>1</v>
      </c>
      <c r="B2451" s="30">
        <v>202101166300</v>
      </c>
      <c r="C2451" t="s">
        <v>5756</v>
      </c>
      <c r="D2451" t="s">
        <v>5757</v>
      </c>
      <c r="E2451" t="s">
        <v>4982</v>
      </c>
      <c r="F2451" t="s">
        <v>181</v>
      </c>
      <c r="G2451" s="27" t="str">
        <f t="shared" si="76"/>
        <v>1003 CRESTBROOK DRIV E HOUSTON</v>
      </c>
      <c r="H2451" s="27" t="str">
        <f t="shared" si="77"/>
        <v>HOUSTON TX 77038</v>
      </c>
    </row>
    <row r="2452" spans="1:8" x14ac:dyDescent="0.2">
      <c r="A2452" s="27">
        <f>COUNTIFS(C:C,C2452,D:D,D2452)</f>
        <v>1</v>
      </c>
      <c r="B2452" s="30">
        <v>202101166302</v>
      </c>
      <c r="C2452" t="s">
        <v>5454</v>
      </c>
      <c r="D2452" t="s">
        <v>5455</v>
      </c>
      <c r="E2452" t="s">
        <v>5456</v>
      </c>
      <c r="F2452" t="s">
        <v>186</v>
      </c>
      <c r="G2452" s="27" t="str">
        <f t="shared" si="76"/>
        <v>3208 NORMAND DR  COLLEGE ST</v>
      </c>
      <c r="H2452" s="27" t="str">
        <f t="shared" si="77"/>
        <v>HOUSTON TX 77845</v>
      </c>
    </row>
    <row r="2453" spans="1:8" x14ac:dyDescent="0.2">
      <c r="A2453" s="27">
        <f>COUNTIFS(C:C,C2453,D:D,D2453)</f>
        <v>1</v>
      </c>
      <c r="B2453" s="30">
        <v>202101166305</v>
      </c>
      <c r="C2453" t="s">
        <v>5517</v>
      </c>
      <c r="D2453" t="s">
        <v>5518</v>
      </c>
      <c r="E2453" t="s">
        <v>4903</v>
      </c>
      <c r="F2453" t="s">
        <v>203</v>
      </c>
      <c r="G2453" s="27" t="str">
        <f t="shared" si="76"/>
        <v>19943 SYCAMORE VALLEY DR CYPRESS</v>
      </c>
      <c r="H2453" s="27" t="str">
        <f t="shared" si="77"/>
        <v>HOUSTON TX 77433</v>
      </c>
    </row>
    <row r="2454" spans="1:8" x14ac:dyDescent="0.2">
      <c r="A2454" s="27">
        <f>COUNTIFS(C:C,C2454,D:D,D2454)</f>
        <v>1</v>
      </c>
      <c r="B2454" s="30">
        <v>202101166316</v>
      </c>
      <c r="C2454" t="s">
        <v>5415</v>
      </c>
      <c r="D2454" t="s">
        <v>5416</v>
      </c>
      <c r="E2454" t="s">
        <v>4875</v>
      </c>
      <c r="F2454" t="s">
        <v>209</v>
      </c>
      <c r="G2454" s="27" t="str">
        <f t="shared" si="76"/>
        <v>4826 E MOUNT HOUSTON RD HOUSTON</v>
      </c>
      <c r="H2454" s="27" t="str">
        <f t="shared" si="77"/>
        <v>HOUSTON TX 77093</v>
      </c>
    </row>
    <row r="2455" spans="1:8" x14ac:dyDescent="0.2">
      <c r="A2455" s="27">
        <f>COUNTIFS(C:C,C2455,D:D,D2455)</f>
        <v>1</v>
      </c>
      <c r="B2455" s="30">
        <v>202101166317</v>
      </c>
      <c r="C2455" t="s">
        <v>5672</v>
      </c>
      <c r="D2455" t="s">
        <v>5673</v>
      </c>
      <c r="E2455" t="s">
        <v>4991</v>
      </c>
      <c r="F2455" t="s">
        <v>201</v>
      </c>
      <c r="G2455" s="27" t="str">
        <f t="shared" si="76"/>
        <v>10881 RICHMOND AVE  HOUSTON</v>
      </c>
      <c r="H2455" s="27" t="str">
        <f t="shared" si="77"/>
        <v>HOUSTON TX 77042</v>
      </c>
    </row>
    <row r="2456" spans="1:8" x14ac:dyDescent="0.2">
      <c r="A2456" s="27">
        <f>COUNTIFS(C:C,C2456,D:D,D2456)</f>
        <v>1</v>
      </c>
      <c r="B2456" s="30">
        <v>202101166320</v>
      </c>
      <c r="C2456" t="s">
        <v>5762</v>
      </c>
      <c r="D2456" t="s">
        <v>5763</v>
      </c>
      <c r="E2456" t="s">
        <v>4943</v>
      </c>
      <c r="F2456" t="s">
        <v>221</v>
      </c>
      <c r="G2456" s="27" t="str">
        <f t="shared" si="76"/>
        <v>3030 DEEDS  HOUSTON</v>
      </c>
      <c r="H2456" s="27" t="str">
        <f t="shared" si="77"/>
        <v>HOUSTON TX 77084</v>
      </c>
    </row>
    <row r="2457" spans="1:8" x14ac:dyDescent="0.2">
      <c r="A2457" s="27">
        <f>COUNTIFS(C:C,C2457,D:D,D2457)</f>
        <v>1</v>
      </c>
      <c r="B2457" s="30">
        <v>202101166328</v>
      </c>
      <c r="C2457" t="s">
        <v>5635</v>
      </c>
      <c r="D2457" t="s">
        <v>5636</v>
      </c>
      <c r="E2457" t="s">
        <v>5206</v>
      </c>
      <c r="F2457" t="s">
        <v>238</v>
      </c>
      <c r="G2457" s="27" t="str">
        <f t="shared" si="76"/>
        <v>15250 GRAY RIDGE DR  HARRIS CO</v>
      </c>
      <c r="H2457" s="27" t="str">
        <f t="shared" si="77"/>
        <v>HOUSTON TX 77082</v>
      </c>
    </row>
    <row r="2458" spans="1:8" x14ac:dyDescent="0.2">
      <c r="A2458" s="27">
        <f>COUNTIFS(C:C,C2458,D:D,D2458)</f>
        <v>1</v>
      </c>
      <c r="B2458" s="30">
        <v>202101166331</v>
      </c>
      <c r="C2458" t="s">
        <v>5766</v>
      </c>
      <c r="D2458" t="s">
        <v>5767</v>
      </c>
      <c r="E2458" t="s">
        <v>4969</v>
      </c>
      <c r="F2458" t="s">
        <v>5295</v>
      </c>
      <c r="G2458" s="27" t="str">
        <f t="shared" si="76"/>
        <v>17420 JUSTINWOOD PL  TOMBALL</v>
      </c>
      <c r="H2458" s="27" t="str">
        <f t="shared" si="77"/>
        <v>HOUSTON TX 77375</v>
      </c>
    </row>
    <row r="2459" spans="1:8" x14ac:dyDescent="0.2">
      <c r="A2459" s="27">
        <f>COUNTIFS(C:C,C2459,D:D,D2459)</f>
        <v>1</v>
      </c>
      <c r="B2459" s="30">
        <v>202101166334</v>
      </c>
      <c r="C2459" t="s">
        <v>5486</v>
      </c>
      <c r="D2459" t="s">
        <v>5487</v>
      </c>
      <c r="E2459" t="s">
        <v>4856</v>
      </c>
      <c r="F2459" t="s">
        <v>5305</v>
      </c>
      <c r="G2459" s="27" t="str">
        <f t="shared" si="76"/>
        <v>8145 ELROD  HOUSTON</v>
      </c>
      <c r="H2459" s="27" t="str">
        <f t="shared" si="77"/>
        <v>HOUSTON TX 77017</v>
      </c>
    </row>
    <row r="2460" spans="1:8" x14ac:dyDescent="0.2">
      <c r="A2460" s="27">
        <f>COUNTIFS(C:C,C2460,D:D,D2460)</f>
        <v>1</v>
      </c>
      <c r="B2460" s="30">
        <v>202101166356</v>
      </c>
      <c r="C2460" t="s">
        <v>5678</v>
      </c>
      <c r="D2460" t="s">
        <v>5679</v>
      </c>
      <c r="E2460" t="s">
        <v>5680</v>
      </c>
      <c r="F2460" t="s">
        <v>200</v>
      </c>
      <c r="G2460" s="27" t="str">
        <f t="shared" si="76"/>
        <v>6539 BELLA SERA DR  SPRING</v>
      </c>
      <c r="H2460" s="27" t="str">
        <f t="shared" si="77"/>
        <v>HOUSTON TX 77378</v>
      </c>
    </row>
    <row r="2461" spans="1:8" x14ac:dyDescent="0.2">
      <c r="A2461" s="27">
        <f>COUNTIFS(C:C,C2461,D:D,D2461)</f>
        <v>1</v>
      </c>
      <c r="B2461" s="30">
        <v>202101166381</v>
      </c>
      <c r="C2461" t="s">
        <v>5774</v>
      </c>
      <c r="D2461" t="s">
        <v>5775</v>
      </c>
      <c r="E2461" t="s">
        <v>5776</v>
      </c>
      <c r="F2461" t="s">
        <v>201</v>
      </c>
      <c r="G2461" s="27" t="str">
        <f t="shared" si="76"/>
        <v>1532 W 5TH STREET  PORT ARTHU</v>
      </c>
      <c r="H2461" s="27" t="str">
        <f t="shared" si="77"/>
        <v>HOUSTON TX 77640</v>
      </c>
    </row>
    <row r="2462" spans="1:8" x14ac:dyDescent="0.2">
      <c r="A2462" s="27">
        <f>COUNTIFS(C:C,C2462,D:D,D2462)</f>
        <v>1</v>
      </c>
      <c r="B2462" s="30">
        <v>202101166387</v>
      </c>
      <c r="C2462" t="s">
        <v>5562</v>
      </c>
      <c r="D2462" t="s">
        <v>5563</v>
      </c>
      <c r="E2462" t="s">
        <v>4997</v>
      </c>
      <c r="F2462" t="s">
        <v>194</v>
      </c>
      <c r="G2462" s="27" t="str">
        <f t="shared" si="76"/>
        <v>8708 WILCREST DR  HOUSTON</v>
      </c>
      <c r="H2462" s="27" t="str">
        <f t="shared" si="77"/>
        <v>HOUSTON TX 77099</v>
      </c>
    </row>
    <row r="2463" spans="1:8" x14ac:dyDescent="0.2">
      <c r="A2463" s="27">
        <f>COUNTIFS(C:C,C2463,D:D,D2463)</f>
        <v>1</v>
      </c>
      <c r="B2463" s="30">
        <v>202101166401</v>
      </c>
      <c r="C2463" t="s">
        <v>5504</v>
      </c>
      <c r="D2463" t="s">
        <v>4442</v>
      </c>
      <c r="E2463" t="s">
        <v>4951</v>
      </c>
      <c r="F2463" t="s">
        <v>5297</v>
      </c>
      <c r="G2463" s="27" t="str">
        <f t="shared" si="76"/>
        <v>15455 POINT NORTHWEST BLVD HOUSTON</v>
      </c>
      <c r="H2463" s="27" t="str">
        <f t="shared" si="77"/>
        <v>HOUSTON TX 77095</v>
      </c>
    </row>
    <row r="2464" spans="1:8" x14ac:dyDescent="0.2">
      <c r="A2464" s="27">
        <f>COUNTIFS(C:C,C2464,D:D,D2464)</f>
        <v>1</v>
      </c>
      <c r="B2464" s="30">
        <v>202101166421</v>
      </c>
      <c r="C2464" t="s">
        <v>5777</v>
      </c>
      <c r="D2464" t="s">
        <v>5778</v>
      </c>
      <c r="E2464" t="s">
        <v>5779</v>
      </c>
      <c r="F2464" t="s">
        <v>204</v>
      </c>
      <c r="G2464" s="27" t="str">
        <f t="shared" si="76"/>
        <v>14326 STRUTTON DE  SUGER LAND</v>
      </c>
      <c r="H2464" s="27" t="str">
        <f t="shared" si="77"/>
        <v>HOUSTON TX 77498</v>
      </c>
    </row>
    <row r="2465" spans="1:8" x14ac:dyDescent="0.2">
      <c r="A2465" s="27">
        <f>COUNTIFS(C:C,C2465,D:D,D2465)</f>
        <v>1</v>
      </c>
      <c r="B2465" s="30">
        <v>202101166435</v>
      </c>
      <c r="C2465" t="s">
        <v>5421</v>
      </c>
      <c r="D2465" t="s">
        <v>5422</v>
      </c>
      <c r="E2465" t="s">
        <v>5005</v>
      </c>
      <c r="F2465" t="s">
        <v>185</v>
      </c>
      <c r="G2465" s="27" t="str">
        <f t="shared" si="76"/>
        <v>5439 INDIANOLA DR  HOUSTON</v>
      </c>
      <c r="H2465" s="27" t="str">
        <f t="shared" si="77"/>
        <v>HOUSTON TX 77032</v>
      </c>
    </row>
    <row r="2466" spans="1:8" x14ac:dyDescent="0.2">
      <c r="A2466" s="27">
        <f>COUNTIFS(C:C,C2466,D:D,D2466)</f>
        <v>1</v>
      </c>
      <c r="B2466" s="30">
        <v>202101166441</v>
      </c>
      <c r="C2466" t="s">
        <v>5594</v>
      </c>
      <c r="D2466" t="s">
        <v>5595</v>
      </c>
      <c r="E2466" t="s">
        <v>4915</v>
      </c>
      <c r="F2466" t="s">
        <v>185</v>
      </c>
      <c r="G2466" s="27" t="str">
        <f t="shared" si="76"/>
        <v>3618 LUCA ST  HOUSTON</v>
      </c>
      <c r="H2466" s="27" t="str">
        <f t="shared" si="77"/>
        <v>HOUSTON TX 77021</v>
      </c>
    </row>
    <row r="2467" spans="1:8" x14ac:dyDescent="0.2">
      <c r="A2467" s="27">
        <f>COUNTIFS(C:C,C2467,D:D,D2467)</f>
        <v>1</v>
      </c>
      <c r="B2467" s="30">
        <v>202101166448</v>
      </c>
      <c r="C2467" t="s">
        <v>5585</v>
      </c>
      <c r="D2467" t="s">
        <v>5586</v>
      </c>
      <c r="E2467" t="s">
        <v>5265</v>
      </c>
      <c r="F2467" t="s">
        <v>185</v>
      </c>
      <c r="G2467" s="27" t="str">
        <f t="shared" si="76"/>
        <v>10406 PERMIAN DR  SUGAR LAND</v>
      </c>
      <c r="H2467" s="27" t="str">
        <f t="shared" si="77"/>
        <v>HOUSTON TX 77498</v>
      </c>
    </row>
    <row r="2468" spans="1:8" x14ac:dyDescent="0.2">
      <c r="A2468" s="27">
        <f>COUNTIFS(C:C,C2468,D:D,D2468)</f>
        <v>1</v>
      </c>
      <c r="B2468" s="30">
        <v>202101166472</v>
      </c>
      <c r="C2468" t="s">
        <v>5339</v>
      </c>
      <c r="D2468" t="s">
        <v>5340</v>
      </c>
      <c r="E2468" t="s">
        <v>4852</v>
      </c>
      <c r="F2468" t="s">
        <v>209</v>
      </c>
      <c r="G2468" s="27" t="str">
        <f t="shared" si="76"/>
        <v>10551 HOLLYGLEN  HOUSTON</v>
      </c>
      <c r="H2468" s="27" t="str">
        <f t="shared" si="77"/>
        <v>HOUSTON TX 77016</v>
      </c>
    </row>
    <row r="2469" spans="1:8" x14ac:dyDescent="0.2">
      <c r="A2469" s="27">
        <f>COUNTIFS(C:C,C2469,D:D,D2469)</f>
        <v>1</v>
      </c>
      <c r="B2469" s="30">
        <v>202101166473</v>
      </c>
      <c r="C2469" t="s">
        <v>5484</v>
      </c>
      <c r="D2469" t="s">
        <v>5485</v>
      </c>
      <c r="E2469" t="s">
        <v>4931</v>
      </c>
      <c r="F2469" t="s">
        <v>203</v>
      </c>
      <c r="G2469" s="27" t="str">
        <f t="shared" si="76"/>
        <v>15330 BAMMEL N HOUSTO N RD HOUSTON</v>
      </c>
      <c r="H2469" s="27" t="str">
        <f t="shared" si="77"/>
        <v>HOUSTON TX 77014</v>
      </c>
    </row>
    <row r="2470" spans="1:8" x14ac:dyDescent="0.2">
      <c r="A2470" s="27">
        <f>COUNTIFS(C:C,C2470,D:D,D2470)</f>
        <v>1</v>
      </c>
      <c r="B2470" s="30">
        <v>202101166474</v>
      </c>
      <c r="C2470" t="s">
        <v>5787</v>
      </c>
      <c r="D2470" t="s">
        <v>5788</v>
      </c>
      <c r="E2470" t="s">
        <v>5789</v>
      </c>
      <c r="F2470" t="s">
        <v>5315</v>
      </c>
      <c r="G2470" s="27" t="e">
        <f t="shared" si="76"/>
        <v>#VALUE!</v>
      </c>
      <c r="H2470" s="27" t="e">
        <f t="shared" si="77"/>
        <v>#VALUE!</v>
      </c>
    </row>
    <row r="2471" spans="1:8" x14ac:dyDescent="0.2">
      <c r="A2471" s="27">
        <f>COUNTIFS(C:C,C2471,D:D,D2471)</f>
        <v>1</v>
      </c>
      <c r="B2471" s="30">
        <v>202101166479</v>
      </c>
      <c r="C2471" t="s">
        <v>5494</v>
      </c>
      <c r="D2471" t="s">
        <v>5495</v>
      </c>
      <c r="E2471" t="s">
        <v>4861</v>
      </c>
      <c r="F2471" t="s">
        <v>200</v>
      </c>
      <c r="G2471" s="27" t="str">
        <f t="shared" si="76"/>
        <v>8608 BRANDON ST  HOUSTON</v>
      </c>
      <c r="H2471" s="27" t="str">
        <f t="shared" si="77"/>
        <v>HOUSTON TX 77051</v>
      </c>
    </row>
    <row r="2472" spans="1:8" x14ac:dyDescent="0.2">
      <c r="A2472" s="27">
        <f>COUNTIFS(C:C,C2472,D:D,D2472)</f>
        <v>1</v>
      </c>
      <c r="B2472" s="30">
        <v>202101166482</v>
      </c>
      <c r="C2472" t="s">
        <v>5794</v>
      </c>
      <c r="D2472" t="s">
        <v>5795</v>
      </c>
      <c r="E2472" t="s">
        <v>4920</v>
      </c>
      <c r="F2472" t="s">
        <v>233</v>
      </c>
      <c r="G2472" s="27" t="str">
        <f t="shared" si="76"/>
        <v>15831 BARBAROSSA DR  HOUSTON</v>
      </c>
      <c r="H2472" s="27" t="str">
        <f t="shared" si="77"/>
        <v>HOUSTON TX 77083</v>
      </c>
    </row>
    <row r="2473" spans="1:8" x14ac:dyDescent="0.2">
      <c r="A2473" s="27">
        <f>COUNTIFS(C:C,C2473,D:D,D2473)</f>
        <v>1</v>
      </c>
      <c r="B2473" s="30">
        <v>202101166483</v>
      </c>
      <c r="C2473" t="s">
        <v>5464</v>
      </c>
      <c r="D2473" t="s">
        <v>5465</v>
      </c>
      <c r="E2473" t="s">
        <v>4960</v>
      </c>
      <c r="F2473" t="s">
        <v>233</v>
      </c>
      <c r="G2473" s="27" t="str">
        <f t="shared" si="76"/>
        <v>1000 GREENS RD  HOUSTON</v>
      </c>
      <c r="H2473" s="27" t="str">
        <f t="shared" si="77"/>
        <v>HOUSTON TX 77060</v>
      </c>
    </row>
    <row r="2474" spans="1:8" x14ac:dyDescent="0.2">
      <c r="A2474" s="27">
        <f>COUNTIFS(C:C,C2474,D:D,D2474)</f>
        <v>1</v>
      </c>
      <c r="B2474" s="30">
        <v>202101166489</v>
      </c>
      <c r="C2474" t="s">
        <v>5480</v>
      </c>
      <c r="D2474" t="s">
        <v>5481</v>
      </c>
      <c r="E2474" t="s">
        <v>4880</v>
      </c>
      <c r="F2474" t="s">
        <v>189</v>
      </c>
      <c r="G2474" s="27" t="str">
        <f t="shared" ref="G2474:G2537" si="78">D2474&amp;" "&amp;MID(E2474,1,FIND(" TX",E2474)-1)</f>
        <v>3315 REEVES S  HOUSTON</v>
      </c>
      <c r="H2474" s="27" t="str">
        <f t="shared" ref="H2474:H2537" si="79">"HOUSTON "&amp;MID(E2474,FIND("TX",E2474),8)</f>
        <v>HOUSTON TX 77004</v>
      </c>
    </row>
    <row r="2475" spans="1:8" x14ac:dyDescent="0.2">
      <c r="A2475" s="27">
        <f>COUNTIFS(C:C,C2475,D:D,D2475)</f>
        <v>1</v>
      </c>
      <c r="B2475" s="30">
        <v>202101166495</v>
      </c>
      <c r="C2475" t="s">
        <v>5349</v>
      </c>
      <c r="D2475" t="s">
        <v>5350</v>
      </c>
      <c r="E2475" t="s">
        <v>4851</v>
      </c>
      <c r="F2475" t="s">
        <v>198</v>
      </c>
      <c r="G2475" s="27" t="str">
        <f t="shared" si="78"/>
        <v>4600 BUFFALLO  BAYTOWN</v>
      </c>
      <c r="H2475" s="27" t="str">
        <f t="shared" si="79"/>
        <v>HOUSTON TX 77521</v>
      </c>
    </row>
    <row r="2476" spans="1:8" x14ac:dyDescent="0.2">
      <c r="A2476" s="27">
        <f>COUNTIFS(C:C,C2476,D:D,D2476)</f>
        <v>1</v>
      </c>
      <c r="B2476" s="30">
        <v>202101166496</v>
      </c>
      <c r="C2476" t="s">
        <v>5323</v>
      </c>
      <c r="D2476" t="s">
        <v>5324</v>
      </c>
      <c r="E2476" t="s">
        <v>4881</v>
      </c>
      <c r="F2476" t="s">
        <v>198</v>
      </c>
      <c r="G2476" s="27" t="str">
        <f t="shared" si="78"/>
        <v>504 MAGNOLIA AVENUE  CROSBY</v>
      </c>
      <c r="H2476" s="27" t="str">
        <f t="shared" si="79"/>
        <v>HOUSTON TX 77532</v>
      </c>
    </row>
    <row r="2477" spans="1:8" x14ac:dyDescent="0.2">
      <c r="A2477" s="27">
        <f>COUNTIFS(C:C,C2477,D:D,D2477)</f>
        <v>1</v>
      </c>
      <c r="B2477" s="30">
        <v>202101166511</v>
      </c>
      <c r="C2477" t="s">
        <v>5427</v>
      </c>
      <c r="D2477" t="s">
        <v>5428</v>
      </c>
      <c r="E2477" t="s">
        <v>5002</v>
      </c>
      <c r="F2477" t="s">
        <v>185</v>
      </c>
      <c r="G2477" s="27" t="str">
        <f t="shared" si="78"/>
        <v>2503 PANAGARD  HOUSTON</v>
      </c>
      <c r="H2477" s="27" t="str">
        <f t="shared" si="79"/>
        <v>HOUSTON TX 77082</v>
      </c>
    </row>
    <row r="2478" spans="1:8" x14ac:dyDescent="0.2">
      <c r="A2478" s="27">
        <f>COUNTIFS(C:C,C2478,D:D,D2478)</f>
        <v>1</v>
      </c>
      <c r="B2478" s="30">
        <v>202101166515</v>
      </c>
      <c r="C2478" t="s">
        <v>5391</v>
      </c>
      <c r="D2478" t="s">
        <v>5392</v>
      </c>
      <c r="E2478" t="s">
        <v>5002</v>
      </c>
      <c r="F2478" t="s">
        <v>5299</v>
      </c>
      <c r="G2478" s="27" t="str">
        <f t="shared" si="78"/>
        <v>4034 HIGHWAY 6 SOUTH 906 HOUSTON</v>
      </c>
      <c r="H2478" s="27" t="str">
        <f t="shared" si="79"/>
        <v>HOUSTON TX 77082</v>
      </c>
    </row>
    <row r="2479" spans="1:8" x14ac:dyDescent="0.2">
      <c r="A2479" s="27">
        <f>COUNTIFS(C:C,C2479,D:D,D2479)</f>
        <v>1</v>
      </c>
      <c r="B2479" s="30">
        <v>202101166524</v>
      </c>
      <c r="C2479" t="s">
        <v>5383</v>
      </c>
      <c r="D2479" t="s">
        <v>5384</v>
      </c>
      <c r="E2479" t="s">
        <v>4969</v>
      </c>
      <c r="F2479" t="s">
        <v>194</v>
      </c>
      <c r="G2479" s="27" t="str">
        <f t="shared" si="78"/>
        <v>327 W HUFFSMITH  TOMBALL</v>
      </c>
      <c r="H2479" s="27" t="str">
        <f t="shared" si="79"/>
        <v>HOUSTON TX 77375</v>
      </c>
    </row>
    <row r="2480" spans="1:8" x14ac:dyDescent="0.2">
      <c r="A2480" s="27">
        <f>COUNTIFS(C:C,C2480,D:D,D2480)</f>
        <v>1</v>
      </c>
      <c r="B2480" s="30">
        <v>202101166526</v>
      </c>
      <c r="C2480" t="s">
        <v>5448</v>
      </c>
      <c r="D2480" t="s">
        <v>5449</v>
      </c>
      <c r="E2480" t="s">
        <v>4915</v>
      </c>
      <c r="F2480" t="s">
        <v>233</v>
      </c>
      <c r="G2480" s="27" t="str">
        <f t="shared" si="78"/>
        <v>6819 STEARNS ST  HOUSTON</v>
      </c>
      <c r="H2480" s="27" t="str">
        <f t="shared" si="79"/>
        <v>HOUSTON TX 77021</v>
      </c>
    </row>
    <row r="2481" spans="1:8" x14ac:dyDescent="0.2">
      <c r="A2481" s="27">
        <f>COUNTIFS(C:C,C2481,D:D,D2481)</f>
        <v>1</v>
      </c>
      <c r="B2481" s="30">
        <v>202101166527</v>
      </c>
      <c r="C2481" t="s">
        <v>5612</v>
      </c>
      <c r="D2481" t="s">
        <v>5613</v>
      </c>
      <c r="E2481" t="s">
        <v>4851</v>
      </c>
      <c r="F2481" t="s">
        <v>209</v>
      </c>
      <c r="G2481" s="27" t="str">
        <f t="shared" si="78"/>
        <v>1002 MASSEY TOMPKINS  BAYTOWN</v>
      </c>
      <c r="H2481" s="27" t="str">
        <f t="shared" si="79"/>
        <v>HOUSTON TX 77521</v>
      </c>
    </row>
    <row r="2482" spans="1:8" x14ac:dyDescent="0.2">
      <c r="A2482" s="27">
        <f>COUNTIFS(C:C,C2482,D:D,D2482)</f>
        <v>1</v>
      </c>
      <c r="B2482" s="30">
        <v>202101166531</v>
      </c>
      <c r="C2482" t="s">
        <v>5804</v>
      </c>
      <c r="D2482" t="s">
        <v>5805</v>
      </c>
      <c r="E2482" t="s">
        <v>4891</v>
      </c>
      <c r="F2482" t="s">
        <v>5296</v>
      </c>
      <c r="G2482" s="27" t="str">
        <f t="shared" si="78"/>
        <v>5627 YALE  HOUSTON</v>
      </c>
      <c r="H2482" s="27" t="str">
        <f t="shared" si="79"/>
        <v>HOUSTON TX 77088</v>
      </c>
    </row>
    <row r="2483" spans="1:8" x14ac:dyDescent="0.2">
      <c r="A2483" s="27">
        <f>COUNTIFS(C:C,C2483,D:D,D2483)</f>
        <v>1</v>
      </c>
      <c r="B2483" s="30">
        <v>202101166537</v>
      </c>
      <c r="C2483" t="s">
        <v>5806</v>
      </c>
      <c r="D2483" t="s">
        <v>5807</v>
      </c>
      <c r="E2483" t="s">
        <v>5808</v>
      </c>
      <c r="F2483" t="s">
        <v>5317</v>
      </c>
      <c r="G2483" s="27" t="e">
        <f t="shared" si="78"/>
        <v>#VALUE!</v>
      </c>
      <c r="H2483" s="27" t="e">
        <f t="shared" si="79"/>
        <v>#VALUE!</v>
      </c>
    </row>
    <row r="2484" spans="1:8" x14ac:dyDescent="0.2">
      <c r="A2484" s="27">
        <f>COUNTIFS(C:C,C2484,D:D,D2484)</f>
        <v>1</v>
      </c>
      <c r="B2484" s="30">
        <v>202101166543</v>
      </c>
      <c r="C2484" t="s">
        <v>5395</v>
      </c>
      <c r="D2484" t="s">
        <v>5396</v>
      </c>
      <c r="E2484" t="s">
        <v>4900</v>
      </c>
      <c r="F2484" t="s">
        <v>5303</v>
      </c>
      <c r="G2484" s="27" t="str">
        <f t="shared" si="78"/>
        <v>22134 MEAD DRIVE  KATY</v>
      </c>
      <c r="H2484" s="27" t="str">
        <f t="shared" si="79"/>
        <v>HOUSTON TX 77449</v>
      </c>
    </row>
    <row r="2485" spans="1:8" x14ac:dyDescent="0.2">
      <c r="A2485" s="27">
        <f>COUNTIFS(C:C,C2485,D:D,D2485)</f>
        <v>1</v>
      </c>
      <c r="B2485" s="30">
        <v>202101166563</v>
      </c>
      <c r="C2485" t="s">
        <v>5385</v>
      </c>
      <c r="D2485" t="s">
        <v>5386</v>
      </c>
      <c r="E2485" t="s">
        <v>4900</v>
      </c>
      <c r="F2485" t="s">
        <v>194</v>
      </c>
      <c r="G2485" s="27" t="str">
        <f t="shared" si="78"/>
        <v>3711 MORNINGWOOD  KATY</v>
      </c>
      <c r="H2485" s="27" t="str">
        <f t="shared" si="79"/>
        <v>HOUSTON TX 77449</v>
      </c>
    </row>
    <row r="2486" spans="1:8" x14ac:dyDescent="0.2">
      <c r="A2486" s="27">
        <f>COUNTIFS(C:C,C2486,D:D,D2486)</f>
        <v>1</v>
      </c>
      <c r="B2486" s="30">
        <v>202101166566</v>
      </c>
      <c r="C2486" t="s">
        <v>5366</v>
      </c>
      <c r="D2486" t="s">
        <v>5367</v>
      </c>
      <c r="E2486" t="s">
        <v>4903</v>
      </c>
      <c r="F2486" t="s">
        <v>243</v>
      </c>
      <c r="G2486" s="27" t="str">
        <f t="shared" si="78"/>
        <v>21110 PARISH TIMBERS CT CYPRESS</v>
      </c>
      <c r="H2486" s="27" t="str">
        <f t="shared" si="79"/>
        <v>HOUSTON TX 77433</v>
      </c>
    </row>
    <row r="2487" spans="1:8" x14ac:dyDescent="0.2">
      <c r="A2487" s="27">
        <f>COUNTIFS(C:C,C2487,D:D,D2487)</f>
        <v>1</v>
      </c>
      <c r="B2487" s="30">
        <v>202101166567</v>
      </c>
      <c r="C2487" t="s">
        <v>5496</v>
      </c>
      <c r="D2487" t="s">
        <v>5497</v>
      </c>
      <c r="E2487" t="s">
        <v>5075</v>
      </c>
      <c r="F2487" t="s">
        <v>187</v>
      </c>
      <c r="G2487" s="27" t="str">
        <f t="shared" si="78"/>
        <v>18011 OAKLOCH CT  RICHMOND</v>
      </c>
      <c r="H2487" s="27" t="str">
        <f t="shared" si="79"/>
        <v>HOUSTON TX 77407</v>
      </c>
    </row>
    <row r="2488" spans="1:8" x14ac:dyDescent="0.2">
      <c r="A2488" s="27">
        <f>COUNTIFS(C:C,C2488,D:D,D2488)</f>
        <v>1</v>
      </c>
      <c r="B2488" s="30">
        <v>202101166568</v>
      </c>
      <c r="C2488" t="s">
        <v>5472</v>
      </c>
      <c r="D2488" t="s">
        <v>5473</v>
      </c>
      <c r="E2488" t="s">
        <v>4854</v>
      </c>
      <c r="F2488" t="s">
        <v>187</v>
      </c>
      <c r="G2488" s="27" t="str">
        <f t="shared" si="78"/>
        <v>3410 MELBOURNE  HOUSTON</v>
      </c>
      <c r="H2488" s="27" t="str">
        <f t="shared" si="79"/>
        <v>HOUSTON TX 77026</v>
      </c>
    </row>
    <row r="2489" spans="1:8" x14ac:dyDescent="0.2">
      <c r="A2489" s="27">
        <f>COUNTIFS(C:C,C2489,D:D,D2489)</f>
        <v>1</v>
      </c>
      <c r="B2489" s="30">
        <v>202101166580</v>
      </c>
      <c r="C2489" t="s">
        <v>5816</v>
      </c>
      <c r="D2489" t="s">
        <v>5817</v>
      </c>
      <c r="E2489" t="s">
        <v>4945</v>
      </c>
      <c r="F2489" t="s">
        <v>181</v>
      </c>
      <c r="G2489" s="27" t="str">
        <f t="shared" si="78"/>
        <v>838 VERA CRUZ DR  ROSENBERG</v>
      </c>
      <c r="H2489" s="27" t="str">
        <f t="shared" si="79"/>
        <v>HOUSTON TX 77471</v>
      </c>
    </row>
    <row r="2490" spans="1:8" x14ac:dyDescent="0.2">
      <c r="A2490" s="27">
        <f>COUNTIFS(C:C,C2490,D:D,D2490)</f>
        <v>1</v>
      </c>
      <c r="B2490" s="30">
        <v>202101166588</v>
      </c>
      <c r="C2490" t="s">
        <v>5820</v>
      </c>
      <c r="D2490" t="s">
        <v>5821</v>
      </c>
      <c r="E2490" t="s">
        <v>4917</v>
      </c>
      <c r="F2490" t="s">
        <v>185</v>
      </c>
      <c r="G2490" s="27" t="str">
        <f t="shared" si="78"/>
        <v>8801 S BRAESWOOD 111 2 HOUSTON</v>
      </c>
      <c r="H2490" s="27" t="str">
        <f t="shared" si="79"/>
        <v>HOUSTON TX 77031</v>
      </c>
    </row>
    <row r="2491" spans="1:8" x14ac:dyDescent="0.2">
      <c r="A2491" s="27">
        <f>COUNTIFS(C:C,C2491,D:D,D2491)</f>
        <v>1</v>
      </c>
      <c r="B2491" s="30">
        <v>202101166589</v>
      </c>
      <c r="C2491" t="s">
        <v>5697</v>
      </c>
      <c r="D2491" t="s">
        <v>5698</v>
      </c>
      <c r="E2491" t="s">
        <v>4991</v>
      </c>
      <c r="F2491" t="s">
        <v>5311</v>
      </c>
      <c r="G2491" s="27" t="str">
        <f t="shared" si="78"/>
        <v>2300 WILCREST DR APT 154 HOUSTON</v>
      </c>
      <c r="H2491" s="27" t="str">
        <f t="shared" si="79"/>
        <v>HOUSTON TX 77042</v>
      </c>
    </row>
    <row r="2492" spans="1:8" x14ac:dyDescent="0.2">
      <c r="A2492" s="27">
        <f>COUNTIFS(C:C,C2492,D:D,D2492)</f>
        <v>1</v>
      </c>
      <c r="B2492" s="30">
        <v>202101166591</v>
      </c>
      <c r="C2492" t="s">
        <v>5616</v>
      </c>
      <c r="D2492" t="s">
        <v>5617</v>
      </c>
      <c r="E2492" t="s">
        <v>5005</v>
      </c>
      <c r="F2492" t="s">
        <v>187</v>
      </c>
      <c r="G2492" s="27" t="str">
        <f t="shared" si="78"/>
        <v>5706 APGAR ST  HOUSTON</v>
      </c>
      <c r="H2492" s="27" t="str">
        <f t="shared" si="79"/>
        <v>HOUSTON TX 77032</v>
      </c>
    </row>
    <row r="2493" spans="1:8" x14ac:dyDescent="0.2">
      <c r="A2493" s="27">
        <f>COUNTIFS(C:C,C2493,D:D,D2493)</f>
        <v>1</v>
      </c>
      <c r="B2493" s="30">
        <v>202101166594</v>
      </c>
      <c r="C2493" t="s">
        <v>5610</v>
      </c>
      <c r="D2493" t="s">
        <v>5611</v>
      </c>
      <c r="E2493" t="s">
        <v>5032</v>
      </c>
      <c r="F2493" t="s">
        <v>188</v>
      </c>
      <c r="G2493" s="27" t="str">
        <f t="shared" si="78"/>
        <v>1111 LOVETT BLVD  HOUSTON</v>
      </c>
      <c r="H2493" s="27" t="str">
        <f t="shared" si="79"/>
        <v>HOUSTON TX 77006</v>
      </c>
    </row>
    <row r="2494" spans="1:8" x14ac:dyDescent="0.2">
      <c r="A2494" s="27">
        <f>COUNTIFS(C:C,C2494,D:D,D2494)</f>
        <v>1</v>
      </c>
      <c r="B2494" s="30">
        <v>202101166595</v>
      </c>
      <c r="C2494" t="s">
        <v>5826</v>
      </c>
      <c r="D2494" t="s">
        <v>5827</v>
      </c>
      <c r="E2494" t="s">
        <v>4997</v>
      </c>
      <c r="F2494" t="s">
        <v>203</v>
      </c>
      <c r="G2494" s="27" t="str">
        <f t="shared" si="78"/>
        <v>12115 KEMERTON DR  HOUSTON</v>
      </c>
      <c r="H2494" s="27" t="str">
        <f t="shared" si="79"/>
        <v>HOUSTON TX 77099</v>
      </c>
    </row>
    <row r="2495" spans="1:8" x14ac:dyDescent="0.2">
      <c r="A2495" s="27">
        <f>COUNTIFS(C:C,C2495,D:D,D2495)</f>
        <v>1</v>
      </c>
      <c r="B2495" s="30">
        <v>202101166596</v>
      </c>
      <c r="C2495" t="s">
        <v>5830</v>
      </c>
      <c r="D2495" t="s">
        <v>5831</v>
      </c>
      <c r="E2495" t="s">
        <v>5776</v>
      </c>
      <c r="F2495" t="s">
        <v>203</v>
      </c>
      <c r="G2495" s="27" t="str">
        <f t="shared" si="78"/>
        <v>648 13TH ST  PORT ARTHU</v>
      </c>
      <c r="H2495" s="27" t="str">
        <f t="shared" si="79"/>
        <v>HOUSTON TX 77640</v>
      </c>
    </row>
    <row r="2496" spans="1:8" x14ac:dyDescent="0.2">
      <c r="A2496" s="27">
        <f>COUNTIFS(C:C,C2496,D:D,D2496)</f>
        <v>1</v>
      </c>
      <c r="B2496" s="30">
        <v>202101166600</v>
      </c>
      <c r="C2496" t="s">
        <v>5824</v>
      </c>
      <c r="D2496" t="s">
        <v>5825</v>
      </c>
      <c r="E2496" t="s">
        <v>4966</v>
      </c>
      <c r="F2496" t="s">
        <v>236</v>
      </c>
      <c r="G2496" s="27" t="str">
        <f t="shared" si="78"/>
        <v>702 RUGERS LN  DEER PARK</v>
      </c>
      <c r="H2496" s="27" t="str">
        <f t="shared" si="79"/>
        <v>HOUSTON TX 77536</v>
      </c>
    </row>
    <row r="2497" spans="1:8" x14ac:dyDescent="0.2">
      <c r="A2497" s="27">
        <f>COUNTIFS(C:C,C2497,D:D,D2497)</f>
        <v>1</v>
      </c>
      <c r="B2497" s="30">
        <v>202101166603</v>
      </c>
      <c r="C2497" t="s">
        <v>5581</v>
      </c>
      <c r="D2497" t="s">
        <v>5582</v>
      </c>
      <c r="E2497" t="s">
        <v>4914</v>
      </c>
      <c r="F2497" t="s">
        <v>217</v>
      </c>
      <c r="G2497" s="27" t="str">
        <f t="shared" si="78"/>
        <v>1866 EAGLE FALLS DR  HOUSTON</v>
      </c>
      <c r="H2497" s="27" t="str">
        <f t="shared" si="79"/>
        <v>HOUSTON TX 77077</v>
      </c>
    </row>
    <row r="2498" spans="1:8" x14ac:dyDescent="0.2">
      <c r="A2498" s="27">
        <f>COUNTIFS(C:C,C2498,D:D,D2498)</f>
        <v>1</v>
      </c>
      <c r="B2498" s="30">
        <v>202101166606</v>
      </c>
      <c r="C2498" t="s">
        <v>5834</v>
      </c>
      <c r="D2498" t="s">
        <v>5835</v>
      </c>
      <c r="E2498" t="s">
        <v>4864</v>
      </c>
      <c r="F2498" t="s">
        <v>5319</v>
      </c>
      <c r="G2498" s="27" t="str">
        <f t="shared" si="78"/>
        <v>1717 SIMPSON  HOUSTON</v>
      </c>
      <c r="H2498" s="27" t="str">
        <f t="shared" si="79"/>
        <v>HOUSTON TX 77020</v>
      </c>
    </row>
    <row r="2499" spans="1:8" x14ac:dyDescent="0.2">
      <c r="A2499" s="27">
        <f>COUNTIFS(C:C,C2499,D:D,D2499)</f>
        <v>1</v>
      </c>
      <c r="B2499" s="30">
        <v>202101166609</v>
      </c>
      <c r="C2499" t="s">
        <v>5568</v>
      </c>
      <c r="D2499" t="s">
        <v>5569</v>
      </c>
      <c r="E2499" t="s">
        <v>4960</v>
      </c>
      <c r="F2499" t="s">
        <v>185</v>
      </c>
      <c r="G2499" s="27" t="str">
        <f t="shared" si="78"/>
        <v>535 SEMINAR DR  HOUSTON</v>
      </c>
      <c r="H2499" s="27" t="str">
        <f t="shared" si="79"/>
        <v>HOUSTON TX 77060</v>
      </c>
    </row>
    <row r="2500" spans="1:8" x14ac:dyDescent="0.2">
      <c r="A2500" s="27">
        <f>COUNTIFS(C:C,C2500,D:D,D2500)</f>
        <v>1</v>
      </c>
      <c r="B2500" s="30">
        <v>202101166611</v>
      </c>
      <c r="C2500" t="s">
        <v>5442</v>
      </c>
      <c r="D2500" t="s">
        <v>5443</v>
      </c>
      <c r="E2500" t="s">
        <v>4982</v>
      </c>
      <c r="F2500" t="s">
        <v>193</v>
      </c>
      <c r="G2500" s="27" t="str">
        <f t="shared" si="78"/>
        <v>2722 OAKLAND BROOK S T HOUSTON</v>
      </c>
      <c r="H2500" s="27" t="str">
        <f t="shared" si="79"/>
        <v>HOUSTON TX 77038</v>
      </c>
    </row>
    <row r="2501" spans="1:8" x14ac:dyDescent="0.2">
      <c r="A2501" s="27">
        <f>COUNTIFS(C:C,C2501,D:D,D2501)</f>
        <v>1</v>
      </c>
      <c r="B2501" s="30">
        <v>202101166634</v>
      </c>
      <c r="C2501" t="s">
        <v>5608</v>
      </c>
      <c r="D2501" t="s">
        <v>5609</v>
      </c>
      <c r="E2501" t="s">
        <v>4856</v>
      </c>
      <c r="F2501" t="s">
        <v>193</v>
      </c>
      <c r="G2501" s="27" t="str">
        <f t="shared" si="78"/>
        <v>6005 ALLENDALE RD  HOUSTON</v>
      </c>
      <c r="H2501" s="27" t="str">
        <f t="shared" si="79"/>
        <v>HOUSTON TX 77017</v>
      </c>
    </row>
    <row r="2502" spans="1:8" x14ac:dyDescent="0.2">
      <c r="A2502" s="27">
        <f>COUNTIFS(C:C,C2502,D:D,D2502)</f>
        <v>1</v>
      </c>
      <c r="B2502" s="30">
        <v>202101166640</v>
      </c>
      <c r="C2502" t="s">
        <v>5620</v>
      </c>
      <c r="D2502" t="s">
        <v>2706</v>
      </c>
      <c r="E2502" t="s">
        <v>5075</v>
      </c>
      <c r="F2502" t="s">
        <v>185</v>
      </c>
      <c r="G2502" s="27" t="str">
        <f t="shared" si="78"/>
        <v>19203 OPUL TRAILS CT  RICHMOND</v>
      </c>
      <c r="H2502" s="27" t="str">
        <f t="shared" si="79"/>
        <v>HOUSTON TX 77407</v>
      </c>
    </row>
    <row r="2503" spans="1:8" x14ac:dyDescent="0.2">
      <c r="A2503" s="27">
        <f>COUNTIFS(C:C,C2503,D:D,D2503)</f>
        <v>1</v>
      </c>
      <c r="B2503" s="30">
        <v>202101166651</v>
      </c>
      <c r="C2503" t="s">
        <v>5364</v>
      </c>
      <c r="D2503" t="s">
        <v>5365</v>
      </c>
      <c r="E2503" t="s">
        <v>4970</v>
      </c>
      <c r="F2503" t="s">
        <v>194</v>
      </c>
      <c r="G2503" s="27" t="str">
        <f t="shared" si="78"/>
        <v>4620 N BRAESWOOD BLV D HOUSTON</v>
      </c>
      <c r="H2503" s="27" t="str">
        <f t="shared" si="79"/>
        <v>HOUSTON TX 77096</v>
      </c>
    </row>
    <row r="2504" spans="1:8" x14ac:dyDescent="0.2">
      <c r="A2504" s="27">
        <f>COUNTIFS(C:C,C2504,D:D,D2504)</f>
        <v>1</v>
      </c>
      <c r="B2504" s="30">
        <v>202101166663</v>
      </c>
      <c r="C2504" t="s">
        <v>5699</v>
      </c>
      <c r="D2504" t="s">
        <v>5700</v>
      </c>
      <c r="E2504" t="s">
        <v>4851</v>
      </c>
      <c r="F2504" t="s">
        <v>192</v>
      </c>
      <c r="G2504" s="27" t="str">
        <f t="shared" si="78"/>
        <v>810 SUNNYBROOK  BAYTOWN</v>
      </c>
      <c r="H2504" s="27" t="str">
        <f t="shared" si="79"/>
        <v>HOUSTON TX 77521</v>
      </c>
    </row>
    <row r="2505" spans="1:8" x14ac:dyDescent="0.2">
      <c r="A2505" s="27">
        <f>COUNTIFS(C:C,C2505,D:D,D2505)</f>
        <v>1</v>
      </c>
      <c r="B2505" s="30">
        <v>202101166666</v>
      </c>
      <c r="C2505" t="s">
        <v>5851</v>
      </c>
      <c r="D2505" t="s">
        <v>5852</v>
      </c>
      <c r="E2505" t="s">
        <v>5853</v>
      </c>
      <c r="F2505" t="s">
        <v>233</v>
      </c>
      <c r="G2505" s="27" t="str">
        <f t="shared" si="78"/>
        <v>1302 REBE SUE ST  EL CAMPO</v>
      </c>
      <c r="H2505" s="27" t="str">
        <f t="shared" si="79"/>
        <v>HOUSTON TX 77437</v>
      </c>
    </row>
    <row r="2506" spans="1:8" x14ac:dyDescent="0.2">
      <c r="A2506" s="27">
        <f>COUNTIFS(C:C,C2506,D:D,D2506)</f>
        <v>1</v>
      </c>
      <c r="B2506" s="30">
        <v>202101166668</v>
      </c>
      <c r="C2506" t="s">
        <v>5854</v>
      </c>
      <c r="D2506" t="s">
        <v>5855</v>
      </c>
      <c r="E2506" t="s">
        <v>5856</v>
      </c>
      <c r="F2506" t="s">
        <v>233</v>
      </c>
      <c r="G2506" s="27" t="str">
        <f t="shared" si="78"/>
        <v>108 E COREELL  EL CAMPOS</v>
      </c>
      <c r="H2506" s="27" t="str">
        <f t="shared" si="79"/>
        <v>HOUSTON TX 77437</v>
      </c>
    </row>
    <row r="2507" spans="1:8" x14ac:dyDescent="0.2">
      <c r="A2507" s="27">
        <f>COUNTIFS(C:C,C2507,D:D,D2507)</f>
        <v>1</v>
      </c>
      <c r="B2507" s="30">
        <v>202101166669</v>
      </c>
      <c r="C2507" t="s">
        <v>5857</v>
      </c>
      <c r="D2507" t="s">
        <v>5858</v>
      </c>
      <c r="E2507" t="s">
        <v>5859</v>
      </c>
      <c r="F2507" t="s">
        <v>242</v>
      </c>
      <c r="G2507" s="27" t="str">
        <f t="shared" si="78"/>
        <v>5717 ARBOR HILLS WAY APT 314 DENTON</v>
      </c>
      <c r="H2507" s="27" t="str">
        <f t="shared" si="79"/>
        <v>HOUSTON TX 75056</v>
      </c>
    </row>
    <row r="2508" spans="1:8" x14ac:dyDescent="0.2">
      <c r="A2508" s="27">
        <f>COUNTIFS(C:C,C2508,D:D,D2508)</f>
        <v>1</v>
      </c>
      <c r="B2508" s="30">
        <v>202101166671</v>
      </c>
      <c r="C2508" t="s">
        <v>5860</v>
      </c>
      <c r="D2508" t="s">
        <v>5861</v>
      </c>
      <c r="E2508" t="s">
        <v>5079</v>
      </c>
      <c r="F2508" t="s">
        <v>187</v>
      </c>
      <c r="G2508" s="27" t="str">
        <f t="shared" si="78"/>
        <v>1000 COUNTRY PLACE D R APT 34 HOUSTON</v>
      </c>
      <c r="H2508" s="27" t="str">
        <f t="shared" si="79"/>
        <v>HOUSTON TX 77079</v>
      </c>
    </row>
    <row r="2509" spans="1:8" x14ac:dyDescent="0.2">
      <c r="A2509" s="27">
        <f>COUNTIFS(C:C,C2509,D:D,D2509)</f>
        <v>1</v>
      </c>
      <c r="B2509" s="30">
        <v>202101166676</v>
      </c>
      <c r="C2509" t="s">
        <v>5866</v>
      </c>
      <c r="D2509" t="s">
        <v>5867</v>
      </c>
      <c r="E2509" t="s">
        <v>4900</v>
      </c>
      <c r="F2509" t="s">
        <v>233</v>
      </c>
      <c r="G2509" s="27" t="str">
        <f t="shared" si="78"/>
        <v>2606 CHISOLM CREEK C T KATY</v>
      </c>
      <c r="H2509" s="27" t="str">
        <f t="shared" si="79"/>
        <v>HOUSTON TX 77449</v>
      </c>
    </row>
    <row r="2510" spans="1:8" x14ac:dyDescent="0.2">
      <c r="A2510" s="27">
        <f>COUNTIFS(C:C,C2510,D:D,D2510)</f>
        <v>1</v>
      </c>
      <c r="B2510" s="30">
        <v>202101166677</v>
      </c>
      <c r="C2510" t="s">
        <v>5577</v>
      </c>
      <c r="D2510" t="s">
        <v>5578</v>
      </c>
      <c r="E2510" t="s">
        <v>4901</v>
      </c>
      <c r="F2510" t="s">
        <v>5301</v>
      </c>
      <c r="G2510" s="27" t="str">
        <f t="shared" si="78"/>
        <v>7702 RIPTIDE DR  HOUSTON</v>
      </c>
      <c r="H2510" s="27" t="str">
        <f t="shared" si="79"/>
        <v>HOUSTON TX 77072</v>
      </c>
    </row>
    <row r="2511" spans="1:8" x14ac:dyDescent="0.2">
      <c r="A2511" s="27">
        <f>COUNTIFS(C:C,C2511,D:D,D2511)</f>
        <v>1</v>
      </c>
      <c r="B2511" s="30">
        <v>202101166696</v>
      </c>
      <c r="C2511" t="s">
        <v>5703</v>
      </c>
      <c r="D2511" t="s">
        <v>5704</v>
      </c>
      <c r="E2511" t="s">
        <v>4928</v>
      </c>
      <c r="F2511" t="s">
        <v>207</v>
      </c>
      <c r="G2511" s="27" t="str">
        <f t="shared" si="78"/>
        <v>108 ELM STREET  HIGHLANDS</v>
      </c>
      <c r="H2511" s="27" t="str">
        <f t="shared" si="79"/>
        <v>HOUSTON TX 77562</v>
      </c>
    </row>
    <row r="2512" spans="1:8" x14ac:dyDescent="0.2">
      <c r="A2512" s="27">
        <f>COUNTIFS(C:C,C2512,D:D,D2512)</f>
        <v>1</v>
      </c>
      <c r="B2512" s="30">
        <v>202101166709</v>
      </c>
      <c r="C2512" t="s">
        <v>5872</v>
      </c>
      <c r="D2512" t="s">
        <v>5873</v>
      </c>
      <c r="E2512" t="s">
        <v>4896</v>
      </c>
      <c r="F2512" t="s">
        <v>5320</v>
      </c>
      <c r="G2512" s="27" t="str">
        <f t="shared" si="78"/>
        <v>8402 MOBUD  HOUSTON</v>
      </c>
      <c r="H2512" s="27" t="str">
        <f t="shared" si="79"/>
        <v>HOUSTON TX 77036</v>
      </c>
    </row>
    <row r="2513" spans="1:8" x14ac:dyDescent="0.2">
      <c r="A2513" s="27">
        <f>COUNTIFS(C:C,C2513,D:D,D2513)</f>
        <v>1</v>
      </c>
      <c r="B2513" s="30">
        <v>202101166714</v>
      </c>
      <c r="C2513" t="s">
        <v>5379</v>
      </c>
      <c r="D2513" t="s">
        <v>5380</v>
      </c>
      <c r="E2513" t="s">
        <v>5092</v>
      </c>
      <c r="F2513" t="s">
        <v>209</v>
      </c>
      <c r="G2513" s="27" t="str">
        <f t="shared" si="78"/>
        <v>401 SOUTH BENDER  HUMBLE</v>
      </c>
      <c r="H2513" s="27" t="str">
        <f t="shared" si="79"/>
        <v xml:space="preserve">HOUSTON TX      </v>
      </c>
    </row>
    <row r="2514" spans="1:8" x14ac:dyDescent="0.2">
      <c r="A2514" s="27">
        <f>COUNTIFS(C:C,C2514,D:D,D2514)</f>
        <v>1</v>
      </c>
      <c r="B2514" s="30">
        <v>202101166729</v>
      </c>
      <c r="C2514" t="s">
        <v>5325</v>
      </c>
      <c r="D2514" t="s">
        <v>5326</v>
      </c>
      <c r="E2514" t="s">
        <v>4893</v>
      </c>
      <c r="F2514" t="s">
        <v>5302</v>
      </c>
      <c r="G2514" s="27" t="str">
        <f t="shared" si="78"/>
        <v>4423 TRAIL LAKE DR  HOUSTON</v>
      </c>
      <c r="H2514" s="27" t="str">
        <f t="shared" si="79"/>
        <v>HOUSTON TX 77045</v>
      </c>
    </row>
    <row r="2515" spans="1:8" x14ac:dyDescent="0.2">
      <c r="A2515" s="27">
        <f>COUNTIFS(C:C,C2515,D:D,D2515)</f>
        <v>1</v>
      </c>
      <c r="B2515" s="30">
        <v>202101166740</v>
      </c>
      <c r="C2515" t="s">
        <v>5890</v>
      </c>
      <c r="D2515" t="s">
        <v>5891</v>
      </c>
      <c r="E2515" t="s">
        <v>5892</v>
      </c>
      <c r="F2515" t="s">
        <v>216</v>
      </c>
      <c r="G2515" s="27" t="e">
        <f t="shared" si="78"/>
        <v>#VALUE!</v>
      </c>
      <c r="H2515" s="27" t="e">
        <f t="shared" si="79"/>
        <v>#VALUE!</v>
      </c>
    </row>
    <row r="2516" spans="1:8" x14ac:dyDescent="0.2">
      <c r="A2516" s="27">
        <f>COUNTIFS(C:C,C2516,D:D,D2516)</f>
        <v>1</v>
      </c>
      <c r="B2516" s="30">
        <v>202101171401</v>
      </c>
      <c r="C2516" t="s">
        <v>5899</v>
      </c>
      <c r="D2516" t="s">
        <v>5900</v>
      </c>
      <c r="E2516" t="s">
        <v>4950</v>
      </c>
      <c r="F2516" t="s">
        <v>56</v>
      </c>
      <c r="G2516" s="27" t="str">
        <f t="shared" si="78"/>
        <v>4047 EUROPA ST  HOUSTON</v>
      </c>
      <c r="H2516" s="27" t="str">
        <f t="shared" si="79"/>
        <v>HOUSTON TX 77022</v>
      </c>
    </row>
    <row r="2517" spans="1:8" x14ac:dyDescent="0.2">
      <c r="A2517" s="27">
        <f>COUNTIFS(C:C,C2517,D:D,D2517)</f>
        <v>1</v>
      </c>
      <c r="B2517" s="30">
        <v>202101171414</v>
      </c>
      <c r="C2517" t="s">
        <v>5901</v>
      </c>
      <c r="D2517" t="s">
        <v>5902</v>
      </c>
      <c r="E2517" t="s">
        <v>4862</v>
      </c>
      <c r="F2517" t="s">
        <v>51</v>
      </c>
      <c r="G2517" s="27" t="str">
        <f t="shared" si="78"/>
        <v>505 WELLS FARGO DR.  HOUSTON</v>
      </c>
      <c r="H2517" s="27" t="str">
        <f t="shared" si="79"/>
        <v>HOUSTON TX 77090</v>
      </c>
    </row>
    <row r="2518" spans="1:8" x14ac:dyDescent="0.2">
      <c r="A2518" s="27">
        <f>COUNTIFS(C:C,C2518,D:D,D2518)</f>
        <v>1</v>
      </c>
      <c r="B2518" s="30">
        <v>202101171420</v>
      </c>
      <c r="C2518" t="s">
        <v>5903</v>
      </c>
      <c r="D2518" t="s">
        <v>5904</v>
      </c>
      <c r="E2518" t="s">
        <v>5905</v>
      </c>
      <c r="F2518" t="s">
        <v>71</v>
      </c>
      <c r="G2518" s="27" t="str">
        <f t="shared" si="78"/>
        <v>13303 ITASCA PINE DR  ATASCOCITA</v>
      </c>
      <c r="H2518" s="27" t="str">
        <f t="shared" si="79"/>
        <v>HOUSTON TX 77396</v>
      </c>
    </row>
    <row r="2519" spans="1:8" x14ac:dyDescent="0.2">
      <c r="A2519" s="27">
        <f>COUNTIFS(C:C,C2519,D:D,D2519)</f>
        <v>1</v>
      </c>
      <c r="B2519" s="30">
        <v>202101171431</v>
      </c>
      <c r="C2519" t="s">
        <v>5906</v>
      </c>
      <c r="D2519" t="s">
        <v>5907</v>
      </c>
      <c r="E2519" t="s">
        <v>4951</v>
      </c>
      <c r="F2519" t="s">
        <v>53</v>
      </c>
      <c r="G2519" s="27" t="str">
        <f t="shared" si="78"/>
        <v>8810 DISTANT WOODS C OURT HOUSTON</v>
      </c>
      <c r="H2519" s="27" t="str">
        <f t="shared" si="79"/>
        <v>HOUSTON TX 77095</v>
      </c>
    </row>
    <row r="2520" spans="1:8" x14ac:dyDescent="0.2">
      <c r="A2520" s="27">
        <f>COUNTIFS(C:C,C2520,D:D,D2520)</f>
        <v>1</v>
      </c>
      <c r="B2520" s="30">
        <v>202101171484</v>
      </c>
      <c r="C2520" t="s">
        <v>5908</v>
      </c>
      <c r="D2520" t="s">
        <v>5909</v>
      </c>
      <c r="E2520" t="s">
        <v>4937</v>
      </c>
      <c r="F2520" t="s">
        <v>87</v>
      </c>
      <c r="G2520" s="27" t="str">
        <f t="shared" si="78"/>
        <v>7301 OAK HILL DR  HOUSTON</v>
      </c>
      <c r="H2520" s="27" t="str">
        <f t="shared" si="79"/>
        <v>HOUSTON TX 77087</v>
      </c>
    </row>
    <row r="2521" spans="1:8" x14ac:dyDescent="0.2">
      <c r="A2521" s="27">
        <f>COUNTIFS(C:C,C2521,D:D,D2521)</f>
        <v>1</v>
      </c>
      <c r="B2521" s="30">
        <v>202101171497</v>
      </c>
      <c r="C2521" t="s">
        <v>5910</v>
      </c>
      <c r="D2521" t="s">
        <v>5911</v>
      </c>
      <c r="E2521" t="s">
        <v>4997</v>
      </c>
      <c r="F2521" t="s">
        <v>56</v>
      </c>
      <c r="G2521" s="27" t="str">
        <f t="shared" si="78"/>
        <v>12127 HUNTINGTON PARK DR HOUSTON</v>
      </c>
      <c r="H2521" s="27" t="str">
        <f t="shared" si="79"/>
        <v>HOUSTON TX 77099</v>
      </c>
    </row>
    <row r="2522" spans="1:8" x14ac:dyDescent="0.2">
      <c r="A2522" s="27">
        <f>COUNTIFS(C:C,C2522,D:D,D2522)</f>
        <v>1</v>
      </c>
      <c r="B2522" s="30">
        <v>202101171503</v>
      </c>
      <c r="C2522" t="s">
        <v>5912</v>
      </c>
      <c r="D2522" t="s">
        <v>5913</v>
      </c>
      <c r="E2522" t="s">
        <v>4915</v>
      </c>
      <c r="F2522" t="s">
        <v>75</v>
      </c>
      <c r="G2522" s="27" t="str">
        <f t="shared" si="78"/>
        <v>4102 MAINER ST  HOUSTON</v>
      </c>
      <c r="H2522" s="27" t="str">
        <f t="shared" si="79"/>
        <v>HOUSTON TX 77021</v>
      </c>
    </row>
    <row r="2523" spans="1:8" x14ac:dyDescent="0.2">
      <c r="A2523" s="27">
        <f>COUNTIFS(C:C,C2523,D:D,D2523)</f>
        <v>1</v>
      </c>
      <c r="B2523" s="30">
        <v>202101171505</v>
      </c>
      <c r="C2523" t="s">
        <v>5914</v>
      </c>
      <c r="D2523" t="s">
        <v>5915</v>
      </c>
      <c r="E2523" t="s">
        <v>4878</v>
      </c>
      <c r="F2523" t="s">
        <v>79</v>
      </c>
      <c r="G2523" s="27" t="str">
        <f t="shared" si="78"/>
        <v>5901 SELINSKY RD APT 25 HOUSTON</v>
      </c>
      <c r="H2523" s="27" t="str">
        <f t="shared" si="79"/>
        <v>HOUSTON TX 77048</v>
      </c>
    </row>
    <row r="2524" spans="1:8" x14ac:dyDescent="0.2">
      <c r="A2524" s="27">
        <f>COUNTIFS(C:C,C2524,D:D,D2524)</f>
        <v>1</v>
      </c>
      <c r="B2524" s="30">
        <v>202101171507</v>
      </c>
      <c r="C2524" t="s">
        <v>5916</v>
      </c>
      <c r="D2524" t="s">
        <v>5917</v>
      </c>
      <c r="E2524" t="s">
        <v>4960</v>
      </c>
      <c r="F2524" t="s">
        <v>178</v>
      </c>
      <c r="G2524" s="27" t="str">
        <f t="shared" si="78"/>
        <v>8125 DYNA DR  HOUSTON</v>
      </c>
      <c r="H2524" s="27" t="str">
        <f t="shared" si="79"/>
        <v>HOUSTON TX 77060</v>
      </c>
    </row>
    <row r="2525" spans="1:8" x14ac:dyDescent="0.2">
      <c r="A2525" s="27">
        <f>COUNTIFS(C:C,C2525,D:D,D2525)</f>
        <v>1</v>
      </c>
      <c r="B2525" s="30">
        <v>202101171523</v>
      </c>
      <c r="C2525" t="s">
        <v>5918</v>
      </c>
      <c r="D2525" t="s">
        <v>5919</v>
      </c>
      <c r="E2525" t="s">
        <v>5073</v>
      </c>
      <c r="F2525" t="s">
        <v>87</v>
      </c>
      <c r="G2525" s="27" t="str">
        <f t="shared" si="78"/>
        <v>203 AURORA ST APT A  HOUSTON</v>
      </c>
      <c r="H2525" s="27" t="str">
        <f t="shared" si="79"/>
        <v>HOUSTON TX 77008</v>
      </c>
    </row>
    <row r="2526" spans="1:8" x14ac:dyDescent="0.2">
      <c r="A2526" s="27">
        <f>COUNTIFS(C:C,C2526,D:D,D2526)</f>
        <v>1</v>
      </c>
      <c r="B2526" s="30">
        <v>202101171532</v>
      </c>
      <c r="C2526" t="s">
        <v>5920</v>
      </c>
      <c r="D2526" t="s">
        <v>5921</v>
      </c>
      <c r="E2526" t="s">
        <v>4975</v>
      </c>
      <c r="F2526" t="s">
        <v>79</v>
      </c>
      <c r="G2526" s="27" t="str">
        <f t="shared" si="78"/>
        <v>11220 WEST RD  HOUSTON</v>
      </c>
      <c r="H2526" s="27" t="str">
        <f t="shared" si="79"/>
        <v>HOUSTON TX 77065</v>
      </c>
    </row>
    <row r="2527" spans="1:8" x14ac:dyDescent="0.2">
      <c r="A2527" s="27">
        <f>COUNTIFS(C:C,C2527,D:D,D2527)</f>
        <v>1</v>
      </c>
      <c r="B2527" s="30">
        <v>202101171539</v>
      </c>
      <c r="C2527" t="s">
        <v>5922</v>
      </c>
      <c r="D2527" t="s">
        <v>5923</v>
      </c>
      <c r="E2527" t="s">
        <v>4973</v>
      </c>
      <c r="F2527" t="s">
        <v>53</v>
      </c>
      <c r="G2527" s="27" t="str">
        <f t="shared" si="78"/>
        <v>9707 S GESSNER RD 23 16 HOUSTON</v>
      </c>
      <c r="H2527" s="27" t="str">
        <f t="shared" si="79"/>
        <v>HOUSTON TX 77074</v>
      </c>
    </row>
    <row r="2528" spans="1:8" x14ac:dyDescent="0.2">
      <c r="A2528" s="27">
        <f>COUNTIFS(C:C,C2528,D:D,D2528)</f>
        <v>1</v>
      </c>
      <c r="B2528" s="30">
        <v>202101171540</v>
      </c>
      <c r="C2528" t="s">
        <v>5924</v>
      </c>
      <c r="D2528" t="s">
        <v>5925</v>
      </c>
      <c r="E2528" t="s">
        <v>4958</v>
      </c>
      <c r="F2528" t="s">
        <v>51</v>
      </c>
      <c r="G2528" s="27" t="str">
        <f t="shared" si="78"/>
        <v>9998 MAIN ST  HOUSTON</v>
      </c>
      <c r="H2528" s="27" t="str">
        <f t="shared" si="79"/>
        <v>HOUSTON TX 77025</v>
      </c>
    </row>
    <row r="2529" spans="1:8" x14ac:dyDescent="0.2">
      <c r="A2529" s="27">
        <f>COUNTIFS(C:C,C2529,D:D,D2529)</f>
        <v>1</v>
      </c>
      <c r="B2529" s="30">
        <v>202101171546</v>
      </c>
      <c r="C2529" t="s">
        <v>5926</v>
      </c>
      <c r="D2529" t="s">
        <v>5927</v>
      </c>
      <c r="E2529" t="s">
        <v>5017</v>
      </c>
      <c r="F2529" t="s">
        <v>5928</v>
      </c>
      <c r="G2529" s="27" t="str">
        <f t="shared" si="78"/>
        <v>331 PARRAMATTA LN  HARRIS CO</v>
      </c>
      <c r="H2529" s="27" t="str">
        <f t="shared" si="79"/>
        <v>HOUSTON TX 77073</v>
      </c>
    </row>
    <row r="2530" spans="1:8" x14ac:dyDescent="0.2">
      <c r="A2530" s="27">
        <f>COUNTIFS(C:C,C2530,D:D,D2530)</f>
        <v>1</v>
      </c>
      <c r="B2530" s="30">
        <v>202101171553</v>
      </c>
      <c r="C2530" t="s">
        <v>5929</v>
      </c>
      <c r="D2530" t="s">
        <v>5930</v>
      </c>
      <c r="E2530" t="s">
        <v>4932</v>
      </c>
      <c r="F2530" t="s">
        <v>64</v>
      </c>
      <c r="G2530" s="27" t="str">
        <f t="shared" si="78"/>
        <v>6200 W TIDWELL RD  HOUSTON</v>
      </c>
      <c r="H2530" s="27" t="str">
        <f t="shared" si="79"/>
        <v>HOUSTON TX 77092</v>
      </c>
    </row>
    <row r="2531" spans="1:8" x14ac:dyDescent="0.2">
      <c r="A2531" s="27">
        <f>COUNTIFS(C:C,C2531,D:D,D2531)</f>
        <v>1</v>
      </c>
      <c r="B2531" s="30">
        <v>202101171556</v>
      </c>
      <c r="C2531" t="s">
        <v>5931</v>
      </c>
      <c r="D2531" t="s">
        <v>5932</v>
      </c>
      <c r="E2531" t="s">
        <v>4854</v>
      </c>
      <c r="F2531" t="s">
        <v>53</v>
      </c>
      <c r="G2531" s="27" t="str">
        <f t="shared" si="78"/>
        <v>5518 RAND ST 40  HOUSTON</v>
      </c>
      <c r="H2531" s="27" t="str">
        <f t="shared" si="79"/>
        <v>HOUSTON TX 77026</v>
      </c>
    </row>
    <row r="2532" spans="1:8" x14ac:dyDescent="0.2">
      <c r="A2532" s="27">
        <f>COUNTIFS(C:C,C2532,D:D,D2532)</f>
        <v>1</v>
      </c>
      <c r="B2532" s="30">
        <v>202101171563</v>
      </c>
      <c r="C2532" t="s">
        <v>5933</v>
      </c>
      <c r="D2532" t="s">
        <v>5934</v>
      </c>
      <c r="E2532" t="s">
        <v>4914</v>
      </c>
      <c r="F2532" t="s">
        <v>53</v>
      </c>
      <c r="G2532" s="27" t="str">
        <f t="shared" si="78"/>
        <v>2250 ELDRIDGE PKWY  HOUSTON</v>
      </c>
      <c r="H2532" s="27" t="str">
        <f t="shared" si="79"/>
        <v>HOUSTON TX 77077</v>
      </c>
    </row>
    <row r="2533" spans="1:8" x14ac:dyDescent="0.2">
      <c r="A2533" s="27">
        <f>COUNTIFS(C:C,C2533,D:D,D2533)</f>
        <v>1</v>
      </c>
      <c r="B2533" s="30">
        <v>202101171570</v>
      </c>
      <c r="C2533" t="s">
        <v>5935</v>
      </c>
      <c r="D2533" t="s">
        <v>5936</v>
      </c>
      <c r="E2533" t="s">
        <v>4881</v>
      </c>
      <c r="F2533" t="s">
        <v>64</v>
      </c>
      <c r="G2533" s="27" t="str">
        <f t="shared" si="78"/>
        <v>1027 KERNEK RD  CROSBY</v>
      </c>
      <c r="H2533" s="27" t="str">
        <f t="shared" si="79"/>
        <v>HOUSTON TX 77532</v>
      </c>
    </row>
    <row r="2534" spans="1:8" x14ac:dyDescent="0.2">
      <c r="A2534" s="27">
        <f>COUNTIFS(C:C,C2534,D:D,D2534)</f>
        <v>1</v>
      </c>
      <c r="B2534" s="30">
        <v>202101171571</v>
      </c>
      <c r="C2534" t="s">
        <v>5937</v>
      </c>
      <c r="D2534" t="s">
        <v>5938</v>
      </c>
      <c r="E2534" t="s">
        <v>4893</v>
      </c>
      <c r="F2534" t="s">
        <v>64</v>
      </c>
      <c r="G2534" s="27" t="str">
        <f t="shared" si="78"/>
        <v>2643 DRAGONWICK DR  HOUSTON</v>
      </c>
      <c r="H2534" s="27" t="str">
        <f t="shared" si="79"/>
        <v>HOUSTON TX 77045</v>
      </c>
    </row>
    <row r="2535" spans="1:8" x14ac:dyDescent="0.2">
      <c r="A2535" s="27">
        <f>COUNTIFS(C:C,C2535,D:D,D2535)</f>
        <v>1</v>
      </c>
      <c r="B2535" s="30">
        <v>202101171576</v>
      </c>
      <c r="C2535" t="s">
        <v>5939</v>
      </c>
      <c r="D2535" t="s">
        <v>5940</v>
      </c>
      <c r="E2535" t="s">
        <v>5198</v>
      </c>
      <c r="F2535" t="s">
        <v>51</v>
      </c>
      <c r="G2535" s="27" t="str">
        <f t="shared" si="78"/>
        <v>17406 BAMWOOD DR  SPRING</v>
      </c>
      <c r="H2535" s="27" t="str">
        <f t="shared" si="79"/>
        <v>HOUSTON TX 77090</v>
      </c>
    </row>
    <row r="2536" spans="1:8" x14ac:dyDescent="0.2">
      <c r="A2536" s="27">
        <f>COUNTIFS(C:C,C2536,D:D,D2536)</f>
        <v>1</v>
      </c>
      <c r="B2536" s="30">
        <v>202101171577</v>
      </c>
      <c r="C2536" t="s">
        <v>5941</v>
      </c>
      <c r="D2536" t="s">
        <v>5942</v>
      </c>
      <c r="E2536" t="s">
        <v>4960</v>
      </c>
      <c r="F2536" t="s">
        <v>79</v>
      </c>
      <c r="G2536" s="27" t="str">
        <f t="shared" si="78"/>
        <v>1100 LANGWICK DR  HOUSTON</v>
      </c>
      <c r="H2536" s="27" t="str">
        <f t="shared" si="79"/>
        <v>HOUSTON TX 77060</v>
      </c>
    </row>
    <row r="2537" spans="1:8" x14ac:dyDescent="0.2">
      <c r="A2537" s="27">
        <f>COUNTIFS(C:C,C2537,D:D,D2537)</f>
        <v>1</v>
      </c>
      <c r="B2537" s="30">
        <v>202101171579</v>
      </c>
      <c r="C2537" t="s">
        <v>5943</v>
      </c>
      <c r="D2537" t="s">
        <v>5944</v>
      </c>
      <c r="E2537" t="s">
        <v>4984</v>
      </c>
      <c r="F2537" t="s">
        <v>79</v>
      </c>
      <c r="G2537" s="27" t="str">
        <f t="shared" si="78"/>
        <v>21903 ROCKGATE DR  SPRING</v>
      </c>
      <c r="H2537" s="27" t="str">
        <f t="shared" si="79"/>
        <v>HOUSTON TX 77373</v>
      </c>
    </row>
    <row r="2538" spans="1:8" x14ac:dyDescent="0.2">
      <c r="A2538" s="27">
        <f>COUNTIFS(C:C,C2538,D:D,D2538)</f>
        <v>1</v>
      </c>
      <c r="B2538" s="30">
        <v>202101171583</v>
      </c>
      <c r="C2538" t="s">
        <v>5945</v>
      </c>
      <c r="D2538" t="s">
        <v>5946</v>
      </c>
      <c r="E2538" t="s">
        <v>4978</v>
      </c>
      <c r="F2538" t="s">
        <v>56</v>
      </c>
      <c r="G2538" s="27" t="str">
        <f t="shared" ref="G2538:G2601" si="80">D2538&amp;" "&amp;MID(E2538,1,FIND(" TX",E2538)-1)</f>
        <v>7619 BROOKLEAF DR  HOUSTON</v>
      </c>
      <c r="H2538" s="27" t="str">
        <f t="shared" ref="H2538:H2601" si="81">"HOUSTON "&amp;MID(E2538,FIND("TX",E2538),8)</f>
        <v>HOUSTON TX 77041</v>
      </c>
    </row>
    <row r="2539" spans="1:8" x14ac:dyDescent="0.2">
      <c r="A2539" s="27">
        <f>COUNTIFS(C:C,C2539,D:D,D2539)</f>
        <v>1</v>
      </c>
      <c r="B2539" s="30">
        <v>202101171584</v>
      </c>
      <c r="C2539" t="s">
        <v>5947</v>
      </c>
      <c r="D2539" t="s">
        <v>5948</v>
      </c>
      <c r="E2539" t="s">
        <v>4991</v>
      </c>
      <c r="F2539" t="s">
        <v>53</v>
      </c>
      <c r="G2539" s="27" t="str">
        <f t="shared" si="80"/>
        <v>9801 MEADOWGLEN LN 1 1 HOUSTON</v>
      </c>
      <c r="H2539" s="27" t="str">
        <f t="shared" si="81"/>
        <v>HOUSTON TX 77042</v>
      </c>
    </row>
    <row r="2540" spans="1:8" x14ac:dyDescent="0.2">
      <c r="A2540" s="27">
        <f>COUNTIFS(C:C,C2540,D:D,D2540)</f>
        <v>1</v>
      </c>
      <c r="B2540" s="30">
        <v>202101171587</v>
      </c>
      <c r="C2540" t="s">
        <v>5949</v>
      </c>
      <c r="D2540" t="s">
        <v>5950</v>
      </c>
      <c r="E2540" t="s">
        <v>4956</v>
      </c>
      <c r="F2540" t="s">
        <v>64</v>
      </c>
      <c r="G2540" s="27" t="str">
        <f t="shared" si="80"/>
        <v>18206 WINDING TIMBERS LANE HUMBLE</v>
      </c>
      <c r="H2540" s="27" t="str">
        <f t="shared" si="81"/>
        <v>HOUSTON TX 77346</v>
      </c>
    </row>
    <row r="2541" spans="1:8" x14ac:dyDescent="0.2">
      <c r="A2541" s="27">
        <f>COUNTIFS(C:C,C2541,D:D,D2541)</f>
        <v>1</v>
      </c>
      <c r="B2541" s="30">
        <v>202101171591</v>
      </c>
      <c r="C2541" t="s">
        <v>5951</v>
      </c>
      <c r="D2541" t="s">
        <v>5952</v>
      </c>
      <c r="E2541" t="s">
        <v>4880</v>
      </c>
      <c r="F2541" t="s">
        <v>53</v>
      </c>
      <c r="G2541" s="27" t="str">
        <f t="shared" si="80"/>
        <v>3032 WEBSTER ST  HOUSTON</v>
      </c>
      <c r="H2541" s="27" t="str">
        <f t="shared" si="81"/>
        <v>HOUSTON TX 77004</v>
      </c>
    </row>
    <row r="2542" spans="1:8" x14ac:dyDescent="0.2">
      <c r="A2542" s="27">
        <f>COUNTIFS(C:C,C2542,D:D,D2542)</f>
        <v>1</v>
      </c>
      <c r="B2542" s="30">
        <v>202101171593</v>
      </c>
      <c r="C2542" t="s">
        <v>5953</v>
      </c>
      <c r="D2542" t="s">
        <v>5954</v>
      </c>
      <c r="E2542" t="s">
        <v>5116</v>
      </c>
      <c r="F2542" t="s">
        <v>51</v>
      </c>
      <c r="G2542" s="27" t="str">
        <f t="shared" si="80"/>
        <v>9757 PINELAND RD  HARRIS CO</v>
      </c>
      <c r="H2542" s="27" t="str">
        <f t="shared" si="81"/>
        <v>HOUSTON TX 77044</v>
      </c>
    </row>
    <row r="2543" spans="1:8" x14ac:dyDescent="0.2">
      <c r="A2543" s="27">
        <f>COUNTIFS(C:C,C2543,D:D,D2543)</f>
        <v>1</v>
      </c>
      <c r="B2543" s="30">
        <v>202101171594</v>
      </c>
      <c r="C2543" t="s">
        <v>5955</v>
      </c>
      <c r="D2543" t="s">
        <v>5956</v>
      </c>
      <c r="E2543" t="s">
        <v>4865</v>
      </c>
      <c r="F2543" t="s">
        <v>56</v>
      </c>
      <c r="G2543" s="27" t="str">
        <f t="shared" si="80"/>
        <v>618 PARK TRAIL VIST A HOUSTON</v>
      </c>
      <c r="H2543" s="27" t="str">
        <f t="shared" si="81"/>
        <v xml:space="preserve">HOUSTON TX      </v>
      </c>
    </row>
    <row r="2544" spans="1:8" x14ac:dyDescent="0.2">
      <c r="A2544" s="27">
        <f>COUNTIFS(C:C,C2544,D:D,D2544)</f>
        <v>1</v>
      </c>
      <c r="B2544" s="30">
        <v>202101171595</v>
      </c>
      <c r="C2544" t="s">
        <v>5957</v>
      </c>
      <c r="D2544" t="s">
        <v>5958</v>
      </c>
      <c r="E2544" t="s">
        <v>4872</v>
      </c>
      <c r="F2544" t="s">
        <v>79</v>
      </c>
      <c r="G2544" s="27" t="str">
        <f t="shared" si="80"/>
        <v>7505 LAURA KOPPE RD  HOUSTON</v>
      </c>
      <c r="H2544" s="27" t="str">
        <f t="shared" si="81"/>
        <v>HOUSTON TX 77028</v>
      </c>
    </row>
    <row r="2545" spans="1:8" x14ac:dyDescent="0.2">
      <c r="A2545" s="27">
        <f>COUNTIFS(C:C,C2545,D:D,D2545)</f>
        <v>1</v>
      </c>
      <c r="B2545" s="30">
        <v>202101171596</v>
      </c>
      <c r="C2545" t="s">
        <v>5959</v>
      </c>
      <c r="D2545" t="s">
        <v>5960</v>
      </c>
      <c r="E2545" t="s">
        <v>4862</v>
      </c>
      <c r="F2545" t="s">
        <v>78</v>
      </c>
      <c r="G2545" s="27" t="str">
        <f t="shared" si="80"/>
        <v>555 BUTTERFIELD RD  HOUSTON</v>
      </c>
      <c r="H2545" s="27" t="str">
        <f t="shared" si="81"/>
        <v>HOUSTON TX 77090</v>
      </c>
    </row>
    <row r="2546" spans="1:8" x14ac:dyDescent="0.2">
      <c r="A2546" s="27">
        <f>COUNTIFS(C:C,C2546,D:D,D2546)</f>
        <v>1</v>
      </c>
      <c r="B2546" s="30">
        <v>202101171599</v>
      </c>
      <c r="C2546" t="s">
        <v>5961</v>
      </c>
      <c r="D2546" t="s">
        <v>5962</v>
      </c>
      <c r="E2546" t="s">
        <v>5060</v>
      </c>
      <c r="F2546" t="s">
        <v>79</v>
      </c>
      <c r="G2546" s="27" t="str">
        <f t="shared" si="80"/>
        <v>9717 CYPRESSWOOD DR APT 433 HOUSTON</v>
      </c>
      <c r="H2546" s="27" t="str">
        <f t="shared" si="81"/>
        <v>HOUSTON TX 77070</v>
      </c>
    </row>
    <row r="2547" spans="1:8" x14ac:dyDescent="0.2">
      <c r="A2547" s="27">
        <f>COUNTIFS(C:C,C2547,D:D,D2547)</f>
        <v>1</v>
      </c>
      <c r="B2547" s="30">
        <v>202101171600</v>
      </c>
      <c r="C2547" t="s">
        <v>5963</v>
      </c>
      <c r="D2547" t="s">
        <v>5964</v>
      </c>
      <c r="E2547" t="s">
        <v>4901</v>
      </c>
      <c r="F2547" t="s">
        <v>79</v>
      </c>
      <c r="G2547" s="27" t="str">
        <f t="shared" si="80"/>
        <v>13009 WIREVINE LN  HOUSTON</v>
      </c>
      <c r="H2547" s="27" t="str">
        <f t="shared" si="81"/>
        <v>HOUSTON TX 77072</v>
      </c>
    </row>
    <row r="2548" spans="1:8" x14ac:dyDescent="0.2">
      <c r="A2548" s="27">
        <f>COUNTIFS(C:C,C2548,D:D,D2548)</f>
        <v>1</v>
      </c>
      <c r="B2548" s="30">
        <v>202101171601</v>
      </c>
      <c r="C2548" t="s">
        <v>5965</v>
      </c>
      <c r="D2548" t="s">
        <v>5966</v>
      </c>
      <c r="E2548" t="s">
        <v>5104</v>
      </c>
      <c r="F2548" t="s">
        <v>178</v>
      </c>
      <c r="G2548" s="27" t="str">
        <f t="shared" si="80"/>
        <v>6023 SHERINGHAM ST  HOUSTON</v>
      </c>
      <c r="H2548" s="27" t="str">
        <f t="shared" si="81"/>
        <v>HOUSTON TX 77085</v>
      </c>
    </row>
    <row r="2549" spans="1:8" x14ac:dyDescent="0.2">
      <c r="A2549" s="27">
        <f>COUNTIFS(C:C,C2549,D:D,D2549)</f>
        <v>1</v>
      </c>
      <c r="B2549" s="30">
        <v>202101171608</v>
      </c>
      <c r="C2549" t="s">
        <v>5967</v>
      </c>
      <c r="D2549" t="s">
        <v>5968</v>
      </c>
      <c r="E2549" t="s">
        <v>4910</v>
      </c>
      <c r="F2549" t="s">
        <v>79</v>
      </c>
      <c r="G2549" s="27" t="str">
        <f t="shared" si="80"/>
        <v>16006 UPSHIRE ST  CHANNELVIE</v>
      </c>
      <c r="H2549" s="27" t="str">
        <f t="shared" si="81"/>
        <v>HOUSTON TX 77530</v>
      </c>
    </row>
    <row r="2550" spans="1:8" x14ac:dyDescent="0.2">
      <c r="A2550" s="27">
        <f>COUNTIFS(C:C,C2550,D:D,D2550)</f>
        <v>1</v>
      </c>
      <c r="B2550" s="30">
        <v>202101171610</v>
      </c>
      <c r="C2550" t="s">
        <v>5969</v>
      </c>
      <c r="D2550" t="s">
        <v>5970</v>
      </c>
      <c r="E2550" t="s">
        <v>4920</v>
      </c>
      <c r="F2550" t="s">
        <v>53</v>
      </c>
      <c r="G2550" s="27" t="str">
        <f t="shared" si="80"/>
        <v>9331 HODGES BEND DR  HOUSTON</v>
      </c>
      <c r="H2550" s="27" t="str">
        <f t="shared" si="81"/>
        <v>HOUSTON TX 77083</v>
      </c>
    </row>
    <row r="2551" spans="1:8" x14ac:dyDescent="0.2">
      <c r="A2551" s="27">
        <f>COUNTIFS(C:C,C2551,D:D,D2551)</f>
        <v>1</v>
      </c>
      <c r="B2551" s="30">
        <v>202101171611</v>
      </c>
      <c r="C2551" t="s">
        <v>5971</v>
      </c>
      <c r="D2551" t="s">
        <v>5972</v>
      </c>
      <c r="E2551" t="s">
        <v>4968</v>
      </c>
      <c r="F2551" t="s">
        <v>88</v>
      </c>
      <c r="G2551" s="27" t="str">
        <f t="shared" si="80"/>
        <v>1938 GARDEN RD  PEARLAND</v>
      </c>
      <c r="H2551" s="27" t="str">
        <f t="shared" si="81"/>
        <v>HOUSTON TX 77581</v>
      </c>
    </row>
    <row r="2552" spans="1:8" x14ac:dyDescent="0.2">
      <c r="A2552" s="27">
        <f>COUNTIFS(C:C,C2552,D:D,D2552)</f>
        <v>1</v>
      </c>
      <c r="B2552" s="30">
        <v>202101171617</v>
      </c>
      <c r="C2552" t="s">
        <v>5973</v>
      </c>
      <c r="D2552" t="s">
        <v>5974</v>
      </c>
      <c r="E2552" t="s">
        <v>5060</v>
      </c>
      <c r="F2552" t="s">
        <v>72</v>
      </c>
      <c r="G2552" s="27" t="str">
        <f t="shared" si="80"/>
        <v>9050 MILLS RD  HOUSTON</v>
      </c>
      <c r="H2552" s="27" t="str">
        <f t="shared" si="81"/>
        <v>HOUSTON TX 77070</v>
      </c>
    </row>
    <row r="2553" spans="1:8" x14ac:dyDescent="0.2">
      <c r="A2553" s="27">
        <f>COUNTIFS(C:C,C2553,D:D,D2553)</f>
        <v>1</v>
      </c>
      <c r="B2553" s="30">
        <v>202101171618</v>
      </c>
      <c r="C2553" t="s">
        <v>5975</v>
      </c>
      <c r="D2553" t="s">
        <v>5976</v>
      </c>
      <c r="E2553" t="s">
        <v>4949</v>
      </c>
      <c r="F2553" t="s">
        <v>88</v>
      </c>
      <c r="G2553" s="27" t="str">
        <f t="shared" si="80"/>
        <v>15815 FLAGSTONE WALK WAY HOUSTON</v>
      </c>
      <c r="H2553" s="27" t="str">
        <f t="shared" si="81"/>
        <v>HOUSTON TX 77049</v>
      </c>
    </row>
    <row r="2554" spans="1:8" x14ac:dyDescent="0.2">
      <c r="A2554" s="27">
        <f>COUNTIFS(C:C,C2554,D:D,D2554)</f>
        <v>1</v>
      </c>
      <c r="B2554" s="30">
        <v>202101171622</v>
      </c>
      <c r="C2554" t="s">
        <v>5977</v>
      </c>
      <c r="D2554" t="s">
        <v>5978</v>
      </c>
      <c r="E2554" t="s">
        <v>4858</v>
      </c>
      <c r="F2554" t="s">
        <v>67</v>
      </c>
      <c r="G2554" s="27" t="str">
        <f t="shared" si="80"/>
        <v>2842 SAGE CREEK CT  RICHMOND</v>
      </c>
      <c r="H2554" s="27" t="str">
        <f t="shared" si="81"/>
        <v>HOUSTON TX 77469</v>
      </c>
    </row>
    <row r="2555" spans="1:8" x14ac:dyDescent="0.2">
      <c r="A2555" s="27">
        <f>COUNTIFS(C:C,C2555,D:D,D2555)</f>
        <v>1</v>
      </c>
      <c r="B2555" s="30">
        <v>202101171628</v>
      </c>
      <c r="C2555" t="s">
        <v>5979</v>
      </c>
      <c r="D2555" t="s">
        <v>5980</v>
      </c>
      <c r="E2555" t="s">
        <v>4949</v>
      </c>
      <c r="F2555" t="s">
        <v>85</v>
      </c>
      <c r="G2555" s="27" t="str">
        <f t="shared" si="80"/>
        <v>5300 S LAKE HOUSTON PKWY HOUSTON</v>
      </c>
      <c r="H2555" s="27" t="str">
        <f t="shared" si="81"/>
        <v>HOUSTON TX 77049</v>
      </c>
    </row>
    <row r="2556" spans="1:8" x14ac:dyDescent="0.2">
      <c r="A2556" s="27">
        <f>COUNTIFS(C:C,C2556,D:D,D2556)</f>
        <v>1</v>
      </c>
      <c r="B2556" s="30">
        <v>202101171630</v>
      </c>
      <c r="C2556" t="s">
        <v>5981</v>
      </c>
      <c r="D2556" t="s">
        <v>5982</v>
      </c>
      <c r="E2556" t="s">
        <v>4864</v>
      </c>
      <c r="F2556" t="s">
        <v>88</v>
      </c>
      <c r="G2556" s="27" t="str">
        <f t="shared" si="80"/>
        <v>841 ROUSE ST  HOUSTON</v>
      </c>
      <c r="H2556" s="27" t="str">
        <f t="shared" si="81"/>
        <v>HOUSTON TX 77020</v>
      </c>
    </row>
    <row r="2557" spans="1:8" x14ac:dyDescent="0.2">
      <c r="A2557" s="27">
        <f>COUNTIFS(C:C,C2557,D:D,D2557)</f>
        <v>1</v>
      </c>
      <c r="B2557" s="30">
        <v>202101171631</v>
      </c>
      <c r="C2557" t="s">
        <v>5983</v>
      </c>
      <c r="D2557" t="s">
        <v>5984</v>
      </c>
      <c r="E2557" t="s">
        <v>5023</v>
      </c>
      <c r="F2557" t="s">
        <v>88</v>
      </c>
      <c r="G2557" s="27" t="str">
        <f t="shared" si="80"/>
        <v>2935 CROSSVIEW DR  HOUSTON</v>
      </c>
      <c r="H2557" s="27" t="str">
        <f t="shared" si="81"/>
        <v>HOUSTON TX 77063</v>
      </c>
    </row>
    <row r="2558" spans="1:8" x14ac:dyDescent="0.2">
      <c r="A2558" s="27">
        <f>COUNTIFS(C:C,C2558,D:D,D2558)</f>
        <v>1</v>
      </c>
      <c r="B2558" s="30">
        <v>202101171632</v>
      </c>
      <c r="C2558" t="s">
        <v>5985</v>
      </c>
      <c r="D2558" t="s">
        <v>5986</v>
      </c>
      <c r="E2558" t="s">
        <v>4865</v>
      </c>
      <c r="F2558" t="s">
        <v>88</v>
      </c>
      <c r="G2558" s="27" t="str">
        <f t="shared" si="80"/>
        <v>2603 EAGLE NEST LN  HOUSTON</v>
      </c>
      <c r="H2558" s="27" t="str">
        <f t="shared" si="81"/>
        <v xml:space="preserve">HOUSTON TX      </v>
      </c>
    </row>
    <row r="2559" spans="1:8" x14ac:dyDescent="0.2">
      <c r="A2559" s="27">
        <f>COUNTIFS(C:C,C2559,D:D,D2559)</f>
        <v>1</v>
      </c>
      <c r="B2559" s="30">
        <v>202101171633</v>
      </c>
      <c r="C2559" t="s">
        <v>5987</v>
      </c>
      <c r="D2559" t="s">
        <v>5988</v>
      </c>
      <c r="E2559" t="s">
        <v>4931</v>
      </c>
      <c r="F2559" t="s">
        <v>88</v>
      </c>
      <c r="G2559" s="27" t="str">
        <f t="shared" si="80"/>
        <v>12702 LAUREL VALE WAY  HOUSTON</v>
      </c>
      <c r="H2559" s="27" t="str">
        <f t="shared" si="81"/>
        <v>HOUSTON TX 77014</v>
      </c>
    </row>
    <row r="2560" spans="1:8" x14ac:dyDescent="0.2">
      <c r="A2560" s="27">
        <f>COUNTIFS(C:C,C2560,D:D,D2560)</f>
        <v>1</v>
      </c>
      <c r="B2560" s="30">
        <v>202101171634</v>
      </c>
      <c r="C2560" t="s">
        <v>5989</v>
      </c>
      <c r="D2560" t="s">
        <v>5990</v>
      </c>
      <c r="E2560" t="s">
        <v>4859</v>
      </c>
      <c r="F2560" t="s">
        <v>88</v>
      </c>
      <c r="G2560" s="27" t="str">
        <f t="shared" si="80"/>
        <v>431 RANKIN RD  HOUSTON</v>
      </c>
      <c r="H2560" s="27" t="str">
        <f t="shared" si="81"/>
        <v>HOUSTON TX 77073</v>
      </c>
    </row>
    <row r="2561" spans="1:8" x14ac:dyDescent="0.2">
      <c r="A2561" s="27">
        <f>COUNTIFS(C:C,C2561,D:D,D2561)</f>
        <v>1</v>
      </c>
      <c r="B2561" s="30">
        <v>202101171635</v>
      </c>
      <c r="C2561" t="s">
        <v>5991</v>
      </c>
      <c r="D2561" t="s">
        <v>5992</v>
      </c>
      <c r="E2561" t="s">
        <v>4966</v>
      </c>
      <c r="F2561" t="s">
        <v>88</v>
      </c>
      <c r="G2561" s="27" t="str">
        <f t="shared" si="80"/>
        <v>613 SOUTH KAUFMAN D R DEER PARK</v>
      </c>
      <c r="H2561" s="27" t="str">
        <f t="shared" si="81"/>
        <v>HOUSTON TX 77536</v>
      </c>
    </row>
    <row r="2562" spans="1:8" x14ac:dyDescent="0.2">
      <c r="A2562" s="27">
        <f>COUNTIFS(C:C,C2562,D:D,D2562)</f>
        <v>1</v>
      </c>
      <c r="B2562" s="30">
        <v>202101171638</v>
      </c>
      <c r="C2562" t="s">
        <v>5993</v>
      </c>
      <c r="D2562" t="s">
        <v>5994</v>
      </c>
      <c r="E2562" t="s">
        <v>5995</v>
      </c>
      <c r="F2562" t="s">
        <v>88</v>
      </c>
      <c r="G2562" s="27" t="str">
        <f t="shared" si="80"/>
        <v>12800 WOODFOREST BLVD  CHANNELVIE</v>
      </c>
      <c r="H2562" s="27" t="str">
        <f t="shared" si="81"/>
        <v>HOUSTON TX 77777</v>
      </c>
    </row>
    <row r="2563" spans="1:8" x14ac:dyDescent="0.2">
      <c r="A2563" s="27">
        <f>COUNTIFS(C:C,C2563,D:D,D2563)</f>
        <v>1</v>
      </c>
      <c r="B2563" s="30">
        <v>202101171640</v>
      </c>
      <c r="C2563" t="s">
        <v>5996</v>
      </c>
      <c r="D2563" t="s">
        <v>5997</v>
      </c>
      <c r="E2563" t="s">
        <v>4896</v>
      </c>
      <c r="F2563" t="s">
        <v>53</v>
      </c>
      <c r="G2563" s="27" t="str">
        <f t="shared" si="80"/>
        <v>9000 TOWN PARK DR 12 09 HOUSTON</v>
      </c>
      <c r="H2563" s="27" t="str">
        <f t="shared" si="81"/>
        <v>HOUSTON TX 77036</v>
      </c>
    </row>
    <row r="2564" spans="1:8" x14ac:dyDescent="0.2">
      <c r="A2564" s="27">
        <f>COUNTIFS(C:C,C2564,D:D,D2564)</f>
        <v>1</v>
      </c>
      <c r="B2564" s="30">
        <v>202101171641</v>
      </c>
      <c r="C2564" t="s">
        <v>5998</v>
      </c>
      <c r="D2564" t="s">
        <v>5999</v>
      </c>
      <c r="E2564" t="s">
        <v>4991</v>
      </c>
      <c r="F2564" t="s">
        <v>88</v>
      </c>
      <c r="G2564" s="27" t="str">
        <f t="shared" si="80"/>
        <v>10706 CRANBROOK RD  HOUSTON</v>
      </c>
      <c r="H2564" s="27" t="str">
        <f t="shared" si="81"/>
        <v>HOUSTON TX 77042</v>
      </c>
    </row>
    <row r="2565" spans="1:8" x14ac:dyDescent="0.2">
      <c r="A2565" s="27">
        <f>COUNTIFS(C:C,C2565,D:D,D2565)</f>
        <v>1</v>
      </c>
      <c r="B2565" s="30">
        <v>202101171644</v>
      </c>
      <c r="C2565" t="s">
        <v>6000</v>
      </c>
      <c r="D2565" t="s">
        <v>6001</v>
      </c>
      <c r="E2565" t="s">
        <v>6002</v>
      </c>
      <c r="F2565" t="s">
        <v>88</v>
      </c>
      <c r="G2565" s="27" t="str">
        <f t="shared" si="80"/>
        <v>1601 COUNTY ROAD  CLEBURNE</v>
      </c>
      <c r="H2565" s="27" t="str">
        <f t="shared" si="81"/>
        <v>HOUSTON TX 76031</v>
      </c>
    </row>
    <row r="2566" spans="1:8" x14ac:dyDescent="0.2">
      <c r="A2566" s="27">
        <f>COUNTIFS(C:C,C2566,D:D,D2566)</f>
        <v>1</v>
      </c>
      <c r="B2566" s="30">
        <v>202101171645</v>
      </c>
      <c r="C2566" t="s">
        <v>6003</v>
      </c>
      <c r="D2566" t="s">
        <v>7879</v>
      </c>
      <c r="E2566" t="s">
        <v>4943</v>
      </c>
      <c r="F2566" t="s">
        <v>86</v>
      </c>
      <c r="G2566" s="27" t="str">
        <f t="shared" si="80"/>
        <v>17223 LILAC VALE HOUSTON</v>
      </c>
      <c r="H2566" s="27" t="str">
        <f t="shared" si="81"/>
        <v>HOUSTON TX 77084</v>
      </c>
    </row>
    <row r="2567" spans="1:8" x14ac:dyDescent="0.2">
      <c r="A2567" s="27">
        <f>COUNTIFS(C:C,C2567,D:D,D2567)</f>
        <v>1</v>
      </c>
      <c r="B2567" s="30">
        <v>202101171646</v>
      </c>
      <c r="C2567" t="s">
        <v>6004</v>
      </c>
      <c r="D2567" t="s">
        <v>6005</v>
      </c>
      <c r="E2567" t="s">
        <v>4919</v>
      </c>
      <c r="F2567" t="s">
        <v>88</v>
      </c>
      <c r="G2567" s="27" t="str">
        <f t="shared" si="80"/>
        <v>5510 SOUTH RICE AVE  HOUSTON</v>
      </c>
      <c r="H2567" s="27" t="str">
        <f t="shared" si="81"/>
        <v>HOUSTON TX 77081</v>
      </c>
    </row>
    <row r="2568" spans="1:8" x14ac:dyDescent="0.2">
      <c r="A2568" s="27">
        <f>COUNTIFS(C:C,C2568,D:D,D2568)</f>
        <v>1</v>
      </c>
      <c r="B2568" s="30">
        <v>202101171647</v>
      </c>
      <c r="C2568" t="s">
        <v>6006</v>
      </c>
      <c r="D2568" t="s">
        <v>6007</v>
      </c>
      <c r="E2568" t="s">
        <v>5069</v>
      </c>
      <c r="F2568" t="s">
        <v>88</v>
      </c>
      <c r="G2568" s="27" t="str">
        <f t="shared" si="80"/>
        <v>17031 LIGHTHOUSE VIEW DR FRIENDSWOO</v>
      </c>
      <c r="H2568" s="27" t="str">
        <f t="shared" si="81"/>
        <v>HOUSTON TX 77546</v>
      </c>
    </row>
    <row r="2569" spans="1:8" x14ac:dyDescent="0.2">
      <c r="A2569" s="27">
        <f>COUNTIFS(C:C,C2569,D:D,D2569)</f>
        <v>1</v>
      </c>
      <c r="B2569" s="30">
        <v>202101171648</v>
      </c>
      <c r="C2569" t="s">
        <v>6008</v>
      </c>
      <c r="D2569" t="s">
        <v>6009</v>
      </c>
      <c r="E2569" t="s">
        <v>4850</v>
      </c>
      <c r="F2569" t="s">
        <v>53</v>
      </c>
      <c r="G2569" s="27" t="str">
        <f t="shared" si="80"/>
        <v>11907 BINGHAMPTON DR  HOUSTON</v>
      </c>
      <c r="H2569" s="27" t="str">
        <f t="shared" si="81"/>
        <v>HOUSTON TX 77089</v>
      </c>
    </row>
    <row r="2570" spans="1:8" x14ac:dyDescent="0.2">
      <c r="A2570" s="27">
        <f>COUNTIFS(C:C,C2570,D:D,D2570)</f>
        <v>1</v>
      </c>
      <c r="B2570" s="30">
        <v>202101171649</v>
      </c>
      <c r="C2570" t="s">
        <v>6010</v>
      </c>
      <c r="D2570" t="s">
        <v>6011</v>
      </c>
      <c r="E2570" t="s">
        <v>6012</v>
      </c>
      <c r="F2570" t="s">
        <v>88</v>
      </c>
      <c r="G2570" s="27" t="str">
        <f t="shared" si="80"/>
        <v>8803 SUMMER CREEK DR  HOUSTON</v>
      </c>
      <c r="H2570" s="27" t="str">
        <f t="shared" si="81"/>
        <v>HOUSTON TX 77379</v>
      </c>
    </row>
    <row r="2571" spans="1:8" x14ac:dyDescent="0.2">
      <c r="A2571" s="27">
        <f>COUNTIFS(C:C,C2571,D:D,D2571)</f>
        <v>1</v>
      </c>
      <c r="B2571" s="30">
        <v>202101171651</v>
      </c>
      <c r="C2571" t="s">
        <v>6013</v>
      </c>
      <c r="D2571" t="s">
        <v>6014</v>
      </c>
      <c r="E2571" t="s">
        <v>4952</v>
      </c>
      <c r="F2571" t="s">
        <v>88</v>
      </c>
      <c r="G2571" s="27" t="str">
        <f t="shared" si="80"/>
        <v>2107 POMONA DR  PASADENA</v>
      </c>
      <c r="H2571" s="27" t="str">
        <f t="shared" si="81"/>
        <v>HOUSTON TX 77506</v>
      </c>
    </row>
    <row r="2572" spans="1:8" x14ac:dyDescent="0.2">
      <c r="A2572" s="27">
        <f>COUNTIFS(C:C,C2572,D:D,D2572)</f>
        <v>1</v>
      </c>
      <c r="B2572" s="30">
        <v>202101171653</v>
      </c>
      <c r="C2572" t="s">
        <v>6015</v>
      </c>
      <c r="D2572" t="s">
        <v>6016</v>
      </c>
      <c r="E2572" t="s">
        <v>5009</v>
      </c>
      <c r="F2572" t="s">
        <v>88</v>
      </c>
      <c r="G2572" s="27" t="str">
        <f t="shared" si="80"/>
        <v>2938 N ISLAND DR  SEABROOK</v>
      </c>
      <c r="H2572" s="27" t="str">
        <f t="shared" si="81"/>
        <v>HOUSTON TX 77586</v>
      </c>
    </row>
    <row r="2573" spans="1:8" x14ac:dyDescent="0.2">
      <c r="A2573" s="27">
        <f>COUNTIFS(C:C,C2573,D:D,D2573)</f>
        <v>1</v>
      </c>
      <c r="B2573" s="30">
        <v>202101171654</v>
      </c>
      <c r="C2573" t="s">
        <v>6017</v>
      </c>
      <c r="D2573" t="s">
        <v>6018</v>
      </c>
      <c r="E2573" t="s">
        <v>4905</v>
      </c>
      <c r="F2573" t="s">
        <v>88</v>
      </c>
      <c r="G2573" s="27" t="str">
        <f t="shared" si="80"/>
        <v>3500 RED BLUFF RD 14 3 PASADENA</v>
      </c>
      <c r="H2573" s="27" t="str">
        <f t="shared" si="81"/>
        <v>HOUSTON TX 77503</v>
      </c>
    </row>
    <row r="2574" spans="1:8" x14ac:dyDescent="0.2">
      <c r="A2574" s="27">
        <f>COUNTIFS(C:C,C2574,D:D,D2574)</f>
        <v>1</v>
      </c>
      <c r="B2574" s="30">
        <v>202101171655</v>
      </c>
      <c r="C2574" t="s">
        <v>6019</v>
      </c>
      <c r="D2574" t="s">
        <v>6020</v>
      </c>
      <c r="E2574" t="s">
        <v>4952</v>
      </c>
      <c r="F2574" t="s">
        <v>88</v>
      </c>
      <c r="G2574" s="27" t="str">
        <f t="shared" si="80"/>
        <v>615 FINFROCK RD  PASADENA</v>
      </c>
      <c r="H2574" s="27" t="str">
        <f t="shared" si="81"/>
        <v>HOUSTON TX 77506</v>
      </c>
    </row>
    <row r="2575" spans="1:8" x14ac:dyDescent="0.2">
      <c r="A2575" s="27">
        <f>COUNTIFS(C:C,C2575,D:D,D2575)</f>
        <v>1</v>
      </c>
      <c r="B2575" s="30">
        <v>202101171657</v>
      </c>
      <c r="C2575" t="s">
        <v>6021</v>
      </c>
      <c r="D2575" t="s">
        <v>6022</v>
      </c>
      <c r="E2575" t="s">
        <v>4968</v>
      </c>
      <c r="F2575" t="s">
        <v>88</v>
      </c>
      <c r="G2575" s="27" t="str">
        <f t="shared" si="80"/>
        <v>1605 GATECREEK DR  PEARLAND</v>
      </c>
      <c r="H2575" s="27" t="str">
        <f t="shared" si="81"/>
        <v>HOUSTON TX 77581</v>
      </c>
    </row>
    <row r="2576" spans="1:8" x14ac:dyDescent="0.2">
      <c r="A2576" s="27">
        <f>COUNTIFS(C:C,C2576,D:D,D2576)</f>
        <v>1</v>
      </c>
      <c r="B2576" s="30">
        <v>202101171658</v>
      </c>
      <c r="C2576" t="s">
        <v>6023</v>
      </c>
      <c r="D2576" t="s">
        <v>6024</v>
      </c>
      <c r="E2576" t="s">
        <v>4891</v>
      </c>
      <c r="F2576" t="s">
        <v>88</v>
      </c>
      <c r="G2576" s="27" t="str">
        <f t="shared" si="80"/>
        <v>5335 WEST GULF BANK RD HOUSTON</v>
      </c>
      <c r="H2576" s="27" t="str">
        <f t="shared" si="81"/>
        <v>HOUSTON TX 77088</v>
      </c>
    </row>
    <row r="2577" spans="1:8" x14ac:dyDescent="0.2">
      <c r="A2577" s="27">
        <f>COUNTIFS(C:C,C2577,D:D,D2577)</f>
        <v>1</v>
      </c>
      <c r="B2577" s="30">
        <v>202101171660</v>
      </c>
      <c r="C2577" t="s">
        <v>6025</v>
      </c>
      <c r="D2577" t="s">
        <v>6026</v>
      </c>
      <c r="E2577" t="s">
        <v>4884</v>
      </c>
      <c r="F2577" t="s">
        <v>88</v>
      </c>
      <c r="G2577" s="27" t="str">
        <f t="shared" si="80"/>
        <v>25356 DEER TRAIL DR  HOCKLEY</v>
      </c>
      <c r="H2577" s="27" t="str">
        <f t="shared" si="81"/>
        <v>HOUSTON TX 77447</v>
      </c>
    </row>
    <row r="2578" spans="1:8" x14ac:dyDescent="0.2">
      <c r="A2578" s="27">
        <f>COUNTIFS(C:C,C2578,D:D,D2578)</f>
        <v>1</v>
      </c>
      <c r="B2578" s="30">
        <v>202101171661</v>
      </c>
      <c r="C2578" t="s">
        <v>6027</v>
      </c>
      <c r="D2578" t="s">
        <v>6028</v>
      </c>
      <c r="E2578" t="s">
        <v>4984</v>
      </c>
      <c r="F2578" t="s">
        <v>88</v>
      </c>
      <c r="G2578" s="27" t="str">
        <f t="shared" si="80"/>
        <v>23306 WINTERGATE DR  SPRING</v>
      </c>
      <c r="H2578" s="27" t="str">
        <f t="shared" si="81"/>
        <v>HOUSTON TX 77373</v>
      </c>
    </row>
    <row r="2579" spans="1:8" x14ac:dyDescent="0.2">
      <c r="A2579" s="27">
        <f>COUNTIFS(C:C,C2579,D:D,D2579)</f>
        <v>1</v>
      </c>
      <c r="B2579" s="30">
        <v>202101171663</v>
      </c>
      <c r="C2579" t="s">
        <v>6029</v>
      </c>
      <c r="D2579" t="s">
        <v>6030</v>
      </c>
      <c r="E2579" t="s">
        <v>4952</v>
      </c>
      <c r="F2579" t="s">
        <v>76</v>
      </c>
      <c r="G2579" s="27" t="str">
        <f t="shared" si="80"/>
        <v>305 JOHNSON  PASADENA</v>
      </c>
      <c r="H2579" s="27" t="str">
        <f t="shared" si="81"/>
        <v>HOUSTON TX 77506</v>
      </c>
    </row>
    <row r="2580" spans="1:8" x14ac:dyDescent="0.2">
      <c r="A2580" s="27">
        <f>COUNTIFS(C:C,C2580,D:D,D2580)</f>
        <v>1</v>
      </c>
      <c r="B2580" s="30">
        <v>202101171665</v>
      </c>
      <c r="C2580" t="s">
        <v>6031</v>
      </c>
      <c r="D2580" t="s">
        <v>6032</v>
      </c>
      <c r="E2580" t="s">
        <v>4901</v>
      </c>
      <c r="F2580" t="s">
        <v>6033</v>
      </c>
      <c r="G2580" s="27" t="str">
        <f t="shared" si="80"/>
        <v>12062 WHITE CAP LN  HOUSTON</v>
      </c>
      <c r="H2580" s="27" t="str">
        <f t="shared" si="81"/>
        <v>HOUSTON TX 77072</v>
      </c>
    </row>
    <row r="2581" spans="1:8" x14ac:dyDescent="0.2">
      <c r="A2581" s="27">
        <f>COUNTIFS(C:C,C2581,D:D,D2581)</f>
        <v>1</v>
      </c>
      <c r="B2581" s="30">
        <v>202101171668</v>
      </c>
      <c r="C2581" t="s">
        <v>6034</v>
      </c>
      <c r="D2581" t="s">
        <v>6035</v>
      </c>
      <c r="E2581" t="s">
        <v>4875</v>
      </c>
      <c r="F2581" t="s">
        <v>87</v>
      </c>
      <c r="G2581" s="27" t="str">
        <f t="shared" si="80"/>
        <v>3126 ROSEMARY  HOUSTON</v>
      </c>
      <c r="H2581" s="27" t="str">
        <f t="shared" si="81"/>
        <v>HOUSTON TX 77093</v>
      </c>
    </row>
    <row r="2582" spans="1:8" x14ac:dyDescent="0.2">
      <c r="A2582" s="27">
        <f>COUNTIFS(C:C,C2582,D:D,D2582)</f>
        <v>1</v>
      </c>
      <c r="B2582" s="30">
        <v>202101171669</v>
      </c>
      <c r="C2582" t="s">
        <v>6036</v>
      </c>
      <c r="D2582" t="s">
        <v>6037</v>
      </c>
      <c r="E2582" t="s">
        <v>4920</v>
      </c>
      <c r="F2582" t="s">
        <v>88</v>
      </c>
      <c r="G2582" s="27" t="str">
        <f t="shared" si="80"/>
        <v>2727 SYNOTT 2608  HOUSTON</v>
      </c>
      <c r="H2582" s="27" t="str">
        <f t="shared" si="81"/>
        <v>HOUSTON TX 77083</v>
      </c>
    </row>
    <row r="2583" spans="1:8" x14ac:dyDescent="0.2">
      <c r="A2583" s="27">
        <f>COUNTIFS(C:C,C2583,D:D,D2583)</f>
        <v>1</v>
      </c>
      <c r="B2583" s="30">
        <v>202101171675</v>
      </c>
      <c r="C2583" t="s">
        <v>6038</v>
      </c>
      <c r="D2583" t="s">
        <v>6039</v>
      </c>
      <c r="E2583" t="s">
        <v>4997</v>
      </c>
      <c r="F2583" t="s">
        <v>88</v>
      </c>
      <c r="G2583" s="27" t="str">
        <f t="shared" si="80"/>
        <v>12518 MAGNOLIA CANYON  HOUSTON</v>
      </c>
      <c r="H2583" s="27" t="str">
        <f t="shared" si="81"/>
        <v>HOUSTON TX 77099</v>
      </c>
    </row>
    <row r="2584" spans="1:8" x14ac:dyDescent="0.2">
      <c r="A2584" s="27">
        <f>COUNTIFS(C:C,C2584,D:D,D2584)</f>
        <v>1</v>
      </c>
      <c r="B2584" s="30">
        <v>202101171677</v>
      </c>
      <c r="C2584" t="s">
        <v>6042</v>
      </c>
      <c r="D2584" t="s">
        <v>6043</v>
      </c>
      <c r="E2584" t="s">
        <v>5073</v>
      </c>
      <c r="F2584" t="s">
        <v>88</v>
      </c>
      <c r="G2584" s="27" t="str">
        <f t="shared" si="80"/>
        <v>1235 W 21ST ST  HOUSTON</v>
      </c>
      <c r="H2584" s="27" t="str">
        <f t="shared" si="81"/>
        <v>HOUSTON TX 77008</v>
      </c>
    </row>
    <row r="2585" spans="1:8" x14ac:dyDescent="0.2">
      <c r="A2585" s="27">
        <f>COUNTIFS(C:C,C2585,D:D,D2585)</f>
        <v>1</v>
      </c>
      <c r="B2585" s="30">
        <v>202101171678</v>
      </c>
      <c r="C2585" t="s">
        <v>6044</v>
      </c>
      <c r="D2585" t="s">
        <v>6045</v>
      </c>
      <c r="E2585" t="s">
        <v>4982</v>
      </c>
      <c r="F2585" t="s">
        <v>88</v>
      </c>
      <c r="G2585" s="27" t="str">
        <f t="shared" si="80"/>
        <v>9722 ELLA BLVD  HOUSTON</v>
      </c>
      <c r="H2585" s="27" t="str">
        <f t="shared" si="81"/>
        <v>HOUSTON TX 77038</v>
      </c>
    </row>
    <row r="2586" spans="1:8" x14ac:dyDescent="0.2">
      <c r="A2586" s="27">
        <f>COUNTIFS(C:C,C2586,D:D,D2586)</f>
        <v>1</v>
      </c>
      <c r="B2586" s="30">
        <v>202101171679</v>
      </c>
      <c r="C2586" t="s">
        <v>6046</v>
      </c>
      <c r="D2586" t="s">
        <v>6047</v>
      </c>
      <c r="E2586" t="s">
        <v>4901</v>
      </c>
      <c r="F2586" t="s">
        <v>88</v>
      </c>
      <c r="G2586" s="27" t="str">
        <f t="shared" si="80"/>
        <v>11911 NEWBROOK DR  HOUSTON</v>
      </c>
      <c r="H2586" s="27" t="str">
        <f t="shared" si="81"/>
        <v>HOUSTON TX 77072</v>
      </c>
    </row>
    <row r="2587" spans="1:8" x14ac:dyDescent="0.2">
      <c r="A2587" s="27">
        <f>COUNTIFS(C:C,C2587,D:D,D2587)</f>
        <v>1</v>
      </c>
      <c r="B2587" s="30">
        <v>202101171682</v>
      </c>
      <c r="C2587" t="s">
        <v>6048</v>
      </c>
      <c r="D2587" t="s">
        <v>6049</v>
      </c>
      <c r="E2587" t="s">
        <v>4938</v>
      </c>
      <c r="F2587" t="s">
        <v>87</v>
      </c>
      <c r="G2587" s="27" t="str">
        <f t="shared" si="80"/>
        <v>520 WEST GULF BANK RD HOUSTON</v>
      </c>
      <c r="H2587" s="27" t="str">
        <f t="shared" si="81"/>
        <v>HOUSTON TX 77037</v>
      </c>
    </row>
    <row r="2588" spans="1:8" x14ac:dyDescent="0.2">
      <c r="A2588" s="27">
        <f>COUNTIFS(C:C,C2588,D:D,D2588)</f>
        <v>1</v>
      </c>
      <c r="B2588" s="30">
        <v>202101171683</v>
      </c>
      <c r="C2588" t="s">
        <v>6050</v>
      </c>
      <c r="D2588" t="s">
        <v>6051</v>
      </c>
      <c r="E2588" t="s">
        <v>4920</v>
      </c>
      <c r="F2588" t="s">
        <v>88</v>
      </c>
      <c r="G2588" s="27" t="str">
        <f t="shared" si="80"/>
        <v>13210 OLD RICHMOND RD 90 HOUSTON</v>
      </c>
      <c r="H2588" s="27" t="str">
        <f t="shared" si="81"/>
        <v>HOUSTON TX 77083</v>
      </c>
    </row>
    <row r="2589" spans="1:8" x14ac:dyDescent="0.2">
      <c r="A2589" s="27">
        <f>COUNTIFS(C:C,C2589,D:D,D2589)</f>
        <v>1</v>
      </c>
      <c r="B2589" s="30">
        <v>202101171684</v>
      </c>
      <c r="C2589" t="s">
        <v>6052</v>
      </c>
      <c r="D2589" t="s">
        <v>6053</v>
      </c>
      <c r="E2589" t="s">
        <v>4865</v>
      </c>
      <c r="F2589" t="s">
        <v>88</v>
      </c>
      <c r="G2589" s="27" t="str">
        <f t="shared" si="80"/>
        <v>2201 WEST OREM DR AP T 322 HOUSTON</v>
      </c>
      <c r="H2589" s="27" t="str">
        <f t="shared" si="81"/>
        <v xml:space="preserve">HOUSTON TX      </v>
      </c>
    </row>
    <row r="2590" spans="1:8" x14ac:dyDescent="0.2">
      <c r="A2590" s="27">
        <f>COUNTIFS(C:C,C2590,D:D,D2590)</f>
        <v>1</v>
      </c>
      <c r="B2590" s="30">
        <v>202101171687</v>
      </c>
      <c r="C2590" t="s">
        <v>6054</v>
      </c>
      <c r="D2590" t="s">
        <v>6055</v>
      </c>
      <c r="E2590" t="s">
        <v>4908</v>
      </c>
      <c r="F2590" t="s">
        <v>88</v>
      </c>
      <c r="G2590" s="27" t="str">
        <f t="shared" si="80"/>
        <v>6722 TREBECK  SPRING</v>
      </c>
      <c r="H2590" s="27" t="str">
        <f t="shared" si="81"/>
        <v>HOUSTON TX 77379</v>
      </c>
    </row>
    <row r="2591" spans="1:8" x14ac:dyDescent="0.2">
      <c r="A2591" s="27">
        <f>COUNTIFS(C:C,C2591,D:D,D2591)</f>
        <v>1</v>
      </c>
      <c r="B2591" s="30">
        <v>202101171688</v>
      </c>
      <c r="C2591" t="s">
        <v>6056</v>
      </c>
      <c r="D2591" t="s">
        <v>6057</v>
      </c>
      <c r="E2591" t="s">
        <v>4871</v>
      </c>
      <c r="F2591" t="s">
        <v>88</v>
      </c>
      <c r="G2591" s="27" t="str">
        <f t="shared" si="80"/>
        <v>13217 ADLER DR  HOUSTON</v>
      </c>
      <c r="H2591" s="27" t="str">
        <f t="shared" si="81"/>
        <v>HOUSTON TX 77047</v>
      </c>
    </row>
    <row r="2592" spans="1:8" x14ac:dyDescent="0.2">
      <c r="A2592" s="27">
        <f>COUNTIFS(C:C,C2592,D:D,D2592)</f>
        <v>1</v>
      </c>
      <c r="B2592" s="30">
        <v>202101171690</v>
      </c>
      <c r="C2592" t="s">
        <v>6058</v>
      </c>
      <c r="D2592" t="s">
        <v>6059</v>
      </c>
      <c r="E2592" t="s">
        <v>4901</v>
      </c>
      <c r="F2592" t="s">
        <v>88</v>
      </c>
      <c r="G2592" s="27" t="str">
        <f t="shared" si="80"/>
        <v>11626 SEA SHOE DRIVE  HOUSTON</v>
      </c>
      <c r="H2592" s="27" t="str">
        <f t="shared" si="81"/>
        <v>HOUSTON TX 77072</v>
      </c>
    </row>
    <row r="2593" spans="1:8" x14ac:dyDescent="0.2">
      <c r="A2593" s="27">
        <f>COUNTIFS(C:C,C2593,D:D,D2593)</f>
        <v>1</v>
      </c>
      <c r="B2593" s="30">
        <v>202101171695</v>
      </c>
      <c r="C2593" t="s">
        <v>6062</v>
      </c>
      <c r="D2593" t="s">
        <v>6063</v>
      </c>
      <c r="E2593" t="s">
        <v>6064</v>
      </c>
      <c r="F2593" t="s">
        <v>88</v>
      </c>
      <c r="G2593" s="27" t="str">
        <f t="shared" si="80"/>
        <v>6603 REDDLESTON COUR T SPRING</v>
      </c>
      <c r="H2593" s="27" t="str">
        <f t="shared" si="81"/>
        <v>HOUSTON TX 0</v>
      </c>
    </row>
    <row r="2594" spans="1:8" x14ac:dyDescent="0.2">
      <c r="A2594" s="27">
        <f>COUNTIFS(C:C,C2594,D:D,D2594)</f>
        <v>1</v>
      </c>
      <c r="B2594" s="30">
        <v>202101171699</v>
      </c>
      <c r="C2594" t="s">
        <v>6065</v>
      </c>
      <c r="D2594" t="s">
        <v>6066</v>
      </c>
      <c r="E2594" t="s">
        <v>4978</v>
      </c>
      <c r="F2594" t="s">
        <v>61</v>
      </c>
      <c r="G2594" s="27" t="str">
        <f t="shared" si="80"/>
        <v>10210 MOROCCO RD  HOUSTON</v>
      </c>
      <c r="H2594" s="27" t="str">
        <f t="shared" si="81"/>
        <v>HOUSTON TX 77041</v>
      </c>
    </row>
    <row r="2595" spans="1:8" x14ac:dyDescent="0.2">
      <c r="A2595" s="27">
        <f>COUNTIFS(C:C,C2595,D:D,D2595)</f>
        <v>1</v>
      </c>
      <c r="B2595" s="30">
        <v>202101171700</v>
      </c>
      <c r="C2595" t="s">
        <v>6067</v>
      </c>
      <c r="D2595" t="s">
        <v>6068</v>
      </c>
      <c r="E2595" t="s">
        <v>5033</v>
      </c>
      <c r="F2595" t="s">
        <v>88</v>
      </c>
      <c r="G2595" s="27" t="str">
        <f t="shared" si="80"/>
        <v>20230 AVERY POINT DRI VE KATY</v>
      </c>
      <c r="H2595" s="27" t="str">
        <f t="shared" si="81"/>
        <v>HOUSTON TX 77494</v>
      </c>
    </row>
    <row r="2596" spans="1:8" x14ac:dyDescent="0.2">
      <c r="A2596" s="27">
        <f>COUNTIFS(C:C,C2596,D:D,D2596)</f>
        <v>1</v>
      </c>
      <c r="B2596" s="30">
        <v>202101171709</v>
      </c>
      <c r="C2596" t="s">
        <v>6069</v>
      </c>
      <c r="D2596" t="s">
        <v>6070</v>
      </c>
      <c r="E2596" t="s">
        <v>5060</v>
      </c>
      <c r="F2596" t="s">
        <v>68</v>
      </c>
      <c r="G2596" s="27" t="str">
        <f t="shared" si="80"/>
        <v>13035 ROSE LANDING DR IVE HOUSTON</v>
      </c>
      <c r="H2596" s="27" t="str">
        <f t="shared" si="81"/>
        <v>HOUSTON TX 77070</v>
      </c>
    </row>
    <row r="2597" spans="1:8" x14ac:dyDescent="0.2">
      <c r="A2597" s="27">
        <f>COUNTIFS(C:C,C2597,D:D,D2597)</f>
        <v>1</v>
      </c>
      <c r="B2597" s="30">
        <v>202101171713</v>
      </c>
      <c r="C2597" t="s">
        <v>6071</v>
      </c>
      <c r="D2597" t="s">
        <v>6072</v>
      </c>
      <c r="E2597" t="s">
        <v>4852</v>
      </c>
      <c r="F2597" t="s">
        <v>51</v>
      </c>
      <c r="G2597" s="27" t="str">
        <f t="shared" si="80"/>
        <v>11606 ASHWORTH ST  HOUSTON</v>
      </c>
      <c r="H2597" s="27" t="str">
        <f t="shared" si="81"/>
        <v>HOUSTON TX 77016</v>
      </c>
    </row>
    <row r="2598" spans="1:8" x14ac:dyDescent="0.2">
      <c r="A2598" s="27">
        <f>COUNTIFS(C:C,C2598,D:D,D2598)</f>
        <v>1</v>
      </c>
      <c r="B2598" s="30">
        <v>202101171716</v>
      </c>
      <c r="C2598" t="s">
        <v>6073</v>
      </c>
      <c r="D2598" t="s">
        <v>6066</v>
      </c>
      <c r="E2598" t="s">
        <v>4978</v>
      </c>
      <c r="F2598" t="s">
        <v>61</v>
      </c>
      <c r="G2598" s="27" t="str">
        <f t="shared" si="80"/>
        <v>10210 MOROCCO RD  HOUSTON</v>
      </c>
      <c r="H2598" s="27" t="str">
        <f t="shared" si="81"/>
        <v>HOUSTON TX 77041</v>
      </c>
    </row>
    <row r="2599" spans="1:8" x14ac:dyDescent="0.2">
      <c r="A2599" s="27">
        <f>COUNTIFS(C:C,C2599,D:D,D2599)</f>
        <v>1</v>
      </c>
      <c r="B2599" s="30">
        <v>202101171719</v>
      </c>
      <c r="C2599" t="s">
        <v>6074</v>
      </c>
      <c r="D2599" t="s">
        <v>6075</v>
      </c>
      <c r="E2599" t="s">
        <v>4967</v>
      </c>
      <c r="F2599" t="s">
        <v>88</v>
      </c>
      <c r="G2599" s="27" t="str">
        <f t="shared" si="80"/>
        <v>7711 KELLWOOD DR  HOUSTON</v>
      </c>
      <c r="H2599" s="27" t="str">
        <f t="shared" si="81"/>
        <v>HOUSTON TX 77040</v>
      </c>
    </row>
    <row r="2600" spans="1:8" x14ac:dyDescent="0.2">
      <c r="A2600" s="27">
        <f>COUNTIFS(C:C,C2600,D:D,D2600)</f>
        <v>1</v>
      </c>
      <c r="B2600" s="30">
        <v>202101171721</v>
      </c>
      <c r="C2600" t="s">
        <v>6076</v>
      </c>
      <c r="D2600" t="s">
        <v>6077</v>
      </c>
      <c r="E2600" t="s">
        <v>4915</v>
      </c>
      <c r="F2600" t="s">
        <v>79</v>
      </c>
      <c r="G2600" s="27" t="str">
        <f t="shared" si="80"/>
        <v>5514 GRIGGS RD  HOUSTON</v>
      </c>
      <c r="H2600" s="27" t="str">
        <f t="shared" si="81"/>
        <v>HOUSTON TX 77021</v>
      </c>
    </row>
    <row r="2601" spans="1:8" x14ac:dyDescent="0.2">
      <c r="A2601" s="27">
        <f>COUNTIFS(C:C,C2601,D:D,D2601)</f>
        <v>1</v>
      </c>
      <c r="B2601" s="30">
        <v>202101176199</v>
      </c>
      <c r="C2601" t="s">
        <v>5507</v>
      </c>
      <c r="D2601" t="s">
        <v>5508</v>
      </c>
      <c r="E2601" t="s">
        <v>4958</v>
      </c>
      <c r="F2601" t="s">
        <v>5306</v>
      </c>
      <c r="G2601" s="27" t="str">
        <f t="shared" si="80"/>
        <v>2700 BELLEFONTAINE B 25 HOUSTON</v>
      </c>
      <c r="H2601" s="27" t="str">
        <f t="shared" si="81"/>
        <v>HOUSTON TX 77025</v>
      </c>
    </row>
    <row r="2602" spans="1:8" x14ac:dyDescent="0.2">
      <c r="A2602" s="27">
        <f>COUNTIFS(C:C,C2602,D:D,D2602)</f>
        <v>1</v>
      </c>
      <c r="B2602" s="30">
        <v>202101176212</v>
      </c>
      <c r="C2602" t="s">
        <v>6078</v>
      </c>
      <c r="D2602" t="s">
        <v>6079</v>
      </c>
      <c r="E2602" t="s">
        <v>4910</v>
      </c>
      <c r="F2602" t="s">
        <v>206</v>
      </c>
      <c r="G2602" s="27" t="str">
        <f t="shared" ref="G2602:G2665" si="82">D2602&amp;" "&amp;MID(E2602,1,FIND(" TX",E2602)-1)</f>
        <v>802 OVERBLUFF ST  CHANNELVIE</v>
      </c>
      <c r="H2602" s="27" t="str">
        <f t="shared" ref="H2602:H2665" si="83">"HOUSTON "&amp;MID(E2602,FIND("TX",E2602),8)</f>
        <v>HOUSTON TX 77530</v>
      </c>
    </row>
    <row r="2603" spans="1:8" x14ac:dyDescent="0.2">
      <c r="A2603" s="27">
        <f>COUNTIFS(C:C,C2603,D:D,D2603)</f>
        <v>1</v>
      </c>
      <c r="B2603" s="30">
        <v>202101176244</v>
      </c>
      <c r="C2603" t="s">
        <v>6080</v>
      </c>
      <c r="D2603" t="s">
        <v>6081</v>
      </c>
      <c r="E2603" t="s">
        <v>4931</v>
      </c>
      <c r="F2603" t="s">
        <v>194</v>
      </c>
      <c r="G2603" s="27" t="str">
        <f t="shared" si="82"/>
        <v>14545 BAMMEL N HOU RD APT 2119 HOUSTON</v>
      </c>
      <c r="H2603" s="27" t="str">
        <f t="shared" si="83"/>
        <v>HOUSTON TX 77014</v>
      </c>
    </row>
    <row r="2604" spans="1:8" x14ac:dyDescent="0.2">
      <c r="A2604" s="27">
        <f>COUNTIFS(C:C,C2604,D:D,D2604)</f>
        <v>1</v>
      </c>
      <c r="B2604" s="30">
        <v>202101176452</v>
      </c>
      <c r="C2604" t="s">
        <v>6082</v>
      </c>
      <c r="D2604" t="s">
        <v>6083</v>
      </c>
      <c r="E2604" t="s">
        <v>4867</v>
      </c>
      <c r="F2604" t="s">
        <v>187</v>
      </c>
      <c r="G2604" s="27" t="str">
        <f t="shared" si="82"/>
        <v>3619 ERBY ST  HOUSTON</v>
      </c>
      <c r="H2604" s="27" t="str">
        <f t="shared" si="83"/>
        <v>HOUSTON TX 77023</v>
      </c>
    </row>
    <row r="2605" spans="1:8" x14ac:dyDescent="0.2">
      <c r="A2605" s="27">
        <f>COUNTIFS(C:C,C2605,D:D,D2605)</f>
        <v>1</v>
      </c>
      <c r="B2605" s="30">
        <v>202101176589</v>
      </c>
      <c r="C2605" t="s">
        <v>6085</v>
      </c>
      <c r="D2605" t="s">
        <v>5698</v>
      </c>
      <c r="E2605" t="s">
        <v>4991</v>
      </c>
      <c r="F2605" t="s">
        <v>200</v>
      </c>
      <c r="G2605" s="27" t="str">
        <f t="shared" si="82"/>
        <v>2300 WILCREST DR APT 154 HOUSTON</v>
      </c>
      <c r="H2605" s="27" t="str">
        <f t="shared" si="83"/>
        <v>HOUSTON TX 77042</v>
      </c>
    </row>
    <row r="2606" spans="1:8" x14ac:dyDescent="0.2">
      <c r="A2606" s="27">
        <f>COUNTIFS(C:C,C2606,D:D,D2606)</f>
        <v>1</v>
      </c>
      <c r="B2606" s="30">
        <v>202101176599</v>
      </c>
      <c r="C2606" t="s">
        <v>6086</v>
      </c>
      <c r="D2606" t="s">
        <v>6087</v>
      </c>
      <c r="E2606" t="s">
        <v>4943</v>
      </c>
      <c r="F2606" t="s">
        <v>203</v>
      </c>
      <c r="G2606" s="27" t="str">
        <f t="shared" si="82"/>
        <v>4310 SCONE  HOUSTON</v>
      </c>
      <c r="H2606" s="27" t="str">
        <f t="shared" si="83"/>
        <v>HOUSTON TX 77084</v>
      </c>
    </row>
    <row r="2607" spans="1:8" x14ac:dyDescent="0.2">
      <c r="A2607" s="27">
        <f>COUNTIFS(C:C,C2607,D:D,D2607)</f>
        <v>1</v>
      </c>
      <c r="B2607" s="30">
        <v>202101176694</v>
      </c>
      <c r="C2607" t="s">
        <v>6088</v>
      </c>
      <c r="D2607" t="s">
        <v>6089</v>
      </c>
      <c r="E2607" t="s">
        <v>6090</v>
      </c>
      <c r="F2607" t="s">
        <v>185</v>
      </c>
      <c r="G2607" s="27" t="str">
        <f t="shared" si="82"/>
        <v>9700 FM 1097 RD W AP T 614 WILLIS</v>
      </c>
      <c r="H2607" s="27" t="str">
        <f t="shared" si="83"/>
        <v>HOUSTON TX 77318</v>
      </c>
    </row>
    <row r="2608" spans="1:8" x14ac:dyDescent="0.2">
      <c r="A2608" s="27">
        <f>COUNTIFS(C:C,C2608,D:D,D2608)</f>
        <v>1</v>
      </c>
      <c r="B2608" s="30">
        <v>202101176701</v>
      </c>
      <c r="C2608" t="s">
        <v>6091</v>
      </c>
      <c r="D2608" t="s">
        <v>6092</v>
      </c>
      <c r="E2608" t="s">
        <v>4915</v>
      </c>
      <c r="F2608" t="s">
        <v>203</v>
      </c>
      <c r="G2608" s="27" t="str">
        <f t="shared" si="82"/>
        <v>5601 ROYAL PALMS ST 242 HOUSTON</v>
      </c>
      <c r="H2608" s="27" t="str">
        <f t="shared" si="83"/>
        <v>HOUSTON TX 77021</v>
      </c>
    </row>
    <row r="2609" spans="1:8" x14ac:dyDescent="0.2">
      <c r="A2609" s="27">
        <f>COUNTIFS(C:C,C2609,D:D,D2609)</f>
        <v>1</v>
      </c>
      <c r="B2609" s="30">
        <v>202101176705</v>
      </c>
      <c r="C2609" t="s">
        <v>6093</v>
      </c>
      <c r="D2609" t="s">
        <v>6094</v>
      </c>
      <c r="E2609" t="s">
        <v>4894</v>
      </c>
      <c r="F2609" t="s">
        <v>203</v>
      </c>
      <c r="G2609" s="27" t="str">
        <f t="shared" si="82"/>
        <v>2710 HARDY  HOUSTON</v>
      </c>
      <c r="H2609" s="27" t="str">
        <f t="shared" si="83"/>
        <v>HOUSTON TX 77009</v>
      </c>
    </row>
    <row r="2610" spans="1:8" x14ac:dyDescent="0.2">
      <c r="A2610" s="27">
        <f>COUNTIFS(C:C,C2610,D:D,D2610)</f>
        <v>1</v>
      </c>
      <c r="B2610" s="30">
        <v>202101176713</v>
      </c>
      <c r="C2610" t="s">
        <v>6095</v>
      </c>
      <c r="D2610" t="s">
        <v>6096</v>
      </c>
      <c r="E2610" t="s">
        <v>5085</v>
      </c>
      <c r="F2610" t="s">
        <v>186</v>
      </c>
      <c r="G2610" s="27" t="str">
        <f t="shared" si="82"/>
        <v>1305 SHEPHERD ST  HEMPSTEAD</v>
      </c>
      <c r="H2610" s="27" t="str">
        <f t="shared" si="83"/>
        <v>HOUSTON TX 77445</v>
      </c>
    </row>
    <row r="2611" spans="1:8" x14ac:dyDescent="0.2">
      <c r="A2611" s="27">
        <f>COUNTIFS(C:C,C2611,D:D,D2611)</f>
        <v>1</v>
      </c>
      <c r="B2611" s="30">
        <v>202101176721</v>
      </c>
      <c r="C2611" t="s">
        <v>6097</v>
      </c>
      <c r="D2611" t="s">
        <v>6098</v>
      </c>
      <c r="E2611" t="s">
        <v>4905</v>
      </c>
      <c r="F2611" t="s">
        <v>6099</v>
      </c>
      <c r="G2611" s="27" t="str">
        <f t="shared" si="82"/>
        <v>3215 CHESTERSHIRE DR  PASADENA</v>
      </c>
      <c r="H2611" s="27" t="str">
        <f t="shared" si="83"/>
        <v>HOUSTON TX 77503</v>
      </c>
    </row>
    <row r="2612" spans="1:8" x14ac:dyDescent="0.2">
      <c r="A2612" s="27">
        <f>COUNTIFS(C:C,C2612,D:D,D2612)</f>
        <v>1</v>
      </c>
      <c r="B2612" s="30">
        <v>202101176723</v>
      </c>
      <c r="C2612" t="s">
        <v>6100</v>
      </c>
      <c r="D2612" t="s">
        <v>6101</v>
      </c>
      <c r="E2612" t="s">
        <v>4856</v>
      </c>
      <c r="F2612" t="s">
        <v>6102</v>
      </c>
      <c r="G2612" s="27" t="str">
        <f t="shared" si="82"/>
        <v>4011 GALVESTON RD AP T 142 HOUSTON</v>
      </c>
      <c r="H2612" s="27" t="str">
        <f t="shared" si="83"/>
        <v>HOUSTON TX 77017</v>
      </c>
    </row>
    <row r="2613" spans="1:8" x14ac:dyDescent="0.2">
      <c r="A2613" s="27">
        <f>COUNTIFS(C:C,C2613,D:D,D2613)</f>
        <v>1</v>
      </c>
      <c r="B2613" s="30">
        <v>202101176731</v>
      </c>
      <c r="C2613" t="s">
        <v>6103</v>
      </c>
      <c r="D2613" t="s">
        <v>6104</v>
      </c>
      <c r="E2613" t="s">
        <v>5023</v>
      </c>
      <c r="F2613" t="s">
        <v>235</v>
      </c>
      <c r="G2613" s="27" t="str">
        <f t="shared" si="82"/>
        <v>2601 LAZY HOLLOW DR  HOUSTON</v>
      </c>
      <c r="H2613" s="27" t="str">
        <f t="shared" si="83"/>
        <v>HOUSTON TX 77063</v>
      </c>
    </row>
    <row r="2614" spans="1:8" x14ac:dyDescent="0.2">
      <c r="A2614" s="27">
        <f>COUNTIFS(C:C,C2614,D:D,D2614)</f>
        <v>1</v>
      </c>
      <c r="B2614" s="30">
        <v>202101176733</v>
      </c>
      <c r="C2614" t="s">
        <v>6105</v>
      </c>
      <c r="D2614" t="s">
        <v>6106</v>
      </c>
      <c r="E2614" t="s">
        <v>4997</v>
      </c>
      <c r="F2614" t="s">
        <v>194</v>
      </c>
      <c r="G2614" s="27" t="str">
        <f t="shared" si="82"/>
        <v>11555 BISSONNET ST  HOUSTON</v>
      </c>
      <c r="H2614" s="27" t="str">
        <f t="shared" si="83"/>
        <v>HOUSTON TX 77099</v>
      </c>
    </row>
    <row r="2615" spans="1:8" x14ac:dyDescent="0.2">
      <c r="A2615" s="27">
        <f>COUNTIFS(C:C,C2615,D:D,D2615)</f>
        <v>1</v>
      </c>
      <c r="B2615" s="30">
        <v>202101176734</v>
      </c>
      <c r="C2615" t="s">
        <v>6107</v>
      </c>
      <c r="D2615" t="s">
        <v>6108</v>
      </c>
      <c r="E2615" t="s">
        <v>4960</v>
      </c>
      <c r="F2615" t="s">
        <v>181</v>
      </c>
      <c r="G2615" s="27" t="str">
        <f t="shared" si="82"/>
        <v>838 GREENS RD  HOUSTON</v>
      </c>
      <c r="H2615" s="27" t="str">
        <f t="shared" si="83"/>
        <v>HOUSTON TX 77060</v>
      </c>
    </row>
    <row r="2616" spans="1:8" x14ac:dyDescent="0.2">
      <c r="A2616" s="27">
        <f>COUNTIFS(C:C,C2616,D:D,D2616)</f>
        <v>1</v>
      </c>
      <c r="B2616" s="30">
        <v>202101176739</v>
      </c>
      <c r="C2616" t="s">
        <v>6109</v>
      </c>
      <c r="D2616" t="s">
        <v>6110</v>
      </c>
      <c r="E2616" t="s">
        <v>4854</v>
      </c>
      <c r="F2616" t="s">
        <v>295</v>
      </c>
      <c r="G2616" s="27" t="str">
        <f t="shared" si="82"/>
        <v>3219 FLORIDA ST  HOUSTON</v>
      </c>
      <c r="H2616" s="27" t="str">
        <f t="shared" si="83"/>
        <v>HOUSTON TX 77026</v>
      </c>
    </row>
    <row r="2617" spans="1:8" x14ac:dyDescent="0.2">
      <c r="A2617" s="27">
        <f>COUNTIFS(C:C,C2617,D:D,D2617)</f>
        <v>1</v>
      </c>
      <c r="B2617" s="30">
        <v>202101176741</v>
      </c>
      <c r="C2617" t="s">
        <v>6111</v>
      </c>
      <c r="D2617" t="s">
        <v>6112</v>
      </c>
      <c r="E2617" t="s">
        <v>4919</v>
      </c>
      <c r="F2617" t="s">
        <v>185</v>
      </c>
      <c r="G2617" s="27" t="str">
        <f t="shared" si="82"/>
        <v>6321 WESTWARD  HOUSTON</v>
      </c>
      <c r="H2617" s="27" t="str">
        <f t="shared" si="83"/>
        <v>HOUSTON TX 77081</v>
      </c>
    </row>
    <row r="2618" spans="1:8" x14ac:dyDescent="0.2">
      <c r="A2618" s="27">
        <f>COUNTIFS(C:C,C2618,D:D,D2618)</f>
        <v>1</v>
      </c>
      <c r="B2618" s="30">
        <v>202101176743</v>
      </c>
      <c r="C2618" t="s">
        <v>6113</v>
      </c>
      <c r="D2618" t="s">
        <v>6114</v>
      </c>
      <c r="E2618" t="s">
        <v>4932</v>
      </c>
      <c r="F2618" t="s">
        <v>191</v>
      </c>
      <c r="G2618" s="27" t="str">
        <f t="shared" si="82"/>
        <v>4102 MANGUM ROAD  HOUSTON</v>
      </c>
      <c r="H2618" s="27" t="str">
        <f t="shared" si="83"/>
        <v>HOUSTON TX 77092</v>
      </c>
    </row>
    <row r="2619" spans="1:8" x14ac:dyDescent="0.2">
      <c r="A2619" s="27">
        <f>COUNTIFS(C:C,C2619,D:D,D2619)</f>
        <v>1</v>
      </c>
      <c r="B2619" s="30">
        <v>202101176748</v>
      </c>
      <c r="C2619" t="s">
        <v>6115</v>
      </c>
      <c r="D2619" t="s">
        <v>6116</v>
      </c>
      <c r="E2619" t="s">
        <v>5002</v>
      </c>
      <c r="F2619" t="s">
        <v>200</v>
      </c>
      <c r="G2619" s="27" t="str">
        <f t="shared" si="82"/>
        <v>3000 WOODLAND PARK D R APT 920 HOUSTON</v>
      </c>
      <c r="H2619" s="27" t="str">
        <f t="shared" si="83"/>
        <v>HOUSTON TX 77082</v>
      </c>
    </row>
    <row r="2620" spans="1:8" x14ac:dyDescent="0.2">
      <c r="A2620" s="27">
        <f>COUNTIFS(C:C,C2620,D:D,D2620)</f>
        <v>1</v>
      </c>
      <c r="B2620" s="30">
        <v>202101176750</v>
      </c>
      <c r="C2620" t="s">
        <v>6117</v>
      </c>
      <c r="D2620" t="s">
        <v>6118</v>
      </c>
      <c r="E2620" t="s">
        <v>4850</v>
      </c>
      <c r="F2620" t="s">
        <v>6119</v>
      </c>
      <c r="G2620" s="27" t="str">
        <f t="shared" si="82"/>
        <v>11150 11150 BEAMER RD  HOUSTON</v>
      </c>
      <c r="H2620" s="27" t="str">
        <f t="shared" si="83"/>
        <v>HOUSTON TX 77089</v>
      </c>
    </row>
    <row r="2621" spans="1:8" x14ac:dyDescent="0.2">
      <c r="A2621" s="27">
        <f>COUNTIFS(C:C,C2621,D:D,D2621)</f>
        <v>1</v>
      </c>
      <c r="B2621" s="30">
        <v>202101176753</v>
      </c>
      <c r="C2621" t="s">
        <v>6120</v>
      </c>
      <c r="D2621" t="s">
        <v>3449</v>
      </c>
      <c r="E2621" t="s">
        <v>4960</v>
      </c>
      <c r="F2621" t="s">
        <v>208</v>
      </c>
      <c r="G2621" s="27" t="str">
        <f t="shared" si="82"/>
        <v>16303 IMPERIAL VALLEY DR HOUSTON</v>
      </c>
      <c r="H2621" s="27" t="str">
        <f t="shared" si="83"/>
        <v>HOUSTON TX 77060</v>
      </c>
    </row>
    <row r="2622" spans="1:8" x14ac:dyDescent="0.2">
      <c r="A2622" s="27">
        <f>COUNTIFS(C:C,C2622,D:D,D2622)</f>
        <v>1</v>
      </c>
      <c r="B2622" s="30">
        <v>202101176759</v>
      </c>
      <c r="C2622" t="s">
        <v>6121</v>
      </c>
      <c r="D2622" t="s">
        <v>6122</v>
      </c>
      <c r="E2622" t="s">
        <v>4984</v>
      </c>
      <c r="F2622" t="s">
        <v>215</v>
      </c>
      <c r="G2622" s="27" t="str">
        <f t="shared" si="82"/>
        <v>5007 FITZWATER DR  SPRING</v>
      </c>
      <c r="H2622" s="27" t="str">
        <f t="shared" si="83"/>
        <v>HOUSTON TX 77373</v>
      </c>
    </row>
    <row r="2623" spans="1:8" x14ac:dyDescent="0.2">
      <c r="A2623" s="27">
        <f>COUNTIFS(C:C,C2623,D:D,D2623)</f>
        <v>1</v>
      </c>
      <c r="B2623" s="30">
        <v>202101176766</v>
      </c>
      <c r="C2623" t="s">
        <v>6123</v>
      </c>
      <c r="D2623" t="s">
        <v>6124</v>
      </c>
      <c r="E2623" t="s">
        <v>4914</v>
      </c>
      <c r="F2623" t="s">
        <v>187</v>
      </c>
      <c r="G2623" s="27" t="str">
        <f t="shared" si="82"/>
        <v>2305 HAYES ROAD 8602  HOUSTON</v>
      </c>
      <c r="H2623" s="27" t="str">
        <f t="shared" si="83"/>
        <v>HOUSTON TX 77077</v>
      </c>
    </row>
    <row r="2624" spans="1:8" x14ac:dyDescent="0.2">
      <c r="A2624" s="27">
        <f>COUNTIFS(C:C,C2624,D:D,D2624)</f>
        <v>1</v>
      </c>
      <c r="B2624" s="30">
        <v>202101176767</v>
      </c>
      <c r="C2624" t="s">
        <v>6125</v>
      </c>
      <c r="D2624" t="s">
        <v>6126</v>
      </c>
      <c r="E2624" t="s">
        <v>4863</v>
      </c>
      <c r="F2624" t="s">
        <v>200</v>
      </c>
      <c r="G2624" s="27" t="str">
        <f t="shared" si="82"/>
        <v>21230 DIMAMBRO LANE  TOMBALL</v>
      </c>
      <c r="H2624" s="27" t="str">
        <f t="shared" si="83"/>
        <v>HOUSTON TX 77377</v>
      </c>
    </row>
    <row r="2625" spans="1:8" x14ac:dyDescent="0.2">
      <c r="A2625" s="27">
        <f>COUNTIFS(C:C,C2625,D:D,D2625)</f>
        <v>1</v>
      </c>
      <c r="B2625" s="30">
        <v>202101176778</v>
      </c>
      <c r="C2625" t="s">
        <v>1207</v>
      </c>
      <c r="D2625" t="s">
        <v>6129</v>
      </c>
      <c r="E2625" t="s">
        <v>4852</v>
      </c>
      <c r="F2625" t="s">
        <v>200</v>
      </c>
      <c r="G2625" s="27" t="str">
        <f t="shared" si="82"/>
        <v>6107 ANTHA  HOUSTON</v>
      </c>
      <c r="H2625" s="27" t="str">
        <f t="shared" si="83"/>
        <v>HOUSTON TX 77016</v>
      </c>
    </row>
    <row r="2626" spans="1:8" x14ac:dyDescent="0.2">
      <c r="A2626" s="27">
        <f>COUNTIFS(C:C,C2626,D:D,D2626)</f>
        <v>1</v>
      </c>
      <c r="B2626" s="30">
        <v>202101176779</v>
      </c>
      <c r="C2626" t="s">
        <v>6130</v>
      </c>
      <c r="D2626" t="s">
        <v>6131</v>
      </c>
      <c r="E2626" t="s">
        <v>4919</v>
      </c>
      <c r="F2626" t="s">
        <v>187</v>
      </c>
      <c r="G2626" s="27" t="str">
        <f t="shared" si="82"/>
        <v>6300 RAMPART ST 9  HOUSTON</v>
      </c>
      <c r="H2626" s="27" t="str">
        <f t="shared" si="83"/>
        <v>HOUSTON TX 77081</v>
      </c>
    </row>
    <row r="2627" spans="1:8" x14ac:dyDescent="0.2">
      <c r="A2627" s="27">
        <f>COUNTIFS(C:C,C2627,D:D,D2627)</f>
        <v>1</v>
      </c>
      <c r="B2627" s="30">
        <v>202101176780</v>
      </c>
      <c r="C2627" t="s">
        <v>6132</v>
      </c>
      <c r="D2627" t="s">
        <v>6133</v>
      </c>
      <c r="E2627" t="s">
        <v>6134</v>
      </c>
      <c r="F2627" t="s">
        <v>185</v>
      </c>
      <c r="G2627" s="27" t="str">
        <f t="shared" si="82"/>
        <v>134 LUTHER ST APT 2 29 COLLEGE ST</v>
      </c>
      <c r="H2627" s="27" t="str">
        <f t="shared" si="83"/>
        <v>HOUSTON TX 77340</v>
      </c>
    </row>
    <row r="2628" spans="1:8" x14ac:dyDescent="0.2">
      <c r="A2628" s="27">
        <f>COUNTIFS(C:C,C2628,D:D,D2628)</f>
        <v>1</v>
      </c>
      <c r="B2628" s="30">
        <v>202101176781</v>
      </c>
      <c r="C2628" t="s">
        <v>6135</v>
      </c>
      <c r="D2628" t="s">
        <v>6136</v>
      </c>
      <c r="E2628" t="s">
        <v>4982</v>
      </c>
      <c r="F2628" t="s">
        <v>6137</v>
      </c>
      <c r="G2628" s="27" t="str">
        <f t="shared" si="82"/>
        <v>9811 ROSE MIST LN.  HOUSTON</v>
      </c>
      <c r="H2628" s="27" t="str">
        <f t="shared" si="83"/>
        <v>HOUSTON TX 77038</v>
      </c>
    </row>
    <row r="2629" spans="1:8" x14ac:dyDescent="0.2">
      <c r="A2629" s="27">
        <f>COUNTIFS(C:C,C2629,D:D,D2629)</f>
        <v>1</v>
      </c>
      <c r="B2629" s="30">
        <v>202101176782</v>
      </c>
      <c r="C2629" t="s">
        <v>6138</v>
      </c>
      <c r="D2629" t="s">
        <v>6139</v>
      </c>
      <c r="E2629" t="s">
        <v>5014</v>
      </c>
      <c r="F2629" t="s">
        <v>5298</v>
      </c>
      <c r="G2629" s="27" t="str">
        <f t="shared" si="82"/>
        <v>9605 C CATLETT LANE  LA PORTE</v>
      </c>
      <c r="H2629" s="27" t="str">
        <f t="shared" si="83"/>
        <v>HOUSTON TX 77571</v>
      </c>
    </row>
    <row r="2630" spans="1:8" x14ac:dyDescent="0.2">
      <c r="A2630" s="27">
        <f>COUNTIFS(C:C,C2630,D:D,D2630)</f>
        <v>1</v>
      </c>
      <c r="B2630" s="30">
        <v>202101176785</v>
      </c>
      <c r="C2630" t="s">
        <v>6140</v>
      </c>
      <c r="D2630" t="s">
        <v>6141</v>
      </c>
      <c r="E2630" t="s">
        <v>4977</v>
      </c>
      <c r="F2630" t="s">
        <v>214</v>
      </c>
      <c r="G2630" s="27" t="str">
        <f t="shared" si="82"/>
        <v>3001 HILLCROFT AVE  HOUSTON</v>
      </c>
      <c r="H2630" s="27" t="str">
        <f t="shared" si="83"/>
        <v>HOUSTON TX 77057</v>
      </c>
    </row>
    <row r="2631" spans="1:8" x14ac:dyDescent="0.2">
      <c r="A2631" s="27">
        <f>COUNTIFS(C:C,C2631,D:D,D2631)</f>
        <v>1</v>
      </c>
      <c r="B2631" s="30">
        <v>202101176786</v>
      </c>
      <c r="C2631" t="s">
        <v>6142</v>
      </c>
      <c r="D2631" t="s">
        <v>6143</v>
      </c>
      <c r="E2631" t="s">
        <v>5060</v>
      </c>
      <c r="F2631" t="s">
        <v>242</v>
      </c>
      <c r="G2631" s="27" t="str">
        <f t="shared" si="82"/>
        <v>13801 NAPOLI DR  HOUSTON</v>
      </c>
      <c r="H2631" s="27" t="str">
        <f t="shared" si="83"/>
        <v>HOUSTON TX 77070</v>
      </c>
    </row>
    <row r="2632" spans="1:8" x14ac:dyDescent="0.2">
      <c r="A2632" s="27">
        <f>COUNTIFS(C:C,C2632,D:D,D2632)</f>
        <v>1</v>
      </c>
      <c r="B2632" s="30">
        <v>202101176791</v>
      </c>
      <c r="C2632" t="s">
        <v>6144</v>
      </c>
      <c r="D2632" t="s">
        <v>6145</v>
      </c>
      <c r="E2632" t="s">
        <v>4875</v>
      </c>
      <c r="F2632" t="s">
        <v>193</v>
      </c>
      <c r="G2632" s="27" t="str">
        <f t="shared" si="82"/>
        <v>5211 MOHAWK ST  HOUSTON</v>
      </c>
      <c r="H2632" s="27" t="str">
        <f t="shared" si="83"/>
        <v>HOUSTON TX 77093</v>
      </c>
    </row>
    <row r="2633" spans="1:8" x14ac:dyDescent="0.2">
      <c r="A2633" s="27">
        <f>COUNTIFS(C:C,C2633,D:D,D2633)</f>
        <v>1</v>
      </c>
      <c r="B2633" s="30">
        <v>202101176792</v>
      </c>
      <c r="C2633" t="s">
        <v>6146</v>
      </c>
      <c r="D2633" t="s">
        <v>6147</v>
      </c>
      <c r="E2633" t="s">
        <v>4984</v>
      </c>
      <c r="F2633" t="s">
        <v>200</v>
      </c>
      <c r="G2633" s="27" t="str">
        <f t="shared" si="82"/>
        <v>22414 DIANE DR  SPRING</v>
      </c>
      <c r="H2633" s="27" t="str">
        <f t="shared" si="83"/>
        <v>HOUSTON TX 77373</v>
      </c>
    </row>
    <row r="2634" spans="1:8" x14ac:dyDescent="0.2">
      <c r="A2634" s="27">
        <f>COUNTIFS(C:C,C2634,D:D,D2634)</f>
        <v>1</v>
      </c>
      <c r="B2634" s="30">
        <v>202101176794</v>
      </c>
      <c r="C2634" t="s">
        <v>6148</v>
      </c>
      <c r="D2634" t="s">
        <v>6149</v>
      </c>
      <c r="E2634" t="s">
        <v>4997</v>
      </c>
      <c r="F2634" t="s">
        <v>258</v>
      </c>
      <c r="G2634" s="27" t="str">
        <f t="shared" si="82"/>
        <v>12023 BISSONNET ST 69 3 HOUSTON</v>
      </c>
      <c r="H2634" s="27" t="str">
        <f t="shared" si="83"/>
        <v>HOUSTON TX 77099</v>
      </c>
    </row>
    <row r="2635" spans="1:8" x14ac:dyDescent="0.2">
      <c r="A2635" s="27">
        <f>COUNTIFS(C:C,C2635,D:D,D2635)</f>
        <v>1</v>
      </c>
      <c r="B2635" s="30">
        <v>202101176796</v>
      </c>
      <c r="C2635" t="s">
        <v>6150</v>
      </c>
      <c r="D2635" t="s">
        <v>6151</v>
      </c>
      <c r="E2635" t="s">
        <v>4975</v>
      </c>
      <c r="F2635" t="s">
        <v>209</v>
      </c>
      <c r="G2635" s="27" t="str">
        <f t="shared" si="82"/>
        <v>10451 HUFFMEISTER RD  HOUSTON</v>
      </c>
      <c r="H2635" s="27" t="str">
        <f t="shared" si="83"/>
        <v>HOUSTON TX 77065</v>
      </c>
    </row>
    <row r="2636" spans="1:8" x14ac:dyDescent="0.2">
      <c r="A2636" s="27">
        <f>COUNTIFS(C:C,C2636,D:D,D2636)</f>
        <v>1</v>
      </c>
      <c r="B2636" s="30">
        <v>202101176799</v>
      </c>
      <c r="C2636" t="s">
        <v>6152</v>
      </c>
      <c r="D2636" t="s">
        <v>6153</v>
      </c>
      <c r="E2636" t="s">
        <v>4901</v>
      </c>
      <c r="F2636" t="s">
        <v>185</v>
      </c>
      <c r="G2636" s="27" t="str">
        <f t="shared" si="82"/>
        <v>13119 LEADER TRAIL  HOUSTON</v>
      </c>
      <c r="H2636" s="27" t="str">
        <f t="shared" si="83"/>
        <v>HOUSTON TX 77072</v>
      </c>
    </row>
    <row r="2637" spans="1:8" x14ac:dyDescent="0.2">
      <c r="A2637" s="27">
        <f>COUNTIFS(C:C,C2637,D:D,D2637)</f>
        <v>1</v>
      </c>
      <c r="B2637" s="30">
        <v>202101176800</v>
      </c>
      <c r="C2637" t="s">
        <v>6154</v>
      </c>
      <c r="D2637" t="s">
        <v>6155</v>
      </c>
      <c r="E2637" t="s">
        <v>5061</v>
      </c>
      <c r="F2637" t="s">
        <v>186</v>
      </c>
      <c r="G2637" s="27" t="str">
        <f t="shared" si="82"/>
        <v>904 FM 686  DAYTON</v>
      </c>
      <c r="H2637" s="27" t="str">
        <f t="shared" si="83"/>
        <v>HOUSTON TX 77535</v>
      </c>
    </row>
    <row r="2638" spans="1:8" x14ac:dyDescent="0.2">
      <c r="A2638" s="27">
        <f>COUNTIFS(C:C,C2638,D:D,D2638)</f>
        <v>1</v>
      </c>
      <c r="B2638" s="30">
        <v>202101176803</v>
      </c>
      <c r="C2638" t="s">
        <v>6156</v>
      </c>
      <c r="D2638" t="s">
        <v>6157</v>
      </c>
      <c r="E2638" t="s">
        <v>4901</v>
      </c>
      <c r="F2638" t="s">
        <v>6158</v>
      </c>
      <c r="G2638" s="27" t="str">
        <f t="shared" si="82"/>
        <v>12046 SHARPVIEW DR  HOUSTON</v>
      </c>
      <c r="H2638" s="27" t="str">
        <f t="shared" si="83"/>
        <v>HOUSTON TX 77072</v>
      </c>
    </row>
    <row r="2639" spans="1:8" x14ac:dyDescent="0.2">
      <c r="A2639" s="27">
        <f>COUNTIFS(C:C,C2639,D:D,D2639)</f>
        <v>1</v>
      </c>
      <c r="B2639" s="30">
        <v>202101176804</v>
      </c>
      <c r="C2639" t="s">
        <v>6159</v>
      </c>
      <c r="D2639" t="s">
        <v>6160</v>
      </c>
      <c r="E2639" t="s">
        <v>5079</v>
      </c>
      <c r="F2639" t="s">
        <v>6161</v>
      </c>
      <c r="G2639" s="27" t="str">
        <f t="shared" si="82"/>
        <v>14119 LOST MEADOW  HOUSTON</v>
      </c>
      <c r="H2639" s="27" t="str">
        <f t="shared" si="83"/>
        <v>HOUSTON TX 77079</v>
      </c>
    </row>
    <row r="2640" spans="1:8" x14ac:dyDescent="0.2">
      <c r="A2640" s="27">
        <f>COUNTIFS(C:C,C2640,D:D,D2640)</f>
        <v>1</v>
      </c>
      <c r="B2640" s="30">
        <v>202101176809</v>
      </c>
      <c r="C2640" t="s">
        <v>6162</v>
      </c>
      <c r="D2640" t="s">
        <v>6163</v>
      </c>
      <c r="E2640" t="s">
        <v>6164</v>
      </c>
      <c r="F2640" t="s">
        <v>209</v>
      </c>
      <c r="G2640" s="27" t="str">
        <f t="shared" si="82"/>
        <v>9311 ROYAL WAY  FORT BEND</v>
      </c>
      <c r="H2640" s="27" t="str">
        <f t="shared" si="83"/>
        <v>HOUSTON TX 77478</v>
      </c>
    </row>
    <row r="2641" spans="1:8" x14ac:dyDescent="0.2">
      <c r="A2641" s="27">
        <f>COUNTIFS(C:C,C2641,D:D,D2641)</f>
        <v>1</v>
      </c>
      <c r="B2641" s="30">
        <v>202101176810</v>
      </c>
      <c r="C2641" t="s">
        <v>6165</v>
      </c>
      <c r="D2641" t="s">
        <v>6166</v>
      </c>
      <c r="E2641" t="s">
        <v>4920</v>
      </c>
      <c r="F2641" t="s">
        <v>233</v>
      </c>
      <c r="G2641" s="27" t="str">
        <f t="shared" si="82"/>
        <v>14263 POINTA VERA DRI VE HOUSTON</v>
      </c>
      <c r="H2641" s="27" t="str">
        <f t="shared" si="83"/>
        <v>HOUSTON TX 77083</v>
      </c>
    </row>
    <row r="2642" spans="1:8" x14ac:dyDescent="0.2">
      <c r="A2642" s="27">
        <f>COUNTIFS(C:C,C2642,D:D,D2642)</f>
        <v>1</v>
      </c>
      <c r="B2642" s="30">
        <v>202101176825</v>
      </c>
      <c r="C2642" t="s">
        <v>6167</v>
      </c>
      <c r="D2642" t="s">
        <v>2669</v>
      </c>
      <c r="E2642" t="s">
        <v>5018</v>
      </c>
      <c r="F2642" t="s">
        <v>186</v>
      </c>
      <c r="G2642" s="27" t="str">
        <f t="shared" si="82"/>
        <v>5619 ALDINE BENDER R D HARRIS CO</v>
      </c>
      <c r="H2642" s="27" t="str">
        <f t="shared" si="83"/>
        <v>HOUSTON TX 77032</v>
      </c>
    </row>
    <row r="2643" spans="1:8" x14ac:dyDescent="0.2">
      <c r="A2643" s="27">
        <f>COUNTIFS(C:C,C2643,D:D,D2643)</f>
        <v>1</v>
      </c>
      <c r="B2643" s="30">
        <v>202101176827</v>
      </c>
      <c r="C2643" t="s">
        <v>6168</v>
      </c>
      <c r="D2643" t="s">
        <v>6169</v>
      </c>
      <c r="E2643" t="s">
        <v>5064</v>
      </c>
      <c r="F2643" t="s">
        <v>189</v>
      </c>
      <c r="G2643" s="27" t="str">
        <f t="shared" si="82"/>
        <v>2719 BROADWAY ST  GALVESTON</v>
      </c>
      <c r="H2643" s="27" t="str">
        <f t="shared" si="83"/>
        <v>HOUSTON TX 77550</v>
      </c>
    </row>
    <row r="2644" spans="1:8" x14ac:dyDescent="0.2">
      <c r="A2644" s="27">
        <f>COUNTIFS(C:C,C2644,D:D,D2644)</f>
        <v>1</v>
      </c>
      <c r="B2644" s="30">
        <v>202101176831</v>
      </c>
      <c r="C2644" t="s">
        <v>6170</v>
      </c>
      <c r="D2644" t="s">
        <v>6171</v>
      </c>
      <c r="E2644" t="s">
        <v>4986</v>
      </c>
      <c r="F2644" t="s">
        <v>244</v>
      </c>
      <c r="G2644" s="27" t="str">
        <f t="shared" si="82"/>
        <v>2023 COUNTRY VILLAGE BLVD HUMBLE</v>
      </c>
      <c r="H2644" s="27" t="str">
        <f t="shared" si="83"/>
        <v>HOUSTON TX 77338</v>
      </c>
    </row>
    <row r="2645" spans="1:8" x14ac:dyDescent="0.2">
      <c r="A2645" s="27">
        <f>COUNTIFS(C:C,C2645,D:D,D2645)</f>
        <v>1</v>
      </c>
      <c r="B2645" s="30">
        <v>202101176832</v>
      </c>
      <c r="C2645" t="s">
        <v>6172</v>
      </c>
      <c r="D2645" t="s">
        <v>3223</v>
      </c>
      <c r="E2645" t="s">
        <v>4915</v>
      </c>
      <c r="F2645" t="s">
        <v>5298</v>
      </c>
      <c r="G2645" s="27" t="str">
        <f t="shared" si="82"/>
        <v>3322 YELLOWSTONE BLV D HOUSTON</v>
      </c>
      <c r="H2645" s="27" t="str">
        <f t="shared" si="83"/>
        <v>HOUSTON TX 77021</v>
      </c>
    </row>
    <row r="2646" spans="1:8" x14ac:dyDescent="0.2">
      <c r="A2646" s="27">
        <f>COUNTIFS(C:C,C2646,D:D,D2646)</f>
        <v>1</v>
      </c>
      <c r="B2646" s="30">
        <v>202101176838</v>
      </c>
      <c r="C2646" t="s">
        <v>6173</v>
      </c>
      <c r="D2646" t="s">
        <v>6174</v>
      </c>
      <c r="E2646" t="s">
        <v>4872</v>
      </c>
      <c r="F2646" t="s">
        <v>185</v>
      </c>
      <c r="G2646" s="27" t="str">
        <f t="shared" si="82"/>
        <v>7980 TATE ST  HOUSTON</v>
      </c>
      <c r="H2646" s="27" t="str">
        <f t="shared" si="83"/>
        <v>HOUSTON TX 77028</v>
      </c>
    </row>
    <row r="2647" spans="1:8" x14ac:dyDescent="0.2">
      <c r="A2647" s="27">
        <f>COUNTIFS(C:C,C2647,D:D,D2647)</f>
        <v>1</v>
      </c>
      <c r="B2647" s="30">
        <v>202101176855</v>
      </c>
      <c r="C2647" t="s">
        <v>6175</v>
      </c>
      <c r="D2647" t="s">
        <v>6176</v>
      </c>
      <c r="E2647" t="s">
        <v>4854</v>
      </c>
      <c r="F2647" t="s">
        <v>187</v>
      </c>
      <c r="G2647" s="27" t="str">
        <f t="shared" si="82"/>
        <v>4110 LAVENDER  HOUSTON</v>
      </c>
      <c r="H2647" s="27" t="str">
        <f t="shared" si="83"/>
        <v>HOUSTON TX 77026</v>
      </c>
    </row>
    <row r="2648" spans="1:8" x14ac:dyDescent="0.2">
      <c r="A2648" s="27">
        <f>COUNTIFS(C:C,C2648,D:D,D2648)</f>
        <v>1</v>
      </c>
      <c r="B2648" s="30">
        <v>202101176856</v>
      </c>
      <c r="C2648" t="s">
        <v>6177</v>
      </c>
      <c r="D2648" t="s">
        <v>6178</v>
      </c>
      <c r="E2648" t="s">
        <v>4898</v>
      </c>
      <c r="F2648" t="s">
        <v>194</v>
      </c>
      <c r="G2648" s="27" t="str">
        <f t="shared" si="82"/>
        <v>9988 WINDMILL LAKES BLVD HOUSTON</v>
      </c>
      <c r="H2648" s="27" t="str">
        <f t="shared" si="83"/>
        <v>HOUSTON TX 77075</v>
      </c>
    </row>
    <row r="2649" spans="1:8" x14ac:dyDescent="0.2">
      <c r="A2649" s="27">
        <f>COUNTIFS(C:C,C2649,D:D,D2649)</f>
        <v>1</v>
      </c>
      <c r="B2649" s="30">
        <v>202101176859</v>
      </c>
      <c r="C2649" t="s">
        <v>6179</v>
      </c>
      <c r="D2649" t="s">
        <v>6180</v>
      </c>
      <c r="E2649" t="s">
        <v>5097</v>
      </c>
      <c r="F2649" t="s">
        <v>295</v>
      </c>
      <c r="G2649" s="27" t="str">
        <f t="shared" si="82"/>
        <v>2501 WESTRIDGE ST  HOUSTON</v>
      </c>
      <c r="H2649" s="27" t="str">
        <f t="shared" si="83"/>
        <v>HOUSTON TX 77054</v>
      </c>
    </row>
    <row r="2650" spans="1:8" x14ac:dyDescent="0.2">
      <c r="A2650" s="27">
        <f>COUNTIFS(C:C,C2650,D:D,D2650)</f>
        <v>1</v>
      </c>
      <c r="B2650" s="30">
        <v>202101176860</v>
      </c>
      <c r="C2650" t="s">
        <v>6181</v>
      </c>
      <c r="D2650" t="s">
        <v>6182</v>
      </c>
      <c r="E2650" t="s">
        <v>4941</v>
      </c>
      <c r="F2650" t="s">
        <v>247</v>
      </c>
      <c r="G2650" s="27" t="str">
        <f t="shared" si="82"/>
        <v>16122 GOLEN SAGE LANE  CYPRESS</v>
      </c>
      <c r="H2650" s="27" t="str">
        <f t="shared" si="83"/>
        <v>HOUSTON TX 77429</v>
      </c>
    </row>
    <row r="2651" spans="1:8" x14ac:dyDescent="0.2">
      <c r="A2651" s="27">
        <f>COUNTIFS(C:C,C2651,D:D,D2651)</f>
        <v>1</v>
      </c>
      <c r="B2651" s="30">
        <v>202101176910</v>
      </c>
      <c r="C2651" t="s">
        <v>6183</v>
      </c>
      <c r="D2651" t="s">
        <v>6184</v>
      </c>
      <c r="E2651" t="s">
        <v>5137</v>
      </c>
      <c r="F2651" t="s">
        <v>189</v>
      </c>
      <c r="G2651" s="27" t="str">
        <f t="shared" si="82"/>
        <v>3000 SAGE RD  HOUSTON</v>
      </c>
      <c r="H2651" s="27" t="str">
        <f t="shared" si="83"/>
        <v>HOUSTON TX 77056</v>
      </c>
    </row>
    <row r="2652" spans="1:8" x14ac:dyDescent="0.2">
      <c r="A2652" s="27">
        <f>COUNTIFS(C:C,C2652,D:D,D2652)</f>
        <v>1</v>
      </c>
      <c r="B2652" s="30">
        <v>202101181140</v>
      </c>
      <c r="C2652" t="s">
        <v>6185</v>
      </c>
      <c r="D2652" t="s">
        <v>6186</v>
      </c>
      <c r="E2652" t="s">
        <v>4891</v>
      </c>
      <c r="F2652" t="s">
        <v>88</v>
      </c>
      <c r="G2652" s="27" t="str">
        <f t="shared" si="82"/>
        <v>7207 RIDGE OAK DR  HOUSTON</v>
      </c>
      <c r="H2652" s="27" t="str">
        <f t="shared" si="83"/>
        <v>HOUSTON TX 77088</v>
      </c>
    </row>
    <row r="2653" spans="1:8" x14ac:dyDescent="0.2">
      <c r="A2653" s="27">
        <f>COUNTIFS(C:C,C2653,D:D,D2653)</f>
        <v>1</v>
      </c>
      <c r="B2653" s="30">
        <v>202101181159</v>
      </c>
      <c r="C2653" t="s">
        <v>6187</v>
      </c>
      <c r="D2653" t="s">
        <v>6188</v>
      </c>
      <c r="E2653" t="s">
        <v>6189</v>
      </c>
      <c r="F2653" t="s">
        <v>61</v>
      </c>
      <c r="G2653" s="27" t="str">
        <f t="shared" si="82"/>
        <v>30314 MESA VALLEY DR  SPRING</v>
      </c>
      <c r="H2653" s="27" t="str">
        <f t="shared" si="83"/>
        <v>HOUSTON TX 33786</v>
      </c>
    </row>
    <row r="2654" spans="1:8" x14ac:dyDescent="0.2">
      <c r="A2654" s="27">
        <f>COUNTIFS(C:C,C2654,D:D,D2654)</f>
        <v>1</v>
      </c>
      <c r="B2654" s="30">
        <v>202101181166</v>
      </c>
      <c r="C2654" t="s">
        <v>6190</v>
      </c>
      <c r="D2654" t="s">
        <v>6191</v>
      </c>
      <c r="E2654" t="s">
        <v>4877</v>
      </c>
      <c r="F2654" t="s">
        <v>88</v>
      </c>
      <c r="G2654" s="27" t="str">
        <f t="shared" si="82"/>
        <v>1802 HILTON HEAD  MISSOURI C</v>
      </c>
      <c r="H2654" s="27" t="str">
        <f t="shared" si="83"/>
        <v>HOUSTON TX 77459</v>
      </c>
    </row>
    <row r="2655" spans="1:8" x14ac:dyDescent="0.2">
      <c r="A2655" s="27">
        <f>COUNTIFS(C:C,C2655,D:D,D2655)</f>
        <v>1</v>
      </c>
      <c r="B2655" s="30">
        <v>202101181171</v>
      </c>
      <c r="C2655" t="s">
        <v>6192</v>
      </c>
      <c r="D2655" t="s">
        <v>6193</v>
      </c>
      <c r="E2655" t="s">
        <v>4987</v>
      </c>
      <c r="F2655" t="s">
        <v>88</v>
      </c>
      <c r="G2655" s="27" t="str">
        <f t="shared" si="82"/>
        <v>1323 WITTE RD  HOUSTON</v>
      </c>
      <c r="H2655" s="27" t="str">
        <f t="shared" si="83"/>
        <v>HOUSTON TX 77055</v>
      </c>
    </row>
    <row r="2656" spans="1:8" x14ac:dyDescent="0.2">
      <c r="A2656" s="27">
        <f>COUNTIFS(C:C,C2656,D:D,D2656)</f>
        <v>1</v>
      </c>
      <c r="B2656" s="30">
        <v>202101181172</v>
      </c>
      <c r="C2656" t="s">
        <v>6194</v>
      </c>
      <c r="D2656" t="s">
        <v>7610</v>
      </c>
      <c r="E2656" t="s">
        <v>5132</v>
      </c>
      <c r="F2656" t="s">
        <v>88</v>
      </c>
      <c r="G2656" s="27" t="str">
        <f t="shared" si="82"/>
        <v>800 W NASA PKW HOUSTON</v>
      </c>
      <c r="H2656" s="27" t="str">
        <f t="shared" si="83"/>
        <v>HOUSTON TX 77598</v>
      </c>
    </row>
    <row r="2657" spans="1:8" x14ac:dyDescent="0.2">
      <c r="A2657" s="27">
        <f>COUNTIFS(C:C,C2657,D:D,D2657)</f>
        <v>1</v>
      </c>
      <c r="B2657" s="30">
        <v>202101181182</v>
      </c>
      <c r="C2657" t="s">
        <v>6195</v>
      </c>
      <c r="D2657" t="s">
        <v>6196</v>
      </c>
      <c r="E2657" t="s">
        <v>4859</v>
      </c>
      <c r="F2657" t="s">
        <v>88</v>
      </c>
      <c r="G2657" s="27" t="str">
        <f t="shared" si="82"/>
        <v>1438 L LOCHSTONE DRIVE  HOUSTON</v>
      </c>
      <c r="H2657" s="27" t="str">
        <f t="shared" si="83"/>
        <v>HOUSTON TX 77073</v>
      </c>
    </row>
    <row r="2658" spans="1:8" x14ac:dyDescent="0.2">
      <c r="A2658" s="27">
        <f>COUNTIFS(C:C,C2658,D:D,D2658)</f>
        <v>1</v>
      </c>
      <c r="B2658" s="30">
        <v>202101181183</v>
      </c>
      <c r="C2658" t="s">
        <v>6197</v>
      </c>
      <c r="D2658" t="s">
        <v>6198</v>
      </c>
      <c r="E2658" t="s">
        <v>5014</v>
      </c>
      <c r="F2658" t="s">
        <v>88</v>
      </c>
      <c r="G2658" s="27" t="str">
        <f t="shared" si="82"/>
        <v>625 N 11TH ST  LA PORTE</v>
      </c>
      <c r="H2658" s="27" t="str">
        <f t="shared" si="83"/>
        <v>HOUSTON TX 77571</v>
      </c>
    </row>
    <row r="2659" spans="1:8" x14ac:dyDescent="0.2">
      <c r="A2659" s="27">
        <f>COUNTIFS(C:C,C2659,D:D,D2659)</f>
        <v>1</v>
      </c>
      <c r="B2659" s="30">
        <v>202101181185</v>
      </c>
      <c r="C2659" t="s">
        <v>6199</v>
      </c>
      <c r="D2659" t="s">
        <v>6200</v>
      </c>
      <c r="E2659" t="s">
        <v>4977</v>
      </c>
      <c r="F2659" t="s">
        <v>88</v>
      </c>
      <c r="G2659" s="27" t="str">
        <f t="shared" si="82"/>
        <v>6370 WINDSWEPT LN 5  HOUSTON</v>
      </c>
      <c r="H2659" s="27" t="str">
        <f t="shared" si="83"/>
        <v>HOUSTON TX 77057</v>
      </c>
    </row>
    <row r="2660" spans="1:8" x14ac:dyDescent="0.2">
      <c r="A2660" s="27">
        <f>COUNTIFS(C:C,C2660,D:D,D2660)</f>
        <v>1</v>
      </c>
      <c r="B2660" s="30">
        <v>202101181189</v>
      </c>
      <c r="C2660" t="s">
        <v>6201</v>
      </c>
      <c r="D2660" t="s">
        <v>5529</v>
      </c>
      <c r="E2660" t="s">
        <v>4978</v>
      </c>
      <c r="F2660" t="s">
        <v>328</v>
      </c>
      <c r="G2660" s="27" t="str">
        <f t="shared" si="82"/>
        <v>13226 CHIMNEY SWEEP D R HOUSTON</v>
      </c>
      <c r="H2660" s="27" t="str">
        <f t="shared" si="83"/>
        <v>HOUSTON TX 77041</v>
      </c>
    </row>
    <row r="2661" spans="1:8" x14ac:dyDescent="0.2">
      <c r="A2661" s="27">
        <f>COUNTIFS(C:C,C2661,D:D,D2661)</f>
        <v>1</v>
      </c>
      <c r="B2661" s="30">
        <v>202101181192</v>
      </c>
      <c r="C2661" t="s">
        <v>6202</v>
      </c>
      <c r="D2661" t="s">
        <v>6203</v>
      </c>
      <c r="E2661" t="s">
        <v>4973</v>
      </c>
      <c r="F2661" t="s">
        <v>88</v>
      </c>
      <c r="G2661" s="27" t="str">
        <f t="shared" si="82"/>
        <v>7298 KINGS GATE CIR APT 135 HOUSTON</v>
      </c>
      <c r="H2661" s="27" t="str">
        <f t="shared" si="83"/>
        <v>HOUSTON TX 77074</v>
      </c>
    </row>
    <row r="2662" spans="1:8" x14ac:dyDescent="0.2">
      <c r="A2662" s="27">
        <f>COUNTIFS(C:C,C2662,D:D,D2662)</f>
        <v>1</v>
      </c>
      <c r="B2662" s="30">
        <v>202101181219</v>
      </c>
      <c r="C2662" t="s">
        <v>6204</v>
      </c>
      <c r="D2662" t="s">
        <v>6205</v>
      </c>
      <c r="E2662" t="s">
        <v>4954</v>
      </c>
      <c r="F2662" t="s">
        <v>88</v>
      </c>
      <c r="G2662" s="27" t="str">
        <f t="shared" si="82"/>
        <v>2526 BUSINESS CENTER DR PEARLAND</v>
      </c>
      <c r="H2662" s="27" t="str">
        <f t="shared" si="83"/>
        <v>HOUSTON TX 77584</v>
      </c>
    </row>
    <row r="2663" spans="1:8" x14ac:dyDescent="0.2">
      <c r="A2663" s="27">
        <f>COUNTIFS(C:C,C2663,D:D,D2663)</f>
        <v>1</v>
      </c>
      <c r="B2663" s="30">
        <v>202101181231</v>
      </c>
      <c r="C2663" t="s">
        <v>6206</v>
      </c>
      <c r="D2663" t="s">
        <v>6207</v>
      </c>
      <c r="E2663" t="s">
        <v>4893</v>
      </c>
      <c r="F2663" t="s">
        <v>88</v>
      </c>
      <c r="G2663" s="27" t="str">
        <f t="shared" si="82"/>
        <v>5202 WILLOMINE WAY  HOUSTON</v>
      </c>
      <c r="H2663" s="27" t="str">
        <f t="shared" si="83"/>
        <v>HOUSTON TX 77045</v>
      </c>
    </row>
    <row r="2664" spans="1:8" x14ac:dyDescent="0.2">
      <c r="A2664" s="27">
        <f>COUNTIFS(C:C,C2664,D:D,D2664)</f>
        <v>1</v>
      </c>
      <c r="B2664" s="30">
        <v>202101181281</v>
      </c>
      <c r="C2664" t="s">
        <v>6208</v>
      </c>
      <c r="D2664" t="s">
        <v>3194</v>
      </c>
      <c r="E2664" t="s">
        <v>4960</v>
      </c>
      <c r="F2664" t="s">
        <v>88</v>
      </c>
      <c r="G2664" s="27" t="str">
        <f t="shared" si="82"/>
        <v>17435 IMPERIAL VALLEY DR HOUSTON</v>
      </c>
      <c r="H2664" s="27" t="str">
        <f t="shared" si="83"/>
        <v>HOUSTON TX 77060</v>
      </c>
    </row>
    <row r="2665" spans="1:8" x14ac:dyDescent="0.2">
      <c r="A2665" s="27">
        <f>COUNTIFS(C:C,C2665,D:D,D2665)</f>
        <v>1</v>
      </c>
      <c r="B2665" s="30">
        <v>202101181302</v>
      </c>
      <c r="C2665" t="s">
        <v>6209</v>
      </c>
      <c r="D2665" t="s">
        <v>6210</v>
      </c>
      <c r="E2665" t="s">
        <v>4956</v>
      </c>
      <c r="F2665" t="s">
        <v>88</v>
      </c>
      <c r="G2665" s="27" t="str">
        <f t="shared" si="82"/>
        <v>20326 ACAPULCO COVE  HUMBLE</v>
      </c>
      <c r="H2665" s="27" t="str">
        <f t="shared" si="83"/>
        <v>HOUSTON TX 77346</v>
      </c>
    </row>
    <row r="2666" spans="1:8" x14ac:dyDescent="0.2">
      <c r="A2666" s="27">
        <f>COUNTIFS(C:C,C2666,D:D,D2666)</f>
        <v>1</v>
      </c>
      <c r="B2666" s="30">
        <v>202101181303</v>
      </c>
      <c r="C2666" t="s">
        <v>6211</v>
      </c>
      <c r="D2666" t="s">
        <v>6212</v>
      </c>
      <c r="E2666" t="s">
        <v>4969</v>
      </c>
      <c r="F2666" t="s">
        <v>88</v>
      </c>
      <c r="G2666" s="27" t="str">
        <f t="shared" ref="G2666:G2729" si="84">D2666&amp;" "&amp;MID(E2666,1,FIND(" TX",E2666)-1)</f>
        <v>25739 HAVEN LAKE DR  TOMBALL</v>
      </c>
      <c r="H2666" s="27" t="str">
        <f t="shared" ref="H2666:H2729" si="85">"HOUSTON "&amp;MID(E2666,FIND("TX",E2666),8)</f>
        <v>HOUSTON TX 77375</v>
      </c>
    </row>
    <row r="2667" spans="1:8" x14ac:dyDescent="0.2">
      <c r="A2667" s="27">
        <f>COUNTIFS(C:C,C2667,D:D,D2667)</f>
        <v>1</v>
      </c>
      <c r="B2667" s="30">
        <v>202101181308</v>
      </c>
      <c r="C2667" t="s">
        <v>5897</v>
      </c>
      <c r="D2667" t="s">
        <v>5898</v>
      </c>
      <c r="E2667" t="s">
        <v>4873</v>
      </c>
      <c r="F2667" t="s">
        <v>328</v>
      </c>
      <c r="G2667" s="27" t="str">
        <f t="shared" si="84"/>
        <v>8402 C.E. KING PARKW AY HOUSTON</v>
      </c>
      <c r="H2667" s="27" t="str">
        <f t="shared" si="85"/>
        <v>HOUSTON TX 77044</v>
      </c>
    </row>
    <row r="2668" spans="1:8" x14ac:dyDescent="0.2">
      <c r="A2668" s="27">
        <f>COUNTIFS(C:C,C2668,D:D,D2668)</f>
        <v>1</v>
      </c>
      <c r="B2668" s="30">
        <v>202101181311</v>
      </c>
      <c r="C2668" t="s">
        <v>6213</v>
      </c>
      <c r="D2668" t="s">
        <v>6214</v>
      </c>
      <c r="E2668" t="s">
        <v>4956</v>
      </c>
      <c r="F2668" t="s">
        <v>88</v>
      </c>
      <c r="G2668" s="27" t="str">
        <f t="shared" si="84"/>
        <v>16719 WEST GREATER BL UE CIR HUMBLE</v>
      </c>
      <c r="H2668" s="27" t="str">
        <f t="shared" si="85"/>
        <v>HOUSTON TX 77346</v>
      </c>
    </row>
    <row r="2669" spans="1:8" x14ac:dyDescent="0.2">
      <c r="A2669" s="27">
        <f>COUNTIFS(C:C,C2669,D:D,D2669)</f>
        <v>1</v>
      </c>
      <c r="B2669" s="30">
        <v>202101181313</v>
      </c>
      <c r="C2669" t="s">
        <v>6215</v>
      </c>
      <c r="D2669" t="s">
        <v>6216</v>
      </c>
      <c r="E2669" t="s">
        <v>4893</v>
      </c>
      <c r="F2669" t="s">
        <v>88</v>
      </c>
      <c r="G2669" s="27" t="str">
        <f t="shared" si="84"/>
        <v>14539 ESSENDINE LN  HOUSTON</v>
      </c>
      <c r="H2669" s="27" t="str">
        <f t="shared" si="85"/>
        <v>HOUSTON TX 77045</v>
      </c>
    </row>
    <row r="2670" spans="1:8" x14ac:dyDescent="0.2">
      <c r="A2670" s="27">
        <f>COUNTIFS(C:C,C2670,D:D,D2670)</f>
        <v>1</v>
      </c>
      <c r="B2670" s="30">
        <v>202101181317</v>
      </c>
      <c r="C2670" t="s">
        <v>6217</v>
      </c>
      <c r="D2670" t="s">
        <v>6218</v>
      </c>
      <c r="E2670" t="s">
        <v>4917</v>
      </c>
      <c r="F2670" t="s">
        <v>88</v>
      </c>
      <c r="G2670" s="27" t="str">
        <f t="shared" si="84"/>
        <v>10200 W BELLFORT AVE 602 HOUSTON</v>
      </c>
      <c r="H2670" s="27" t="str">
        <f t="shared" si="85"/>
        <v>HOUSTON TX 77031</v>
      </c>
    </row>
    <row r="2671" spans="1:8" x14ac:dyDescent="0.2">
      <c r="A2671" s="27">
        <f>COUNTIFS(C:C,C2671,D:D,D2671)</f>
        <v>1</v>
      </c>
      <c r="B2671" s="30">
        <v>202101181326</v>
      </c>
      <c r="C2671" t="s">
        <v>6219</v>
      </c>
      <c r="D2671" t="s">
        <v>6220</v>
      </c>
      <c r="E2671" t="s">
        <v>4879</v>
      </c>
      <c r="F2671" t="s">
        <v>88</v>
      </c>
      <c r="G2671" s="27" t="str">
        <f t="shared" si="84"/>
        <v>8877 FRANKWAY DR APT 5553 HOUSTON</v>
      </c>
      <c r="H2671" s="27" t="str">
        <f t="shared" si="85"/>
        <v>HOUSTON TX 77091</v>
      </c>
    </row>
    <row r="2672" spans="1:8" x14ac:dyDescent="0.2">
      <c r="A2672" s="27">
        <f>COUNTIFS(C:C,C2672,D:D,D2672)</f>
        <v>1</v>
      </c>
      <c r="B2672" s="30">
        <v>202101181327</v>
      </c>
      <c r="C2672" t="s">
        <v>6221</v>
      </c>
      <c r="D2672" t="s">
        <v>6222</v>
      </c>
      <c r="E2672" t="s">
        <v>4905</v>
      </c>
      <c r="F2672" t="s">
        <v>88</v>
      </c>
      <c r="G2672" s="27" t="str">
        <f t="shared" si="84"/>
        <v>2921 DEDMAN ST  PASADENA</v>
      </c>
      <c r="H2672" s="27" t="str">
        <f t="shared" si="85"/>
        <v>HOUSTON TX 77503</v>
      </c>
    </row>
    <row r="2673" spans="1:8" x14ac:dyDescent="0.2">
      <c r="A2673" s="27">
        <f>COUNTIFS(C:C,C2673,D:D,D2673)</f>
        <v>1</v>
      </c>
      <c r="B2673" s="30">
        <v>202101181328</v>
      </c>
      <c r="C2673" t="s">
        <v>6223</v>
      </c>
      <c r="D2673" t="s">
        <v>6224</v>
      </c>
      <c r="E2673" t="s">
        <v>4914</v>
      </c>
      <c r="F2673" t="s">
        <v>88</v>
      </c>
      <c r="G2673" s="27" t="str">
        <f t="shared" si="84"/>
        <v>2310 CRESCENT PARK D R HOUSTON</v>
      </c>
      <c r="H2673" s="27" t="str">
        <f t="shared" si="85"/>
        <v>HOUSTON TX 77077</v>
      </c>
    </row>
    <row r="2674" spans="1:8" x14ac:dyDescent="0.2">
      <c r="A2674" s="27">
        <f>COUNTIFS(C:C,C2674,D:D,D2674)</f>
        <v>1</v>
      </c>
      <c r="B2674" s="30">
        <v>202101181329</v>
      </c>
      <c r="C2674" t="s">
        <v>6225</v>
      </c>
      <c r="D2674" t="s">
        <v>6226</v>
      </c>
      <c r="E2674" t="s">
        <v>4891</v>
      </c>
      <c r="F2674" t="s">
        <v>88</v>
      </c>
      <c r="G2674" s="27" t="str">
        <f t="shared" si="84"/>
        <v>5335 W GULF BANK RD  HOUSTON</v>
      </c>
      <c r="H2674" s="27" t="str">
        <f t="shared" si="85"/>
        <v>HOUSTON TX 77088</v>
      </c>
    </row>
    <row r="2675" spans="1:8" x14ac:dyDescent="0.2">
      <c r="A2675" s="27">
        <f>COUNTIFS(C:C,C2675,D:D,D2675)</f>
        <v>1</v>
      </c>
      <c r="B2675" s="30">
        <v>202101181331</v>
      </c>
      <c r="C2675" t="s">
        <v>6227</v>
      </c>
      <c r="D2675" t="s">
        <v>6228</v>
      </c>
      <c r="E2675" t="s">
        <v>4871</v>
      </c>
      <c r="F2675" t="s">
        <v>88</v>
      </c>
      <c r="G2675" s="27" t="str">
        <f t="shared" si="84"/>
        <v>834 ROYAL GEORGE LN  HOUSTON</v>
      </c>
      <c r="H2675" s="27" t="str">
        <f t="shared" si="85"/>
        <v>HOUSTON TX 77047</v>
      </c>
    </row>
    <row r="2676" spans="1:8" x14ac:dyDescent="0.2">
      <c r="A2676" s="27">
        <f>COUNTIFS(C:C,C2676,D:D,D2676)</f>
        <v>1</v>
      </c>
      <c r="B2676" s="30">
        <v>202101181338</v>
      </c>
      <c r="C2676" t="s">
        <v>6229</v>
      </c>
      <c r="D2676" t="s">
        <v>6230</v>
      </c>
      <c r="E2676" t="s">
        <v>4977</v>
      </c>
      <c r="F2676" t="s">
        <v>88</v>
      </c>
      <c r="G2676" s="27" t="str">
        <f t="shared" si="84"/>
        <v>6125 WINSOME LN  HOUSTON</v>
      </c>
      <c r="H2676" s="27" t="str">
        <f t="shared" si="85"/>
        <v>HOUSTON TX 77057</v>
      </c>
    </row>
    <row r="2677" spans="1:8" x14ac:dyDescent="0.2">
      <c r="A2677" s="27">
        <f>COUNTIFS(C:C,C2677,D:D,D2677)</f>
        <v>1</v>
      </c>
      <c r="B2677" s="30">
        <v>202101181340</v>
      </c>
      <c r="C2677" t="s">
        <v>6231</v>
      </c>
      <c r="D2677" t="s">
        <v>6232</v>
      </c>
      <c r="E2677" t="s">
        <v>5055</v>
      </c>
      <c r="F2677" t="s">
        <v>88</v>
      </c>
      <c r="G2677" s="27" t="str">
        <f t="shared" si="84"/>
        <v>19018 TAVERNS CORNER CT HARRIS CO</v>
      </c>
      <c r="H2677" s="27" t="str">
        <f t="shared" si="85"/>
        <v>HOUSTON TX 77084</v>
      </c>
    </row>
    <row r="2678" spans="1:8" x14ac:dyDescent="0.2">
      <c r="A2678" s="27">
        <f>COUNTIFS(C:C,C2678,D:D,D2678)</f>
        <v>1</v>
      </c>
      <c r="B2678" s="30">
        <v>202101181345</v>
      </c>
      <c r="C2678" t="s">
        <v>6233</v>
      </c>
      <c r="D2678" t="s">
        <v>6234</v>
      </c>
      <c r="E2678" t="s">
        <v>4872</v>
      </c>
      <c r="F2678" t="s">
        <v>88</v>
      </c>
      <c r="G2678" s="27" t="str">
        <f t="shared" si="84"/>
        <v>5610 HAIGHT  HOUSTON</v>
      </c>
      <c r="H2678" s="27" t="str">
        <f t="shared" si="85"/>
        <v>HOUSTON TX 77028</v>
      </c>
    </row>
    <row r="2679" spans="1:8" x14ac:dyDescent="0.2">
      <c r="A2679" s="27">
        <f>COUNTIFS(C:C,C2679,D:D,D2679)</f>
        <v>1</v>
      </c>
      <c r="B2679" s="30">
        <v>202101181350</v>
      </c>
      <c r="C2679" t="s">
        <v>6235</v>
      </c>
      <c r="D2679" t="s">
        <v>6236</v>
      </c>
      <c r="E2679" t="s">
        <v>4932</v>
      </c>
      <c r="F2679" t="s">
        <v>88</v>
      </c>
      <c r="G2679" s="27" t="str">
        <f t="shared" si="84"/>
        <v>4601 SHERWOOD LN APT 136 HOUSTON</v>
      </c>
      <c r="H2679" s="27" t="str">
        <f t="shared" si="85"/>
        <v>HOUSTON TX 77092</v>
      </c>
    </row>
    <row r="2680" spans="1:8" x14ac:dyDescent="0.2">
      <c r="A2680" s="27">
        <f>COUNTIFS(C:C,C2680,D:D,D2680)</f>
        <v>1</v>
      </c>
      <c r="B2680" s="30">
        <v>202101181357</v>
      </c>
      <c r="C2680" t="s">
        <v>6237</v>
      </c>
      <c r="D2680" t="s">
        <v>6238</v>
      </c>
      <c r="E2680" t="s">
        <v>4860</v>
      </c>
      <c r="F2680" t="s">
        <v>88</v>
      </c>
      <c r="G2680" s="27" t="str">
        <f t="shared" si="84"/>
        <v>93 YAUPON  BAYTOWN</v>
      </c>
      <c r="H2680" s="27" t="str">
        <f t="shared" si="85"/>
        <v>HOUSTON TX 77520</v>
      </c>
    </row>
    <row r="2681" spans="1:8" x14ac:dyDescent="0.2">
      <c r="A2681" s="27">
        <f>COUNTIFS(C:C,C2681,D:D,D2681)</f>
        <v>1</v>
      </c>
      <c r="B2681" s="30">
        <v>202101181358</v>
      </c>
      <c r="C2681" t="s">
        <v>6239</v>
      </c>
      <c r="D2681" t="s">
        <v>6240</v>
      </c>
      <c r="E2681" t="s">
        <v>4999</v>
      </c>
      <c r="F2681" t="s">
        <v>88</v>
      </c>
      <c r="G2681" s="27" t="str">
        <f t="shared" si="84"/>
        <v>5711 DUSTY HEATH CT  KATY</v>
      </c>
      <c r="H2681" s="27" t="str">
        <f t="shared" si="85"/>
        <v>HOUSTON TX 77450</v>
      </c>
    </row>
    <row r="2682" spans="1:8" x14ac:dyDescent="0.2">
      <c r="A2682" s="27">
        <f>COUNTIFS(C:C,C2682,D:D,D2682)</f>
        <v>1</v>
      </c>
      <c r="B2682" s="30">
        <v>202101181361</v>
      </c>
      <c r="C2682" t="s">
        <v>5809</v>
      </c>
      <c r="D2682" t="s">
        <v>5810</v>
      </c>
      <c r="E2682" t="s">
        <v>5023</v>
      </c>
      <c r="F2682" t="s">
        <v>288</v>
      </c>
      <c r="G2682" s="27" t="str">
        <f t="shared" si="84"/>
        <v>9221 PAGEWOOD LN  HOUSTON</v>
      </c>
      <c r="H2682" s="27" t="str">
        <f t="shared" si="85"/>
        <v>HOUSTON TX 77063</v>
      </c>
    </row>
    <row r="2683" spans="1:8" x14ac:dyDescent="0.2">
      <c r="A2683" s="27">
        <f>COUNTIFS(C:C,C2683,D:D,D2683)</f>
        <v>1</v>
      </c>
      <c r="B2683" s="30">
        <v>202101181369</v>
      </c>
      <c r="C2683" t="s">
        <v>6241</v>
      </c>
      <c r="D2683" t="s">
        <v>6242</v>
      </c>
      <c r="E2683" t="s">
        <v>6243</v>
      </c>
      <c r="F2683" t="s">
        <v>88</v>
      </c>
      <c r="G2683" s="27" t="str">
        <f t="shared" si="84"/>
        <v>326 WILLIAM MONTGOM ERY RD LIVINGSTON</v>
      </c>
      <c r="H2683" s="27" t="str">
        <f t="shared" si="85"/>
        <v>HOUSTON TX 77351</v>
      </c>
    </row>
    <row r="2684" spans="1:8" x14ac:dyDescent="0.2">
      <c r="A2684" s="27">
        <f>COUNTIFS(C:C,C2684,D:D,D2684)</f>
        <v>1</v>
      </c>
      <c r="B2684" s="30">
        <v>202101181374</v>
      </c>
      <c r="C2684" t="s">
        <v>5813</v>
      </c>
      <c r="D2684" t="s">
        <v>5814</v>
      </c>
      <c r="E2684" t="s">
        <v>5815</v>
      </c>
      <c r="F2684" t="s">
        <v>335</v>
      </c>
      <c r="G2684" s="27" t="str">
        <f t="shared" si="84"/>
        <v>15807 ECHO HILL DR  HOUSTON</v>
      </c>
      <c r="H2684" s="27" t="str">
        <f t="shared" si="85"/>
        <v>HOUSTON TX 77059</v>
      </c>
    </row>
    <row r="2685" spans="1:8" x14ac:dyDescent="0.2">
      <c r="A2685" s="27">
        <f>COUNTIFS(C:C,C2685,D:D,D2685)</f>
        <v>1</v>
      </c>
      <c r="B2685" s="30">
        <v>202101181376</v>
      </c>
      <c r="C2685" t="s">
        <v>6244</v>
      </c>
      <c r="D2685" t="s">
        <v>6245</v>
      </c>
      <c r="E2685" t="s">
        <v>5280</v>
      </c>
      <c r="F2685" t="s">
        <v>88</v>
      </c>
      <c r="G2685" s="27" t="str">
        <f t="shared" si="84"/>
        <v>8402 MEADOWSHIRE ST  HARRIS CO</v>
      </c>
      <c r="H2685" s="27" t="str">
        <f t="shared" si="85"/>
        <v>HOUSTON TX 77037</v>
      </c>
    </row>
    <row r="2686" spans="1:8" x14ac:dyDescent="0.2">
      <c r="A2686" s="27">
        <f>COUNTIFS(C:C,C2686,D:D,D2686)</f>
        <v>1</v>
      </c>
      <c r="B2686" s="30">
        <v>202101181385</v>
      </c>
      <c r="C2686" t="s">
        <v>6246</v>
      </c>
      <c r="D2686" t="s">
        <v>6247</v>
      </c>
      <c r="E2686" t="s">
        <v>4907</v>
      </c>
      <c r="F2686" t="s">
        <v>88</v>
      </c>
      <c r="G2686" s="27" t="str">
        <f t="shared" si="84"/>
        <v>1213 TRIMM AVE  PASADENA</v>
      </c>
      <c r="H2686" s="27" t="str">
        <f t="shared" si="85"/>
        <v>HOUSTON TX 77502</v>
      </c>
    </row>
    <row r="2687" spans="1:8" x14ac:dyDescent="0.2">
      <c r="A2687" s="27">
        <f>COUNTIFS(C:C,C2687,D:D,D2687)</f>
        <v>1</v>
      </c>
      <c r="B2687" s="30">
        <v>202101181400</v>
      </c>
      <c r="C2687" t="s">
        <v>6248</v>
      </c>
      <c r="D2687" t="s">
        <v>1568</v>
      </c>
      <c r="E2687" t="s">
        <v>4935</v>
      </c>
      <c r="F2687" t="s">
        <v>88</v>
      </c>
      <c r="G2687" s="27" t="str">
        <f t="shared" si="84"/>
        <v>2350 ATASCOCITA ROAD  HUMBLE</v>
      </c>
      <c r="H2687" s="27" t="str">
        <f t="shared" si="85"/>
        <v>HOUSTON TX 77396</v>
      </c>
    </row>
    <row r="2688" spans="1:8" x14ac:dyDescent="0.2">
      <c r="A2688" s="27">
        <f>COUNTIFS(C:C,C2688,D:D,D2688)</f>
        <v>1</v>
      </c>
      <c r="B2688" s="30">
        <v>202101181421</v>
      </c>
      <c r="C2688" t="s">
        <v>6249</v>
      </c>
      <c r="D2688" t="s">
        <v>6250</v>
      </c>
      <c r="E2688" t="s">
        <v>4853</v>
      </c>
      <c r="F2688" t="s">
        <v>75</v>
      </c>
      <c r="G2688" s="27" t="str">
        <f t="shared" si="84"/>
        <v>13907 GREEN TEAL LANE  HOUSTON</v>
      </c>
      <c r="H2688" s="27" t="str">
        <f t="shared" si="85"/>
        <v>HOUSTON TX 77039</v>
      </c>
    </row>
    <row r="2689" spans="1:8" x14ac:dyDescent="0.2">
      <c r="A2689" s="27">
        <f>COUNTIFS(C:C,C2689,D:D,D2689)</f>
        <v>1</v>
      </c>
      <c r="B2689" s="30">
        <v>202101181432</v>
      </c>
      <c r="C2689" t="s">
        <v>6251</v>
      </c>
      <c r="D2689" t="s">
        <v>6252</v>
      </c>
      <c r="E2689" t="s">
        <v>4920</v>
      </c>
      <c r="F2689" t="s">
        <v>88</v>
      </c>
      <c r="G2689" s="27" t="str">
        <f t="shared" si="84"/>
        <v>13511 LA CONCHA LN  HOUSTON</v>
      </c>
      <c r="H2689" s="27" t="str">
        <f t="shared" si="85"/>
        <v>HOUSTON TX 77083</v>
      </c>
    </row>
    <row r="2690" spans="1:8" x14ac:dyDescent="0.2">
      <c r="A2690" s="27">
        <f>COUNTIFS(C:C,C2690,D:D,D2690)</f>
        <v>1</v>
      </c>
      <c r="B2690" s="30">
        <v>202101181440</v>
      </c>
      <c r="C2690" t="s">
        <v>6253</v>
      </c>
      <c r="D2690" t="s">
        <v>6254</v>
      </c>
      <c r="E2690" t="s">
        <v>4908</v>
      </c>
      <c r="F2690" t="s">
        <v>88</v>
      </c>
      <c r="G2690" s="27" t="str">
        <f t="shared" si="84"/>
        <v>8919 TWEEDBROOK  SPRING</v>
      </c>
      <c r="H2690" s="27" t="str">
        <f t="shared" si="85"/>
        <v>HOUSTON TX 77379</v>
      </c>
    </row>
    <row r="2691" spans="1:8" x14ac:dyDescent="0.2">
      <c r="A2691" s="27">
        <f>COUNTIFS(C:C,C2691,D:D,D2691)</f>
        <v>1</v>
      </c>
      <c r="B2691" s="30">
        <v>202101181443</v>
      </c>
      <c r="C2691" t="s">
        <v>6255</v>
      </c>
      <c r="D2691" t="s">
        <v>6256</v>
      </c>
      <c r="E2691" t="s">
        <v>4891</v>
      </c>
      <c r="F2691" t="s">
        <v>88</v>
      </c>
      <c r="G2691" s="27" t="str">
        <f t="shared" si="84"/>
        <v>5300 W GULF BANK RD  HOUSTON</v>
      </c>
      <c r="H2691" s="27" t="str">
        <f t="shared" si="85"/>
        <v>HOUSTON TX 77088</v>
      </c>
    </row>
    <row r="2692" spans="1:8" x14ac:dyDescent="0.2">
      <c r="A2692" s="27">
        <f>COUNTIFS(C:C,C2692,D:D,D2692)</f>
        <v>1</v>
      </c>
      <c r="B2692" s="30">
        <v>202101181446</v>
      </c>
      <c r="C2692" t="s">
        <v>5848</v>
      </c>
      <c r="D2692" t="s">
        <v>5849</v>
      </c>
      <c r="E2692" t="s">
        <v>5850</v>
      </c>
      <c r="F2692" t="s">
        <v>335</v>
      </c>
      <c r="G2692" s="27" t="e">
        <f t="shared" si="84"/>
        <v>#VALUE!</v>
      </c>
      <c r="H2692" s="27" t="e">
        <f t="shared" si="85"/>
        <v>#VALUE!</v>
      </c>
    </row>
    <row r="2693" spans="1:8" x14ac:dyDescent="0.2">
      <c r="A2693" s="27">
        <f>COUNTIFS(C:C,C2693,D:D,D2693)</f>
        <v>1</v>
      </c>
      <c r="B2693" s="30">
        <v>202101181457</v>
      </c>
      <c r="C2693" t="s">
        <v>6257</v>
      </c>
      <c r="D2693" t="s">
        <v>6258</v>
      </c>
      <c r="E2693" t="s">
        <v>4937</v>
      </c>
      <c r="F2693" t="s">
        <v>88</v>
      </c>
      <c r="G2693" s="27" t="str">
        <f t="shared" si="84"/>
        <v>4102 DUVAL ST  HOUSTON</v>
      </c>
      <c r="H2693" s="27" t="str">
        <f t="shared" si="85"/>
        <v>HOUSTON TX 77087</v>
      </c>
    </row>
    <row r="2694" spans="1:8" x14ac:dyDescent="0.2">
      <c r="A2694" s="27">
        <f>COUNTIFS(C:C,C2694,D:D,D2694)</f>
        <v>1</v>
      </c>
      <c r="B2694" s="30">
        <v>202101181458</v>
      </c>
      <c r="C2694" t="s">
        <v>6259</v>
      </c>
      <c r="D2694" t="s">
        <v>6260</v>
      </c>
      <c r="E2694" t="s">
        <v>4863</v>
      </c>
      <c r="F2694" t="s">
        <v>88</v>
      </c>
      <c r="G2694" s="27" t="str">
        <f t="shared" si="84"/>
        <v>21711 W CHAMPAGNE CIR CLE TOMBALL</v>
      </c>
      <c r="H2694" s="27" t="str">
        <f t="shared" si="85"/>
        <v>HOUSTON TX 77377</v>
      </c>
    </row>
    <row r="2695" spans="1:8" x14ac:dyDescent="0.2">
      <c r="A2695" s="27">
        <f>COUNTIFS(C:C,C2695,D:D,D2695)</f>
        <v>1</v>
      </c>
      <c r="B2695" s="30">
        <v>202101181459</v>
      </c>
      <c r="C2695" t="s">
        <v>6261</v>
      </c>
      <c r="D2695" t="s">
        <v>6262</v>
      </c>
      <c r="E2695" t="s">
        <v>4862</v>
      </c>
      <c r="F2695" t="s">
        <v>88</v>
      </c>
      <c r="G2695" s="27" t="str">
        <f t="shared" si="84"/>
        <v>12410 SILVERFIELD LN  HOUSTON</v>
      </c>
      <c r="H2695" s="27" t="str">
        <f t="shared" si="85"/>
        <v>HOUSTON TX 77090</v>
      </c>
    </row>
    <row r="2696" spans="1:8" x14ac:dyDescent="0.2">
      <c r="A2696" s="27">
        <f>COUNTIFS(C:C,C2696,D:D,D2696)</f>
        <v>1</v>
      </c>
      <c r="B2696" s="30">
        <v>202101181461</v>
      </c>
      <c r="C2696" t="s">
        <v>6263</v>
      </c>
      <c r="D2696" t="s">
        <v>6264</v>
      </c>
      <c r="E2696" t="s">
        <v>7607</v>
      </c>
      <c r="F2696" t="s">
        <v>88</v>
      </c>
      <c r="G2696" s="27" t="str">
        <f t="shared" si="84"/>
        <v>3800 COUNTY RD 94  HOUSTON</v>
      </c>
      <c r="H2696" s="27" t="str">
        <f t="shared" si="85"/>
        <v>HOUSTON TX</v>
      </c>
    </row>
    <row r="2697" spans="1:8" x14ac:dyDescent="0.2">
      <c r="A2697" s="27">
        <f>COUNTIFS(C:C,C2697,D:D,D2697)</f>
        <v>1</v>
      </c>
      <c r="B2697" s="30">
        <v>202101181462</v>
      </c>
      <c r="C2697" t="s">
        <v>6265</v>
      </c>
      <c r="D2697" t="s">
        <v>6266</v>
      </c>
      <c r="E2697" t="s">
        <v>5009</v>
      </c>
      <c r="F2697" t="s">
        <v>88</v>
      </c>
      <c r="G2697" s="27" t="str">
        <f t="shared" si="84"/>
        <v>4106 E NASA PKWY  SEABROOK</v>
      </c>
      <c r="H2697" s="27" t="str">
        <f t="shared" si="85"/>
        <v>HOUSTON TX 77586</v>
      </c>
    </row>
    <row r="2698" spans="1:8" x14ac:dyDescent="0.2">
      <c r="A2698" s="27">
        <f>COUNTIFS(C:C,C2698,D:D,D2698)</f>
        <v>1</v>
      </c>
      <c r="B2698" s="30">
        <v>202101181465</v>
      </c>
      <c r="C2698" t="s">
        <v>6267</v>
      </c>
      <c r="D2698" t="s">
        <v>6268</v>
      </c>
      <c r="E2698" t="s">
        <v>4898</v>
      </c>
      <c r="F2698" t="s">
        <v>88</v>
      </c>
      <c r="G2698" s="27" t="str">
        <f t="shared" si="84"/>
        <v>10810 MALDEN DR  HOUSTON</v>
      </c>
      <c r="H2698" s="27" t="str">
        <f t="shared" si="85"/>
        <v>HOUSTON TX 77075</v>
      </c>
    </row>
    <row r="2699" spans="1:8" x14ac:dyDescent="0.2">
      <c r="A2699" s="27">
        <f>COUNTIFS(C:C,C2699,D:D,D2699)</f>
        <v>1</v>
      </c>
      <c r="B2699" s="30">
        <v>202101181468</v>
      </c>
      <c r="C2699" t="s">
        <v>6269</v>
      </c>
      <c r="D2699" t="s">
        <v>6270</v>
      </c>
      <c r="E2699" t="s">
        <v>6271</v>
      </c>
      <c r="F2699" t="s">
        <v>88</v>
      </c>
      <c r="G2699" s="27" t="str">
        <f t="shared" si="84"/>
        <v>823 ULRICH RD  TOMBALL</v>
      </c>
      <c r="H2699" s="27" t="str">
        <f t="shared" si="85"/>
        <v>HOUSTON TX 7775</v>
      </c>
    </row>
    <row r="2700" spans="1:8" x14ac:dyDescent="0.2">
      <c r="A2700" s="27">
        <f>COUNTIFS(C:C,C2700,D:D,D2700)</f>
        <v>1</v>
      </c>
      <c r="B2700" s="30">
        <v>202101181469</v>
      </c>
      <c r="C2700" t="s">
        <v>6272</v>
      </c>
      <c r="D2700" t="s">
        <v>6273</v>
      </c>
      <c r="E2700" t="s">
        <v>5178</v>
      </c>
      <c r="F2700" t="s">
        <v>88</v>
      </c>
      <c r="G2700" s="27" t="str">
        <f t="shared" si="84"/>
        <v>21510 BINFORD CIR.  WALLER</v>
      </c>
      <c r="H2700" s="27" t="str">
        <f t="shared" si="85"/>
        <v>HOUSTON TX 77484</v>
      </c>
    </row>
    <row r="2701" spans="1:8" x14ac:dyDescent="0.2">
      <c r="A2701" s="27">
        <f>COUNTIFS(C:C,C2701,D:D,D2701)</f>
        <v>1</v>
      </c>
      <c r="B2701" s="30">
        <v>202101181476</v>
      </c>
      <c r="C2701" t="s">
        <v>6274</v>
      </c>
      <c r="D2701" t="s">
        <v>6275</v>
      </c>
      <c r="E2701" t="s">
        <v>4889</v>
      </c>
      <c r="F2701" t="s">
        <v>88</v>
      </c>
      <c r="G2701" s="27" t="str">
        <f t="shared" si="84"/>
        <v>2706 LOWER VALLEY DR IVE HOUSTON</v>
      </c>
      <c r="H2701" s="27" t="str">
        <f t="shared" si="85"/>
        <v>HOUSTON TX 77067</v>
      </c>
    </row>
    <row r="2702" spans="1:8" x14ac:dyDescent="0.2">
      <c r="A2702" s="27">
        <f>COUNTIFS(C:C,C2702,D:D,D2702)</f>
        <v>1</v>
      </c>
      <c r="B2702" s="30">
        <v>202101181482</v>
      </c>
      <c r="C2702" t="s">
        <v>6276</v>
      </c>
      <c r="D2702" t="s">
        <v>6277</v>
      </c>
      <c r="E2702" t="s">
        <v>4981</v>
      </c>
      <c r="F2702" t="s">
        <v>88</v>
      </c>
      <c r="G2702" s="27" t="str">
        <f t="shared" si="84"/>
        <v>634 GLOBE ST  HOUSTON</v>
      </c>
      <c r="H2702" s="27" t="str">
        <f t="shared" si="85"/>
        <v>HOUSTON TX 77034</v>
      </c>
    </row>
    <row r="2703" spans="1:8" x14ac:dyDescent="0.2">
      <c r="A2703" s="27">
        <f>COUNTIFS(C:C,C2703,D:D,D2703)</f>
        <v>1</v>
      </c>
      <c r="B2703" s="30">
        <v>202101181483</v>
      </c>
      <c r="C2703" t="s">
        <v>6278</v>
      </c>
      <c r="D2703" t="s">
        <v>6279</v>
      </c>
      <c r="E2703" t="s">
        <v>6280</v>
      </c>
      <c r="F2703" t="s">
        <v>88</v>
      </c>
      <c r="G2703" s="27" t="str">
        <f t="shared" si="84"/>
        <v>6817 SUNDERLAND TRL  AUSTIN</v>
      </c>
      <c r="H2703" s="27" t="str">
        <f t="shared" si="85"/>
        <v>HOUSTON TX 78747</v>
      </c>
    </row>
    <row r="2704" spans="1:8" x14ac:dyDescent="0.2">
      <c r="A2704" s="27">
        <f>COUNTIFS(C:C,C2704,D:D,D2704)</f>
        <v>1</v>
      </c>
      <c r="B2704" s="30">
        <v>202101181491</v>
      </c>
      <c r="C2704" t="s">
        <v>5444</v>
      </c>
      <c r="D2704" t="s">
        <v>5445</v>
      </c>
      <c r="E2704" t="s">
        <v>4876</v>
      </c>
      <c r="F2704" t="s">
        <v>346</v>
      </c>
      <c r="G2704" s="27" t="str">
        <f t="shared" si="84"/>
        <v>818 MANOR ST  HOUSTON</v>
      </c>
      <c r="H2704" s="27" t="str">
        <f t="shared" si="85"/>
        <v>HOUSTON TX 77015</v>
      </c>
    </row>
    <row r="2705" spans="1:8" x14ac:dyDescent="0.2">
      <c r="A2705" s="27">
        <f>COUNTIFS(C:C,C2705,D:D,D2705)</f>
        <v>1</v>
      </c>
      <c r="B2705" s="30">
        <v>202101181511</v>
      </c>
      <c r="C2705" t="s">
        <v>6281</v>
      </c>
      <c r="D2705" t="s">
        <v>6282</v>
      </c>
      <c r="E2705" t="s">
        <v>4856</v>
      </c>
      <c r="F2705" t="s">
        <v>6283</v>
      </c>
      <c r="G2705" s="27" t="str">
        <f t="shared" si="84"/>
        <v>5107 MICHAEL DR  HOUSTON</v>
      </c>
      <c r="H2705" s="27" t="str">
        <f t="shared" si="85"/>
        <v>HOUSTON TX 77017</v>
      </c>
    </row>
    <row r="2706" spans="1:8" x14ac:dyDescent="0.2">
      <c r="A2706" s="27">
        <f>COUNTIFS(C:C,C2706,D:D,D2706)</f>
        <v>1</v>
      </c>
      <c r="B2706" s="30">
        <v>202101181516</v>
      </c>
      <c r="C2706" t="s">
        <v>5878</v>
      </c>
      <c r="D2706" t="s">
        <v>5879</v>
      </c>
      <c r="E2706" t="s">
        <v>4956</v>
      </c>
      <c r="F2706" t="s">
        <v>328</v>
      </c>
      <c r="G2706" s="27" t="str">
        <f t="shared" si="84"/>
        <v>12242 ELM ORCHARD TRL  HUMBLE</v>
      </c>
      <c r="H2706" s="27" t="str">
        <f t="shared" si="85"/>
        <v>HOUSTON TX 77346</v>
      </c>
    </row>
    <row r="2707" spans="1:8" x14ac:dyDescent="0.2">
      <c r="A2707" s="27">
        <f>COUNTIFS(C:C,C2707,D:D,D2707)</f>
        <v>1</v>
      </c>
      <c r="B2707" s="30">
        <v>202101181519</v>
      </c>
      <c r="C2707" t="s">
        <v>6284</v>
      </c>
      <c r="D2707" t="s">
        <v>6285</v>
      </c>
      <c r="E2707" t="s">
        <v>4982</v>
      </c>
      <c r="F2707" t="s">
        <v>88</v>
      </c>
      <c r="G2707" s="27" t="str">
        <f t="shared" si="84"/>
        <v>812018 CHELSEA ELM CLT  HOUSTON</v>
      </c>
      <c r="H2707" s="27" t="str">
        <f t="shared" si="85"/>
        <v>HOUSTON TX 77038</v>
      </c>
    </row>
    <row r="2708" spans="1:8" x14ac:dyDescent="0.2">
      <c r="A2708" s="27">
        <f>COUNTIFS(C:C,C2708,D:D,D2708)</f>
        <v>1</v>
      </c>
      <c r="B2708" s="30">
        <v>202101181541</v>
      </c>
      <c r="C2708" t="s">
        <v>6286</v>
      </c>
      <c r="D2708" t="s">
        <v>6287</v>
      </c>
      <c r="E2708" t="s">
        <v>4973</v>
      </c>
      <c r="F2708" t="s">
        <v>88</v>
      </c>
      <c r="G2708" s="27" t="str">
        <f t="shared" si="84"/>
        <v>6802 NEFF ST  HOUSTON</v>
      </c>
      <c r="H2708" s="27" t="str">
        <f t="shared" si="85"/>
        <v>HOUSTON TX 77074</v>
      </c>
    </row>
    <row r="2709" spans="1:8" x14ac:dyDescent="0.2">
      <c r="A2709" s="27">
        <f>COUNTIFS(C:C,C2709,D:D,D2709)</f>
        <v>1</v>
      </c>
      <c r="B2709" s="30">
        <v>202101181578</v>
      </c>
      <c r="C2709" t="s">
        <v>6288</v>
      </c>
      <c r="D2709" t="s">
        <v>6289</v>
      </c>
      <c r="E2709" t="s">
        <v>4986</v>
      </c>
      <c r="F2709" t="s">
        <v>88</v>
      </c>
      <c r="G2709" s="27" t="str">
        <f t="shared" si="84"/>
        <v>20003 SWEET MAGNOLIA PLACE HUMBLE</v>
      </c>
      <c r="H2709" s="27" t="str">
        <f t="shared" si="85"/>
        <v>HOUSTON TX 77338</v>
      </c>
    </row>
    <row r="2710" spans="1:8" x14ac:dyDescent="0.2">
      <c r="A2710" s="27">
        <f>COUNTIFS(C:C,C2710,D:D,D2710)</f>
        <v>1</v>
      </c>
      <c r="B2710" s="30">
        <v>202101181589</v>
      </c>
      <c r="C2710" t="s">
        <v>6290</v>
      </c>
      <c r="D2710" t="s">
        <v>6291</v>
      </c>
      <c r="E2710" t="s">
        <v>4950</v>
      </c>
      <c r="F2710" t="s">
        <v>88</v>
      </c>
      <c r="G2710" s="27" t="str">
        <f t="shared" si="84"/>
        <v>602 E 42ND  HOUSTON</v>
      </c>
      <c r="H2710" s="27" t="str">
        <f t="shared" si="85"/>
        <v>HOUSTON TX 77022</v>
      </c>
    </row>
    <row r="2711" spans="1:8" x14ac:dyDescent="0.2">
      <c r="A2711" s="27">
        <f>COUNTIFS(C:C,C2711,D:D,D2711)</f>
        <v>1</v>
      </c>
      <c r="B2711" s="30">
        <v>202101181598</v>
      </c>
      <c r="C2711" t="s">
        <v>6292</v>
      </c>
      <c r="D2711" t="s">
        <v>6293</v>
      </c>
      <c r="E2711" t="s">
        <v>5170</v>
      </c>
      <c r="F2711" t="s">
        <v>88</v>
      </c>
      <c r="G2711" s="27" t="str">
        <f t="shared" si="84"/>
        <v>16113 JERSEY DR  JERSEY VIL</v>
      </c>
      <c r="H2711" s="27" t="str">
        <f t="shared" si="85"/>
        <v>HOUSTON TX 77040</v>
      </c>
    </row>
    <row r="2712" spans="1:8" x14ac:dyDescent="0.2">
      <c r="A2712" s="27">
        <f>COUNTIFS(C:C,C2712,D:D,D2712)</f>
        <v>1</v>
      </c>
      <c r="B2712" s="30">
        <v>202101181605</v>
      </c>
      <c r="C2712" t="s">
        <v>6294</v>
      </c>
      <c r="D2712" t="s">
        <v>6295</v>
      </c>
      <c r="E2712" t="s">
        <v>5025</v>
      </c>
      <c r="F2712" t="s">
        <v>88</v>
      </c>
      <c r="G2712" s="27" t="str">
        <f t="shared" si="84"/>
        <v>5615 DELFREN LANE  KATY</v>
      </c>
      <c r="H2712" s="27" t="str">
        <f t="shared" si="85"/>
        <v>HOUSTON TX 77493</v>
      </c>
    </row>
    <row r="2713" spans="1:8" x14ac:dyDescent="0.2">
      <c r="A2713" s="27">
        <f>COUNTIFS(C:C,C2713,D:D,D2713)</f>
        <v>1</v>
      </c>
      <c r="B2713" s="30">
        <v>202101181606</v>
      </c>
      <c r="C2713" t="s">
        <v>6296</v>
      </c>
      <c r="D2713" t="s">
        <v>6297</v>
      </c>
      <c r="E2713" t="s">
        <v>4999</v>
      </c>
      <c r="F2713" t="s">
        <v>88</v>
      </c>
      <c r="G2713" s="27" t="str">
        <f t="shared" si="84"/>
        <v>1511 PARK BURCH  KATY</v>
      </c>
      <c r="H2713" s="27" t="str">
        <f t="shared" si="85"/>
        <v>HOUSTON TX 77450</v>
      </c>
    </row>
    <row r="2714" spans="1:8" x14ac:dyDescent="0.2">
      <c r="A2714" s="27">
        <f>COUNTIFS(C:C,C2714,D:D,D2714)</f>
        <v>1</v>
      </c>
      <c r="B2714" s="30">
        <v>202101181607</v>
      </c>
      <c r="C2714" t="s">
        <v>6298</v>
      </c>
      <c r="D2714" t="s">
        <v>6299</v>
      </c>
      <c r="E2714" t="s">
        <v>6300</v>
      </c>
      <c r="F2714" t="s">
        <v>88</v>
      </c>
      <c r="G2714" s="27" t="str">
        <f t="shared" si="84"/>
        <v>19118 YAUPON MIST DR  HOUSTON</v>
      </c>
      <c r="H2714" s="27" t="str">
        <f t="shared" si="85"/>
        <v>HOUSTON TX 77433</v>
      </c>
    </row>
    <row r="2715" spans="1:8" x14ac:dyDescent="0.2">
      <c r="A2715" s="27">
        <f>COUNTIFS(C:C,C2715,D:D,D2715)</f>
        <v>1</v>
      </c>
      <c r="B2715" s="30">
        <v>202101181623</v>
      </c>
      <c r="C2715" t="s">
        <v>6301</v>
      </c>
      <c r="D2715" t="s">
        <v>6302</v>
      </c>
      <c r="E2715" t="s">
        <v>5025</v>
      </c>
      <c r="F2715" t="s">
        <v>359</v>
      </c>
      <c r="G2715" s="27" t="str">
        <f t="shared" si="84"/>
        <v>23726 PIEDMONT FOREST DR KATY</v>
      </c>
      <c r="H2715" s="27" t="str">
        <f t="shared" si="85"/>
        <v>HOUSTON TX 77493</v>
      </c>
    </row>
    <row r="2716" spans="1:8" x14ac:dyDescent="0.2">
      <c r="A2716" s="27">
        <f>COUNTIFS(C:C,C2716,D:D,D2716)</f>
        <v>1</v>
      </c>
      <c r="B2716" s="30">
        <v>202101181624</v>
      </c>
      <c r="C2716" t="s">
        <v>6303</v>
      </c>
      <c r="D2716" t="s">
        <v>6304</v>
      </c>
      <c r="E2716" t="s">
        <v>4867</v>
      </c>
      <c r="F2716" t="s">
        <v>51</v>
      </c>
      <c r="G2716" s="27" t="str">
        <f t="shared" si="84"/>
        <v>1545 MUNGER ST  HOUSTON</v>
      </c>
      <c r="H2716" s="27" t="str">
        <f t="shared" si="85"/>
        <v>HOUSTON TX 77023</v>
      </c>
    </row>
    <row r="2717" spans="1:8" x14ac:dyDescent="0.2">
      <c r="A2717" s="27">
        <f>COUNTIFS(C:C,C2717,D:D,D2717)</f>
        <v>1</v>
      </c>
      <c r="B2717" s="30">
        <v>202101181636</v>
      </c>
      <c r="C2717" t="s">
        <v>6305</v>
      </c>
      <c r="D2717" t="s">
        <v>6306</v>
      </c>
      <c r="E2717" t="s">
        <v>4939</v>
      </c>
      <c r="F2717" t="s">
        <v>6307</v>
      </c>
      <c r="G2717" s="27" t="str">
        <f t="shared" si="84"/>
        <v>10822 LAZY MEADOW DR  HOUSTON</v>
      </c>
      <c r="H2717" s="27" t="str">
        <f t="shared" si="85"/>
        <v>HOUSTON TX 77064</v>
      </c>
    </row>
    <row r="2718" spans="1:8" x14ac:dyDescent="0.2">
      <c r="A2718" s="27">
        <f>COUNTIFS(C:C,C2718,D:D,D2718)</f>
        <v>1</v>
      </c>
      <c r="B2718" s="30">
        <v>202101181642</v>
      </c>
      <c r="C2718" t="s">
        <v>6308</v>
      </c>
      <c r="D2718" t="s">
        <v>6309</v>
      </c>
      <c r="E2718" t="s">
        <v>4952</v>
      </c>
      <c r="F2718" t="s">
        <v>87</v>
      </c>
      <c r="G2718" s="27" t="str">
        <f t="shared" si="84"/>
        <v>1015 LAKIN AVE  PASADENA</v>
      </c>
      <c r="H2718" s="27" t="str">
        <f t="shared" si="85"/>
        <v>HOUSTON TX 77506</v>
      </c>
    </row>
    <row r="2719" spans="1:8" x14ac:dyDescent="0.2">
      <c r="A2719" s="27">
        <f>COUNTIFS(C:C,C2719,D:D,D2719)</f>
        <v>1</v>
      </c>
      <c r="B2719" s="30">
        <v>202101181650</v>
      </c>
      <c r="C2719" t="s">
        <v>6310</v>
      </c>
      <c r="D2719" t="s">
        <v>6311</v>
      </c>
      <c r="E2719" t="s">
        <v>6312</v>
      </c>
      <c r="F2719" t="s">
        <v>88</v>
      </c>
      <c r="G2719" s="27" t="e">
        <f t="shared" si="84"/>
        <v>#VALUE!</v>
      </c>
      <c r="H2719" s="27" t="e">
        <f t="shared" si="85"/>
        <v>#VALUE!</v>
      </c>
    </row>
    <row r="2720" spans="1:8" x14ac:dyDescent="0.2">
      <c r="A2720" s="27">
        <f>COUNTIFS(C:C,C2720,D:D,D2720)</f>
        <v>1</v>
      </c>
      <c r="B2720" s="30">
        <v>202101181656</v>
      </c>
      <c r="C2720" t="s">
        <v>6313</v>
      </c>
      <c r="D2720" t="s">
        <v>6314</v>
      </c>
      <c r="E2720" t="s">
        <v>4867</v>
      </c>
      <c r="F2720" t="s">
        <v>56</v>
      </c>
      <c r="G2720" s="27" t="str">
        <f t="shared" si="84"/>
        <v>910 REDWOOD ST APT  HOUSTON</v>
      </c>
      <c r="H2720" s="27" t="str">
        <f t="shared" si="85"/>
        <v>HOUSTON TX 77023</v>
      </c>
    </row>
    <row r="2721" spans="1:8" x14ac:dyDescent="0.2">
      <c r="A2721" s="27">
        <f>COUNTIFS(C:C,C2721,D:D,D2721)</f>
        <v>1</v>
      </c>
      <c r="B2721" s="30">
        <v>202101181664</v>
      </c>
      <c r="C2721" t="s">
        <v>6315</v>
      </c>
      <c r="D2721" t="s">
        <v>6316</v>
      </c>
      <c r="E2721" t="s">
        <v>4860</v>
      </c>
      <c r="F2721" t="s">
        <v>88</v>
      </c>
      <c r="G2721" s="27" t="str">
        <f t="shared" si="84"/>
        <v>2102 IVIE LEE  BAYTOWN</v>
      </c>
      <c r="H2721" s="27" t="str">
        <f t="shared" si="85"/>
        <v>HOUSTON TX 77520</v>
      </c>
    </row>
    <row r="2722" spans="1:8" x14ac:dyDescent="0.2">
      <c r="A2722" s="27">
        <f>COUNTIFS(C:C,C2722,D:D,D2722)</f>
        <v>1</v>
      </c>
      <c r="B2722" s="30">
        <v>202101181671</v>
      </c>
      <c r="C2722" t="s">
        <v>6317</v>
      </c>
      <c r="D2722" t="s">
        <v>5571</v>
      </c>
      <c r="E2722" t="s">
        <v>5120</v>
      </c>
      <c r="F2722" t="s">
        <v>88</v>
      </c>
      <c r="G2722" s="27" t="str">
        <f t="shared" si="84"/>
        <v>15900 SPACE CENTER BL VD HOUSTON</v>
      </c>
      <c r="H2722" s="27" t="str">
        <f t="shared" si="85"/>
        <v>HOUSTON TX 77062</v>
      </c>
    </row>
    <row r="2723" spans="1:8" x14ac:dyDescent="0.2">
      <c r="A2723" s="27">
        <f>COUNTIFS(C:C,C2723,D:D,D2723)</f>
        <v>1</v>
      </c>
      <c r="B2723" s="30">
        <v>202101181672</v>
      </c>
      <c r="C2723" t="s">
        <v>6318</v>
      </c>
      <c r="D2723" t="s">
        <v>6319</v>
      </c>
      <c r="E2723" t="s">
        <v>4899</v>
      </c>
      <c r="F2723" t="s">
        <v>88</v>
      </c>
      <c r="G2723" s="27" t="str">
        <f t="shared" si="84"/>
        <v>7827 MARTIN WOOD LN  HOUSTON</v>
      </c>
      <c r="H2723" s="27" t="str">
        <f t="shared" si="85"/>
        <v>HOUSTON TX 77086</v>
      </c>
    </row>
    <row r="2724" spans="1:8" x14ac:dyDescent="0.2">
      <c r="A2724" s="27">
        <f>COUNTIFS(C:C,C2724,D:D,D2724)</f>
        <v>1</v>
      </c>
      <c r="B2724" s="30">
        <v>202101181694</v>
      </c>
      <c r="C2724" t="s">
        <v>6060</v>
      </c>
      <c r="D2724" t="s">
        <v>6061</v>
      </c>
      <c r="E2724" t="s">
        <v>5002</v>
      </c>
      <c r="F2724" t="s">
        <v>4835</v>
      </c>
      <c r="G2724" s="27" t="str">
        <f t="shared" si="84"/>
        <v>12430 OXFORD PARK DR  HOUSTON</v>
      </c>
      <c r="H2724" s="27" t="str">
        <f t="shared" si="85"/>
        <v>HOUSTON TX 77082</v>
      </c>
    </row>
    <row r="2725" spans="1:8" x14ac:dyDescent="0.2">
      <c r="A2725" s="27">
        <f>COUNTIFS(C:C,C2725,D:D,D2725)</f>
        <v>1</v>
      </c>
      <c r="B2725" s="30">
        <v>202101181696</v>
      </c>
      <c r="C2725" t="s">
        <v>6320</v>
      </c>
      <c r="D2725" t="s">
        <v>6321</v>
      </c>
      <c r="E2725" t="s">
        <v>5140</v>
      </c>
      <c r="F2725" t="s">
        <v>83</v>
      </c>
      <c r="G2725" s="27" t="str">
        <f t="shared" si="84"/>
        <v>11615 RIDGE RUN  HARRIS CO</v>
      </c>
      <c r="H2725" s="27" t="str">
        <f t="shared" si="85"/>
        <v>HOUSTON TX 77064</v>
      </c>
    </row>
    <row r="2726" spans="1:8" x14ac:dyDescent="0.2">
      <c r="A2726" s="27">
        <f>COUNTIFS(C:C,C2726,D:D,D2726)</f>
        <v>1</v>
      </c>
      <c r="B2726" s="30">
        <v>202101181701</v>
      </c>
      <c r="C2726" t="s">
        <v>6322</v>
      </c>
      <c r="D2726" t="s">
        <v>6323</v>
      </c>
      <c r="E2726" t="s">
        <v>5079</v>
      </c>
      <c r="F2726" t="s">
        <v>53</v>
      </c>
      <c r="G2726" s="27" t="str">
        <f t="shared" si="84"/>
        <v>801 COUNTRY PLACE D R 73 HOUSTON</v>
      </c>
      <c r="H2726" s="27" t="str">
        <f t="shared" si="85"/>
        <v>HOUSTON TX 77079</v>
      </c>
    </row>
    <row r="2727" spans="1:8" x14ac:dyDescent="0.2">
      <c r="A2727" s="27">
        <f>COUNTIFS(C:C,C2727,D:D,D2727)</f>
        <v>1</v>
      </c>
      <c r="B2727" s="30">
        <v>202101181708</v>
      </c>
      <c r="C2727" t="s">
        <v>6324</v>
      </c>
      <c r="D2727" t="s">
        <v>6325</v>
      </c>
      <c r="E2727" t="s">
        <v>4889</v>
      </c>
      <c r="F2727" t="s">
        <v>87</v>
      </c>
      <c r="G2727" s="27" t="str">
        <f t="shared" si="84"/>
        <v>11910 DURAN CANYON LN  HOUSTON</v>
      </c>
      <c r="H2727" s="27" t="str">
        <f t="shared" si="85"/>
        <v>HOUSTON TX 77067</v>
      </c>
    </row>
    <row r="2728" spans="1:8" x14ac:dyDescent="0.2">
      <c r="A2728" s="27">
        <f>COUNTIFS(C:C,C2728,D:D,D2728)</f>
        <v>1</v>
      </c>
      <c r="B2728" s="30">
        <v>202101181710</v>
      </c>
      <c r="C2728" t="s">
        <v>6326</v>
      </c>
      <c r="D2728" t="s">
        <v>6327</v>
      </c>
      <c r="E2728" t="s">
        <v>4865</v>
      </c>
      <c r="F2728" t="s">
        <v>53</v>
      </c>
      <c r="G2728" s="27" t="str">
        <f t="shared" si="84"/>
        <v>2110 ALEGRE VALLEY C T HOUSTON</v>
      </c>
      <c r="H2728" s="27" t="str">
        <f t="shared" si="85"/>
        <v xml:space="preserve">HOUSTON TX      </v>
      </c>
    </row>
    <row r="2729" spans="1:8" x14ac:dyDescent="0.2">
      <c r="A2729" s="27">
        <f>COUNTIFS(C:C,C2729,D:D,D2729)</f>
        <v>1</v>
      </c>
      <c r="B2729" s="30">
        <v>202101181711</v>
      </c>
      <c r="C2729" t="s">
        <v>6328</v>
      </c>
      <c r="D2729" t="s">
        <v>6329</v>
      </c>
      <c r="E2729" t="s">
        <v>5023</v>
      </c>
      <c r="F2729" t="s">
        <v>53</v>
      </c>
      <c r="G2729" s="27" t="str">
        <f t="shared" si="84"/>
        <v>2301 LAZY HOLLOW DR  HOUSTON</v>
      </c>
      <c r="H2729" s="27" t="str">
        <f t="shared" si="85"/>
        <v>HOUSTON TX 77063</v>
      </c>
    </row>
    <row r="2730" spans="1:8" x14ac:dyDescent="0.2">
      <c r="A2730" s="27">
        <f>COUNTIFS(C:C,C2730,D:D,D2730)</f>
        <v>1</v>
      </c>
      <c r="B2730" s="30">
        <v>202101181715</v>
      </c>
      <c r="C2730" t="s">
        <v>5234</v>
      </c>
      <c r="D2730" t="s">
        <v>6330</v>
      </c>
      <c r="E2730" t="s">
        <v>5002</v>
      </c>
      <c r="F2730" t="s">
        <v>51</v>
      </c>
      <c r="G2730" s="27" t="str">
        <f t="shared" ref="G2730:G2793" si="86">D2730&amp;" "&amp;MID(E2730,1,FIND(" TX",E2730)-1)</f>
        <v>2600 WESTHOLLOW DR  HOUSTON</v>
      </c>
      <c r="H2730" s="27" t="str">
        <f t="shared" ref="H2730:H2793" si="87">"HOUSTON "&amp;MID(E2730,FIND("TX",E2730),8)</f>
        <v>HOUSTON TX 77082</v>
      </c>
    </row>
    <row r="2731" spans="1:8" x14ac:dyDescent="0.2">
      <c r="A2731" s="27">
        <f>COUNTIFS(C:C,C2731,D:D,D2731)</f>
        <v>1</v>
      </c>
      <c r="B2731" s="30">
        <v>202101181724</v>
      </c>
      <c r="C2731" t="s">
        <v>6333</v>
      </c>
      <c r="D2731" t="s">
        <v>6334</v>
      </c>
      <c r="E2731" t="s">
        <v>4860</v>
      </c>
      <c r="F2731" t="s">
        <v>66</v>
      </c>
      <c r="G2731" s="27" t="str">
        <f t="shared" si="86"/>
        <v>1505 WARD RD  BAYTOWN</v>
      </c>
      <c r="H2731" s="27" t="str">
        <f t="shared" si="87"/>
        <v>HOUSTON TX 77520</v>
      </c>
    </row>
    <row r="2732" spans="1:8" x14ac:dyDescent="0.2">
      <c r="A2732" s="27">
        <f>COUNTIFS(C:C,C2732,D:D,D2732)</f>
        <v>1</v>
      </c>
      <c r="B2732" s="30">
        <v>202101181725</v>
      </c>
      <c r="C2732" t="s">
        <v>6335</v>
      </c>
      <c r="D2732" t="s">
        <v>6336</v>
      </c>
      <c r="E2732" t="s">
        <v>4869</v>
      </c>
      <c r="F2732" t="s">
        <v>79</v>
      </c>
      <c r="G2732" s="27" t="str">
        <f t="shared" si="86"/>
        <v>417 THORNTON RD 15  HOUSTON</v>
      </c>
      <c r="H2732" s="27" t="str">
        <f t="shared" si="87"/>
        <v>HOUSTON TX 77018</v>
      </c>
    </row>
    <row r="2733" spans="1:8" x14ac:dyDescent="0.2">
      <c r="A2733" s="27">
        <f>COUNTIFS(C:C,C2733,D:D,D2733)</f>
        <v>1</v>
      </c>
      <c r="B2733" s="30">
        <v>202101181727</v>
      </c>
      <c r="C2733" t="s">
        <v>6337</v>
      </c>
      <c r="D2733" t="s">
        <v>6338</v>
      </c>
      <c r="E2733" t="s">
        <v>4924</v>
      </c>
      <c r="F2733" t="s">
        <v>80</v>
      </c>
      <c r="G2733" s="27" t="str">
        <f t="shared" si="86"/>
        <v>171 COUNTY ROAD 870 B ALVIN</v>
      </c>
      <c r="H2733" s="27" t="str">
        <f t="shared" si="87"/>
        <v>HOUSTON TX 77511</v>
      </c>
    </row>
    <row r="2734" spans="1:8" x14ac:dyDescent="0.2">
      <c r="A2734" s="27">
        <f>COUNTIFS(C:C,C2734,D:D,D2734)</f>
        <v>1</v>
      </c>
      <c r="B2734" s="30">
        <v>202101181731</v>
      </c>
      <c r="C2734" t="s">
        <v>6339</v>
      </c>
      <c r="D2734" t="s">
        <v>6340</v>
      </c>
      <c r="E2734" t="s">
        <v>4901</v>
      </c>
      <c r="F2734" t="s">
        <v>53</v>
      </c>
      <c r="G2734" s="27" t="str">
        <f t="shared" si="86"/>
        <v>12150 TROULON DR  HOUSTON</v>
      </c>
      <c r="H2734" s="27" t="str">
        <f t="shared" si="87"/>
        <v>HOUSTON TX 77072</v>
      </c>
    </row>
    <row r="2735" spans="1:8" x14ac:dyDescent="0.2">
      <c r="A2735" s="27">
        <f>COUNTIFS(C:C,C2735,D:D,D2735)</f>
        <v>1</v>
      </c>
      <c r="B2735" s="30">
        <v>202101181734</v>
      </c>
      <c r="C2735" t="s">
        <v>6341</v>
      </c>
      <c r="D2735" t="s">
        <v>6342</v>
      </c>
      <c r="E2735" t="s">
        <v>4945</v>
      </c>
      <c r="F2735" t="s">
        <v>64</v>
      </c>
      <c r="G2735" s="27" t="str">
        <f t="shared" si="86"/>
        <v>315 REYES RD  ROSENBERG</v>
      </c>
      <c r="H2735" s="27" t="str">
        <f t="shared" si="87"/>
        <v>HOUSTON TX 77471</v>
      </c>
    </row>
    <row r="2736" spans="1:8" x14ac:dyDescent="0.2">
      <c r="A2736" s="27">
        <f>COUNTIFS(C:C,C2736,D:D,D2736)</f>
        <v>1</v>
      </c>
      <c r="B2736" s="30">
        <v>202101181735</v>
      </c>
      <c r="C2736" t="s">
        <v>6343</v>
      </c>
      <c r="D2736" t="s">
        <v>6344</v>
      </c>
      <c r="E2736" t="s">
        <v>6345</v>
      </c>
      <c r="F2736" t="s">
        <v>64</v>
      </c>
      <c r="G2736" s="27" t="str">
        <f t="shared" si="86"/>
        <v>15114 CORONA DEL MAR DR HARRIS CO</v>
      </c>
      <c r="H2736" s="27" t="str">
        <f t="shared" si="87"/>
        <v>HOUSTON TX 77083</v>
      </c>
    </row>
    <row r="2737" spans="1:8" x14ac:dyDescent="0.2">
      <c r="A2737" s="27">
        <f>COUNTIFS(C:C,C2737,D:D,D2737)</f>
        <v>1</v>
      </c>
      <c r="B2737" s="30">
        <v>202101181736</v>
      </c>
      <c r="C2737" t="s">
        <v>6346</v>
      </c>
      <c r="D2737" t="s">
        <v>6347</v>
      </c>
      <c r="E2737" t="s">
        <v>4865</v>
      </c>
      <c r="F2737" t="s">
        <v>79</v>
      </c>
      <c r="G2737" s="27" t="str">
        <f t="shared" si="86"/>
        <v>8118 WAY ST  HOUSTON</v>
      </c>
      <c r="H2737" s="27" t="str">
        <f t="shared" si="87"/>
        <v xml:space="preserve">HOUSTON TX      </v>
      </c>
    </row>
    <row r="2738" spans="1:8" x14ac:dyDescent="0.2">
      <c r="A2738" s="27">
        <f>COUNTIFS(C:C,C2738,D:D,D2738)</f>
        <v>1</v>
      </c>
      <c r="B2738" s="30">
        <v>202101181739</v>
      </c>
      <c r="C2738" t="s">
        <v>6348</v>
      </c>
      <c r="D2738" t="s">
        <v>6349</v>
      </c>
      <c r="E2738" t="s">
        <v>4981</v>
      </c>
      <c r="F2738" t="s">
        <v>53</v>
      </c>
      <c r="G2738" s="27" t="str">
        <f t="shared" si="86"/>
        <v>8306 TARBELL RD  HOUSTON</v>
      </c>
      <c r="H2738" s="27" t="str">
        <f t="shared" si="87"/>
        <v>HOUSTON TX 77034</v>
      </c>
    </row>
    <row r="2739" spans="1:8" x14ac:dyDescent="0.2">
      <c r="A2739" s="27">
        <f>COUNTIFS(C:C,C2739,D:D,D2739)</f>
        <v>1</v>
      </c>
      <c r="B2739" s="30">
        <v>202101181747</v>
      </c>
      <c r="C2739" t="s">
        <v>6351</v>
      </c>
      <c r="D2739" t="s">
        <v>6352</v>
      </c>
      <c r="E2739" t="s">
        <v>4987</v>
      </c>
      <c r="F2739" t="s">
        <v>78</v>
      </c>
      <c r="G2739" s="27" t="str">
        <f t="shared" si="86"/>
        <v>1111 BLALOCK RD  HOUSTON</v>
      </c>
      <c r="H2739" s="27" t="str">
        <f t="shared" si="87"/>
        <v>HOUSTON TX 77055</v>
      </c>
    </row>
    <row r="2740" spans="1:8" x14ac:dyDescent="0.2">
      <c r="A2740" s="27">
        <f>COUNTIFS(C:C,C2740,D:D,D2740)</f>
        <v>1</v>
      </c>
      <c r="B2740" s="30">
        <v>202101181751</v>
      </c>
      <c r="C2740" t="s">
        <v>6353</v>
      </c>
      <c r="D2740" t="s">
        <v>6354</v>
      </c>
      <c r="E2740" t="s">
        <v>4861</v>
      </c>
      <c r="F2740" t="s">
        <v>57</v>
      </c>
      <c r="G2740" s="27" t="str">
        <f t="shared" si="86"/>
        <v>3521 SUNBEAM ST  HOUSTON</v>
      </c>
      <c r="H2740" s="27" t="str">
        <f t="shared" si="87"/>
        <v>HOUSTON TX 77051</v>
      </c>
    </row>
    <row r="2741" spans="1:8" x14ac:dyDescent="0.2">
      <c r="A2741" s="27">
        <f>COUNTIFS(C:C,C2741,D:D,D2741)</f>
        <v>1</v>
      </c>
      <c r="B2741" s="30">
        <v>202101181753</v>
      </c>
      <c r="C2741" t="s">
        <v>6355</v>
      </c>
      <c r="D2741" t="s">
        <v>6356</v>
      </c>
      <c r="E2741" t="s">
        <v>4943</v>
      </c>
      <c r="F2741" t="s">
        <v>87</v>
      </c>
      <c r="G2741" s="27" t="str">
        <f t="shared" si="86"/>
        <v>2218 GREENHOUSE RD  HOUSTON</v>
      </c>
      <c r="H2741" s="27" t="str">
        <f t="shared" si="87"/>
        <v>HOUSTON TX 77084</v>
      </c>
    </row>
    <row r="2742" spans="1:8" x14ac:dyDescent="0.2">
      <c r="A2742" s="27">
        <f>COUNTIFS(C:C,C2742,D:D,D2742)</f>
        <v>1</v>
      </c>
      <c r="B2742" s="30">
        <v>202101181762</v>
      </c>
      <c r="C2742" t="s">
        <v>6357</v>
      </c>
      <c r="D2742" t="s">
        <v>4625</v>
      </c>
      <c r="E2742" t="s">
        <v>4898</v>
      </c>
      <c r="F2742" t="s">
        <v>71</v>
      </c>
      <c r="G2742" s="27" t="str">
        <f t="shared" si="86"/>
        <v>10910 GULF FWY  HOUSTON</v>
      </c>
      <c r="H2742" s="27" t="str">
        <f t="shared" si="87"/>
        <v>HOUSTON TX 77075</v>
      </c>
    </row>
    <row r="2743" spans="1:8" x14ac:dyDescent="0.2">
      <c r="A2743" s="27">
        <f>COUNTIFS(C:C,C2743,D:D,D2743)</f>
        <v>1</v>
      </c>
      <c r="B2743" s="30">
        <v>202101181764</v>
      </c>
      <c r="C2743" t="s">
        <v>6358</v>
      </c>
      <c r="D2743" t="s">
        <v>6739</v>
      </c>
      <c r="E2743" t="s">
        <v>4881</v>
      </c>
      <c r="F2743" t="s">
        <v>71</v>
      </c>
      <c r="G2743" s="27" t="str">
        <f t="shared" si="86"/>
        <v>1931 RUNNING BE AR TRL CROSBY</v>
      </c>
      <c r="H2743" s="27" t="str">
        <f t="shared" si="87"/>
        <v>HOUSTON TX 77532</v>
      </c>
    </row>
    <row r="2744" spans="1:8" x14ac:dyDescent="0.2">
      <c r="A2744" s="27">
        <f>COUNTIFS(C:C,C2744,D:D,D2744)</f>
        <v>1</v>
      </c>
      <c r="B2744" s="30">
        <v>202101181766</v>
      </c>
      <c r="C2744" t="s">
        <v>6359</v>
      </c>
      <c r="D2744" t="s">
        <v>6360</v>
      </c>
      <c r="E2744" t="s">
        <v>4875</v>
      </c>
      <c r="F2744" t="s">
        <v>79</v>
      </c>
      <c r="G2744" s="27" t="str">
        <f t="shared" si="86"/>
        <v>2007 CRESLINE ST  HOUSTON</v>
      </c>
      <c r="H2744" s="27" t="str">
        <f t="shared" si="87"/>
        <v>HOUSTON TX 77093</v>
      </c>
    </row>
    <row r="2745" spans="1:8" x14ac:dyDescent="0.2">
      <c r="A2745" s="27">
        <f>COUNTIFS(C:C,C2745,D:D,D2745)</f>
        <v>1</v>
      </c>
      <c r="B2745" s="30">
        <v>202101181769</v>
      </c>
      <c r="C2745" t="s">
        <v>6361</v>
      </c>
      <c r="D2745" t="s">
        <v>6362</v>
      </c>
      <c r="E2745" t="s">
        <v>4982</v>
      </c>
      <c r="F2745" t="s">
        <v>78</v>
      </c>
      <c r="G2745" s="27" t="str">
        <f t="shared" si="86"/>
        <v>1615 HOMEBROOK DR  HOUSTON</v>
      </c>
      <c r="H2745" s="27" t="str">
        <f t="shared" si="87"/>
        <v>HOUSTON TX 77038</v>
      </c>
    </row>
    <row r="2746" spans="1:8" x14ac:dyDescent="0.2">
      <c r="A2746" s="27">
        <f>COUNTIFS(C:C,C2746,D:D,D2746)</f>
        <v>1</v>
      </c>
      <c r="B2746" s="30">
        <v>202101181770</v>
      </c>
      <c r="C2746" t="s">
        <v>6363</v>
      </c>
      <c r="D2746" t="s">
        <v>6364</v>
      </c>
      <c r="E2746" t="s">
        <v>4891</v>
      </c>
      <c r="F2746" t="s">
        <v>79</v>
      </c>
      <c r="G2746" s="27" t="str">
        <f t="shared" si="86"/>
        <v>1419 TARBERRY RD  HOUSTON</v>
      </c>
      <c r="H2746" s="27" t="str">
        <f t="shared" si="87"/>
        <v>HOUSTON TX 77088</v>
      </c>
    </row>
    <row r="2747" spans="1:8" x14ac:dyDescent="0.2">
      <c r="A2747" s="27">
        <f>COUNTIFS(C:C,C2747,D:D,D2747)</f>
        <v>1</v>
      </c>
      <c r="B2747" s="30">
        <v>202101181772</v>
      </c>
      <c r="C2747" t="s">
        <v>6365</v>
      </c>
      <c r="D2747" t="s">
        <v>6366</v>
      </c>
      <c r="E2747" t="s">
        <v>4933</v>
      </c>
      <c r="F2747" t="s">
        <v>78</v>
      </c>
      <c r="G2747" s="27" t="str">
        <f t="shared" si="86"/>
        <v>10000 HAMMERLY BLVD  HOUSTON</v>
      </c>
      <c r="H2747" s="27" t="str">
        <f t="shared" si="87"/>
        <v>HOUSTON TX 77080</v>
      </c>
    </row>
    <row r="2748" spans="1:8" x14ac:dyDescent="0.2">
      <c r="A2748" s="27">
        <f>COUNTIFS(C:C,C2748,D:D,D2748)</f>
        <v>1</v>
      </c>
      <c r="B2748" s="30">
        <v>202101181780</v>
      </c>
      <c r="C2748" t="s">
        <v>6369</v>
      </c>
      <c r="D2748" t="s">
        <v>6370</v>
      </c>
      <c r="E2748" t="s">
        <v>4894</v>
      </c>
      <c r="F2748" t="s">
        <v>53</v>
      </c>
      <c r="G2748" s="27" t="str">
        <f t="shared" si="86"/>
        <v>15915 ANGLER BEND DR  HOUSTON</v>
      </c>
      <c r="H2748" s="27" t="str">
        <f t="shared" si="87"/>
        <v>HOUSTON TX 77009</v>
      </c>
    </row>
    <row r="2749" spans="1:8" x14ac:dyDescent="0.2">
      <c r="A2749" s="27">
        <f>COUNTIFS(C:C,C2749,D:D,D2749)</f>
        <v>1</v>
      </c>
      <c r="B2749" s="30">
        <v>202101181781</v>
      </c>
      <c r="C2749" t="s">
        <v>6371</v>
      </c>
      <c r="D2749" t="s">
        <v>6372</v>
      </c>
      <c r="E2749" t="s">
        <v>4943</v>
      </c>
      <c r="F2749" t="s">
        <v>156</v>
      </c>
      <c r="G2749" s="27" t="str">
        <f t="shared" si="86"/>
        <v>16202 BELLESHIRE LANE  HOUSTON</v>
      </c>
      <c r="H2749" s="27" t="str">
        <f t="shared" si="87"/>
        <v>HOUSTON TX 77084</v>
      </c>
    </row>
    <row r="2750" spans="1:8" x14ac:dyDescent="0.2">
      <c r="A2750" s="27">
        <f>COUNTIFS(C:C,C2750,D:D,D2750)</f>
        <v>1</v>
      </c>
      <c r="B2750" s="30">
        <v>202101181782</v>
      </c>
      <c r="C2750" t="s">
        <v>6373</v>
      </c>
      <c r="D2750" t="s">
        <v>6374</v>
      </c>
      <c r="E2750" t="s">
        <v>6375</v>
      </c>
      <c r="F2750" t="s">
        <v>68</v>
      </c>
      <c r="G2750" s="27" t="str">
        <f t="shared" si="86"/>
        <v>11935 EASTEX FREEWAY  HOUSTON</v>
      </c>
      <c r="H2750" s="27" t="str">
        <f t="shared" si="87"/>
        <v>HOUSTON TX 77000</v>
      </c>
    </row>
    <row r="2751" spans="1:8" x14ac:dyDescent="0.2">
      <c r="A2751" s="27">
        <f>COUNTIFS(C:C,C2751,D:D,D2751)</f>
        <v>1</v>
      </c>
      <c r="B2751" s="30">
        <v>202101181783</v>
      </c>
      <c r="C2751" t="s">
        <v>6376</v>
      </c>
      <c r="D2751" t="s">
        <v>6377</v>
      </c>
      <c r="E2751" t="s">
        <v>5070</v>
      </c>
      <c r="F2751" t="s">
        <v>53</v>
      </c>
      <c r="G2751" s="27" t="str">
        <f t="shared" si="86"/>
        <v>3244 HILLSDALE  LAPORTE</v>
      </c>
      <c r="H2751" s="27" t="str">
        <f t="shared" si="87"/>
        <v>HOUSTON TX 77571</v>
      </c>
    </row>
    <row r="2752" spans="1:8" x14ac:dyDescent="0.2">
      <c r="A2752" s="27">
        <f>COUNTIFS(C:C,C2752,D:D,D2752)</f>
        <v>1</v>
      </c>
      <c r="B2752" s="30">
        <v>202101181784</v>
      </c>
      <c r="C2752" t="s">
        <v>6378</v>
      </c>
      <c r="D2752" t="s">
        <v>6379</v>
      </c>
      <c r="E2752" t="s">
        <v>4871</v>
      </c>
      <c r="F2752" t="s">
        <v>87</v>
      </c>
      <c r="G2752" s="27" t="str">
        <f t="shared" si="86"/>
        <v>1543 NICHOLE WOODS D R HOUSTON</v>
      </c>
      <c r="H2752" s="27" t="str">
        <f t="shared" si="87"/>
        <v>HOUSTON TX 77047</v>
      </c>
    </row>
    <row r="2753" spans="1:8" x14ac:dyDescent="0.2">
      <c r="A2753" s="27">
        <f>COUNTIFS(C:C,C2753,D:D,D2753)</f>
        <v>1</v>
      </c>
      <c r="B2753" s="30">
        <v>202101181788</v>
      </c>
      <c r="C2753" t="s">
        <v>6380</v>
      </c>
      <c r="D2753" t="s">
        <v>6381</v>
      </c>
      <c r="E2753" t="s">
        <v>6382</v>
      </c>
      <c r="F2753" t="s">
        <v>51</v>
      </c>
      <c r="G2753" s="27" t="str">
        <f t="shared" si="86"/>
        <v>415 WELFORD LN  HOUSTON</v>
      </c>
      <c r="H2753" s="27" t="str">
        <f t="shared" si="87"/>
        <v>HOUSTON TX 77562</v>
      </c>
    </row>
    <row r="2754" spans="1:8" x14ac:dyDescent="0.2">
      <c r="A2754" s="27">
        <f>COUNTIFS(C:C,C2754,D:D,D2754)</f>
        <v>1</v>
      </c>
      <c r="B2754" s="30">
        <v>202101181789</v>
      </c>
      <c r="C2754" t="s">
        <v>6383</v>
      </c>
      <c r="D2754" t="s">
        <v>6384</v>
      </c>
      <c r="E2754" t="s">
        <v>6385</v>
      </c>
      <c r="F2754" t="s">
        <v>87</v>
      </c>
      <c r="G2754" s="27" t="str">
        <f t="shared" si="86"/>
        <v>11000 GATESDEN DR  TOMBALL</v>
      </c>
      <c r="H2754" s="27" t="str">
        <f t="shared" si="87"/>
        <v xml:space="preserve">HOUSTON TX      </v>
      </c>
    </row>
    <row r="2755" spans="1:8" x14ac:dyDescent="0.2">
      <c r="A2755" s="27">
        <f>COUNTIFS(C:C,C2755,D:D,D2755)</f>
        <v>1</v>
      </c>
      <c r="B2755" s="30">
        <v>202101181792</v>
      </c>
      <c r="C2755" t="s">
        <v>6389</v>
      </c>
      <c r="D2755" t="s">
        <v>6390</v>
      </c>
      <c r="E2755" t="s">
        <v>4949</v>
      </c>
      <c r="F2755" t="s">
        <v>53</v>
      </c>
      <c r="G2755" s="27" t="str">
        <f t="shared" si="86"/>
        <v>5902 LARCHBROOK DR  HOUSTON</v>
      </c>
      <c r="H2755" s="27" t="str">
        <f t="shared" si="87"/>
        <v>HOUSTON TX 77049</v>
      </c>
    </row>
    <row r="2756" spans="1:8" x14ac:dyDescent="0.2">
      <c r="A2756" s="27">
        <f>COUNTIFS(C:C,C2756,D:D,D2756)</f>
        <v>1</v>
      </c>
      <c r="B2756" s="30">
        <v>202101181797</v>
      </c>
      <c r="C2756" t="s">
        <v>6391</v>
      </c>
      <c r="D2756" t="s">
        <v>6392</v>
      </c>
      <c r="E2756" t="s">
        <v>4863</v>
      </c>
      <c r="F2756" t="s">
        <v>87</v>
      </c>
      <c r="G2756" s="27" t="str">
        <f t="shared" si="86"/>
        <v>15814 PINE BARK LN  TOMBALL</v>
      </c>
      <c r="H2756" s="27" t="str">
        <f t="shared" si="87"/>
        <v>HOUSTON TX 77377</v>
      </c>
    </row>
    <row r="2757" spans="1:8" x14ac:dyDescent="0.2">
      <c r="A2757" s="27">
        <f>COUNTIFS(C:C,C2757,D:D,D2757)</f>
        <v>1</v>
      </c>
      <c r="B2757" s="30">
        <v>202101181802</v>
      </c>
      <c r="C2757" t="s">
        <v>6393</v>
      </c>
      <c r="D2757" t="s">
        <v>6394</v>
      </c>
      <c r="E2757" t="s">
        <v>5002</v>
      </c>
      <c r="F2757" t="s">
        <v>79</v>
      </c>
      <c r="G2757" s="27" t="str">
        <f t="shared" si="86"/>
        <v>2800 S DAIRY ASHFORD  HOUSTON</v>
      </c>
      <c r="H2757" s="27" t="str">
        <f t="shared" si="87"/>
        <v>HOUSTON TX 77082</v>
      </c>
    </row>
    <row r="2758" spans="1:8" x14ac:dyDescent="0.2">
      <c r="A2758" s="27">
        <f>COUNTIFS(C:C,C2758,D:D,D2758)</f>
        <v>1</v>
      </c>
      <c r="B2758" s="30">
        <v>202101181808</v>
      </c>
      <c r="C2758" t="s">
        <v>6395</v>
      </c>
      <c r="D2758" t="s">
        <v>955</v>
      </c>
      <c r="E2758" t="s">
        <v>4879</v>
      </c>
      <c r="F2758" t="s">
        <v>79</v>
      </c>
      <c r="G2758" s="27" t="str">
        <f t="shared" si="86"/>
        <v>2303 W TIDWELL RD  HOUSTON</v>
      </c>
      <c r="H2758" s="27" t="str">
        <f t="shared" si="87"/>
        <v>HOUSTON TX 77091</v>
      </c>
    </row>
    <row r="2759" spans="1:8" x14ac:dyDescent="0.2">
      <c r="A2759" s="27">
        <f>COUNTIFS(C:C,C2759,D:D,D2759)</f>
        <v>1</v>
      </c>
      <c r="B2759" s="30">
        <v>202101181814</v>
      </c>
      <c r="C2759" t="s">
        <v>6396</v>
      </c>
      <c r="D2759" t="s">
        <v>6397</v>
      </c>
      <c r="E2759" t="s">
        <v>4991</v>
      </c>
      <c r="F2759" t="s">
        <v>72</v>
      </c>
      <c r="G2759" s="27" t="str">
        <f t="shared" si="86"/>
        <v>9850 MEADOWGLEN LN  HOUSTON</v>
      </c>
      <c r="H2759" s="27" t="str">
        <f t="shared" si="87"/>
        <v>HOUSTON TX 77042</v>
      </c>
    </row>
    <row r="2760" spans="1:8" x14ac:dyDescent="0.2">
      <c r="A2760" s="27">
        <f>COUNTIFS(C:C,C2760,D:D,D2760)</f>
        <v>1</v>
      </c>
      <c r="B2760" s="30">
        <v>202101181816</v>
      </c>
      <c r="C2760" t="s">
        <v>6398</v>
      </c>
      <c r="D2760" t="s">
        <v>6399</v>
      </c>
      <c r="E2760" t="s">
        <v>4924</v>
      </c>
      <c r="F2760" t="s">
        <v>51</v>
      </c>
      <c r="G2760" s="27" t="str">
        <f t="shared" si="86"/>
        <v>1099 LASSO CT  ALVIN</v>
      </c>
      <c r="H2760" s="27" t="str">
        <f t="shared" si="87"/>
        <v>HOUSTON TX 77511</v>
      </c>
    </row>
    <row r="2761" spans="1:8" x14ac:dyDescent="0.2">
      <c r="A2761" s="27">
        <f>COUNTIFS(C:C,C2761,D:D,D2761)</f>
        <v>1</v>
      </c>
      <c r="B2761" s="30">
        <v>202101181818</v>
      </c>
      <c r="C2761" t="s">
        <v>6400</v>
      </c>
      <c r="D2761" t="s">
        <v>6401</v>
      </c>
      <c r="E2761" t="s">
        <v>5077</v>
      </c>
      <c r="F2761" t="s">
        <v>53</v>
      </c>
      <c r="G2761" s="27" t="str">
        <f t="shared" si="86"/>
        <v>12819 EASTBROOK DR  HOUSTON</v>
      </c>
      <c r="H2761" s="27" t="str">
        <f t="shared" si="87"/>
        <v>HOUSTON TX 77013</v>
      </c>
    </row>
    <row r="2762" spans="1:8" x14ac:dyDescent="0.2">
      <c r="A2762" s="27">
        <f>COUNTIFS(C:C,C2762,D:D,D2762)</f>
        <v>1</v>
      </c>
      <c r="B2762" s="30">
        <v>202101181819</v>
      </c>
      <c r="C2762" t="s">
        <v>6402</v>
      </c>
      <c r="D2762" t="s">
        <v>6403</v>
      </c>
      <c r="E2762" t="s">
        <v>6404</v>
      </c>
      <c r="F2762" t="s">
        <v>79</v>
      </c>
      <c r="G2762" s="27" t="e">
        <f t="shared" si="86"/>
        <v>#VALUE!</v>
      </c>
      <c r="H2762" s="27" t="e">
        <f t="shared" si="87"/>
        <v>#VALUE!</v>
      </c>
    </row>
    <row r="2763" spans="1:8" x14ac:dyDescent="0.2">
      <c r="A2763" s="27">
        <f>COUNTIFS(C:C,C2763,D:D,D2763)</f>
        <v>1</v>
      </c>
      <c r="B2763" s="30">
        <v>202101181822</v>
      </c>
      <c r="C2763" t="s">
        <v>6405</v>
      </c>
      <c r="D2763" t="s">
        <v>6406</v>
      </c>
      <c r="E2763" t="s">
        <v>4853</v>
      </c>
      <c r="F2763" t="s">
        <v>77</v>
      </c>
      <c r="G2763" s="27" t="str">
        <f t="shared" si="86"/>
        <v>12254 WILD PINE  HOUSTON</v>
      </c>
      <c r="H2763" s="27" t="str">
        <f t="shared" si="87"/>
        <v>HOUSTON TX 77039</v>
      </c>
    </row>
    <row r="2764" spans="1:8" x14ac:dyDescent="0.2">
      <c r="A2764" s="27">
        <f>COUNTIFS(C:C,C2764,D:D,D2764)</f>
        <v>1</v>
      </c>
      <c r="B2764" s="30">
        <v>202101181825</v>
      </c>
      <c r="C2764" t="s">
        <v>6407</v>
      </c>
      <c r="D2764" t="s">
        <v>6408</v>
      </c>
      <c r="E2764" t="s">
        <v>5195</v>
      </c>
      <c r="F2764" t="s">
        <v>51</v>
      </c>
      <c r="G2764" s="27" t="str">
        <f t="shared" si="86"/>
        <v>219 W MAGNOLIA ST  ANGLETON</v>
      </c>
      <c r="H2764" s="27" t="str">
        <f t="shared" si="87"/>
        <v>HOUSTON TX 77515</v>
      </c>
    </row>
    <row r="2765" spans="1:8" x14ac:dyDescent="0.2">
      <c r="A2765" s="27">
        <f>COUNTIFS(C:C,C2765,D:D,D2765)</f>
        <v>1</v>
      </c>
      <c r="B2765" s="30">
        <v>202101181829</v>
      </c>
      <c r="C2765" t="s">
        <v>6411</v>
      </c>
      <c r="D2765" t="s">
        <v>6412</v>
      </c>
      <c r="E2765" t="s">
        <v>4918</v>
      </c>
      <c r="F2765" t="s">
        <v>53</v>
      </c>
      <c r="G2765" s="27" t="str">
        <f t="shared" si="86"/>
        <v>3903 SUTTONFORD DR  HOUSTON</v>
      </c>
      <c r="H2765" s="27" t="str">
        <f t="shared" si="87"/>
        <v>HOUSTON TX 77066</v>
      </c>
    </row>
    <row r="2766" spans="1:8" x14ac:dyDescent="0.2">
      <c r="A2766" s="27">
        <f>COUNTIFS(C:C,C2766,D:D,D2766)</f>
        <v>1</v>
      </c>
      <c r="B2766" s="30">
        <v>202101181841</v>
      </c>
      <c r="C2766" t="s">
        <v>6415</v>
      </c>
      <c r="D2766" t="s">
        <v>6416</v>
      </c>
      <c r="E2766" t="s">
        <v>4880</v>
      </c>
      <c r="F2766" t="s">
        <v>88</v>
      </c>
      <c r="G2766" s="27" t="str">
        <f t="shared" si="86"/>
        <v>3230 ARBOR ST  HOUSTON</v>
      </c>
      <c r="H2766" s="27" t="str">
        <f t="shared" si="87"/>
        <v>HOUSTON TX 77004</v>
      </c>
    </row>
    <row r="2767" spans="1:8" x14ac:dyDescent="0.2">
      <c r="A2767" s="27">
        <f>COUNTIFS(C:C,C2767,D:D,D2767)</f>
        <v>1</v>
      </c>
      <c r="B2767" s="30">
        <v>202101181845</v>
      </c>
      <c r="C2767" t="s">
        <v>6417</v>
      </c>
      <c r="D2767" t="s">
        <v>6418</v>
      </c>
      <c r="E2767" t="s">
        <v>4981</v>
      </c>
      <c r="F2767" t="s">
        <v>53</v>
      </c>
      <c r="G2767" s="27" t="str">
        <f t="shared" si="86"/>
        <v>12406 DUMAS ST  HOUSTON</v>
      </c>
      <c r="H2767" s="27" t="str">
        <f t="shared" si="87"/>
        <v>HOUSTON TX 77034</v>
      </c>
    </row>
    <row r="2768" spans="1:8" x14ac:dyDescent="0.2">
      <c r="A2768" s="27">
        <f>COUNTIFS(C:C,C2768,D:D,D2768)</f>
        <v>1</v>
      </c>
      <c r="B2768" s="30">
        <v>202101181846</v>
      </c>
      <c r="C2768" t="s">
        <v>6419</v>
      </c>
      <c r="D2768" t="s">
        <v>6420</v>
      </c>
      <c r="E2768" t="s">
        <v>4896</v>
      </c>
      <c r="F2768" t="s">
        <v>104</v>
      </c>
      <c r="G2768" s="27" t="str">
        <f t="shared" si="86"/>
        <v>7404 S GESSNER RD  HOUSTON</v>
      </c>
      <c r="H2768" s="27" t="str">
        <f t="shared" si="87"/>
        <v>HOUSTON TX 77036</v>
      </c>
    </row>
    <row r="2769" spans="1:8" x14ac:dyDescent="0.2">
      <c r="A2769" s="27">
        <f>COUNTIFS(C:C,C2769,D:D,D2769)</f>
        <v>1</v>
      </c>
      <c r="B2769" s="30">
        <v>202101181849</v>
      </c>
      <c r="C2769" t="s">
        <v>6421</v>
      </c>
      <c r="D2769" t="s">
        <v>6422</v>
      </c>
      <c r="E2769" t="s">
        <v>4894</v>
      </c>
      <c r="F2769" t="s">
        <v>75</v>
      </c>
      <c r="G2769" s="27" t="str">
        <f t="shared" si="86"/>
        <v>419 MARIE ST  HOUSTON</v>
      </c>
      <c r="H2769" s="27" t="str">
        <f t="shared" si="87"/>
        <v>HOUSTON TX 77009</v>
      </c>
    </row>
    <row r="2770" spans="1:8" x14ac:dyDescent="0.2">
      <c r="A2770" s="27">
        <f>COUNTIFS(C:C,C2770,D:D,D2770)</f>
        <v>1</v>
      </c>
      <c r="B2770" s="30">
        <v>202101181850</v>
      </c>
      <c r="C2770" t="s">
        <v>6423</v>
      </c>
      <c r="D2770" t="s">
        <v>6424</v>
      </c>
      <c r="E2770" t="s">
        <v>6425</v>
      </c>
      <c r="F2770" t="s">
        <v>87</v>
      </c>
      <c r="G2770" s="27" t="str">
        <f t="shared" si="86"/>
        <v>9187 S LOOP 497 W  OTHER</v>
      </c>
      <c r="H2770" s="27" t="str">
        <f t="shared" si="87"/>
        <v>HOUSTON TX 77452</v>
      </c>
    </row>
    <row r="2771" spans="1:8" x14ac:dyDescent="0.2">
      <c r="A2771" s="27">
        <f>COUNTIFS(C:C,C2771,D:D,D2771)</f>
        <v>1</v>
      </c>
      <c r="B2771" s="30">
        <v>202101181851</v>
      </c>
      <c r="C2771" t="s">
        <v>6426</v>
      </c>
      <c r="D2771" t="s">
        <v>6427</v>
      </c>
      <c r="E2771" t="s">
        <v>4950</v>
      </c>
      <c r="F2771" t="s">
        <v>88</v>
      </c>
      <c r="G2771" s="27" t="str">
        <f t="shared" si="86"/>
        <v>1311 APACHE ST  HOUSTON</v>
      </c>
      <c r="H2771" s="27" t="str">
        <f t="shared" si="87"/>
        <v>HOUSTON TX 77022</v>
      </c>
    </row>
    <row r="2772" spans="1:8" x14ac:dyDescent="0.2">
      <c r="A2772" s="27">
        <f>COUNTIFS(C:C,C2772,D:D,D2772)</f>
        <v>1</v>
      </c>
      <c r="B2772" s="30">
        <v>202101181852</v>
      </c>
      <c r="C2772" t="s">
        <v>6428</v>
      </c>
      <c r="D2772" t="s">
        <v>6429</v>
      </c>
      <c r="E2772" t="s">
        <v>5078</v>
      </c>
      <c r="F2772" t="s">
        <v>88</v>
      </c>
      <c r="G2772" s="27" t="str">
        <f t="shared" si="86"/>
        <v>23010 FRANZ RD  HARRIS CO</v>
      </c>
      <c r="H2772" s="27" t="str">
        <f t="shared" si="87"/>
        <v>HOUSTON TX 77449</v>
      </c>
    </row>
    <row r="2773" spans="1:8" x14ac:dyDescent="0.2">
      <c r="A2773" s="27">
        <f>COUNTIFS(C:C,C2773,D:D,D2773)</f>
        <v>1</v>
      </c>
      <c r="B2773" s="30">
        <v>202101181862</v>
      </c>
      <c r="C2773" t="s">
        <v>6430</v>
      </c>
      <c r="D2773" t="s">
        <v>6431</v>
      </c>
      <c r="E2773" t="s">
        <v>4904</v>
      </c>
      <c r="F2773" t="s">
        <v>80</v>
      </c>
      <c r="G2773" s="27" t="str">
        <f t="shared" si="86"/>
        <v>7932 PILLOT  HOUSTON</v>
      </c>
      <c r="H2773" s="27" t="str">
        <f t="shared" si="87"/>
        <v>HOUSTON TX 77029</v>
      </c>
    </row>
    <row r="2774" spans="1:8" x14ac:dyDescent="0.2">
      <c r="A2774" s="27">
        <f>COUNTIFS(C:C,C2774,D:D,D2774)</f>
        <v>1</v>
      </c>
      <c r="B2774" s="30">
        <v>202101181863</v>
      </c>
      <c r="C2774" t="s">
        <v>6432</v>
      </c>
      <c r="D2774" t="s">
        <v>6433</v>
      </c>
      <c r="E2774" t="s">
        <v>5032</v>
      </c>
      <c r="F2774" t="s">
        <v>87</v>
      </c>
      <c r="G2774" s="27" t="str">
        <f t="shared" si="86"/>
        <v>1411 INDIANA ST APT 3 HOUSTON</v>
      </c>
      <c r="H2774" s="27" t="str">
        <f t="shared" si="87"/>
        <v>HOUSTON TX 77006</v>
      </c>
    </row>
    <row r="2775" spans="1:8" x14ac:dyDescent="0.2">
      <c r="A2775" s="27">
        <f>COUNTIFS(C:C,C2775,D:D,D2775)</f>
        <v>1</v>
      </c>
      <c r="B2775" s="30">
        <v>202101181865</v>
      </c>
      <c r="C2775" t="s">
        <v>6434</v>
      </c>
      <c r="D2775" t="s">
        <v>6435</v>
      </c>
      <c r="E2775" t="s">
        <v>4982</v>
      </c>
      <c r="F2775" t="s">
        <v>53</v>
      </c>
      <c r="G2775" s="27" t="str">
        <f t="shared" si="86"/>
        <v>11711 MAIN OAK ST  HOUSTON</v>
      </c>
      <c r="H2775" s="27" t="str">
        <f t="shared" si="87"/>
        <v>HOUSTON TX 77038</v>
      </c>
    </row>
    <row r="2776" spans="1:8" x14ac:dyDescent="0.2">
      <c r="A2776" s="27">
        <f>COUNTIFS(C:C,C2776,D:D,D2776)</f>
        <v>1</v>
      </c>
      <c r="B2776" s="30">
        <v>202101181866</v>
      </c>
      <c r="C2776" t="s">
        <v>6436</v>
      </c>
      <c r="D2776" t="s">
        <v>6437</v>
      </c>
      <c r="E2776" t="s">
        <v>4854</v>
      </c>
      <c r="F2776" t="s">
        <v>88</v>
      </c>
      <c r="G2776" s="27" t="str">
        <f t="shared" si="86"/>
        <v>2910 GREGG ST  HOUSTON</v>
      </c>
      <c r="H2776" s="27" t="str">
        <f t="shared" si="87"/>
        <v>HOUSTON TX 77026</v>
      </c>
    </row>
    <row r="2777" spans="1:8" x14ac:dyDescent="0.2">
      <c r="A2777" s="27">
        <f>COUNTIFS(C:C,C2777,D:D,D2777)</f>
        <v>1</v>
      </c>
      <c r="B2777" s="30">
        <v>202101181868</v>
      </c>
      <c r="C2777" t="s">
        <v>6438</v>
      </c>
      <c r="D2777" t="s">
        <v>6439</v>
      </c>
      <c r="E2777" t="s">
        <v>4933</v>
      </c>
      <c r="F2777" t="s">
        <v>6440</v>
      </c>
      <c r="G2777" s="27" t="str">
        <f t="shared" si="86"/>
        <v>8907 RAILTON  HOUSTON</v>
      </c>
      <c r="H2777" s="27" t="str">
        <f t="shared" si="87"/>
        <v>HOUSTON TX 77080</v>
      </c>
    </row>
    <row r="2778" spans="1:8" x14ac:dyDescent="0.2">
      <c r="A2778" s="27">
        <f>COUNTIFS(C:C,C2778,D:D,D2778)</f>
        <v>1</v>
      </c>
      <c r="B2778" s="30">
        <v>202101181871</v>
      </c>
      <c r="C2778" t="s">
        <v>6441</v>
      </c>
      <c r="D2778" t="s">
        <v>6442</v>
      </c>
      <c r="E2778" t="s">
        <v>5075</v>
      </c>
      <c r="F2778" t="s">
        <v>88</v>
      </c>
      <c r="G2778" s="27" t="str">
        <f t="shared" si="86"/>
        <v>13006 VINTAGE MILL CT  RICHMOND</v>
      </c>
      <c r="H2778" s="27" t="str">
        <f t="shared" si="87"/>
        <v>HOUSTON TX 77407</v>
      </c>
    </row>
    <row r="2779" spans="1:8" x14ac:dyDescent="0.2">
      <c r="A2779" s="27">
        <f>COUNTIFS(C:C,C2779,D:D,D2779)</f>
        <v>1</v>
      </c>
      <c r="B2779" s="30">
        <v>202101181886</v>
      </c>
      <c r="C2779" t="s">
        <v>6443</v>
      </c>
      <c r="D2779" t="s">
        <v>6444</v>
      </c>
      <c r="E2779" t="s">
        <v>4954</v>
      </c>
      <c r="F2779" t="s">
        <v>64</v>
      </c>
      <c r="G2779" s="27" t="str">
        <f t="shared" si="86"/>
        <v>2977 VINTAGE PARK LN  PEARLAND</v>
      </c>
      <c r="H2779" s="27" t="str">
        <f t="shared" si="87"/>
        <v>HOUSTON TX 77584</v>
      </c>
    </row>
    <row r="2780" spans="1:8" x14ac:dyDescent="0.2">
      <c r="A2780" s="27">
        <f>COUNTIFS(C:C,C2780,D:D,D2780)</f>
        <v>1</v>
      </c>
      <c r="B2780" s="30">
        <v>202101181888</v>
      </c>
      <c r="C2780" t="s">
        <v>6445</v>
      </c>
      <c r="D2780" t="s">
        <v>6446</v>
      </c>
      <c r="E2780" t="s">
        <v>4880</v>
      </c>
      <c r="F2780" t="s">
        <v>67</v>
      </c>
      <c r="G2780" s="27" t="str">
        <f t="shared" si="86"/>
        <v>3307 ENNIS ST AZ  HOUSTON</v>
      </c>
      <c r="H2780" s="27" t="str">
        <f t="shared" si="87"/>
        <v>HOUSTON TX 77004</v>
      </c>
    </row>
    <row r="2781" spans="1:8" x14ac:dyDescent="0.2">
      <c r="A2781" s="27">
        <f>COUNTIFS(C:C,C2781,D:D,D2781)</f>
        <v>1</v>
      </c>
      <c r="B2781" s="30">
        <v>202101181891</v>
      </c>
      <c r="C2781" t="s">
        <v>6447</v>
      </c>
      <c r="D2781" t="s">
        <v>6448</v>
      </c>
      <c r="E2781" t="s">
        <v>4932</v>
      </c>
      <c r="F2781" t="s">
        <v>75</v>
      </c>
      <c r="G2781" s="27" t="str">
        <f t="shared" si="86"/>
        <v>6150 W TIDWELL  HOUSTON</v>
      </c>
      <c r="H2781" s="27" t="str">
        <f t="shared" si="87"/>
        <v>HOUSTON TX 77092</v>
      </c>
    </row>
    <row r="2782" spans="1:8" x14ac:dyDescent="0.2">
      <c r="A2782" s="27">
        <f>COUNTIFS(C:C,C2782,D:D,D2782)</f>
        <v>1</v>
      </c>
      <c r="B2782" s="30">
        <v>202101181892</v>
      </c>
      <c r="C2782" t="s">
        <v>6449</v>
      </c>
      <c r="D2782" t="s">
        <v>6450</v>
      </c>
      <c r="E2782" t="s">
        <v>5000</v>
      </c>
      <c r="F2782" t="s">
        <v>64</v>
      </c>
      <c r="G2782" s="27" t="str">
        <f t="shared" si="86"/>
        <v>25759 PINE DR  NEW CANEY</v>
      </c>
      <c r="H2782" s="27" t="str">
        <f t="shared" si="87"/>
        <v>HOUSTON TX 77357</v>
      </c>
    </row>
    <row r="2783" spans="1:8" x14ac:dyDescent="0.2">
      <c r="A2783" s="27">
        <f>COUNTIFS(C:C,C2783,D:D,D2783)</f>
        <v>1</v>
      </c>
      <c r="B2783" s="30">
        <v>202101181902</v>
      </c>
      <c r="C2783" t="s">
        <v>6451</v>
      </c>
      <c r="D2783" t="s">
        <v>6452</v>
      </c>
      <c r="E2783" t="s">
        <v>4977</v>
      </c>
      <c r="F2783" t="s">
        <v>88</v>
      </c>
      <c r="G2783" s="27" t="str">
        <f t="shared" si="86"/>
        <v>2505 S VOSS RD 1323  HOUSTON</v>
      </c>
      <c r="H2783" s="27" t="str">
        <f t="shared" si="87"/>
        <v>HOUSTON TX 77057</v>
      </c>
    </row>
    <row r="2784" spans="1:8" x14ac:dyDescent="0.2">
      <c r="A2784" s="27">
        <f>COUNTIFS(C:C,C2784,D:D,D2784)</f>
        <v>1</v>
      </c>
      <c r="B2784" s="30">
        <v>202101181903</v>
      </c>
      <c r="C2784" t="s">
        <v>6453</v>
      </c>
      <c r="D2784" t="s">
        <v>6454</v>
      </c>
      <c r="E2784" t="s">
        <v>4956</v>
      </c>
      <c r="F2784" t="s">
        <v>59</v>
      </c>
      <c r="G2784" s="27" t="str">
        <f t="shared" si="86"/>
        <v>5218 TIMBERS QUAIL D R HUMBLE</v>
      </c>
      <c r="H2784" s="27" t="str">
        <f t="shared" si="87"/>
        <v>HOUSTON TX 77346</v>
      </c>
    </row>
    <row r="2785" spans="1:8" x14ac:dyDescent="0.2">
      <c r="A2785" s="27">
        <f>COUNTIFS(C:C,C2785,D:D,D2785)</f>
        <v>1</v>
      </c>
      <c r="B2785" s="30">
        <v>202101181908</v>
      </c>
      <c r="C2785" t="s">
        <v>6455</v>
      </c>
      <c r="D2785" t="s">
        <v>6456</v>
      </c>
      <c r="E2785" t="s">
        <v>6457</v>
      </c>
      <c r="F2785" t="s">
        <v>51</v>
      </c>
      <c r="G2785" s="27" t="str">
        <f t="shared" si="86"/>
        <v>5310 FIVE OAKS DR  HARRIS CO</v>
      </c>
      <c r="H2785" s="27" t="str">
        <f t="shared" si="87"/>
        <v>HOUSTON TX 77389</v>
      </c>
    </row>
    <row r="2786" spans="1:8" x14ac:dyDescent="0.2">
      <c r="A2786" s="27">
        <f>COUNTIFS(C:C,C2786,D:D,D2786)</f>
        <v>1</v>
      </c>
      <c r="B2786" s="30">
        <v>202101181909</v>
      </c>
      <c r="C2786" t="s">
        <v>6458</v>
      </c>
      <c r="D2786" t="s">
        <v>6459</v>
      </c>
      <c r="E2786" t="s">
        <v>4933</v>
      </c>
      <c r="F2786" t="s">
        <v>88</v>
      </c>
      <c r="G2786" s="27" t="str">
        <f t="shared" si="86"/>
        <v>9119 N ALLEGRO ST  HOUSTON</v>
      </c>
      <c r="H2786" s="27" t="str">
        <f t="shared" si="87"/>
        <v>HOUSTON TX 77080</v>
      </c>
    </row>
    <row r="2787" spans="1:8" x14ac:dyDescent="0.2">
      <c r="A2787" s="27">
        <f>COUNTIFS(C:C,C2787,D:D,D2787)</f>
        <v>1</v>
      </c>
      <c r="B2787" s="30">
        <v>202101186442</v>
      </c>
      <c r="C2787" t="s">
        <v>6460</v>
      </c>
      <c r="D2787" t="s">
        <v>6461</v>
      </c>
      <c r="E2787" t="s">
        <v>4933</v>
      </c>
      <c r="F2787" t="s">
        <v>207</v>
      </c>
      <c r="G2787" s="27" t="str">
        <f t="shared" si="86"/>
        <v>3402 BLALOCK RD  HOUSTON</v>
      </c>
      <c r="H2787" s="27" t="str">
        <f t="shared" si="87"/>
        <v>HOUSTON TX 77080</v>
      </c>
    </row>
    <row r="2788" spans="1:8" x14ac:dyDescent="0.2">
      <c r="A2788" s="27">
        <f>COUNTIFS(C:C,C2788,D:D,D2788)</f>
        <v>1</v>
      </c>
      <c r="B2788" s="30">
        <v>202101186516</v>
      </c>
      <c r="C2788" t="s">
        <v>6462</v>
      </c>
      <c r="D2788" t="s">
        <v>6463</v>
      </c>
      <c r="E2788" t="s">
        <v>6464</v>
      </c>
      <c r="F2788" t="s">
        <v>191</v>
      </c>
      <c r="G2788" s="27" t="str">
        <f t="shared" si="86"/>
        <v>10885 FM 777  JASPER</v>
      </c>
      <c r="H2788" s="27" t="str">
        <f t="shared" si="87"/>
        <v>HOUSTON TX 75951</v>
      </c>
    </row>
    <row r="2789" spans="1:8" x14ac:dyDescent="0.2">
      <c r="A2789" s="27">
        <f>COUNTIFS(C:C,C2789,D:D,D2789)</f>
        <v>1</v>
      </c>
      <c r="B2789" s="30">
        <v>202101186720</v>
      </c>
      <c r="C2789" t="s">
        <v>5876</v>
      </c>
      <c r="D2789" t="s">
        <v>5877</v>
      </c>
      <c r="E2789" t="s">
        <v>4877</v>
      </c>
      <c r="F2789" t="s">
        <v>6465</v>
      </c>
      <c r="G2789" s="27" t="str">
        <f t="shared" si="86"/>
        <v>1122 LEXINGTON GROVE DR MISSOURI C</v>
      </c>
      <c r="H2789" s="27" t="str">
        <f t="shared" si="87"/>
        <v>HOUSTON TX 77459</v>
      </c>
    </row>
    <row r="2790" spans="1:8" x14ac:dyDescent="0.2">
      <c r="A2790" s="27">
        <f>COUNTIFS(C:C,C2790,D:D,D2790)</f>
        <v>1</v>
      </c>
      <c r="B2790" s="30">
        <v>202101186752</v>
      </c>
      <c r="C2790" t="s">
        <v>6466</v>
      </c>
      <c r="D2790" t="s">
        <v>6467</v>
      </c>
      <c r="E2790" t="s">
        <v>4889</v>
      </c>
      <c r="F2790" t="s">
        <v>6468</v>
      </c>
      <c r="G2790" s="27" t="str">
        <f t="shared" si="86"/>
        <v>10445 GREENS CROSSING BLVD HOUSTON</v>
      </c>
      <c r="H2790" s="27" t="str">
        <f t="shared" si="87"/>
        <v>HOUSTON TX 77067</v>
      </c>
    </row>
    <row r="2791" spans="1:8" x14ac:dyDescent="0.2">
      <c r="A2791" s="27">
        <f>COUNTIFS(C:C,C2791,D:D,D2791)</f>
        <v>1</v>
      </c>
      <c r="B2791" s="30">
        <v>202101186763</v>
      </c>
      <c r="C2791" t="s">
        <v>6469</v>
      </c>
      <c r="D2791" t="s">
        <v>6470</v>
      </c>
      <c r="E2791" t="s">
        <v>6471</v>
      </c>
      <c r="F2791" t="s">
        <v>185</v>
      </c>
      <c r="G2791" s="27" t="str">
        <f t="shared" si="86"/>
        <v>135 COTTONTAIL  BARRETT</v>
      </c>
      <c r="H2791" s="27" t="str">
        <f t="shared" si="87"/>
        <v xml:space="preserve">HOUSTON TX      </v>
      </c>
    </row>
    <row r="2792" spans="1:8" x14ac:dyDescent="0.2">
      <c r="A2792" s="27">
        <f>COUNTIFS(C:C,C2792,D:D,D2792)</f>
        <v>1</v>
      </c>
      <c r="B2792" s="30">
        <v>202101186769</v>
      </c>
      <c r="C2792" t="s">
        <v>6127</v>
      </c>
      <c r="D2792" t="s">
        <v>6128</v>
      </c>
      <c r="E2792" t="s">
        <v>4991</v>
      </c>
      <c r="F2792" t="s">
        <v>4764</v>
      </c>
      <c r="G2792" s="27" t="str">
        <f t="shared" si="86"/>
        <v>150 W SAM HOUSTON P KWY S HOUSTON</v>
      </c>
      <c r="H2792" s="27" t="str">
        <f t="shared" si="87"/>
        <v>HOUSTON TX 77042</v>
      </c>
    </row>
    <row r="2793" spans="1:8" x14ac:dyDescent="0.2">
      <c r="A2793" s="27">
        <f>COUNTIFS(C:C,C2793,D:D,D2793)</f>
        <v>1</v>
      </c>
      <c r="B2793" s="30">
        <v>202101186790</v>
      </c>
      <c r="C2793" t="s">
        <v>6472</v>
      </c>
      <c r="D2793" t="s">
        <v>6473</v>
      </c>
      <c r="E2793" t="s">
        <v>4969</v>
      </c>
      <c r="F2793" t="s">
        <v>194</v>
      </c>
      <c r="G2793" s="27" t="str">
        <f t="shared" si="86"/>
        <v>920 LAWRENCE ST  TOMBALL</v>
      </c>
      <c r="H2793" s="27" t="str">
        <f t="shared" si="87"/>
        <v>HOUSTON TX 77375</v>
      </c>
    </row>
    <row r="2794" spans="1:8" x14ac:dyDescent="0.2">
      <c r="A2794" s="27">
        <f>COUNTIFS(C:C,C2794,D:D,D2794)</f>
        <v>1</v>
      </c>
      <c r="B2794" s="30">
        <v>202101186797</v>
      </c>
      <c r="C2794" t="s">
        <v>6474</v>
      </c>
      <c r="D2794" t="s">
        <v>6475</v>
      </c>
      <c r="E2794" t="s">
        <v>4932</v>
      </c>
      <c r="F2794" t="s">
        <v>233</v>
      </c>
      <c r="G2794" s="27" t="str">
        <f t="shared" ref="G2794:G2857" si="88">D2794&amp;" "&amp;MID(E2794,1,FIND(" TX",E2794)-1)</f>
        <v>3800 SHERWOOD LN APT 170 HOUSTON</v>
      </c>
      <c r="H2794" s="27" t="str">
        <f t="shared" ref="H2794:H2857" si="89">"HOUSTON "&amp;MID(E2794,FIND("TX",E2794),8)</f>
        <v>HOUSTON TX 77092</v>
      </c>
    </row>
    <row r="2795" spans="1:8" x14ac:dyDescent="0.2">
      <c r="A2795" s="27">
        <f>COUNTIFS(C:C,C2795,D:D,D2795)</f>
        <v>1</v>
      </c>
      <c r="B2795" s="30">
        <v>202101186805</v>
      </c>
      <c r="C2795" t="s">
        <v>6476</v>
      </c>
      <c r="D2795" t="s">
        <v>6477</v>
      </c>
      <c r="E2795" t="s">
        <v>4890</v>
      </c>
      <c r="F2795" t="s">
        <v>194</v>
      </c>
      <c r="G2795" s="27" t="str">
        <f t="shared" si="88"/>
        <v>8527 GLENAIRE ST  HOUSTON</v>
      </c>
      <c r="H2795" s="27" t="str">
        <f t="shared" si="89"/>
        <v>HOUSTON TX 77061</v>
      </c>
    </row>
    <row r="2796" spans="1:8" x14ac:dyDescent="0.2">
      <c r="A2796" s="27">
        <f>COUNTIFS(C:C,C2796,D:D,D2796)</f>
        <v>1</v>
      </c>
      <c r="B2796" s="30">
        <v>202101186821</v>
      </c>
      <c r="C2796" t="s">
        <v>6478</v>
      </c>
      <c r="D2796" t="s">
        <v>6479</v>
      </c>
      <c r="E2796" t="s">
        <v>4907</v>
      </c>
      <c r="F2796" t="s">
        <v>208</v>
      </c>
      <c r="G2796" s="27" t="str">
        <f t="shared" si="88"/>
        <v>402 GARNER RD  PASADENA</v>
      </c>
      <c r="H2796" s="27" t="str">
        <f t="shared" si="89"/>
        <v>HOUSTON TX 77502</v>
      </c>
    </row>
    <row r="2797" spans="1:8" x14ac:dyDescent="0.2">
      <c r="A2797" s="27">
        <f>COUNTIFS(C:C,C2797,D:D,D2797)</f>
        <v>1</v>
      </c>
      <c r="B2797" s="30">
        <v>202101186828</v>
      </c>
      <c r="C2797" t="s">
        <v>6480</v>
      </c>
      <c r="D2797" t="s">
        <v>6481</v>
      </c>
      <c r="E2797" t="s">
        <v>4852</v>
      </c>
      <c r="F2797" t="s">
        <v>203</v>
      </c>
      <c r="G2797" s="27" t="str">
        <f t="shared" si="88"/>
        <v>9122 SPAULDING ST  HOUSTON</v>
      </c>
      <c r="H2797" s="27" t="str">
        <f t="shared" si="89"/>
        <v>HOUSTON TX 77016</v>
      </c>
    </row>
    <row r="2798" spans="1:8" x14ac:dyDescent="0.2">
      <c r="A2798" s="27">
        <f>COUNTIFS(C:C,C2798,D:D,D2798)</f>
        <v>1</v>
      </c>
      <c r="B2798" s="30">
        <v>202101186834</v>
      </c>
      <c r="C2798" t="s">
        <v>6482</v>
      </c>
      <c r="D2798" t="s">
        <v>6483</v>
      </c>
      <c r="E2798" t="s">
        <v>5266</v>
      </c>
      <c r="F2798" t="s">
        <v>194</v>
      </c>
      <c r="G2798" s="27" t="str">
        <f t="shared" si="88"/>
        <v>1350 OLD BEAUMONT RD  SOUR LAKE</v>
      </c>
      <c r="H2798" s="27" t="str">
        <f t="shared" si="89"/>
        <v>HOUSTON TX 77659</v>
      </c>
    </row>
    <row r="2799" spans="1:8" x14ac:dyDescent="0.2">
      <c r="A2799" s="27">
        <f>COUNTIFS(C:C,C2799,D:D,D2799)</f>
        <v>1</v>
      </c>
      <c r="B2799" s="30">
        <v>202101186835</v>
      </c>
      <c r="C2799" t="s">
        <v>6484</v>
      </c>
      <c r="D2799" t="s">
        <v>6485</v>
      </c>
      <c r="E2799" t="s">
        <v>4956</v>
      </c>
      <c r="F2799" t="s">
        <v>203</v>
      </c>
      <c r="G2799" s="27" t="str">
        <f t="shared" si="88"/>
        <v>18711 RUSTY ANCHOR  HUMBLE</v>
      </c>
      <c r="H2799" s="27" t="str">
        <f t="shared" si="89"/>
        <v>HOUSTON TX 77346</v>
      </c>
    </row>
    <row r="2800" spans="1:8" x14ac:dyDescent="0.2">
      <c r="A2800" s="27">
        <f>COUNTIFS(C:C,C2800,D:D,D2800)</f>
        <v>1</v>
      </c>
      <c r="B2800" s="30">
        <v>202101186840</v>
      </c>
      <c r="C2800" t="s">
        <v>6486</v>
      </c>
      <c r="D2800" t="s">
        <v>6487</v>
      </c>
      <c r="E2800" t="s">
        <v>6488</v>
      </c>
      <c r="F2800" t="s">
        <v>235</v>
      </c>
      <c r="G2800" s="27" t="str">
        <f t="shared" si="88"/>
        <v>6375 ROLLING HILLS R D CONROE</v>
      </c>
      <c r="H2800" s="27" t="str">
        <f t="shared" si="89"/>
        <v>HOUSTON TX 77303</v>
      </c>
    </row>
    <row r="2801" spans="1:8" x14ac:dyDescent="0.2">
      <c r="A2801" s="27">
        <f>COUNTIFS(C:C,C2801,D:D,D2801)</f>
        <v>1</v>
      </c>
      <c r="B2801" s="30">
        <v>202101186847</v>
      </c>
      <c r="C2801" t="s">
        <v>6489</v>
      </c>
      <c r="D2801" t="s">
        <v>6490</v>
      </c>
      <c r="E2801" t="s">
        <v>4914</v>
      </c>
      <c r="F2801" t="s">
        <v>200</v>
      </c>
      <c r="G2801" s="27" t="str">
        <f t="shared" si="88"/>
        <v>1602 ENCLAVE PKWY 16 21 HOUSTON</v>
      </c>
      <c r="H2801" s="27" t="str">
        <f t="shared" si="89"/>
        <v>HOUSTON TX 77077</v>
      </c>
    </row>
    <row r="2802" spans="1:8" x14ac:dyDescent="0.2">
      <c r="A2802" s="27">
        <f>COUNTIFS(C:C,C2802,D:D,D2802)</f>
        <v>1</v>
      </c>
      <c r="B2802" s="30">
        <v>202101186853</v>
      </c>
      <c r="C2802" t="s">
        <v>6040</v>
      </c>
      <c r="D2802" t="s">
        <v>6041</v>
      </c>
      <c r="E2802" t="s">
        <v>4908</v>
      </c>
      <c r="F2802" t="s">
        <v>4764</v>
      </c>
      <c r="G2802" s="27" t="str">
        <f t="shared" si="88"/>
        <v>9519 GODSTONE LN  SPRING</v>
      </c>
      <c r="H2802" s="27" t="str">
        <f t="shared" si="89"/>
        <v>HOUSTON TX 77379</v>
      </c>
    </row>
    <row r="2803" spans="1:8" x14ac:dyDescent="0.2">
      <c r="A2803" s="27">
        <f>COUNTIFS(C:C,C2803,D:D,D2803)</f>
        <v>1</v>
      </c>
      <c r="B2803" s="30">
        <v>202101186863</v>
      </c>
      <c r="C2803" t="s">
        <v>6491</v>
      </c>
      <c r="D2803" t="s">
        <v>6492</v>
      </c>
      <c r="E2803" t="s">
        <v>4943</v>
      </c>
      <c r="F2803" t="s">
        <v>185</v>
      </c>
      <c r="G2803" s="27" t="str">
        <f t="shared" si="88"/>
        <v>3426 CLIPPER WINDS W AY HOUSTON</v>
      </c>
      <c r="H2803" s="27" t="str">
        <f t="shared" si="89"/>
        <v>HOUSTON TX 77084</v>
      </c>
    </row>
    <row r="2804" spans="1:8" x14ac:dyDescent="0.2">
      <c r="A2804" s="27">
        <f>COUNTIFS(C:C,C2804,D:D,D2804)</f>
        <v>1</v>
      </c>
      <c r="B2804" s="30">
        <v>202101186886</v>
      </c>
      <c r="C2804" t="s">
        <v>6493</v>
      </c>
      <c r="D2804" t="s">
        <v>6494</v>
      </c>
      <c r="E2804" t="s">
        <v>4874</v>
      </c>
      <c r="F2804" t="s">
        <v>194</v>
      </c>
      <c r="G2804" s="27" t="str">
        <f t="shared" si="88"/>
        <v>5830 SOUTHINGTON  HOUSTON</v>
      </c>
      <c r="H2804" s="27" t="str">
        <f t="shared" si="89"/>
        <v>HOUSTON TX 77033</v>
      </c>
    </row>
    <row r="2805" spans="1:8" x14ac:dyDescent="0.2">
      <c r="A2805" s="27">
        <f>COUNTIFS(C:C,C2805,D:D,D2805)</f>
        <v>1</v>
      </c>
      <c r="B2805" s="30">
        <v>202101186888</v>
      </c>
      <c r="C2805" t="s">
        <v>6495</v>
      </c>
      <c r="D2805" t="s">
        <v>6496</v>
      </c>
      <c r="E2805" t="s">
        <v>5023</v>
      </c>
      <c r="F2805" t="s">
        <v>204</v>
      </c>
      <c r="G2805" s="27" t="str">
        <f t="shared" si="88"/>
        <v>7900 WESTHEIMER RD  HOUSTON</v>
      </c>
      <c r="H2805" s="27" t="str">
        <f t="shared" si="89"/>
        <v>HOUSTON TX 77063</v>
      </c>
    </row>
    <row r="2806" spans="1:8" x14ac:dyDescent="0.2">
      <c r="A2806" s="27">
        <f>COUNTIFS(C:C,C2806,D:D,D2806)</f>
        <v>1</v>
      </c>
      <c r="B2806" s="30">
        <v>202101186897</v>
      </c>
      <c r="C2806" t="s">
        <v>6497</v>
      </c>
      <c r="D2806" t="s">
        <v>6498</v>
      </c>
      <c r="E2806" t="s">
        <v>4856</v>
      </c>
      <c r="F2806" t="s">
        <v>200</v>
      </c>
      <c r="G2806" s="27" t="str">
        <f t="shared" si="88"/>
        <v>1915 SIEBER DR  HOUSTON</v>
      </c>
      <c r="H2806" s="27" t="str">
        <f t="shared" si="89"/>
        <v>HOUSTON TX 77017</v>
      </c>
    </row>
    <row r="2807" spans="1:8" x14ac:dyDescent="0.2">
      <c r="A2807" s="27">
        <f>COUNTIFS(C:C,C2807,D:D,D2807)</f>
        <v>1</v>
      </c>
      <c r="B2807" s="30">
        <v>202101186903</v>
      </c>
      <c r="C2807" t="s">
        <v>6499</v>
      </c>
      <c r="D2807" t="s">
        <v>6500</v>
      </c>
      <c r="E2807" t="s">
        <v>4891</v>
      </c>
      <c r="F2807" t="s">
        <v>203</v>
      </c>
      <c r="G2807" s="27" t="str">
        <f t="shared" si="88"/>
        <v>8306 DOUBLE AVE  HOUSTON</v>
      </c>
      <c r="H2807" s="27" t="str">
        <f t="shared" si="89"/>
        <v>HOUSTON TX 77088</v>
      </c>
    </row>
    <row r="2808" spans="1:8" x14ac:dyDescent="0.2">
      <c r="A2808" s="27">
        <f>COUNTIFS(C:C,C2808,D:D,D2808)</f>
        <v>1</v>
      </c>
      <c r="B2808" s="30">
        <v>202101186909</v>
      </c>
      <c r="C2808" t="s">
        <v>6501</v>
      </c>
      <c r="D2808" t="s">
        <v>6502</v>
      </c>
      <c r="E2808" t="s">
        <v>4856</v>
      </c>
      <c r="F2808" t="s">
        <v>200</v>
      </c>
      <c r="G2808" s="27" t="str">
        <f t="shared" si="88"/>
        <v>8138 A  HOUSTON</v>
      </c>
      <c r="H2808" s="27" t="str">
        <f t="shared" si="89"/>
        <v>HOUSTON TX 77017</v>
      </c>
    </row>
    <row r="2809" spans="1:8" x14ac:dyDescent="0.2">
      <c r="A2809" s="27">
        <f>COUNTIFS(C:C,C2809,D:D,D2809)</f>
        <v>1</v>
      </c>
      <c r="B2809" s="30">
        <v>202101186913</v>
      </c>
      <c r="C2809" t="s">
        <v>6503</v>
      </c>
      <c r="D2809" t="s">
        <v>6504</v>
      </c>
      <c r="E2809" t="s">
        <v>5022</v>
      </c>
      <c r="F2809" t="s">
        <v>189</v>
      </c>
      <c r="G2809" s="27" t="str">
        <f t="shared" si="88"/>
        <v>697 RD 2917  CLEVELAND</v>
      </c>
      <c r="H2809" s="27" t="str">
        <f t="shared" si="89"/>
        <v>HOUSTON TX 77327</v>
      </c>
    </row>
    <row r="2810" spans="1:8" x14ac:dyDescent="0.2">
      <c r="A2810" s="27">
        <f>COUNTIFS(C:C,C2810,D:D,D2810)</f>
        <v>1</v>
      </c>
      <c r="B2810" s="30">
        <v>202101186914</v>
      </c>
      <c r="C2810" t="s">
        <v>6505</v>
      </c>
      <c r="D2810" t="s">
        <v>6506</v>
      </c>
      <c r="E2810" t="s">
        <v>4901</v>
      </c>
      <c r="F2810" t="s">
        <v>194</v>
      </c>
      <c r="G2810" s="27" t="str">
        <f t="shared" si="88"/>
        <v>8000 COOK RD 1108  HOUSTON</v>
      </c>
      <c r="H2810" s="27" t="str">
        <f t="shared" si="89"/>
        <v>HOUSTON TX 77072</v>
      </c>
    </row>
    <row r="2811" spans="1:8" x14ac:dyDescent="0.2">
      <c r="A2811" s="27">
        <f>COUNTIFS(C:C,C2811,D:D,D2811)</f>
        <v>1</v>
      </c>
      <c r="B2811" s="30">
        <v>202101186923</v>
      </c>
      <c r="C2811" t="s">
        <v>6507</v>
      </c>
      <c r="D2811" t="s">
        <v>6508</v>
      </c>
      <c r="E2811" t="s">
        <v>4860</v>
      </c>
      <c r="F2811" t="s">
        <v>6509</v>
      </c>
      <c r="G2811" s="27" t="str">
        <f t="shared" si="88"/>
        <v>1227 PINE ST.  BAYTOWN</v>
      </c>
      <c r="H2811" s="27" t="str">
        <f t="shared" si="89"/>
        <v>HOUSTON TX 77520</v>
      </c>
    </row>
    <row r="2812" spans="1:8" x14ac:dyDescent="0.2">
      <c r="A2812" s="27">
        <f>COUNTIFS(C:C,C2812,D:D,D2812)</f>
        <v>1</v>
      </c>
      <c r="B2812" s="30">
        <v>202101186927</v>
      </c>
      <c r="C2812" t="s">
        <v>6510</v>
      </c>
      <c r="D2812" t="s">
        <v>6511</v>
      </c>
      <c r="E2812" t="s">
        <v>4855</v>
      </c>
      <c r="F2812" t="s">
        <v>6512</v>
      </c>
      <c r="G2812" s="27" t="str">
        <f t="shared" si="88"/>
        <v>9114 CHATWOOD DR  HOUSTON</v>
      </c>
      <c r="H2812" s="27" t="str">
        <f t="shared" si="89"/>
        <v>HOUSTON TX 77078</v>
      </c>
    </row>
    <row r="2813" spans="1:8" x14ac:dyDescent="0.2">
      <c r="A2813" s="27">
        <f>COUNTIFS(C:C,C2813,D:D,D2813)</f>
        <v>1</v>
      </c>
      <c r="B2813" s="30">
        <v>202101186930</v>
      </c>
      <c r="C2813" t="s">
        <v>6513</v>
      </c>
      <c r="D2813" t="s">
        <v>6514</v>
      </c>
      <c r="E2813" t="s">
        <v>5085</v>
      </c>
      <c r="F2813" t="s">
        <v>197</v>
      </c>
      <c r="G2813" s="27" t="str">
        <f t="shared" si="88"/>
        <v>602 BRAZOS ST  HEMPSTEAD</v>
      </c>
      <c r="H2813" s="27" t="str">
        <f t="shared" si="89"/>
        <v>HOUSTON TX 77445</v>
      </c>
    </row>
    <row r="2814" spans="1:8" x14ac:dyDescent="0.2">
      <c r="A2814" s="27">
        <f>COUNTIFS(C:C,C2814,D:D,D2814)</f>
        <v>1</v>
      </c>
      <c r="B2814" s="30">
        <v>202101186931</v>
      </c>
      <c r="C2814" t="s">
        <v>6515</v>
      </c>
      <c r="D2814" t="s">
        <v>6516</v>
      </c>
      <c r="E2814" t="s">
        <v>4889</v>
      </c>
      <c r="F2814" t="s">
        <v>197</v>
      </c>
      <c r="G2814" s="27" t="str">
        <f t="shared" si="88"/>
        <v>12022 DIANE LN  HOUSTON</v>
      </c>
      <c r="H2814" s="27" t="str">
        <f t="shared" si="89"/>
        <v>HOUSTON TX 77067</v>
      </c>
    </row>
    <row r="2815" spans="1:8" x14ac:dyDescent="0.2">
      <c r="A2815" s="27">
        <f>COUNTIFS(C:C,C2815,D:D,D2815)</f>
        <v>1</v>
      </c>
      <c r="B2815" s="30">
        <v>202101186938</v>
      </c>
      <c r="C2815" t="s">
        <v>6517</v>
      </c>
      <c r="D2815" t="s">
        <v>6518</v>
      </c>
      <c r="E2815" t="s">
        <v>5060</v>
      </c>
      <c r="F2815" t="s">
        <v>6519</v>
      </c>
      <c r="G2815" s="27" t="str">
        <f t="shared" si="88"/>
        <v>10803 GREEN CREEK DR  HOUSTON</v>
      </c>
      <c r="H2815" s="27" t="str">
        <f t="shared" si="89"/>
        <v>HOUSTON TX 77070</v>
      </c>
    </row>
    <row r="2816" spans="1:8" x14ac:dyDescent="0.2">
      <c r="A2816" s="27">
        <f>COUNTIFS(C:C,C2816,D:D,D2816)</f>
        <v>1</v>
      </c>
      <c r="B2816" s="30">
        <v>202101186956</v>
      </c>
      <c r="C2816" t="s">
        <v>6520</v>
      </c>
      <c r="D2816" t="s">
        <v>6521</v>
      </c>
      <c r="E2816" t="s">
        <v>4939</v>
      </c>
      <c r="F2816" t="s">
        <v>200</v>
      </c>
      <c r="G2816" s="27" t="str">
        <f t="shared" si="88"/>
        <v>11240 PERRY RD  HOUSTON</v>
      </c>
      <c r="H2816" s="27" t="str">
        <f t="shared" si="89"/>
        <v>HOUSTON TX 77064</v>
      </c>
    </row>
    <row r="2817" spans="1:8" x14ac:dyDescent="0.2">
      <c r="A2817" s="27">
        <f>COUNTIFS(C:C,C2817,D:D,D2817)</f>
        <v>1</v>
      </c>
      <c r="B2817" s="30">
        <v>202101186957</v>
      </c>
      <c r="C2817" t="s">
        <v>6522</v>
      </c>
      <c r="D2817" t="s">
        <v>6523</v>
      </c>
      <c r="E2817" t="s">
        <v>4855</v>
      </c>
      <c r="F2817" t="s">
        <v>192</v>
      </c>
      <c r="G2817" s="27" t="str">
        <f t="shared" si="88"/>
        <v>8934 VALLEY HOLLOW D R HOUSTON</v>
      </c>
      <c r="H2817" s="27" t="str">
        <f t="shared" si="89"/>
        <v>HOUSTON TX 77078</v>
      </c>
    </row>
    <row r="2818" spans="1:8" x14ac:dyDescent="0.2">
      <c r="A2818" s="27">
        <f>COUNTIFS(C:C,C2818,D:D,D2818)</f>
        <v>1</v>
      </c>
      <c r="B2818" s="30">
        <v>202101186962</v>
      </c>
      <c r="C2818" t="s">
        <v>6524</v>
      </c>
      <c r="D2818" t="s">
        <v>6525</v>
      </c>
      <c r="E2818" t="s">
        <v>4933</v>
      </c>
      <c r="F2818" t="s">
        <v>217</v>
      </c>
      <c r="G2818" s="27" t="str">
        <f t="shared" si="88"/>
        <v>2602 CAMPBELL RD  HOUSTON</v>
      </c>
      <c r="H2818" s="27" t="str">
        <f t="shared" si="89"/>
        <v>HOUSTON TX 77080</v>
      </c>
    </row>
    <row r="2819" spans="1:8" x14ac:dyDescent="0.2">
      <c r="A2819" s="27">
        <f>COUNTIFS(C:C,C2819,D:D,D2819)</f>
        <v>1</v>
      </c>
      <c r="B2819" s="30">
        <v>202101186963</v>
      </c>
      <c r="C2819" t="s">
        <v>6526</v>
      </c>
      <c r="D2819" t="s">
        <v>6527</v>
      </c>
      <c r="E2819" t="s">
        <v>4898</v>
      </c>
      <c r="F2819" t="s">
        <v>200</v>
      </c>
      <c r="G2819" s="27" t="str">
        <f t="shared" si="88"/>
        <v>9465 CLEARWOOD ST  HOUSTON</v>
      </c>
      <c r="H2819" s="27" t="str">
        <f t="shared" si="89"/>
        <v>HOUSTON TX 77075</v>
      </c>
    </row>
    <row r="2820" spans="1:8" x14ac:dyDescent="0.2">
      <c r="A2820" s="27">
        <f>COUNTIFS(C:C,C2820,D:D,D2820)</f>
        <v>1</v>
      </c>
      <c r="B2820" s="30">
        <v>202101186965</v>
      </c>
      <c r="C2820" t="s">
        <v>6528</v>
      </c>
      <c r="D2820" t="s">
        <v>6529</v>
      </c>
      <c r="E2820" t="s">
        <v>4855</v>
      </c>
      <c r="F2820" t="s">
        <v>244</v>
      </c>
      <c r="G2820" s="27" t="str">
        <f t="shared" si="88"/>
        <v>9806 ALCANTERRA DRIV E HOUSTON</v>
      </c>
      <c r="H2820" s="27" t="str">
        <f t="shared" si="89"/>
        <v>HOUSTON TX 77078</v>
      </c>
    </row>
    <row r="2821" spans="1:8" x14ac:dyDescent="0.2">
      <c r="A2821" s="27">
        <f>COUNTIFS(C:C,C2821,D:D,D2821)</f>
        <v>1</v>
      </c>
      <c r="B2821" s="30">
        <v>202101186966</v>
      </c>
      <c r="C2821" t="s">
        <v>6530</v>
      </c>
      <c r="D2821" t="s">
        <v>6529</v>
      </c>
      <c r="E2821" t="s">
        <v>4855</v>
      </c>
      <c r="F2821" t="s">
        <v>244</v>
      </c>
      <c r="G2821" s="27" t="str">
        <f t="shared" si="88"/>
        <v>9806 ALCANTERRA DRIV E HOUSTON</v>
      </c>
      <c r="H2821" s="27" t="str">
        <f t="shared" si="89"/>
        <v>HOUSTON TX 77078</v>
      </c>
    </row>
    <row r="2822" spans="1:8" x14ac:dyDescent="0.2">
      <c r="A2822" s="27">
        <f>COUNTIFS(C:C,C2822,D:D,D2822)</f>
        <v>1</v>
      </c>
      <c r="B2822" s="30">
        <v>202101186968</v>
      </c>
      <c r="C2822" t="s">
        <v>6531</v>
      </c>
      <c r="D2822" t="s">
        <v>6532</v>
      </c>
      <c r="E2822" t="s">
        <v>5080</v>
      </c>
      <c r="F2822" t="s">
        <v>194</v>
      </c>
      <c r="G2822" s="27" t="str">
        <f t="shared" si="88"/>
        <v>11002 HAMMERLY BLVD  HOUSTON</v>
      </c>
      <c r="H2822" s="27" t="str">
        <f t="shared" si="89"/>
        <v>HOUSTON TX 77043</v>
      </c>
    </row>
    <row r="2823" spans="1:8" x14ac:dyDescent="0.2">
      <c r="A2823" s="27">
        <f>COUNTIFS(C:C,C2823,D:D,D2823)</f>
        <v>1</v>
      </c>
      <c r="B2823" s="30">
        <v>202101186970</v>
      </c>
      <c r="C2823" t="s">
        <v>6533</v>
      </c>
      <c r="D2823" t="s">
        <v>6534</v>
      </c>
      <c r="E2823" t="s">
        <v>4915</v>
      </c>
      <c r="F2823" t="s">
        <v>241</v>
      </c>
      <c r="G2823" s="27" t="str">
        <f t="shared" si="88"/>
        <v>3802 DAPHNE ST  HOUSTON</v>
      </c>
      <c r="H2823" s="27" t="str">
        <f t="shared" si="89"/>
        <v>HOUSTON TX 77021</v>
      </c>
    </row>
    <row r="2824" spans="1:8" x14ac:dyDescent="0.2">
      <c r="A2824" s="27">
        <f>COUNTIFS(C:C,C2824,D:D,D2824)</f>
        <v>1</v>
      </c>
      <c r="B2824" s="30">
        <v>202101186971</v>
      </c>
      <c r="C2824" t="s">
        <v>6535</v>
      </c>
      <c r="D2824" t="s">
        <v>6536</v>
      </c>
      <c r="E2824" t="s">
        <v>4901</v>
      </c>
      <c r="F2824" t="s">
        <v>207</v>
      </c>
      <c r="G2824" s="27" t="str">
        <f t="shared" si="88"/>
        <v>8000 COOK RD 906  HOUSTON</v>
      </c>
      <c r="H2824" s="27" t="str">
        <f t="shared" si="89"/>
        <v>HOUSTON TX 77072</v>
      </c>
    </row>
    <row r="2825" spans="1:8" x14ac:dyDescent="0.2">
      <c r="A2825" s="27">
        <f>COUNTIFS(C:C,C2825,D:D,D2825)</f>
        <v>1</v>
      </c>
      <c r="B2825" s="30">
        <v>202101186973</v>
      </c>
      <c r="C2825" t="s">
        <v>6537</v>
      </c>
      <c r="D2825" t="s">
        <v>6538</v>
      </c>
      <c r="E2825" t="s">
        <v>4850</v>
      </c>
      <c r="F2825" t="s">
        <v>194</v>
      </c>
      <c r="G2825" s="27" t="str">
        <f t="shared" si="88"/>
        <v>11631 KIRKHOLLOW DR  HOUSTON</v>
      </c>
      <c r="H2825" s="27" t="str">
        <f t="shared" si="89"/>
        <v>HOUSTON TX 77089</v>
      </c>
    </row>
    <row r="2826" spans="1:8" x14ac:dyDescent="0.2">
      <c r="A2826" s="27">
        <f>COUNTIFS(C:C,C2826,D:D,D2826)</f>
        <v>1</v>
      </c>
      <c r="B2826" s="30">
        <v>202101186975</v>
      </c>
      <c r="C2826" t="s">
        <v>6539</v>
      </c>
      <c r="D2826" t="s">
        <v>6540</v>
      </c>
      <c r="E2826" t="s">
        <v>4909</v>
      </c>
      <c r="F2826" t="s">
        <v>203</v>
      </c>
      <c r="G2826" s="27" t="str">
        <f t="shared" si="88"/>
        <v>5742 DRAKESTONE BLVD  HOUSTON</v>
      </c>
      <c r="H2826" s="27" t="str">
        <f t="shared" si="89"/>
        <v>HOUSTON TX 77053</v>
      </c>
    </row>
    <row r="2827" spans="1:8" x14ac:dyDescent="0.2">
      <c r="A2827" s="27">
        <f>COUNTIFS(C:C,C2827,D:D,D2827)</f>
        <v>1</v>
      </c>
      <c r="B2827" s="30">
        <v>202101186978</v>
      </c>
      <c r="C2827" t="s">
        <v>6541</v>
      </c>
      <c r="D2827" t="s">
        <v>6542</v>
      </c>
      <c r="E2827" t="s">
        <v>4982</v>
      </c>
      <c r="F2827" t="s">
        <v>209</v>
      </c>
      <c r="G2827" s="27" t="str">
        <f t="shared" si="88"/>
        <v>201 PLAZA VERDE DR 1907 HOUSTON</v>
      </c>
      <c r="H2827" s="27" t="str">
        <f t="shared" si="89"/>
        <v>HOUSTON TX 77038</v>
      </c>
    </row>
    <row r="2828" spans="1:8" x14ac:dyDescent="0.2">
      <c r="A2828" s="27">
        <f>COUNTIFS(C:C,C2828,D:D,D2828)</f>
        <v>1</v>
      </c>
      <c r="B2828" s="30">
        <v>202101186979</v>
      </c>
      <c r="C2828" t="s">
        <v>6543</v>
      </c>
      <c r="D2828" t="s">
        <v>6544</v>
      </c>
      <c r="E2828" t="s">
        <v>4936</v>
      </c>
      <c r="F2828" t="s">
        <v>194</v>
      </c>
      <c r="G2828" s="27" t="str">
        <f t="shared" si="88"/>
        <v>7935 FAWN TERRACE DR  HOUSTON</v>
      </c>
      <c r="H2828" s="27" t="str">
        <f t="shared" si="89"/>
        <v>HOUSTON TX 77071</v>
      </c>
    </row>
    <row r="2829" spans="1:8" x14ac:dyDescent="0.2">
      <c r="A2829" s="27">
        <f>COUNTIFS(C:C,C2829,D:D,D2829)</f>
        <v>1</v>
      </c>
      <c r="B2829" s="30">
        <v>202101186984</v>
      </c>
      <c r="C2829" t="s">
        <v>6545</v>
      </c>
      <c r="D2829" t="s">
        <v>6546</v>
      </c>
      <c r="E2829" t="s">
        <v>4907</v>
      </c>
      <c r="F2829" t="s">
        <v>194</v>
      </c>
      <c r="G2829" s="27" t="str">
        <f t="shared" si="88"/>
        <v>1911 SOUTHMORE AVE  PASADENA</v>
      </c>
      <c r="H2829" s="27" t="str">
        <f t="shared" si="89"/>
        <v>HOUSTON TX 77502</v>
      </c>
    </row>
    <row r="2830" spans="1:8" x14ac:dyDescent="0.2">
      <c r="A2830" s="27">
        <f>COUNTIFS(C:C,C2830,D:D,D2830)</f>
        <v>1</v>
      </c>
      <c r="B2830" s="30">
        <v>202101186985</v>
      </c>
      <c r="C2830" t="s">
        <v>6547</v>
      </c>
      <c r="D2830" t="s">
        <v>6548</v>
      </c>
      <c r="E2830" t="s">
        <v>4900</v>
      </c>
      <c r="F2830" t="s">
        <v>233</v>
      </c>
      <c r="G2830" s="27" t="str">
        <f t="shared" si="88"/>
        <v>3630 WINSTROME CT  KATY</v>
      </c>
      <c r="H2830" s="27" t="str">
        <f t="shared" si="89"/>
        <v>HOUSTON TX 77449</v>
      </c>
    </row>
    <row r="2831" spans="1:8" x14ac:dyDescent="0.2">
      <c r="A2831" s="27">
        <f>COUNTIFS(C:C,C2831,D:D,D2831)</f>
        <v>1</v>
      </c>
      <c r="B2831" s="30">
        <v>202101186988</v>
      </c>
      <c r="C2831" t="s">
        <v>6549</v>
      </c>
      <c r="D2831" t="s">
        <v>6550</v>
      </c>
      <c r="E2831" t="s">
        <v>4896</v>
      </c>
      <c r="F2831" t="s">
        <v>6551</v>
      </c>
      <c r="G2831" s="27" t="str">
        <f t="shared" si="88"/>
        <v>8210 BEECHNUT ST  HOUSTON</v>
      </c>
      <c r="H2831" s="27" t="str">
        <f t="shared" si="89"/>
        <v>HOUSTON TX 77036</v>
      </c>
    </row>
    <row r="2832" spans="1:8" x14ac:dyDescent="0.2">
      <c r="A2832" s="27">
        <f>COUNTIFS(C:C,C2832,D:D,D2832)</f>
        <v>1</v>
      </c>
      <c r="B2832" s="30">
        <v>202101186998</v>
      </c>
      <c r="C2832" t="s">
        <v>6552</v>
      </c>
      <c r="D2832" t="s">
        <v>6553</v>
      </c>
      <c r="E2832" t="s">
        <v>4988</v>
      </c>
      <c r="F2832" t="s">
        <v>209</v>
      </c>
      <c r="G2832" s="27" t="str">
        <f t="shared" si="88"/>
        <v>2231 WOODGLEN DR.  MISSOURI C</v>
      </c>
      <c r="H2832" s="27" t="str">
        <f t="shared" si="89"/>
        <v>HOUSTON TX 77489</v>
      </c>
    </row>
    <row r="2833" spans="1:8" x14ac:dyDescent="0.2">
      <c r="A2833" s="27">
        <f>COUNTIFS(C:C,C2833,D:D,D2833)</f>
        <v>1</v>
      </c>
      <c r="B2833" s="30">
        <v>202101187004</v>
      </c>
      <c r="C2833" t="s">
        <v>6554</v>
      </c>
      <c r="D2833" t="s">
        <v>6555</v>
      </c>
      <c r="E2833" t="s">
        <v>4919</v>
      </c>
      <c r="F2833" t="s">
        <v>6556</v>
      </c>
      <c r="G2833" s="27" t="str">
        <f t="shared" si="88"/>
        <v>6103 CLAREWOOD DR  HOUSTON</v>
      </c>
      <c r="H2833" s="27" t="str">
        <f t="shared" si="89"/>
        <v>HOUSTON TX 77081</v>
      </c>
    </row>
    <row r="2834" spans="1:8" x14ac:dyDescent="0.2">
      <c r="A2834" s="27">
        <f>COUNTIFS(C:C,C2834,D:D,D2834)</f>
        <v>1</v>
      </c>
      <c r="B2834" s="30">
        <v>202101187016</v>
      </c>
      <c r="C2834" t="s">
        <v>6561</v>
      </c>
      <c r="D2834" t="s">
        <v>6562</v>
      </c>
      <c r="E2834" t="s">
        <v>4852</v>
      </c>
      <c r="F2834" t="s">
        <v>203</v>
      </c>
      <c r="G2834" s="27" t="str">
        <f t="shared" si="88"/>
        <v>8720 LAVENDER ST  HOUSTON</v>
      </c>
      <c r="H2834" s="27" t="str">
        <f t="shared" si="89"/>
        <v>HOUSTON TX 77016</v>
      </c>
    </row>
    <row r="2835" spans="1:8" x14ac:dyDescent="0.2">
      <c r="A2835" s="27">
        <f>COUNTIFS(C:C,C2835,D:D,D2835)</f>
        <v>1</v>
      </c>
      <c r="B2835" s="30">
        <v>202101187021</v>
      </c>
      <c r="C2835" t="s">
        <v>6563</v>
      </c>
      <c r="D2835" t="s">
        <v>6431</v>
      </c>
      <c r="E2835" t="s">
        <v>4904</v>
      </c>
      <c r="F2835" t="s">
        <v>196</v>
      </c>
      <c r="G2835" s="27" t="str">
        <f t="shared" si="88"/>
        <v>7932 PILLOT  HOUSTON</v>
      </c>
      <c r="H2835" s="27" t="str">
        <f t="shared" si="89"/>
        <v>HOUSTON TX 77029</v>
      </c>
    </row>
    <row r="2836" spans="1:8" x14ac:dyDescent="0.2">
      <c r="A2836" s="27">
        <f>COUNTIFS(C:C,C2836,D:D,D2836)</f>
        <v>1</v>
      </c>
      <c r="B2836" s="30">
        <v>202101187028</v>
      </c>
      <c r="C2836" t="s">
        <v>6564</v>
      </c>
      <c r="D2836" t="s">
        <v>6565</v>
      </c>
      <c r="E2836" t="s">
        <v>4852</v>
      </c>
      <c r="F2836" t="s">
        <v>4764</v>
      </c>
      <c r="G2836" s="27" t="str">
        <f t="shared" si="88"/>
        <v>9105 LOCKWOOD DR  HOUSTON</v>
      </c>
      <c r="H2836" s="27" t="str">
        <f t="shared" si="89"/>
        <v>HOUSTON TX 77016</v>
      </c>
    </row>
    <row r="2837" spans="1:8" x14ac:dyDescent="0.2">
      <c r="A2837" s="27">
        <f>COUNTIFS(C:C,C2837,D:D,D2837)</f>
        <v>1</v>
      </c>
      <c r="B2837" s="30">
        <v>202101187032</v>
      </c>
      <c r="C2837" t="s">
        <v>6566</v>
      </c>
      <c r="D2837" t="s">
        <v>6567</v>
      </c>
      <c r="E2837" t="s">
        <v>4891</v>
      </c>
      <c r="F2837" t="s">
        <v>201</v>
      </c>
      <c r="G2837" s="27" t="str">
        <f t="shared" si="88"/>
        <v>7357 ANTOINE DR  HOUSTON</v>
      </c>
      <c r="H2837" s="27" t="str">
        <f t="shared" si="89"/>
        <v>HOUSTON TX 77088</v>
      </c>
    </row>
    <row r="2838" spans="1:8" x14ac:dyDescent="0.2">
      <c r="A2838" s="27">
        <f>COUNTIFS(C:C,C2838,D:D,D2838)</f>
        <v>1</v>
      </c>
      <c r="B2838" s="30">
        <v>202101187054</v>
      </c>
      <c r="C2838" t="s">
        <v>6568</v>
      </c>
      <c r="D2838" t="s">
        <v>6569</v>
      </c>
      <c r="E2838" t="s">
        <v>4909</v>
      </c>
      <c r="F2838" t="s">
        <v>189</v>
      </c>
      <c r="G2838" s="27" t="str">
        <f t="shared" si="88"/>
        <v>16035 CLARKE SPRINGS DR HOUSTON</v>
      </c>
      <c r="H2838" s="27" t="str">
        <f t="shared" si="89"/>
        <v>HOUSTON TX 77053</v>
      </c>
    </row>
    <row r="2839" spans="1:8" x14ac:dyDescent="0.2">
      <c r="A2839" s="27">
        <f>COUNTIFS(C:C,C2839,D:D,D2839)</f>
        <v>1</v>
      </c>
      <c r="B2839" s="30">
        <v>202101191393</v>
      </c>
      <c r="C2839" t="s">
        <v>5437</v>
      </c>
      <c r="D2839" t="s">
        <v>6570</v>
      </c>
      <c r="E2839" t="s">
        <v>4853</v>
      </c>
      <c r="F2839" t="s">
        <v>5304</v>
      </c>
      <c r="G2839" s="27" t="str">
        <f t="shared" si="88"/>
        <v>12603 PLUM MEADOW LN  HOUSTON</v>
      </c>
      <c r="H2839" s="27" t="str">
        <f t="shared" si="89"/>
        <v>HOUSTON TX 77039</v>
      </c>
    </row>
    <row r="2840" spans="1:8" x14ac:dyDescent="0.2">
      <c r="A2840" s="27">
        <f>COUNTIFS(C:C,C2840,D:D,D2840)</f>
        <v>1</v>
      </c>
      <c r="B2840" s="30">
        <v>202101191464</v>
      </c>
      <c r="C2840" t="s">
        <v>5862</v>
      </c>
      <c r="D2840" t="s">
        <v>5863</v>
      </c>
      <c r="E2840" t="s">
        <v>5164</v>
      </c>
      <c r="F2840" t="s">
        <v>328</v>
      </c>
      <c r="G2840" s="27" t="str">
        <f t="shared" si="88"/>
        <v>9215 GARDNER ST  BEAUMONT</v>
      </c>
      <c r="H2840" s="27" t="str">
        <f t="shared" si="89"/>
        <v>HOUSTON TX 77707</v>
      </c>
    </row>
    <row r="2841" spans="1:8" x14ac:dyDescent="0.2">
      <c r="A2841" s="27">
        <f>COUNTIFS(C:C,C2841,D:D,D2841)</f>
        <v>1</v>
      </c>
      <c r="B2841" s="30">
        <v>202101191626</v>
      </c>
      <c r="C2841" t="s">
        <v>6571</v>
      </c>
      <c r="D2841" t="s">
        <v>6572</v>
      </c>
      <c r="E2841" t="s">
        <v>4857</v>
      </c>
      <c r="F2841" t="s">
        <v>380</v>
      </c>
      <c r="G2841" s="27" t="str">
        <f t="shared" si="88"/>
        <v>2011 N FISHER CT  PASADENA</v>
      </c>
      <c r="H2841" s="27" t="str">
        <f t="shared" si="89"/>
        <v>HOUSTON TX 77505</v>
      </c>
    </row>
    <row r="2842" spans="1:8" x14ac:dyDescent="0.2">
      <c r="A2842" s="27">
        <f>COUNTIFS(C:C,C2842,D:D,D2842)</f>
        <v>1</v>
      </c>
      <c r="B2842" s="30">
        <v>202101191680</v>
      </c>
      <c r="C2842" t="s">
        <v>6573</v>
      </c>
      <c r="D2842" t="s">
        <v>6574</v>
      </c>
      <c r="E2842" t="s">
        <v>6575</v>
      </c>
      <c r="F2842" t="s">
        <v>6576</v>
      </c>
      <c r="G2842" s="27" t="str">
        <f t="shared" si="88"/>
        <v>3016 SADDLEBROOK  WACO</v>
      </c>
      <c r="H2842" s="27" t="str">
        <f t="shared" si="89"/>
        <v>HOUSTON TX 76712</v>
      </c>
    </row>
    <row r="2843" spans="1:8" x14ac:dyDescent="0.2">
      <c r="A2843" s="27">
        <f>COUNTIFS(C:C,C2843,D:D,D2843)</f>
        <v>1</v>
      </c>
      <c r="B2843" s="30">
        <v>202101191685</v>
      </c>
      <c r="C2843" t="s">
        <v>6577</v>
      </c>
      <c r="D2843" t="s">
        <v>6578</v>
      </c>
      <c r="E2843" t="s">
        <v>4879</v>
      </c>
      <c r="F2843" t="s">
        <v>51</v>
      </c>
      <c r="G2843" s="27" t="str">
        <f t="shared" si="88"/>
        <v>5801 N HOUSTON ROSSL YN RD HOUSTON</v>
      </c>
      <c r="H2843" s="27" t="str">
        <f t="shared" si="89"/>
        <v>HOUSTON TX 77091</v>
      </c>
    </row>
    <row r="2844" spans="1:8" x14ac:dyDescent="0.2">
      <c r="A2844" s="27">
        <f>COUNTIFS(C:C,C2844,D:D,D2844)</f>
        <v>1</v>
      </c>
      <c r="B2844" s="30">
        <v>202101191714</v>
      </c>
      <c r="C2844" t="s">
        <v>6579</v>
      </c>
      <c r="D2844" t="s">
        <v>6580</v>
      </c>
      <c r="E2844" t="s">
        <v>4987</v>
      </c>
      <c r="F2844" t="s">
        <v>88</v>
      </c>
      <c r="G2844" s="27" t="str">
        <f t="shared" si="88"/>
        <v>7940 RAVENWOOD CIRCL E HOUSTON</v>
      </c>
      <c r="H2844" s="27" t="str">
        <f t="shared" si="89"/>
        <v>HOUSTON TX 77055</v>
      </c>
    </row>
    <row r="2845" spans="1:8" x14ac:dyDescent="0.2">
      <c r="A2845" s="27">
        <f>COUNTIFS(C:C,C2845,D:D,D2845)</f>
        <v>1</v>
      </c>
      <c r="B2845" s="30">
        <v>202101191718</v>
      </c>
      <c r="C2845" t="s">
        <v>6581</v>
      </c>
      <c r="D2845" t="s">
        <v>6582</v>
      </c>
      <c r="E2845" t="s">
        <v>5073</v>
      </c>
      <c r="F2845" t="s">
        <v>88</v>
      </c>
      <c r="G2845" s="27" t="str">
        <f t="shared" si="88"/>
        <v>1660 W TC JESTER 426  HOUSTON</v>
      </c>
      <c r="H2845" s="27" t="str">
        <f t="shared" si="89"/>
        <v>HOUSTON TX 77008</v>
      </c>
    </row>
    <row r="2846" spans="1:8" x14ac:dyDescent="0.2">
      <c r="A2846" s="27">
        <f>COUNTIFS(C:C,C2846,D:D,D2846)</f>
        <v>1</v>
      </c>
      <c r="B2846" s="30">
        <v>202101191723</v>
      </c>
      <c r="C2846" t="s">
        <v>6331</v>
      </c>
      <c r="D2846" t="s">
        <v>6332</v>
      </c>
      <c r="E2846" t="s">
        <v>4865</v>
      </c>
      <c r="F2846" t="s">
        <v>4848</v>
      </c>
      <c r="G2846" s="27" t="str">
        <f t="shared" si="88"/>
        <v>14723 CONOVER CT  HOUSTON</v>
      </c>
      <c r="H2846" s="27" t="str">
        <f t="shared" si="89"/>
        <v xml:space="preserve">HOUSTON TX      </v>
      </c>
    </row>
    <row r="2847" spans="1:8" x14ac:dyDescent="0.2">
      <c r="A2847" s="27">
        <f>COUNTIFS(C:C,C2847,D:D,D2847)</f>
        <v>1</v>
      </c>
      <c r="B2847" s="30">
        <v>202101191743</v>
      </c>
      <c r="C2847" t="s">
        <v>6585</v>
      </c>
      <c r="D2847" t="s">
        <v>6586</v>
      </c>
      <c r="E2847" t="s">
        <v>4934</v>
      </c>
      <c r="F2847" t="s">
        <v>88</v>
      </c>
      <c r="G2847" s="27" t="str">
        <f t="shared" si="88"/>
        <v>7409 TEXAS ST  HOUSTON</v>
      </c>
      <c r="H2847" s="27" t="str">
        <f t="shared" si="89"/>
        <v>HOUSTON TX 77011</v>
      </c>
    </row>
    <row r="2848" spans="1:8" x14ac:dyDescent="0.2">
      <c r="A2848" s="27">
        <f>COUNTIFS(C:C,C2848,D:D,D2848)</f>
        <v>1</v>
      </c>
      <c r="B2848" s="30">
        <v>202101191752</v>
      </c>
      <c r="C2848" t="s">
        <v>6587</v>
      </c>
      <c r="D2848" t="s">
        <v>6588</v>
      </c>
      <c r="E2848" t="s">
        <v>5022</v>
      </c>
      <c r="F2848" t="s">
        <v>88</v>
      </c>
      <c r="G2848" s="27" t="str">
        <f t="shared" si="88"/>
        <v>512 S ROOSEVELT AVE  CLEVELAND</v>
      </c>
      <c r="H2848" s="27" t="str">
        <f t="shared" si="89"/>
        <v>HOUSTON TX 77327</v>
      </c>
    </row>
    <row r="2849" spans="1:8" x14ac:dyDescent="0.2">
      <c r="A2849" s="27">
        <f>COUNTIFS(C:C,C2849,D:D,D2849)</f>
        <v>1</v>
      </c>
      <c r="B2849" s="30">
        <v>202101191754</v>
      </c>
      <c r="C2849" t="s">
        <v>6589</v>
      </c>
      <c r="D2849" t="s">
        <v>6590</v>
      </c>
      <c r="E2849" t="s">
        <v>4918</v>
      </c>
      <c r="F2849" t="s">
        <v>88</v>
      </c>
      <c r="G2849" s="27" t="str">
        <f t="shared" si="88"/>
        <v>3630 CHEANEY DR  HOUSTON</v>
      </c>
      <c r="H2849" s="27" t="str">
        <f t="shared" si="89"/>
        <v>HOUSTON TX 77066</v>
      </c>
    </row>
    <row r="2850" spans="1:8" x14ac:dyDescent="0.2">
      <c r="A2850" s="27">
        <f>COUNTIFS(C:C,C2850,D:D,D2850)</f>
        <v>1</v>
      </c>
      <c r="B2850" s="30">
        <v>202101191755</v>
      </c>
      <c r="C2850" t="s">
        <v>6591</v>
      </c>
      <c r="D2850" t="s">
        <v>6592</v>
      </c>
      <c r="E2850" t="s">
        <v>5077</v>
      </c>
      <c r="F2850" t="s">
        <v>88</v>
      </c>
      <c r="G2850" s="27" t="str">
        <f t="shared" si="88"/>
        <v>11906 CRYSTALWOOD DR  HOUSTON</v>
      </c>
      <c r="H2850" s="27" t="str">
        <f t="shared" si="89"/>
        <v>HOUSTON TX 77013</v>
      </c>
    </row>
    <row r="2851" spans="1:8" x14ac:dyDescent="0.2">
      <c r="A2851" s="27">
        <f>COUNTIFS(C:C,C2851,D:D,D2851)</f>
        <v>1</v>
      </c>
      <c r="B2851" s="30">
        <v>202101191775</v>
      </c>
      <c r="C2851" t="s">
        <v>6593</v>
      </c>
      <c r="D2851" t="s">
        <v>6594</v>
      </c>
      <c r="E2851" t="s">
        <v>4932</v>
      </c>
      <c r="F2851" t="s">
        <v>88</v>
      </c>
      <c r="G2851" s="27" t="str">
        <f t="shared" si="88"/>
        <v>6000 W SUNFOREST DR 304 HOUSTON</v>
      </c>
      <c r="H2851" s="27" t="str">
        <f t="shared" si="89"/>
        <v>HOUSTON TX 77092</v>
      </c>
    </row>
    <row r="2852" spans="1:8" x14ac:dyDescent="0.2">
      <c r="A2852" s="27">
        <f>COUNTIFS(C:C,C2852,D:D,D2852)</f>
        <v>1</v>
      </c>
      <c r="B2852" s="30">
        <v>202101191776</v>
      </c>
      <c r="C2852" t="s">
        <v>6595</v>
      </c>
      <c r="D2852" t="s">
        <v>6596</v>
      </c>
      <c r="E2852" t="s">
        <v>6597</v>
      </c>
      <c r="F2852" t="s">
        <v>88</v>
      </c>
      <c r="G2852" s="27" t="str">
        <f t="shared" si="88"/>
        <v>1613 HOLLOMAN RD  PORT LAVAC</v>
      </c>
      <c r="H2852" s="27" t="str">
        <f t="shared" si="89"/>
        <v>HOUSTON TX 77979</v>
      </c>
    </row>
    <row r="2853" spans="1:8" x14ac:dyDescent="0.2">
      <c r="A2853" s="27">
        <f>COUNTIFS(C:C,C2853,D:D,D2853)</f>
        <v>1</v>
      </c>
      <c r="B2853" s="30">
        <v>202101191777</v>
      </c>
      <c r="C2853" t="s">
        <v>6598</v>
      </c>
      <c r="D2853" t="s">
        <v>6599</v>
      </c>
      <c r="E2853" t="s">
        <v>5025</v>
      </c>
      <c r="F2853" t="s">
        <v>88</v>
      </c>
      <c r="G2853" s="27" t="str">
        <f t="shared" si="88"/>
        <v>6211 ROSEHILL HARVES T LOOP KATY</v>
      </c>
      <c r="H2853" s="27" t="str">
        <f t="shared" si="89"/>
        <v>HOUSTON TX 77493</v>
      </c>
    </row>
    <row r="2854" spans="1:8" x14ac:dyDescent="0.2">
      <c r="A2854" s="27">
        <f>COUNTIFS(C:C,C2854,D:D,D2854)</f>
        <v>1</v>
      </c>
      <c r="B2854" s="30">
        <v>202101191779</v>
      </c>
      <c r="C2854" t="s">
        <v>6600</v>
      </c>
      <c r="D2854" t="s">
        <v>1343</v>
      </c>
      <c r="E2854" t="s">
        <v>4886</v>
      </c>
      <c r="F2854" t="s">
        <v>53</v>
      </c>
      <c r="G2854" s="27" t="str">
        <f t="shared" si="88"/>
        <v>12101 FONDREN RD  HOUSTON</v>
      </c>
      <c r="H2854" s="27" t="str">
        <f t="shared" si="89"/>
        <v>HOUSTON TX 77035</v>
      </c>
    </row>
    <row r="2855" spans="1:8" x14ac:dyDescent="0.2">
      <c r="A2855" s="27">
        <f>COUNTIFS(C:C,C2855,D:D,D2855)</f>
        <v>1</v>
      </c>
      <c r="B2855" s="30">
        <v>202101191809</v>
      </c>
      <c r="C2855" t="s">
        <v>6601</v>
      </c>
      <c r="D2855" t="s">
        <v>6602</v>
      </c>
      <c r="E2855" t="s">
        <v>4876</v>
      </c>
      <c r="F2855" t="s">
        <v>53</v>
      </c>
      <c r="G2855" s="27" t="str">
        <f t="shared" si="88"/>
        <v>14606 BROWNSVILLE  HOUSTON</v>
      </c>
      <c r="H2855" s="27" t="str">
        <f t="shared" si="89"/>
        <v>HOUSTON TX 77015</v>
      </c>
    </row>
    <row r="2856" spans="1:8" x14ac:dyDescent="0.2">
      <c r="A2856" s="27">
        <f>COUNTIFS(C:C,C2856,D:D,D2856)</f>
        <v>1</v>
      </c>
      <c r="B2856" s="30">
        <v>202101191820</v>
      </c>
      <c r="C2856" t="s">
        <v>6603</v>
      </c>
      <c r="D2856" t="s">
        <v>6604</v>
      </c>
      <c r="E2856" t="s">
        <v>4952</v>
      </c>
      <c r="F2856" t="s">
        <v>87</v>
      </c>
      <c r="G2856" s="27" t="str">
        <f t="shared" si="88"/>
        <v>302 CENTER  PASADENA</v>
      </c>
      <c r="H2856" s="27" t="str">
        <f t="shared" si="89"/>
        <v>HOUSTON TX 77506</v>
      </c>
    </row>
    <row r="2857" spans="1:8" x14ac:dyDescent="0.2">
      <c r="A2857" s="27">
        <f>COUNTIFS(C:C,C2857,D:D,D2857)</f>
        <v>1</v>
      </c>
      <c r="B2857" s="30">
        <v>202101191837</v>
      </c>
      <c r="C2857" t="s">
        <v>6605</v>
      </c>
      <c r="D2857" t="s">
        <v>6606</v>
      </c>
      <c r="E2857" t="s">
        <v>4943</v>
      </c>
      <c r="F2857" t="s">
        <v>53</v>
      </c>
      <c r="G2857" s="27" t="str">
        <f t="shared" si="88"/>
        <v>2218 GREENHOUSE ROAD  HOUSTON</v>
      </c>
      <c r="H2857" s="27" t="str">
        <f t="shared" si="89"/>
        <v>HOUSTON TX 77084</v>
      </c>
    </row>
    <row r="2858" spans="1:8" x14ac:dyDescent="0.2">
      <c r="A2858" s="27">
        <f>COUNTIFS(C:C,C2858,D:D,D2858)</f>
        <v>1</v>
      </c>
      <c r="B2858" s="30">
        <v>202101191853</v>
      </c>
      <c r="C2858" t="s">
        <v>6607</v>
      </c>
      <c r="D2858" t="s">
        <v>6608</v>
      </c>
      <c r="E2858" t="s">
        <v>4987</v>
      </c>
      <c r="F2858" t="s">
        <v>53</v>
      </c>
      <c r="G2858" s="27" t="str">
        <f t="shared" ref="G2858:G2921" si="90">D2858&amp;" "&amp;MID(E2858,1,FIND(" TX",E2858)-1)</f>
        <v>1501 OJEMAN RD  HOUSTON</v>
      </c>
      <c r="H2858" s="27" t="str">
        <f t="shared" ref="H2858:H2921" si="91">"HOUSTON "&amp;MID(E2858,FIND("TX",E2858),8)</f>
        <v>HOUSTON TX 77055</v>
      </c>
    </row>
    <row r="2859" spans="1:8" x14ac:dyDescent="0.2">
      <c r="A2859" s="27">
        <f>COUNTIFS(C:C,C2859,D:D,D2859)</f>
        <v>1</v>
      </c>
      <c r="B2859" s="30">
        <v>202101191885</v>
      </c>
      <c r="C2859" t="s">
        <v>6609</v>
      </c>
      <c r="D2859" t="s">
        <v>6610</v>
      </c>
      <c r="E2859" t="s">
        <v>4859</v>
      </c>
      <c r="F2859" t="s">
        <v>53</v>
      </c>
      <c r="G2859" s="27" t="str">
        <f t="shared" si="90"/>
        <v>22820 IMPERIAL VALLEY DRIVE HOUSTON</v>
      </c>
      <c r="H2859" s="27" t="str">
        <f t="shared" si="91"/>
        <v>HOUSTON TX 77073</v>
      </c>
    </row>
    <row r="2860" spans="1:8" x14ac:dyDescent="0.2">
      <c r="A2860" s="27">
        <f>COUNTIFS(C:C,C2860,D:D,D2860)</f>
        <v>1</v>
      </c>
      <c r="B2860" s="30">
        <v>202101191887</v>
      </c>
      <c r="C2860" t="s">
        <v>6611</v>
      </c>
      <c r="D2860" t="s">
        <v>6612</v>
      </c>
      <c r="E2860" t="s">
        <v>4969</v>
      </c>
      <c r="F2860" t="s">
        <v>78</v>
      </c>
      <c r="G2860" s="27" t="str">
        <f t="shared" si="90"/>
        <v>12603 FORT ISABELLA  TOMBALL</v>
      </c>
      <c r="H2860" s="27" t="str">
        <f t="shared" si="91"/>
        <v>HOUSTON TX 77375</v>
      </c>
    </row>
    <row r="2861" spans="1:8" x14ac:dyDescent="0.2">
      <c r="A2861" s="27">
        <f>COUNTIFS(C:C,C2861,D:D,D2861)</f>
        <v>1</v>
      </c>
      <c r="B2861" s="30">
        <v>202101191890</v>
      </c>
      <c r="C2861" t="s">
        <v>6613</v>
      </c>
      <c r="D2861" t="s">
        <v>6614</v>
      </c>
      <c r="E2861" t="s">
        <v>4863</v>
      </c>
      <c r="F2861" t="s">
        <v>79</v>
      </c>
      <c r="G2861" s="27" t="str">
        <f t="shared" si="90"/>
        <v>16223 LUTHERAN CHURCH ROAD TOMBALL</v>
      </c>
      <c r="H2861" s="27" t="str">
        <f t="shared" si="91"/>
        <v>HOUSTON TX 77377</v>
      </c>
    </row>
    <row r="2862" spans="1:8" x14ac:dyDescent="0.2">
      <c r="A2862" s="27">
        <f>COUNTIFS(C:C,C2862,D:D,D2862)</f>
        <v>1</v>
      </c>
      <c r="B2862" s="30">
        <v>202101191906</v>
      </c>
      <c r="C2862" t="s">
        <v>6615</v>
      </c>
      <c r="D2862" t="s">
        <v>6616</v>
      </c>
      <c r="E2862" t="s">
        <v>4933</v>
      </c>
      <c r="F2862" t="s">
        <v>53</v>
      </c>
      <c r="G2862" s="27" t="str">
        <f t="shared" si="90"/>
        <v>9223 MCDADE  HOUSTON</v>
      </c>
      <c r="H2862" s="27" t="str">
        <f t="shared" si="91"/>
        <v>HOUSTON TX 77080</v>
      </c>
    </row>
    <row r="2863" spans="1:8" x14ac:dyDescent="0.2">
      <c r="A2863" s="27">
        <f>COUNTIFS(C:C,C2863,D:D,D2863)</f>
        <v>1</v>
      </c>
      <c r="B2863" s="30">
        <v>202101191912</v>
      </c>
      <c r="C2863" t="s">
        <v>6617</v>
      </c>
      <c r="D2863" t="s">
        <v>6618</v>
      </c>
      <c r="E2863" t="s">
        <v>4854</v>
      </c>
      <c r="F2863" t="s">
        <v>53</v>
      </c>
      <c r="G2863" s="27" t="str">
        <f t="shared" si="90"/>
        <v>3521 DABNEY ST  HOUSTON</v>
      </c>
      <c r="H2863" s="27" t="str">
        <f t="shared" si="91"/>
        <v>HOUSTON TX 77026</v>
      </c>
    </row>
    <row r="2864" spans="1:8" x14ac:dyDescent="0.2">
      <c r="A2864" s="27">
        <f>COUNTIFS(C:C,C2864,D:D,D2864)</f>
        <v>1</v>
      </c>
      <c r="B2864" s="30">
        <v>202101191914</v>
      </c>
      <c r="C2864" t="s">
        <v>6620</v>
      </c>
      <c r="D2864" t="s">
        <v>6621</v>
      </c>
      <c r="E2864" t="s">
        <v>4866</v>
      </c>
      <c r="F2864" t="s">
        <v>53</v>
      </c>
      <c r="G2864" s="27" t="str">
        <f t="shared" si="90"/>
        <v>724 JOHN ALBER RD  HOUSTON</v>
      </c>
      <c r="H2864" s="27" t="str">
        <f t="shared" si="91"/>
        <v>HOUSTON TX 77076</v>
      </c>
    </row>
    <row r="2865" spans="1:8" x14ac:dyDescent="0.2">
      <c r="A2865" s="27">
        <f>COUNTIFS(C:C,C2865,D:D,D2865)</f>
        <v>1</v>
      </c>
      <c r="B2865" s="30">
        <v>202101191921</v>
      </c>
      <c r="C2865" t="s">
        <v>6622</v>
      </c>
      <c r="D2865" t="s">
        <v>6623</v>
      </c>
      <c r="E2865" t="s">
        <v>4875</v>
      </c>
      <c r="F2865" t="s">
        <v>65</v>
      </c>
      <c r="G2865" s="27" t="str">
        <f t="shared" si="90"/>
        <v>7326 EUGENE  HOUSTON</v>
      </c>
      <c r="H2865" s="27" t="str">
        <f t="shared" si="91"/>
        <v>HOUSTON TX 77093</v>
      </c>
    </row>
    <row r="2866" spans="1:8" x14ac:dyDescent="0.2">
      <c r="A2866" s="27">
        <f>COUNTIFS(C:C,C2866,D:D,D2866)</f>
        <v>1</v>
      </c>
      <c r="B2866" s="30">
        <v>202101191924</v>
      </c>
      <c r="C2866" t="s">
        <v>6624</v>
      </c>
      <c r="D2866" t="s">
        <v>6625</v>
      </c>
      <c r="E2866" t="s">
        <v>4851</v>
      </c>
      <c r="F2866" t="s">
        <v>79</v>
      </c>
      <c r="G2866" s="27" t="str">
        <f t="shared" si="90"/>
        <v>5411 HEMLOCK DR  BAYTOWN</v>
      </c>
      <c r="H2866" s="27" t="str">
        <f t="shared" si="91"/>
        <v>HOUSTON TX 77521</v>
      </c>
    </row>
    <row r="2867" spans="1:8" x14ac:dyDescent="0.2">
      <c r="A2867" s="27">
        <f>COUNTIFS(C:C,C2867,D:D,D2867)</f>
        <v>1</v>
      </c>
      <c r="B2867" s="30">
        <v>202101191931</v>
      </c>
      <c r="C2867" t="s">
        <v>6626</v>
      </c>
      <c r="D2867" t="s">
        <v>6627</v>
      </c>
      <c r="E2867" t="s">
        <v>5160</v>
      </c>
      <c r="F2867" t="s">
        <v>51</v>
      </c>
      <c r="G2867" s="27" t="str">
        <f t="shared" si="90"/>
        <v>5612 DARLING  HOUSTON</v>
      </c>
      <c r="H2867" s="27" t="str">
        <f t="shared" si="91"/>
        <v>HOUSTON TX 77002</v>
      </c>
    </row>
    <row r="2868" spans="1:8" x14ac:dyDescent="0.2">
      <c r="A2868" s="27">
        <f>COUNTIFS(C:C,C2868,D:D,D2868)</f>
        <v>1</v>
      </c>
      <c r="B2868" s="30">
        <v>202101191932</v>
      </c>
      <c r="C2868" t="s">
        <v>6628</v>
      </c>
      <c r="D2868" t="s">
        <v>6629</v>
      </c>
      <c r="E2868" t="s">
        <v>4878</v>
      </c>
      <c r="F2868" t="s">
        <v>64</v>
      </c>
      <c r="G2868" s="27" t="str">
        <f t="shared" si="90"/>
        <v>12000 MARTIN LUTHER K ING BLVD HOUSTON</v>
      </c>
      <c r="H2868" s="27" t="str">
        <f t="shared" si="91"/>
        <v>HOUSTON TX 77048</v>
      </c>
    </row>
    <row r="2869" spans="1:8" x14ac:dyDescent="0.2">
      <c r="A2869" s="27">
        <f>COUNTIFS(C:C,C2869,D:D,D2869)</f>
        <v>1</v>
      </c>
      <c r="B2869" s="30">
        <v>202101191944</v>
      </c>
      <c r="C2869" t="s">
        <v>6630</v>
      </c>
      <c r="D2869" t="s">
        <v>6631</v>
      </c>
      <c r="E2869" t="s">
        <v>5025</v>
      </c>
      <c r="F2869" t="s">
        <v>78</v>
      </c>
      <c r="G2869" s="27" t="str">
        <f t="shared" si="90"/>
        <v>5338 DERBYSHIRE DR  KATY</v>
      </c>
      <c r="H2869" s="27" t="str">
        <f t="shared" si="91"/>
        <v>HOUSTON TX 77493</v>
      </c>
    </row>
    <row r="2870" spans="1:8" x14ac:dyDescent="0.2">
      <c r="A2870" s="27">
        <f>COUNTIFS(C:C,C2870,D:D,D2870)</f>
        <v>1</v>
      </c>
      <c r="B2870" s="30">
        <v>202101191949</v>
      </c>
      <c r="C2870" t="s">
        <v>6632</v>
      </c>
      <c r="D2870" t="s">
        <v>6633</v>
      </c>
      <c r="E2870" t="s">
        <v>4933</v>
      </c>
      <c r="F2870" t="s">
        <v>87</v>
      </c>
      <c r="G2870" s="27" t="str">
        <f t="shared" si="90"/>
        <v>8650 PITNER RD 167  HOUSTON</v>
      </c>
      <c r="H2870" s="27" t="str">
        <f t="shared" si="91"/>
        <v>HOUSTON TX 77080</v>
      </c>
    </row>
    <row r="2871" spans="1:8" x14ac:dyDescent="0.2">
      <c r="A2871" s="27">
        <f>COUNTIFS(C:C,C2871,D:D,D2871)</f>
        <v>1</v>
      </c>
      <c r="B2871" s="30">
        <v>202101191952</v>
      </c>
      <c r="C2871" t="s">
        <v>6634</v>
      </c>
      <c r="D2871" t="s">
        <v>6635</v>
      </c>
      <c r="E2871" t="s">
        <v>5014</v>
      </c>
      <c r="F2871" t="s">
        <v>68</v>
      </c>
      <c r="G2871" s="27" t="str">
        <f t="shared" si="90"/>
        <v>1702 LOMAX SCHOOL RO AD LA PORTE</v>
      </c>
      <c r="H2871" s="27" t="str">
        <f t="shared" si="91"/>
        <v>HOUSTON TX 77571</v>
      </c>
    </row>
    <row r="2872" spans="1:8" x14ac:dyDescent="0.2">
      <c r="A2872" s="27">
        <f>COUNTIFS(C:C,C2872,D:D,D2872)</f>
        <v>1</v>
      </c>
      <c r="B2872" s="30">
        <v>202101191953</v>
      </c>
      <c r="C2872" t="s">
        <v>6636</v>
      </c>
      <c r="D2872" t="s">
        <v>6637</v>
      </c>
      <c r="E2872" t="s">
        <v>6638</v>
      </c>
      <c r="F2872" t="s">
        <v>51</v>
      </c>
      <c r="G2872" s="27" t="e">
        <f t="shared" si="90"/>
        <v>#VALUE!</v>
      </c>
      <c r="H2872" s="27" t="e">
        <f t="shared" si="91"/>
        <v>#VALUE!</v>
      </c>
    </row>
    <row r="2873" spans="1:8" x14ac:dyDescent="0.2">
      <c r="A2873" s="27">
        <f>COUNTIFS(C:C,C2873,D:D,D2873)</f>
        <v>1</v>
      </c>
      <c r="B2873" s="30">
        <v>202101191957</v>
      </c>
      <c r="C2873" t="s">
        <v>6639</v>
      </c>
      <c r="D2873" t="s">
        <v>6640</v>
      </c>
      <c r="E2873" t="s">
        <v>5165</v>
      </c>
      <c r="F2873" t="s">
        <v>79</v>
      </c>
      <c r="G2873" s="27" t="str">
        <f t="shared" si="90"/>
        <v>7102 SILVERTHORN DR  SUGARLAND</v>
      </c>
      <c r="H2873" s="27" t="str">
        <f t="shared" si="91"/>
        <v>HOUSTON TX 77479</v>
      </c>
    </row>
    <row r="2874" spans="1:8" x14ac:dyDescent="0.2">
      <c r="A2874" s="27">
        <f>COUNTIFS(C:C,C2874,D:D,D2874)</f>
        <v>1</v>
      </c>
      <c r="B2874" s="30">
        <v>202101191958</v>
      </c>
      <c r="C2874" t="s">
        <v>6641</v>
      </c>
      <c r="D2874" t="s">
        <v>6642</v>
      </c>
      <c r="E2874" t="s">
        <v>4872</v>
      </c>
      <c r="F2874" t="s">
        <v>79</v>
      </c>
      <c r="G2874" s="27" t="str">
        <f t="shared" si="90"/>
        <v>8427 KELLETT ST  HOUSTON</v>
      </c>
      <c r="H2874" s="27" t="str">
        <f t="shared" si="91"/>
        <v>HOUSTON TX 77028</v>
      </c>
    </row>
    <row r="2875" spans="1:8" x14ac:dyDescent="0.2">
      <c r="A2875" s="27">
        <f>COUNTIFS(C:C,C2875,D:D,D2875)</f>
        <v>1</v>
      </c>
      <c r="B2875" s="30">
        <v>202101191960</v>
      </c>
      <c r="C2875" t="s">
        <v>6643</v>
      </c>
      <c r="D2875" t="s">
        <v>6644</v>
      </c>
      <c r="E2875" t="s">
        <v>4957</v>
      </c>
      <c r="F2875" t="s">
        <v>79</v>
      </c>
      <c r="G2875" s="27" t="str">
        <f t="shared" si="90"/>
        <v>7925 CROCKETT MARTIN RD CONROE</v>
      </c>
      <c r="H2875" s="27" t="str">
        <f t="shared" si="91"/>
        <v>HOUSTON TX 77306</v>
      </c>
    </row>
    <row r="2876" spans="1:8" x14ac:dyDescent="0.2">
      <c r="A2876" s="27">
        <f>COUNTIFS(C:C,C2876,D:D,D2876)</f>
        <v>1</v>
      </c>
      <c r="B2876" s="30">
        <v>202101191963</v>
      </c>
      <c r="C2876" t="s">
        <v>6645</v>
      </c>
      <c r="D2876" t="s">
        <v>6646</v>
      </c>
      <c r="E2876" t="s">
        <v>4895</v>
      </c>
      <c r="F2876" t="s">
        <v>53</v>
      </c>
      <c r="G2876" s="27" t="str">
        <f t="shared" si="90"/>
        <v>4109 NAVIGATION BLVD  HOUSTON</v>
      </c>
      <c r="H2876" s="27" t="str">
        <f t="shared" si="91"/>
        <v>HOUSTON TX 77003</v>
      </c>
    </row>
    <row r="2877" spans="1:8" x14ac:dyDescent="0.2">
      <c r="A2877" s="27">
        <f>COUNTIFS(C:C,C2877,D:D,D2877)</f>
        <v>1</v>
      </c>
      <c r="B2877" s="30">
        <v>202101191967</v>
      </c>
      <c r="C2877" t="s">
        <v>6647</v>
      </c>
      <c r="D2877" t="s">
        <v>6648</v>
      </c>
      <c r="E2877" t="s">
        <v>4874</v>
      </c>
      <c r="F2877" t="s">
        <v>87</v>
      </c>
      <c r="G2877" s="27" t="str">
        <f t="shared" si="90"/>
        <v>4930 VAN FLEET ST  HOUSTON</v>
      </c>
      <c r="H2877" s="27" t="str">
        <f t="shared" si="91"/>
        <v>HOUSTON TX 77033</v>
      </c>
    </row>
    <row r="2878" spans="1:8" x14ac:dyDescent="0.2">
      <c r="A2878" s="27">
        <f>COUNTIFS(C:C,C2878,D:D,D2878)</f>
        <v>1</v>
      </c>
      <c r="B2878" s="30">
        <v>202101191970</v>
      </c>
      <c r="C2878" t="s">
        <v>6649</v>
      </c>
      <c r="D2878" t="s">
        <v>6650</v>
      </c>
      <c r="E2878" t="s">
        <v>4875</v>
      </c>
      <c r="F2878" t="s">
        <v>6651</v>
      </c>
      <c r="G2878" s="27" t="str">
        <f t="shared" si="90"/>
        <v>4414 CICDA LANE  HOUSTON</v>
      </c>
      <c r="H2878" s="27" t="str">
        <f t="shared" si="91"/>
        <v>HOUSTON TX 77093</v>
      </c>
    </row>
    <row r="2879" spans="1:8" x14ac:dyDescent="0.2">
      <c r="A2879" s="27">
        <f>COUNTIFS(C:C,C2879,D:D,D2879)</f>
        <v>1</v>
      </c>
      <c r="B2879" s="30">
        <v>202101191976</v>
      </c>
      <c r="C2879" t="s">
        <v>6652</v>
      </c>
      <c r="D2879" t="s">
        <v>6653</v>
      </c>
      <c r="E2879" t="s">
        <v>4876</v>
      </c>
      <c r="F2879" t="s">
        <v>79</v>
      </c>
      <c r="G2879" s="27" t="str">
        <f t="shared" si="90"/>
        <v>90 UVALDE RD  HOUSTON</v>
      </c>
      <c r="H2879" s="27" t="str">
        <f t="shared" si="91"/>
        <v>HOUSTON TX 77015</v>
      </c>
    </row>
    <row r="2880" spans="1:8" x14ac:dyDescent="0.2">
      <c r="A2880" s="27">
        <f>COUNTIFS(C:C,C2880,D:D,D2880)</f>
        <v>1</v>
      </c>
      <c r="B2880" s="30">
        <v>202101191978</v>
      </c>
      <c r="C2880" t="s">
        <v>6654</v>
      </c>
      <c r="D2880" t="s">
        <v>6655</v>
      </c>
      <c r="E2880" t="s">
        <v>4952</v>
      </c>
      <c r="F2880" t="s">
        <v>87</v>
      </c>
      <c r="G2880" s="27" t="str">
        <f t="shared" si="90"/>
        <v>1071 WILLOW OAK CIR  PASADENA</v>
      </c>
      <c r="H2880" s="27" t="str">
        <f t="shared" si="91"/>
        <v>HOUSTON TX 77506</v>
      </c>
    </row>
    <row r="2881" spans="1:8" x14ac:dyDescent="0.2">
      <c r="A2881" s="27">
        <f>COUNTIFS(C:C,C2881,D:D,D2881)</f>
        <v>1</v>
      </c>
      <c r="B2881" s="30">
        <v>202101191979</v>
      </c>
      <c r="C2881" t="s">
        <v>6656</v>
      </c>
      <c r="D2881" t="s">
        <v>6657</v>
      </c>
      <c r="E2881" t="s">
        <v>4871</v>
      </c>
      <c r="F2881" t="s">
        <v>88</v>
      </c>
      <c r="G2881" s="27" t="str">
        <f t="shared" si="90"/>
        <v>3215 BAINBRIDGE HILL LN HOUSTON</v>
      </c>
      <c r="H2881" s="27" t="str">
        <f t="shared" si="91"/>
        <v>HOUSTON TX 77047</v>
      </c>
    </row>
    <row r="2882" spans="1:8" x14ac:dyDescent="0.2">
      <c r="A2882" s="27">
        <f>COUNTIFS(C:C,C2882,D:D,D2882)</f>
        <v>1</v>
      </c>
      <c r="B2882" s="30">
        <v>202101191984</v>
      </c>
      <c r="C2882" t="s">
        <v>6658</v>
      </c>
      <c r="D2882" t="s">
        <v>6659</v>
      </c>
      <c r="E2882" t="s">
        <v>4934</v>
      </c>
      <c r="F2882" t="s">
        <v>343</v>
      </c>
      <c r="G2882" s="27" t="str">
        <f t="shared" si="90"/>
        <v>7115 AVENUE K  HOUSTON</v>
      </c>
      <c r="H2882" s="27" t="str">
        <f t="shared" si="91"/>
        <v>HOUSTON TX 77011</v>
      </c>
    </row>
    <row r="2883" spans="1:8" x14ac:dyDescent="0.2">
      <c r="A2883" s="27">
        <f>COUNTIFS(C:C,C2883,D:D,D2883)</f>
        <v>1</v>
      </c>
      <c r="B2883" s="30">
        <v>202101191985</v>
      </c>
      <c r="C2883" t="s">
        <v>6660</v>
      </c>
      <c r="D2883" t="s">
        <v>1798</v>
      </c>
      <c r="E2883" t="s">
        <v>4986</v>
      </c>
      <c r="F2883" t="s">
        <v>53</v>
      </c>
      <c r="G2883" s="27" t="str">
        <f t="shared" si="90"/>
        <v>9393 FM 1960 BYPASS RD W HUMBLE</v>
      </c>
      <c r="H2883" s="27" t="str">
        <f t="shared" si="91"/>
        <v>HOUSTON TX 77338</v>
      </c>
    </row>
    <row r="2884" spans="1:8" x14ac:dyDescent="0.2">
      <c r="A2884" s="27">
        <f>COUNTIFS(C:C,C2884,D:D,D2884)</f>
        <v>1</v>
      </c>
      <c r="B2884" s="30">
        <v>202101191987</v>
      </c>
      <c r="C2884" t="s">
        <v>6661</v>
      </c>
      <c r="D2884" t="s">
        <v>6662</v>
      </c>
      <c r="E2884" t="s">
        <v>4865</v>
      </c>
      <c r="F2884" t="s">
        <v>87</v>
      </c>
      <c r="G2884" s="27" t="str">
        <f t="shared" si="90"/>
        <v>12626 WILD STRAWBERRY RD HOUSTON</v>
      </c>
      <c r="H2884" s="27" t="str">
        <f t="shared" si="91"/>
        <v xml:space="preserve">HOUSTON TX      </v>
      </c>
    </row>
    <row r="2885" spans="1:8" x14ac:dyDescent="0.2">
      <c r="A2885" s="27">
        <f>COUNTIFS(C:C,C2885,D:D,D2885)</f>
        <v>1</v>
      </c>
      <c r="B2885" s="30">
        <v>202101191991</v>
      </c>
      <c r="C2885" t="s">
        <v>6663</v>
      </c>
      <c r="D2885" t="s">
        <v>6664</v>
      </c>
      <c r="E2885" t="s">
        <v>5174</v>
      </c>
      <c r="F2885" t="s">
        <v>335</v>
      </c>
      <c r="G2885" s="27" t="str">
        <f t="shared" si="90"/>
        <v>25638 CRESTON MEADOW DR RICHMOND</v>
      </c>
      <c r="H2885" s="27" t="str">
        <f t="shared" si="91"/>
        <v>HOUSTON TX 77406</v>
      </c>
    </row>
    <row r="2886" spans="1:8" x14ac:dyDescent="0.2">
      <c r="A2886" s="27">
        <f>COUNTIFS(C:C,C2886,D:D,D2886)</f>
        <v>1</v>
      </c>
      <c r="B2886" s="30">
        <v>202101191995</v>
      </c>
      <c r="C2886" t="s">
        <v>6665</v>
      </c>
      <c r="D2886" t="s">
        <v>6666</v>
      </c>
      <c r="E2886" t="s">
        <v>4958</v>
      </c>
      <c r="F2886" t="s">
        <v>53</v>
      </c>
      <c r="G2886" s="27" t="str">
        <f t="shared" si="90"/>
        <v>8906 ILONA LN APT 4  HOUSTON</v>
      </c>
      <c r="H2886" s="27" t="str">
        <f t="shared" si="91"/>
        <v>HOUSTON TX 77025</v>
      </c>
    </row>
    <row r="2887" spans="1:8" x14ac:dyDescent="0.2">
      <c r="A2887" s="27">
        <f>COUNTIFS(C:C,C2887,D:D,D2887)</f>
        <v>1</v>
      </c>
      <c r="B2887" s="30">
        <v>202101191997</v>
      </c>
      <c r="C2887" t="s">
        <v>6667</v>
      </c>
      <c r="D2887" t="s">
        <v>6668</v>
      </c>
      <c r="E2887" t="s">
        <v>4928</v>
      </c>
      <c r="F2887" t="s">
        <v>51</v>
      </c>
      <c r="G2887" s="27" t="str">
        <f t="shared" si="90"/>
        <v>518 BROMPTON LN  HIGHLANDS</v>
      </c>
      <c r="H2887" s="27" t="str">
        <f t="shared" si="91"/>
        <v>HOUSTON TX 77562</v>
      </c>
    </row>
    <row r="2888" spans="1:8" x14ac:dyDescent="0.2">
      <c r="A2888" s="27">
        <f>COUNTIFS(C:C,C2888,D:D,D2888)</f>
        <v>1</v>
      </c>
      <c r="B2888" s="30">
        <v>202101192005</v>
      </c>
      <c r="C2888" t="s">
        <v>6669</v>
      </c>
      <c r="D2888" t="s">
        <v>6670</v>
      </c>
      <c r="E2888" t="s">
        <v>4951</v>
      </c>
      <c r="F2888" t="s">
        <v>88</v>
      </c>
      <c r="G2888" s="27" t="str">
        <f t="shared" si="90"/>
        <v>8514 PINE FALLS DR  HOUSTON</v>
      </c>
      <c r="H2888" s="27" t="str">
        <f t="shared" si="91"/>
        <v>HOUSTON TX 77095</v>
      </c>
    </row>
    <row r="2889" spans="1:8" x14ac:dyDescent="0.2">
      <c r="A2889" s="27">
        <f>COUNTIFS(C:C,C2889,D:D,D2889)</f>
        <v>1</v>
      </c>
      <c r="B2889" s="30">
        <v>202101192016</v>
      </c>
      <c r="C2889" t="s">
        <v>6671</v>
      </c>
      <c r="D2889" t="s">
        <v>6672</v>
      </c>
      <c r="E2889" t="s">
        <v>4997</v>
      </c>
      <c r="F2889" t="s">
        <v>79</v>
      </c>
      <c r="G2889" s="27" t="str">
        <f t="shared" si="90"/>
        <v>9210 BELLE GLEN DR  HOUSTON</v>
      </c>
      <c r="H2889" s="27" t="str">
        <f t="shared" si="91"/>
        <v>HOUSTON TX 77099</v>
      </c>
    </row>
    <row r="2890" spans="1:8" x14ac:dyDescent="0.2">
      <c r="A2890" s="27">
        <f>COUNTIFS(C:C,C2890,D:D,D2890)</f>
        <v>1</v>
      </c>
      <c r="B2890" s="30">
        <v>202101196678</v>
      </c>
      <c r="C2890" t="s">
        <v>6673</v>
      </c>
      <c r="D2890" t="s">
        <v>6674</v>
      </c>
      <c r="E2890" t="s">
        <v>4866</v>
      </c>
      <c r="F2890" t="s">
        <v>194</v>
      </c>
      <c r="G2890" s="27" t="str">
        <f t="shared" si="90"/>
        <v>814 E. PARKER RD.  HOUSTON</v>
      </c>
      <c r="H2890" s="27" t="str">
        <f t="shared" si="91"/>
        <v>HOUSTON TX 77076</v>
      </c>
    </row>
    <row r="2891" spans="1:8" x14ac:dyDescent="0.2">
      <c r="A2891" s="27">
        <f>COUNTIFS(C:C,C2891,D:D,D2891)</f>
        <v>1</v>
      </c>
      <c r="B2891" s="30">
        <v>202101196706</v>
      </c>
      <c r="C2891" t="s">
        <v>6675</v>
      </c>
      <c r="D2891" t="s">
        <v>6676</v>
      </c>
      <c r="E2891" t="s">
        <v>4981</v>
      </c>
      <c r="F2891" t="s">
        <v>187</v>
      </c>
      <c r="G2891" s="27" t="str">
        <f t="shared" si="90"/>
        <v>3932 ARLINGTON SQUAR E DR APT 1 HOUSTON</v>
      </c>
      <c r="H2891" s="27" t="str">
        <f t="shared" si="91"/>
        <v>HOUSTON TX 77034</v>
      </c>
    </row>
    <row r="2892" spans="1:8" x14ac:dyDescent="0.2">
      <c r="A2892" s="27">
        <f>COUNTIFS(C:C,C2892,D:D,D2892)</f>
        <v>1</v>
      </c>
      <c r="B2892" s="30">
        <v>202101196737</v>
      </c>
      <c r="C2892" t="s">
        <v>6677</v>
      </c>
      <c r="D2892" t="s">
        <v>6678</v>
      </c>
      <c r="E2892" t="s">
        <v>4876</v>
      </c>
      <c r="F2892" t="s">
        <v>6679</v>
      </c>
      <c r="G2892" s="27" t="str">
        <f t="shared" si="90"/>
        <v>13933 VICTORIA ST  HOUSTON</v>
      </c>
      <c r="H2892" s="27" t="str">
        <f t="shared" si="91"/>
        <v>HOUSTON TX 77015</v>
      </c>
    </row>
    <row r="2893" spans="1:8" x14ac:dyDescent="0.2">
      <c r="A2893" s="27">
        <f>COUNTIFS(C:C,C2893,D:D,D2893)</f>
        <v>1</v>
      </c>
      <c r="B2893" s="30">
        <v>202101196751</v>
      </c>
      <c r="C2893" t="s">
        <v>6680</v>
      </c>
      <c r="D2893" t="s">
        <v>6681</v>
      </c>
      <c r="E2893" t="s">
        <v>4951</v>
      </c>
      <c r="F2893" t="s">
        <v>200</v>
      </c>
      <c r="G2893" s="27" t="str">
        <f t="shared" si="90"/>
        <v>8630 EASTON COMMONS DRIVE HOUSTON</v>
      </c>
      <c r="H2893" s="27" t="str">
        <f t="shared" si="91"/>
        <v>HOUSTON TX 77095</v>
      </c>
    </row>
    <row r="2894" spans="1:8" x14ac:dyDescent="0.2">
      <c r="A2894" s="27">
        <f>COUNTIFS(C:C,C2894,D:D,D2894)</f>
        <v>1</v>
      </c>
      <c r="B2894" s="30">
        <v>202101196992</v>
      </c>
      <c r="C2894" t="s">
        <v>6683</v>
      </c>
      <c r="D2894" t="s">
        <v>6684</v>
      </c>
      <c r="E2894" t="s">
        <v>4873</v>
      </c>
      <c r="F2894" t="s">
        <v>352</v>
      </c>
      <c r="G2894" s="27" t="str">
        <f t="shared" si="90"/>
        <v>13031 TERRACE RUN LN  HOUSTON</v>
      </c>
      <c r="H2894" s="27" t="str">
        <f t="shared" si="91"/>
        <v>HOUSTON TX 77044</v>
      </c>
    </row>
    <row r="2895" spans="1:8" x14ac:dyDescent="0.2">
      <c r="A2895" s="27">
        <f>COUNTIFS(C:C,C2895,D:D,D2895)</f>
        <v>1</v>
      </c>
      <c r="B2895" s="30">
        <v>202101197006</v>
      </c>
      <c r="C2895" t="s">
        <v>6557</v>
      </c>
      <c r="D2895" t="s">
        <v>6558</v>
      </c>
      <c r="E2895" t="s">
        <v>4891</v>
      </c>
      <c r="F2895" t="s">
        <v>6682</v>
      </c>
      <c r="G2895" s="27" t="str">
        <f t="shared" si="90"/>
        <v>9601 W MONTGOMERY RD 229 HOUSTON</v>
      </c>
      <c r="H2895" s="27" t="str">
        <f t="shared" si="91"/>
        <v>HOUSTON TX 77088</v>
      </c>
    </row>
    <row r="2896" spans="1:8" x14ac:dyDescent="0.2">
      <c r="A2896" s="27">
        <f>COUNTIFS(C:C,C2896,D:D,D2896)</f>
        <v>1</v>
      </c>
      <c r="B2896" s="30">
        <v>202101197017</v>
      </c>
      <c r="C2896" t="s">
        <v>6685</v>
      </c>
      <c r="D2896" t="s">
        <v>6686</v>
      </c>
      <c r="E2896" t="s">
        <v>5014</v>
      </c>
      <c r="F2896" t="s">
        <v>187</v>
      </c>
      <c r="G2896" s="27" t="str">
        <f t="shared" si="90"/>
        <v>10431 WINDING TRAIL R D LA PORTE</v>
      </c>
      <c r="H2896" s="27" t="str">
        <f t="shared" si="91"/>
        <v>HOUSTON TX 77571</v>
      </c>
    </row>
    <row r="2897" spans="1:8" x14ac:dyDescent="0.2">
      <c r="A2897" s="27">
        <f>COUNTIFS(C:C,C2897,D:D,D2897)</f>
        <v>1</v>
      </c>
      <c r="B2897" s="30">
        <v>202101197030</v>
      </c>
      <c r="C2897" t="s">
        <v>6687</v>
      </c>
      <c r="D2897" t="s">
        <v>6688</v>
      </c>
      <c r="E2897" t="s">
        <v>4891</v>
      </c>
      <c r="F2897" t="s">
        <v>194</v>
      </c>
      <c r="G2897" s="27" t="str">
        <f t="shared" si="90"/>
        <v>10241 LOG HOLLOW  HOUSTON</v>
      </c>
      <c r="H2897" s="27" t="str">
        <f t="shared" si="91"/>
        <v>HOUSTON TX 77088</v>
      </c>
    </row>
    <row r="2898" spans="1:8" x14ac:dyDescent="0.2">
      <c r="A2898" s="27">
        <f>COUNTIFS(C:C,C2898,D:D,D2898)</f>
        <v>1</v>
      </c>
      <c r="B2898" s="30">
        <v>202101197038</v>
      </c>
      <c r="C2898" t="s">
        <v>6689</v>
      </c>
      <c r="D2898" t="s">
        <v>6690</v>
      </c>
      <c r="E2898" t="s">
        <v>4865</v>
      </c>
      <c r="F2898" t="s">
        <v>6691</v>
      </c>
      <c r="G2898" s="27" t="str">
        <f t="shared" si="90"/>
        <v>2828 HAYS RD  HOUSTON</v>
      </c>
      <c r="H2898" s="27" t="str">
        <f t="shared" si="91"/>
        <v xml:space="preserve">HOUSTON TX      </v>
      </c>
    </row>
    <row r="2899" spans="1:8" x14ac:dyDescent="0.2">
      <c r="A2899" s="27">
        <f>COUNTIFS(C:C,C2899,D:D,D2899)</f>
        <v>1</v>
      </c>
      <c r="B2899" s="30">
        <v>202101197043</v>
      </c>
      <c r="C2899" t="s">
        <v>6692</v>
      </c>
      <c r="D2899" t="s">
        <v>6693</v>
      </c>
      <c r="E2899" t="s">
        <v>4931</v>
      </c>
      <c r="F2899" t="s">
        <v>200</v>
      </c>
      <c r="G2899" s="27" t="str">
        <f t="shared" si="90"/>
        <v>14365 CORNERSTONE VIL LAGE DR AP HOUSTON</v>
      </c>
      <c r="H2899" s="27" t="str">
        <f t="shared" si="91"/>
        <v>HOUSTON TX 77014</v>
      </c>
    </row>
    <row r="2900" spans="1:8" x14ac:dyDescent="0.2">
      <c r="A2900" s="27">
        <f>COUNTIFS(C:C,C2900,D:D,D2900)</f>
        <v>1</v>
      </c>
      <c r="B2900" s="30">
        <v>202101197048</v>
      </c>
      <c r="C2900" t="s">
        <v>6694</v>
      </c>
      <c r="D2900" t="s">
        <v>6695</v>
      </c>
      <c r="E2900" t="s">
        <v>4943</v>
      </c>
      <c r="F2900" t="s">
        <v>252</v>
      </c>
      <c r="G2900" s="27" t="str">
        <f t="shared" si="90"/>
        <v>4730 TAIN DR  HOUSTON</v>
      </c>
      <c r="H2900" s="27" t="str">
        <f t="shared" si="91"/>
        <v>HOUSTON TX 77084</v>
      </c>
    </row>
    <row r="2901" spans="1:8" x14ac:dyDescent="0.2">
      <c r="A2901" s="27">
        <f>COUNTIFS(C:C,C2901,D:D,D2901)</f>
        <v>1</v>
      </c>
      <c r="B2901" s="30">
        <v>202101197049</v>
      </c>
      <c r="C2901" t="s">
        <v>6696</v>
      </c>
      <c r="D2901" t="s">
        <v>3211</v>
      </c>
      <c r="E2901" t="s">
        <v>4975</v>
      </c>
      <c r="F2901" t="s">
        <v>215</v>
      </c>
      <c r="G2901" s="27" t="str">
        <f t="shared" si="90"/>
        <v>12613 SEATTLE SLEW  HOUSTON</v>
      </c>
      <c r="H2901" s="27" t="str">
        <f t="shared" si="91"/>
        <v>HOUSTON TX 77065</v>
      </c>
    </row>
    <row r="2902" spans="1:8" x14ac:dyDescent="0.2">
      <c r="A2902" s="27">
        <f>COUNTIFS(C:C,C2902,D:D,D2902)</f>
        <v>1</v>
      </c>
      <c r="B2902" s="30">
        <v>202101197051</v>
      </c>
      <c r="C2902" t="s">
        <v>6697</v>
      </c>
      <c r="D2902" t="s">
        <v>6698</v>
      </c>
      <c r="E2902" t="s">
        <v>4904</v>
      </c>
      <c r="F2902" t="s">
        <v>203</v>
      </c>
      <c r="G2902" s="27" t="str">
        <f t="shared" si="90"/>
        <v>414 CALLOWAY  HOUSTON</v>
      </c>
      <c r="H2902" s="27" t="str">
        <f t="shared" si="91"/>
        <v>HOUSTON TX 77029</v>
      </c>
    </row>
    <row r="2903" spans="1:8" x14ac:dyDescent="0.2">
      <c r="A2903" s="27">
        <f>COUNTIFS(C:C,C2903,D:D,D2903)</f>
        <v>1</v>
      </c>
      <c r="B2903" s="30">
        <v>202101197052</v>
      </c>
      <c r="C2903" t="s">
        <v>6699</v>
      </c>
      <c r="D2903" t="s">
        <v>6700</v>
      </c>
      <c r="E2903" t="s">
        <v>4903</v>
      </c>
      <c r="F2903" t="s">
        <v>228</v>
      </c>
      <c r="G2903" s="27" t="str">
        <f t="shared" si="90"/>
        <v>19831 WHISTLE CREEK L N CYPRESS</v>
      </c>
      <c r="H2903" s="27" t="str">
        <f t="shared" si="91"/>
        <v>HOUSTON TX 77433</v>
      </c>
    </row>
    <row r="2904" spans="1:8" x14ac:dyDescent="0.2">
      <c r="A2904" s="27">
        <f>COUNTIFS(C:C,C2904,D:D,D2904)</f>
        <v>1</v>
      </c>
      <c r="B2904" s="30">
        <v>202101197055</v>
      </c>
      <c r="C2904" t="s">
        <v>6701</v>
      </c>
      <c r="D2904" t="s">
        <v>6702</v>
      </c>
      <c r="E2904" t="s">
        <v>5164</v>
      </c>
      <c r="F2904" t="s">
        <v>188</v>
      </c>
      <c r="G2904" s="27" t="str">
        <f t="shared" si="90"/>
        <v>9485 MCLEAN ST  BEAUMONT</v>
      </c>
      <c r="H2904" s="27" t="str">
        <f t="shared" si="91"/>
        <v>HOUSTON TX 77707</v>
      </c>
    </row>
    <row r="2905" spans="1:8" x14ac:dyDescent="0.2">
      <c r="A2905" s="27">
        <f>COUNTIFS(C:C,C2905,D:D,D2905)</f>
        <v>1</v>
      </c>
      <c r="B2905" s="30">
        <v>202101197056</v>
      </c>
      <c r="C2905" t="s">
        <v>6703</v>
      </c>
      <c r="D2905" t="s">
        <v>6704</v>
      </c>
      <c r="E2905" t="s">
        <v>5146</v>
      </c>
      <c r="F2905" t="s">
        <v>189</v>
      </c>
      <c r="G2905" s="27" t="str">
        <f t="shared" si="90"/>
        <v>58 SPRING CIRCLE D R HUNTSVILLE</v>
      </c>
      <c r="H2905" s="27" t="str">
        <f t="shared" si="91"/>
        <v>HOUSTON TX 77320</v>
      </c>
    </row>
    <row r="2906" spans="1:8" x14ac:dyDescent="0.2">
      <c r="A2906" s="27">
        <f>COUNTIFS(C:C,C2906,D:D,D2906)</f>
        <v>1</v>
      </c>
      <c r="B2906" s="30">
        <v>202101197058</v>
      </c>
      <c r="C2906" t="s">
        <v>6705</v>
      </c>
      <c r="D2906" t="s">
        <v>6706</v>
      </c>
      <c r="E2906" t="s">
        <v>4904</v>
      </c>
      <c r="F2906" t="s">
        <v>203</v>
      </c>
      <c r="G2906" s="27" t="str">
        <f t="shared" si="90"/>
        <v>8738 FANNETTE  HOUSTON</v>
      </c>
      <c r="H2906" s="27" t="str">
        <f t="shared" si="91"/>
        <v>HOUSTON TX 77029</v>
      </c>
    </row>
    <row r="2907" spans="1:8" x14ac:dyDescent="0.2">
      <c r="A2907" s="27">
        <f>COUNTIFS(C:C,C2907,D:D,D2907)</f>
        <v>1</v>
      </c>
      <c r="B2907" s="30">
        <v>202101197059</v>
      </c>
      <c r="C2907" t="s">
        <v>6707</v>
      </c>
      <c r="D2907" t="s">
        <v>6708</v>
      </c>
      <c r="E2907" t="s">
        <v>4966</v>
      </c>
      <c r="F2907" t="s">
        <v>194</v>
      </c>
      <c r="G2907" s="27" t="str">
        <f t="shared" si="90"/>
        <v>4314 DURANT TRLR  DEER PARK</v>
      </c>
      <c r="H2907" s="27" t="str">
        <f t="shared" si="91"/>
        <v>HOUSTON TX 77536</v>
      </c>
    </row>
    <row r="2908" spans="1:8" x14ac:dyDescent="0.2">
      <c r="A2908" s="27">
        <f>COUNTIFS(C:C,C2908,D:D,D2908)</f>
        <v>1</v>
      </c>
      <c r="B2908" s="30">
        <v>202101197061</v>
      </c>
      <c r="C2908" t="s">
        <v>6709</v>
      </c>
      <c r="D2908" t="s">
        <v>6710</v>
      </c>
      <c r="E2908" t="s">
        <v>4891</v>
      </c>
      <c r="F2908" t="s">
        <v>203</v>
      </c>
      <c r="G2908" s="27" t="str">
        <f t="shared" si="90"/>
        <v>9610 WINTER BLOOM LA NE HOUSTON</v>
      </c>
      <c r="H2908" s="27" t="str">
        <f t="shared" si="91"/>
        <v>HOUSTON TX 77088</v>
      </c>
    </row>
    <row r="2909" spans="1:8" x14ac:dyDescent="0.2">
      <c r="A2909" s="27">
        <f>COUNTIFS(C:C,C2909,D:D,D2909)</f>
        <v>1</v>
      </c>
      <c r="B2909" s="30">
        <v>202101197063</v>
      </c>
      <c r="C2909" t="s">
        <v>6711</v>
      </c>
      <c r="D2909" t="s">
        <v>6712</v>
      </c>
      <c r="E2909" t="s">
        <v>4860</v>
      </c>
      <c r="F2909" t="s">
        <v>196</v>
      </c>
      <c r="G2909" s="27" t="str">
        <f t="shared" si="90"/>
        <v>3201 MICHIGAN ST  BAYTOWN</v>
      </c>
      <c r="H2909" s="27" t="str">
        <f t="shared" si="91"/>
        <v>HOUSTON TX 77520</v>
      </c>
    </row>
    <row r="2910" spans="1:8" x14ac:dyDescent="0.2">
      <c r="A2910" s="27">
        <f>COUNTIFS(C:C,C2910,D:D,D2910)</f>
        <v>1</v>
      </c>
      <c r="B2910" s="30">
        <v>202101197065</v>
      </c>
      <c r="C2910" t="s">
        <v>6713</v>
      </c>
      <c r="D2910" t="s">
        <v>6714</v>
      </c>
      <c r="E2910" t="s">
        <v>4943</v>
      </c>
      <c r="F2910" t="s">
        <v>194</v>
      </c>
      <c r="G2910" s="27" t="str">
        <f t="shared" si="90"/>
        <v>17714 POPPY TRAILS LA NE HOUSTON</v>
      </c>
      <c r="H2910" s="27" t="str">
        <f t="shared" si="91"/>
        <v>HOUSTON TX 77084</v>
      </c>
    </row>
    <row r="2911" spans="1:8" x14ac:dyDescent="0.2">
      <c r="A2911" s="27">
        <f>COUNTIFS(C:C,C2911,D:D,D2911)</f>
        <v>1</v>
      </c>
      <c r="B2911" s="30">
        <v>202101197068</v>
      </c>
      <c r="C2911" t="s">
        <v>6715</v>
      </c>
      <c r="D2911" t="s">
        <v>6716</v>
      </c>
      <c r="E2911" t="s">
        <v>4858</v>
      </c>
      <c r="F2911" t="s">
        <v>193</v>
      </c>
      <c r="G2911" s="27" t="str">
        <f t="shared" si="90"/>
        <v>2110 DOWLING DR  RICHMOND</v>
      </c>
      <c r="H2911" s="27" t="str">
        <f t="shared" si="91"/>
        <v>HOUSTON TX 77469</v>
      </c>
    </row>
    <row r="2912" spans="1:8" x14ac:dyDescent="0.2">
      <c r="A2912" s="27">
        <f>COUNTIFS(C:C,C2912,D:D,D2912)</f>
        <v>1</v>
      </c>
      <c r="B2912" s="30">
        <v>202101197077</v>
      </c>
      <c r="C2912" t="s">
        <v>6717</v>
      </c>
      <c r="D2912" t="s">
        <v>6718</v>
      </c>
      <c r="E2912" t="s">
        <v>4886</v>
      </c>
      <c r="F2912" t="s">
        <v>200</v>
      </c>
      <c r="G2912" s="27" t="str">
        <f t="shared" si="90"/>
        <v>4307 SPELLMAN RD  HOUSTON</v>
      </c>
      <c r="H2912" s="27" t="str">
        <f t="shared" si="91"/>
        <v>HOUSTON TX 77035</v>
      </c>
    </row>
    <row r="2913" spans="1:8" x14ac:dyDescent="0.2">
      <c r="A2913" s="27">
        <f>COUNTIFS(C:C,C2913,D:D,D2913)</f>
        <v>1</v>
      </c>
      <c r="B2913" s="30">
        <v>202101197078</v>
      </c>
      <c r="C2913" t="s">
        <v>6719</v>
      </c>
      <c r="D2913" t="s">
        <v>6720</v>
      </c>
      <c r="E2913" t="s">
        <v>4860</v>
      </c>
      <c r="F2913" t="s">
        <v>194</v>
      </c>
      <c r="G2913" s="27" t="str">
        <f t="shared" si="90"/>
        <v>2932 N ALEXANDER  BAYTOWN</v>
      </c>
      <c r="H2913" s="27" t="str">
        <f t="shared" si="91"/>
        <v>HOUSTON TX 77520</v>
      </c>
    </row>
    <row r="2914" spans="1:8" x14ac:dyDescent="0.2">
      <c r="A2914" s="27">
        <f>COUNTIFS(C:C,C2914,D:D,D2914)</f>
        <v>1</v>
      </c>
      <c r="B2914" s="30">
        <v>202101197079</v>
      </c>
      <c r="C2914" t="s">
        <v>6721</v>
      </c>
      <c r="D2914" t="s">
        <v>6722</v>
      </c>
      <c r="E2914" t="s">
        <v>4908</v>
      </c>
      <c r="F2914" t="s">
        <v>239</v>
      </c>
      <c r="G2914" s="27" t="str">
        <f t="shared" si="90"/>
        <v>15822 CONNERS ACE DR  SPRING</v>
      </c>
      <c r="H2914" s="27" t="str">
        <f t="shared" si="91"/>
        <v>HOUSTON TX 77379</v>
      </c>
    </row>
    <row r="2915" spans="1:8" x14ac:dyDescent="0.2">
      <c r="A2915" s="27">
        <f>COUNTIFS(C:C,C2915,D:D,D2915)</f>
        <v>1</v>
      </c>
      <c r="B2915" s="30">
        <v>202101197087</v>
      </c>
      <c r="C2915" t="s">
        <v>6723</v>
      </c>
      <c r="D2915" t="s">
        <v>6724</v>
      </c>
      <c r="E2915" t="s">
        <v>5014</v>
      </c>
      <c r="F2915" t="s">
        <v>194</v>
      </c>
      <c r="G2915" s="27" t="str">
        <f t="shared" si="90"/>
        <v>9316 MAHAN DR  LA PORTE</v>
      </c>
      <c r="H2915" s="27" t="str">
        <f t="shared" si="91"/>
        <v>HOUSTON TX 77571</v>
      </c>
    </row>
    <row r="2916" spans="1:8" x14ac:dyDescent="0.2">
      <c r="A2916" s="27">
        <f>COUNTIFS(C:C,C2916,D:D,D2916)</f>
        <v>1</v>
      </c>
      <c r="B2916" s="30">
        <v>202101197105</v>
      </c>
      <c r="C2916" t="s">
        <v>6725</v>
      </c>
      <c r="D2916" t="s">
        <v>6726</v>
      </c>
      <c r="E2916" t="s">
        <v>4906</v>
      </c>
      <c r="F2916" t="s">
        <v>204</v>
      </c>
      <c r="G2916" s="27" t="str">
        <f t="shared" si="90"/>
        <v>4306 ONEIDA ST  PASADENA</v>
      </c>
      <c r="H2916" s="27" t="str">
        <f t="shared" si="91"/>
        <v>HOUSTON TX 77504</v>
      </c>
    </row>
    <row r="2917" spans="1:8" x14ac:dyDescent="0.2">
      <c r="A2917" s="27">
        <f>COUNTIFS(C:C,C2917,D:D,D2917)</f>
        <v>1</v>
      </c>
      <c r="B2917" s="30">
        <v>202101197110</v>
      </c>
      <c r="C2917" t="s">
        <v>2046</v>
      </c>
      <c r="D2917" t="s">
        <v>6727</v>
      </c>
      <c r="E2917" t="s">
        <v>4903</v>
      </c>
      <c r="F2917" t="s">
        <v>7891</v>
      </c>
      <c r="G2917" s="27" t="str">
        <f t="shared" si="90"/>
        <v>20326 PIONEER RIDGE D RIVE CYPRESS</v>
      </c>
      <c r="H2917" s="27" t="str">
        <f t="shared" si="91"/>
        <v>HOUSTON TX 77433</v>
      </c>
    </row>
    <row r="2918" spans="1:8" x14ac:dyDescent="0.2">
      <c r="A2918" s="27">
        <f>COUNTIFS(C:C,C2918,D:D,D2918)</f>
        <v>1</v>
      </c>
      <c r="B2918" s="30">
        <v>202101197113</v>
      </c>
      <c r="C2918" t="s">
        <v>6728</v>
      </c>
      <c r="D2918" t="s">
        <v>6729</v>
      </c>
      <c r="E2918" t="s">
        <v>4984</v>
      </c>
      <c r="F2918" t="s">
        <v>6730</v>
      </c>
      <c r="G2918" s="27" t="str">
        <f t="shared" si="90"/>
        <v>4227 CHESTER GATE DR  SPRING</v>
      </c>
      <c r="H2918" s="27" t="str">
        <f t="shared" si="91"/>
        <v>HOUSTON TX 77373</v>
      </c>
    </row>
    <row r="2919" spans="1:8" x14ac:dyDescent="0.2">
      <c r="A2919" s="27">
        <f>COUNTIFS(C:C,C2919,D:D,D2919)</f>
        <v>1</v>
      </c>
      <c r="B2919" s="30">
        <v>202101197117</v>
      </c>
      <c r="C2919" t="s">
        <v>6731</v>
      </c>
      <c r="D2919" t="s">
        <v>6732</v>
      </c>
      <c r="E2919" t="s">
        <v>4920</v>
      </c>
      <c r="F2919" t="s">
        <v>203</v>
      </c>
      <c r="G2919" s="27" t="str">
        <f t="shared" si="90"/>
        <v>8810 BARRON WOOD CIR  HOUSTON</v>
      </c>
      <c r="H2919" s="27" t="str">
        <f t="shared" si="91"/>
        <v>HOUSTON TX 77083</v>
      </c>
    </row>
    <row r="2920" spans="1:8" x14ac:dyDescent="0.2">
      <c r="A2920" s="27">
        <f>COUNTIFS(C:C,C2920,D:D,D2920)</f>
        <v>1</v>
      </c>
      <c r="B2920" s="30">
        <v>202101201561</v>
      </c>
      <c r="C2920" t="s">
        <v>6766</v>
      </c>
      <c r="D2920" t="s">
        <v>5371</v>
      </c>
      <c r="E2920" t="s">
        <v>4908</v>
      </c>
      <c r="F2920" t="s">
        <v>79</v>
      </c>
      <c r="G2920" s="27" t="str">
        <f t="shared" si="90"/>
        <v>19920 CARROT ST  SPRING</v>
      </c>
      <c r="H2920" s="27" t="str">
        <f t="shared" si="91"/>
        <v>HOUSTON TX 77379</v>
      </c>
    </row>
    <row r="2921" spans="1:8" x14ac:dyDescent="0.2">
      <c r="A2921" s="27">
        <f>COUNTIFS(C:C,C2921,D:D,D2921)</f>
        <v>1</v>
      </c>
      <c r="B2921" s="30">
        <v>202101201689</v>
      </c>
      <c r="C2921" t="s">
        <v>6757</v>
      </c>
      <c r="D2921" t="s">
        <v>6758</v>
      </c>
      <c r="E2921" t="s">
        <v>4874</v>
      </c>
      <c r="F2921" t="s">
        <v>84</v>
      </c>
      <c r="G2921" s="27" t="str">
        <f t="shared" si="90"/>
        <v>5759 HERON DR  HOUSTON</v>
      </c>
      <c r="H2921" s="27" t="str">
        <f t="shared" si="91"/>
        <v>HOUSTON TX 77033</v>
      </c>
    </row>
    <row r="2922" spans="1:8" x14ac:dyDescent="0.2">
      <c r="A2922" s="27">
        <f>COUNTIFS(C:C,C2922,D:D,D2922)</f>
        <v>1</v>
      </c>
      <c r="B2922" s="30">
        <v>202101201740</v>
      </c>
      <c r="C2922" t="s">
        <v>6350</v>
      </c>
      <c r="D2922" t="s">
        <v>6993</v>
      </c>
      <c r="E2922" t="s">
        <v>5097</v>
      </c>
      <c r="F2922" t="s">
        <v>79</v>
      </c>
      <c r="G2922" s="27" t="str">
        <f t="shared" ref="G2922:G2985" si="92">D2922&amp;" "&amp;MID(E2922,1,FIND(" TX",E2922)-1)</f>
        <v>2600 WESTRIDGE HOUSTON</v>
      </c>
      <c r="H2922" s="27" t="str">
        <f t="shared" ref="H2922:H2985" si="93">"HOUSTON "&amp;MID(E2922,FIND("TX",E2922),8)</f>
        <v>HOUSTON TX 77054</v>
      </c>
    </row>
    <row r="2923" spans="1:8" x14ac:dyDescent="0.2">
      <c r="A2923" s="27">
        <f>COUNTIFS(C:C,C2923,D:D,D2923)</f>
        <v>1</v>
      </c>
      <c r="B2923" s="30">
        <v>202101201767</v>
      </c>
      <c r="C2923" t="s">
        <v>6888</v>
      </c>
      <c r="D2923" t="s">
        <v>6889</v>
      </c>
      <c r="E2923" t="s">
        <v>5243</v>
      </c>
      <c r="F2923" t="s">
        <v>88</v>
      </c>
      <c r="G2923" s="27" t="str">
        <f t="shared" si="92"/>
        <v>217 RODEO DR  MANVEL</v>
      </c>
      <c r="H2923" s="27" t="str">
        <f t="shared" si="93"/>
        <v>HOUSTON TX 77578</v>
      </c>
    </row>
    <row r="2924" spans="1:8" x14ac:dyDescent="0.2">
      <c r="A2924" s="27">
        <f>COUNTIFS(C:C,C2924,D:D,D2924)</f>
        <v>1</v>
      </c>
      <c r="B2924" s="30">
        <v>202101201768</v>
      </c>
      <c r="C2924" t="s">
        <v>6890</v>
      </c>
      <c r="D2924" t="s">
        <v>6891</v>
      </c>
      <c r="E2924" t="s">
        <v>4973</v>
      </c>
      <c r="F2924" t="s">
        <v>88</v>
      </c>
      <c r="G2924" s="27" t="str">
        <f t="shared" si="92"/>
        <v>9001 S GESSNER RD AP T 2104 HOUSTON</v>
      </c>
      <c r="H2924" s="27" t="str">
        <f t="shared" si="93"/>
        <v>HOUSTON TX 77074</v>
      </c>
    </row>
    <row r="2925" spans="1:8" x14ac:dyDescent="0.2">
      <c r="A2925" s="27">
        <f>COUNTIFS(C:C,C2925,D:D,D2925)</f>
        <v>1</v>
      </c>
      <c r="B2925" s="30">
        <v>202101201774</v>
      </c>
      <c r="C2925" t="s">
        <v>6367</v>
      </c>
      <c r="D2925" t="s">
        <v>6368</v>
      </c>
      <c r="E2925" t="s">
        <v>4952</v>
      </c>
      <c r="F2925" t="s">
        <v>328</v>
      </c>
      <c r="G2925" s="27" t="str">
        <f t="shared" si="92"/>
        <v>202 W PITTS AVE  PASADENA</v>
      </c>
      <c r="H2925" s="27" t="str">
        <f t="shared" si="93"/>
        <v>HOUSTON TX 77506</v>
      </c>
    </row>
    <row r="2926" spans="1:8" x14ac:dyDescent="0.2">
      <c r="A2926" s="27">
        <f>COUNTIFS(C:C,C2926,D:D,D2926)</f>
        <v>1</v>
      </c>
      <c r="B2926" s="30">
        <v>202101201786</v>
      </c>
      <c r="C2926" t="s">
        <v>6870</v>
      </c>
      <c r="D2926" t="s">
        <v>6871</v>
      </c>
      <c r="E2926" t="s">
        <v>6872</v>
      </c>
      <c r="F2926" t="s">
        <v>88</v>
      </c>
      <c r="G2926" s="27" t="str">
        <f t="shared" si="92"/>
        <v>1439 WELLESLEY DR  LEWISVILLE</v>
      </c>
      <c r="H2926" s="27" t="str">
        <f t="shared" si="93"/>
        <v>HOUSTON TX 75067</v>
      </c>
    </row>
    <row r="2927" spans="1:8" x14ac:dyDescent="0.2">
      <c r="A2927" s="27">
        <f>COUNTIFS(C:C,C2927,D:D,D2927)</f>
        <v>1</v>
      </c>
      <c r="B2927" s="30">
        <v>202101201791</v>
      </c>
      <c r="C2927" t="s">
        <v>6386</v>
      </c>
      <c r="D2927" t="s">
        <v>6387</v>
      </c>
      <c r="E2927" t="s">
        <v>6388</v>
      </c>
      <c r="F2927" t="s">
        <v>346</v>
      </c>
      <c r="G2927" s="27" t="str">
        <f t="shared" si="92"/>
        <v>12215 NORTHWOOD FORES T HARRIS CO</v>
      </c>
      <c r="H2927" s="27" t="str">
        <f t="shared" si="93"/>
        <v>HOUSTON TX 77039</v>
      </c>
    </row>
    <row r="2928" spans="1:8" x14ac:dyDescent="0.2">
      <c r="A2928" s="27">
        <f>COUNTIFS(C:C,C2928,D:D,D2928)</f>
        <v>1</v>
      </c>
      <c r="B2928" s="30">
        <v>202101201793</v>
      </c>
      <c r="C2928" t="s">
        <v>6785</v>
      </c>
      <c r="D2928" t="s">
        <v>6786</v>
      </c>
      <c r="E2928" t="s">
        <v>6787</v>
      </c>
      <c r="F2928" t="s">
        <v>88</v>
      </c>
      <c r="G2928" s="27" t="str">
        <f t="shared" si="92"/>
        <v>5841 HOPPER RD  HOUSTONT</v>
      </c>
      <c r="H2928" s="27" t="str">
        <f t="shared" si="93"/>
        <v>HOUSTON TX 77093</v>
      </c>
    </row>
    <row r="2929" spans="1:8" x14ac:dyDescent="0.2">
      <c r="A2929" s="27">
        <f>COUNTIFS(C:C,C2929,D:D,D2929)</f>
        <v>1</v>
      </c>
      <c r="B2929" s="30">
        <v>202101201795</v>
      </c>
      <c r="C2929" t="s">
        <v>6861</v>
      </c>
      <c r="D2929" t="s">
        <v>6862</v>
      </c>
      <c r="E2929" t="s">
        <v>4857</v>
      </c>
      <c r="F2929" t="s">
        <v>88</v>
      </c>
      <c r="G2929" s="27" t="str">
        <f t="shared" si="92"/>
        <v>5045 CRENSHAW  PASADENA</v>
      </c>
      <c r="H2929" s="27" t="str">
        <f t="shared" si="93"/>
        <v>HOUSTON TX 77505</v>
      </c>
    </row>
    <row r="2930" spans="1:8" x14ac:dyDescent="0.2">
      <c r="A2930" s="27">
        <f>COUNTIFS(C:C,C2930,D:D,D2930)</f>
        <v>1</v>
      </c>
      <c r="B2930" s="30">
        <v>202101201799</v>
      </c>
      <c r="C2930" t="s">
        <v>6892</v>
      </c>
      <c r="D2930" t="s">
        <v>7608</v>
      </c>
      <c r="E2930" t="s">
        <v>4987</v>
      </c>
      <c r="F2930" t="s">
        <v>88</v>
      </c>
      <c r="G2930" s="27" t="str">
        <f t="shared" si="92"/>
        <v>7307 DEARBORN ST UNIT A HOUSTON</v>
      </c>
      <c r="H2930" s="27" t="str">
        <f t="shared" si="93"/>
        <v>HOUSTON TX 77055</v>
      </c>
    </row>
    <row r="2931" spans="1:8" x14ac:dyDescent="0.2">
      <c r="A2931" s="27">
        <f>COUNTIFS(C:C,C2931,D:D,D2931)</f>
        <v>1</v>
      </c>
      <c r="B2931" s="30">
        <v>202101201810</v>
      </c>
      <c r="C2931" t="s">
        <v>6893</v>
      </c>
      <c r="D2931" t="s">
        <v>6894</v>
      </c>
      <c r="E2931" t="s">
        <v>4924</v>
      </c>
      <c r="F2931" t="s">
        <v>88</v>
      </c>
      <c r="G2931" s="27" t="str">
        <f t="shared" si="92"/>
        <v>1718 HEATHER LN  ALVIN</v>
      </c>
      <c r="H2931" s="27" t="str">
        <f t="shared" si="93"/>
        <v>HOUSTON TX 77511</v>
      </c>
    </row>
    <row r="2932" spans="1:8" x14ac:dyDescent="0.2">
      <c r="A2932" s="27">
        <f>COUNTIFS(C:C,C2932,D:D,D2932)</f>
        <v>1</v>
      </c>
      <c r="B2932" s="30">
        <v>202101201813</v>
      </c>
      <c r="C2932" t="s">
        <v>6895</v>
      </c>
      <c r="D2932" t="s">
        <v>6896</v>
      </c>
      <c r="E2932" t="s">
        <v>4937</v>
      </c>
      <c r="F2932" t="s">
        <v>88</v>
      </c>
      <c r="G2932" s="27" t="str">
        <f t="shared" si="92"/>
        <v>7707 GREENDOWNS  HOUSTON</v>
      </c>
      <c r="H2932" s="27" t="str">
        <f t="shared" si="93"/>
        <v>HOUSTON TX 77087</v>
      </c>
    </row>
    <row r="2933" spans="1:8" x14ac:dyDescent="0.2">
      <c r="A2933" s="27">
        <f>COUNTIFS(C:C,C2933,D:D,D2933)</f>
        <v>1</v>
      </c>
      <c r="B2933" s="30">
        <v>202101201817</v>
      </c>
      <c r="C2933" t="s">
        <v>6897</v>
      </c>
      <c r="D2933" t="s">
        <v>6898</v>
      </c>
      <c r="E2933" t="s">
        <v>4910</v>
      </c>
      <c r="F2933" t="s">
        <v>88</v>
      </c>
      <c r="G2933" s="27" t="str">
        <f t="shared" si="92"/>
        <v>426 EUCLID ST  CHANNELVIE</v>
      </c>
      <c r="H2933" s="27" t="str">
        <f t="shared" si="93"/>
        <v>HOUSTON TX 77530</v>
      </c>
    </row>
    <row r="2934" spans="1:8" x14ac:dyDescent="0.2">
      <c r="A2934" s="27">
        <f>COUNTIFS(C:C,C2934,D:D,D2934)</f>
        <v>1</v>
      </c>
      <c r="B2934" s="30">
        <v>202101201821</v>
      </c>
      <c r="C2934" t="s">
        <v>6899</v>
      </c>
      <c r="D2934" t="s">
        <v>6900</v>
      </c>
      <c r="E2934" t="s">
        <v>4886</v>
      </c>
      <c r="F2934" t="s">
        <v>88</v>
      </c>
      <c r="G2934" s="27" t="str">
        <f t="shared" si="92"/>
        <v>5555 GASMER DR 144  HOUSTON</v>
      </c>
      <c r="H2934" s="27" t="str">
        <f t="shared" si="93"/>
        <v>HOUSTON TX 77035</v>
      </c>
    </row>
    <row r="2935" spans="1:8" x14ac:dyDescent="0.2">
      <c r="A2935" s="27">
        <f>COUNTIFS(C:C,C2935,D:D,D2935)</f>
        <v>1</v>
      </c>
      <c r="B2935" s="30">
        <v>202101201823</v>
      </c>
      <c r="C2935" t="s">
        <v>6901</v>
      </c>
      <c r="D2935" t="s">
        <v>6902</v>
      </c>
      <c r="E2935" t="s">
        <v>5014</v>
      </c>
      <c r="F2935" t="s">
        <v>88</v>
      </c>
      <c r="G2935" s="27" t="str">
        <f t="shared" si="92"/>
        <v>905 S IOWA ST  LA PORTE</v>
      </c>
      <c r="H2935" s="27" t="str">
        <f t="shared" si="93"/>
        <v>HOUSTON TX 77571</v>
      </c>
    </row>
    <row r="2936" spans="1:8" x14ac:dyDescent="0.2">
      <c r="A2936" s="27">
        <f>COUNTIFS(C:C,C2936,D:D,D2936)</f>
        <v>1</v>
      </c>
      <c r="B2936" s="30">
        <v>202101201826</v>
      </c>
      <c r="C2936" t="s">
        <v>6409</v>
      </c>
      <c r="D2936" t="s">
        <v>6410</v>
      </c>
      <c r="E2936" t="s">
        <v>5077</v>
      </c>
      <c r="F2936" t="s">
        <v>328</v>
      </c>
      <c r="G2936" s="27" t="str">
        <f t="shared" si="92"/>
        <v>530 SOFT SHADOWS LA NE HOUSTON</v>
      </c>
      <c r="H2936" s="27" t="str">
        <f t="shared" si="93"/>
        <v>HOUSTON TX 77013</v>
      </c>
    </row>
    <row r="2937" spans="1:8" x14ac:dyDescent="0.2">
      <c r="A2937" s="27">
        <f>COUNTIFS(C:C,C2937,D:D,D2937)</f>
        <v>1</v>
      </c>
      <c r="B2937" s="30">
        <v>202101201830</v>
      </c>
      <c r="C2937" t="s">
        <v>6903</v>
      </c>
      <c r="D2937" t="s">
        <v>6904</v>
      </c>
      <c r="E2937" t="s">
        <v>6905</v>
      </c>
      <c r="F2937" t="s">
        <v>88</v>
      </c>
      <c r="G2937" s="27" t="e">
        <f t="shared" si="92"/>
        <v>#VALUE!</v>
      </c>
      <c r="H2937" s="27" t="e">
        <f t="shared" si="93"/>
        <v>#VALUE!</v>
      </c>
    </row>
    <row r="2938" spans="1:8" x14ac:dyDescent="0.2">
      <c r="A2938" s="27">
        <f>COUNTIFS(C:C,C2938,D:D,D2938)</f>
        <v>1</v>
      </c>
      <c r="B2938" s="30">
        <v>202101201831</v>
      </c>
      <c r="C2938" t="s">
        <v>6906</v>
      </c>
      <c r="D2938" t="s">
        <v>6907</v>
      </c>
      <c r="E2938" t="s">
        <v>4852</v>
      </c>
      <c r="F2938" t="s">
        <v>88</v>
      </c>
      <c r="G2938" s="27" t="str">
        <f t="shared" si="92"/>
        <v>12803 NORTHBOROUGH  HOUSTON</v>
      </c>
      <c r="H2938" s="27" t="str">
        <f t="shared" si="93"/>
        <v>HOUSTON TX 77016</v>
      </c>
    </row>
    <row r="2939" spans="1:8" x14ac:dyDescent="0.2">
      <c r="A2939" s="27">
        <f>COUNTIFS(C:C,C2939,D:D,D2939)</f>
        <v>1</v>
      </c>
      <c r="B2939" s="30">
        <v>202101201832</v>
      </c>
      <c r="C2939" t="s">
        <v>6908</v>
      </c>
      <c r="D2939" t="s">
        <v>6909</v>
      </c>
      <c r="E2939" t="s">
        <v>4989</v>
      </c>
      <c r="F2939" t="s">
        <v>88</v>
      </c>
      <c r="G2939" s="27" t="str">
        <f t="shared" si="92"/>
        <v>301 N WESLEY DR 61  LEAGUE CIT</v>
      </c>
      <c r="H2939" s="27" t="str">
        <f t="shared" si="93"/>
        <v>HOUSTON TX 77573</v>
      </c>
    </row>
    <row r="2940" spans="1:8" x14ac:dyDescent="0.2">
      <c r="A2940" s="27">
        <f>COUNTIFS(C:C,C2940,D:D,D2940)</f>
        <v>1</v>
      </c>
      <c r="B2940" s="30">
        <v>202101201833</v>
      </c>
      <c r="C2940" t="s">
        <v>6823</v>
      </c>
      <c r="D2940" t="s">
        <v>6824</v>
      </c>
      <c r="E2940" t="s">
        <v>6388</v>
      </c>
      <c r="F2940" t="s">
        <v>88</v>
      </c>
      <c r="G2940" s="27" t="str">
        <f t="shared" si="92"/>
        <v>13202 CHRISMAN RD  HARRIS CO</v>
      </c>
      <c r="H2940" s="27" t="str">
        <f t="shared" si="93"/>
        <v>HOUSTON TX 77039</v>
      </c>
    </row>
    <row r="2941" spans="1:8" x14ac:dyDescent="0.2">
      <c r="A2941" s="27">
        <f>COUNTIFS(C:C,C2941,D:D,D2941)</f>
        <v>1</v>
      </c>
      <c r="B2941" s="30">
        <v>202101201834</v>
      </c>
      <c r="C2941" t="s">
        <v>6910</v>
      </c>
      <c r="D2941" t="s">
        <v>6911</v>
      </c>
      <c r="E2941" t="s">
        <v>4977</v>
      </c>
      <c r="F2941" t="s">
        <v>88</v>
      </c>
      <c r="G2941" s="27" t="str">
        <f t="shared" si="92"/>
        <v>6419 SKYLINE DR 309  HOUSTON</v>
      </c>
      <c r="H2941" s="27" t="str">
        <f t="shared" si="93"/>
        <v>HOUSTON TX 77057</v>
      </c>
    </row>
    <row r="2942" spans="1:8" x14ac:dyDescent="0.2">
      <c r="A2942" s="27">
        <f>COUNTIFS(C:C,C2942,D:D,D2942)</f>
        <v>1</v>
      </c>
      <c r="B2942" s="30">
        <v>202101201835</v>
      </c>
      <c r="C2942" t="s">
        <v>6912</v>
      </c>
      <c r="D2942" t="s">
        <v>6913</v>
      </c>
      <c r="E2942" t="s">
        <v>4875</v>
      </c>
      <c r="F2942" t="s">
        <v>88</v>
      </c>
      <c r="G2942" s="27" t="str">
        <f t="shared" si="92"/>
        <v>1601 ROXELLA ST  HOUSTON</v>
      </c>
      <c r="H2942" s="27" t="str">
        <f t="shared" si="93"/>
        <v>HOUSTON TX 77093</v>
      </c>
    </row>
    <row r="2943" spans="1:8" x14ac:dyDescent="0.2">
      <c r="A2943" s="27">
        <f>COUNTIFS(C:C,C2943,D:D,D2943)</f>
        <v>1</v>
      </c>
      <c r="B2943" s="30">
        <v>202101201838</v>
      </c>
      <c r="C2943" t="s">
        <v>6413</v>
      </c>
      <c r="D2943" t="s">
        <v>6414</v>
      </c>
      <c r="E2943" t="s">
        <v>5023</v>
      </c>
      <c r="F2943" t="s">
        <v>288</v>
      </c>
      <c r="G2943" s="27" t="str">
        <f t="shared" si="92"/>
        <v>7502 CORPORATE DR  HOUSTON</v>
      </c>
      <c r="H2943" s="27" t="str">
        <f t="shared" si="93"/>
        <v>HOUSTON TX 77063</v>
      </c>
    </row>
    <row r="2944" spans="1:8" x14ac:dyDescent="0.2">
      <c r="A2944" s="27">
        <f>COUNTIFS(C:C,C2944,D:D,D2944)</f>
        <v>1</v>
      </c>
      <c r="B2944" s="30">
        <v>202101201842</v>
      </c>
      <c r="C2944" t="s">
        <v>6877</v>
      </c>
      <c r="D2944" t="s">
        <v>6878</v>
      </c>
      <c r="E2944" t="s">
        <v>4906</v>
      </c>
      <c r="F2944" t="s">
        <v>88</v>
      </c>
      <c r="G2944" s="27" t="str">
        <f t="shared" si="92"/>
        <v>3354 BURKE  PASADENA</v>
      </c>
      <c r="H2944" s="27" t="str">
        <f t="shared" si="93"/>
        <v>HOUSTON TX 77504</v>
      </c>
    </row>
    <row r="2945" spans="1:8" x14ac:dyDescent="0.2">
      <c r="A2945" s="27">
        <f>COUNTIFS(C:C,C2945,D:D,D2945)</f>
        <v>1</v>
      </c>
      <c r="B2945" s="30">
        <v>202101201847</v>
      </c>
      <c r="C2945" t="s">
        <v>6783</v>
      </c>
      <c r="D2945" t="s">
        <v>6784</v>
      </c>
      <c r="E2945" t="s">
        <v>4984</v>
      </c>
      <c r="F2945" t="s">
        <v>88</v>
      </c>
      <c r="G2945" s="27" t="str">
        <f t="shared" si="92"/>
        <v>25422 OLD CARRAIGE LA NE SPRING</v>
      </c>
      <c r="H2945" s="27" t="str">
        <f t="shared" si="93"/>
        <v>HOUSTON TX 77373</v>
      </c>
    </row>
    <row r="2946" spans="1:8" x14ac:dyDescent="0.2">
      <c r="A2946" s="27">
        <f>COUNTIFS(C:C,C2946,D:D,D2946)</f>
        <v>1</v>
      </c>
      <c r="B2946" s="30">
        <v>202101201848</v>
      </c>
      <c r="C2946" t="s">
        <v>6914</v>
      </c>
      <c r="D2946" t="s">
        <v>6915</v>
      </c>
      <c r="E2946" t="s">
        <v>4879</v>
      </c>
      <c r="F2946" t="s">
        <v>88</v>
      </c>
      <c r="G2946" s="27" t="str">
        <f t="shared" si="92"/>
        <v>5600 CHIMNEY ROCK RD  HOUSTON</v>
      </c>
      <c r="H2946" s="27" t="str">
        <f t="shared" si="93"/>
        <v>HOUSTON TX 77091</v>
      </c>
    </row>
    <row r="2947" spans="1:8" x14ac:dyDescent="0.2">
      <c r="A2947" s="27">
        <f>COUNTIFS(C:C,C2947,D:D,D2947)</f>
        <v>1</v>
      </c>
      <c r="B2947" s="30">
        <v>202101201855</v>
      </c>
      <c r="C2947" t="s">
        <v>6916</v>
      </c>
      <c r="D2947" t="s">
        <v>6917</v>
      </c>
      <c r="E2947" t="s">
        <v>4859</v>
      </c>
      <c r="F2947" t="s">
        <v>88</v>
      </c>
      <c r="G2947" s="27" t="str">
        <f t="shared" si="92"/>
        <v>20714 BURNT AMBER LN  HOUSTON</v>
      </c>
      <c r="H2947" s="27" t="str">
        <f t="shared" si="93"/>
        <v>HOUSTON TX 77073</v>
      </c>
    </row>
    <row r="2948" spans="1:8" x14ac:dyDescent="0.2">
      <c r="A2948" s="27">
        <f>COUNTIFS(C:C,C2948,D:D,D2948)</f>
        <v>1</v>
      </c>
      <c r="B2948" s="30">
        <v>202101201869</v>
      </c>
      <c r="C2948" t="s">
        <v>6755</v>
      </c>
      <c r="D2948" t="s">
        <v>6756</v>
      </c>
      <c r="E2948" t="s">
        <v>4893</v>
      </c>
      <c r="F2948" t="s">
        <v>88</v>
      </c>
      <c r="G2948" s="27" t="str">
        <f t="shared" si="92"/>
        <v>3319 TIDEWATER DR  HOUSTON</v>
      </c>
      <c r="H2948" s="27" t="str">
        <f t="shared" si="93"/>
        <v>HOUSTON TX 77045</v>
      </c>
    </row>
    <row r="2949" spans="1:8" x14ac:dyDescent="0.2">
      <c r="A2949" s="27">
        <f>COUNTIFS(C:C,C2949,D:D,D2949)</f>
        <v>1</v>
      </c>
      <c r="B2949" s="30">
        <v>202101201913</v>
      </c>
      <c r="C2949" t="s">
        <v>6619</v>
      </c>
      <c r="D2949" t="s">
        <v>6992</v>
      </c>
      <c r="E2949" t="s">
        <v>6991</v>
      </c>
      <c r="F2949" t="s">
        <v>53</v>
      </c>
      <c r="G2949" s="27" t="str">
        <f t="shared" si="92"/>
        <v>2112 MARRERO LA HOUSTON</v>
      </c>
      <c r="H2949" s="27" t="str">
        <f t="shared" si="93"/>
        <v>HOUSTON TX 70072</v>
      </c>
    </row>
    <row r="2950" spans="1:8" x14ac:dyDescent="0.2">
      <c r="A2950" s="27">
        <f>COUNTIFS(C:C,C2950,D:D,D2950)</f>
        <v>1</v>
      </c>
      <c r="B2950" s="30">
        <v>202101201922</v>
      </c>
      <c r="C2950" t="s">
        <v>6920</v>
      </c>
      <c r="D2950" t="s">
        <v>6921</v>
      </c>
      <c r="E2950" t="s">
        <v>6922</v>
      </c>
      <c r="F2950" t="s">
        <v>88</v>
      </c>
      <c r="G2950" s="27" t="str">
        <f t="shared" si="92"/>
        <v>2403 SONGLARK SPRING S PLACE PEARLAND</v>
      </c>
      <c r="H2950" s="27" t="str">
        <f t="shared" si="93"/>
        <v>HOUSTON TX 77089</v>
      </c>
    </row>
    <row r="2951" spans="1:8" x14ac:dyDescent="0.2">
      <c r="A2951" s="27">
        <f>COUNTIFS(C:C,C2951,D:D,D2951)</f>
        <v>1</v>
      </c>
      <c r="B2951" s="30">
        <v>202101201923</v>
      </c>
      <c r="C2951" t="s">
        <v>6813</v>
      </c>
      <c r="D2951" t="s">
        <v>6814</v>
      </c>
      <c r="E2951" t="s">
        <v>4900</v>
      </c>
      <c r="F2951" t="s">
        <v>88</v>
      </c>
      <c r="G2951" s="27" t="str">
        <f t="shared" si="92"/>
        <v>6027 MINARD DR  KATY</v>
      </c>
      <c r="H2951" s="27" t="str">
        <f t="shared" si="93"/>
        <v>HOUSTON TX 77449</v>
      </c>
    </row>
    <row r="2952" spans="1:8" x14ac:dyDescent="0.2">
      <c r="A2952" s="27">
        <f>COUNTIFS(C:C,C2952,D:D,D2952)</f>
        <v>1</v>
      </c>
      <c r="B2952" s="30">
        <v>202101201930</v>
      </c>
      <c r="C2952" t="s">
        <v>6845</v>
      </c>
      <c r="D2952" t="s">
        <v>6846</v>
      </c>
      <c r="E2952" t="s">
        <v>4900</v>
      </c>
      <c r="F2952" t="s">
        <v>88</v>
      </c>
      <c r="G2952" s="27" t="str">
        <f t="shared" si="92"/>
        <v>20826 BALMORAL GLEN L ANE KATY</v>
      </c>
      <c r="H2952" s="27" t="str">
        <f t="shared" si="93"/>
        <v>HOUSTON TX 77449</v>
      </c>
    </row>
    <row r="2953" spans="1:8" x14ac:dyDescent="0.2">
      <c r="A2953" s="27">
        <f>COUNTIFS(C:C,C2953,D:D,D2953)</f>
        <v>1</v>
      </c>
      <c r="B2953" s="30">
        <v>202101201933</v>
      </c>
      <c r="C2953" t="s">
        <v>6923</v>
      </c>
      <c r="D2953" t="s">
        <v>6924</v>
      </c>
      <c r="E2953" t="s">
        <v>4898</v>
      </c>
      <c r="F2953" t="s">
        <v>88</v>
      </c>
      <c r="G2953" s="27" t="str">
        <f t="shared" si="92"/>
        <v>7816 SWIFTWATER LN  HOUSTON</v>
      </c>
      <c r="H2953" s="27" t="str">
        <f t="shared" si="93"/>
        <v>HOUSTON TX 77075</v>
      </c>
    </row>
    <row r="2954" spans="1:8" x14ac:dyDescent="0.2">
      <c r="A2954" s="27">
        <f>COUNTIFS(C:C,C2954,D:D,D2954)</f>
        <v>1</v>
      </c>
      <c r="B2954" s="30">
        <v>202101201935</v>
      </c>
      <c r="C2954" t="s">
        <v>6925</v>
      </c>
      <c r="D2954" t="s">
        <v>6926</v>
      </c>
      <c r="E2954" t="s">
        <v>5271</v>
      </c>
      <c r="F2954" t="s">
        <v>88</v>
      </c>
      <c r="G2954" s="27" t="str">
        <f t="shared" si="92"/>
        <v>803 GOLDFINCH AVE  PHARR</v>
      </c>
      <c r="H2954" s="27" t="str">
        <f t="shared" si="93"/>
        <v>HOUSTON TX 78577</v>
      </c>
    </row>
    <row r="2955" spans="1:8" x14ac:dyDescent="0.2">
      <c r="A2955" s="27">
        <f>COUNTIFS(C:C,C2955,D:D,D2955)</f>
        <v>1</v>
      </c>
      <c r="B2955" s="30">
        <v>202101201936</v>
      </c>
      <c r="C2955" t="s">
        <v>6760</v>
      </c>
      <c r="D2955" t="s">
        <v>6761</v>
      </c>
      <c r="E2955" t="s">
        <v>5104</v>
      </c>
      <c r="F2955" t="s">
        <v>88</v>
      </c>
      <c r="G2955" s="27" t="str">
        <f t="shared" si="92"/>
        <v>13707 WOODRIVER DR  HOUSTON</v>
      </c>
      <c r="H2955" s="27" t="str">
        <f t="shared" si="93"/>
        <v>HOUSTON TX 77085</v>
      </c>
    </row>
    <row r="2956" spans="1:8" x14ac:dyDescent="0.2">
      <c r="A2956" s="27">
        <f>COUNTIFS(C:C,C2956,D:D,D2956)</f>
        <v>1</v>
      </c>
      <c r="B2956" s="30">
        <v>202101201940</v>
      </c>
      <c r="C2956" t="s">
        <v>6815</v>
      </c>
      <c r="D2956" t="s">
        <v>6816</v>
      </c>
      <c r="E2956" t="s">
        <v>5084</v>
      </c>
      <c r="F2956" t="s">
        <v>88</v>
      </c>
      <c r="G2956" s="27" t="str">
        <f t="shared" si="92"/>
        <v>2171 FORT LARAMIE  HOUSTON</v>
      </c>
      <c r="H2956" s="27" t="str">
        <f t="shared" si="93"/>
        <v>HOUSTON TX 77449</v>
      </c>
    </row>
    <row r="2957" spans="1:8" x14ac:dyDescent="0.2">
      <c r="A2957" s="27">
        <f>COUNTIFS(C:C,C2957,D:D,D2957)</f>
        <v>1</v>
      </c>
      <c r="B2957" s="30">
        <v>202101201941</v>
      </c>
      <c r="C2957" t="s">
        <v>6927</v>
      </c>
      <c r="D2957" t="s">
        <v>6928</v>
      </c>
      <c r="E2957" t="s">
        <v>5073</v>
      </c>
      <c r="F2957" t="s">
        <v>88</v>
      </c>
      <c r="G2957" s="27" t="str">
        <f t="shared" si="92"/>
        <v>336 W 17TH ST  HOUSTON</v>
      </c>
      <c r="H2957" s="27" t="str">
        <f t="shared" si="93"/>
        <v>HOUSTON TX 77008</v>
      </c>
    </row>
    <row r="2958" spans="1:8" x14ac:dyDescent="0.2">
      <c r="A2958" s="27">
        <f>COUNTIFS(C:C,C2958,D:D,D2958)</f>
        <v>1</v>
      </c>
      <c r="B2958" s="30">
        <v>202101201943</v>
      </c>
      <c r="C2958" t="s">
        <v>6929</v>
      </c>
      <c r="D2958" t="s">
        <v>6930</v>
      </c>
      <c r="E2958" t="s">
        <v>4871</v>
      </c>
      <c r="F2958" t="s">
        <v>88</v>
      </c>
      <c r="G2958" s="27" t="str">
        <f t="shared" si="92"/>
        <v>10678 MAY FIELD RD  HOUSTON</v>
      </c>
      <c r="H2958" s="27" t="str">
        <f t="shared" si="93"/>
        <v>HOUSTON TX 77047</v>
      </c>
    </row>
    <row r="2959" spans="1:8" x14ac:dyDescent="0.2">
      <c r="A2959" s="27">
        <f>COUNTIFS(C:C,C2959,D:D,D2959)</f>
        <v>1</v>
      </c>
      <c r="B2959" s="30">
        <v>202101201946</v>
      </c>
      <c r="C2959" t="s">
        <v>6850</v>
      </c>
      <c r="D2959" t="s">
        <v>6851</v>
      </c>
      <c r="E2959" t="s">
        <v>4905</v>
      </c>
      <c r="F2959" t="s">
        <v>88</v>
      </c>
      <c r="G2959" s="27" t="str">
        <f t="shared" si="92"/>
        <v>4263 GYPSY POPS DR  PASADENA</v>
      </c>
      <c r="H2959" s="27" t="str">
        <f t="shared" si="93"/>
        <v>HOUSTON TX 77503</v>
      </c>
    </row>
    <row r="2960" spans="1:8" x14ac:dyDescent="0.2">
      <c r="A2960" s="27">
        <f>COUNTIFS(C:C,C2960,D:D,D2960)</f>
        <v>1</v>
      </c>
      <c r="B2960" s="30">
        <v>202101201951</v>
      </c>
      <c r="C2960" t="s">
        <v>6931</v>
      </c>
      <c r="D2960" t="s">
        <v>6932</v>
      </c>
      <c r="E2960" t="s">
        <v>4994</v>
      </c>
      <c r="F2960" t="s">
        <v>88</v>
      </c>
      <c r="G2960" s="27" t="str">
        <f t="shared" si="92"/>
        <v>17214 WINDY PINES CIR  SPRING</v>
      </c>
      <c r="H2960" s="27" t="str">
        <f t="shared" si="93"/>
        <v>HOUSTON TX 77388</v>
      </c>
    </row>
    <row r="2961" spans="1:8" x14ac:dyDescent="0.2">
      <c r="A2961" s="27">
        <f>COUNTIFS(C:C,C2961,D:D,D2961)</f>
        <v>1</v>
      </c>
      <c r="B2961" s="30">
        <v>202101201956</v>
      </c>
      <c r="C2961" t="s">
        <v>6935</v>
      </c>
      <c r="D2961" t="s">
        <v>6936</v>
      </c>
      <c r="E2961" t="s">
        <v>6937</v>
      </c>
      <c r="F2961" t="s">
        <v>88</v>
      </c>
      <c r="G2961" s="27" t="str">
        <f t="shared" si="92"/>
        <v>3802 BEAR LAKE DR  HOUSTON</v>
      </c>
      <c r="H2961" s="27" t="str">
        <f t="shared" si="93"/>
        <v>HOUSTON TX 77345</v>
      </c>
    </row>
    <row r="2962" spans="1:8" x14ac:dyDescent="0.2">
      <c r="A2962" s="27">
        <f>COUNTIFS(C:C,C2962,D:D,D2962)</f>
        <v>1</v>
      </c>
      <c r="B2962" s="30">
        <v>202101201962</v>
      </c>
      <c r="C2962" t="s">
        <v>6938</v>
      </c>
      <c r="D2962" t="s">
        <v>6939</v>
      </c>
      <c r="E2962" t="s">
        <v>4918</v>
      </c>
      <c r="F2962" t="s">
        <v>88</v>
      </c>
      <c r="G2962" s="27" t="str">
        <f t="shared" si="92"/>
        <v>3415 CREEK GROVE DR  HOUSTON</v>
      </c>
      <c r="H2962" s="27" t="str">
        <f t="shared" si="93"/>
        <v>HOUSTON TX 77066</v>
      </c>
    </row>
    <row r="2963" spans="1:8" x14ac:dyDescent="0.2">
      <c r="A2963" s="27">
        <f>COUNTIFS(C:C,C2963,D:D,D2963)</f>
        <v>1</v>
      </c>
      <c r="B2963" s="30">
        <v>202101201964</v>
      </c>
      <c r="C2963" t="s">
        <v>6940</v>
      </c>
      <c r="D2963" t="s">
        <v>6941</v>
      </c>
      <c r="E2963" t="s">
        <v>5227</v>
      </c>
      <c r="F2963" t="s">
        <v>88</v>
      </c>
      <c r="G2963" s="27" t="str">
        <f t="shared" si="92"/>
        <v>1207 EAST HOUSTON  CROCKETT</v>
      </c>
      <c r="H2963" s="27" t="str">
        <f t="shared" si="93"/>
        <v>HOUSTON TX 75835</v>
      </c>
    </row>
    <row r="2964" spans="1:8" x14ac:dyDescent="0.2">
      <c r="A2964" s="27">
        <f>COUNTIFS(C:C,C2964,D:D,D2964)</f>
        <v>1</v>
      </c>
      <c r="B2964" s="30">
        <v>202101201968</v>
      </c>
      <c r="C2964" t="s">
        <v>6840</v>
      </c>
      <c r="D2964" t="s">
        <v>6841</v>
      </c>
      <c r="E2964" t="s">
        <v>6842</v>
      </c>
      <c r="F2964" t="s">
        <v>88</v>
      </c>
      <c r="G2964" s="27" t="e">
        <f t="shared" si="92"/>
        <v>#VALUE!</v>
      </c>
      <c r="H2964" s="27" t="e">
        <f t="shared" si="93"/>
        <v>#VALUE!</v>
      </c>
    </row>
    <row r="2965" spans="1:8" x14ac:dyDescent="0.2">
      <c r="A2965" s="27">
        <f>COUNTIFS(C:C,C2965,D:D,D2965)</f>
        <v>1</v>
      </c>
      <c r="B2965" s="30">
        <v>202101201971</v>
      </c>
      <c r="C2965" t="s">
        <v>6709</v>
      </c>
      <c r="D2965" t="s">
        <v>6767</v>
      </c>
      <c r="E2965" t="s">
        <v>4988</v>
      </c>
      <c r="F2965" t="s">
        <v>6741</v>
      </c>
      <c r="G2965" s="27" t="str">
        <f t="shared" si="92"/>
        <v>16706 LOST QUAIL  MISSOURI C</v>
      </c>
      <c r="H2965" s="27" t="str">
        <f t="shared" si="93"/>
        <v>HOUSTON TX 77489</v>
      </c>
    </row>
    <row r="2966" spans="1:8" x14ac:dyDescent="0.2">
      <c r="A2966" s="27">
        <f>COUNTIFS(C:C,C2966,D:D,D2966)</f>
        <v>1</v>
      </c>
      <c r="B2966" s="30">
        <v>202101201982</v>
      </c>
      <c r="C2966" t="s">
        <v>6770</v>
      </c>
      <c r="D2966" t="s">
        <v>6771</v>
      </c>
      <c r="E2966" t="s">
        <v>4854</v>
      </c>
      <c r="F2966" t="s">
        <v>88</v>
      </c>
      <c r="G2966" s="27" t="str">
        <f t="shared" si="92"/>
        <v>4126 WOOLWORTH  HOUSTON</v>
      </c>
      <c r="H2966" s="27" t="str">
        <f t="shared" si="93"/>
        <v>HOUSTON TX 77026</v>
      </c>
    </row>
    <row r="2967" spans="1:8" x14ac:dyDescent="0.2">
      <c r="A2967" s="27">
        <f>COUNTIFS(C:C,C2967,D:D,D2967)</f>
        <v>1</v>
      </c>
      <c r="B2967" s="30">
        <v>202101201988</v>
      </c>
      <c r="C2967" t="s">
        <v>6809</v>
      </c>
      <c r="D2967" t="s">
        <v>6810</v>
      </c>
      <c r="E2967" t="s">
        <v>4933</v>
      </c>
      <c r="F2967" t="s">
        <v>58</v>
      </c>
      <c r="G2967" s="27" t="str">
        <f t="shared" si="92"/>
        <v>8787 HAMMERLY BLVD  HOUSTON</v>
      </c>
      <c r="H2967" s="27" t="str">
        <f t="shared" si="93"/>
        <v>HOUSTON TX 77080</v>
      </c>
    </row>
    <row r="2968" spans="1:8" x14ac:dyDescent="0.2">
      <c r="A2968" s="27">
        <f>COUNTIFS(C:C,C2968,D:D,D2968)</f>
        <v>2</v>
      </c>
      <c r="B2968" s="30">
        <v>202101201993</v>
      </c>
      <c r="C2968" t="s">
        <v>1969</v>
      </c>
      <c r="D2968" t="s">
        <v>1970</v>
      </c>
      <c r="E2968" t="s">
        <v>4950</v>
      </c>
      <c r="F2968" t="s">
        <v>71</v>
      </c>
      <c r="G2968" s="27" t="str">
        <f t="shared" si="92"/>
        <v>903 EAST 35TH ST  HOUSTON</v>
      </c>
      <c r="H2968" s="27" t="str">
        <f t="shared" si="93"/>
        <v>HOUSTON TX 77022</v>
      </c>
    </row>
    <row r="2969" spans="1:8" x14ac:dyDescent="0.2">
      <c r="A2969" s="27">
        <f>COUNTIFS(C:C,C2969,D:D,D2969)</f>
        <v>1</v>
      </c>
      <c r="B2969" s="30">
        <v>202101201998</v>
      </c>
      <c r="C2969" t="s">
        <v>6944</v>
      </c>
      <c r="D2969" t="s">
        <v>6945</v>
      </c>
      <c r="E2969" t="s">
        <v>4969</v>
      </c>
      <c r="F2969" t="s">
        <v>53</v>
      </c>
      <c r="G2969" s="27" t="str">
        <f t="shared" si="92"/>
        <v>217 BELMOST  TOMBALL</v>
      </c>
      <c r="H2969" s="27" t="str">
        <f t="shared" si="93"/>
        <v>HOUSTON TX 77375</v>
      </c>
    </row>
    <row r="2970" spans="1:8" x14ac:dyDescent="0.2">
      <c r="A2970" s="27">
        <f>COUNTIFS(C:C,C2970,D:D,D2970)</f>
        <v>1</v>
      </c>
      <c r="B2970" s="30">
        <v>202101202007</v>
      </c>
      <c r="C2970" t="s">
        <v>6788</v>
      </c>
      <c r="D2970" t="s">
        <v>6789</v>
      </c>
      <c r="E2970" t="s">
        <v>4889</v>
      </c>
      <c r="F2970" t="s">
        <v>67</v>
      </c>
      <c r="G2970" s="27" t="str">
        <f t="shared" si="92"/>
        <v>13111 N. BROUGH  HOUSTON</v>
      </c>
      <c r="H2970" s="27" t="str">
        <f t="shared" si="93"/>
        <v>HOUSTON TX 77067</v>
      </c>
    </row>
    <row r="2971" spans="1:8" x14ac:dyDescent="0.2">
      <c r="A2971" s="27">
        <f>COUNTIFS(C:C,C2971,D:D,D2971)</f>
        <v>1</v>
      </c>
      <c r="B2971" s="30">
        <v>202101202008</v>
      </c>
      <c r="C2971" t="s">
        <v>6946</v>
      </c>
      <c r="D2971" t="s">
        <v>6947</v>
      </c>
      <c r="E2971" t="s">
        <v>4857</v>
      </c>
      <c r="F2971" t="s">
        <v>53</v>
      </c>
      <c r="G2971" s="27" t="str">
        <f t="shared" si="92"/>
        <v>3712 DARLING  PASADENA</v>
      </c>
      <c r="H2971" s="27" t="str">
        <f t="shared" si="93"/>
        <v>HOUSTON TX 77505</v>
      </c>
    </row>
    <row r="2972" spans="1:8" x14ac:dyDescent="0.2">
      <c r="A2972" s="27">
        <f>COUNTIFS(C:C,C2972,D:D,D2972)</f>
        <v>1</v>
      </c>
      <c r="B2972" s="30">
        <v>202101202009</v>
      </c>
      <c r="C2972" t="s">
        <v>6782</v>
      </c>
      <c r="D2972" t="s">
        <v>1743</v>
      </c>
      <c r="E2972" t="s">
        <v>4932</v>
      </c>
      <c r="F2972" t="s">
        <v>53</v>
      </c>
      <c r="G2972" s="27" t="str">
        <f t="shared" si="92"/>
        <v>5959 PINEMONT DR  HOUSTON</v>
      </c>
      <c r="H2972" s="27" t="str">
        <f t="shared" si="93"/>
        <v>HOUSTON TX 77092</v>
      </c>
    </row>
    <row r="2973" spans="1:8" x14ac:dyDescent="0.2">
      <c r="A2973" s="27">
        <f>COUNTIFS(C:C,C2973,D:D,D2973)</f>
        <v>1</v>
      </c>
      <c r="B2973" s="30">
        <v>202101202015</v>
      </c>
      <c r="C2973" t="s">
        <v>6790</v>
      </c>
      <c r="D2973" t="s">
        <v>6791</v>
      </c>
      <c r="E2973" t="s">
        <v>4919</v>
      </c>
      <c r="F2973" t="s">
        <v>75</v>
      </c>
      <c r="G2973" s="27" t="str">
        <f t="shared" si="92"/>
        <v>6303 GULFTON ST  HOUSTON</v>
      </c>
      <c r="H2973" s="27" t="str">
        <f t="shared" si="93"/>
        <v>HOUSTON TX 77081</v>
      </c>
    </row>
    <row r="2974" spans="1:8" x14ac:dyDescent="0.2">
      <c r="A2974" s="27">
        <f>COUNTIFS(C:C,C2974,D:D,D2974)</f>
        <v>1</v>
      </c>
      <c r="B2974" s="30">
        <v>202101202018</v>
      </c>
      <c r="C2974" t="s">
        <v>6805</v>
      </c>
      <c r="D2974" t="s">
        <v>6806</v>
      </c>
      <c r="E2974" t="s">
        <v>5075</v>
      </c>
      <c r="F2974" t="s">
        <v>53</v>
      </c>
      <c r="G2974" s="27" t="str">
        <f t="shared" si="92"/>
        <v>8018 RIPPLING STREAM LANE RICHMOND</v>
      </c>
      <c r="H2974" s="27" t="str">
        <f t="shared" si="93"/>
        <v>HOUSTON TX 77407</v>
      </c>
    </row>
    <row r="2975" spans="1:8" x14ac:dyDescent="0.2">
      <c r="A2975" s="27">
        <f>COUNTIFS(C:C,C2975,D:D,D2975)</f>
        <v>1</v>
      </c>
      <c r="B2975" s="30">
        <v>202101202023</v>
      </c>
      <c r="C2975" t="s">
        <v>6795</v>
      </c>
      <c r="D2975" t="s">
        <v>6796</v>
      </c>
      <c r="E2975" t="s">
        <v>4994</v>
      </c>
      <c r="F2975" t="s">
        <v>53</v>
      </c>
      <c r="G2975" s="27" t="str">
        <f t="shared" si="92"/>
        <v>19315 DIANESHIRE  SPRING</v>
      </c>
      <c r="H2975" s="27" t="str">
        <f t="shared" si="93"/>
        <v>HOUSTON TX 77388</v>
      </c>
    </row>
    <row r="2976" spans="1:8" x14ac:dyDescent="0.2">
      <c r="A2976" s="27">
        <f>COUNTIFS(C:C,C2976,D:D,D2976)</f>
        <v>1</v>
      </c>
      <c r="B2976" s="30">
        <v>202101202026</v>
      </c>
      <c r="C2976" t="s">
        <v>6847</v>
      </c>
      <c r="D2976" t="s">
        <v>6848</v>
      </c>
      <c r="E2976" t="s">
        <v>4909</v>
      </c>
      <c r="F2976" t="s">
        <v>57</v>
      </c>
      <c r="G2976" s="27" t="str">
        <f t="shared" si="92"/>
        <v>5605 MELANITE AVE  HOUSTON</v>
      </c>
      <c r="H2976" s="27" t="str">
        <f t="shared" si="93"/>
        <v>HOUSTON TX 77053</v>
      </c>
    </row>
    <row r="2977" spans="1:8" x14ac:dyDescent="0.2">
      <c r="A2977" s="27">
        <f>COUNTIFS(C:C,C2977,D:D,D2977)</f>
        <v>1</v>
      </c>
      <c r="B2977" s="30">
        <v>202101202033</v>
      </c>
      <c r="C2977" t="s">
        <v>6954</v>
      </c>
      <c r="D2977" t="s">
        <v>6955</v>
      </c>
      <c r="E2977" t="s">
        <v>4945</v>
      </c>
      <c r="F2977" t="s">
        <v>51</v>
      </c>
      <c r="G2977" s="27" t="str">
        <f t="shared" si="92"/>
        <v>911 LANE DR  ROSENBERG</v>
      </c>
      <c r="H2977" s="27" t="str">
        <f t="shared" si="93"/>
        <v>HOUSTON TX 77471</v>
      </c>
    </row>
    <row r="2978" spans="1:8" x14ac:dyDescent="0.2">
      <c r="A2978" s="27">
        <f>COUNTIFS(C:C,C2978,D:D,D2978)</f>
        <v>1</v>
      </c>
      <c r="B2978" s="30">
        <v>202101202034</v>
      </c>
      <c r="C2978" t="s">
        <v>6857</v>
      </c>
      <c r="D2978" t="s">
        <v>6858</v>
      </c>
      <c r="E2978" t="s">
        <v>4951</v>
      </c>
      <c r="F2978" t="s">
        <v>53</v>
      </c>
      <c r="G2978" s="27" t="str">
        <f t="shared" si="92"/>
        <v>15511 TUCKERTON RD  HOUSTON</v>
      </c>
      <c r="H2978" s="27" t="str">
        <f t="shared" si="93"/>
        <v>HOUSTON TX 77095</v>
      </c>
    </row>
    <row r="2979" spans="1:8" x14ac:dyDescent="0.2">
      <c r="A2979" s="27">
        <f>COUNTIFS(C:C,C2979,D:D,D2979)</f>
        <v>1</v>
      </c>
      <c r="B2979" s="30">
        <v>202101202036</v>
      </c>
      <c r="C2979" t="s">
        <v>6863</v>
      </c>
      <c r="D2979" t="s">
        <v>6864</v>
      </c>
      <c r="E2979" t="s">
        <v>4864</v>
      </c>
      <c r="F2979" t="s">
        <v>79</v>
      </c>
      <c r="G2979" s="27" t="str">
        <f t="shared" si="92"/>
        <v>3510 LYONS AVE  HOUSTON</v>
      </c>
      <c r="H2979" s="27" t="str">
        <f t="shared" si="93"/>
        <v>HOUSTON TX 77020</v>
      </c>
    </row>
    <row r="2980" spans="1:8" x14ac:dyDescent="0.2">
      <c r="A2980" s="27">
        <f>COUNTIFS(C:C,C2980,D:D,D2980)</f>
        <v>1</v>
      </c>
      <c r="B2980" s="30">
        <v>202101202044</v>
      </c>
      <c r="C2980" t="s">
        <v>6819</v>
      </c>
      <c r="D2980" t="s">
        <v>6820</v>
      </c>
      <c r="E2980" t="s">
        <v>4952</v>
      </c>
      <c r="F2980" t="s">
        <v>57</v>
      </c>
      <c r="G2980" s="27" t="str">
        <f t="shared" si="92"/>
        <v>2318 RAYMOND ST  PASADENA</v>
      </c>
      <c r="H2980" s="27" t="str">
        <f t="shared" si="93"/>
        <v>HOUSTON TX 77506</v>
      </c>
    </row>
    <row r="2981" spans="1:8" x14ac:dyDescent="0.2">
      <c r="A2981" s="27">
        <f>COUNTIFS(C:C,C2981,D:D,D2981)</f>
        <v>1</v>
      </c>
      <c r="B2981" s="30">
        <v>202101202048</v>
      </c>
      <c r="C2981" t="s">
        <v>6773</v>
      </c>
      <c r="D2981" t="s">
        <v>6774</v>
      </c>
      <c r="E2981" t="s">
        <v>4952</v>
      </c>
      <c r="F2981" t="s">
        <v>57</v>
      </c>
      <c r="G2981" s="27" t="str">
        <f t="shared" si="92"/>
        <v>2321 NORMAN ST  PASADENA</v>
      </c>
      <c r="H2981" s="27" t="str">
        <f t="shared" si="93"/>
        <v>HOUSTON TX 77506</v>
      </c>
    </row>
    <row r="2982" spans="1:8" x14ac:dyDescent="0.2">
      <c r="A2982" s="27">
        <f>COUNTIFS(C:C,C2982,D:D,D2982)</f>
        <v>1</v>
      </c>
      <c r="B2982" s="30">
        <v>202101202049</v>
      </c>
      <c r="C2982" t="s">
        <v>6817</v>
      </c>
      <c r="D2982" t="s">
        <v>6818</v>
      </c>
      <c r="E2982" t="s">
        <v>4901</v>
      </c>
      <c r="F2982" t="s">
        <v>51</v>
      </c>
      <c r="G2982" s="27" t="str">
        <f t="shared" si="92"/>
        <v>12914 PALE IVY LN  HOUSTON</v>
      </c>
      <c r="H2982" s="27" t="str">
        <f t="shared" si="93"/>
        <v>HOUSTON TX 77072</v>
      </c>
    </row>
    <row r="2983" spans="1:8" x14ac:dyDescent="0.2">
      <c r="A2983" s="27">
        <f>COUNTIFS(C:C,C2983,D:D,D2983)</f>
        <v>1</v>
      </c>
      <c r="B2983" s="30">
        <v>202101202061</v>
      </c>
      <c r="C2983" t="s">
        <v>6764</v>
      </c>
      <c r="D2983" t="s">
        <v>6765</v>
      </c>
      <c r="E2983" t="s">
        <v>4943</v>
      </c>
      <c r="F2983" t="s">
        <v>51</v>
      </c>
      <c r="G2983" s="27" t="str">
        <f t="shared" si="92"/>
        <v>4722 MERCHANT SPRING S LN HOUSTON</v>
      </c>
      <c r="H2983" s="27" t="str">
        <f t="shared" si="93"/>
        <v>HOUSTON TX 77084</v>
      </c>
    </row>
    <row r="2984" spans="1:8" x14ac:dyDescent="0.2">
      <c r="A2984" s="27">
        <f>COUNTIFS(C:C,C2984,D:D,D2984)</f>
        <v>1</v>
      </c>
      <c r="B2984" s="30">
        <v>202101202062</v>
      </c>
      <c r="C2984" t="s">
        <v>6768</v>
      </c>
      <c r="D2984" t="s">
        <v>6769</v>
      </c>
      <c r="E2984" t="s">
        <v>5014</v>
      </c>
      <c r="F2984" t="s">
        <v>79</v>
      </c>
      <c r="G2984" s="27" t="str">
        <f t="shared" si="92"/>
        <v>310 DR MLK JR DR  LA PORTE</v>
      </c>
      <c r="H2984" s="27" t="str">
        <f t="shared" si="93"/>
        <v>HOUSTON TX 77571</v>
      </c>
    </row>
    <row r="2985" spans="1:8" x14ac:dyDescent="0.2">
      <c r="A2985" s="27">
        <f>COUNTIFS(C:C,C2985,D:D,D2985)</f>
        <v>1</v>
      </c>
      <c r="B2985" s="30">
        <v>202101202064</v>
      </c>
      <c r="C2985" t="s">
        <v>6852</v>
      </c>
      <c r="D2985" t="s">
        <v>6853</v>
      </c>
      <c r="E2985" t="s">
        <v>6854</v>
      </c>
      <c r="F2985" t="s">
        <v>88</v>
      </c>
      <c r="G2985" s="27" t="str">
        <f t="shared" si="92"/>
        <v>1111 AVE H  S HOUSTON</v>
      </c>
      <c r="H2985" s="27" t="str">
        <f t="shared" si="93"/>
        <v>HOUSTON TX 77587</v>
      </c>
    </row>
    <row r="2986" spans="1:8" x14ac:dyDescent="0.2">
      <c r="A2986" s="27">
        <f>COUNTIFS(C:C,C2986,D:D,D2986)</f>
        <v>1</v>
      </c>
      <c r="B2986" s="30">
        <v>202101202072</v>
      </c>
      <c r="C2986" t="s">
        <v>6866</v>
      </c>
      <c r="D2986" t="s">
        <v>6867</v>
      </c>
      <c r="E2986" t="s">
        <v>5265</v>
      </c>
      <c r="F2986" t="s">
        <v>6743</v>
      </c>
      <c r="G2986" s="27" t="str">
        <f t="shared" ref="G2986:G3049" si="94">D2986&amp;" "&amp;MID(E2986,1,FIND(" TX",E2986)-1)</f>
        <v>1211 PINECROFT DR  SUGAR LAND</v>
      </c>
      <c r="H2986" s="27" t="str">
        <f t="shared" ref="H2986:H3049" si="95">"HOUSTON "&amp;MID(E2986,FIND("TX",E2986),8)</f>
        <v>HOUSTON TX 77498</v>
      </c>
    </row>
    <row r="2987" spans="1:8" x14ac:dyDescent="0.2">
      <c r="A2987" s="27">
        <f>COUNTIFS(C:C,C2987,D:D,D2987)</f>
        <v>1</v>
      </c>
      <c r="B2987" s="30">
        <v>202101202074</v>
      </c>
      <c r="C2987" t="s">
        <v>6960</v>
      </c>
      <c r="D2987" t="s">
        <v>6961</v>
      </c>
      <c r="E2987" t="s">
        <v>5023</v>
      </c>
      <c r="F2987" t="s">
        <v>88</v>
      </c>
      <c r="G2987" s="27" t="str">
        <f t="shared" si="94"/>
        <v>7979 WESTHEIMER RD 2 002 HOUSTON</v>
      </c>
      <c r="H2987" s="27" t="str">
        <f t="shared" si="95"/>
        <v>HOUSTON TX 77063</v>
      </c>
    </row>
    <row r="2988" spans="1:8" x14ac:dyDescent="0.2">
      <c r="A2988" s="27">
        <f>COUNTIFS(C:C,C2988,D:D,D2988)</f>
        <v>1</v>
      </c>
      <c r="B2988" s="30">
        <v>202101202075</v>
      </c>
      <c r="C2988" t="s">
        <v>6962</v>
      </c>
      <c r="D2988" t="s">
        <v>6963</v>
      </c>
      <c r="E2988" t="s">
        <v>4907</v>
      </c>
      <c r="F2988" t="s">
        <v>51</v>
      </c>
      <c r="G2988" s="27" t="str">
        <f t="shared" si="94"/>
        <v>2306 HARPER DR  PASADENA</v>
      </c>
      <c r="H2988" s="27" t="str">
        <f t="shared" si="95"/>
        <v>HOUSTON TX 77502</v>
      </c>
    </row>
    <row r="2989" spans="1:8" x14ac:dyDescent="0.2">
      <c r="A2989" s="27">
        <f>COUNTIFS(C:C,C2989,D:D,D2989)</f>
        <v>1</v>
      </c>
      <c r="B2989" s="30">
        <v>202101202076</v>
      </c>
      <c r="C2989" t="s">
        <v>6964</v>
      </c>
      <c r="D2989" t="s">
        <v>6965</v>
      </c>
      <c r="E2989" t="s">
        <v>4958</v>
      </c>
      <c r="F2989" t="s">
        <v>88</v>
      </c>
      <c r="G2989" s="27" t="str">
        <f t="shared" si="94"/>
        <v>4139 BELLAIRE BLVD 1 63 HOUSTON</v>
      </c>
      <c r="H2989" s="27" t="str">
        <f t="shared" si="95"/>
        <v>HOUSTON TX 77025</v>
      </c>
    </row>
    <row r="2990" spans="1:8" x14ac:dyDescent="0.2">
      <c r="A2990" s="27">
        <f>COUNTIFS(C:C,C2990,D:D,D2990)</f>
        <v>1</v>
      </c>
      <c r="B2990" s="30">
        <v>202101202077</v>
      </c>
      <c r="C2990" t="s">
        <v>6753</v>
      </c>
      <c r="D2990" t="s">
        <v>6754</v>
      </c>
      <c r="E2990" t="s">
        <v>4937</v>
      </c>
      <c r="F2990" t="s">
        <v>71</v>
      </c>
      <c r="G2990" s="27" t="str">
        <f t="shared" si="94"/>
        <v>6000 TELEPHONE RD  HOUSTON</v>
      </c>
      <c r="H2990" s="27" t="str">
        <f t="shared" si="95"/>
        <v>HOUSTON TX 77087</v>
      </c>
    </row>
    <row r="2991" spans="1:8" x14ac:dyDescent="0.2">
      <c r="A2991" s="27">
        <f>COUNTIFS(C:C,C2991,D:D,D2991)</f>
        <v>1</v>
      </c>
      <c r="B2991" s="30">
        <v>202101202088</v>
      </c>
      <c r="C2991" t="s">
        <v>6807</v>
      </c>
      <c r="D2991" t="s">
        <v>6808</v>
      </c>
      <c r="E2991" t="s">
        <v>4981</v>
      </c>
      <c r="F2991" t="s">
        <v>88</v>
      </c>
      <c r="G2991" s="27" t="str">
        <f t="shared" si="94"/>
        <v>12401 PALMSPRINGS DR  HOUSTON</v>
      </c>
      <c r="H2991" s="27" t="str">
        <f t="shared" si="95"/>
        <v>HOUSTON TX 77034</v>
      </c>
    </row>
    <row r="2992" spans="1:8" x14ac:dyDescent="0.2">
      <c r="A2992" s="27">
        <f>COUNTIFS(C:C,C2992,D:D,D2992)</f>
        <v>1</v>
      </c>
      <c r="B2992" s="30">
        <v>202101202089</v>
      </c>
      <c r="C2992" t="s">
        <v>6968</v>
      </c>
      <c r="D2992" t="s">
        <v>6969</v>
      </c>
      <c r="E2992" t="s">
        <v>4949</v>
      </c>
      <c r="F2992" t="s">
        <v>88</v>
      </c>
      <c r="G2992" s="27" t="str">
        <f t="shared" si="94"/>
        <v>7432 ABBEY POINT  HOUSTON</v>
      </c>
      <c r="H2992" s="27" t="str">
        <f t="shared" si="95"/>
        <v>HOUSTON TX 77049</v>
      </c>
    </row>
    <row r="2993" spans="1:8" x14ac:dyDescent="0.2">
      <c r="A2993" s="27">
        <f>COUNTIFS(C:C,C2993,D:D,D2993)</f>
        <v>1</v>
      </c>
      <c r="B2993" s="30">
        <v>202101202090</v>
      </c>
      <c r="C2993" t="s">
        <v>6821</v>
      </c>
      <c r="D2993" t="s">
        <v>6822</v>
      </c>
      <c r="E2993" t="s">
        <v>4984</v>
      </c>
      <c r="F2993" t="s">
        <v>88</v>
      </c>
      <c r="G2993" s="27" t="str">
        <f t="shared" si="94"/>
        <v>22914 FAIRFAX VILLAGE DR W SPRING</v>
      </c>
      <c r="H2993" s="27" t="str">
        <f t="shared" si="95"/>
        <v>HOUSTON TX 77373</v>
      </c>
    </row>
    <row r="2994" spans="1:8" x14ac:dyDescent="0.2">
      <c r="A2994" s="27">
        <f>COUNTIFS(C:C,C2994,D:D,D2994)</f>
        <v>1</v>
      </c>
      <c r="B2994" s="30">
        <v>202101202092</v>
      </c>
      <c r="C2994" t="s">
        <v>6855</v>
      </c>
      <c r="D2994" t="s">
        <v>6856</v>
      </c>
      <c r="E2994" t="s">
        <v>4861</v>
      </c>
      <c r="F2994" t="s">
        <v>335</v>
      </c>
      <c r="G2994" s="27" t="str">
        <f t="shared" si="94"/>
        <v>4545 EDFIELD ST  HOUSTON</v>
      </c>
      <c r="H2994" s="27" t="str">
        <f t="shared" si="95"/>
        <v>HOUSTON TX 77051</v>
      </c>
    </row>
    <row r="2995" spans="1:8" x14ac:dyDescent="0.2">
      <c r="A2995" s="27">
        <f>COUNTIFS(C:C,C2995,D:D,D2995)</f>
        <v>1</v>
      </c>
      <c r="B2995" s="30">
        <v>202101202094</v>
      </c>
      <c r="C2995" t="s">
        <v>6974</v>
      </c>
      <c r="D2995" t="s">
        <v>6975</v>
      </c>
      <c r="E2995" t="s">
        <v>4960</v>
      </c>
      <c r="F2995" t="s">
        <v>88</v>
      </c>
      <c r="G2995" s="27" t="str">
        <f t="shared" si="94"/>
        <v>14007 W HARDY RD  HOUSTON</v>
      </c>
      <c r="H2995" s="27" t="str">
        <f t="shared" si="95"/>
        <v>HOUSTON TX 77060</v>
      </c>
    </row>
    <row r="2996" spans="1:8" x14ac:dyDescent="0.2">
      <c r="A2996" s="27">
        <f>COUNTIFS(C:C,C2996,D:D,D2996)</f>
        <v>1</v>
      </c>
      <c r="B2996" s="30">
        <v>202101202096</v>
      </c>
      <c r="C2996" t="s">
        <v>6976</v>
      </c>
      <c r="D2996" t="s">
        <v>6977</v>
      </c>
      <c r="E2996" t="s">
        <v>5014</v>
      </c>
      <c r="F2996" t="s">
        <v>88</v>
      </c>
      <c r="G2996" s="27" t="str">
        <f t="shared" si="94"/>
        <v>10841 E IDLEWOOD DR  LA PORTE</v>
      </c>
      <c r="H2996" s="27" t="str">
        <f t="shared" si="95"/>
        <v>HOUSTON TX 77571</v>
      </c>
    </row>
    <row r="2997" spans="1:8" x14ac:dyDescent="0.2">
      <c r="A2997" s="27">
        <f>COUNTIFS(C:C,C2997,D:D,D2997)</f>
        <v>1</v>
      </c>
      <c r="B2997" s="30">
        <v>202101202101</v>
      </c>
      <c r="C2997" t="s">
        <v>6811</v>
      </c>
      <c r="D2997" t="s">
        <v>6812</v>
      </c>
      <c r="E2997" t="s">
        <v>4897</v>
      </c>
      <c r="F2997" t="s">
        <v>59</v>
      </c>
      <c r="G2997" s="27" t="str">
        <f t="shared" si="94"/>
        <v>1303 AVENUE A  SOUTH HOUS</v>
      </c>
      <c r="H2997" s="27" t="str">
        <f t="shared" si="95"/>
        <v>HOUSTON TX 77587</v>
      </c>
    </row>
    <row r="2998" spans="1:8" x14ac:dyDescent="0.2">
      <c r="A2998" s="27">
        <f>COUNTIFS(C:C,C2998,D:D,D2998)</f>
        <v>1</v>
      </c>
      <c r="B2998" s="30">
        <v>202101202103</v>
      </c>
      <c r="C2998" t="s">
        <v>6978</v>
      </c>
      <c r="D2998" t="s">
        <v>6979</v>
      </c>
      <c r="E2998" t="s">
        <v>6980</v>
      </c>
      <c r="F2998" t="s">
        <v>53</v>
      </c>
      <c r="G2998" s="27" t="str">
        <f t="shared" si="94"/>
        <v>501 WEST WILLOW APT 65 WHARTON</v>
      </c>
      <c r="H2998" s="27" t="str">
        <f t="shared" si="95"/>
        <v>HOUSTON TX 77488</v>
      </c>
    </row>
    <row r="2999" spans="1:8" x14ac:dyDescent="0.2">
      <c r="A2999" s="27">
        <f>COUNTIFS(C:C,C2999,D:D,D2999)</f>
        <v>1</v>
      </c>
      <c r="B2999" s="30">
        <v>202101202110</v>
      </c>
      <c r="C2999" t="s">
        <v>6868</v>
      </c>
      <c r="D2999" t="s">
        <v>6869</v>
      </c>
      <c r="E2999" t="s">
        <v>4914</v>
      </c>
      <c r="F2999" t="s">
        <v>88</v>
      </c>
      <c r="G2999" s="27" t="str">
        <f t="shared" si="94"/>
        <v>12850 WHITTINGTON DR APT 317 HOUSTON</v>
      </c>
      <c r="H2999" s="27" t="str">
        <f t="shared" si="95"/>
        <v>HOUSTON TX 77077</v>
      </c>
    </row>
    <row r="3000" spans="1:8" x14ac:dyDescent="0.2">
      <c r="A3000" s="27">
        <f>COUNTIFS(C:C,C3000,D:D,D3000)</f>
        <v>1</v>
      </c>
      <c r="B3000" s="30">
        <v>202101202117</v>
      </c>
      <c r="C3000" t="s">
        <v>6983</v>
      </c>
      <c r="D3000" t="s">
        <v>6984</v>
      </c>
      <c r="E3000" t="s">
        <v>4900</v>
      </c>
      <c r="F3000" t="s">
        <v>53</v>
      </c>
      <c r="G3000" s="27" t="str">
        <f t="shared" si="94"/>
        <v>1502 PARTNERSHIP WAY 8203 KATY</v>
      </c>
      <c r="H3000" s="27" t="str">
        <f t="shared" si="95"/>
        <v>HOUSTON TX 77449</v>
      </c>
    </row>
    <row r="3001" spans="1:8" x14ac:dyDescent="0.2">
      <c r="A3001" s="27">
        <f>COUNTIFS(C:C,C3001,D:D,D3001)</f>
        <v>1</v>
      </c>
      <c r="B3001" s="30">
        <v>202101202131</v>
      </c>
      <c r="C3001" t="s">
        <v>6838</v>
      </c>
      <c r="D3001" t="s">
        <v>6839</v>
      </c>
      <c r="E3001" t="s">
        <v>4932</v>
      </c>
      <c r="F3001" t="s">
        <v>51</v>
      </c>
      <c r="G3001" s="27" t="str">
        <f t="shared" si="94"/>
        <v>4949 DACOMA ST  HOUSTON</v>
      </c>
      <c r="H3001" s="27" t="str">
        <f t="shared" si="95"/>
        <v>HOUSTON TX 77092</v>
      </c>
    </row>
    <row r="3002" spans="1:8" x14ac:dyDescent="0.2">
      <c r="A3002" s="27">
        <f>COUNTIFS(C:C,C3002,D:D,D3002)</f>
        <v>1</v>
      </c>
      <c r="B3002" s="30">
        <v>202101202134</v>
      </c>
      <c r="C3002" t="s">
        <v>6985</v>
      </c>
      <c r="D3002" t="s">
        <v>6986</v>
      </c>
      <c r="E3002" t="s">
        <v>4901</v>
      </c>
      <c r="F3002" t="s">
        <v>53</v>
      </c>
      <c r="G3002" s="27" t="str">
        <f t="shared" si="94"/>
        <v>10910 SHARPVIEW DR  HOUSTON</v>
      </c>
      <c r="H3002" s="27" t="str">
        <f t="shared" si="95"/>
        <v>HOUSTON TX 77072</v>
      </c>
    </row>
    <row r="3003" spans="1:8" x14ac:dyDescent="0.2">
      <c r="A3003" s="27">
        <f>COUNTIFS(C:C,C3003,D:D,D3003)</f>
        <v>1</v>
      </c>
      <c r="B3003" s="30">
        <v>202101202135</v>
      </c>
      <c r="C3003" t="s">
        <v>6987</v>
      </c>
      <c r="D3003" t="s">
        <v>6988</v>
      </c>
      <c r="E3003" t="s">
        <v>4984</v>
      </c>
      <c r="F3003" t="s">
        <v>79</v>
      </c>
      <c r="G3003" s="27" t="str">
        <f t="shared" si="94"/>
        <v>PARIL  CREEK ST  SPRING</v>
      </c>
      <c r="H3003" s="27" t="str">
        <f t="shared" si="95"/>
        <v>HOUSTON TX 77373</v>
      </c>
    </row>
    <row r="3004" spans="1:8" x14ac:dyDescent="0.2">
      <c r="A3004" s="27">
        <f>COUNTIFS(C:C,C3004,D:D,D3004)</f>
        <v>1</v>
      </c>
      <c r="B3004" s="30">
        <v>202101202141</v>
      </c>
      <c r="C3004" t="s">
        <v>6836</v>
      </c>
      <c r="D3004" t="s">
        <v>6837</v>
      </c>
      <c r="E3004" t="s">
        <v>4914</v>
      </c>
      <c r="F3004" t="s">
        <v>51</v>
      </c>
      <c r="G3004" s="27" t="str">
        <f t="shared" si="94"/>
        <v>2400 BRIARWEST BLVD  HOUSTON</v>
      </c>
      <c r="H3004" s="27" t="str">
        <f t="shared" si="95"/>
        <v>HOUSTON TX 77077</v>
      </c>
    </row>
    <row r="3005" spans="1:8" x14ac:dyDescent="0.2">
      <c r="A3005" s="27">
        <f>COUNTIFS(C:C,C3005,D:D,D3005)</f>
        <v>1</v>
      </c>
      <c r="B3005" s="30">
        <v>202101202152</v>
      </c>
      <c r="C3005" t="s">
        <v>6989</v>
      </c>
      <c r="D3005" t="s">
        <v>6990</v>
      </c>
      <c r="E3005" t="s">
        <v>4958</v>
      </c>
      <c r="F3005" t="s">
        <v>66</v>
      </c>
      <c r="G3005" s="27" t="str">
        <f t="shared" si="94"/>
        <v>7510 BROMPTON ST 136  HOUSTON</v>
      </c>
      <c r="H3005" s="27" t="str">
        <f t="shared" si="95"/>
        <v>HOUSTON TX 77025</v>
      </c>
    </row>
    <row r="3006" spans="1:8" x14ac:dyDescent="0.2">
      <c r="A3006" s="27">
        <f>COUNTIFS(C:C,C3006,D:D,D3006)</f>
        <v>1</v>
      </c>
      <c r="B3006" s="30">
        <v>202101206661</v>
      </c>
      <c r="C3006" t="s">
        <v>6828</v>
      </c>
      <c r="D3006" t="s">
        <v>6829</v>
      </c>
      <c r="E3006" t="s">
        <v>4943</v>
      </c>
      <c r="F3006" t="s">
        <v>207</v>
      </c>
      <c r="G3006" s="27" t="str">
        <f t="shared" si="94"/>
        <v>4610 LOCHSHIN DR  HOUSTON</v>
      </c>
      <c r="H3006" s="27" t="str">
        <f t="shared" si="95"/>
        <v>HOUSTON TX 77084</v>
      </c>
    </row>
    <row r="3007" spans="1:8" x14ac:dyDescent="0.2">
      <c r="A3007" s="27">
        <f>COUNTIFS(C:C,C3007,D:D,D3007)</f>
        <v>1</v>
      </c>
      <c r="B3007" s="30">
        <v>202101206674</v>
      </c>
      <c r="C3007" t="s">
        <v>6749</v>
      </c>
      <c r="D3007" t="s">
        <v>6750</v>
      </c>
      <c r="E3007" t="s">
        <v>4861</v>
      </c>
      <c r="F3007" t="s">
        <v>193</v>
      </c>
      <c r="G3007" s="27" t="str">
        <f t="shared" si="94"/>
        <v>10017 SIERRA DR  HOUSTON</v>
      </c>
      <c r="H3007" s="27" t="str">
        <f t="shared" si="95"/>
        <v>HOUSTON TX 77051</v>
      </c>
    </row>
    <row r="3008" spans="1:8" x14ac:dyDescent="0.2">
      <c r="A3008" s="27">
        <f>COUNTIFS(C:C,C3008,D:D,D3008)</f>
        <v>1</v>
      </c>
      <c r="B3008" s="30">
        <v>202101206782</v>
      </c>
      <c r="C3008" t="s">
        <v>6138</v>
      </c>
      <c r="D3008" t="s">
        <v>6883</v>
      </c>
      <c r="E3008" t="s">
        <v>4876</v>
      </c>
      <c r="F3008" t="s">
        <v>5298</v>
      </c>
      <c r="G3008" s="27" t="str">
        <f t="shared" si="94"/>
        <v>12730 LABELLE LN  HOUSTON</v>
      </c>
      <c r="H3008" s="27" t="str">
        <f t="shared" si="95"/>
        <v>HOUSTON TX 77015</v>
      </c>
    </row>
    <row r="3009" spans="1:8" x14ac:dyDescent="0.2">
      <c r="A3009" s="27">
        <f>COUNTIFS(C:C,C3009,D:D,D3009)</f>
        <v>1</v>
      </c>
      <c r="B3009" s="30">
        <v>202101206784</v>
      </c>
      <c r="C3009" t="s">
        <v>6884</v>
      </c>
      <c r="D3009" t="s">
        <v>6885</v>
      </c>
      <c r="E3009" t="s">
        <v>4997</v>
      </c>
      <c r="F3009" t="s">
        <v>208</v>
      </c>
      <c r="G3009" s="27" t="str">
        <f t="shared" si="94"/>
        <v>10411 COOK RD  HOUSTON</v>
      </c>
      <c r="H3009" s="27" t="str">
        <f t="shared" si="95"/>
        <v>HOUSTON TX 77099</v>
      </c>
    </row>
    <row r="3010" spans="1:8" x14ac:dyDescent="0.2">
      <c r="A3010" s="27">
        <f>COUNTIFS(C:C,C3010,D:D,D3010)</f>
        <v>1</v>
      </c>
      <c r="B3010" s="30">
        <v>202101206793</v>
      </c>
      <c r="C3010" t="s">
        <v>6803</v>
      </c>
      <c r="D3010" t="s">
        <v>6804</v>
      </c>
      <c r="E3010" t="s">
        <v>4910</v>
      </c>
      <c r="F3010" t="s">
        <v>200</v>
      </c>
      <c r="G3010" s="27" t="str">
        <f t="shared" si="94"/>
        <v>1438 HITCHIN LN  CHANNELVIE</v>
      </c>
      <c r="H3010" s="27" t="str">
        <f t="shared" si="95"/>
        <v>HOUSTON TX 77530</v>
      </c>
    </row>
    <row r="3011" spans="1:8" x14ac:dyDescent="0.2">
      <c r="A3011" s="27">
        <f>COUNTIFS(C:C,C3011,D:D,D3011)</f>
        <v>1</v>
      </c>
      <c r="B3011" s="30">
        <v>202101206814</v>
      </c>
      <c r="C3011" t="s">
        <v>6793</v>
      </c>
      <c r="D3011" t="s">
        <v>6794</v>
      </c>
      <c r="E3011" t="s">
        <v>4943</v>
      </c>
      <c r="F3011" t="s">
        <v>186</v>
      </c>
      <c r="G3011" s="27" t="str">
        <f t="shared" si="94"/>
        <v>1810 WESTBOUND DR  HOUSTON</v>
      </c>
      <c r="H3011" s="27" t="str">
        <f t="shared" si="95"/>
        <v>HOUSTON TX 77084</v>
      </c>
    </row>
    <row r="3012" spans="1:8" x14ac:dyDescent="0.2">
      <c r="A3012" s="27">
        <f>COUNTIFS(C:C,C3012,D:D,D3012)</f>
        <v>1</v>
      </c>
      <c r="B3012" s="30">
        <v>202101206831</v>
      </c>
      <c r="C3012" t="s">
        <v>6759</v>
      </c>
      <c r="D3012" t="s">
        <v>6171</v>
      </c>
      <c r="E3012" t="s">
        <v>4986</v>
      </c>
      <c r="F3012" t="s">
        <v>244</v>
      </c>
      <c r="G3012" s="27" t="str">
        <f t="shared" si="94"/>
        <v>2023 COUNTRY VILLAGE BLVD HUMBLE</v>
      </c>
      <c r="H3012" s="27" t="str">
        <f t="shared" si="95"/>
        <v>HOUSTON TX 77338</v>
      </c>
    </row>
    <row r="3013" spans="1:8" x14ac:dyDescent="0.2">
      <c r="A3013" s="27">
        <f>COUNTIFS(C:C,C3013,D:D,D3013)</f>
        <v>1</v>
      </c>
      <c r="B3013" s="30">
        <v>202101206882</v>
      </c>
      <c r="C3013" t="s">
        <v>6886</v>
      </c>
      <c r="D3013" t="s">
        <v>6887</v>
      </c>
      <c r="E3013" t="s">
        <v>4982</v>
      </c>
      <c r="F3013" t="s">
        <v>209</v>
      </c>
      <c r="G3013" s="27" t="str">
        <f t="shared" si="94"/>
        <v>10306 LAKEBROOK CT  HOUSTON</v>
      </c>
      <c r="H3013" s="27" t="str">
        <f t="shared" si="95"/>
        <v>HOUSTON TX 77038</v>
      </c>
    </row>
    <row r="3014" spans="1:8" x14ac:dyDescent="0.2">
      <c r="A3014" s="27">
        <f>COUNTIFS(C:C,C3014,D:D,D3014)</f>
        <v>1</v>
      </c>
      <c r="B3014" s="30">
        <v>202101206916</v>
      </c>
      <c r="C3014" t="s">
        <v>6583</v>
      </c>
      <c r="D3014" t="s">
        <v>6584</v>
      </c>
      <c r="E3014" t="s">
        <v>4869</v>
      </c>
      <c r="F3014" t="s">
        <v>6744</v>
      </c>
      <c r="G3014" s="27" t="str">
        <f t="shared" si="94"/>
        <v>4803 YALE ST  HOUSTON</v>
      </c>
      <c r="H3014" s="27" t="str">
        <f t="shared" si="95"/>
        <v>HOUSTON TX 77018</v>
      </c>
    </row>
    <row r="3015" spans="1:8" x14ac:dyDescent="0.2">
      <c r="A3015" s="27">
        <f>COUNTIFS(C:C,C3015,D:D,D3015)</f>
        <v>1</v>
      </c>
      <c r="B3015" s="30">
        <v>202101207014</v>
      </c>
      <c r="C3015" t="s">
        <v>6559</v>
      </c>
      <c r="D3015" t="s">
        <v>6560</v>
      </c>
      <c r="E3015" t="s">
        <v>4982</v>
      </c>
      <c r="F3015" t="s">
        <v>6745</v>
      </c>
      <c r="G3015" s="27" t="str">
        <f t="shared" si="94"/>
        <v>201 PLAZA VERDE DR  HOUSTON</v>
      </c>
      <c r="H3015" s="27" t="str">
        <f t="shared" si="95"/>
        <v>HOUSTON TX 77038</v>
      </c>
    </row>
    <row r="3016" spans="1:8" x14ac:dyDescent="0.2">
      <c r="A3016" s="27">
        <f>COUNTIFS(C:C,C3016,D:D,D3016)</f>
        <v>1</v>
      </c>
      <c r="B3016" s="30">
        <v>202101207039</v>
      </c>
      <c r="C3016" t="s">
        <v>6830</v>
      </c>
      <c r="D3016" t="s">
        <v>6831</v>
      </c>
      <c r="E3016" t="s">
        <v>5023</v>
      </c>
      <c r="F3016" t="s">
        <v>6742</v>
      </c>
      <c r="G3016" s="27" t="str">
        <f t="shared" si="94"/>
        <v>2630 TANGLEWILDE ST  HOUSTON</v>
      </c>
      <c r="H3016" s="27" t="str">
        <f t="shared" si="95"/>
        <v>HOUSTON TX 77063</v>
      </c>
    </row>
    <row r="3017" spans="1:8" x14ac:dyDescent="0.2">
      <c r="A3017" s="27">
        <f>COUNTIFS(C:C,C3017,D:D,D3017)</f>
        <v>1</v>
      </c>
      <c r="B3017" s="30">
        <v>202101207045</v>
      </c>
      <c r="C3017" t="s">
        <v>6918</v>
      </c>
      <c r="D3017" t="s">
        <v>6919</v>
      </c>
      <c r="E3017" t="s">
        <v>4987</v>
      </c>
      <c r="F3017" t="s">
        <v>6736</v>
      </c>
      <c r="G3017" s="27" t="str">
        <f t="shared" si="94"/>
        <v>9756 CEDARDALE DR  HOUSTON</v>
      </c>
      <c r="H3017" s="27" t="str">
        <f t="shared" si="95"/>
        <v>HOUSTON TX 77055</v>
      </c>
    </row>
    <row r="3018" spans="1:8" x14ac:dyDescent="0.2">
      <c r="A3018" s="27">
        <f>COUNTIFS(C:C,C3018,D:D,D3018)</f>
        <v>1</v>
      </c>
      <c r="B3018" s="30">
        <v>202101207049</v>
      </c>
      <c r="C3018" t="s">
        <v>6696</v>
      </c>
      <c r="D3018" t="s">
        <v>6849</v>
      </c>
      <c r="E3018" t="s">
        <v>5060</v>
      </c>
      <c r="F3018" t="s">
        <v>215</v>
      </c>
      <c r="G3018" s="27" t="str">
        <f t="shared" si="94"/>
        <v>8103 BRINKWORTH LN  HOUSTON</v>
      </c>
      <c r="H3018" s="27" t="str">
        <f t="shared" si="95"/>
        <v>HOUSTON TX 77070</v>
      </c>
    </row>
    <row r="3019" spans="1:8" x14ac:dyDescent="0.2">
      <c r="A3019" s="27">
        <f>COUNTIFS(C:C,C3019,D:D,D3019)</f>
        <v>1</v>
      </c>
      <c r="B3019" s="30">
        <v>202101207072</v>
      </c>
      <c r="C3019" t="s">
        <v>6933</v>
      </c>
      <c r="D3019" t="s">
        <v>6934</v>
      </c>
      <c r="E3019" t="s">
        <v>4928</v>
      </c>
      <c r="F3019" t="s">
        <v>6746</v>
      </c>
      <c r="G3019" s="27" t="str">
        <f t="shared" si="94"/>
        <v>1901 S CANAL ST  HIGHLANDS</v>
      </c>
      <c r="H3019" s="27" t="str">
        <f t="shared" si="95"/>
        <v>HOUSTON TX 77562</v>
      </c>
    </row>
    <row r="3020" spans="1:8" x14ac:dyDescent="0.2">
      <c r="A3020" s="27">
        <f>COUNTIFS(C:C,C3020,D:D,D3020)</f>
        <v>1</v>
      </c>
      <c r="B3020" s="30">
        <v>202101207097</v>
      </c>
      <c r="C3020" t="s">
        <v>6942</v>
      </c>
      <c r="D3020" t="s">
        <v>6943</v>
      </c>
      <c r="E3020" t="s">
        <v>4900</v>
      </c>
      <c r="F3020" t="s">
        <v>187</v>
      </c>
      <c r="G3020" s="27" t="str">
        <f t="shared" si="94"/>
        <v>19319 MONTCLAIR MEADO W LN KATY</v>
      </c>
      <c r="H3020" s="27" t="str">
        <f t="shared" si="95"/>
        <v>HOUSTON TX 77449</v>
      </c>
    </row>
    <row r="3021" spans="1:8" x14ac:dyDescent="0.2">
      <c r="A3021" s="27">
        <f>COUNTIFS(C:C,C3021,D:D,D3021)</f>
        <v>1</v>
      </c>
      <c r="B3021" s="30">
        <v>202101207106</v>
      </c>
      <c r="C3021" t="s">
        <v>6780</v>
      </c>
      <c r="D3021" t="s">
        <v>6781</v>
      </c>
      <c r="E3021" t="s">
        <v>4984</v>
      </c>
      <c r="F3021" t="s">
        <v>208</v>
      </c>
      <c r="G3021" s="27" t="str">
        <f t="shared" si="94"/>
        <v>3217 HIRSCHFIELD RD  SPRING</v>
      </c>
      <c r="H3021" s="27" t="str">
        <f t="shared" si="95"/>
        <v>HOUSTON TX 77373</v>
      </c>
    </row>
    <row r="3022" spans="1:8" x14ac:dyDescent="0.2">
      <c r="A3022" s="27">
        <f>COUNTIFS(C:C,C3022,D:D,D3022)</f>
        <v>1</v>
      </c>
      <c r="B3022" s="30">
        <v>202101207133</v>
      </c>
      <c r="C3022" t="s">
        <v>6859</v>
      </c>
      <c r="D3022" t="s">
        <v>6860</v>
      </c>
      <c r="E3022" t="s">
        <v>4859</v>
      </c>
      <c r="F3022" t="s">
        <v>207</v>
      </c>
      <c r="G3022" s="27" t="str">
        <f t="shared" si="94"/>
        <v>311 HIGHLAND CROSS DR HOUSTON</v>
      </c>
      <c r="H3022" s="27" t="str">
        <f t="shared" si="95"/>
        <v>HOUSTON TX 77073</v>
      </c>
    </row>
    <row r="3023" spans="1:8" x14ac:dyDescent="0.2">
      <c r="A3023" s="27">
        <f>COUNTIFS(C:C,C3023,D:D,D3023)</f>
        <v>1</v>
      </c>
      <c r="B3023" s="30">
        <v>202101207140</v>
      </c>
      <c r="C3023" t="s">
        <v>6948</v>
      </c>
      <c r="D3023" t="s">
        <v>6949</v>
      </c>
      <c r="E3023" t="s">
        <v>4943</v>
      </c>
      <c r="F3023" t="s">
        <v>6734</v>
      </c>
      <c r="G3023" s="27" t="str">
        <f t="shared" si="94"/>
        <v>4934 ROYAL ARBOR LN  HOUSTON</v>
      </c>
      <c r="H3023" s="27" t="str">
        <f t="shared" si="95"/>
        <v>HOUSTON TX 77084</v>
      </c>
    </row>
    <row r="3024" spans="1:8" x14ac:dyDescent="0.2">
      <c r="A3024" s="27">
        <f>COUNTIFS(C:C,C3024,D:D,D3024)</f>
        <v>1</v>
      </c>
      <c r="B3024" s="30">
        <v>202101207142</v>
      </c>
      <c r="C3024" t="s">
        <v>6748</v>
      </c>
      <c r="D3024" t="s">
        <v>985</v>
      </c>
      <c r="E3024" t="s">
        <v>4993</v>
      </c>
      <c r="F3024" t="s">
        <v>215</v>
      </c>
      <c r="G3024" s="27" t="str">
        <f t="shared" si="94"/>
        <v>3295 FM 3514  BEAUMONT</v>
      </c>
      <c r="H3024" s="27" t="str">
        <f t="shared" si="95"/>
        <v>HOUSTON TX 77705</v>
      </c>
    </row>
    <row r="3025" spans="1:8" x14ac:dyDescent="0.2">
      <c r="A3025" s="27">
        <f>COUNTIFS(C:C,C3025,D:D,D3025)</f>
        <v>1</v>
      </c>
      <c r="B3025" s="30">
        <v>202101207143</v>
      </c>
      <c r="C3025" t="s">
        <v>6772</v>
      </c>
      <c r="D3025" t="s">
        <v>5921</v>
      </c>
      <c r="E3025" t="s">
        <v>4975</v>
      </c>
      <c r="F3025" t="s">
        <v>193</v>
      </c>
      <c r="G3025" s="27" t="str">
        <f t="shared" si="94"/>
        <v>11220 WEST RD  HOUSTON</v>
      </c>
      <c r="H3025" s="27" t="str">
        <f t="shared" si="95"/>
        <v>HOUSTON TX 77065</v>
      </c>
    </row>
    <row r="3026" spans="1:8" x14ac:dyDescent="0.2">
      <c r="A3026" s="27">
        <f>COUNTIFS(C:C,C3026,D:D,D3026)</f>
        <v>1</v>
      </c>
      <c r="B3026" s="30">
        <v>202101207155</v>
      </c>
      <c r="C3026" t="s">
        <v>6950</v>
      </c>
      <c r="D3026" t="s">
        <v>6951</v>
      </c>
      <c r="E3026" t="s">
        <v>4918</v>
      </c>
      <c r="F3026" t="s">
        <v>6733</v>
      </c>
      <c r="G3026" s="27" t="str">
        <f t="shared" si="94"/>
        <v>12007 SOFT PINES DR  HOUSTON</v>
      </c>
      <c r="H3026" s="27" t="str">
        <f t="shared" si="95"/>
        <v>HOUSTON TX 77066</v>
      </c>
    </row>
    <row r="3027" spans="1:8" x14ac:dyDescent="0.2">
      <c r="A3027" s="27">
        <f>COUNTIFS(C:C,C3027,D:D,D3027)</f>
        <v>1</v>
      </c>
      <c r="B3027" s="30">
        <v>202101207156</v>
      </c>
      <c r="C3027" t="s">
        <v>6843</v>
      </c>
      <c r="D3027" t="s">
        <v>6844</v>
      </c>
      <c r="E3027" t="s">
        <v>4917</v>
      </c>
      <c r="F3027" t="s">
        <v>187</v>
      </c>
      <c r="G3027" s="27" t="str">
        <f t="shared" si="94"/>
        <v>9323 MCAFEE DR  HOUSTON</v>
      </c>
      <c r="H3027" s="27" t="str">
        <f t="shared" si="95"/>
        <v>HOUSTON TX 77031</v>
      </c>
    </row>
    <row r="3028" spans="1:8" x14ac:dyDescent="0.2">
      <c r="A3028" s="27">
        <f>COUNTIFS(C:C,C3028,D:D,D3028)</f>
        <v>1</v>
      </c>
      <c r="B3028" s="30">
        <v>202101207165</v>
      </c>
      <c r="C3028" t="s">
        <v>6952</v>
      </c>
      <c r="D3028" t="s">
        <v>6953</v>
      </c>
      <c r="E3028" t="s">
        <v>4871</v>
      </c>
      <c r="F3028" t="s">
        <v>6737</v>
      </c>
      <c r="G3028" s="27" t="str">
        <f t="shared" si="94"/>
        <v>4203 DACCA DR  HOUSTON</v>
      </c>
      <c r="H3028" s="27" t="str">
        <f t="shared" si="95"/>
        <v>HOUSTON TX 77047</v>
      </c>
    </row>
    <row r="3029" spans="1:8" x14ac:dyDescent="0.2">
      <c r="A3029" s="27">
        <f>COUNTIFS(C:C,C3029,D:D,D3029)</f>
        <v>1</v>
      </c>
      <c r="B3029" s="30">
        <v>202101207171</v>
      </c>
      <c r="C3029" t="s">
        <v>6879</v>
      </c>
      <c r="D3029" t="s">
        <v>6880</v>
      </c>
      <c r="E3029" t="s">
        <v>5069</v>
      </c>
      <c r="F3029" t="s">
        <v>198</v>
      </c>
      <c r="G3029" s="27" t="str">
        <f t="shared" si="94"/>
        <v>2905 AUTUMN COVE CT  FRIENDSWOO</v>
      </c>
      <c r="H3029" s="27" t="str">
        <f t="shared" si="95"/>
        <v>HOUSTON TX 77546</v>
      </c>
    </row>
    <row r="3030" spans="1:8" x14ac:dyDescent="0.2">
      <c r="A3030" s="27">
        <f>COUNTIFS(C:C,C3030,D:D,D3030)</f>
        <v>1</v>
      </c>
      <c r="B3030" s="30">
        <v>202101207174</v>
      </c>
      <c r="C3030" t="s">
        <v>6801</v>
      </c>
      <c r="D3030" t="s">
        <v>6802</v>
      </c>
      <c r="E3030" t="s">
        <v>5026</v>
      </c>
      <c r="F3030" t="s">
        <v>238</v>
      </c>
      <c r="G3030" s="27" t="str">
        <f t="shared" si="94"/>
        <v>15800 STATE HIGHWAY 3  WEBSTER</v>
      </c>
      <c r="H3030" s="27" t="str">
        <f t="shared" si="95"/>
        <v>HOUSTON TX 77598</v>
      </c>
    </row>
    <row r="3031" spans="1:8" x14ac:dyDescent="0.2">
      <c r="A3031" s="27">
        <f>COUNTIFS(C:C,C3031,D:D,D3031)</f>
        <v>1</v>
      </c>
      <c r="B3031" s="30">
        <v>202101207175</v>
      </c>
      <c r="C3031" t="s">
        <v>6956</v>
      </c>
      <c r="D3031" t="s">
        <v>6957</v>
      </c>
      <c r="E3031" t="s">
        <v>5718</v>
      </c>
      <c r="F3031" t="s">
        <v>250</v>
      </c>
      <c r="G3031" s="27" t="str">
        <f t="shared" si="94"/>
        <v>1330 SPRING LAKE DRI VE DALLAS</v>
      </c>
      <c r="H3031" s="27" t="str">
        <f t="shared" si="95"/>
        <v>HOUSTON TX 75217</v>
      </c>
    </row>
    <row r="3032" spans="1:8" x14ac:dyDescent="0.2">
      <c r="A3032" s="27">
        <f>COUNTIFS(C:C,C3032,D:D,D3032)</f>
        <v>1</v>
      </c>
      <c r="B3032" s="30">
        <v>202101207198</v>
      </c>
      <c r="C3032" t="s">
        <v>6958</v>
      </c>
      <c r="D3032" t="s">
        <v>6959</v>
      </c>
      <c r="E3032" t="s">
        <v>5085</v>
      </c>
      <c r="F3032" t="s">
        <v>221</v>
      </c>
      <c r="G3032" s="27" t="str">
        <f t="shared" si="94"/>
        <v>650 DONOHO ST 130  HEMPSTEAD</v>
      </c>
      <c r="H3032" s="27" t="str">
        <f t="shared" si="95"/>
        <v>HOUSTON TX 77445</v>
      </c>
    </row>
    <row r="3033" spans="1:8" x14ac:dyDescent="0.2">
      <c r="A3033" s="27">
        <f>COUNTIFS(C:C,C3033,D:D,D3033)</f>
        <v>1</v>
      </c>
      <c r="B3033" s="30">
        <v>202101207199</v>
      </c>
      <c r="C3033" t="s">
        <v>6834</v>
      </c>
      <c r="D3033" t="s">
        <v>6835</v>
      </c>
      <c r="E3033" t="s">
        <v>4862</v>
      </c>
      <c r="F3033" t="s">
        <v>187</v>
      </c>
      <c r="G3033" s="27" t="str">
        <f t="shared" si="94"/>
        <v>17710 RED OAK DRIVE  HOUSTON</v>
      </c>
      <c r="H3033" s="27" t="str">
        <f t="shared" si="95"/>
        <v>HOUSTON TX 77090</v>
      </c>
    </row>
    <row r="3034" spans="1:8" x14ac:dyDescent="0.2">
      <c r="A3034" s="27">
        <f>COUNTIFS(C:C,C3034,D:D,D3034)</f>
        <v>1</v>
      </c>
      <c r="B3034" s="30">
        <v>202101207200</v>
      </c>
      <c r="C3034" t="s">
        <v>6797</v>
      </c>
      <c r="D3034" t="s">
        <v>6798</v>
      </c>
      <c r="E3034" t="s">
        <v>4859</v>
      </c>
      <c r="F3034" t="s">
        <v>209</v>
      </c>
      <c r="G3034" s="27" t="str">
        <f t="shared" si="94"/>
        <v>1239 LAVENDER SHADE CT HOUSTON</v>
      </c>
      <c r="H3034" s="27" t="str">
        <f t="shared" si="95"/>
        <v>HOUSTON TX 77073</v>
      </c>
    </row>
    <row r="3035" spans="1:8" x14ac:dyDescent="0.2">
      <c r="A3035" s="27">
        <f>COUNTIFS(C:C,C3035,D:D,D3035)</f>
        <v>1</v>
      </c>
      <c r="B3035" s="30">
        <v>202101207202</v>
      </c>
      <c r="C3035" t="s">
        <v>6875</v>
      </c>
      <c r="D3035" t="s">
        <v>6876</v>
      </c>
      <c r="E3035" t="s">
        <v>4871</v>
      </c>
      <c r="F3035" t="s">
        <v>6735</v>
      </c>
      <c r="G3035" s="27" t="str">
        <f t="shared" si="94"/>
        <v>4211 MADDEN LN  HOUSTON</v>
      </c>
      <c r="H3035" s="27" t="str">
        <f t="shared" si="95"/>
        <v>HOUSTON TX 77047</v>
      </c>
    </row>
    <row r="3036" spans="1:8" x14ac:dyDescent="0.2">
      <c r="A3036" s="27">
        <f>COUNTIFS(C:C,C3036,D:D,D3036)</f>
        <v>1</v>
      </c>
      <c r="B3036" s="30">
        <v>202101207208</v>
      </c>
      <c r="C3036" t="s">
        <v>6832</v>
      </c>
      <c r="D3036" t="s">
        <v>6833</v>
      </c>
      <c r="E3036" t="s">
        <v>4932</v>
      </c>
      <c r="F3036" t="s">
        <v>203</v>
      </c>
      <c r="G3036" s="27" t="str">
        <f t="shared" si="94"/>
        <v>5353 DEEP FOREST DR APT 922 HOUSTON</v>
      </c>
      <c r="H3036" s="27" t="str">
        <f t="shared" si="95"/>
        <v>HOUSTON TX 77092</v>
      </c>
    </row>
    <row r="3037" spans="1:8" x14ac:dyDescent="0.2">
      <c r="A3037" s="27">
        <f>COUNTIFS(C:C,C3037,D:D,D3037)</f>
        <v>1</v>
      </c>
      <c r="B3037" s="30">
        <v>202101207209</v>
      </c>
      <c r="C3037" t="s">
        <v>6865</v>
      </c>
      <c r="D3037" t="s">
        <v>850</v>
      </c>
      <c r="E3037" t="s">
        <v>4889</v>
      </c>
      <c r="F3037" t="s">
        <v>233</v>
      </c>
      <c r="G3037" s="27" t="str">
        <f t="shared" si="94"/>
        <v>11201 VETERANS MEMORI AL DR HOUSTON</v>
      </c>
      <c r="H3037" s="27" t="str">
        <f t="shared" si="95"/>
        <v>HOUSTON TX 77067</v>
      </c>
    </row>
    <row r="3038" spans="1:8" x14ac:dyDescent="0.2">
      <c r="A3038" s="27">
        <f>COUNTIFS(C:C,C3038,D:D,D3038)</f>
        <v>1</v>
      </c>
      <c r="B3038" s="30">
        <v>202101207214</v>
      </c>
      <c r="C3038" t="s">
        <v>6966</v>
      </c>
      <c r="D3038" t="s">
        <v>6967</v>
      </c>
      <c r="E3038" t="s">
        <v>5117</v>
      </c>
      <c r="F3038" t="s">
        <v>233</v>
      </c>
      <c r="G3038" s="27" t="str">
        <f t="shared" si="94"/>
        <v>19255 MADDIE LANE  PORTER</v>
      </c>
      <c r="H3038" s="27" t="str">
        <f t="shared" si="95"/>
        <v>HOUSTON TX 77365</v>
      </c>
    </row>
    <row r="3039" spans="1:8" x14ac:dyDescent="0.2">
      <c r="A3039" s="27">
        <f>COUNTIFS(C:C,C3039,D:D,D3039)</f>
        <v>1</v>
      </c>
      <c r="B3039" s="30">
        <v>202101207217</v>
      </c>
      <c r="C3039" t="s">
        <v>6777</v>
      </c>
      <c r="D3039" t="s">
        <v>6778</v>
      </c>
      <c r="E3039" t="s">
        <v>4969</v>
      </c>
      <c r="F3039" t="s">
        <v>215</v>
      </c>
      <c r="G3039" s="27" t="str">
        <f t="shared" si="94"/>
        <v>21319 SURGARBLOOM LAN E TOMBALL</v>
      </c>
      <c r="H3039" s="27" t="str">
        <f t="shared" si="95"/>
        <v>HOUSTON TX 77375</v>
      </c>
    </row>
    <row r="3040" spans="1:8" x14ac:dyDescent="0.2">
      <c r="A3040" s="27">
        <f>COUNTIFS(C:C,C3040,D:D,D3040)</f>
        <v>1</v>
      </c>
      <c r="B3040" s="30">
        <v>202101207227</v>
      </c>
      <c r="C3040" t="s">
        <v>6970</v>
      </c>
      <c r="D3040" t="s">
        <v>6971</v>
      </c>
      <c r="E3040" t="s">
        <v>5157</v>
      </c>
      <c r="F3040" t="s">
        <v>208</v>
      </c>
      <c r="G3040" s="27" t="str">
        <f t="shared" si="94"/>
        <v>9001 GAYLORD 7  HOUSTON</v>
      </c>
      <c r="H3040" s="27" t="str">
        <f t="shared" si="95"/>
        <v>HOUSTON TX 77024</v>
      </c>
    </row>
    <row r="3041" spans="1:8" x14ac:dyDescent="0.2">
      <c r="A3041" s="27">
        <f>COUNTIFS(C:C,C3041,D:D,D3041)</f>
        <v>1</v>
      </c>
      <c r="B3041" s="30">
        <v>202101207228</v>
      </c>
      <c r="C3041" t="s">
        <v>6972</v>
      </c>
      <c r="D3041" t="s">
        <v>6973</v>
      </c>
      <c r="E3041" t="s">
        <v>4860</v>
      </c>
      <c r="F3041" t="s">
        <v>187</v>
      </c>
      <c r="G3041" s="27" t="str">
        <f t="shared" si="94"/>
        <v>1203 MONROE ST  BAYTOWN</v>
      </c>
      <c r="H3041" s="27" t="str">
        <f t="shared" si="95"/>
        <v>HOUSTON TX 77520</v>
      </c>
    </row>
    <row r="3042" spans="1:8" x14ac:dyDescent="0.2">
      <c r="A3042" s="27">
        <f>COUNTIFS(C:C,C3042,D:D,D3042)</f>
        <v>1</v>
      </c>
      <c r="B3042" s="30">
        <v>202101207231</v>
      </c>
      <c r="C3042" t="s">
        <v>6775</v>
      </c>
      <c r="D3042" t="s">
        <v>6776</v>
      </c>
      <c r="E3042" t="s">
        <v>4988</v>
      </c>
      <c r="F3042" t="s">
        <v>194</v>
      </c>
      <c r="G3042" s="27" t="str">
        <f t="shared" si="94"/>
        <v>7107 CHASEWOOD DR  MISSOURI C</v>
      </c>
      <c r="H3042" s="27" t="str">
        <f t="shared" si="95"/>
        <v>HOUSTON TX 77489</v>
      </c>
    </row>
    <row r="3043" spans="1:8" x14ac:dyDescent="0.2">
      <c r="A3043" s="27">
        <f>COUNTIFS(C:C,C3043,D:D,D3043)</f>
        <v>1</v>
      </c>
      <c r="B3043" s="30">
        <v>202101207253</v>
      </c>
      <c r="C3043" t="s">
        <v>6873</v>
      </c>
      <c r="D3043" t="s">
        <v>6874</v>
      </c>
      <c r="E3043" t="s">
        <v>4886</v>
      </c>
      <c r="F3043" t="s">
        <v>200</v>
      </c>
      <c r="G3043" s="27" t="str">
        <f t="shared" si="94"/>
        <v>4833 KINGFISHER DR  HOUSTON</v>
      </c>
      <c r="H3043" s="27" t="str">
        <f t="shared" si="95"/>
        <v>HOUSTON TX 77035</v>
      </c>
    </row>
    <row r="3044" spans="1:8" x14ac:dyDescent="0.2">
      <c r="A3044" s="27">
        <f>COUNTIFS(C:C,C3044,D:D,D3044)</f>
        <v>1</v>
      </c>
      <c r="B3044" s="30">
        <v>202101207258</v>
      </c>
      <c r="C3044" t="s">
        <v>6779</v>
      </c>
      <c r="D3044" t="s">
        <v>1655</v>
      </c>
      <c r="E3044" t="s">
        <v>4862</v>
      </c>
      <c r="F3044" t="s">
        <v>203</v>
      </c>
      <c r="G3044" s="27" t="str">
        <f t="shared" si="94"/>
        <v>990 CYPRESS STATION DR HOUSTON</v>
      </c>
      <c r="H3044" s="27" t="str">
        <f t="shared" si="95"/>
        <v>HOUSTON TX 77090</v>
      </c>
    </row>
    <row r="3045" spans="1:8" x14ac:dyDescent="0.2">
      <c r="A3045" s="27">
        <f>COUNTIFS(C:C,C3045,D:D,D3045)</f>
        <v>1</v>
      </c>
      <c r="B3045" s="30">
        <v>202101207263</v>
      </c>
      <c r="C3045" t="s">
        <v>6981</v>
      </c>
      <c r="D3045" t="s">
        <v>6982</v>
      </c>
      <c r="E3045" t="s">
        <v>4948</v>
      </c>
      <c r="F3045" t="s">
        <v>6747</v>
      </c>
      <c r="G3045" s="27" t="str">
        <f t="shared" si="94"/>
        <v>225 S HEIGHTS BLVD APT HOUSTON</v>
      </c>
      <c r="H3045" s="27" t="str">
        <f t="shared" si="95"/>
        <v>HOUSTON TX 77007</v>
      </c>
    </row>
    <row r="3046" spans="1:8" x14ac:dyDescent="0.2">
      <c r="A3046" s="27">
        <f>COUNTIFS(C:C,C3046,D:D,D3046)</f>
        <v>1</v>
      </c>
      <c r="B3046" s="30">
        <v>202101207268</v>
      </c>
      <c r="C3046" t="s">
        <v>6751</v>
      </c>
      <c r="D3046" t="s">
        <v>6752</v>
      </c>
      <c r="E3046" t="s">
        <v>4854</v>
      </c>
      <c r="F3046" t="s">
        <v>187</v>
      </c>
      <c r="G3046" s="27" t="str">
        <f t="shared" si="94"/>
        <v>4150 CRANE STREET  HOUSTON</v>
      </c>
      <c r="H3046" s="27" t="str">
        <f t="shared" si="95"/>
        <v>HOUSTON TX 77026</v>
      </c>
    </row>
    <row r="3047" spans="1:8" x14ac:dyDescent="0.2">
      <c r="A3047" s="27">
        <f>COUNTIFS(C:C,C3047,D:D,D3047)</f>
        <v>1</v>
      </c>
      <c r="B3047" s="30">
        <v>202101207290</v>
      </c>
      <c r="C3047" t="s">
        <v>6762</v>
      </c>
      <c r="D3047" t="s">
        <v>6763</v>
      </c>
      <c r="E3047" t="s">
        <v>4875</v>
      </c>
      <c r="F3047" t="s">
        <v>207</v>
      </c>
      <c r="G3047" s="27" t="str">
        <f t="shared" si="94"/>
        <v>8229 CURRY RD  HOUSTON</v>
      </c>
      <c r="H3047" s="27" t="str">
        <f t="shared" si="95"/>
        <v>HOUSTON TX 77093</v>
      </c>
    </row>
    <row r="3048" spans="1:8" x14ac:dyDescent="0.2">
      <c r="A3048" s="27">
        <f>COUNTIFS(C:C,C3048,D:D,D3048)</f>
        <v>1</v>
      </c>
      <c r="B3048" s="30">
        <v>202101207292</v>
      </c>
      <c r="C3048" t="s">
        <v>6881</v>
      </c>
      <c r="D3048" t="s">
        <v>6882</v>
      </c>
      <c r="E3048" t="s">
        <v>4967</v>
      </c>
      <c r="F3048" t="s">
        <v>209</v>
      </c>
      <c r="G3048" s="27" t="str">
        <f t="shared" si="94"/>
        <v>7835 GROW LN  HOUSTON</v>
      </c>
      <c r="H3048" s="27" t="str">
        <f t="shared" si="95"/>
        <v>HOUSTON TX 77040</v>
      </c>
    </row>
    <row r="3049" spans="1:8" x14ac:dyDescent="0.2">
      <c r="A3049" s="27">
        <f>COUNTIFS(C:C,C3049,D:D,D3049)</f>
        <v>1</v>
      </c>
      <c r="B3049" s="30">
        <v>202101207308</v>
      </c>
      <c r="C3049" t="s">
        <v>6799</v>
      </c>
      <c r="D3049" t="s">
        <v>6800</v>
      </c>
      <c r="E3049" t="s">
        <v>4970</v>
      </c>
      <c r="F3049" t="s">
        <v>6738</v>
      </c>
      <c r="G3049" s="27" t="str">
        <f t="shared" si="94"/>
        <v>6210 VICKIJOHN DR  HOUSTON</v>
      </c>
      <c r="H3049" s="27" t="str">
        <f t="shared" si="95"/>
        <v>HOUSTON TX 77096</v>
      </c>
    </row>
    <row r="3050" spans="1:8" x14ac:dyDescent="0.2">
      <c r="A3050" s="27">
        <f>COUNTIFS(C:C,C3050,D:D,D3050)</f>
        <v>1</v>
      </c>
      <c r="B3050" s="30">
        <v>202101211588</v>
      </c>
      <c r="C3050" t="s">
        <v>7008</v>
      </c>
      <c r="D3050" t="s">
        <v>7009</v>
      </c>
      <c r="E3050" t="s">
        <v>4852</v>
      </c>
      <c r="F3050" t="s">
        <v>53</v>
      </c>
      <c r="G3050" s="27" t="str">
        <f t="shared" ref="G3050:G3113" si="96">D3050&amp;" "&amp;MID(E3050,1,FIND(" TX",E3050)-1)</f>
        <v>7718 CADDO RD  HOUSTON</v>
      </c>
      <c r="H3050" s="27" t="str">
        <f t="shared" ref="H3050:H3113" si="97">"HOUSTON "&amp;MID(E3050,FIND("TX",E3050),8)</f>
        <v>HOUSTON TX 77016</v>
      </c>
    </row>
    <row r="3051" spans="1:8" x14ac:dyDescent="0.2">
      <c r="A3051" s="27">
        <f>COUNTIFS(C:C,C3051,D:D,D3051)</f>
        <v>1</v>
      </c>
      <c r="B3051" s="30">
        <v>202101211937</v>
      </c>
      <c r="C3051" t="s">
        <v>7070</v>
      </c>
      <c r="D3051" t="s">
        <v>7071</v>
      </c>
      <c r="E3051" t="s">
        <v>4853</v>
      </c>
      <c r="F3051" t="s">
        <v>53</v>
      </c>
      <c r="G3051" s="27" t="str">
        <f t="shared" si="96"/>
        <v>4550 ALDINE MAIL RD  HOUSTON</v>
      </c>
      <c r="H3051" s="27" t="str">
        <f t="shared" si="97"/>
        <v>HOUSTON TX 77039</v>
      </c>
    </row>
    <row r="3052" spans="1:8" x14ac:dyDescent="0.2">
      <c r="A3052" s="27">
        <f>COUNTIFS(C:C,C3052,D:D,D3052)</f>
        <v>1</v>
      </c>
      <c r="B3052" s="30">
        <v>202101212014</v>
      </c>
      <c r="C3052" t="s">
        <v>7034</v>
      </c>
      <c r="D3052" t="s">
        <v>7035</v>
      </c>
      <c r="E3052" t="s">
        <v>4878</v>
      </c>
      <c r="F3052" t="s">
        <v>53</v>
      </c>
      <c r="G3052" s="27" t="str">
        <f t="shared" si="96"/>
        <v>14155 FAYRIDGE DR  HOUSTON</v>
      </c>
      <c r="H3052" s="27" t="str">
        <f t="shared" si="97"/>
        <v>HOUSTON TX 77048</v>
      </c>
    </row>
    <row r="3053" spans="1:8" x14ac:dyDescent="0.2">
      <c r="A3053" s="27">
        <f>COUNTIFS(C:C,C3053,D:D,D3053)</f>
        <v>1</v>
      </c>
      <c r="B3053" s="30">
        <v>202101212129</v>
      </c>
      <c r="C3053" t="s">
        <v>7002</v>
      </c>
      <c r="D3053" t="s">
        <v>7003</v>
      </c>
      <c r="E3053" t="s">
        <v>4905</v>
      </c>
      <c r="F3053" t="s">
        <v>67</v>
      </c>
      <c r="G3053" s="27" t="str">
        <f t="shared" si="96"/>
        <v>2702 SINCLAIR  PASADENA</v>
      </c>
      <c r="H3053" s="27" t="str">
        <f t="shared" si="97"/>
        <v>HOUSTON TX 77503</v>
      </c>
    </row>
    <row r="3054" spans="1:8" x14ac:dyDescent="0.2">
      <c r="A3054" s="27">
        <f>COUNTIFS(C:C,C3054,D:D,D3054)</f>
        <v>1</v>
      </c>
      <c r="B3054" s="30">
        <v>202101212137</v>
      </c>
      <c r="C3054" t="s">
        <v>7016</v>
      </c>
      <c r="D3054" t="s">
        <v>7017</v>
      </c>
      <c r="E3054" t="s">
        <v>4952</v>
      </c>
      <c r="F3054" t="s">
        <v>71</v>
      </c>
      <c r="G3054" s="27" t="str">
        <f t="shared" si="96"/>
        <v>1202 PASADENA BLVD  PASADENA</v>
      </c>
      <c r="H3054" s="27" t="str">
        <f t="shared" si="97"/>
        <v>HOUSTON TX 77506</v>
      </c>
    </row>
    <row r="3055" spans="1:8" x14ac:dyDescent="0.2">
      <c r="A3055" s="27">
        <f>COUNTIFS(C:C,C3055,D:D,D3055)</f>
        <v>1</v>
      </c>
      <c r="B3055" s="30">
        <v>202101212138</v>
      </c>
      <c r="C3055" t="s">
        <v>7059</v>
      </c>
      <c r="D3055" t="s">
        <v>7060</v>
      </c>
      <c r="E3055" t="s">
        <v>4905</v>
      </c>
      <c r="F3055" t="s">
        <v>53</v>
      </c>
      <c r="G3055" s="27" t="str">
        <f t="shared" si="96"/>
        <v>3120 PASADENA BLVD  PASADENA</v>
      </c>
      <c r="H3055" s="27" t="str">
        <f t="shared" si="97"/>
        <v>HOUSTON TX 77503</v>
      </c>
    </row>
    <row r="3056" spans="1:8" x14ac:dyDescent="0.2">
      <c r="A3056" s="27">
        <f>COUNTIFS(C:C,C3056,D:D,D3056)</f>
        <v>1</v>
      </c>
      <c r="B3056" s="30">
        <v>202101212142</v>
      </c>
      <c r="C3056" t="s">
        <v>7107</v>
      </c>
      <c r="D3056" t="s">
        <v>7108</v>
      </c>
      <c r="E3056" t="s">
        <v>5070</v>
      </c>
      <c r="F3056" t="s">
        <v>51</v>
      </c>
      <c r="G3056" s="27" t="str">
        <f t="shared" si="96"/>
        <v>2010 LAURA LN  LAPORTE</v>
      </c>
      <c r="H3056" s="27" t="str">
        <f t="shared" si="97"/>
        <v>HOUSTON TX 77571</v>
      </c>
    </row>
    <row r="3057" spans="1:8" x14ac:dyDescent="0.2">
      <c r="A3057" s="27">
        <f>COUNTIFS(C:C,C3057,D:D,D3057)</f>
        <v>1</v>
      </c>
      <c r="B3057" s="30">
        <v>202101212148</v>
      </c>
      <c r="C3057" t="s">
        <v>7067</v>
      </c>
      <c r="D3057" t="s">
        <v>7068</v>
      </c>
      <c r="E3057" t="s">
        <v>4997</v>
      </c>
      <c r="F3057" t="s">
        <v>53</v>
      </c>
      <c r="G3057" s="27" t="str">
        <f t="shared" si="96"/>
        <v>9401 COVENTRY SQ DR  HOUSTON</v>
      </c>
      <c r="H3057" s="27" t="str">
        <f t="shared" si="97"/>
        <v>HOUSTON TX 77099</v>
      </c>
    </row>
    <row r="3058" spans="1:8" x14ac:dyDescent="0.2">
      <c r="A3058" s="27">
        <f>COUNTIFS(C:C,C3058,D:D,D3058)</f>
        <v>1</v>
      </c>
      <c r="B3058" s="30">
        <v>202101212150</v>
      </c>
      <c r="C3058" t="s">
        <v>7087</v>
      </c>
      <c r="D3058" t="s">
        <v>7088</v>
      </c>
      <c r="E3058" t="s">
        <v>4937</v>
      </c>
      <c r="F3058" t="s">
        <v>53</v>
      </c>
      <c r="G3058" s="27" t="str">
        <f t="shared" si="96"/>
        <v>3903 ERBY ST  HOUSTON</v>
      </c>
      <c r="H3058" s="27" t="str">
        <f t="shared" si="97"/>
        <v>HOUSTON TX 77087</v>
      </c>
    </row>
    <row r="3059" spans="1:8" x14ac:dyDescent="0.2">
      <c r="A3059" s="27">
        <f>COUNTIFS(C:C,C3059,D:D,D3059)</f>
        <v>1</v>
      </c>
      <c r="B3059" s="30">
        <v>202101212151</v>
      </c>
      <c r="C3059" t="s">
        <v>7051</v>
      </c>
      <c r="D3059" t="s">
        <v>7052</v>
      </c>
      <c r="E3059" t="s">
        <v>4879</v>
      </c>
      <c r="F3059" t="s">
        <v>58</v>
      </c>
      <c r="G3059" s="27" t="str">
        <f t="shared" si="96"/>
        <v>2421 MAYVIEW DR  HOUSTON</v>
      </c>
      <c r="H3059" s="27" t="str">
        <f t="shared" si="97"/>
        <v>HOUSTON TX 77091</v>
      </c>
    </row>
    <row r="3060" spans="1:8" x14ac:dyDescent="0.2">
      <c r="A3060" s="27">
        <f>COUNTIFS(C:C,C3060,D:D,D3060)</f>
        <v>1</v>
      </c>
      <c r="B3060" s="30">
        <v>202101212167</v>
      </c>
      <c r="C3060" t="s">
        <v>7066</v>
      </c>
      <c r="D3060" t="s">
        <v>1385</v>
      </c>
      <c r="E3060" t="s">
        <v>4935</v>
      </c>
      <c r="F3060" t="s">
        <v>58</v>
      </c>
      <c r="G3060" s="27" t="str">
        <f t="shared" si="96"/>
        <v>2350 ATASCOCITA RD  HUMBLE</v>
      </c>
      <c r="H3060" s="27" t="str">
        <f t="shared" si="97"/>
        <v>HOUSTON TX 77396</v>
      </c>
    </row>
    <row r="3061" spans="1:8" x14ac:dyDescent="0.2">
      <c r="A3061" s="27">
        <f>COUNTIFS(C:C,C3061,D:D,D3061)</f>
        <v>1</v>
      </c>
      <c r="B3061" s="30">
        <v>202101212169</v>
      </c>
      <c r="C3061" t="s">
        <v>7006</v>
      </c>
      <c r="D3061" t="s">
        <v>7007</v>
      </c>
      <c r="E3061" t="s">
        <v>4982</v>
      </c>
      <c r="F3061" t="s">
        <v>51</v>
      </c>
      <c r="G3061" s="27" t="str">
        <f t="shared" si="96"/>
        <v>2402 WOODTOWN DR  HOUSTON</v>
      </c>
      <c r="H3061" s="27" t="str">
        <f t="shared" si="97"/>
        <v>HOUSTON TX 77038</v>
      </c>
    </row>
    <row r="3062" spans="1:8" x14ac:dyDescent="0.2">
      <c r="A3062" s="27">
        <f>COUNTIFS(C:C,C3062,D:D,D3062)</f>
        <v>1</v>
      </c>
      <c r="B3062" s="30">
        <v>202101212175</v>
      </c>
      <c r="C3062" t="s">
        <v>7014</v>
      </c>
      <c r="D3062" t="s">
        <v>7015</v>
      </c>
      <c r="E3062" t="s">
        <v>5060</v>
      </c>
      <c r="F3062" t="s">
        <v>64</v>
      </c>
      <c r="G3062" s="27" t="str">
        <f t="shared" si="96"/>
        <v>10802 GREENCREEK DR  HOUSTON</v>
      </c>
      <c r="H3062" s="27" t="str">
        <f t="shared" si="97"/>
        <v>HOUSTON TX 77070</v>
      </c>
    </row>
    <row r="3063" spans="1:8" x14ac:dyDescent="0.2">
      <c r="A3063" s="27">
        <f>COUNTIFS(C:C,C3063,D:D,D3063)</f>
        <v>1</v>
      </c>
      <c r="B3063" s="30">
        <v>202101212176</v>
      </c>
      <c r="C3063" t="s">
        <v>7032</v>
      </c>
      <c r="D3063" t="s">
        <v>7033</v>
      </c>
      <c r="E3063" t="s">
        <v>4943</v>
      </c>
      <c r="F3063" t="s">
        <v>67</v>
      </c>
      <c r="G3063" s="27" t="str">
        <f t="shared" si="96"/>
        <v>2400 BRIARWEST BLVD APT 2008 HOUSTON</v>
      </c>
      <c r="H3063" s="27" t="str">
        <f t="shared" si="97"/>
        <v>HOUSTON TX 77084</v>
      </c>
    </row>
    <row r="3064" spans="1:8" x14ac:dyDescent="0.2">
      <c r="A3064" s="27">
        <f>COUNTIFS(C:C,C3064,D:D,D3064)</f>
        <v>1</v>
      </c>
      <c r="B3064" s="30">
        <v>202101212184</v>
      </c>
      <c r="C3064" t="s">
        <v>7083</v>
      </c>
      <c r="D3064" t="s">
        <v>7084</v>
      </c>
      <c r="E3064" t="s">
        <v>4986</v>
      </c>
      <c r="F3064" t="s">
        <v>79</v>
      </c>
      <c r="G3064" s="27" t="str">
        <f t="shared" si="96"/>
        <v>21214 FOX BRANCH TRAI L HUMBLE</v>
      </c>
      <c r="H3064" s="27" t="str">
        <f t="shared" si="97"/>
        <v>HOUSTON TX 77338</v>
      </c>
    </row>
    <row r="3065" spans="1:8" x14ac:dyDescent="0.2">
      <c r="A3065" s="27">
        <f>COUNTIFS(C:C,C3065,D:D,D3065)</f>
        <v>1</v>
      </c>
      <c r="B3065" s="30">
        <v>202101212188</v>
      </c>
      <c r="C3065" t="s">
        <v>7047</v>
      </c>
      <c r="D3065" t="s">
        <v>7048</v>
      </c>
      <c r="E3065" t="s">
        <v>5020</v>
      </c>
      <c r="F3065" t="s">
        <v>53</v>
      </c>
      <c r="G3065" s="27" t="str">
        <f t="shared" si="96"/>
        <v>19619 NARCISSUS BROOK LN CYPRESS</v>
      </c>
      <c r="H3065" s="27" t="str">
        <f t="shared" si="97"/>
        <v>HOUSTON TX 77443</v>
      </c>
    </row>
    <row r="3066" spans="1:8" x14ac:dyDescent="0.2">
      <c r="A3066" s="27">
        <f>COUNTIFS(C:C,C3066,D:D,D3066)</f>
        <v>1</v>
      </c>
      <c r="B3066" s="30">
        <v>202101212192</v>
      </c>
      <c r="C3066" t="s">
        <v>7113</v>
      </c>
      <c r="D3066" t="s">
        <v>7114</v>
      </c>
      <c r="E3066" t="s">
        <v>4956</v>
      </c>
      <c r="F3066" t="s">
        <v>53</v>
      </c>
      <c r="G3066" s="27" t="str">
        <f t="shared" si="96"/>
        <v>19103 ATASCA OAKS  HUMBLE</v>
      </c>
      <c r="H3066" s="27" t="str">
        <f t="shared" si="97"/>
        <v>HOUSTON TX 77346</v>
      </c>
    </row>
    <row r="3067" spans="1:8" x14ac:dyDescent="0.2">
      <c r="A3067" s="27">
        <f>COUNTIFS(C:C,C3067,D:D,D3067)</f>
        <v>1</v>
      </c>
      <c r="B3067" s="30">
        <v>202101212200</v>
      </c>
      <c r="C3067" t="s">
        <v>7004</v>
      </c>
      <c r="D3067" t="s">
        <v>7005</v>
      </c>
      <c r="E3067" t="s">
        <v>5060</v>
      </c>
      <c r="F3067" t="s">
        <v>87</v>
      </c>
      <c r="G3067" s="27" t="str">
        <f t="shared" si="96"/>
        <v>13555 BRETON RIDGE ST  HOUSTON</v>
      </c>
      <c r="H3067" s="27" t="str">
        <f t="shared" si="97"/>
        <v>HOUSTON TX 77070</v>
      </c>
    </row>
    <row r="3068" spans="1:8" x14ac:dyDescent="0.2">
      <c r="A3068" s="27">
        <f>COUNTIFS(C:C,C3068,D:D,D3068)</f>
        <v>1</v>
      </c>
      <c r="B3068" s="30">
        <v>202101212201</v>
      </c>
      <c r="C3068" t="s">
        <v>7045</v>
      </c>
      <c r="D3068" t="s">
        <v>7046</v>
      </c>
      <c r="E3068" t="s">
        <v>5104</v>
      </c>
      <c r="F3068" t="s">
        <v>79</v>
      </c>
      <c r="G3068" s="27" t="str">
        <f t="shared" si="96"/>
        <v>6424 BURDINE CT  HOUSTON</v>
      </c>
      <c r="H3068" s="27" t="str">
        <f t="shared" si="97"/>
        <v>HOUSTON TX 77085</v>
      </c>
    </row>
    <row r="3069" spans="1:8" x14ac:dyDescent="0.2">
      <c r="A3069" s="27">
        <f>COUNTIFS(C:C,C3069,D:D,D3069)</f>
        <v>1</v>
      </c>
      <c r="B3069" s="30">
        <v>202101212202</v>
      </c>
      <c r="C3069" t="s">
        <v>7010</v>
      </c>
      <c r="D3069" t="s">
        <v>7011</v>
      </c>
      <c r="E3069" t="s">
        <v>4854</v>
      </c>
      <c r="F3069" t="s">
        <v>87</v>
      </c>
      <c r="G3069" s="27" t="str">
        <f t="shared" si="96"/>
        <v>3130 1/2 BAY STREET  HOUSTON</v>
      </c>
      <c r="H3069" s="27" t="str">
        <f t="shared" si="97"/>
        <v>HOUSTON TX 77026</v>
      </c>
    </row>
    <row r="3070" spans="1:8" x14ac:dyDescent="0.2">
      <c r="A3070" s="27">
        <f>COUNTIFS(C:C,C3070,D:D,D3070)</f>
        <v>1</v>
      </c>
      <c r="B3070" s="30">
        <v>202101212203</v>
      </c>
      <c r="C3070" t="s">
        <v>7074</v>
      </c>
      <c r="D3070" t="s">
        <v>7075</v>
      </c>
      <c r="E3070" t="s">
        <v>4886</v>
      </c>
      <c r="F3070" t="s">
        <v>79</v>
      </c>
      <c r="G3070" s="27" t="str">
        <f t="shared" si="96"/>
        <v>12500 SANDPIPER DR  HOUSTON</v>
      </c>
      <c r="H3070" s="27" t="str">
        <f t="shared" si="97"/>
        <v>HOUSTON TX 77035</v>
      </c>
    </row>
    <row r="3071" spans="1:8" x14ac:dyDescent="0.2">
      <c r="A3071" s="27">
        <f>COUNTIFS(C:C,C3071,D:D,D3071)</f>
        <v>1</v>
      </c>
      <c r="B3071" s="30">
        <v>202101212205</v>
      </c>
      <c r="C3071" t="s">
        <v>7020</v>
      </c>
      <c r="D3071" t="s">
        <v>7021</v>
      </c>
      <c r="E3071" t="s">
        <v>4969</v>
      </c>
      <c r="F3071" t="s">
        <v>53</v>
      </c>
      <c r="G3071" s="27" t="str">
        <f t="shared" si="96"/>
        <v>1002 MISTY MEADOW  TOMBALL</v>
      </c>
      <c r="H3071" s="27" t="str">
        <f t="shared" si="97"/>
        <v>HOUSTON TX 77375</v>
      </c>
    </row>
    <row r="3072" spans="1:8" x14ac:dyDescent="0.2">
      <c r="A3072" s="27">
        <f>COUNTIFS(C:C,C3072,D:D,D3072)</f>
        <v>1</v>
      </c>
      <c r="B3072" s="30">
        <v>202101212206</v>
      </c>
      <c r="C3072" t="s">
        <v>7085</v>
      </c>
      <c r="D3072" t="s">
        <v>7086</v>
      </c>
      <c r="E3072" t="s">
        <v>4935</v>
      </c>
      <c r="F3072" t="s">
        <v>79</v>
      </c>
      <c r="G3072" s="27" t="str">
        <f t="shared" si="96"/>
        <v>2010 WOODED OAKS DR  HUMBLE</v>
      </c>
      <c r="H3072" s="27" t="str">
        <f t="shared" si="97"/>
        <v>HOUSTON TX 77396</v>
      </c>
    </row>
    <row r="3073" spans="1:8" x14ac:dyDescent="0.2">
      <c r="A3073" s="27">
        <f>COUNTIFS(C:C,C3073,D:D,D3073)</f>
        <v>1</v>
      </c>
      <c r="B3073" s="30">
        <v>202101212207</v>
      </c>
      <c r="C3073" t="s">
        <v>7024</v>
      </c>
      <c r="D3073" t="s">
        <v>7025</v>
      </c>
      <c r="E3073" t="s">
        <v>5008</v>
      </c>
      <c r="F3073" t="s">
        <v>53</v>
      </c>
      <c r="G3073" s="27" t="str">
        <f t="shared" si="96"/>
        <v>514 CORYDON DR  HUFFMAN</v>
      </c>
      <c r="H3073" s="27" t="str">
        <f t="shared" si="97"/>
        <v>HOUSTON TX 77336</v>
      </c>
    </row>
    <row r="3074" spans="1:8" x14ac:dyDescent="0.2">
      <c r="A3074" s="27">
        <f>COUNTIFS(C:C,C3074,D:D,D3074)</f>
        <v>1</v>
      </c>
      <c r="B3074" s="30">
        <v>202101212210</v>
      </c>
      <c r="C3074" t="s">
        <v>7118</v>
      </c>
      <c r="D3074" t="s">
        <v>7119</v>
      </c>
      <c r="E3074" t="s">
        <v>7120</v>
      </c>
      <c r="F3074" t="s">
        <v>88</v>
      </c>
      <c r="G3074" s="27" t="str">
        <f t="shared" si="96"/>
        <v>3826 MARZIA AVE  FRESNO</v>
      </c>
      <c r="H3074" s="27" t="str">
        <f t="shared" si="97"/>
        <v>HOUSTON TX 44545</v>
      </c>
    </row>
    <row r="3075" spans="1:8" x14ac:dyDescent="0.2">
      <c r="A3075" s="27">
        <f>COUNTIFS(C:C,C3075,D:D,D3075)</f>
        <v>1</v>
      </c>
      <c r="B3075" s="30">
        <v>202101212211</v>
      </c>
      <c r="C3075" t="s">
        <v>7056</v>
      </c>
      <c r="D3075" t="s">
        <v>2139</v>
      </c>
      <c r="E3075" t="s">
        <v>5005</v>
      </c>
      <c r="F3075" t="s">
        <v>88</v>
      </c>
      <c r="G3075" s="27" t="str">
        <f t="shared" si="96"/>
        <v>5015 ALDINE BENDER  HOUSTON</v>
      </c>
      <c r="H3075" s="27" t="str">
        <f t="shared" si="97"/>
        <v>HOUSTON TX 77032</v>
      </c>
    </row>
    <row r="3076" spans="1:8" x14ac:dyDescent="0.2">
      <c r="A3076" s="27">
        <f>COUNTIFS(C:C,C3076,D:D,D3076)</f>
        <v>1</v>
      </c>
      <c r="B3076" s="30">
        <v>202101212212</v>
      </c>
      <c r="C3076" t="s">
        <v>7121</v>
      </c>
      <c r="D3076" t="s">
        <v>7122</v>
      </c>
      <c r="E3076" t="s">
        <v>4866</v>
      </c>
      <c r="F3076" t="s">
        <v>79</v>
      </c>
      <c r="G3076" s="27" t="str">
        <f t="shared" si="96"/>
        <v>511 WELLINGTON ST  HOUSTON</v>
      </c>
      <c r="H3076" s="27" t="str">
        <f t="shared" si="97"/>
        <v>HOUSTON TX 77076</v>
      </c>
    </row>
    <row r="3077" spans="1:8" x14ac:dyDescent="0.2">
      <c r="A3077" s="27">
        <f>COUNTIFS(C:C,C3077,D:D,D3077)</f>
        <v>1</v>
      </c>
      <c r="B3077" s="30">
        <v>202101212213</v>
      </c>
      <c r="C3077" t="s">
        <v>7123</v>
      </c>
      <c r="D3077" t="s">
        <v>7124</v>
      </c>
      <c r="E3077" t="s">
        <v>7125</v>
      </c>
      <c r="F3077" t="s">
        <v>78</v>
      </c>
      <c r="G3077" s="27" t="str">
        <f t="shared" si="96"/>
        <v>1024 MATAMOROS ST  MISSION</v>
      </c>
      <c r="H3077" s="27" t="str">
        <f t="shared" si="97"/>
        <v>HOUSTON TX 78572</v>
      </c>
    </row>
    <row r="3078" spans="1:8" x14ac:dyDescent="0.2">
      <c r="A3078" s="27">
        <f>COUNTIFS(C:C,C3078,D:D,D3078)</f>
        <v>1</v>
      </c>
      <c r="B3078" s="30">
        <v>202101212214</v>
      </c>
      <c r="C3078" t="s">
        <v>7126</v>
      </c>
      <c r="D3078" t="s">
        <v>7127</v>
      </c>
      <c r="E3078" t="s">
        <v>4875</v>
      </c>
      <c r="F3078" t="s">
        <v>88</v>
      </c>
      <c r="G3078" s="27" t="str">
        <f t="shared" si="96"/>
        <v>2818 CROMWELL ST  HOUSTON</v>
      </c>
      <c r="H3078" s="27" t="str">
        <f t="shared" si="97"/>
        <v>HOUSTON TX 77093</v>
      </c>
    </row>
    <row r="3079" spans="1:8" x14ac:dyDescent="0.2">
      <c r="A3079" s="27">
        <f>COUNTIFS(C:C,C3079,D:D,D3079)</f>
        <v>1</v>
      </c>
      <c r="B3079" s="30">
        <v>202101212220</v>
      </c>
      <c r="C3079" t="s">
        <v>7053</v>
      </c>
      <c r="D3079" t="s">
        <v>7054</v>
      </c>
      <c r="E3079" t="s">
        <v>5002</v>
      </c>
      <c r="F3079" t="s">
        <v>74</v>
      </c>
      <c r="G3079" s="27" t="str">
        <f t="shared" si="96"/>
        <v>3507 MICA DR  HOUSTON</v>
      </c>
      <c r="H3079" s="27" t="str">
        <f t="shared" si="97"/>
        <v>HOUSTON TX 77082</v>
      </c>
    </row>
    <row r="3080" spans="1:8" x14ac:dyDescent="0.2">
      <c r="A3080" s="27">
        <f>COUNTIFS(C:C,C3080,D:D,D3080)</f>
        <v>2</v>
      </c>
      <c r="B3080" s="30">
        <v>202101212225</v>
      </c>
      <c r="C3080" t="s">
        <v>2152</v>
      </c>
      <c r="D3080" t="s">
        <v>2153</v>
      </c>
      <c r="E3080" t="s">
        <v>5073</v>
      </c>
      <c r="F3080" t="s">
        <v>57</v>
      </c>
      <c r="G3080" s="27" t="str">
        <f t="shared" si="96"/>
        <v>2002 BEALL ST TRLR 2  HOUSTON</v>
      </c>
      <c r="H3080" s="27" t="str">
        <f t="shared" si="97"/>
        <v>HOUSTON TX 77008</v>
      </c>
    </row>
    <row r="3081" spans="1:8" x14ac:dyDescent="0.2">
      <c r="A3081" s="27">
        <f>COUNTIFS(C:C,C3081,D:D,D3081)</f>
        <v>1</v>
      </c>
      <c r="B3081" s="30">
        <v>202101212234</v>
      </c>
      <c r="C3081" t="s">
        <v>7043</v>
      </c>
      <c r="D3081" t="s">
        <v>7044</v>
      </c>
      <c r="E3081" t="s">
        <v>4862</v>
      </c>
      <c r="F3081" t="s">
        <v>79</v>
      </c>
      <c r="G3081" s="27" t="str">
        <f t="shared" si="96"/>
        <v>17033 BUTTE CREEK RD APT 1202 HOUSTON</v>
      </c>
      <c r="H3081" s="27" t="str">
        <f t="shared" si="97"/>
        <v>HOUSTON TX 77090</v>
      </c>
    </row>
    <row r="3082" spans="1:8" x14ac:dyDescent="0.2">
      <c r="A3082" s="27">
        <f>COUNTIFS(C:C,C3082,D:D,D3082)</f>
        <v>1</v>
      </c>
      <c r="B3082" s="30">
        <v>202101212237</v>
      </c>
      <c r="C3082" t="s">
        <v>7130</v>
      </c>
      <c r="D3082" t="s">
        <v>7131</v>
      </c>
      <c r="E3082" t="s">
        <v>7132</v>
      </c>
      <c r="F3082" t="s">
        <v>88</v>
      </c>
      <c r="G3082" s="27" t="e">
        <f t="shared" si="96"/>
        <v>#VALUE!</v>
      </c>
      <c r="H3082" s="27" t="e">
        <f t="shared" si="97"/>
        <v>#VALUE!</v>
      </c>
    </row>
    <row r="3083" spans="1:8" x14ac:dyDescent="0.2">
      <c r="A3083" s="27">
        <f>COUNTIFS(C:C,C3083,D:D,D3083)</f>
        <v>1</v>
      </c>
      <c r="B3083" s="30">
        <v>202101212238</v>
      </c>
      <c r="C3083" t="s">
        <v>7064</v>
      </c>
      <c r="D3083" t="s">
        <v>7065</v>
      </c>
      <c r="E3083" t="s">
        <v>5124</v>
      </c>
      <c r="F3083" t="s">
        <v>53</v>
      </c>
      <c r="G3083" s="27" t="str">
        <f t="shared" si="96"/>
        <v>707 ROBIN ST  HOUSTON</v>
      </c>
      <c r="H3083" s="27" t="str">
        <f t="shared" si="97"/>
        <v>HOUSTON TX 77019</v>
      </c>
    </row>
    <row r="3084" spans="1:8" x14ac:dyDescent="0.2">
      <c r="A3084" s="27">
        <f>COUNTIFS(C:C,C3084,D:D,D3084)</f>
        <v>1</v>
      </c>
      <c r="B3084" s="30">
        <v>202101212241</v>
      </c>
      <c r="C3084" t="s">
        <v>7133</v>
      </c>
      <c r="D3084" t="s">
        <v>7134</v>
      </c>
      <c r="E3084" t="s">
        <v>4855</v>
      </c>
      <c r="F3084" t="s">
        <v>5297</v>
      </c>
      <c r="G3084" s="27" t="str">
        <f t="shared" si="96"/>
        <v>9206 MIRAWOOD  HOUSTON</v>
      </c>
      <c r="H3084" s="27" t="str">
        <f t="shared" si="97"/>
        <v>HOUSTON TX 77078</v>
      </c>
    </row>
    <row r="3085" spans="1:8" x14ac:dyDescent="0.2">
      <c r="A3085" s="27">
        <f>COUNTIFS(C:C,C3085,D:D,D3085)</f>
        <v>1</v>
      </c>
      <c r="B3085" s="30">
        <v>202101212243</v>
      </c>
      <c r="C3085" t="s">
        <v>7076</v>
      </c>
      <c r="D3085" t="s">
        <v>7077</v>
      </c>
      <c r="E3085" t="s">
        <v>4852</v>
      </c>
      <c r="F3085" t="s">
        <v>281</v>
      </c>
      <c r="G3085" s="27" t="str">
        <f t="shared" si="96"/>
        <v>2827 SADLER  HOUSTON</v>
      </c>
      <c r="H3085" s="27" t="str">
        <f t="shared" si="97"/>
        <v>HOUSTON TX 77016</v>
      </c>
    </row>
    <row r="3086" spans="1:8" x14ac:dyDescent="0.2">
      <c r="A3086" s="27">
        <f>COUNTIFS(C:C,C3086,D:D,D3086)</f>
        <v>1</v>
      </c>
      <c r="B3086" s="30">
        <v>202101212244</v>
      </c>
      <c r="C3086" t="s">
        <v>7055</v>
      </c>
      <c r="D3086" t="s">
        <v>2568</v>
      </c>
      <c r="E3086" t="s">
        <v>4886</v>
      </c>
      <c r="F3086" t="s">
        <v>87</v>
      </c>
      <c r="G3086" s="27" t="str">
        <f t="shared" si="96"/>
        <v>11315 FONDREN RD  HOUSTON</v>
      </c>
      <c r="H3086" s="27" t="str">
        <f t="shared" si="97"/>
        <v>HOUSTON TX 77035</v>
      </c>
    </row>
    <row r="3087" spans="1:8" x14ac:dyDescent="0.2">
      <c r="A3087" s="27">
        <f>COUNTIFS(C:C,C3087,D:D,D3087)</f>
        <v>1</v>
      </c>
      <c r="B3087" s="30">
        <v>202101212245</v>
      </c>
      <c r="C3087" t="s">
        <v>7135</v>
      </c>
      <c r="D3087" t="s">
        <v>7136</v>
      </c>
      <c r="E3087" t="s">
        <v>4862</v>
      </c>
      <c r="F3087" t="s">
        <v>73</v>
      </c>
      <c r="G3087" s="27" t="str">
        <f t="shared" si="96"/>
        <v>17710 RED OAK DR  HOUSTON</v>
      </c>
      <c r="H3087" s="27" t="str">
        <f t="shared" si="97"/>
        <v>HOUSTON TX 77090</v>
      </c>
    </row>
    <row r="3088" spans="1:8" x14ac:dyDescent="0.2">
      <c r="A3088" s="27">
        <f>COUNTIFS(C:C,C3088,D:D,D3088)</f>
        <v>1</v>
      </c>
      <c r="B3088" s="30">
        <v>202101212248</v>
      </c>
      <c r="C3088" t="s">
        <v>7028</v>
      </c>
      <c r="D3088" t="s">
        <v>7029</v>
      </c>
      <c r="E3088" t="s">
        <v>4866</v>
      </c>
      <c r="F3088" t="s">
        <v>88</v>
      </c>
      <c r="G3088" s="27" t="str">
        <f t="shared" si="96"/>
        <v>7703 AIRLINE DR  HOUSTON</v>
      </c>
      <c r="H3088" s="27" t="str">
        <f t="shared" si="97"/>
        <v>HOUSTON TX 77076</v>
      </c>
    </row>
    <row r="3089" spans="1:8" x14ac:dyDescent="0.2">
      <c r="A3089" s="27">
        <f>COUNTIFS(C:C,C3089,D:D,D3089)</f>
        <v>1</v>
      </c>
      <c r="B3089" s="30">
        <v>202101212256</v>
      </c>
      <c r="C3089" t="s">
        <v>7026</v>
      </c>
      <c r="D3089" t="s">
        <v>7027</v>
      </c>
      <c r="E3089" t="s">
        <v>4900</v>
      </c>
      <c r="F3089" t="s">
        <v>53</v>
      </c>
      <c r="G3089" s="27" t="str">
        <f t="shared" si="96"/>
        <v>4646 CULLEN BROOK RD  KATY</v>
      </c>
      <c r="H3089" s="27" t="str">
        <f t="shared" si="97"/>
        <v>HOUSTON TX 77449</v>
      </c>
    </row>
    <row r="3090" spans="1:8" x14ac:dyDescent="0.2">
      <c r="A3090" s="27">
        <f>COUNTIFS(C:C,C3090,D:D,D3090)</f>
        <v>1</v>
      </c>
      <c r="B3090" s="30">
        <v>202101212257</v>
      </c>
      <c r="C3090" t="s">
        <v>7061</v>
      </c>
      <c r="D3090" t="s">
        <v>6224</v>
      </c>
      <c r="E3090" t="s">
        <v>4914</v>
      </c>
      <c r="F3090" t="s">
        <v>53</v>
      </c>
      <c r="G3090" s="27" t="str">
        <f t="shared" si="96"/>
        <v>2310 CRESCENT PARK D R HOUSTON</v>
      </c>
      <c r="H3090" s="27" t="str">
        <f t="shared" si="97"/>
        <v>HOUSTON TX 77077</v>
      </c>
    </row>
    <row r="3091" spans="1:8" x14ac:dyDescent="0.2">
      <c r="A3091" s="27">
        <f>COUNTIFS(C:C,C3091,D:D,D3091)</f>
        <v>1</v>
      </c>
      <c r="B3091" s="30">
        <v>202101212258</v>
      </c>
      <c r="C3091" t="s">
        <v>7137</v>
      </c>
      <c r="D3091" t="s">
        <v>7138</v>
      </c>
      <c r="E3091" t="s">
        <v>4866</v>
      </c>
      <c r="F3091" t="s">
        <v>66</v>
      </c>
      <c r="G3091" s="27" t="str">
        <f t="shared" si="96"/>
        <v>258 ROBMORE  HOUSTON</v>
      </c>
      <c r="H3091" s="27" t="str">
        <f t="shared" si="97"/>
        <v>HOUSTON TX 77076</v>
      </c>
    </row>
    <row r="3092" spans="1:8" x14ac:dyDescent="0.2">
      <c r="A3092" s="27">
        <f>COUNTIFS(C:C,C3092,D:D,D3092)</f>
        <v>1</v>
      </c>
      <c r="B3092" s="30">
        <v>202101212263</v>
      </c>
      <c r="C3092" t="s">
        <v>7139</v>
      </c>
      <c r="D3092" t="s">
        <v>7140</v>
      </c>
      <c r="E3092" t="s">
        <v>5023</v>
      </c>
      <c r="F3092" t="s">
        <v>88</v>
      </c>
      <c r="G3092" s="27" t="str">
        <f t="shared" si="96"/>
        <v>3230 S GESSNER RD  HOUSTON</v>
      </c>
      <c r="H3092" s="27" t="str">
        <f t="shared" si="97"/>
        <v>HOUSTON TX 77063</v>
      </c>
    </row>
    <row r="3093" spans="1:8" x14ac:dyDescent="0.2">
      <c r="A3093" s="27">
        <f>COUNTIFS(C:C,C3093,D:D,D3093)</f>
        <v>1</v>
      </c>
      <c r="B3093" s="30">
        <v>202101212270</v>
      </c>
      <c r="C3093" t="s">
        <v>7039</v>
      </c>
      <c r="D3093" t="s">
        <v>7040</v>
      </c>
      <c r="E3093" t="s">
        <v>4900</v>
      </c>
      <c r="F3093" t="s">
        <v>58</v>
      </c>
      <c r="G3093" s="27" t="str">
        <f t="shared" si="96"/>
        <v>18622 QUEENSBOROUGH C REEK RD KATY</v>
      </c>
      <c r="H3093" s="27" t="str">
        <f t="shared" si="97"/>
        <v>HOUSTON TX 77449</v>
      </c>
    </row>
    <row r="3094" spans="1:8" x14ac:dyDescent="0.2">
      <c r="A3094" s="27">
        <f>COUNTIFS(C:C,C3094,D:D,D3094)</f>
        <v>1</v>
      </c>
      <c r="B3094" s="30">
        <v>202101212279</v>
      </c>
      <c r="C3094" t="s">
        <v>7141</v>
      </c>
      <c r="D3094" t="s">
        <v>7142</v>
      </c>
      <c r="E3094" t="s">
        <v>4873</v>
      </c>
      <c r="F3094" t="s">
        <v>79</v>
      </c>
      <c r="G3094" s="27" t="str">
        <f t="shared" si="96"/>
        <v>16114 PELICAN BEACH L N HOUSTON</v>
      </c>
      <c r="H3094" s="27" t="str">
        <f t="shared" si="97"/>
        <v>HOUSTON TX 77044</v>
      </c>
    </row>
    <row r="3095" spans="1:8" x14ac:dyDescent="0.2">
      <c r="A3095" s="27">
        <f>COUNTIFS(C:C,C3095,D:D,D3095)</f>
        <v>1</v>
      </c>
      <c r="B3095" s="30">
        <v>202101212284</v>
      </c>
      <c r="C3095" t="s">
        <v>7012</v>
      </c>
      <c r="D3095" t="s">
        <v>7013</v>
      </c>
      <c r="E3095" t="s">
        <v>4864</v>
      </c>
      <c r="F3095" t="s">
        <v>88</v>
      </c>
      <c r="G3095" s="27" t="str">
        <f t="shared" si="96"/>
        <v>3100 GILLESPIE ST  HOUSTON</v>
      </c>
      <c r="H3095" s="27" t="str">
        <f t="shared" si="97"/>
        <v>HOUSTON TX 77020</v>
      </c>
    </row>
    <row r="3096" spans="1:8" x14ac:dyDescent="0.2">
      <c r="A3096" s="27">
        <f>COUNTIFS(C:C,C3096,D:D,D3096)</f>
        <v>1</v>
      </c>
      <c r="B3096" s="30">
        <v>202101216842</v>
      </c>
      <c r="C3096" t="s">
        <v>7036</v>
      </c>
      <c r="D3096" t="s">
        <v>7037</v>
      </c>
      <c r="E3096" t="s">
        <v>7038</v>
      </c>
      <c r="F3096" t="s">
        <v>6995</v>
      </c>
      <c r="G3096" s="27" t="str">
        <f t="shared" si="96"/>
        <v>1695 BUFFALO DR  RAYMONDVIL</v>
      </c>
      <c r="H3096" s="27" t="str">
        <f t="shared" si="97"/>
        <v>HOUSTON TX 78580</v>
      </c>
    </row>
    <row r="3097" spans="1:8" x14ac:dyDescent="0.2">
      <c r="A3097" s="27">
        <f>COUNTIFS(C:C,C3097,D:D,D3097)</f>
        <v>1</v>
      </c>
      <c r="B3097" s="30">
        <v>202101216967</v>
      </c>
      <c r="C3097" t="s">
        <v>7022</v>
      </c>
      <c r="D3097" t="s">
        <v>7023</v>
      </c>
      <c r="E3097" t="s">
        <v>4952</v>
      </c>
      <c r="F3097" t="s">
        <v>215</v>
      </c>
      <c r="G3097" s="27" t="str">
        <f t="shared" si="96"/>
        <v>1035 WILLOW OAKS CIR  PASADENA</v>
      </c>
      <c r="H3097" s="27" t="str">
        <f t="shared" si="97"/>
        <v>HOUSTON TX 77506</v>
      </c>
    </row>
    <row r="3098" spans="1:8" x14ac:dyDescent="0.2">
      <c r="A3098" s="27">
        <f>COUNTIFS(C:C,C3098,D:D,D3098)</f>
        <v>1</v>
      </c>
      <c r="B3098" s="30">
        <v>202101217019</v>
      </c>
      <c r="C3098" t="s">
        <v>7081</v>
      </c>
      <c r="D3098" t="s">
        <v>7082</v>
      </c>
      <c r="E3098" t="s">
        <v>4939</v>
      </c>
      <c r="F3098" t="s">
        <v>6740</v>
      </c>
      <c r="G3098" s="27" t="str">
        <f t="shared" si="96"/>
        <v>10510 GOLDEN MEADOW D R HOUSTON</v>
      </c>
      <c r="H3098" s="27" t="str">
        <f t="shared" si="97"/>
        <v>HOUSTON TX 77064</v>
      </c>
    </row>
    <row r="3099" spans="1:8" x14ac:dyDescent="0.2">
      <c r="A3099" s="27">
        <f>COUNTIFS(C:C,C3099,D:D,D3099)</f>
        <v>1</v>
      </c>
      <c r="B3099" s="30">
        <v>202101217146</v>
      </c>
      <c r="C3099" t="s">
        <v>7018</v>
      </c>
      <c r="D3099" t="s">
        <v>7019</v>
      </c>
      <c r="E3099" t="s">
        <v>4889</v>
      </c>
      <c r="F3099" t="s">
        <v>194</v>
      </c>
      <c r="G3099" s="27" t="str">
        <f t="shared" si="96"/>
        <v>12011 COBBS CREEK CT  HOUSTON</v>
      </c>
      <c r="H3099" s="27" t="str">
        <f t="shared" si="97"/>
        <v>HOUSTON TX 77067</v>
      </c>
    </row>
    <row r="3100" spans="1:8" x14ac:dyDescent="0.2">
      <c r="A3100" s="27">
        <f>COUNTIFS(C:C,C3100,D:D,D3100)</f>
        <v>1</v>
      </c>
      <c r="B3100" s="30">
        <v>202101217173</v>
      </c>
      <c r="C3100" t="s">
        <v>7091</v>
      </c>
      <c r="D3100" t="s">
        <v>7092</v>
      </c>
      <c r="E3100" t="s">
        <v>4953</v>
      </c>
      <c r="F3100" t="s">
        <v>198</v>
      </c>
      <c r="G3100" s="27" t="str">
        <f t="shared" si="96"/>
        <v>7933 BRAYS ST  HOUSTON</v>
      </c>
      <c r="H3100" s="27" t="str">
        <f t="shared" si="97"/>
        <v>HOUSTON TX 77012</v>
      </c>
    </row>
    <row r="3101" spans="1:8" x14ac:dyDescent="0.2">
      <c r="A3101" s="27">
        <f>COUNTIFS(C:C,C3101,D:D,D3101)</f>
        <v>1</v>
      </c>
      <c r="B3101" s="30">
        <v>202101217207</v>
      </c>
      <c r="C3101" t="s">
        <v>7099</v>
      </c>
      <c r="D3101" t="s">
        <v>7100</v>
      </c>
      <c r="E3101" t="s">
        <v>4986</v>
      </c>
      <c r="F3101" t="s">
        <v>191</v>
      </c>
      <c r="G3101" s="27" t="str">
        <f t="shared" si="96"/>
        <v>6411 HARDWOOD DALE W AY HUMBLE</v>
      </c>
      <c r="H3101" s="27" t="str">
        <f t="shared" si="97"/>
        <v>HOUSTON TX 77338</v>
      </c>
    </row>
    <row r="3102" spans="1:8" x14ac:dyDescent="0.2">
      <c r="A3102" s="27">
        <f>COUNTIFS(C:C,C3102,D:D,D3102)</f>
        <v>1</v>
      </c>
      <c r="B3102" s="30">
        <v>202101217218</v>
      </c>
      <c r="C3102" t="s">
        <v>7101</v>
      </c>
      <c r="D3102" t="s">
        <v>7102</v>
      </c>
      <c r="E3102" t="s">
        <v>4956</v>
      </c>
      <c r="F3102" t="s">
        <v>187</v>
      </c>
      <c r="G3102" s="27" t="str">
        <f t="shared" si="96"/>
        <v>6323 ENCENADA GREEN TRL HUMBLE</v>
      </c>
      <c r="H3102" s="27" t="str">
        <f t="shared" si="97"/>
        <v>HOUSTON TX 77346</v>
      </c>
    </row>
    <row r="3103" spans="1:8" x14ac:dyDescent="0.2">
      <c r="A3103" s="27">
        <f>COUNTIFS(C:C,C3103,D:D,D3103)</f>
        <v>1</v>
      </c>
      <c r="B3103" s="30">
        <v>202101217241</v>
      </c>
      <c r="C3103" t="s">
        <v>7103</v>
      </c>
      <c r="D3103" t="s">
        <v>7104</v>
      </c>
      <c r="E3103" t="s">
        <v>4933</v>
      </c>
      <c r="F3103" t="s">
        <v>5293</v>
      </c>
      <c r="G3103" s="27" t="str">
        <f t="shared" si="96"/>
        <v>10011 SPRINGWOOD FORR EST DR HOUSTON</v>
      </c>
      <c r="H3103" s="27" t="str">
        <f t="shared" si="97"/>
        <v>HOUSTON TX 77080</v>
      </c>
    </row>
    <row r="3104" spans="1:8" x14ac:dyDescent="0.2">
      <c r="A3104" s="27">
        <f>COUNTIFS(C:C,C3104,D:D,D3104)</f>
        <v>1</v>
      </c>
      <c r="B3104" s="30">
        <v>202101217286</v>
      </c>
      <c r="C3104" t="s">
        <v>7105</v>
      </c>
      <c r="D3104" t="s">
        <v>7106</v>
      </c>
      <c r="E3104" t="s">
        <v>4860</v>
      </c>
      <c r="F3104" t="s">
        <v>250</v>
      </c>
      <c r="G3104" s="27" t="str">
        <f t="shared" si="96"/>
        <v>1008 N SHEPARD  BAYTOWN</v>
      </c>
      <c r="H3104" s="27" t="str">
        <f t="shared" si="97"/>
        <v>HOUSTON TX 77520</v>
      </c>
    </row>
    <row r="3105" spans="1:8" x14ac:dyDescent="0.2">
      <c r="A3105" s="27">
        <f>COUNTIFS(C:C,C3105,D:D,D3105)</f>
        <v>1</v>
      </c>
      <c r="B3105" s="30">
        <v>202101217300</v>
      </c>
      <c r="C3105" t="s">
        <v>7093</v>
      </c>
      <c r="D3105" t="s">
        <v>7094</v>
      </c>
      <c r="E3105" t="s">
        <v>4872</v>
      </c>
      <c r="F3105" t="s">
        <v>221</v>
      </c>
      <c r="G3105" s="27" t="str">
        <f t="shared" si="96"/>
        <v>7511 MESA  HOUSTON</v>
      </c>
      <c r="H3105" s="27" t="str">
        <f t="shared" si="97"/>
        <v>HOUSTON TX 77028</v>
      </c>
    </row>
    <row r="3106" spans="1:8" x14ac:dyDescent="0.2">
      <c r="A3106" s="27">
        <f>COUNTIFS(C:C,C3106,D:D,D3106)</f>
        <v>1</v>
      </c>
      <c r="B3106" s="30">
        <v>202101217307</v>
      </c>
      <c r="C3106" t="s">
        <v>7041</v>
      </c>
      <c r="D3106" t="s">
        <v>7042</v>
      </c>
      <c r="E3106" t="s">
        <v>4901</v>
      </c>
      <c r="F3106" t="s">
        <v>6738</v>
      </c>
      <c r="G3106" s="27" t="str">
        <f t="shared" si="96"/>
        <v>13047 LEADER ST  HOUSTON</v>
      </c>
      <c r="H3106" s="27" t="str">
        <f t="shared" si="97"/>
        <v>HOUSTON TX 77072</v>
      </c>
    </row>
    <row r="3107" spans="1:8" x14ac:dyDescent="0.2">
      <c r="A3107" s="27">
        <f>COUNTIFS(C:C,C3107,D:D,D3107)</f>
        <v>1</v>
      </c>
      <c r="B3107" s="30">
        <v>202101217321</v>
      </c>
      <c r="C3107" t="s">
        <v>7057</v>
      </c>
      <c r="D3107" t="s">
        <v>7058</v>
      </c>
      <c r="E3107" t="s">
        <v>5052</v>
      </c>
      <c r="F3107" t="s">
        <v>203</v>
      </c>
      <c r="G3107" s="27" t="str">
        <f t="shared" si="96"/>
        <v>15010 PARKVILLE DR  HOUSTON</v>
      </c>
      <c r="H3107" s="27" t="str">
        <f t="shared" si="97"/>
        <v>HOUSTON TX 77068</v>
      </c>
    </row>
    <row r="3108" spans="1:8" x14ac:dyDescent="0.2">
      <c r="A3108" s="27">
        <f>COUNTIFS(C:C,C3108,D:D,D3108)</f>
        <v>1</v>
      </c>
      <c r="B3108" s="30">
        <v>202101217328</v>
      </c>
      <c r="C3108" t="s">
        <v>7097</v>
      </c>
      <c r="D3108" t="s">
        <v>7098</v>
      </c>
      <c r="E3108" t="s">
        <v>4866</v>
      </c>
      <c r="F3108" t="s">
        <v>243</v>
      </c>
      <c r="G3108" s="27" t="str">
        <f t="shared" si="96"/>
        <v>1201 WELLINGTON ST  HOUSTON</v>
      </c>
      <c r="H3108" s="27" t="str">
        <f t="shared" si="97"/>
        <v>HOUSTON TX 77076</v>
      </c>
    </row>
    <row r="3109" spans="1:8" x14ac:dyDescent="0.2">
      <c r="A3109" s="27">
        <f>COUNTIFS(C:C,C3109,D:D,D3109)</f>
        <v>1</v>
      </c>
      <c r="B3109" s="30">
        <v>202101217344</v>
      </c>
      <c r="C3109" t="s">
        <v>7109</v>
      </c>
      <c r="D3109" t="s">
        <v>7110</v>
      </c>
      <c r="E3109" t="s">
        <v>4968</v>
      </c>
      <c r="F3109" t="s">
        <v>6996</v>
      </c>
      <c r="G3109" s="27" t="str">
        <f t="shared" si="96"/>
        <v>2235 N SAN ANTONIO S T PEARLAND</v>
      </c>
      <c r="H3109" s="27" t="str">
        <f t="shared" si="97"/>
        <v>HOUSTON TX 77581</v>
      </c>
    </row>
    <row r="3110" spans="1:8" x14ac:dyDescent="0.2">
      <c r="A3110" s="27">
        <f>COUNTIFS(C:C,C3110,D:D,D3110)</f>
        <v>1</v>
      </c>
      <c r="B3110" s="30">
        <v>202101217352</v>
      </c>
      <c r="C3110" t="s">
        <v>7111</v>
      </c>
      <c r="D3110" t="s">
        <v>7112</v>
      </c>
      <c r="E3110" t="s">
        <v>4900</v>
      </c>
      <c r="F3110" t="s">
        <v>239</v>
      </c>
      <c r="G3110" s="27" t="str">
        <f t="shared" si="96"/>
        <v>19438 TAHOKA SPRINGS DR KATY</v>
      </c>
      <c r="H3110" s="27" t="str">
        <f t="shared" si="97"/>
        <v>HOUSTON TX 77449</v>
      </c>
    </row>
    <row r="3111" spans="1:8" x14ac:dyDescent="0.2">
      <c r="A3111" s="27">
        <f>COUNTIFS(C:C,C3111,D:D,D3111)</f>
        <v>1</v>
      </c>
      <c r="B3111" s="30">
        <v>202101217354</v>
      </c>
      <c r="C3111" t="s">
        <v>7062</v>
      </c>
      <c r="D3111" t="s">
        <v>7063</v>
      </c>
      <c r="E3111" t="s">
        <v>4880</v>
      </c>
      <c r="F3111" t="s">
        <v>203</v>
      </c>
      <c r="G3111" s="27" t="str">
        <f t="shared" si="96"/>
        <v>2323 OAKDALE ST  HOUSTON</v>
      </c>
      <c r="H3111" s="27" t="str">
        <f t="shared" si="97"/>
        <v>HOUSTON TX 77004</v>
      </c>
    </row>
    <row r="3112" spans="1:8" x14ac:dyDescent="0.2">
      <c r="A3112" s="27">
        <f>COUNTIFS(C:C,C3112,D:D,D3112)</f>
        <v>1</v>
      </c>
      <c r="B3112" s="30">
        <v>202101217363</v>
      </c>
      <c r="C3112" t="s">
        <v>7089</v>
      </c>
      <c r="D3112" t="s">
        <v>7090</v>
      </c>
      <c r="E3112" t="s">
        <v>4897</v>
      </c>
      <c r="F3112" t="s">
        <v>209</v>
      </c>
      <c r="G3112" s="27" t="str">
        <f t="shared" si="96"/>
        <v>1612 HOUSTON BLVD AP T 7 SOUTH HOUS</v>
      </c>
      <c r="H3112" s="27" t="str">
        <f t="shared" si="97"/>
        <v>HOUSTON TX 77587</v>
      </c>
    </row>
    <row r="3113" spans="1:8" x14ac:dyDescent="0.2">
      <c r="A3113" s="27">
        <f>COUNTIFS(C:C,C3113,D:D,D3113)</f>
        <v>1</v>
      </c>
      <c r="B3113" s="30">
        <v>202101217376</v>
      </c>
      <c r="C3113" t="s">
        <v>7049</v>
      </c>
      <c r="D3113" t="s">
        <v>7050</v>
      </c>
      <c r="E3113" t="s">
        <v>4880</v>
      </c>
      <c r="F3113" t="s">
        <v>203</v>
      </c>
      <c r="G3113" s="27" t="str">
        <f t="shared" si="96"/>
        <v>5557 LIVE OAK APT  HOUSTON</v>
      </c>
      <c r="H3113" s="27" t="str">
        <f t="shared" si="97"/>
        <v>HOUSTON TX 77004</v>
      </c>
    </row>
    <row r="3114" spans="1:8" x14ac:dyDescent="0.2">
      <c r="A3114" s="27">
        <f>COUNTIFS(C:C,C3114,D:D,D3114)</f>
        <v>1</v>
      </c>
      <c r="B3114" s="30">
        <v>202101217377</v>
      </c>
      <c r="C3114" t="s">
        <v>7116</v>
      </c>
      <c r="D3114" t="s">
        <v>7117</v>
      </c>
      <c r="E3114" t="s">
        <v>4859</v>
      </c>
      <c r="F3114" t="s">
        <v>239</v>
      </c>
      <c r="G3114" s="27" t="str">
        <f t="shared" ref="G3114:G3177" si="98">D3114&amp;" "&amp;MID(E3114,1,FIND(" TX",E3114)-1)</f>
        <v>15826 LAND VIEW DR  HOUSTON</v>
      </c>
      <c r="H3114" s="27" t="str">
        <f t="shared" ref="H3114:H3177" si="99">"HOUSTON "&amp;MID(E3114,FIND("TX",E3114),8)</f>
        <v>HOUSTON TX 77073</v>
      </c>
    </row>
    <row r="3115" spans="1:8" x14ac:dyDescent="0.2">
      <c r="A3115" s="27">
        <f>COUNTIFS(C:C,C3115,D:D,D3115)</f>
        <v>1</v>
      </c>
      <c r="B3115" s="30">
        <v>202101217394</v>
      </c>
      <c r="C3115" t="s">
        <v>7128</v>
      </c>
      <c r="D3115" t="s">
        <v>7129</v>
      </c>
      <c r="E3115" t="s">
        <v>4986</v>
      </c>
      <c r="F3115" t="s">
        <v>6997</v>
      </c>
      <c r="G3115" s="27" t="str">
        <f t="shared" si="98"/>
        <v>1404 WILSON RD  HUMBLE</v>
      </c>
      <c r="H3115" s="27" t="str">
        <f t="shared" si="99"/>
        <v>HOUSTON TX 77338</v>
      </c>
    </row>
    <row r="3116" spans="1:8" x14ac:dyDescent="0.2">
      <c r="A3116" s="27">
        <f>COUNTIFS(C:C,C3116,D:D,D3116)</f>
        <v>1</v>
      </c>
      <c r="B3116" s="30">
        <v>202101217409</v>
      </c>
      <c r="C3116" t="s">
        <v>7095</v>
      </c>
      <c r="D3116" t="s">
        <v>7096</v>
      </c>
      <c r="E3116" t="s">
        <v>4984</v>
      </c>
      <c r="F3116" t="s">
        <v>235</v>
      </c>
      <c r="G3116" s="27" t="str">
        <f t="shared" si="98"/>
        <v>23903 CREEK RIDGE RD  SPRING</v>
      </c>
      <c r="H3116" s="27" t="str">
        <f t="shared" si="99"/>
        <v>HOUSTON TX 77373</v>
      </c>
    </row>
    <row r="3117" spans="1:8" x14ac:dyDescent="0.2">
      <c r="A3117" s="27">
        <f>COUNTIFS(C:C,C3117,D:D,D3117)</f>
        <v>1</v>
      </c>
      <c r="B3117" s="30">
        <v>202101217419</v>
      </c>
      <c r="C3117" t="s">
        <v>7072</v>
      </c>
      <c r="D3117" t="s">
        <v>7073</v>
      </c>
      <c r="E3117" t="s">
        <v>5017</v>
      </c>
      <c r="F3117" t="s">
        <v>6994</v>
      </c>
      <c r="G3117" s="27" t="str">
        <f t="shared" si="98"/>
        <v>15903 NORTHTRACE DR  HARRIS CO</v>
      </c>
      <c r="H3117" s="27" t="str">
        <f t="shared" si="99"/>
        <v>HOUSTON TX 77073</v>
      </c>
    </row>
    <row r="3118" spans="1:8" x14ac:dyDescent="0.2">
      <c r="A3118" s="27">
        <f>COUNTIFS(C:C,C3118,D:D,D3118)</f>
        <v>1</v>
      </c>
      <c r="B3118" s="30">
        <v>202101217429</v>
      </c>
      <c r="C3118" t="s">
        <v>6998</v>
      </c>
      <c r="D3118" t="s">
        <v>6999</v>
      </c>
      <c r="E3118" t="s">
        <v>4876</v>
      </c>
      <c r="F3118" t="s">
        <v>194</v>
      </c>
      <c r="G3118" s="27" t="str">
        <f t="shared" si="98"/>
        <v>13230 LAGUNA  HOUSTON</v>
      </c>
      <c r="H3118" s="27" t="str">
        <f t="shared" si="99"/>
        <v>HOUSTON TX 77015</v>
      </c>
    </row>
    <row r="3119" spans="1:8" x14ac:dyDescent="0.2">
      <c r="A3119" s="27">
        <f>COUNTIFS(C:C,C3119,D:D,D3119)</f>
        <v>1</v>
      </c>
      <c r="B3119" s="30">
        <v>202101217439</v>
      </c>
      <c r="C3119" t="s">
        <v>7069</v>
      </c>
      <c r="D3119" t="s">
        <v>5611</v>
      </c>
      <c r="E3119" t="s">
        <v>5032</v>
      </c>
      <c r="F3119" t="s">
        <v>193</v>
      </c>
      <c r="G3119" s="27" t="str">
        <f t="shared" si="98"/>
        <v>1111 LOVETT BLVD  HOUSTON</v>
      </c>
      <c r="H3119" s="27" t="str">
        <f t="shared" si="99"/>
        <v>HOUSTON TX 77006</v>
      </c>
    </row>
    <row r="3120" spans="1:8" x14ac:dyDescent="0.2">
      <c r="A3120" s="27">
        <f>COUNTIFS(C:C,C3120,D:D,D3120)</f>
        <v>1</v>
      </c>
      <c r="B3120" s="30">
        <v>202101221893</v>
      </c>
      <c r="C3120" t="s">
        <v>7311</v>
      </c>
      <c r="D3120" t="s">
        <v>1349</v>
      </c>
      <c r="E3120" t="s">
        <v>4856</v>
      </c>
      <c r="F3120" t="s">
        <v>53</v>
      </c>
      <c r="G3120" s="27" t="str">
        <f t="shared" si="98"/>
        <v>4801 ALLENDALE RD  HOUSTON</v>
      </c>
      <c r="H3120" s="27" t="str">
        <f t="shared" si="99"/>
        <v>HOUSTON TX 77017</v>
      </c>
    </row>
    <row r="3121" spans="1:8" x14ac:dyDescent="0.2">
      <c r="A3121" s="27">
        <f>COUNTIFS(C:C,C3121,D:D,D3121)</f>
        <v>1</v>
      </c>
      <c r="B3121" s="30">
        <v>202101222059</v>
      </c>
      <c r="C3121" t="s">
        <v>7314</v>
      </c>
      <c r="D3121" t="s">
        <v>7315</v>
      </c>
      <c r="E3121" t="s">
        <v>4908</v>
      </c>
      <c r="F3121" t="s">
        <v>53</v>
      </c>
      <c r="G3121" s="27" t="str">
        <f t="shared" si="98"/>
        <v>58 LAKE STERLING G ATE DR SPRING</v>
      </c>
      <c r="H3121" s="27" t="str">
        <f t="shared" si="99"/>
        <v>HOUSTON TX 77379</v>
      </c>
    </row>
    <row r="3122" spans="1:8" x14ac:dyDescent="0.2">
      <c r="A3122" s="27">
        <f>COUNTIFS(C:C,C3122,D:D,D3122)</f>
        <v>1</v>
      </c>
      <c r="B3122" s="30">
        <v>202101222063</v>
      </c>
      <c r="C3122" t="s">
        <v>7308</v>
      </c>
      <c r="D3122" t="s">
        <v>3811</v>
      </c>
      <c r="E3122" t="s">
        <v>4952</v>
      </c>
      <c r="F3122" t="s">
        <v>66</v>
      </c>
      <c r="G3122" s="27" t="str">
        <f t="shared" si="98"/>
        <v>2009 HARRIS AVE  PASADENA</v>
      </c>
      <c r="H3122" s="27" t="str">
        <f t="shared" si="99"/>
        <v>HOUSTON TX 77506</v>
      </c>
    </row>
    <row r="3123" spans="1:8" x14ac:dyDescent="0.2">
      <c r="A3123" s="27">
        <f>COUNTIFS(C:C,C3123,D:D,D3123)</f>
        <v>1</v>
      </c>
      <c r="B3123" s="30">
        <v>202101222177</v>
      </c>
      <c r="C3123" t="s">
        <v>7253</v>
      </c>
      <c r="D3123" t="s">
        <v>7254</v>
      </c>
      <c r="E3123" t="s">
        <v>4950</v>
      </c>
      <c r="F3123" t="s">
        <v>67</v>
      </c>
      <c r="G3123" s="27" t="str">
        <f t="shared" si="98"/>
        <v>87 LYERLY ST  HOUSTON</v>
      </c>
      <c r="H3123" s="27" t="str">
        <f t="shared" si="99"/>
        <v>HOUSTON TX 77022</v>
      </c>
    </row>
    <row r="3124" spans="1:8" x14ac:dyDescent="0.2">
      <c r="A3124" s="27">
        <f>COUNTIFS(C:C,C3124,D:D,D3124)</f>
        <v>1</v>
      </c>
      <c r="B3124" s="30">
        <v>202101222199</v>
      </c>
      <c r="C3124" t="s">
        <v>7115</v>
      </c>
      <c r="D3124" t="s">
        <v>7355</v>
      </c>
      <c r="E3124" t="s">
        <v>7354</v>
      </c>
      <c r="F3124" t="s">
        <v>68</v>
      </c>
      <c r="G3124" s="27" t="str">
        <f t="shared" si="98"/>
        <v>414 AVE A SOUTH HOUSTON</v>
      </c>
      <c r="H3124" s="27" t="str">
        <f t="shared" si="99"/>
        <v>HOUSTON TX 77587</v>
      </c>
    </row>
    <row r="3125" spans="1:8" x14ac:dyDescent="0.2">
      <c r="A3125" s="27">
        <f>COUNTIFS(C:C,C3125,D:D,D3125)</f>
        <v>1</v>
      </c>
      <c r="B3125" s="30">
        <v>202101222204</v>
      </c>
      <c r="C3125" t="s">
        <v>7272</v>
      </c>
      <c r="D3125" t="s">
        <v>4362</v>
      </c>
      <c r="E3125" t="s">
        <v>4931</v>
      </c>
      <c r="F3125" t="s">
        <v>66</v>
      </c>
      <c r="G3125" s="27" t="str">
        <f t="shared" si="98"/>
        <v>15530 ELLA BLVD  HOUSTON</v>
      </c>
      <c r="H3125" s="27" t="str">
        <f t="shared" si="99"/>
        <v>HOUSTON TX 77014</v>
      </c>
    </row>
    <row r="3126" spans="1:8" x14ac:dyDescent="0.2">
      <c r="A3126" s="27">
        <f>COUNTIFS(C:C,C3126,D:D,D3126)</f>
        <v>1</v>
      </c>
      <c r="B3126" s="30">
        <v>202101222226</v>
      </c>
      <c r="C3126" t="s">
        <v>7257</v>
      </c>
      <c r="D3126" t="s">
        <v>7258</v>
      </c>
      <c r="E3126" t="s">
        <v>5160</v>
      </c>
      <c r="F3126" t="s">
        <v>51</v>
      </c>
      <c r="G3126" s="27" t="str">
        <f t="shared" si="98"/>
        <v>1200 BAKER STREET  HOUSTON</v>
      </c>
      <c r="H3126" s="27" t="str">
        <f t="shared" si="99"/>
        <v>HOUSTON TX 77002</v>
      </c>
    </row>
    <row r="3127" spans="1:8" x14ac:dyDescent="0.2">
      <c r="A3127" s="27">
        <f>COUNTIFS(C:C,C3127,D:D,D3127)</f>
        <v>1</v>
      </c>
      <c r="B3127" s="30">
        <v>202101222247</v>
      </c>
      <c r="C3127" t="s">
        <v>7316</v>
      </c>
      <c r="D3127" t="s">
        <v>7317</v>
      </c>
      <c r="E3127" t="s">
        <v>7318</v>
      </c>
      <c r="F3127" t="s">
        <v>56</v>
      </c>
      <c r="G3127" s="27" t="e">
        <f t="shared" si="98"/>
        <v>#VALUE!</v>
      </c>
      <c r="H3127" s="27" t="e">
        <f t="shared" si="99"/>
        <v>#VALUE!</v>
      </c>
    </row>
    <row r="3128" spans="1:8" x14ac:dyDescent="0.2">
      <c r="A3128" s="27">
        <f>COUNTIFS(C:C,C3128,D:D,D3128)</f>
        <v>1</v>
      </c>
      <c r="B3128" s="30">
        <v>202101222259</v>
      </c>
      <c r="C3128" t="s">
        <v>4568</v>
      </c>
      <c r="D3128" t="s">
        <v>7319</v>
      </c>
      <c r="E3128" t="s">
        <v>4906</v>
      </c>
      <c r="F3128" t="s">
        <v>53</v>
      </c>
      <c r="G3128" s="27" t="str">
        <f t="shared" si="98"/>
        <v>4210 YOUNG ST 222  PASADENA</v>
      </c>
      <c r="H3128" s="27" t="str">
        <f t="shared" si="99"/>
        <v>HOUSTON TX 77504</v>
      </c>
    </row>
    <row r="3129" spans="1:8" x14ac:dyDescent="0.2">
      <c r="A3129" s="27">
        <f>COUNTIFS(C:C,C3129,D:D,D3129)</f>
        <v>1</v>
      </c>
      <c r="B3129" s="30">
        <v>202101222260</v>
      </c>
      <c r="C3129" t="s">
        <v>7320</v>
      </c>
      <c r="D3129" t="s">
        <v>7321</v>
      </c>
      <c r="E3129" t="s">
        <v>4984</v>
      </c>
      <c r="F3129" t="s">
        <v>53</v>
      </c>
      <c r="G3129" s="27" t="str">
        <f t="shared" si="98"/>
        <v>23222 SNOWY RIDGE DR  SPRING</v>
      </c>
      <c r="H3129" s="27" t="str">
        <f t="shared" si="99"/>
        <v>HOUSTON TX 77373</v>
      </c>
    </row>
    <row r="3130" spans="1:8" x14ac:dyDescent="0.2">
      <c r="A3130" s="27">
        <f>COUNTIFS(C:C,C3130,D:D,D3130)</f>
        <v>1</v>
      </c>
      <c r="B3130" s="30">
        <v>202101222266</v>
      </c>
      <c r="C3130" t="s">
        <v>7239</v>
      </c>
      <c r="D3130" t="s">
        <v>7240</v>
      </c>
      <c r="E3130" t="s">
        <v>4900</v>
      </c>
      <c r="F3130" t="s">
        <v>7184</v>
      </c>
      <c r="G3130" s="27" t="str">
        <f t="shared" si="98"/>
        <v>1838 STRONGS CT  KATY</v>
      </c>
      <c r="H3130" s="27" t="str">
        <f t="shared" si="99"/>
        <v>HOUSTON TX 77449</v>
      </c>
    </row>
    <row r="3131" spans="1:8" x14ac:dyDescent="0.2">
      <c r="A3131" s="27">
        <f>COUNTIFS(C:C,C3131,D:D,D3131)</f>
        <v>1</v>
      </c>
      <c r="B3131" s="30">
        <v>202101222274</v>
      </c>
      <c r="C3131" t="s">
        <v>7249</v>
      </c>
      <c r="D3131" t="s">
        <v>7250</v>
      </c>
      <c r="E3131" t="s">
        <v>4872</v>
      </c>
      <c r="F3131" t="s">
        <v>71</v>
      </c>
      <c r="G3131" s="27" t="str">
        <f t="shared" si="98"/>
        <v>6226 FAIRCHILD ST  HOUSTON</v>
      </c>
      <c r="H3131" s="27" t="str">
        <f t="shared" si="99"/>
        <v>HOUSTON TX 77028</v>
      </c>
    </row>
    <row r="3132" spans="1:8" x14ac:dyDescent="0.2">
      <c r="A3132" s="27">
        <f>COUNTIFS(C:C,C3132,D:D,D3132)</f>
        <v>1</v>
      </c>
      <c r="B3132" s="30">
        <v>202101222275</v>
      </c>
      <c r="C3132" t="s">
        <v>7274</v>
      </c>
      <c r="D3132" t="s">
        <v>7275</v>
      </c>
      <c r="E3132" t="s">
        <v>7276</v>
      </c>
      <c r="F3132" t="s">
        <v>79</v>
      </c>
      <c r="G3132" s="27" t="str">
        <f t="shared" si="98"/>
        <v>12119 LONG OAK CT  HOUSTON</v>
      </c>
      <c r="H3132" s="27" t="str">
        <f t="shared" si="99"/>
        <v>HOUSTON TX 7770</v>
      </c>
    </row>
    <row r="3133" spans="1:8" x14ac:dyDescent="0.2">
      <c r="A3133" s="27">
        <f>COUNTIFS(C:C,C3133,D:D,D3133)</f>
        <v>1</v>
      </c>
      <c r="B3133" s="30">
        <v>202101222276</v>
      </c>
      <c r="C3133" t="s">
        <v>7326</v>
      </c>
      <c r="D3133" t="s">
        <v>7327</v>
      </c>
      <c r="E3133" t="s">
        <v>4851</v>
      </c>
      <c r="F3133" t="s">
        <v>104</v>
      </c>
      <c r="G3133" s="27" t="str">
        <f t="shared" si="98"/>
        <v>1200 NORTHWOOD  BAYTOWN</v>
      </c>
      <c r="H3133" s="27" t="str">
        <f t="shared" si="99"/>
        <v>HOUSTON TX 77521</v>
      </c>
    </row>
    <row r="3134" spans="1:8" x14ac:dyDescent="0.2">
      <c r="A3134" s="27">
        <f>COUNTIFS(C:C,C3134,D:D,D3134)</f>
        <v>1</v>
      </c>
      <c r="B3134" s="30">
        <v>202101222281</v>
      </c>
      <c r="C3134" t="s">
        <v>7219</v>
      </c>
      <c r="D3134" t="s">
        <v>7220</v>
      </c>
      <c r="E3134" t="s">
        <v>4854</v>
      </c>
      <c r="F3134" t="s">
        <v>86</v>
      </c>
      <c r="G3134" s="27" t="str">
        <f t="shared" si="98"/>
        <v>3601 JOSEPHINE ST  HOUSTON</v>
      </c>
      <c r="H3134" s="27" t="str">
        <f t="shared" si="99"/>
        <v>HOUSTON TX 77026</v>
      </c>
    </row>
    <row r="3135" spans="1:8" x14ac:dyDescent="0.2">
      <c r="A3135" s="27">
        <f>COUNTIFS(C:C,C3135,D:D,D3135)</f>
        <v>1</v>
      </c>
      <c r="B3135" s="30">
        <v>202101222287</v>
      </c>
      <c r="C3135" t="s">
        <v>7330</v>
      </c>
      <c r="D3135" t="s">
        <v>7331</v>
      </c>
      <c r="E3135" t="s">
        <v>5120</v>
      </c>
      <c r="F3135" t="s">
        <v>53</v>
      </c>
      <c r="G3135" s="27" t="str">
        <f t="shared" si="98"/>
        <v>830 FERN SPRINGS CT  HOUSTON</v>
      </c>
      <c r="H3135" s="27" t="str">
        <f t="shared" si="99"/>
        <v>HOUSTON TX 77062</v>
      </c>
    </row>
    <row r="3136" spans="1:8" x14ac:dyDescent="0.2">
      <c r="A3136" s="27">
        <f>COUNTIFS(C:C,C3136,D:D,D3136)</f>
        <v>1</v>
      </c>
      <c r="B3136" s="30">
        <v>202101222290</v>
      </c>
      <c r="C3136" t="s">
        <v>7270</v>
      </c>
      <c r="D3136" t="s">
        <v>7271</v>
      </c>
      <c r="E3136" t="s">
        <v>4859</v>
      </c>
      <c r="F3136" t="s">
        <v>79</v>
      </c>
      <c r="G3136" s="27" t="str">
        <f t="shared" si="98"/>
        <v>311 PARAMATTA LANE  HOUSTON</v>
      </c>
      <c r="H3136" s="27" t="str">
        <f t="shared" si="99"/>
        <v>HOUSTON TX 77073</v>
      </c>
    </row>
    <row r="3137" spans="1:8" x14ac:dyDescent="0.2">
      <c r="A3137" s="27">
        <f>COUNTIFS(C:C,C3137,D:D,D3137)</f>
        <v>1</v>
      </c>
      <c r="B3137" s="30">
        <v>202101222292</v>
      </c>
      <c r="C3137" t="s">
        <v>7228</v>
      </c>
      <c r="D3137" t="s">
        <v>7229</v>
      </c>
      <c r="E3137" t="s">
        <v>4907</v>
      </c>
      <c r="F3137" t="s">
        <v>68</v>
      </c>
      <c r="G3137" s="27" t="str">
        <f t="shared" si="98"/>
        <v>1904 OAKS DR  PASADENA</v>
      </c>
      <c r="H3137" s="27" t="str">
        <f t="shared" si="99"/>
        <v>HOUSTON TX 77502</v>
      </c>
    </row>
    <row r="3138" spans="1:8" x14ac:dyDescent="0.2">
      <c r="A3138" s="27">
        <f>COUNTIFS(C:C,C3138,D:D,D3138)</f>
        <v>1</v>
      </c>
      <c r="B3138" s="30">
        <v>202101222293</v>
      </c>
      <c r="C3138" t="s">
        <v>7236</v>
      </c>
      <c r="D3138" t="s">
        <v>7237</v>
      </c>
      <c r="E3138" t="s">
        <v>5081</v>
      </c>
      <c r="F3138" t="s">
        <v>51</v>
      </c>
      <c r="G3138" s="27" t="str">
        <f t="shared" si="98"/>
        <v>855 GREENS RD  HOUSTON</v>
      </c>
      <c r="H3138" s="27" t="str">
        <f t="shared" si="99"/>
        <v>HOUSTON TX 77050</v>
      </c>
    </row>
    <row r="3139" spans="1:8" x14ac:dyDescent="0.2">
      <c r="A3139" s="27">
        <f>COUNTIFS(C:C,C3139,D:D,D3139)</f>
        <v>1</v>
      </c>
      <c r="B3139" s="30">
        <v>202101222299</v>
      </c>
      <c r="C3139" t="s">
        <v>7302</v>
      </c>
      <c r="D3139" t="s">
        <v>7303</v>
      </c>
      <c r="E3139" t="s">
        <v>4950</v>
      </c>
      <c r="F3139" t="s">
        <v>53</v>
      </c>
      <c r="G3139" s="27" t="str">
        <f t="shared" si="98"/>
        <v>7093 BAUMAN RD  HOUSTON</v>
      </c>
      <c r="H3139" s="27" t="str">
        <f t="shared" si="99"/>
        <v>HOUSTON TX 77022</v>
      </c>
    </row>
    <row r="3140" spans="1:8" x14ac:dyDescent="0.2">
      <c r="A3140" s="27">
        <f>COUNTIFS(C:C,C3140,D:D,D3140)</f>
        <v>1</v>
      </c>
      <c r="B3140" s="30">
        <v>202101222302</v>
      </c>
      <c r="C3140" t="s">
        <v>7230</v>
      </c>
      <c r="D3140" t="s">
        <v>7231</v>
      </c>
      <c r="E3140" t="s">
        <v>4969</v>
      </c>
      <c r="F3140" t="s">
        <v>56</v>
      </c>
      <c r="G3140" s="27" t="str">
        <f t="shared" si="98"/>
        <v>17310 LEGEND BROOK CT  TOMBALL</v>
      </c>
      <c r="H3140" s="27" t="str">
        <f t="shared" si="99"/>
        <v>HOUSTON TX 77375</v>
      </c>
    </row>
    <row r="3141" spans="1:8" x14ac:dyDescent="0.2">
      <c r="A3141" s="27">
        <f>COUNTIFS(C:C,C3141,D:D,D3141)</f>
        <v>1</v>
      </c>
      <c r="B3141" s="30">
        <v>202101222305</v>
      </c>
      <c r="C3141" t="s">
        <v>7277</v>
      </c>
      <c r="D3141" t="s">
        <v>7278</v>
      </c>
      <c r="E3141" t="s">
        <v>4949</v>
      </c>
      <c r="F3141" t="s">
        <v>71</v>
      </c>
      <c r="G3141" s="27" t="str">
        <f t="shared" si="98"/>
        <v>13134 EDGEHILL DRIVE  HOUSTON</v>
      </c>
      <c r="H3141" s="27" t="str">
        <f t="shared" si="99"/>
        <v>HOUSTON TX 77049</v>
      </c>
    </row>
    <row r="3142" spans="1:8" x14ac:dyDescent="0.2">
      <c r="A3142" s="27">
        <f>COUNTIFS(C:C,C3142,D:D,D3142)</f>
        <v>1</v>
      </c>
      <c r="B3142" s="30">
        <v>202101222307</v>
      </c>
      <c r="C3142" t="s">
        <v>7255</v>
      </c>
      <c r="D3142" t="s">
        <v>7256</v>
      </c>
      <c r="E3142" t="s">
        <v>4914</v>
      </c>
      <c r="F3142" t="s">
        <v>4818</v>
      </c>
      <c r="G3142" s="27" t="str">
        <f t="shared" si="98"/>
        <v>2215 AVENIDA LA QUIN TA ST HOUSTON</v>
      </c>
      <c r="H3142" s="27" t="str">
        <f t="shared" si="99"/>
        <v>HOUSTON TX 77077</v>
      </c>
    </row>
    <row r="3143" spans="1:8" x14ac:dyDescent="0.2">
      <c r="A3143" s="27">
        <f>COUNTIFS(C:C,C3143,D:D,D3143)</f>
        <v>1</v>
      </c>
      <c r="B3143" s="30">
        <v>202101222311</v>
      </c>
      <c r="C3143" t="s">
        <v>7336</v>
      </c>
      <c r="D3143" t="s">
        <v>7337</v>
      </c>
      <c r="E3143" t="s">
        <v>4896</v>
      </c>
      <c r="F3143" t="s">
        <v>57</v>
      </c>
      <c r="G3143" s="27" t="str">
        <f t="shared" si="98"/>
        <v>8701 TOWN PARK DR 11 17 HOUSTON</v>
      </c>
      <c r="H3143" s="27" t="str">
        <f t="shared" si="99"/>
        <v>HOUSTON TX 77036</v>
      </c>
    </row>
    <row r="3144" spans="1:8" x14ac:dyDescent="0.2">
      <c r="A3144" s="27">
        <f>COUNTIFS(C:C,C3144,D:D,D3144)</f>
        <v>1</v>
      </c>
      <c r="B3144" s="30">
        <v>202101222320</v>
      </c>
      <c r="C3144" t="s">
        <v>7283</v>
      </c>
      <c r="D3144" t="s">
        <v>7284</v>
      </c>
      <c r="E3144" t="s">
        <v>4874</v>
      </c>
      <c r="F3144" t="s">
        <v>79</v>
      </c>
      <c r="G3144" s="27" t="str">
        <f t="shared" si="98"/>
        <v>7706 SHARONDALE DR  HOUSTON</v>
      </c>
      <c r="H3144" s="27" t="str">
        <f t="shared" si="99"/>
        <v>HOUSTON TX 77033</v>
      </c>
    </row>
    <row r="3145" spans="1:8" x14ac:dyDescent="0.2">
      <c r="A3145" s="27">
        <f>COUNTIFS(C:C,C3145,D:D,D3145)</f>
        <v>1</v>
      </c>
      <c r="B3145" s="30">
        <v>202101222321</v>
      </c>
      <c r="C3145" t="s">
        <v>7338</v>
      </c>
      <c r="D3145" t="s">
        <v>7353</v>
      </c>
      <c r="E3145" t="s">
        <v>4876</v>
      </c>
      <c r="F3145" t="s">
        <v>53</v>
      </c>
      <c r="G3145" s="27" t="str">
        <f t="shared" si="98"/>
        <v>818 MANOR ST. HOUSTON</v>
      </c>
      <c r="H3145" s="27" t="str">
        <f t="shared" si="99"/>
        <v>HOUSTON TX 77015</v>
      </c>
    </row>
    <row r="3146" spans="1:8" x14ac:dyDescent="0.2">
      <c r="A3146" s="27">
        <f>COUNTIFS(C:C,C3146,D:D,D3146)</f>
        <v>1</v>
      </c>
      <c r="B3146" s="30">
        <v>202101222325</v>
      </c>
      <c r="C3146" t="s">
        <v>7339</v>
      </c>
      <c r="D3146" t="s">
        <v>7340</v>
      </c>
      <c r="E3146" t="s">
        <v>4938</v>
      </c>
      <c r="F3146" t="s">
        <v>7202</v>
      </c>
      <c r="G3146" s="27" t="str">
        <f t="shared" si="98"/>
        <v>301 W LITTLE YORK R D HOUSTON</v>
      </c>
      <c r="H3146" s="27" t="str">
        <f t="shared" si="99"/>
        <v>HOUSTON TX 77037</v>
      </c>
    </row>
    <row r="3147" spans="1:8" x14ac:dyDescent="0.2">
      <c r="A3147" s="27">
        <f>COUNTIFS(C:C,C3147,D:D,D3147)</f>
        <v>1</v>
      </c>
      <c r="B3147" s="30">
        <v>202101222326</v>
      </c>
      <c r="C3147" t="s">
        <v>7279</v>
      </c>
      <c r="D3147" t="s">
        <v>7280</v>
      </c>
      <c r="E3147" t="s">
        <v>4862</v>
      </c>
      <c r="F3147" t="s">
        <v>7198</v>
      </c>
      <c r="G3147" s="27" t="str">
        <f t="shared" si="98"/>
        <v>15414 KUYKENDAHL  HOUSTON</v>
      </c>
      <c r="H3147" s="27" t="str">
        <f t="shared" si="99"/>
        <v>HOUSTON TX 77090</v>
      </c>
    </row>
    <row r="3148" spans="1:8" x14ac:dyDescent="0.2">
      <c r="A3148" s="27">
        <f>COUNTIFS(C:C,C3148,D:D,D3148)</f>
        <v>1</v>
      </c>
      <c r="B3148" s="30">
        <v>202101222328</v>
      </c>
      <c r="C3148" t="s">
        <v>7245</v>
      </c>
      <c r="D3148" t="s">
        <v>7246</v>
      </c>
      <c r="E3148" t="s">
        <v>4915</v>
      </c>
      <c r="F3148" t="s">
        <v>78</v>
      </c>
      <c r="G3148" s="27" t="str">
        <f t="shared" si="98"/>
        <v>6934 PARIS ST.UNIT A  HOUSTON</v>
      </c>
      <c r="H3148" s="27" t="str">
        <f t="shared" si="99"/>
        <v>HOUSTON TX 77021</v>
      </c>
    </row>
    <row r="3149" spans="1:8" x14ac:dyDescent="0.2">
      <c r="A3149" s="27">
        <f>COUNTIFS(C:C,C3149,D:D,D3149)</f>
        <v>1</v>
      </c>
      <c r="B3149" s="30">
        <v>202101222348</v>
      </c>
      <c r="C3149" t="s">
        <v>7304</v>
      </c>
      <c r="D3149" t="s">
        <v>7305</v>
      </c>
      <c r="E3149" t="s">
        <v>4935</v>
      </c>
      <c r="F3149" t="s">
        <v>71</v>
      </c>
      <c r="G3149" s="27" t="str">
        <f t="shared" si="98"/>
        <v>4406 RICHLAND  CHAMB ERS LN HUMBLE</v>
      </c>
      <c r="H3149" s="27" t="str">
        <f t="shared" si="99"/>
        <v>HOUSTON TX 77396</v>
      </c>
    </row>
    <row r="3150" spans="1:8" x14ac:dyDescent="0.2">
      <c r="A3150" s="27">
        <f>COUNTIFS(C:C,C3150,D:D,D3150)</f>
        <v>1</v>
      </c>
      <c r="B3150" s="30">
        <v>202101222349</v>
      </c>
      <c r="C3150" t="s">
        <v>7344</v>
      </c>
      <c r="D3150" t="s">
        <v>7345</v>
      </c>
      <c r="E3150" t="s">
        <v>5014</v>
      </c>
      <c r="F3150" t="s">
        <v>7204</v>
      </c>
      <c r="G3150" s="27" t="str">
        <f t="shared" si="98"/>
        <v>323 FALK AVE  LA PORTE</v>
      </c>
      <c r="H3150" s="27" t="str">
        <f t="shared" si="99"/>
        <v>HOUSTON TX 77571</v>
      </c>
    </row>
    <row r="3151" spans="1:8" x14ac:dyDescent="0.2">
      <c r="A3151" s="27">
        <f>COUNTIFS(C:C,C3151,D:D,D3151)</f>
        <v>1</v>
      </c>
      <c r="B3151" s="30">
        <v>202101222352</v>
      </c>
      <c r="C3151" t="s">
        <v>7298</v>
      </c>
      <c r="D3151" t="s">
        <v>7017</v>
      </c>
      <c r="E3151" t="s">
        <v>4907</v>
      </c>
      <c r="F3151" t="s">
        <v>346</v>
      </c>
      <c r="G3151" s="27" t="str">
        <f t="shared" si="98"/>
        <v>1202 PASADENA BLVD  PASADENA</v>
      </c>
      <c r="H3151" s="27" t="str">
        <f t="shared" si="99"/>
        <v>HOUSTON TX 77502</v>
      </c>
    </row>
    <row r="3152" spans="1:8" x14ac:dyDescent="0.2">
      <c r="A3152" s="27">
        <f>COUNTIFS(C:C,C3152,D:D,D3152)</f>
        <v>1</v>
      </c>
      <c r="B3152" s="30">
        <v>202101222355</v>
      </c>
      <c r="C3152" t="s">
        <v>7346</v>
      </c>
      <c r="D3152" t="s">
        <v>7347</v>
      </c>
      <c r="E3152" t="s">
        <v>4857</v>
      </c>
      <c r="F3152" t="s">
        <v>79</v>
      </c>
      <c r="G3152" s="27" t="str">
        <f t="shared" si="98"/>
        <v>7201 SPENCER HWY APT 39 PASADENA</v>
      </c>
      <c r="H3152" s="27" t="str">
        <f t="shared" si="99"/>
        <v>HOUSTON TX 77505</v>
      </c>
    </row>
    <row r="3153" spans="1:8" x14ac:dyDescent="0.2">
      <c r="A3153" s="27">
        <f>COUNTIFS(C:C,C3153,D:D,D3153)</f>
        <v>1</v>
      </c>
      <c r="B3153" s="30">
        <v>202101222356</v>
      </c>
      <c r="C3153" t="s">
        <v>7259</v>
      </c>
      <c r="D3153" t="s">
        <v>7260</v>
      </c>
      <c r="E3153" t="s">
        <v>4948</v>
      </c>
      <c r="F3153" t="s">
        <v>72</v>
      </c>
      <c r="G3153" s="27" t="str">
        <f t="shared" si="98"/>
        <v>618 CORTLAND ST  HOUSTON</v>
      </c>
      <c r="H3153" s="27" t="str">
        <f t="shared" si="99"/>
        <v>HOUSTON TX 77007</v>
      </c>
    </row>
    <row r="3154" spans="1:8" x14ac:dyDescent="0.2">
      <c r="A3154" s="27">
        <f>COUNTIFS(C:C,C3154,D:D,D3154)</f>
        <v>1</v>
      </c>
      <c r="B3154" s="30">
        <v>202101222362</v>
      </c>
      <c r="C3154" t="s">
        <v>7234</v>
      </c>
      <c r="D3154" t="s">
        <v>7235</v>
      </c>
      <c r="E3154" t="s">
        <v>4887</v>
      </c>
      <c r="F3154" t="s">
        <v>87</v>
      </c>
      <c r="G3154" s="27" t="str">
        <f t="shared" si="98"/>
        <v>5252 SHAW RD  ROSHARON</v>
      </c>
      <c r="H3154" s="27" t="str">
        <f t="shared" si="99"/>
        <v>HOUSTON TX 77583</v>
      </c>
    </row>
    <row r="3155" spans="1:8" x14ac:dyDescent="0.2">
      <c r="A3155" s="27">
        <f>COUNTIFS(C:C,C3155,D:D,D3155)</f>
        <v>1</v>
      </c>
      <c r="B3155" s="30">
        <v>202101222363</v>
      </c>
      <c r="C3155" t="s">
        <v>7263</v>
      </c>
      <c r="D3155" t="s">
        <v>7264</v>
      </c>
      <c r="E3155" t="s">
        <v>4862</v>
      </c>
      <c r="F3155" t="s">
        <v>79</v>
      </c>
      <c r="G3155" s="27" t="str">
        <f t="shared" si="98"/>
        <v>505 CYPRESS STATION DR APT 80 HOUSTON</v>
      </c>
      <c r="H3155" s="27" t="str">
        <f t="shared" si="99"/>
        <v>HOUSTON TX 77090</v>
      </c>
    </row>
    <row r="3156" spans="1:8" x14ac:dyDescent="0.2">
      <c r="A3156" s="27">
        <f>COUNTIFS(C:C,C3156,D:D,D3156)</f>
        <v>1</v>
      </c>
      <c r="B3156" s="30">
        <v>202101222375</v>
      </c>
      <c r="C3156" t="s">
        <v>7243</v>
      </c>
      <c r="D3156" t="s">
        <v>7244</v>
      </c>
      <c r="E3156" t="s">
        <v>4967</v>
      </c>
      <c r="F3156" t="s">
        <v>75</v>
      </c>
      <c r="G3156" s="27" t="str">
        <f t="shared" si="98"/>
        <v>14606 WIND LAWN DR  HOUSTON</v>
      </c>
      <c r="H3156" s="27" t="str">
        <f t="shared" si="99"/>
        <v>HOUSTON TX 77040</v>
      </c>
    </row>
    <row r="3157" spans="1:8" x14ac:dyDescent="0.2">
      <c r="A3157" s="27">
        <f>COUNTIFS(C:C,C3157,D:D,D3157)</f>
        <v>1</v>
      </c>
      <c r="B3157" s="30">
        <v>202101222384</v>
      </c>
      <c r="C3157" t="s">
        <v>7348</v>
      </c>
      <c r="D3157" t="s">
        <v>7349</v>
      </c>
      <c r="E3157" t="s">
        <v>4943</v>
      </c>
      <c r="F3157" t="s">
        <v>53</v>
      </c>
      <c r="G3157" s="27" t="str">
        <f t="shared" si="98"/>
        <v>529 BARKER CLODINE RD HOUSTON</v>
      </c>
      <c r="H3157" s="27" t="str">
        <f t="shared" si="99"/>
        <v>HOUSTON TX 77084</v>
      </c>
    </row>
    <row r="3158" spans="1:8" x14ac:dyDescent="0.2">
      <c r="A3158" s="27">
        <f>COUNTIFS(C:C,C3158,D:D,D3158)</f>
        <v>1</v>
      </c>
      <c r="B3158" s="30">
        <v>202101222385</v>
      </c>
      <c r="C3158" t="s">
        <v>7281</v>
      </c>
      <c r="D3158" t="s">
        <v>7282</v>
      </c>
      <c r="E3158" t="s">
        <v>4984</v>
      </c>
      <c r="F3158" t="s">
        <v>78</v>
      </c>
      <c r="G3158" s="27" t="str">
        <f t="shared" si="98"/>
        <v>24151 STARGAZER POINT  SPRING</v>
      </c>
      <c r="H3158" s="27" t="str">
        <f t="shared" si="99"/>
        <v>HOUSTON TX 77373</v>
      </c>
    </row>
    <row r="3159" spans="1:8" x14ac:dyDescent="0.2">
      <c r="A3159" s="27">
        <f>COUNTIFS(C:C,C3159,D:D,D3159)</f>
        <v>1</v>
      </c>
      <c r="B3159" s="30">
        <v>202101222386</v>
      </c>
      <c r="C3159" t="s">
        <v>7299</v>
      </c>
      <c r="D3159" t="s">
        <v>7300</v>
      </c>
      <c r="E3159" t="s">
        <v>4941</v>
      </c>
      <c r="F3159" t="s">
        <v>79</v>
      </c>
      <c r="G3159" s="27" t="str">
        <f t="shared" si="98"/>
        <v>812526 TEXAS ARMY TRAI L CYPRESS</v>
      </c>
      <c r="H3159" s="27" t="str">
        <f t="shared" si="99"/>
        <v>HOUSTON TX 77429</v>
      </c>
    </row>
    <row r="3160" spans="1:8" x14ac:dyDescent="0.2">
      <c r="A3160" s="27">
        <f>COUNTIFS(C:C,C3160,D:D,D3160)</f>
        <v>1</v>
      </c>
      <c r="B3160" s="30">
        <v>202101227020</v>
      </c>
      <c r="C3160" t="s">
        <v>7241</v>
      </c>
      <c r="D3160" t="s">
        <v>7242</v>
      </c>
      <c r="E3160" t="s">
        <v>4952</v>
      </c>
      <c r="F3160" t="s">
        <v>215</v>
      </c>
      <c r="G3160" s="27" t="str">
        <f t="shared" si="98"/>
        <v>812 SHAVER ST  PASADENA</v>
      </c>
      <c r="H3160" s="27" t="str">
        <f t="shared" si="99"/>
        <v>HOUSTON TX 77506</v>
      </c>
    </row>
    <row r="3161" spans="1:8" x14ac:dyDescent="0.2">
      <c r="A3161" s="27">
        <f>COUNTIFS(C:C,C3161,D:D,D3161)</f>
        <v>1</v>
      </c>
      <c r="B3161" s="30">
        <v>202101227024</v>
      </c>
      <c r="C3161" t="s">
        <v>7301</v>
      </c>
      <c r="D3161" t="s">
        <v>7082</v>
      </c>
      <c r="E3161" t="s">
        <v>4939</v>
      </c>
      <c r="F3161" t="s">
        <v>352</v>
      </c>
      <c r="G3161" s="27" t="str">
        <f t="shared" si="98"/>
        <v>10510 GOLDEN MEADOW D R HOUSTON</v>
      </c>
      <c r="H3161" s="27" t="str">
        <f t="shared" si="99"/>
        <v>HOUSTON TX 77064</v>
      </c>
    </row>
    <row r="3162" spans="1:8" x14ac:dyDescent="0.2">
      <c r="A3162" s="27">
        <f>COUNTIFS(C:C,C3162,D:D,D3162)</f>
        <v>1</v>
      </c>
      <c r="B3162" s="30">
        <v>202101227096</v>
      </c>
      <c r="C3162" t="s">
        <v>7238</v>
      </c>
      <c r="D3162" t="s">
        <v>1385</v>
      </c>
      <c r="E3162" t="s">
        <v>4935</v>
      </c>
      <c r="F3162" t="s">
        <v>7179</v>
      </c>
      <c r="G3162" s="27" t="str">
        <f t="shared" si="98"/>
        <v>2350 ATASCOCITA RD  HUMBLE</v>
      </c>
      <c r="H3162" s="27" t="str">
        <f t="shared" si="99"/>
        <v>HOUSTON TX 77396</v>
      </c>
    </row>
    <row r="3163" spans="1:8" x14ac:dyDescent="0.2">
      <c r="A3163" s="27">
        <f>COUNTIFS(C:C,C3163,D:D,D3163)</f>
        <v>1</v>
      </c>
      <c r="B3163" s="30">
        <v>202101227127</v>
      </c>
      <c r="C3163" t="s">
        <v>7312</v>
      </c>
      <c r="D3163" t="s">
        <v>7313</v>
      </c>
      <c r="E3163" t="s">
        <v>4851</v>
      </c>
      <c r="F3163" t="s">
        <v>193</v>
      </c>
      <c r="G3163" s="27" t="str">
        <f t="shared" si="98"/>
        <v>420 E WALLISVILLE  BAYTOWN</v>
      </c>
      <c r="H3163" s="27" t="str">
        <f t="shared" si="99"/>
        <v>HOUSTON TX 77521</v>
      </c>
    </row>
    <row r="3164" spans="1:8" x14ac:dyDescent="0.2">
      <c r="A3164" s="27">
        <f>COUNTIFS(C:C,C3164,D:D,D3164)</f>
        <v>1</v>
      </c>
      <c r="B3164" s="30">
        <v>202101227244</v>
      </c>
      <c r="C3164" t="s">
        <v>7211</v>
      </c>
      <c r="D3164" t="s">
        <v>7212</v>
      </c>
      <c r="E3164" t="s">
        <v>4874</v>
      </c>
      <c r="F3164" t="s">
        <v>193</v>
      </c>
      <c r="G3164" s="27" t="str">
        <f t="shared" si="98"/>
        <v>6031 BELCREST  HOUSTON</v>
      </c>
      <c r="H3164" s="27" t="str">
        <f t="shared" si="99"/>
        <v>HOUSTON TX 77033</v>
      </c>
    </row>
    <row r="3165" spans="1:8" x14ac:dyDescent="0.2">
      <c r="A3165" s="27">
        <f>COUNTIFS(C:C,C3165,D:D,D3165)</f>
        <v>1</v>
      </c>
      <c r="B3165" s="30">
        <v>202101227305</v>
      </c>
      <c r="C3165" t="s">
        <v>7226</v>
      </c>
      <c r="D3165" t="s">
        <v>7227</v>
      </c>
      <c r="E3165" t="s">
        <v>4966</v>
      </c>
      <c r="F3165" t="s">
        <v>225</v>
      </c>
      <c r="G3165" s="27" t="str">
        <f t="shared" si="98"/>
        <v>580 S PARKTOWN DR  DEER PARK</v>
      </c>
      <c r="H3165" s="27" t="str">
        <f t="shared" si="99"/>
        <v>HOUSTON TX 77536</v>
      </c>
    </row>
    <row r="3166" spans="1:8" x14ac:dyDescent="0.2">
      <c r="A3166" s="27">
        <f>COUNTIFS(C:C,C3166,D:D,D3166)</f>
        <v>1</v>
      </c>
      <c r="B3166" s="30">
        <v>202101227372</v>
      </c>
      <c r="C3166" t="s">
        <v>7267</v>
      </c>
      <c r="D3166" t="s">
        <v>6329</v>
      </c>
      <c r="E3166" t="s">
        <v>5023</v>
      </c>
      <c r="F3166" t="s">
        <v>203</v>
      </c>
      <c r="G3166" s="27" t="str">
        <f t="shared" si="98"/>
        <v>2301 LAZY HOLLOW DR  HOUSTON</v>
      </c>
      <c r="H3166" s="27" t="str">
        <f t="shared" si="99"/>
        <v>HOUSTON TX 77063</v>
      </c>
    </row>
    <row r="3167" spans="1:8" x14ac:dyDescent="0.2">
      <c r="A3167" s="27">
        <f>COUNTIFS(C:C,C3167,D:D,D3167)</f>
        <v>1</v>
      </c>
      <c r="B3167" s="30">
        <v>202101227427</v>
      </c>
      <c r="C3167" t="s">
        <v>7273</v>
      </c>
      <c r="D3167" t="s">
        <v>3151</v>
      </c>
      <c r="E3167" t="s">
        <v>4885</v>
      </c>
      <c r="F3167" t="s">
        <v>7197</v>
      </c>
      <c r="G3167" s="27" t="str">
        <f t="shared" si="98"/>
        <v>9634 PARK HEATH LN  HARRIS CO</v>
      </c>
      <c r="H3167" s="27" t="str">
        <f t="shared" si="99"/>
        <v>HOUSTON TX 77088</v>
      </c>
    </row>
    <row r="3168" spans="1:8" x14ac:dyDescent="0.2">
      <c r="A3168" s="27">
        <f>COUNTIFS(C:C,C3168,D:D,D3168)</f>
        <v>1</v>
      </c>
      <c r="B3168" s="30">
        <v>202101227444</v>
      </c>
      <c r="C3168" t="s">
        <v>7205</v>
      </c>
      <c r="D3168" t="s">
        <v>7206</v>
      </c>
      <c r="E3168" t="s">
        <v>4869</v>
      </c>
      <c r="F3168" t="s">
        <v>189</v>
      </c>
      <c r="G3168" s="27" t="str">
        <f t="shared" si="98"/>
        <v>218 E 44TH ST  HOUSTON</v>
      </c>
      <c r="H3168" s="27" t="str">
        <f t="shared" si="99"/>
        <v>HOUSTON TX 77018</v>
      </c>
    </row>
    <row r="3169" spans="1:8" x14ac:dyDescent="0.2">
      <c r="A3169" s="27">
        <f>COUNTIFS(C:C,C3169,D:D,D3169)</f>
        <v>1</v>
      </c>
      <c r="B3169" s="30">
        <v>202101227449</v>
      </c>
      <c r="C3169" t="s">
        <v>7322</v>
      </c>
      <c r="D3169" t="s">
        <v>7323</v>
      </c>
      <c r="E3169" t="s">
        <v>5815</v>
      </c>
      <c r="F3169" t="s">
        <v>206</v>
      </c>
      <c r="G3169" s="27" t="str">
        <f t="shared" si="98"/>
        <v>13911 ROUND OAK CT  HOUSTON</v>
      </c>
      <c r="H3169" s="27" t="str">
        <f t="shared" si="99"/>
        <v>HOUSTON TX 77059</v>
      </c>
    </row>
    <row r="3170" spans="1:8" x14ac:dyDescent="0.2">
      <c r="A3170" s="27">
        <f>COUNTIFS(C:C,C3170,D:D,D3170)</f>
        <v>1</v>
      </c>
      <c r="B3170" s="30">
        <v>202101227450</v>
      </c>
      <c r="C3170" t="s">
        <v>7296</v>
      </c>
      <c r="D3170" t="s">
        <v>7297</v>
      </c>
      <c r="E3170" t="s">
        <v>4874</v>
      </c>
      <c r="F3170" t="s">
        <v>208</v>
      </c>
      <c r="G3170" s="27" t="str">
        <f t="shared" si="98"/>
        <v>5715 BELCREST ST  HOUSTON</v>
      </c>
      <c r="H3170" s="27" t="str">
        <f t="shared" si="99"/>
        <v>HOUSTON TX 77033</v>
      </c>
    </row>
    <row r="3171" spans="1:8" x14ac:dyDescent="0.2">
      <c r="A3171" s="27">
        <f>COUNTIFS(C:C,C3171,D:D,D3171)</f>
        <v>1</v>
      </c>
      <c r="B3171" s="30">
        <v>202101227457</v>
      </c>
      <c r="C3171" t="s">
        <v>7324</v>
      </c>
      <c r="D3171" t="s">
        <v>7325</v>
      </c>
      <c r="E3171" t="s">
        <v>6345</v>
      </c>
      <c r="F3171" t="s">
        <v>193</v>
      </c>
      <c r="G3171" s="27" t="str">
        <f t="shared" si="98"/>
        <v>14501 EMPANADA DR  HARRIS CO</v>
      </c>
      <c r="H3171" s="27" t="str">
        <f t="shared" si="99"/>
        <v>HOUSTON TX 77083</v>
      </c>
    </row>
    <row r="3172" spans="1:8" x14ac:dyDescent="0.2">
      <c r="A3172" s="27">
        <f>COUNTIFS(C:C,C3172,D:D,D3172)</f>
        <v>1</v>
      </c>
      <c r="B3172" s="30">
        <v>202101227469</v>
      </c>
      <c r="C3172" t="s">
        <v>7217</v>
      </c>
      <c r="D3172" t="s">
        <v>7218</v>
      </c>
      <c r="E3172" t="s">
        <v>4952</v>
      </c>
      <c r="F3172" t="s">
        <v>209</v>
      </c>
      <c r="G3172" s="27" t="str">
        <f t="shared" si="98"/>
        <v>2804 CAMILLE ST  PASADENA</v>
      </c>
      <c r="H3172" s="27" t="str">
        <f t="shared" si="99"/>
        <v>HOUSTON TX 77506</v>
      </c>
    </row>
    <row r="3173" spans="1:8" x14ac:dyDescent="0.2">
      <c r="A3173" s="27">
        <f>COUNTIFS(C:C,C3173,D:D,D3173)</f>
        <v>1</v>
      </c>
      <c r="B3173" s="30">
        <v>202101227483</v>
      </c>
      <c r="C3173" t="s">
        <v>7232</v>
      </c>
      <c r="D3173" t="s">
        <v>7233</v>
      </c>
      <c r="E3173" t="s">
        <v>4876</v>
      </c>
      <c r="F3173" t="s">
        <v>203</v>
      </c>
      <c r="G3173" s="27" t="str">
        <f t="shared" si="98"/>
        <v>14102 TWISTED RATTAN LN HOUSTON</v>
      </c>
      <c r="H3173" s="27" t="str">
        <f t="shared" si="99"/>
        <v>HOUSTON TX 77015</v>
      </c>
    </row>
    <row r="3174" spans="1:8" x14ac:dyDescent="0.2">
      <c r="A3174" s="27">
        <f>COUNTIFS(C:C,C3174,D:D,D3174)</f>
        <v>1</v>
      </c>
      <c r="B3174" s="30">
        <v>202101227490</v>
      </c>
      <c r="C3174" t="s">
        <v>7328</v>
      </c>
      <c r="D3174" t="s">
        <v>7329</v>
      </c>
      <c r="E3174" t="s">
        <v>4898</v>
      </c>
      <c r="F3174" t="s">
        <v>7200</v>
      </c>
      <c r="G3174" s="27" t="str">
        <f t="shared" si="98"/>
        <v>8215 ARROWHEAD LN  HOUSTON</v>
      </c>
      <c r="H3174" s="27" t="str">
        <f t="shared" si="99"/>
        <v>HOUSTON TX 77075</v>
      </c>
    </row>
    <row r="3175" spans="1:8" x14ac:dyDescent="0.2">
      <c r="A3175" s="27">
        <f>COUNTIFS(C:C,C3175,D:D,D3175)</f>
        <v>1</v>
      </c>
      <c r="B3175" s="30">
        <v>202101227501</v>
      </c>
      <c r="C3175" t="s">
        <v>7209</v>
      </c>
      <c r="D3175" t="s">
        <v>7210</v>
      </c>
      <c r="E3175" t="s">
        <v>4874</v>
      </c>
      <c r="F3175" t="s">
        <v>189</v>
      </c>
      <c r="G3175" s="27" t="str">
        <f t="shared" si="98"/>
        <v>7526 MARTIN LUTHER K ING HOUSTON</v>
      </c>
      <c r="H3175" s="27" t="str">
        <f t="shared" si="99"/>
        <v>HOUSTON TX 77033</v>
      </c>
    </row>
    <row r="3176" spans="1:8" x14ac:dyDescent="0.2">
      <c r="A3176" s="27">
        <f>COUNTIFS(C:C,C3176,D:D,D3176)</f>
        <v>1</v>
      </c>
      <c r="B3176" s="30">
        <v>202101227505</v>
      </c>
      <c r="C3176" t="s">
        <v>7332</v>
      </c>
      <c r="D3176" t="s">
        <v>7333</v>
      </c>
      <c r="E3176" t="s">
        <v>4864</v>
      </c>
      <c r="F3176" t="s">
        <v>6084</v>
      </c>
      <c r="G3176" s="27" t="str">
        <f t="shared" si="98"/>
        <v>7102 TUCK ST  HOUSTON</v>
      </c>
      <c r="H3176" s="27" t="str">
        <f t="shared" si="99"/>
        <v>HOUSTON TX 77020</v>
      </c>
    </row>
    <row r="3177" spans="1:8" x14ac:dyDescent="0.2">
      <c r="A3177" s="27">
        <f>COUNTIFS(C:C,C3177,D:D,D3177)</f>
        <v>1</v>
      </c>
      <c r="B3177" s="30">
        <v>202101227507</v>
      </c>
      <c r="C3177" t="s">
        <v>7334</v>
      </c>
      <c r="D3177" t="s">
        <v>7335</v>
      </c>
      <c r="E3177" t="s">
        <v>4991</v>
      </c>
      <c r="F3177" t="s">
        <v>235</v>
      </c>
      <c r="G3177" s="27" t="str">
        <f t="shared" si="98"/>
        <v>3411 WALNUT BEND LAN E HOUSTON</v>
      </c>
      <c r="H3177" s="27" t="str">
        <f t="shared" si="99"/>
        <v>HOUSTON TX 77042</v>
      </c>
    </row>
    <row r="3178" spans="1:8" x14ac:dyDescent="0.2">
      <c r="A3178" s="27">
        <f>COUNTIFS(C:C,C3178,D:D,D3178)</f>
        <v>1</v>
      </c>
      <c r="B3178" s="30">
        <v>202101227513</v>
      </c>
      <c r="C3178" t="s">
        <v>7286</v>
      </c>
      <c r="D3178" t="s">
        <v>7287</v>
      </c>
      <c r="E3178" t="s">
        <v>4859</v>
      </c>
      <c r="F3178" t="s">
        <v>233</v>
      </c>
      <c r="G3178" s="27" t="str">
        <f t="shared" ref="G3178:G3213" si="100">D3178&amp;" "&amp;MID(E3178,1,FIND(" TX",E3178)-1)</f>
        <v>22820 IMPERIAL VALLEY  HOUSTON</v>
      </c>
      <c r="H3178" s="27" t="str">
        <f t="shared" ref="H3178:H3213" si="101">"HOUSTON "&amp;MID(E3178,FIND("TX",E3178),8)</f>
        <v>HOUSTON TX 77073</v>
      </c>
    </row>
    <row r="3179" spans="1:8" x14ac:dyDescent="0.2">
      <c r="A3179" s="27">
        <f>COUNTIFS(C:C,C3179,D:D,D3179)</f>
        <v>1</v>
      </c>
      <c r="B3179" s="30">
        <v>202101227516</v>
      </c>
      <c r="C3179" t="s">
        <v>7285</v>
      </c>
      <c r="D3179" t="s">
        <v>5626</v>
      </c>
      <c r="E3179" t="s">
        <v>4872</v>
      </c>
      <c r="F3179" t="s">
        <v>203</v>
      </c>
      <c r="G3179" s="27" t="str">
        <f t="shared" si="100"/>
        <v>8115 PENROD ST  HOUSTON</v>
      </c>
      <c r="H3179" s="27" t="str">
        <f t="shared" si="101"/>
        <v>HOUSTON TX 77028</v>
      </c>
    </row>
    <row r="3180" spans="1:8" x14ac:dyDescent="0.2">
      <c r="A3180" s="27">
        <f>COUNTIFS(C:C,C3180,D:D,D3180)</f>
        <v>1</v>
      </c>
      <c r="B3180" s="30">
        <v>202101227520</v>
      </c>
      <c r="C3180" t="s">
        <v>7292</v>
      </c>
      <c r="D3180" t="s">
        <v>7293</v>
      </c>
      <c r="E3180" t="s">
        <v>4896</v>
      </c>
      <c r="F3180" t="s">
        <v>185</v>
      </c>
      <c r="G3180" s="27" t="str">
        <f t="shared" si="100"/>
        <v>9401 BEECHUNUT ST AP T 207 HOUSTON</v>
      </c>
      <c r="H3180" s="27" t="str">
        <f t="shared" si="101"/>
        <v>HOUSTON TX 77036</v>
      </c>
    </row>
    <row r="3181" spans="1:8" x14ac:dyDescent="0.2">
      <c r="A3181" s="27">
        <f>COUNTIFS(C:C,C3181,D:D,D3181)</f>
        <v>1</v>
      </c>
      <c r="B3181" s="30">
        <v>202101227522</v>
      </c>
      <c r="C3181" t="s">
        <v>7261</v>
      </c>
      <c r="D3181" t="s">
        <v>7262</v>
      </c>
      <c r="E3181" t="s">
        <v>4933</v>
      </c>
      <c r="F3181" t="s">
        <v>233</v>
      </c>
      <c r="G3181" s="27" t="str">
        <f t="shared" si="100"/>
        <v>8701 HAMMERLY BLVD  HOUSTON</v>
      </c>
      <c r="H3181" s="27" t="str">
        <f t="shared" si="101"/>
        <v>HOUSTON TX 77080</v>
      </c>
    </row>
    <row r="3182" spans="1:8" x14ac:dyDescent="0.2">
      <c r="A3182" s="27">
        <f>COUNTIFS(C:C,C3182,D:D,D3182)</f>
        <v>1</v>
      </c>
      <c r="B3182" s="30">
        <v>202101227535</v>
      </c>
      <c r="C3182" t="s">
        <v>7268</v>
      </c>
      <c r="D3182" t="s">
        <v>7269</v>
      </c>
      <c r="E3182" t="s">
        <v>4949</v>
      </c>
      <c r="F3182" t="s">
        <v>186</v>
      </c>
      <c r="G3182" s="27" t="str">
        <f t="shared" si="100"/>
        <v>6061 E SAM HOUSTON P KWY  APT 4 HOUSTON</v>
      </c>
      <c r="H3182" s="27" t="str">
        <f t="shared" si="101"/>
        <v>HOUSTON TX 77049</v>
      </c>
    </row>
    <row r="3183" spans="1:8" x14ac:dyDescent="0.2">
      <c r="A3183" s="27">
        <f>COUNTIFS(C:C,C3183,D:D,D3183)</f>
        <v>1</v>
      </c>
      <c r="B3183" s="30">
        <v>202101227538</v>
      </c>
      <c r="C3183" t="s">
        <v>7221</v>
      </c>
      <c r="D3183" t="s">
        <v>7222</v>
      </c>
      <c r="E3183" t="s">
        <v>5060</v>
      </c>
      <c r="F3183" t="s">
        <v>189</v>
      </c>
      <c r="G3183" s="27" t="str">
        <f t="shared" si="100"/>
        <v>14802 FOREST LODGE DR  HOUSTON</v>
      </c>
      <c r="H3183" s="27" t="str">
        <f t="shared" si="101"/>
        <v>HOUSTON TX 77070</v>
      </c>
    </row>
    <row r="3184" spans="1:8" x14ac:dyDescent="0.2">
      <c r="A3184" s="27">
        <f>COUNTIFS(C:C,C3184,D:D,D3184)</f>
        <v>1</v>
      </c>
      <c r="B3184" s="30">
        <v>202101227551</v>
      </c>
      <c r="C3184" t="s">
        <v>7290</v>
      </c>
      <c r="D3184" t="s">
        <v>7291</v>
      </c>
      <c r="E3184" t="s">
        <v>4984</v>
      </c>
      <c r="F3184" t="s">
        <v>5297</v>
      </c>
      <c r="G3184" s="27" t="str">
        <f t="shared" si="100"/>
        <v>5815 EVENING SHADOW LN SPRING</v>
      </c>
      <c r="H3184" s="27" t="str">
        <f t="shared" si="101"/>
        <v>HOUSTON TX 77373</v>
      </c>
    </row>
    <row r="3185" spans="1:8" x14ac:dyDescent="0.2">
      <c r="A3185" s="27">
        <f>COUNTIFS(C:C,C3185,D:D,D3185)</f>
        <v>1</v>
      </c>
      <c r="B3185" s="30">
        <v>202101227557</v>
      </c>
      <c r="C3185" t="s">
        <v>7251</v>
      </c>
      <c r="D3185" t="s">
        <v>7252</v>
      </c>
      <c r="E3185" t="s">
        <v>4880</v>
      </c>
      <c r="F3185" t="s">
        <v>7192</v>
      </c>
      <c r="G3185" s="27" t="str">
        <f t="shared" si="100"/>
        <v>2312 ROBERTS  HOUSTON</v>
      </c>
      <c r="H3185" s="27" t="str">
        <f t="shared" si="101"/>
        <v>HOUSTON TX 77004</v>
      </c>
    </row>
    <row r="3186" spans="1:8" x14ac:dyDescent="0.2">
      <c r="A3186" s="27">
        <f>COUNTIFS(C:C,C3186,D:D,D3186)</f>
        <v>1</v>
      </c>
      <c r="B3186" s="30">
        <v>202101227558</v>
      </c>
      <c r="C3186" t="s">
        <v>7341</v>
      </c>
      <c r="D3186" t="s">
        <v>1461</v>
      </c>
      <c r="E3186" t="s">
        <v>4966</v>
      </c>
      <c r="F3186" t="s">
        <v>7203</v>
      </c>
      <c r="G3186" s="27" t="str">
        <f t="shared" si="100"/>
        <v>7201 SPENCER HWY  DEER PARK</v>
      </c>
      <c r="H3186" s="27" t="str">
        <f t="shared" si="101"/>
        <v>HOUSTON TX 77536</v>
      </c>
    </row>
    <row r="3187" spans="1:8" x14ac:dyDescent="0.2">
      <c r="A3187" s="27">
        <f>COUNTIFS(C:C,C3187,D:D,D3187)</f>
        <v>1</v>
      </c>
      <c r="B3187" s="30">
        <v>202101227573</v>
      </c>
      <c r="C3187" t="s">
        <v>7247</v>
      </c>
      <c r="D3187" t="s">
        <v>7248</v>
      </c>
      <c r="E3187" t="s">
        <v>4866</v>
      </c>
      <c r="F3187" t="s">
        <v>203</v>
      </c>
      <c r="G3187" s="27" t="str">
        <f t="shared" si="100"/>
        <v>310 SUNNYSIDE ST  HOUSTON</v>
      </c>
      <c r="H3187" s="27" t="str">
        <f t="shared" si="101"/>
        <v>HOUSTON TX 77076</v>
      </c>
    </row>
    <row r="3188" spans="1:8" x14ac:dyDescent="0.2">
      <c r="A3188" s="27">
        <f>COUNTIFS(C:C,C3188,D:D,D3188)</f>
        <v>1</v>
      </c>
      <c r="B3188" s="30">
        <v>202101227577</v>
      </c>
      <c r="C3188" t="s">
        <v>7215</v>
      </c>
      <c r="D3188" t="s">
        <v>7216</v>
      </c>
      <c r="E3188" t="s">
        <v>4891</v>
      </c>
      <c r="F3188" t="s">
        <v>203</v>
      </c>
      <c r="G3188" s="27" t="str">
        <f t="shared" si="100"/>
        <v>2116 CONKLIN ST  HOUSTON</v>
      </c>
      <c r="H3188" s="27" t="str">
        <f t="shared" si="101"/>
        <v>HOUSTON TX 77088</v>
      </c>
    </row>
    <row r="3189" spans="1:8" x14ac:dyDescent="0.2">
      <c r="A3189" s="27">
        <f>COUNTIFS(C:C,C3189,D:D,D3189)</f>
        <v>1</v>
      </c>
      <c r="B3189" s="30">
        <v>202101227584</v>
      </c>
      <c r="C3189" t="s">
        <v>7223</v>
      </c>
      <c r="D3189" t="s">
        <v>7224</v>
      </c>
      <c r="E3189" t="s">
        <v>7225</v>
      </c>
      <c r="F3189" t="s">
        <v>7191</v>
      </c>
      <c r="G3189" s="27" t="str">
        <f t="shared" si="100"/>
        <v>7819 OAK EDGE COURT  SPRING</v>
      </c>
      <c r="H3189" s="27" t="str">
        <f t="shared" si="101"/>
        <v>HOUSTON TX 77398</v>
      </c>
    </row>
    <row r="3190" spans="1:8" x14ac:dyDescent="0.2">
      <c r="A3190" s="27">
        <f>COUNTIFS(C:C,C3190,D:D,D3190)</f>
        <v>1</v>
      </c>
      <c r="B3190" s="30">
        <v>202101227590</v>
      </c>
      <c r="C3190" t="s">
        <v>7207</v>
      </c>
      <c r="D3190" t="s">
        <v>7208</v>
      </c>
      <c r="E3190" t="s">
        <v>4994</v>
      </c>
      <c r="F3190" t="s">
        <v>7188</v>
      </c>
      <c r="G3190" s="27" t="str">
        <f t="shared" si="100"/>
        <v>4231 ANNAWOOD CIRCLE  SPRING</v>
      </c>
      <c r="H3190" s="27" t="str">
        <f t="shared" si="101"/>
        <v>HOUSTON TX 77388</v>
      </c>
    </row>
    <row r="3191" spans="1:8" x14ac:dyDescent="0.2">
      <c r="A3191" s="27">
        <f>COUNTIFS(C:C,C3191,D:D,D3191)</f>
        <v>1</v>
      </c>
      <c r="B3191" s="30">
        <v>202101227593</v>
      </c>
      <c r="C3191" t="s">
        <v>7265</v>
      </c>
      <c r="D3191" t="s">
        <v>7266</v>
      </c>
      <c r="E3191" t="s">
        <v>4948</v>
      </c>
      <c r="F3191" t="s">
        <v>7196</v>
      </c>
      <c r="G3191" s="27" t="str">
        <f t="shared" si="100"/>
        <v>618 CORTLANDT  HOUSTON</v>
      </c>
      <c r="H3191" s="27" t="str">
        <f t="shared" si="101"/>
        <v>HOUSTON TX 77007</v>
      </c>
    </row>
    <row r="3192" spans="1:8" x14ac:dyDescent="0.2">
      <c r="A3192" s="27">
        <f>COUNTIFS(C:C,C3192,D:D,D3192)</f>
        <v>1</v>
      </c>
      <c r="B3192" s="30">
        <v>202101227600</v>
      </c>
      <c r="C3192" t="s">
        <v>7213</v>
      </c>
      <c r="D3192" t="s">
        <v>7214</v>
      </c>
      <c r="E3192" t="s">
        <v>4917</v>
      </c>
      <c r="F3192" t="s">
        <v>253</v>
      </c>
      <c r="G3192" s="27" t="str">
        <f t="shared" si="100"/>
        <v>10100 S GESSNER RD  HOUSTON</v>
      </c>
      <c r="H3192" s="27" t="str">
        <f t="shared" si="101"/>
        <v>HOUSTON TX 77031</v>
      </c>
    </row>
    <row r="3193" spans="1:8" x14ac:dyDescent="0.2">
      <c r="A3193" s="27">
        <f>COUNTIFS(C:C,C3193,D:D,D3193)</f>
        <v>1</v>
      </c>
      <c r="B3193" s="30">
        <v>202101227609</v>
      </c>
      <c r="C3193" t="s">
        <v>7294</v>
      </c>
      <c r="D3193" t="s">
        <v>7295</v>
      </c>
      <c r="E3193" t="s">
        <v>4881</v>
      </c>
      <c r="F3193" t="s">
        <v>200</v>
      </c>
      <c r="G3193" s="27" t="str">
        <f t="shared" si="100"/>
        <v>306 SHORE SHADOWS D R. CROSBY</v>
      </c>
      <c r="H3193" s="27" t="str">
        <f t="shared" si="101"/>
        <v>HOUSTON TX 77532</v>
      </c>
    </row>
    <row r="3194" spans="1:8" x14ac:dyDescent="0.2">
      <c r="A3194" s="27">
        <f>COUNTIFS(C:C,C3194,D:D,D3194)</f>
        <v>1</v>
      </c>
      <c r="B3194" s="30">
        <v>202101227623</v>
      </c>
      <c r="C3194" t="s">
        <v>7309</v>
      </c>
      <c r="D3194" t="s">
        <v>7310</v>
      </c>
      <c r="E3194" t="s">
        <v>4866</v>
      </c>
      <c r="F3194" t="s">
        <v>221</v>
      </c>
      <c r="G3194" s="27" t="str">
        <f t="shared" si="100"/>
        <v>9722 MARYDEL ST  HOUSTON</v>
      </c>
      <c r="H3194" s="27" t="str">
        <f t="shared" si="101"/>
        <v>HOUSTON TX 77076</v>
      </c>
    </row>
    <row r="3195" spans="1:8" x14ac:dyDescent="0.2">
      <c r="A3195" s="27">
        <f>COUNTIFS(C:C,C3195,D:D,D3195)</f>
        <v>1</v>
      </c>
      <c r="B3195" s="30">
        <v>202101227661</v>
      </c>
      <c r="C3195" t="s">
        <v>7350</v>
      </c>
      <c r="D3195" t="s">
        <v>7351</v>
      </c>
      <c r="E3195" t="s">
        <v>7352</v>
      </c>
      <c r="F3195" t="s">
        <v>217</v>
      </c>
      <c r="G3195" s="27" t="str">
        <f t="shared" si="100"/>
        <v>12209 LANGLEY HILL  FORT WORTH</v>
      </c>
      <c r="H3195" s="27" t="str">
        <f t="shared" si="101"/>
        <v>HOUSTON TX 76244</v>
      </c>
    </row>
    <row r="3196" spans="1:8" x14ac:dyDescent="0.2">
      <c r="A3196" s="27">
        <f>COUNTIFS(C:C,C3196,D:D,D3196)</f>
        <v>1</v>
      </c>
      <c r="B3196" s="30">
        <v>202101231911</v>
      </c>
      <c r="C3196" t="s">
        <v>7495</v>
      </c>
      <c r="D3196" t="s">
        <v>7496</v>
      </c>
      <c r="E3196" t="s">
        <v>4893</v>
      </c>
      <c r="F3196" t="s">
        <v>90</v>
      </c>
      <c r="G3196" s="27" t="str">
        <f t="shared" si="100"/>
        <v>13218 GRANTMOOR LANE  HOUSTON</v>
      </c>
      <c r="H3196" s="27" t="str">
        <f t="shared" si="101"/>
        <v>HOUSTON TX 77045</v>
      </c>
    </row>
    <row r="3197" spans="1:8" x14ac:dyDescent="0.2">
      <c r="A3197" s="27">
        <f>COUNTIFS(C:C,C3197,D:D,D3197)</f>
        <v>1</v>
      </c>
      <c r="B3197" s="30">
        <v>202101231928</v>
      </c>
      <c r="C3197" t="s">
        <v>7497</v>
      </c>
      <c r="D3197" t="s">
        <v>7498</v>
      </c>
      <c r="E3197" t="s">
        <v>4900</v>
      </c>
      <c r="F3197" t="s">
        <v>90</v>
      </c>
      <c r="G3197" s="27" t="str">
        <f t="shared" si="100"/>
        <v>4011 BRIGHTON SPRING S KATY</v>
      </c>
      <c r="H3197" s="27" t="str">
        <f t="shared" si="101"/>
        <v>HOUSTON TX 77449</v>
      </c>
    </row>
    <row r="3198" spans="1:8" x14ac:dyDescent="0.2">
      <c r="A3198" s="27">
        <f>COUNTIFS(C:C,C3198,D:D,D3198)</f>
        <v>1</v>
      </c>
      <c r="B3198" s="30">
        <v>202101231939</v>
      </c>
      <c r="C3198" t="s">
        <v>7487</v>
      </c>
      <c r="D3198" t="s">
        <v>7488</v>
      </c>
      <c r="E3198" t="s">
        <v>4951</v>
      </c>
      <c r="F3198" t="s">
        <v>90</v>
      </c>
      <c r="G3198" s="27" t="str">
        <f t="shared" si="100"/>
        <v>8727 POINT PARK DR A PT 1711 HOUSTON</v>
      </c>
      <c r="H3198" s="27" t="str">
        <f t="shared" si="101"/>
        <v>HOUSTON TX 77095</v>
      </c>
    </row>
    <row r="3199" spans="1:8" x14ac:dyDescent="0.2">
      <c r="A3199" s="27">
        <f>COUNTIFS(C:C,C3199,D:D,D3199)</f>
        <v>1</v>
      </c>
      <c r="B3199" s="30">
        <v>202101231973</v>
      </c>
      <c r="C3199" t="s">
        <v>7423</v>
      </c>
      <c r="D3199" t="s">
        <v>7424</v>
      </c>
      <c r="E3199" t="s">
        <v>4894</v>
      </c>
      <c r="F3199" t="s">
        <v>90</v>
      </c>
      <c r="G3199" s="27" t="str">
        <f t="shared" si="100"/>
        <v>812 TABOR ST  HOUSTON</v>
      </c>
      <c r="H3199" s="27" t="str">
        <f t="shared" si="101"/>
        <v>HOUSTON TX 77009</v>
      </c>
    </row>
    <row r="3200" spans="1:8" x14ac:dyDescent="0.2">
      <c r="A3200" s="27">
        <f>COUNTIFS(C:C,C3200,D:D,D3200)</f>
        <v>1</v>
      </c>
      <c r="B3200" s="30">
        <v>202101232019</v>
      </c>
      <c r="C3200" t="s">
        <v>7414</v>
      </c>
      <c r="D3200" t="s">
        <v>7415</v>
      </c>
      <c r="E3200" t="s">
        <v>4900</v>
      </c>
      <c r="F3200" t="s">
        <v>87</v>
      </c>
      <c r="G3200" s="27" t="str">
        <f t="shared" si="100"/>
        <v>19315 MONTCLAIR MEADO W LN KATY</v>
      </c>
      <c r="H3200" s="27" t="str">
        <f t="shared" si="101"/>
        <v>HOUSTON TX 77449</v>
      </c>
    </row>
    <row r="3201" spans="1:8" x14ac:dyDescent="0.2">
      <c r="A3201" s="27">
        <f>COUNTIFS(C:C,C3201,D:D,D3201)</f>
        <v>1</v>
      </c>
      <c r="B3201" s="30">
        <v>202101232047</v>
      </c>
      <c r="C3201" t="s">
        <v>6792</v>
      </c>
      <c r="D3201" t="s">
        <v>7422</v>
      </c>
      <c r="E3201" t="s">
        <v>4876</v>
      </c>
      <c r="F3201" t="s">
        <v>7360</v>
      </c>
      <c r="G3201" s="27" t="str">
        <f t="shared" si="100"/>
        <v>16222 RIDLON ST  HOUSTON</v>
      </c>
      <c r="H3201" s="27" t="str">
        <f t="shared" si="101"/>
        <v>HOUSTON TX 77015</v>
      </c>
    </row>
    <row r="3202" spans="1:8" x14ac:dyDescent="0.2">
      <c r="A3202" s="27">
        <f>COUNTIFS(C:C,C3202,D:D,D3202)</f>
        <v>1</v>
      </c>
      <c r="B3202" s="30">
        <v>202101232065</v>
      </c>
      <c r="C3202" t="s">
        <v>6825</v>
      </c>
      <c r="D3202" t="s">
        <v>6826</v>
      </c>
      <c r="E3202" t="s">
        <v>6827</v>
      </c>
      <c r="F3202" t="s">
        <v>7363</v>
      </c>
      <c r="G3202" s="27" t="str">
        <f t="shared" si="100"/>
        <v>4000 NORTH 10TH  BRIDGEPORT</v>
      </c>
      <c r="H3202" s="27" t="str">
        <f t="shared" si="101"/>
        <v>HOUSTON TX 76426</v>
      </c>
    </row>
    <row r="3203" spans="1:8" x14ac:dyDescent="0.2">
      <c r="A3203" s="27">
        <f>COUNTIFS(C:C,C3203,D:D,D3203)</f>
        <v>1</v>
      </c>
      <c r="B3203" s="30">
        <v>202101232102</v>
      </c>
      <c r="C3203" t="s">
        <v>7501</v>
      </c>
      <c r="D3203" t="s">
        <v>7502</v>
      </c>
      <c r="E3203" t="s">
        <v>4865</v>
      </c>
      <c r="F3203" t="s">
        <v>90</v>
      </c>
      <c r="G3203" s="27" t="str">
        <f t="shared" si="100"/>
        <v>8600 S COURSE DR APT 2610 HOUSTON</v>
      </c>
      <c r="H3203" s="27" t="str">
        <f t="shared" si="101"/>
        <v xml:space="preserve">HOUSTON TX      </v>
      </c>
    </row>
    <row r="3204" spans="1:8" x14ac:dyDescent="0.2">
      <c r="A3204" s="27">
        <f>COUNTIFS(C:C,C3204,D:D,D3204)</f>
        <v>1</v>
      </c>
      <c r="B3204" s="30">
        <v>202101232112</v>
      </c>
      <c r="C3204" t="s">
        <v>7489</v>
      </c>
      <c r="D3204" t="s">
        <v>7490</v>
      </c>
      <c r="E3204" t="s">
        <v>4932</v>
      </c>
      <c r="F3204" t="s">
        <v>98</v>
      </c>
      <c r="G3204" s="27" t="str">
        <f t="shared" si="100"/>
        <v>6200 W TIDWELL 1704  HOUSTON</v>
      </c>
      <c r="H3204" s="27" t="str">
        <f t="shared" si="101"/>
        <v>HOUSTON TX 77092</v>
      </c>
    </row>
    <row r="3205" spans="1:8" x14ac:dyDescent="0.2">
      <c r="A3205" s="27">
        <f>COUNTIFS(C:C,C3205,D:D,D3205)</f>
        <v>1</v>
      </c>
      <c r="B3205" s="30">
        <v>202101232139</v>
      </c>
      <c r="C3205" t="s">
        <v>7505</v>
      </c>
      <c r="D3205" t="s">
        <v>1479</v>
      </c>
      <c r="E3205" t="s">
        <v>4889</v>
      </c>
      <c r="F3205" t="s">
        <v>98</v>
      </c>
      <c r="G3205" s="27" t="str">
        <f t="shared" si="100"/>
        <v>1212 GRAND PLAZA DR  HOUSTON</v>
      </c>
      <c r="H3205" s="27" t="str">
        <f t="shared" si="101"/>
        <v>HOUSTON TX 77067</v>
      </c>
    </row>
    <row r="3206" spans="1:8" x14ac:dyDescent="0.2">
      <c r="A3206" s="27">
        <f>COUNTIFS(C:C,C3206,D:D,D3206)</f>
        <v>1</v>
      </c>
      <c r="B3206" s="30">
        <v>202101232143</v>
      </c>
      <c r="C3206" t="s">
        <v>7433</v>
      </c>
      <c r="D3206" t="s">
        <v>7434</v>
      </c>
      <c r="E3206" t="s">
        <v>4891</v>
      </c>
      <c r="F3206" t="s">
        <v>98</v>
      </c>
      <c r="G3206" s="27" t="str">
        <f t="shared" si="100"/>
        <v>1046 DOLLY WRIGHT  HOUSTON</v>
      </c>
      <c r="H3206" s="27" t="str">
        <f t="shared" si="101"/>
        <v>HOUSTON TX 77088</v>
      </c>
    </row>
    <row r="3207" spans="1:8" x14ac:dyDescent="0.2">
      <c r="A3207" s="27">
        <f>COUNTIFS(C:C,C3207,D:D,D3207)</f>
        <v>1</v>
      </c>
      <c r="B3207" s="30">
        <v>202101232144</v>
      </c>
      <c r="C3207" t="s">
        <v>998</v>
      </c>
      <c r="D3207" t="s">
        <v>999</v>
      </c>
      <c r="E3207" t="s">
        <v>4872</v>
      </c>
      <c r="F3207" t="s">
        <v>378</v>
      </c>
      <c r="G3207" s="27" t="str">
        <f t="shared" si="100"/>
        <v>6913 JAY  HOUSTON</v>
      </c>
      <c r="H3207" s="27" t="str">
        <f t="shared" si="101"/>
        <v>HOUSTON TX 77028</v>
      </c>
    </row>
    <row r="3208" spans="1:8" x14ac:dyDescent="0.2">
      <c r="A3208" s="27">
        <f>COUNTIFS(C:C,C3208,D:D,D3208)</f>
        <v>1</v>
      </c>
      <c r="B3208" s="30">
        <v>202101232162</v>
      </c>
      <c r="C3208" t="s">
        <v>7400</v>
      </c>
      <c r="D3208" t="s">
        <v>7401</v>
      </c>
      <c r="E3208" t="s">
        <v>5032</v>
      </c>
      <c r="F3208" t="s">
        <v>88</v>
      </c>
      <c r="G3208" s="27" t="str">
        <f t="shared" si="100"/>
        <v>307 STRATFORD  HOUSTON</v>
      </c>
      <c r="H3208" s="27" t="str">
        <f t="shared" si="101"/>
        <v>HOUSTON TX 77006</v>
      </c>
    </row>
    <row r="3209" spans="1:8" x14ac:dyDescent="0.2">
      <c r="A3209" s="27">
        <f>COUNTIFS(C:C,C3209,D:D,D3209)</f>
        <v>1</v>
      </c>
      <c r="B3209" s="30">
        <v>202101232168</v>
      </c>
      <c r="C3209" t="s">
        <v>7506</v>
      </c>
      <c r="D3209" t="s">
        <v>7507</v>
      </c>
      <c r="E3209" t="s">
        <v>4900</v>
      </c>
      <c r="F3209" t="s">
        <v>88</v>
      </c>
      <c r="G3209" s="27" t="str">
        <f t="shared" si="100"/>
        <v>5751 GREENHOUSE RD A PT 924 KATY</v>
      </c>
      <c r="H3209" s="27" t="str">
        <f t="shared" si="101"/>
        <v>HOUSTON TX 77449</v>
      </c>
    </row>
    <row r="3210" spans="1:8" x14ac:dyDescent="0.2">
      <c r="A3210" s="27">
        <f>COUNTIFS(C:C,C3210,D:D,D3210)</f>
        <v>1</v>
      </c>
      <c r="B3210" s="30">
        <v>202101232174</v>
      </c>
      <c r="C3210" t="s">
        <v>7377</v>
      </c>
      <c r="D3210" t="s">
        <v>7378</v>
      </c>
      <c r="E3210" t="s">
        <v>7379</v>
      </c>
      <c r="F3210" t="s">
        <v>88</v>
      </c>
      <c r="G3210" s="27" t="str">
        <f t="shared" si="100"/>
        <v>10618 WAYWARD WIND LN  JERSEY VIL</v>
      </c>
      <c r="H3210" s="27" t="str">
        <f t="shared" si="101"/>
        <v>HOUSTON TX 77064</v>
      </c>
    </row>
    <row r="3211" spans="1:8" x14ac:dyDescent="0.2">
      <c r="A3211" s="27">
        <f>COUNTIFS(C:C,C3211,D:D,D3211)</f>
        <v>1</v>
      </c>
      <c r="B3211" s="30">
        <v>202101232182</v>
      </c>
      <c r="C3211" t="s">
        <v>7410</v>
      </c>
      <c r="D3211" t="s">
        <v>7411</v>
      </c>
      <c r="E3211" t="s">
        <v>4859</v>
      </c>
      <c r="F3211" t="s">
        <v>98</v>
      </c>
      <c r="G3211" s="27" t="str">
        <f t="shared" si="100"/>
        <v>16819 PARRINGTON LN  HOUSTON</v>
      </c>
      <c r="H3211" s="27" t="str">
        <f t="shared" si="101"/>
        <v>HOUSTON TX 77073</v>
      </c>
    </row>
    <row r="3212" spans="1:8" x14ac:dyDescent="0.2">
      <c r="A3212" s="27">
        <f>COUNTIFS(C:C,C3212,D:D,D3212)</f>
        <v>1</v>
      </c>
      <c r="B3212" s="30">
        <v>202101232183</v>
      </c>
      <c r="C3212" t="s">
        <v>7508</v>
      </c>
      <c r="D3212" t="s">
        <v>7509</v>
      </c>
      <c r="E3212" t="s">
        <v>4977</v>
      </c>
      <c r="F3212" t="s">
        <v>88</v>
      </c>
      <c r="G3212" s="27" t="str">
        <f t="shared" si="100"/>
        <v>6419 SKYLINE DR  HOUSTON</v>
      </c>
      <c r="H3212" s="27" t="str">
        <f t="shared" si="101"/>
        <v>HOUSTON TX 77057</v>
      </c>
    </row>
    <row r="3213" spans="1:8" x14ac:dyDescent="0.2">
      <c r="A3213" s="27">
        <f>COUNTIFS(C:C,C3213,D:D,D3213)</f>
        <v>1</v>
      </c>
      <c r="B3213" s="30">
        <v>202101232189</v>
      </c>
      <c r="C3213" t="s">
        <v>7442</v>
      </c>
      <c r="D3213" t="s">
        <v>7443</v>
      </c>
      <c r="E3213" t="s">
        <v>4873</v>
      </c>
      <c r="F3213" t="s">
        <v>88</v>
      </c>
      <c r="G3213" s="27" t="str">
        <f t="shared" si="100"/>
        <v>13306 WALTON ROAD  HOUSTON</v>
      </c>
      <c r="H3213" s="27" t="str">
        <f t="shared" si="101"/>
        <v>HOUSTON TX 77044</v>
      </c>
    </row>
    <row r="3214" spans="1:8" x14ac:dyDescent="0.2">
      <c r="A3214" s="27">
        <f>COUNTIFS(C:C,C3214,D:D,D3214)</f>
        <v>1</v>
      </c>
      <c r="B3214" s="30">
        <v>202101232196</v>
      </c>
      <c r="C3214" t="s">
        <v>7510</v>
      </c>
      <c r="D3214" t="s">
        <v>7511</v>
      </c>
      <c r="E3214" t="s">
        <v>5244</v>
      </c>
      <c r="F3214" t="s">
        <v>88</v>
      </c>
      <c r="G3214" s="27" t="str">
        <f t="shared" ref="G3214:G3277" si="102">D3214&amp;" "&amp;MID(E3214,1,FIND(" TX",E3214)-1)</f>
        <v>13129 HAVEN FALLS LN  SUGAR LAND</v>
      </c>
      <c r="H3214" s="27" t="str">
        <f t="shared" ref="H3214:H3277" si="103">"HOUSTON "&amp;MID(E3214,FIND("TX",E3214),8)</f>
        <v>HOUSTON TX 77478</v>
      </c>
    </row>
    <row r="3215" spans="1:8" x14ac:dyDescent="0.2">
      <c r="A3215" s="27">
        <f>COUNTIFS(C:C,C3215,D:D,D3215)</f>
        <v>1</v>
      </c>
      <c r="B3215" s="30">
        <v>202101232197</v>
      </c>
      <c r="C3215" t="s">
        <v>7408</v>
      </c>
      <c r="D3215" t="s">
        <v>7409</v>
      </c>
      <c r="E3215" t="s">
        <v>4896</v>
      </c>
      <c r="F3215" t="s">
        <v>90</v>
      </c>
      <c r="G3215" s="27" t="str">
        <f t="shared" si="102"/>
        <v>7911 S GESSNER RD  HOUSTON</v>
      </c>
      <c r="H3215" s="27" t="str">
        <f t="shared" si="103"/>
        <v>HOUSTON TX 77036</v>
      </c>
    </row>
    <row r="3216" spans="1:8" x14ac:dyDescent="0.2">
      <c r="A3216" s="27">
        <f>COUNTIFS(C:C,C3216,D:D,D3216)</f>
        <v>1</v>
      </c>
      <c r="B3216" s="30">
        <v>202101232198</v>
      </c>
      <c r="C3216" t="s">
        <v>7512</v>
      </c>
      <c r="D3216" t="s">
        <v>7513</v>
      </c>
      <c r="E3216" t="s">
        <v>4982</v>
      </c>
      <c r="F3216" t="s">
        <v>88</v>
      </c>
      <c r="G3216" s="27" t="str">
        <f t="shared" si="102"/>
        <v>2527 WOODTOWN DR  HOUSTON</v>
      </c>
      <c r="H3216" s="27" t="str">
        <f t="shared" si="103"/>
        <v>HOUSTON TX 77038</v>
      </c>
    </row>
    <row r="3217" spans="1:8" x14ac:dyDescent="0.2">
      <c r="A3217" s="27">
        <f>COUNTIFS(C:C,C3217,D:D,D3217)</f>
        <v>1</v>
      </c>
      <c r="B3217" s="30">
        <v>202101232208</v>
      </c>
      <c r="C3217" t="s">
        <v>7516</v>
      </c>
      <c r="D3217" t="s">
        <v>7517</v>
      </c>
      <c r="E3217" t="s">
        <v>4905</v>
      </c>
      <c r="F3217" t="s">
        <v>90</v>
      </c>
      <c r="G3217" s="27" t="str">
        <f t="shared" si="102"/>
        <v>701 PRESTON AVE APT 173 PASADENA</v>
      </c>
      <c r="H3217" s="27" t="str">
        <f t="shared" si="103"/>
        <v>HOUSTON TX 77503</v>
      </c>
    </row>
    <row r="3218" spans="1:8" x14ac:dyDescent="0.2">
      <c r="A3218" s="27">
        <f>COUNTIFS(C:C,C3218,D:D,D3218)</f>
        <v>1</v>
      </c>
      <c r="B3218" s="30">
        <v>202101232209</v>
      </c>
      <c r="C3218" t="s">
        <v>7514</v>
      </c>
      <c r="D3218" t="s">
        <v>7515</v>
      </c>
      <c r="E3218" t="s">
        <v>4867</v>
      </c>
      <c r="F3218" t="s">
        <v>90</v>
      </c>
      <c r="G3218" s="27" t="str">
        <f t="shared" si="102"/>
        <v>7200 STONE  HOUSTON</v>
      </c>
      <c r="H3218" s="27" t="str">
        <f t="shared" si="103"/>
        <v>HOUSTON TX 77023</v>
      </c>
    </row>
    <row r="3219" spans="1:8" x14ac:dyDescent="0.2">
      <c r="A3219" s="27">
        <f>COUNTIFS(C:C,C3219,D:D,D3219)</f>
        <v>1</v>
      </c>
      <c r="B3219" s="30">
        <v>202101232219</v>
      </c>
      <c r="C3219" t="s">
        <v>7481</v>
      </c>
      <c r="D3219" t="s">
        <v>7482</v>
      </c>
      <c r="E3219" t="s">
        <v>4900</v>
      </c>
      <c r="F3219" t="s">
        <v>89</v>
      </c>
      <c r="G3219" s="27" t="str">
        <f t="shared" si="102"/>
        <v>3610 SAGE POINTE CT  KATY</v>
      </c>
      <c r="H3219" s="27" t="str">
        <f t="shared" si="103"/>
        <v>HOUSTON TX 77449</v>
      </c>
    </row>
    <row r="3220" spans="1:8" x14ac:dyDescent="0.2">
      <c r="A3220" s="27">
        <f>COUNTIFS(C:C,C3220,D:D,D3220)</f>
        <v>1</v>
      </c>
      <c r="B3220" s="30">
        <v>202101232221</v>
      </c>
      <c r="C3220" t="s">
        <v>7518</v>
      </c>
      <c r="D3220" t="s">
        <v>7519</v>
      </c>
      <c r="E3220" t="s">
        <v>4896</v>
      </c>
      <c r="F3220" t="s">
        <v>88</v>
      </c>
      <c r="G3220" s="27" t="str">
        <f t="shared" si="102"/>
        <v>10210 FORUM PARK DR A PT 409 HOUSTON</v>
      </c>
      <c r="H3220" s="27" t="str">
        <f t="shared" si="103"/>
        <v>HOUSTON TX 77036</v>
      </c>
    </row>
    <row r="3221" spans="1:8" x14ac:dyDescent="0.2">
      <c r="A3221" s="27">
        <f>COUNTIFS(C:C,C3221,D:D,D3221)</f>
        <v>1</v>
      </c>
      <c r="B3221" s="30">
        <v>202101232239</v>
      </c>
      <c r="C3221" t="s">
        <v>7448</v>
      </c>
      <c r="D3221" t="s">
        <v>7449</v>
      </c>
      <c r="E3221" t="s">
        <v>4968</v>
      </c>
      <c r="F3221" t="s">
        <v>88</v>
      </c>
      <c r="G3221" s="27" t="str">
        <f t="shared" si="102"/>
        <v>3208 LONDON CT  PEARLAND</v>
      </c>
      <c r="H3221" s="27" t="str">
        <f t="shared" si="103"/>
        <v>HOUSTON TX 77581</v>
      </c>
    </row>
    <row r="3222" spans="1:8" x14ac:dyDescent="0.2">
      <c r="A3222" s="27">
        <f>COUNTIFS(C:C,C3222,D:D,D3222)</f>
        <v>1</v>
      </c>
      <c r="B3222" s="30">
        <v>202101232278</v>
      </c>
      <c r="C3222" t="s">
        <v>7000</v>
      </c>
      <c r="D3222" t="s">
        <v>7001</v>
      </c>
      <c r="E3222" t="s">
        <v>4901</v>
      </c>
      <c r="F3222" t="s">
        <v>274</v>
      </c>
      <c r="G3222" s="27" t="str">
        <f t="shared" si="102"/>
        <v>12517 CORONA LANE  HOUSTON</v>
      </c>
      <c r="H3222" s="27" t="str">
        <f t="shared" si="103"/>
        <v>HOUSTON TX 77072</v>
      </c>
    </row>
    <row r="3223" spans="1:8" x14ac:dyDescent="0.2">
      <c r="A3223" s="27">
        <f>COUNTIFS(C:C,C3223,D:D,D3223)</f>
        <v>1</v>
      </c>
      <c r="B3223" s="30">
        <v>202101232280</v>
      </c>
      <c r="C3223" t="s">
        <v>7483</v>
      </c>
      <c r="D3223" t="s">
        <v>7484</v>
      </c>
      <c r="E3223" t="s">
        <v>4952</v>
      </c>
      <c r="F3223" t="s">
        <v>71</v>
      </c>
      <c r="G3223" s="27" t="str">
        <f t="shared" si="102"/>
        <v>2512 HUNTINGTON DR  PASADENA</v>
      </c>
      <c r="H3223" s="27" t="str">
        <f t="shared" si="103"/>
        <v>HOUSTON TX 77506</v>
      </c>
    </row>
    <row r="3224" spans="1:8" x14ac:dyDescent="0.2">
      <c r="A3224" s="27">
        <f>COUNTIFS(C:C,C3224,D:D,D3224)</f>
        <v>1</v>
      </c>
      <c r="B3224" s="30">
        <v>202101232291</v>
      </c>
      <c r="C3224" t="s">
        <v>7520</v>
      </c>
      <c r="D3224" t="s">
        <v>7521</v>
      </c>
      <c r="E3224" t="s">
        <v>4850</v>
      </c>
      <c r="F3224" t="s">
        <v>98</v>
      </c>
      <c r="G3224" s="27" t="str">
        <f t="shared" si="102"/>
        <v>12118 POMPTON DR  HOUSTON</v>
      </c>
      <c r="H3224" s="27" t="str">
        <f t="shared" si="103"/>
        <v>HOUSTON TX 77089</v>
      </c>
    </row>
    <row r="3225" spans="1:8" x14ac:dyDescent="0.2">
      <c r="A3225" s="27">
        <f>COUNTIFS(C:C,C3225,D:D,D3225)</f>
        <v>1</v>
      </c>
      <c r="B3225" s="30">
        <v>202101232304</v>
      </c>
      <c r="C3225" t="s">
        <v>7522</v>
      </c>
      <c r="D3225" t="s">
        <v>7523</v>
      </c>
      <c r="E3225" t="s">
        <v>5225</v>
      </c>
      <c r="F3225" t="s">
        <v>53</v>
      </c>
      <c r="G3225" s="27" t="str">
        <f t="shared" si="102"/>
        <v>6721 WESTCHESTER  HOUSTON</v>
      </c>
      <c r="H3225" s="27" t="str">
        <f t="shared" si="103"/>
        <v>HOUSTON TX 77005</v>
      </c>
    </row>
    <row r="3226" spans="1:8" x14ac:dyDescent="0.2">
      <c r="A3226" s="27">
        <f>COUNTIFS(C:C,C3226,D:D,D3226)</f>
        <v>1</v>
      </c>
      <c r="B3226" s="30">
        <v>202101232308</v>
      </c>
      <c r="C3226" t="s">
        <v>7524</v>
      </c>
      <c r="D3226" t="s">
        <v>7525</v>
      </c>
      <c r="E3226" t="s">
        <v>4901</v>
      </c>
      <c r="F3226" t="s">
        <v>97</v>
      </c>
      <c r="G3226" s="27" t="str">
        <f t="shared" si="102"/>
        <v>10555 SPICE LN 1701  HOUSTON</v>
      </c>
      <c r="H3226" s="27" t="str">
        <f t="shared" si="103"/>
        <v>HOUSTON TX 77072</v>
      </c>
    </row>
    <row r="3227" spans="1:8" x14ac:dyDescent="0.2">
      <c r="A3227" s="27">
        <f>COUNTIFS(C:C,C3227,D:D,D3227)</f>
        <v>1</v>
      </c>
      <c r="B3227" s="30">
        <v>202101232309</v>
      </c>
      <c r="C3227" t="s">
        <v>7456</v>
      </c>
      <c r="D3227" t="s">
        <v>7457</v>
      </c>
      <c r="E3227" t="s">
        <v>7458</v>
      </c>
      <c r="F3227" t="s">
        <v>88</v>
      </c>
      <c r="G3227" s="27" t="str">
        <f t="shared" si="102"/>
        <v>12221 S KIRKWOOD RD  MEADOWS PL</v>
      </c>
      <c r="H3227" s="27" t="str">
        <f t="shared" si="103"/>
        <v>HOUSTON TX 77477</v>
      </c>
    </row>
    <row r="3228" spans="1:8" x14ac:dyDescent="0.2">
      <c r="A3228" s="27">
        <f>COUNTIFS(C:C,C3228,D:D,D3228)</f>
        <v>1</v>
      </c>
      <c r="B3228" s="30">
        <v>202101232310</v>
      </c>
      <c r="C3228" t="s">
        <v>7384</v>
      </c>
      <c r="D3228" t="s">
        <v>7385</v>
      </c>
      <c r="E3228" t="s">
        <v>4866</v>
      </c>
      <c r="F3228" t="s">
        <v>53</v>
      </c>
      <c r="G3228" s="27" t="str">
        <f t="shared" si="102"/>
        <v>6212 NORTHLINE DR  HOUSTON</v>
      </c>
      <c r="H3228" s="27" t="str">
        <f t="shared" si="103"/>
        <v>HOUSTON TX 77076</v>
      </c>
    </row>
    <row r="3229" spans="1:8" x14ac:dyDescent="0.2">
      <c r="A3229" s="27">
        <f>COUNTIFS(C:C,C3229,D:D,D3229)</f>
        <v>1</v>
      </c>
      <c r="B3229" s="30">
        <v>202101232312</v>
      </c>
      <c r="C3229" t="s">
        <v>7412</v>
      </c>
      <c r="D3229" t="s">
        <v>7413</v>
      </c>
      <c r="E3229" t="s">
        <v>4956</v>
      </c>
      <c r="F3229" t="s">
        <v>88</v>
      </c>
      <c r="G3229" s="27" t="str">
        <f t="shared" si="102"/>
        <v>4006 BYTRAIL CT  HUMBLE</v>
      </c>
      <c r="H3229" s="27" t="str">
        <f t="shared" si="103"/>
        <v>HOUSTON TX 77346</v>
      </c>
    </row>
    <row r="3230" spans="1:8" x14ac:dyDescent="0.2">
      <c r="A3230" s="27">
        <f>COUNTIFS(C:C,C3230,D:D,D3230)</f>
        <v>1</v>
      </c>
      <c r="B3230" s="30">
        <v>202101232314</v>
      </c>
      <c r="C3230" t="s">
        <v>7526</v>
      </c>
      <c r="D3230" t="s">
        <v>7527</v>
      </c>
      <c r="E3230" t="s">
        <v>4989</v>
      </c>
      <c r="F3230" t="s">
        <v>88</v>
      </c>
      <c r="G3230" s="27" t="str">
        <f t="shared" si="102"/>
        <v>416 SUMMER PLACE CT  LEAGUE CIT</v>
      </c>
      <c r="H3230" s="27" t="str">
        <f t="shared" si="103"/>
        <v>HOUSTON TX 77573</v>
      </c>
    </row>
    <row r="3231" spans="1:8" x14ac:dyDescent="0.2">
      <c r="A3231" s="27">
        <f>COUNTIFS(C:C,C3231,D:D,D3231)</f>
        <v>1</v>
      </c>
      <c r="B3231" s="30">
        <v>202101232316</v>
      </c>
      <c r="C3231" t="s">
        <v>7528</v>
      </c>
      <c r="D3231" t="s">
        <v>7529</v>
      </c>
      <c r="E3231" t="s">
        <v>4866</v>
      </c>
      <c r="F3231" t="s">
        <v>88</v>
      </c>
      <c r="G3231" s="27" t="str">
        <f t="shared" si="102"/>
        <v>1113 WELLINGTON ST  HOUSTON</v>
      </c>
      <c r="H3231" s="27" t="str">
        <f t="shared" si="103"/>
        <v>HOUSTON TX 77076</v>
      </c>
    </row>
    <row r="3232" spans="1:8" x14ac:dyDescent="0.2">
      <c r="A3232" s="27">
        <f>COUNTIFS(C:C,C3232,D:D,D3232)</f>
        <v>1</v>
      </c>
      <c r="B3232" s="30">
        <v>202101232319</v>
      </c>
      <c r="C3232" t="s">
        <v>7382</v>
      </c>
      <c r="D3232" t="s">
        <v>7383</v>
      </c>
      <c r="E3232" t="s">
        <v>5022</v>
      </c>
      <c r="F3232" t="s">
        <v>88</v>
      </c>
      <c r="G3232" s="27" t="str">
        <f t="shared" si="102"/>
        <v>1202 AVE E  CLEVELAND</v>
      </c>
      <c r="H3232" s="27" t="str">
        <f t="shared" si="103"/>
        <v>HOUSTON TX 77327</v>
      </c>
    </row>
    <row r="3233" spans="1:8" x14ac:dyDescent="0.2">
      <c r="A3233" s="27">
        <f>COUNTIFS(C:C,C3233,D:D,D3233)</f>
        <v>1</v>
      </c>
      <c r="B3233" s="30">
        <v>202101232322</v>
      </c>
      <c r="C3233" t="s">
        <v>7398</v>
      </c>
      <c r="D3233" t="s">
        <v>7399</v>
      </c>
      <c r="E3233" t="s">
        <v>4906</v>
      </c>
      <c r="F3233" t="s">
        <v>88</v>
      </c>
      <c r="G3233" s="27" t="str">
        <f t="shared" si="102"/>
        <v>610 KEITH AVE  PASADENA</v>
      </c>
      <c r="H3233" s="27" t="str">
        <f t="shared" si="103"/>
        <v>HOUSTON TX 77504</v>
      </c>
    </row>
    <row r="3234" spans="1:8" x14ac:dyDescent="0.2">
      <c r="A3234" s="27">
        <f>COUNTIFS(C:C,C3234,D:D,D3234)</f>
        <v>1</v>
      </c>
      <c r="B3234" s="30">
        <v>202101232323</v>
      </c>
      <c r="C3234" t="s">
        <v>7530</v>
      </c>
      <c r="D3234" t="s">
        <v>7531</v>
      </c>
      <c r="E3234" t="s">
        <v>4970</v>
      </c>
      <c r="F3234" t="s">
        <v>53</v>
      </c>
      <c r="G3234" s="27" t="str">
        <f t="shared" si="102"/>
        <v>6200 W BELLFORT AVE 105 HOUSTON</v>
      </c>
      <c r="H3234" s="27" t="str">
        <f t="shared" si="103"/>
        <v>HOUSTON TX 77096</v>
      </c>
    </row>
    <row r="3235" spans="1:8" x14ac:dyDescent="0.2">
      <c r="A3235" s="27">
        <f>COUNTIFS(C:C,C3235,D:D,D3235)</f>
        <v>1</v>
      </c>
      <c r="B3235" s="30">
        <v>202101232330</v>
      </c>
      <c r="C3235" t="s">
        <v>7418</v>
      </c>
      <c r="D3235" t="s">
        <v>7419</v>
      </c>
      <c r="E3235" t="s">
        <v>4898</v>
      </c>
      <c r="F3235" t="s">
        <v>90</v>
      </c>
      <c r="G3235" s="27" t="str">
        <f t="shared" si="102"/>
        <v>8010 WETHERBY LN  HOUSTON</v>
      </c>
      <c r="H3235" s="27" t="str">
        <f t="shared" si="103"/>
        <v>HOUSTON TX 77075</v>
      </c>
    </row>
    <row r="3236" spans="1:8" x14ac:dyDescent="0.2">
      <c r="A3236" s="27">
        <f>COUNTIFS(C:C,C3236,D:D,D3236)</f>
        <v>1</v>
      </c>
      <c r="B3236" s="30">
        <v>202101232331</v>
      </c>
      <c r="C3236" t="s">
        <v>7534</v>
      </c>
      <c r="D3236" t="s">
        <v>7535</v>
      </c>
      <c r="E3236" t="s">
        <v>4977</v>
      </c>
      <c r="F3236" t="s">
        <v>88</v>
      </c>
      <c r="G3236" s="27" t="str">
        <f t="shared" si="102"/>
        <v>777 BERING DR 714B  HOUSTON</v>
      </c>
      <c r="H3236" s="27" t="str">
        <f t="shared" si="103"/>
        <v>HOUSTON TX 77057</v>
      </c>
    </row>
    <row r="3237" spans="1:8" x14ac:dyDescent="0.2">
      <c r="A3237" s="27">
        <f>COUNTIFS(C:C,C3237,D:D,D3237)</f>
        <v>1</v>
      </c>
      <c r="B3237" s="30">
        <v>202101232334</v>
      </c>
      <c r="C3237" t="s">
        <v>7288</v>
      </c>
      <c r="D3237" t="s">
        <v>7289</v>
      </c>
      <c r="E3237" t="s">
        <v>4906</v>
      </c>
      <c r="F3237" t="s">
        <v>328</v>
      </c>
      <c r="G3237" s="27" t="str">
        <f t="shared" si="102"/>
        <v>402 GARNER  PASADENA</v>
      </c>
      <c r="H3237" s="27" t="str">
        <f t="shared" si="103"/>
        <v>HOUSTON TX 77504</v>
      </c>
    </row>
    <row r="3238" spans="1:8" x14ac:dyDescent="0.2">
      <c r="A3238" s="27">
        <f>COUNTIFS(C:C,C3238,D:D,D3238)</f>
        <v>1</v>
      </c>
      <c r="B3238" s="30">
        <v>202101232345</v>
      </c>
      <c r="C3238" t="s">
        <v>7342</v>
      </c>
      <c r="D3238" t="s">
        <v>7343</v>
      </c>
      <c r="E3238" t="s">
        <v>4944</v>
      </c>
      <c r="F3238" t="s">
        <v>335</v>
      </c>
      <c r="G3238" s="27" t="str">
        <f t="shared" si="102"/>
        <v>200 KELLINGTON DR  KINGWOOD</v>
      </c>
      <c r="H3238" s="27" t="str">
        <f t="shared" si="103"/>
        <v>HOUSTON TX 77339</v>
      </c>
    </row>
    <row r="3239" spans="1:8" x14ac:dyDescent="0.2">
      <c r="A3239" s="27">
        <f>COUNTIFS(C:C,C3239,D:D,D3239)</f>
        <v>1</v>
      </c>
      <c r="B3239" s="30">
        <v>202101232354</v>
      </c>
      <c r="C3239" t="s">
        <v>7380</v>
      </c>
      <c r="D3239" t="s">
        <v>7381</v>
      </c>
      <c r="E3239" t="s">
        <v>4854</v>
      </c>
      <c r="F3239" t="s">
        <v>88</v>
      </c>
      <c r="G3239" s="27" t="str">
        <f t="shared" si="102"/>
        <v>4814 CAVALCADE ST  HOUSTON</v>
      </c>
      <c r="H3239" s="27" t="str">
        <f t="shared" si="103"/>
        <v>HOUSTON TX 77026</v>
      </c>
    </row>
    <row r="3240" spans="1:8" x14ac:dyDescent="0.2">
      <c r="A3240" s="27">
        <f>COUNTIFS(C:C,C3240,D:D,D3240)</f>
        <v>1</v>
      </c>
      <c r="B3240" s="30">
        <v>202101232361</v>
      </c>
      <c r="C3240" t="s">
        <v>7446</v>
      </c>
      <c r="D3240" t="s">
        <v>7536</v>
      </c>
      <c r="E3240" t="s">
        <v>4932</v>
      </c>
      <c r="F3240" t="s">
        <v>88</v>
      </c>
      <c r="G3240" s="27" t="str">
        <f t="shared" si="102"/>
        <v>4000 WATONGA BLVD 24 01 HOUSTON</v>
      </c>
      <c r="H3240" s="27" t="str">
        <f t="shared" si="103"/>
        <v>HOUSTON TX 77092</v>
      </c>
    </row>
    <row r="3241" spans="1:8" x14ac:dyDescent="0.2">
      <c r="A3241" s="27">
        <f>COUNTIFS(C:C,C3241,D:D,D3241)</f>
        <v>1</v>
      </c>
      <c r="B3241" s="30">
        <v>202101232366</v>
      </c>
      <c r="C3241" t="s">
        <v>7394</v>
      </c>
      <c r="D3241" t="s">
        <v>7395</v>
      </c>
      <c r="E3241" t="s">
        <v>4852</v>
      </c>
      <c r="F3241" t="s">
        <v>88</v>
      </c>
      <c r="G3241" s="27" t="str">
        <f t="shared" si="102"/>
        <v>6631 HOPPER  HOUSTON</v>
      </c>
      <c r="H3241" s="27" t="str">
        <f t="shared" si="103"/>
        <v>HOUSTON TX 77016</v>
      </c>
    </row>
    <row r="3242" spans="1:8" x14ac:dyDescent="0.2">
      <c r="A3242" s="27">
        <f>COUNTIFS(C:C,C3242,D:D,D3242)</f>
        <v>1</v>
      </c>
      <c r="B3242" s="30">
        <v>202101232367</v>
      </c>
      <c r="C3242" t="s">
        <v>7461</v>
      </c>
      <c r="D3242" t="s">
        <v>7462</v>
      </c>
      <c r="E3242" t="s">
        <v>7463</v>
      </c>
      <c r="F3242" t="s">
        <v>90</v>
      </c>
      <c r="G3242" s="27" t="str">
        <f t="shared" si="102"/>
        <v>511 MISTYWOOD DR  HARRIS CO</v>
      </c>
      <c r="H3242" s="27" t="str">
        <f t="shared" si="103"/>
        <v>HOUSTON TX 77090</v>
      </c>
    </row>
    <row r="3243" spans="1:8" x14ac:dyDescent="0.2">
      <c r="A3243" s="27">
        <f>COUNTIFS(C:C,C3243,D:D,D3243)</f>
        <v>1</v>
      </c>
      <c r="B3243" s="30">
        <v>202101232368</v>
      </c>
      <c r="C3243" t="s">
        <v>7477</v>
      </c>
      <c r="D3243" t="s">
        <v>7478</v>
      </c>
      <c r="E3243" t="s">
        <v>4977</v>
      </c>
      <c r="F3243" t="s">
        <v>88</v>
      </c>
      <c r="G3243" s="27" t="str">
        <f t="shared" si="102"/>
        <v>1415 S VOSS STE 437  HOUSTON</v>
      </c>
      <c r="H3243" s="27" t="str">
        <f t="shared" si="103"/>
        <v>HOUSTON TX 77057</v>
      </c>
    </row>
    <row r="3244" spans="1:8" x14ac:dyDescent="0.2">
      <c r="A3244" s="27">
        <f>COUNTIFS(C:C,C3244,D:D,D3244)</f>
        <v>1</v>
      </c>
      <c r="B3244" s="30">
        <v>202101232369</v>
      </c>
      <c r="C3244" t="s">
        <v>7537</v>
      </c>
      <c r="D3244" t="s">
        <v>7538</v>
      </c>
      <c r="E3244" t="s">
        <v>7539</v>
      </c>
      <c r="F3244" t="s">
        <v>89</v>
      </c>
      <c r="G3244" s="27" t="str">
        <f t="shared" si="102"/>
        <v>4415 S SHAVER ST 107  HOUSTON</v>
      </c>
      <c r="H3244" s="27" t="str">
        <f t="shared" si="103"/>
        <v>HOUSTON TX 77504</v>
      </c>
    </row>
    <row r="3245" spans="1:8" x14ac:dyDescent="0.2">
      <c r="A3245" s="27">
        <f>COUNTIFS(C:C,C3245,D:D,D3245)</f>
        <v>1</v>
      </c>
      <c r="B3245" s="30">
        <v>202101232370</v>
      </c>
      <c r="C3245" t="s">
        <v>7540</v>
      </c>
      <c r="D3245" t="s">
        <v>7541</v>
      </c>
      <c r="E3245" t="s">
        <v>4858</v>
      </c>
      <c r="F3245" t="s">
        <v>90</v>
      </c>
      <c r="G3245" s="27" t="str">
        <f t="shared" si="102"/>
        <v>1018 FUCHSIA DR  RICHMOND</v>
      </c>
      <c r="H3245" s="27" t="str">
        <f t="shared" si="103"/>
        <v>HOUSTON TX 77469</v>
      </c>
    </row>
    <row r="3246" spans="1:8" x14ac:dyDescent="0.2">
      <c r="A3246" s="27">
        <f>COUNTIFS(C:C,C3246,D:D,D3246)</f>
        <v>1</v>
      </c>
      <c r="B3246" s="30">
        <v>202101232371</v>
      </c>
      <c r="C3246" t="s">
        <v>7396</v>
      </c>
      <c r="D3246" t="s">
        <v>7397</v>
      </c>
      <c r="E3246" t="s">
        <v>4851</v>
      </c>
      <c r="F3246" t="s">
        <v>91</v>
      </c>
      <c r="G3246" s="27" t="str">
        <f t="shared" si="102"/>
        <v>8230 WADE RD  BAYTOWN</v>
      </c>
      <c r="H3246" s="27" t="str">
        <f t="shared" si="103"/>
        <v>HOUSTON TX 77521</v>
      </c>
    </row>
    <row r="3247" spans="1:8" x14ac:dyDescent="0.2">
      <c r="A3247" s="27">
        <f>COUNTIFS(C:C,C3247,D:D,D3247)</f>
        <v>1</v>
      </c>
      <c r="B3247" s="30">
        <v>202101232376</v>
      </c>
      <c r="C3247" t="s">
        <v>7542</v>
      </c>
      <c r="D3247" t="s">
        <v>7543</v>
      </c>
      <c r="E3247" t="s">
        <v>7544</v>
      </c>
      <c r="F3247" t="s">
        <v>90</v>
      </c>
      <c r="G3247" s="27" t="str">
        <f t="shared" si="102"/>
        <v>3788 RICHMOND AVE  HOUSTON</v>
      </c>
      <c r="H3247" s="27" t="str">
        <f t="shared" si="103"/>
        <v>HOUSTON TX 77046</v>
      </c>
    </row>
    <row r="3248" spans="1:8" x14ac:dyDescent="0.2">
      <c r="A3248" s="27">
        <f>COUNTIFS(C:C,C3248,D:D,D3248)</f>
        <v>1</v>
      </c>
      <c r="B3248" s="30">
        <v>202101232383</v>
      </c>
      <c r="C3248" t="s">
        <v>7450</v>
      </c>
      <c r="D3248" t="s">
        <v>7451</v>
      </c>
      <c r="E3248" t="s">
        <v>5225</v>
      </c>
      <c r="F3248" t="s">
        <v>53</v>
      </c>
      <c r="G3248" s="27" t="str">
        <f t="shared" si="102"/>
        <v>2222 SMITH ST  HOUSTON</v>
      </c>
      <c r="H3248" s="27" t="str">
        <f t="shared" si="103"/>
        <v>HOUSTON TX 77005</v>
      </c>
    </row>
    <row r="3249" spans="1:8" x14ac:dyDescent="0.2">
      <c r="A3249" s="27">
        <f>COUNTIFS(C:C,C3249,D:D,D3249)</f>
        <v>1</v>
      </c>
      <c r="B3249" s="30">
        <v>202101232387</v>
      </c>
      <c r="C3249" t="s">
        <v>7545</v>
      </c>
      <c r="D3249" t="s">
        <v>7546</v>
      </c>
      <c r="E3249" t="s">
        <v>4855</v>
      </c>
      <c r="F3249" t="s">
        <v>88</v>
      </c>
      <c r="G3249" s="27" t="str">
        <f t="shared" si="102"/>
        <v>9393 TIDWELL RD 2512  HOUSTON</v>
      </c>
      <c r="H3249" s="27" t="str">
        <f t="shared" si="103"/>
        <v>HOUSTON TX 77078</v>
      </c>
    </row>
    <row r="3250" spans="1:8" x14ac:dyDescent="0.2">
      <c r="A3250" s="27">
        <f>COUNTIFS(C:C,C3250,D:D,D3250)</f>
        <v>1</v>
      </c>
      <c r="B3250" s="30">
        <v>202101232392</v>
      </c>
      <c r="C3250" t="s">
        <v>7547</v>
      </c>
      <c r="D3250" t="s">
        <v>7548</v>
      </c>
      <c r="E3250" t="s">
        <v>7549</v>
      </c>
      <c r="F3250" t="s">
        <v>88</v>
      </c>
      <c r="G3250" s="27" t="str">
        <f t="shared" si="102"/>
        <v>101 MENDEZ RD  WILLIS</v>
      </c>
      <c r="H3250" s="27" t="str">
        <f t="shared" si="103"/>
        <v>HOUSTON TX 77375</v>
      </c>
    </row>
    <row r="3251" spans="1:8" x14ac:dyDescent="0.2">
      <c r="A3251" s="27">
        <f>COUNTIFS(C:C,C3251,D:D,D3251)</f>
        <v>1</v>
      </c>
      <c r="B3251" s="30">
        <v>202101232399</v>
      </c>
      <c r="C3251" t="s">
        <v>7390</v>
      </c>
      <c r="D3251" t="s">
        <v>7391</v>
      </c>
      <c r="E3251" t="s">
        <v>5063</v>
      </c>
      <c r="F3251" t="s">
        <v>88</v>
      </c>
      <c r="G3251" s="27" t="str">
        <f t="shared" si="102"/>
        <v>6526 BANTA DR  HOUSTON</v>
      </c>
      <c r="H3251" s="27" t="str">
        <f t="shared" si="103"/>
        <v>HOUSTON TX 77489</v>
      </c>
    </row>
    <row r="3252" spans="1:8" x14ac:dyDescent="0.2">
      <c r="A3252" s="27">
        <f>COUNTIFS(C:C,C3252,D:D,D3252)</f>
        <v>1</v>
      </c>
      <c r="B3252" s="30">
        <v>202101232401</v>
      </c>
      <c r="C3252" t="s">
        <v>7386</v>
      </c>
      <c r="D3252" t="s">
        <v>7387</v>
      </c>
      <c r="E3252" t="s">
        <v>4864</v>
      </c>
      <c r="F3252" t="s">
        <v>67</v>
      </c>
      <c r="G3252" s="27" t="str">
        <f t="shared" si="102"/>
        <v>722 ROUSE ST  HOUSTON</v>
      </c>
      <c r="H3252" s="27" t="str">
        <f t="shared" si="103"/>
        <v>HOUSTON TX 77020</v>
      </c>
    </row>
    <row r="3253" spans="1:8" x14ac:dyDescent="0.2">
      <c r="A3253" s="27">
        <f>COUNTIFS(C:C,C3253,D:D,D3253)</f>
        <v>1</v>
      </c>
      <c r="B3253" s="30">
        <v>202101232407</v>
      </c>
      <c r="C3253" t="s">
        <v>7030</v>
      </c>
      <c r="D3253" t="s">
        <v>7031</v>
      </c>
      <c r="E3253" t="s">
        <v>4988</v>
      </c>
      <c r="F3253" t="s">
        <v>7359</v>
      </c>
      <c r="G3253" s="27" t="str">
        <f t="shared" si="102"/>
        <v>16542 MORGAN RUN  MISSOURI C</v>
      </c>
      <c r="H3253" s="27" t="str">
        <f t="shared" si="103"/>
        <v>HOUSTON TX 77489</v>
      </c>
    </row>
    <row r="3254" spans="1:8" x14ac:dyDescent="0.2">
      <c r="A3254" s="27">
        <f>COUNTIFS(C:C,C3254,D:D,D3254)</f>
        <v>1</v>
      </c>
      <c r="B3254" s="30">
        <v>202101232413</v>
      </c>
      <c r="C3254" t="s">
        <v>7485</v>
      </c>
      <c r="D3254" t="s">
        <v>7486</v>
      </c>
      <c r="E3254" t="s">
        <v>7125</v>
      </c>
      <c r="F3254" t="s">
        <v>98</v>
      </c>
      <c r="G3254" s="27" t="str">
        <f t="shared" si="102"/>
        <v>1303 MATAMOROS ST  MISSION</v>
      </c>
      <c r="H3254" s="27" t="str">
        <f t="shared" si="103"/>
        <v>HOUSTON TX 78572</v>
      </c>
    </row>
    <row r="3255" spans="1:8" x14ac:dyDescent="0.2">
      <c r="A3255" s="27">
        <f>COUNTIFS(C:C,C3255,D:D,D3255)</f>
        <v>1</v>
      </c>
      <c r="B3255" s="30">
        <v>202101232417</v>
      </c>
      <c r="C3255" t="s">
        <v>7556</v>
      </c>
      <c r="D3255" t="s">
        <v>7486</v>
      </c>
      <c r="E3255" t="s">
        <v>7557</v>
      </c>
      <c r="F3255" t="s">
        <v>98</v>
      </c>
      <c r="G3255" s="27" t="str">
        <f t="shared" si="102"/>
        <v>1303 MATAMOROS ST  HOUSTON</v>
      </c>
      <c r="H3255" s="27" t="str">
        <f t="shared" si="103"/>
        <v>HOUSTON TX 78572</v>
      </c>
    </row>
    <row r="3256" spans="1:8" x14ac:dyDescent="0.2">
      <c r="A3256" s="27">
        <f>COUNTIFS(C:C,C3256,D:D,D3256)</f>
        <v>1</v>
      </c>
      <c r="B3256" s="30">
        <v>202101232418</v>
      </c>
      <c r="C3256" t="s">
        <v>7558</v>
      </c>
      <c r="D3256" t="s">
        <v>7559</v>
      </c>
      <c r="E3256" t="s">
        <v>4900</v>
      </c>
      <c r="F3256" t="s">
        <v>90</v>
      </c>
      <c r="G3256" s="27" t="str">
        <f t="shared" si="102"/>
        <v>6808 HEARTHER HOLLOW DR KATY</v>
      </c>
      <c r="H3256" s="27" t="str">
        <f t="shared" si="103"/>
        <v>HOUSTON TX 77449</v>
      </c>
    </row>
    <row r="3257" spans="1:8" x14ac:dyDescent="0.2">
      <c r="A3257" s="27">
        <f>COUNTIFS(C:C,C3257,D:D,D3257)</f>
        <v>1</v>
      </c>
      <c r="B3257" s="30">
        <v>202101232420</v>
      </c>
      <c r="C3257" t="s">
        <v>7416</v>
      </c>
      <c r="D3257" t="s">
        <v>7417</v>
      </c>
      <c r="E3257" t="s">
        <v>5104</v>
      </c>
      <c r="F3257" t="s">
        <v>88</v>
      </c>
      <c r="G3257" s="27" t="str">
        <f t="shared" si="102"/>
        <v>6311 HEATHERBROOK DR  HOUSTON</v>
      </c>
      <c r="H3257" s="27" t="str">
        <f t="shared" si="103"/>
        <v>HOUSTON TX 77085</v>
      </c>
    </row>
    <row r="3258" spans="1:8" x14ac:dyDescent="0.2">
      <c r="A3258" s="27">
        <f>COUNTIFS(C:C,C3258,D:D,D3258)</f>
        <v>1</v>
      </c>
      <c r="B3258" s="30">
        <v>202101232421</v>
      </c>
      <c r="C3258" t="s">
        <v>7560</v>
      </c>
      <c r="D3258" t="s">
        <v>7561</v>
      </c>
      <c r="E3258" t="s">
        <v>7562</v>
      </c>
      <c r="F3258" t="s">
        <v>90</v>
      </c>
      <c r="G3258" s="27" t="str">
        <f t="shared" si="102"/>
        <v>7402 BLUE JAY DR  TEXAS CITY</v>
      </c>
      <c r="H3258" s="27" t="str">
        <f t="shared" si="103"/>
        <v>HOUSTON TX 77591</v>
      </c>
    </row>
    <row r="3259" spans="1:8" x14ac:dyDescent="0.2">
      <c r="A3259" s="27">
        <f>COUNTIFS(C:C,C3259,D:D,D3259)</f>
        <v>1</v>
      </c>
      <c r="B3259" s="30">
        <v>202101232422</v>
      </c>
      <c r="C3259" t="s">
        <v>7425</v>
      </c>
      <c r="D3259" t="s">
        <v>7426</v>
      </c>
      <c r="E3259" t="s">
        <v>4864</v>
      </c>
      <c r="F3259" t="s">
        <v>87</v>
      </c>
      <c r="G3259" s="27" t="str">
        <f t="shared" si="102"/>
        <v>903 WEST ST  HOUSTON</v>
      </c>
      <c r="H3259" s="27" t="str">
        <f t="shared" si="103"/>
        <v>HOUSTON TX 77020</v>
      </c>
    </row>
    <row r="3260" spans="1:8" x14ac:dyDescent="0.2">
      <c r="A3260" s="27">
        <f>COUNTIFS(C:C,C3260,D:D,D3260)</f>
        <v>1</v>
      </c>
      <c r="B3260" s="30">
        <v>202101232423</v>
      </c>
      <c r="C3260" t="s">
        <v>7367</v>
      </c>
      <c r="D3260" t="s">
        <v>7368</v>
      </c>
      <c r="E3260" t="s">
        <v>4936</v>
      </c>
      <c r="F3260" t="s">
        <v>88</v>
      </c>
      <c r="G3260" s="27" t="str">
        <f t="shared" si="102"/>
        <v>8106 ERIN CT  HOUSTON</v>
      </c>
      <c r="H3260" s="27" t="str">
        <f t="shared" si="103"/>
        <v>HOUSTON TX 77071</v>
      </c>
    </row>
    <row r="3261" spans="1:8" x14ac:dyDescent="0.2">
      <c r="A3261" s="27">
        <f>COUNTIFS(C:C,C3261,D:D,D3261)</f>
        <v>1</v>
      </c>
      <c r="B3261" s="30">
        <v>202101232424</v>
      </c>
      <c r="C3261" t="s">
        <v>7388</v>
      </c>
      <c r="D3261" t="s">
        <v>7389</v>
      </c>
      <c r="E3261" t="s">
        <v>4889</v>
      </c>
      <c r="F3261" t="s">
        <v>88</v>
      </c>
      <c r="G3261" s="27" t="str">
        <f t="shared" si="102"/>
        <v>2418 KENBRIGE  HOUSTON</v>
      </c>
      <c r="H3261" s="27" t="str">
        <f t="shared" si="103"/>
        <v>HOUSTON TX 77067</v>
      </c>
    </row>
    <row r="3262" spans="1:8" x14ac:dyDescent="0.2">
      <c r="A3262" s="27">
        <f>COUNTIFS(C:C,C3262,D:D,D3262)</f>
        <v>1</v>
      </c>
      <c r="B3262" s="30">
        <v>202101232428</v>
      </c>
      <c r="C3262" t="s">
        <v>7402</v>
      </c>
      <c r="D3262" t="s">
        <v>7403</v>
      </c>
      <c r="E3262" t="s">
        <v>4901</v>
      </c>
      <c r="F3262" t="s">
        <v>79</v>
      </c>
      <c r="G3262" s="27" t="str">
        <f t="shared" si="102"/>
        <v>8340 LEAMONT DR  HOUSTON</v>
      </c>
      <c r="H3262" s="27" t="str">
        <f t="shared" si="103"/>
        <v>HOUSTON TX 77072</v>
      </c>
    </row>
    <row r="3263" spans="1:8" x14ac:dyDescent="0.2">
      <c r="A3263" s="27">
        <f>COUNTIFS(C:C,C3263,D:D,D3263)</f>
        <v>1</v>
      </c>
      <c r="B3263" s="30">
        <v>202101232430</v>
      </c>
      <c r="C3263" t="s">
        <v>7563</v>
      </c>
      <c r="D3263" t="s">
        <v>7564</v>
      </c>
      <c r="E3263" t="s">
        <v>5209</v>
      </c>
      <c r="F3263" t="s">
        <v>79</v>
      </c>
      <c r="G3263" s="27" t="str">
        <f t="shared" si="102"/>
        <v>19920 FOXWOOD FOREST BLVD HARRIS CO</v>
      </c>
      <c r="H3263" s="27" t="str">
        <f t="shared" si="103"/>
        <v>HOUSTON TX 77338</v>
      </c>
    </row>
    <row r="3264" spans="1:8" x14ac:dyDescent="0.2">
      <c r="A3264" s="27">
        <f>COUNTIFS(C:C,C3264,D:D,D3264)</f>
        <v>1</v>
      </c>
      <c r="B3264" s="30">
        <v>202101232431</v>
      </c>
      <c r="C3264" t="s">
        <v>7429</v>
      </c>
      <c r="D3264" t="s">
        <v>7430</v>
      </c>
      <c r="E3264" t="s">
        <v>5008</v>
      </c>
      <c r="F3264" t="s">
        <v>90</v>
      </c>
      <c r="G3264" s="27" t="str">
        <f t="shared" si="102"/>
        <v>95 MEYER RD  HUFFMAN</v>
      </c>
      <c r="H3264" s="27" t="str">
        <f t="shared" si="103"/>
        <v>HOUSTON TX 77336</v>
      </c>
    </row>
    <row r="3265" spans="1:8" x14ac:dyDescent="0.2">
      <c r="A3265" s="27">
        <f>COUNTIFS(C:C,C3265,D:D,D3265)</f>
        <v>1</v>
      </c>
      <c r="B3265" s="30">
        <v>202101232432</v>
      </c>
      <c r="C3265" t="s">
        <v>7392</v>
      </c>
      <c r="D3265" t="s">
        <v>7393</v>
      </c>
      <c r="E3265" t="s">
        <v>4851</v>
      </c>
      <c r="F3265" t="s">
        <v>71</v>
      </c>
      <c r="G3265" s="27" t="str">
        <f t="shared" si="102"/>
        <v>913 CURRY ST  BAYTOWN</v>
      </c>
      <c r="H3265" s="27" t="str">
        <f t="shared" si="103"/>
        <v>HOUSTON TX 77521</v>
      </c>
    </row>
    <row r="3266" spans="1:8" x14ac:dyDescent="0.2">
      <c r="A3266" s="27">
        <f>COUNTIFS(C:C,C3266,D:D,D3266)</f>
        <v>1</v>
      </c>
      <c r="B3266" s="30">
        <v>202101232433</v>
      </c>
      <c r="C3266" t="s">
        <v>7567</v>
      </c>
      <c r="D3266" t="s">
        <v>7568</v>
      </c>
      <c r="E3266" t="s">
        <v>4865</v>
      </c>
      <c r="F3266" t="s">
        <v>88</v>
      </c>
      <c r="G3266" s="27" t="str">
        <f t="shared" si="102"/>
        <v>418 HICKORY POST LN  HOUSTON</v>
      </c>
      <c r="H3266" s="27" t="str">
        <f t="shared" si="103"/>
        <v xml:space="preserve">HOUSTON TX      </v>
      </c>
    </row>
    <row r="3267" spans="1:8" x14ac:dyDescent="0.2">
      <c r="A3267" s="27">
        <f>COUNTIFS(C:C,C3267,D:D,D3267)</f>
        <v>1</v>
      </c>
      <c r="B3267" s="30">
        <v>202101232434</v>
      </c>
      <c r="C3267" t="s">
        <v>7569</v>
      </c>
      <c r="D3267" t="s">
        <v>7570</v>
      </c>
      <c r="E3267" t="s">
        <v>7571</v>
      </c>
      <c r="F3267" t="s">
        <v>88</v>
      </c>
      <c r="G3267" s="27" t="str">
        <f t="shared" si="102"/>
        <v>29307 BRUSHY TRL  HOUSTON</v>
      </c>
      <c r="H3267" s="27" t="str">
        <f t="shared" si="103"/>
        <v>HOUSTON TX 77447</v>
      </c>
    </row>
    <row r="3268" spans="1:8" x14ac:dyDescent="0.2">
      <c r="A3268" s="27">
        <f>COUNTIFS(C:C,C3268,D:D,D3268)</f>
        <v>1</v>
      </c>
      <c r="B3268" s="30">
        <v>202101232435</v>
      </c>
      <c r="C3268" t="s">
        <v>7574</v>
      </c>
      <c r="D3268" t="s">
        <v>7575</v>
      </c>
      <c r="E3268" t="s">
        <v>5032</v>
      </c>
      <c r="F3268" t="s">
        <v>53</v>
      </c>
      <c r="G3268" s="27" t="str">
        <f t="shared" si="102"/>
        <v>1523B  HADDON STREET  HOUSTON</v>
      </c>
      <c r="H3268" s="27" t="str">
        <f t="shared" si="103"/>
        <v>HOUSTON TX 77006</v>
      </c>
    </row>
    <row r="3269" spans="1:8" x14ac:dyDescent="0.2">
      <c r="A3269" s="27">
        <f>COUNTIFS(C:C,C3269,D:D,D3269)</f>
        <v>1</v>
      </c>
      <c r="B3269" s="30">
        <v>202101232437</v>
      </c>
      <c r="C3269" t="s">
        <v>7438</v>
      </c>
      <c r="D3269" t="s">
        <v>7439</v>
      </c>
      <c r="E3269" t="s">
        <v>5033</v>
      </c>
      <c r="F3269" t="s">
        <v>7362</v>
      </c>
      <c r="G3269" s="27" t="str">
        <f t="shared" si="102"/>
        <v>18826 BERSCIA LN  KATY</v>
      </c>
      <c r="H3269" s="27" t="str">
        <f t="shared" si="103"/>
        <v>HOUSTON TX 77494</v>
      </c>
    </row>
    <row r="3270" spans="1:8" x14ac:dyDescent="0.2">
      <c r="A3270" s="27">
        <f>COUNTIFS(C:C,C3270,D:D,D3270)</f>
        <v>1</v>
      </c>
      <c r="B3270" s="30">
        <v>202101232438</v>
      </c>
      <c r="C3270" t="s">
        <v>7466</v>
      </c>
      <c r="D3270" t="s">
        <v>7467</v>
      </c>
      <c r="E3270" t="s">
        <v>4903</v>
      </c>
      <c r="F3270" t="s">
        <v>79</v>
      </c>
      <c r="G3270" s="27" t="str">
        <f t="shared" si="102"/>
        <v>16202 COYOTE RUN LN  CYPRESS</v>
      </c>
      <c r="H3270" s="27" t="str">
        <f t="shared" si="103"/>
        <v>HOUSTON TX 77433</v>
      </c>
    </row>
    <row r="3271" spans="1:8" x14ac:dyDescent="0.2">
      <c r="A3271" s="27">
        <f>COUNTIFS(C:C,C3271,D:D,D3271)</f>
        <v>1</v>
      </c>
      <c r="B3271" s="30">
        <v>202101232440</v>
      </c>
      <c r="C3271" t="s">
        <v>7472</v>
      </c>
      <c r="D3271" t="s">
        <v>7473</v>
      </c>
      <c r="E3271" t="s">
        <v>4901</v>
      </c>
      <c r="F3271" t="s">
        <v>67</v>
      </c>
      <c r="G3271" s="27" t="str">
        <f t="shared" si="102"/>
        <v>12823 HIGH STAR DR  HOUSTON</v>
      </c>
      <c r="H3271" s="27" t="str">
        <f t="shared" si="103"/>
        <v>HOUSTON TX 77072</v>
      </c>
    </row>
    <row r="3272" spans="1:8" x14ac:dyDescent="0.2">
      <c r="A3272" s="27">
        <f>COUNTIFS(C:C,C3272,D:D,D3272)</f>
        <v>1</v>
      </c>
      <c r="B3272" s="30">
        <v>202101232444</v>
      </c>
      <c r="C3272" t="s">
        <v>7446</v>
      </c>
      <c r="D3272" t="s">
        <v>7447</v>
      </c>
      <c r="E3272" t="s">
        <v>4891</v>
      </c>
      <c r="F3272" t="s">
        <v>51</v>
      </c>
      <c r="G3272" s="27" t="str">
        <f t="shared" si="102"/>
        <v>9002 SUNNYWOOD DR  HOUSTON</v>
      </c>
      <c r="H3272" s="27" t="str">
        <f t="shared" si="103"/>
        <v>HOUSTON TX 77088</v>
      </c>
    </row>
    <row r="3273" spans="1:8" x14ac:dyDescent="0.2">
      <c r="A3273" s="27">
        <f>COUNTIFS(C:C,C3273,D:D,D3273)</f>
        <v>1</v>
      </c>
      <c r="B3273" s="30">
        <v>202101232446</v>
      </c>
      <c r="C3273" t="s">
        <v>7576</v>
      </c>
      <c r="D3273" t="s">
        <v>7577</v>
      </c>
      <c r="E3273" t="s">
        <v>4908</v>
      </c>
      <c r="F3273" t="s">
        <v>90</v>
      </c>
      <c r="G3273" s="27" t="str">
        <f t="shared" si="102"/>
        <v>6611 SPRING LEAF DR  SPRING</v>
      </c>
      <c r="H3273" s="27" t="str">
        <f t="shared" si="103"/>
        <v>HOUSTON TX 77379</v>
      </c>
    </row>
    <row r="3274" spans="1:8" x14ac:dyDescent="0.2">
      <c r="A3274" s="27">
        <f>COUNTIFS(C:C,C3274,D:D,D3274)</f>
        <v>1</v>
      </c>
      <c r="B3274" s="30">
        <v>202101232447</v>
      </c>
      <c r="C3274" t="s">
        <v>7578</v>
      </c>
      <c r="D3274" t="s">
        <v>7579</v>
      </c>
      <c r="E3274" t="s">
        <v>5213</v>
      </c>
      <c r="F3274" t="s">
        <v>88</v>
      </c>
      <c r="G3274" s="27" t="str">
        <f t="shared" si="102"/>
        <v>8021 LEIGH RD  HITCHCOCK</v>
      </c>
      <c r="H3274" s="27" t="str">
        <f t="shared" si="103"/>
        <v>HOUSTON TX 77563</v>
      </c>
    </row>
    <row r="3275" spans="1:8" x14ac:dyDescent="0.2">
      <c r="A3275" s="27">
        <f>COUNTIFS(C:C,C3275,D:D,D3275)</f>
        <v>1</v>
      </c>
      <c r="B3275" s="30">
        <v>202101232449</v>
      </c>
      <c r="C3275" t="s">
        <v>7580</v>
      </c>
      <c r="D3275" t="s">
        <v>7581</v>
      </c>
      <c r="E3275" t="s">
        <v>4919</v>
      </c>
      <c r="F3275" t="s">
        <v>88</v>
      </c>
      <c r="G3275" s="27" t="str">
        <f t="shared" si="102"/>
        <v>5840 GLENMONT DR 92  HOUSTON</v>
      </c>
      <c r="H3275" s="27" t="str">
        <f t="shared" si="103"/>
        <v>HOUSTON TX 77081</v>
      </c>
    </row>
    <row r="3276" spans="1:8" x14ac:dyDescent="0.2">
      <c r="A3276" s="27">
        <f>COUNTIFS(C:C,C3276,D:D,D3276)</f>
        <v>1</v>
      </c>
      <c r="B3276" s="30">
        <v>202101232450</v>
      </c>
      <c r="C3276" t="s">
        <v>7582</v>
      </c>
      <c r="D3276" t="s">
        <v>7583</v>
      </c>
      <c r="E3276" t="s">
        <v>5034</v>
      </c>
      <c r="F3276" t="s">
        <v>88</v>
      </c>
      <c r="G3276" s="27" t="str">
        <f t="shared" si="102"/>
        <v>2838 LOCKERIDGE PINE S DR SPRING</v>
      </c>
      <c r="H3276" s="27" t="str">
        <f t="shared" si="103"/>
        <v>HOUSTON TX 77386</v>
      </c>
    </row>
    <row r="3277" spans="1:8" x14ac:dyDescent="0.2">
      <c r="A3277" s="27">
        <f>COUNTIFS(C:C,C3277,D:D,D3277)</f>
        <v>1</v>
      </c>
      <c r="B3277" s="30">
        <v>202101232453</v>
      </c>
      <c r="C3277" t="s">
        <v>7431</v>
      </c>
      <c r="D3277" t="s">
        <v>7432</v>
      </c>
      <c r="E3277" t="s">
        <v>4859</v>
      </c>
      <c r="F3277" t="s">
        <v>328</v>
      </c>
      <c r="G3277" s="27" t="str">
        <f t="shared" si="102"/>
        <v>545 NORTHAIRE DR  HOUSTON</v>
      </c>
      <c r="H3277" s="27" t="str">
        <f t="shared" si="103"/>
        <v>HOUSTON TX 77073</v>
      </c>
    </row>
    <row r="3278" spans="1:8" x14ac:dyDescent="0.2">
      <c r="A3278" s="27">
        <f>COUNTIFS(C:C,C3278,D:D,D3278)</f>
        <v>1</v>
      </c>
      <c r="B3278" s="30">
        <v>202101232454</v>
      </c>
      <c r="C3278" t="s">
        <v>7584</v>
      </c>
      <c r="D3278" t="s">
        <v>7585</v>
      </c>
      <c r="E3278" t="s">
        <v>4877</v>
      </c>
      <c r="F3278" t="s">
        <v>88</v>
      </c>
      <c r="G3278" s="27" t="str">
        <f t="shared" ref="G3278:G3341" si="104">D3278&amp;" "&amp;MID(E3278,1,FIND(" TX",E3278)-1)</f>
        <v>3707 BUTLER CT  MISSOURI C</v>
      </c>
      <c r="H3278" s="27" t="str">
        <f t="shared" ref="H3278:H3341" si="105">"HOUSTON "&amp;MID(E3278,FIND("TX",E3278),8)</f>
        <v>HOUSTON TX 77459</v>
      </c>
    </row>
    <row r="3279" spans="1:8" x14ac:dyDescent="0.2">
      <c r="A3279" s="27">
        <f>COUNTIFS(C:C,C3279,D:D,D3279)</f>
        <v>1</v>
      </c>
      <c r="B3279" s="30">
        <v>202101232455</v>
      </c>
      <c r="C3279" t="s">
        <v>7586</v>
      </c>
      <c r="D3279" t="s">
        <v>7587</v>
      </c>
      <c r="E3279" t="s">
        <v>7588</v>
      </c>
      <c r="F3279" t="s">
        <v>88</v>
      </c>
      <c r="G3279" s="27" t="str">
        <f t="shared" si="104"/>
        <v>17815 WOODSBURGH LN  HARRIS CO</v>
      </c>
      <c r="H3279" s="27" t="str">
        <f t="shared" si="105"/>
        <v>HOUSTON TX 77433</v>
      </c>
    </row>
    <row r="3280" spans="1:8" x14ac:dyDescent="0.2">
      <c r="A3280" s="27">
        <f>COUNTIFS(C:C,C3280,D:D,D3280)</f>
        <v>1</v>
      </c>
      <c r="B3280" s="30">
        <v>202101232456</v>
      </c>
      <c r="C3280" t="s">
        <v>7468</v>
      </c>
      <c r="D3280" t="s">
        <v>7469</v>
      </c>
      <c r="E3280" t="s">
        <v>4891</v>
      </c>
      <c r="F3280" t="s">
        <v>87</v>
      </c>
      <c r="G3280" s="27" t="str">
        <f t="shared" si="104"/>
        <v>10110 LOST TRAIL ST  HOUSTON</v>
      </c>
      <c r="H3280" s="27" t="str">
        <f t="shared" si="105"/>
        <v>HOUSTON TX 77088</v>
      </c>
    </row>
    <row r="3281" spans="1:8" x14ac:dyDescent="0.2">
      <c r="A3281" s="27">
        <f>COUNTIFS(C:C,C3281,D:D,D3281)</f>
        <v>1</v>
      </c>
      <c r="B3281" s="30">
        <v>202101232457</v>
      </c>
      <c r="C3281" t="s">
        <v>7589</v>
      </c>
      <c r="D3281" t="s">
        <v>7590</v>
      </c>
      <c r="E3281" t="s">
        <v>4982</v>
      </c>
      <c r="F3281" t="s">
        <v>51</v>
      </c>
      <c r="G3281" s="27" t="str">
        <f t="shared" si="104"/>
        <v>2611 DYLANS CROSSING DR HOUSTON</v>
      </c>
      <c r="H3281" s="27" t="str">
        <f t="shared" si="105"/>
        <v>HOUSTON TX 77038</v>
      </c>
    </row>
    <row r="3282" spans="1:8" x14ac:dyDescent="0.2">
      <c r="A3282" s="27">
        <f>COUNTIFS(C:C,C3282,D:D,D3282)</f>
        <v>1</v>
      </c>
      <c r="B3282" s="30">
        <v>202101232458</v>
      </c>
      <c r="C3282" t="s">
        <v>7427</v>
      </c>
      <c r="D3282" t="s">
        <v>7428</v>
      </c>
      <c r="E3282" t="s">
        <v>4851</v>
      </c>
      <c r="F3282" t="s">
        <v>88</v>
      </c>
      <c r="G3282" s="27" t="str">
        <f t="shared" si="104"/>
        <v>1522 SQUIRE DR  BAYTOWN</v>
      </c>
      <c r="H3282" s="27" t="str">
        <f t="shared" si="105"/>
        <v>HOUSTON TX 77521</v>
      </c>
    </row>
    <row r="3283" spans="1:8" x14ac:dyDescent="0.2">
      <c r="A3283" s="27">
        <f>COUNTIFS(C:C,C3283,D:D,D3283)</f>
        <v>1</v>
      </c>
      <c r="B3283" s="30">
        <v>202101232465</v>
      </c>
      <c r="C3283" t="s">
        <v>7591</v>
      </c>
      <c r="D3283" t="s">
        <v>7592</v>
      </c>
      <c r="E3283" t="s">
        <v>5157</v>
      </c>
      <c r="F3283" t="s">
        <v>53</v>
      </c>
      <c r="G3283" s="27" t="str">
        <f t="shared" si="104"/>
        <v>7105 OLD KATY RD APT 4405 HOUSTON</v>
      </c>
      <c r="H3283" s="27" t="str">
        <f t="shared" si="105"/>
        <v>HOUSTON TX 77024</v>
      </c>
    </row>
    <row r="3284" spans="1:8" x14ac:dyDescent="0.2">
      <c r="A3284" s="27">
        <f>COUNTIFS(C:C,C3284,D:D,D3284)</f>
        <v>1</v>
      </c>
      <c r="B3284" s="30">
        <v>202101232466</v>
      </c>
      <c r="C3284" t="s">
        <v>7593</v>
      </c>
      <c r="D3284" t="s">
        <v>7618</v>
      </c>
      <c r="E3284" t="s">
        <v>7617</v>
      </c>
      <c r="F3284" t="s">
        <v>79</v>
      </c>
      <c r="G3284" s="27" t="str">
        <f t="shared" si="104"/>
        <v>2334 LOYANNE DR HOUSTON</v>
      </c>
      <c r="H3284" s="27" t="str">
        <f t="shared" si="105"/>
        <v>HOUSTON TX 77373</v>
      </c>
    </row>
    <row r="3285" spans="1:8" x14ac:dyDescent="0.2">
      <c r="A3285" s="27">
        <f>COUNTIFS(C:C,C3285,D:D,D3285)</f>
        <v>1</v>
      </c>
      <c r="B3285" s="30">
        <v>202101232468</v>
      </c>
      <c r="C3285" t="s">
        <v>7475</v>
      </c>
      <c r="D3285" t="s">
        <v>7476</v>
      </c>
      <c r="E3285" t="s">
        <v>4865</v>
      </c>
      <c r="F3285" t="s">
        <v>67</v>
      </c>
      <c r="G3285" s="27" t="str">
        <f t="shared" si="104"/>
        <v>5715 BUCKOW DR  HOUSTON</v>
      </c>
      <c r="H3285" s="27" t="str">
        <f t="shared" si="105"/>
        <v xml:space="preserve">HOUSTON TX      </v>
      </c>
    </row>
    <row r="3286" spans="1:8" x14ac:dyDescent="0.2">
      <c r="A3286" s="27">
        <f>COUNTIFS(C:C,C3286,D:D,D3286)</f>
        <v>1</v>
      </c>
      <c r="B3286" s="30">
        <v>202101232475</v>
      </c>
      <c r="C3286" t="s">
        <v>7594</v>
      </c>
      <c r="D3286" t="s">
        <v>7595</v>
      </c>
      <c r="E3286" t="s">
        <v>4938</v>
      </c>
      <c r="F3286" t="s">
        <v>79</v>
      </c>
      <c r="G3286" s="27" t="str">
        <f t="shared" si="104"/>
        <v>8618 WERNER  HOUSTON</v>
      </c>
      <c r="H3286" s="27" t="str">
        <f t="shared" si="105"/>
        <v>HOUSTON TX 77037</v>
      </c>
    </row>
    <row r="3287" spans="1:8" x14ac:dyDescent="0.2">
      <c r="A3287" s="27">
        <f>COUNTIFS(C:C,C3287,D:D,D3287)</f>
        <v>1</v>
      </c>
      <c r="B3287" s="30">
        <v>202101232486</v>
      </c>
      <c r="C3287" t="s">
        <v>7596</v>
      </c>
      <c r="D3287" t="s">
        <v>7597</v>
      </c>
      <c r="E3287" t="s">
        <v>5025</v>
      </c>
      <c r="F3287" t="s">
        <v>7366</v>
      </c>
      <c r="G3287" s="27" t="str">
        <f t="shared" si="104"/>
        <v>24910 ROSSO STIPPLE T RAIL KATY</v>
      </c>
      <c r="H3287" s="27" t="str">
        <f t="shared" si="105"/>
        <v>HOUSTON TX 77493</v>
      </c>
    </row>
    <row r="3288" spans="1:8" x14ac:dyDescent="0.2">
      <c r="A3288" s="27">
        <f>COUNTIFS(C:C,C3288,D:D,D3288)</f>
        <v>1</v>
      </c>
      <c r="B3288" s="30">
        <v>202101232488</v>
      </c>
      <c r="C3288" t="s">
        <v>7464</v>
      </c>
      <c r="D3288" t="s">
        <v>7465</v>
      </c>
      <c r="E3288" t="s">
        <v>4850</v>
      </c>
      <c r="F3288" t="s">
        <v>79</v>
      </c>
      <c r="G3288" s="27" t="str">
        <f t="shared" si="104"/>
        <v>10922 RITOW  HOUSTON</v>
      </c>
      <c r="H3288" s="27" t="str">
        <f t="shared" si="105"/>
        <v>HOUSTON TX 77089</v>
      </c>
    </row>
    <row r="3289" spans="1:8" x14ac:dyDescent="0.2">
      <c r="A3289" s="27">
        <f>COUNTIFS(C:C,C3289,D:D,D3289)</f>
        <v>1</v>
      </c>
      <c r="B3289" s="30">
        <v>202101232495</v>
      </c>
      <c r="C3289" t="s">
        <v>7444</v>
      </c>
      <c r="D3289" t="s">
        <v>7445</v>
      </c>
      <c r="E3289" t="s">
        <v>4909</v>
      </c>
      <c r="F3289" t="s">
        <v>7888</v>
      </c>
      <c r="G3289" s="27" t="str">
        <f t="shared" si="104"/>
        <v>5637 MELANITE ST.  HOUSTON</v>
      </c>
      <c r="H3289" s="27" t="str">
        <f t="shared" si="105"/>
        <v>HOUSTON TX 77053</v>
      </c>
    </row>
    <row r="3290" spans="1:8" x14ac:dyDescent="0.2">
      <c r="A3290" s="27">
        <f>COUNTIFS(C:C,C3290,D:D,D3290)</f>
        <v>1</v>
      </c>
      <c r="B3290" s="30">
        <v>202101232496</v>
      </c>
      <c r="C3290" t="s">
        <v>7474</v>
      </c>
      <c r="D3290" t="s">
        <v>1964</v>
      </c>
      <c r="E3290" t="s">
        <v>5023</v>
      </c>
      <c r="F3290" t="s">
        <v>90</v>
      </c>
      <c r="G3290" s="27" t="str">
        <f t="shared" si="104"/>
        <v>8162 RICHMOND AVE  HOUSTON</v>
      </c>
      <c r="H3290" s="27" t="str">
        <f t="shared" si="105"/>
        <v>HOUSTON TX 77063</v>
      </c>
    </row>
    <row r="3291" spans="1:8" x14ac:dyDescent="0.2">
      <c r="A3291" s="27">
        <f>COUNTIFS(C:C,C3291,D:D,D3291)</f>
        <v>1</v>
      </c>
      <c r="B3291" s="30">
        <v>202101232498</v>
      </c>
      <c r="C3291" t="s">
        <v>7470</v>
      </c>
      <c r="D3291" t="s">
        <v>7471</v>
      </c>
      <c r="E3291" t="s">
        <v>4850</v>
      </c>
      <c r="F3291" t="s">
        <v>7362</v>
      </c>
      <c r="G3291" s="27" t="str">
        <f t="shared" si="104"/>
        <v>8323 RIVERBEND CANYO N LN HOUSTON</v>
      </c>
      <c r="H3291" s="27" t="str">
        <f t="shared" si="105"/>
        <v>HOUSTON TX 77089</v>
      </c>
    </row>
    <row r="3292" spans="1:8" x14ac:dyDescent="0.2">
      <c r="A3292" s="27">
        <f>COUNTIFS(C:C,C3292,D:D,D3292)</f>
        <v>1</v>
      </c>
      <c r="B3292" s="30">
        <v>202101232501</v>
      </c>
      <c r="C3292" t="s">
        <v>7491</v>
      </c>
      <c r="D3292" t="s">
        <v>7492</v>
      </c>
      <c r="E3292" t="s">
        <v>4856</v>
      </c>
      <c r="F3292" t="s">
        <v>51</v>
      </c>
      <c r="G3292" s="27" t="str">
        <f t="shared" si="104"/>
        <v>2018 SEIBER DR  HOUSTON</v>
      </c>
      <c r="H3292" s="27" t="str">
        <f t="shared" si="105"/>
        <v>HOUSTON TX 77017</v>
      </c>
    </row>
    <row r="3293" spans="1:8" x14ac:dyDescent="0.2">
      <c r="A3293" s="27">
        <f>COUNTIFS(C:C,C3293,D:D,D3293)</f>
        <v>1</v>
      </c>
      <c r="B3293" s="30">
        <v>202101232504</v>
      </c>
      <c r="C3293" t="s">
        <v>7454</v>
      </c>
      <c r="D3293" t="s">
        <v>7455</v>
      </c>
      <c r="E3293" t="s">
        <v>4891</v>
      </c>
      <c r="F3293" t="s">
        <v>80</v>
      </c>
      <c r="G3293" s="27" t="str">
        <f t="shared" si="104"/>
        <v>1086 MARJORIE ST  HOUSTON</v>
      </c>
      <c r="H3293" s="27" t="str">
        <f t="shared" si="105"/>
        <v>HOUSTON TX 77088</v>
      </c>
    </row>
    <row r="3294" spans="1:8" x14ac:dyDescent="0.2">
      <c r="A3294" s="27">
        <f>COUNTIFS(C:C,C3294,D:D,D3294)</f>
        <v>1</v>
      </c>
      <c r="B3294" s="30">
        <v>202101232510</v>
      </c>
      <c r="C3294" t="s">
        <v>7598</v>
      </c>
      <c r="D3294" t="s">
        <v>1087</v>
      </c>
      <c r="E3294" t="s">
        <v>4855</v>
      </c>
      <c r="F3294" t="s">
        <v>51</v>
      </c>
      <c r="G3294" s="27" t="str">
        <f t="shared" si="104"/>
        <v>10950 BEAUMONT HWY  HOUSTON</v>
      </c>
      <c r="H3294" s="27" t="str">
        <f t="shared" si="105"/>
        <v>HOUSTON TX 77078</v>
      </c>
    </row>
    <row r="3295" spans="1:8" x14ac:dyDescent="0.2">
      <c r="A3295" s="27">
        <f>COUNTIFS(C:C,C3295,D:D,D3295)</f>
        <v>1</v>
      </c>
      <c r="B3295" s="30">
        <v>202101232521</v>
      </c>
      <c r="C3295" t="s">
        <v>7601</v>
      </c>
      <c r="D3295" t="s">
        <v>7602</v>
      </c>
      <c r="E3295" t="s">
        <v>4998</v>
      </c>
      <c r="F3295" t="s">
        <v>90</v>
      </c>
      <c r="G3295" s="27" t="str">
        <f t="shared" si="104"/>
        <v>11319 SUMMER LAKE DR  MAGNOLIA</v>
      </c>
      <c r="H3295" s="27" t="str">
        <f t="shared" si="105"/>
        <v>HOUSTON TX 77354</v>
      </c>
    </row>
    <row r="3296" spans="1:8" x14ac:dyDescent="0.2">
      <c r="A3296" s="27">
        <f>COUNTIFS(C:C,C3296,D:D,D3296)</f>
        <v>1</v>
      </c>
      <c r="B3296" s="30">
        <v>202101237162</v>
      </c>
      <c r="C3296" t="s">
        <v>7499</v>
      </c>
      <c r="D3296" t="s">
        <v>7500</v>
      </c>
      <c r="E3296" t="s">
        <v>4893</v>
      </c>
      <c r="F3296" t="s">
        <v>187</v>
      </c>
      <c r="G3296" s="27" t="str">
        <f t="shared" si="104"/>
        <v>14334 BUFFALO SPEEDWA Y HOUSTON</v>
      </c>
      <c r="H3296" s="27" t="str">
        <f t="shared" si="105"/>
        <v>HOUSTON TX 77045</v>
      </c>
    </row>
    <row r="3297" spans="1:8" x14ac:dyDescent="0.2">
      <c r="A3297" s="27">
        <f>COUNTIFS(C:C,C3297,D:D,D3297)</f>
        <v>1</v>
      </c>
      <c r="B3297" s="30">
        <v>202101237245</v>
      </c>
      <c r="C3297" t="s">
        <v>7503</v>
      </c>
      <c r="D3297" t="s">
        <v>7504</v>
      </c>
      <c r="E3297" t="s">
        <v>5097</v>
      </c>
      <c r="F3297" t="s">
        <v>206</v>
      </c>
      <c r="G3297" s="27" t="str">
        <f t="shared" si="104"/>
        <v>2600 WESTRIDGE ST 36 1 HOUSTON</v>
      </c>
      <c r="H3297" s="27" t="str">
        <f t="shared" si="105"/>
        <v>HOUSTON TX 77054</v>
      </c>
    </row>
    <row r="3298" spans="1:8" x14ac:dyDescent="0.2">
      <c r="A3298" s="27">
        <f>COUNTIFS(C:C,C3298,D:D,D3298)</f>
        <v>1</v>
      </c>
      <c r="B3298" s="30">
        <v>202101237257</v>
      </c>
      <c r="C3298" t="s">
        <v>7493</v>
      </c>
      <c r="D3298" t="s">
        <v>7494</v>
      </c>
      <c r="E3298" t="s">
        <v>5178</v>
      </c>
      <c r="F3298" t="s">
        <v>7356</v>
      </c>
      <c r="G3298" s="27" t="str">
        <f t="shared" si="104"/>
        <v>19610 FM 362  WALLER</v>
      </c>
      <c r="H3298" s="27" t="str">
        <f t="shared" si="105"/>
        <v>HOUSTON TX 77484</v>
      </c>
    </row>
    <row r="3299" spans="1:8" x14ac:dyDescent="0.2">
      <c r="A3299" s="27">
        <f>COUNTIFS(C:C,C3299,D:D,D3299)</f>
        <v>1</v>
      </c>
      <c r="B3299" s="30">
        <v>202101237274</v>
      </c>
      <c r="C3299" t="s">
        <v>7375</v>
      </c>
      <c r="D3299" t="s">
        <v>7376</v>
      </c>
      <c r="E3299" t="s">
        <v>4872</v>
      </c>
      <c r="F3299" t="s">
        <v>215</v>
      </c>
      <c r="G3299" s="27" t="str">
        <f t="shared" si="104"/>
        <v>7600 E HOUSTON RD  HOUSTON</v>
      </c>
      <c r="H3299" s="27" t="str">
        <f t="shared" si="105"/>
        <v>HOUSTON TX 77028</v>
      </c>
    </row>
    <row r="3300" spans="1:8" x14ac:dyDescent="0.2">
      <c r="A3300" s="27">
        <f>COUNTIFS(C:C,C3300,D:D,D3300)</f>
        <v>1</v>
      </c>
      <c r="B3300" s="30">
        <v>202101237374</v>
      </c>
      <c r="C3300" t="s">
        <v>7371</v>
      </c>
      <c r="D3300" t="s">
        <v>7372</v>
      </c>
      <c r="E3300" t="s">
        <v>4939</v>
      </c>
      <c r="F3300" t="s">
        <v>194</v>
      </c>
      <c r="G3300" s="27" t="str">
        <f t="shared" si="104"/>
        <v>10326 CUTTING HORSE L N HOUSTON</v>
      </c>
      <c r="H3300" s="27" t="str">
        <f t="shared" si="105"/>
        <v>HOUSTON TX 77064</v>
      </c>
    </row>
    <row r="3301" spans="1:8" x14ac:dyDescent="0.2">
      <c r="A3301" s="27">
        <f>COUNTIFS(C:C,C3301,D:D,D3301)</f>
        <v>1</v>
      </c>
      <c r="B3301" s="30">
        <v>202101237398</v>
      </c>
      <c r="C3301" t="s">
        <v>7459</v>
      </c>
      <c r="D3301" t="s">
        <v>7460</v>
      </c>
      <c r="E3301" t="s">
        <v>4986</v>
      </c>
      <c r="F3301" t="s">
        <v>7364</v>
      </c>
      <c r="G3301" s="27" t="str">
        <f t="shared" si="104"/>
        <v>401 S BENDER AVE  HUMBLE</v>
      </c>
      <c r="H3301" s="27" t="str">
        <f t="shared" si="105"/>
        <v>HOUSTON TX 77338</v>
      </c>
    </row>
    <row r="3302" spans="1:8" x14ac:dyDescent="0.2">
      <c r="A3302" s="27">
        <f>COUNTIFS(C:C,C3302,D:D,D3302)</f>
        <v>1</v>
      </c>
      <c r="B3302" s="30">
        <v>202101237447</v>
      </c>
      <c r="C3302" t="s">
        <v>7078</v>
      </c>
      <c r="D3302" t="s">
        <v>7079</v>
      </c>
      <c r="E3302" t="s">
        <v>7080</v>
      </c>
      <c r="F3302" t="s">
        <v>7365</v>
      </c>
      <c r="G3302" s="27" t="str">
        <f t="shared" si="104"/>
        <v>1701 ROYAL LN  FARMERS BR</v>
      </c>
      <c r="H3302" s="27" t="str">
        <f t="shared" si="105"/>
        <v>HOUSTON TX 75229</v>
      </c>
    </row>
    <row r="3303" spans="1:8" x14ac:dyDescent="0.2">
      <c r="A3303" s="27">
        <f>COUNTIFS(C:C,C3303,D:D,D3303)</f>
        <v>1</v>
      </c>
      <c r="B3303" s="30">
        <v>202101237541</v>
      </c>
      <c r="C3303" t="s">
        <v>7532</v>
      </c>
      <c r="D3303" t="s">
        <v>7533</v>
      </c>
      <c r="E3303" t="s">
        <v>5023</v>
      </c>
      <c r="F3303" t="s">
        <v>224</v>
      </c>
      <c r="G3303" s="27" t="str">
        <f t="shared" si="104"/>
        <v>9100 WESTHEIMER RD S TE 233 HOUSTON</v>
      </c>
      <c r="H3303" s="27" t="str">
        <f t="shared" si="105"/>
        <v>HOUSTON TX 77063</v>
      </c>
    </row>
    <row r="3304" spans="1:8" x14ac:dyDescent="0.2">
      <c r="A3304" s="27">
        <f>COUNTIFS(C:C,C3304,D:D,D3304)</f>
        <v>1</v>
      </c>
      <c r="B3304" s="30">
        <v>202101237644</v>
      </c>
      <c r="C3304" t="s">
        <v>7550</v>
      </c>
      <c r="D3304" t="s">
        <v>7551</v>
      </c>
      <c r="E3304" t="s">
        <v>4919</v>
      </c>
      <c r="F3304" t="s">
        <v>241</v>
      </c>
      <c r="G3304" s="27" t="str">
        <f t="shared" si="104"/>
        <v>5401 CHIMNEY ROCK RD  HOUSTON</v>
      </c>
      <c r="H3304" s="27" t="str">
        <f t="shared" si="105"/>
        <v>HOUSTON TX 77081</v>
      </c>
    </row>
    <row r="3305" spans="1:8" x14ac:dyDescent="0.2">
      <c r="A3305" s="27">
        <f>COUNTIFS(C:C,C3305,D:D,D3305)</f>
        <v>1</v>
      </c>
      <c r="B3305" s="30">
        <v>202101237647</v>
      </c>
      <c r="C3305" t="s">
        <v>7306</v>
      </c>
      <c r="D3305" t="s">
        <v>7307</v>
      </c>
      <c r="E3305" t="s">
        <v>4863</v>
      </c>
      <c r="F3305" t="s">
        <v>6158</v>
      </c>
      <c r="G3305" s="27" t="str">
        <f t="shared" si="104"/>
        <v>26018 ORLEANS AVE  TOMBALL</v>
      </c>
      <c r="H3305" s="27" t="str">
        <f t="shared" si="105"/>
        <v>HOUSTON TX 77377</v>
      </c>
    </row>
    <row r="3306" spans="1:8" x14ac:dyDescent="0.2">
      <c r="A3306" s="27">
        <f>COUNTIFS(C:C,C3306,D:D,D3306)</f>
        <v>1</v>
      </c>
      <c r="B3306" s="30">
        <v>202101237648</v>
      </c>
      <c r="C3306" t="s">
        <v>7552</v>
      </c>
      <c r="D3306" t="s">
        <v>7553</v>
      </c>
      <c r="E3306" t="s">
        <v>4939</v>
      </c>
      <c r="F3306" t="s">
        <v>187</v>
      </c>
      <c r="G3306" s="27" t="str">
        <f t="shared" si="104"/>
        <v>9031 AUTUMNSONG DRIV E HOUSTON</v>
      </c>
      <c r="H3306" s="27" t="str">
        <f t="shared" si="105"/>
        <v>HOUSTON TX 77064</v>
      </c>
    </row>
    <row r="3307" spans="1:8" x14ac:dyDescent="0.2">
      <c r="A3307" s="27">
        <f>COUNTIFS(C:C,C3307,D:D,D3307)</f>
        <v>1</v>
      </c>
      <c r="B3307" s="30">
        <v>202101237650</v>
      </c>
      <c r="C3307" t="s">
        <v>7369</v>
      </c>
      <c r="D3307" t="s">
        <v>7370</v>
      </c>
      <c r="E3307" t="s">
        <v>4869</v>
      </c>
      <c r="F3307" t="s">
        <v>193</v>
      </c>
      <c r="G3307" s="27" t="str">
        <f t="shared" si="104"/>
        <v>804 MARTIN ST  HOUSTON</v>
      </c>
      <c r="H3307" s="27" t="str">
        <f t="shared" si="105"/>
        <v>HOUSTON TX 77018</v>
      </c>
    </row>
    <row r="3308" spans="1:8" x14ac:dyDescent="0.2">
      <c r="A3308" s="27">
        <f>COUNTIFS(C:C,C3308,D:D,D3308)</f>
        <v>1</v>
      </c>
      <c r="B3308" s="30">
        <v>202101237669</v>
      </c>
      <c r="C3308" t="s">
        <v>7435</v>
      </c>
      <c r="D3308" t="s">
        <v>7436</v>
      </c>
      <c r="E3308" t="s">
        <v>7437</v>
      </c>
      <c r="F3308" t="s">
        <v>207</v>
      </c>
      <c r="G3308" s="27" t="str">
        <f t="shared" si="104"/>
        <v>3502 ROOSEVELT DR  MIDLAND</v>
      </c>
      <c r="H3308" s="27" t="str">
        <f t="shared" si="105"/>
        <v>HOUSTON TX 79703</v>
      </c>
    </row>
    <row r="3309" spans="1:8" x14ac:dyDescent="0.2">
      <c r="A3309" s="27">
        <f>COUNTIFS(C:C,C3309,D:D,D3309)</f>
        <v>1</v>
      </c>
      <c r="B3309" s="30">
        <v>202101237679</v>
      </c>
      <c r="C3309" t="s">
        <v>7554</v>
      </c>
      <c r="D3309" t="s">
        <v>7555</v>
      </c>
      <c r="E3309" t="s">
        <v>4879</v>
      </c>
      <c r="F3309" t="s">
        <v>204</v>
      </c>
      <c r="G3309" s="27" t="str">
        <f t="shared" si="104"/>
        <v>6703 SEALEY ST  HOUSTON</v>
      </c>
      <c r="H3309" s="27" t="str">
        <f t="shared" si="105"/>
        <v>HOUSTON TX 77091</v>
      </c>
    </row>
    <row r="3310" spans="1:8" x14ac:dyDescent="0.2">
      <c r="A3310" s="27">
        <f>COUNTIFS(C:C,C3310,D:D,D3310)</f>
        <v>1</v>
      </c>
      <c r="B3310" s="30">
        <v>202101237687</v>
      </c>
      <c r="C3310" t="s">
        <v>7565</v>
      </c>
      <c r="D3310" t="s">
        <v>7566</v>
      </c>
      <c r="E3310" t="s">
        <v>5069</v>
      </c>
      <c r="F3310" t="s">
        <v>215</v>
      </c>
      <c r="G3310" s="27" t="str">
        <f t="shared" si="104"/>
        <v>4042 LAURA LEIGH LN  FRIENDSWOO</v>
      </c>
      <c r="H3310" s="27" t="str">
        <f t="shared" si="105"/>
        <v>HOUSTON TX 77546</v>
      </c>
    </row>
    <row r="3311" spans="1:8" x14ac:dyDescent="0.2">
      <c r="A3311" s="27">
        <f>COUNTIFS(C:C,C3311,D:D,D3311)</f>
        <v>1</v>
      </c>
      <c r="B3311" s="30">
        <v>202101237694</v>
      </c>
      <c r="C3311" t="s">
        <v>7572</v>
      </c>
      <c r="D3311" t="s">
        <v>7573</v>
      </c>
      <c r="E3311" t="s">
        <v>4879</v>
      </c>
      <c r="F3311" t="s">
        <v>200</v>
      </c>
      <c r="G3311" s="27" t="str">
        <f t="shared" si="104"/>
        <v>5300 DE SOTO ST APT 1408 HOUSTON</v>
      </c>
      <c r="H3311" s="27" t="str">
        <f t="shared" si="105"/>
        <v>HOUSTON TX 77091</v>
      </c>
    </row>
    <row r="3312" spans="1:8" x14ac:dyDescent="0.2">
      <c r="A3312" s="27">
        <f>COUNTIFS(C:C,C3312,D:D,D3312)</f>
        <v>1</v>
      </c>
      <c r="B3312" s="30">
        <v>202101237715</v>
      </c>
      <c r="C3312" t="s">
        <v>7420</v>
      </c>
      <c r="D3312" t="s">
        <v>7421</v>
      </c>
      <c r="E3312" t="s">
        <v>4854</v>
      </c>
      <c r="F3312" t="s">
        <v>185</v>
      </c>
      <c r="G3312" s="27" t="str">
        <f t="shared" si="104"/>
        <v>5517 MAKEIG ST  HOUSTON</v>
      </c>
      <c r="H3312" s="27" t="str">
        <f t="shared" si="105"/>
        <v>HOUSTON TX 77026</v>
      </c>
    </row>
    <row r="3313" spans="1:8" x14ac:dyDescent="0.2">
      <c r="A3313" s="27">
        <f>COUNTIFS(C:C,C3313,D:D,D3313)</f>
        <v>1</v>
      </c>
      <c r="B3313" s="30">
        <v>202101237717</v>
      </c>
      <c r="C3313" t="s">
        <v>7406</v>
      </c>
      <c r="D3313" t="s">
        <v>7407</v>
      </c>
      <c r="E3313" t="s">
        <v>4893</v>
      </c>
      <c r="F3313" t="s">
        <v>215</v>
      </c>
      <c r="G3313" s="27" t="str">
        <f t="shared" si="104"/>
        <v>13322 TOWNWOOD DR  HOUSTON</v>
      </c>
      <c r="H3313" s="27" t="str">
        <f t="shared" si="105"/>
        <v>HOUSTON TX 77045</v>
      </c>
    </row>
    <row r="3314" spans="1:8" x14ac:dyDescent="0.2">
      <c r="A3314" s="27">
        <f>COUNTIFS(C:C,C3314,D:D,D3314)</f>
        <v>1</v>
      </c>
      <c r="B3314" s="30">
        <v>202101237728</v>
      </c>
      <c r="C3314" t="s">
        <v>7479</v>
      </c>
      <c r="D3314" t="s">
        <v>7480</v>
      </c>
      <c r="E3314" t="s">
        <v>4930</v>
      </c>
      <c r="F3314" t="s">
        <v>239</v>
      </c>
      <c r="G3314" s="27" t="str">
        <f t="shared" si="104"/>
        <v>10410 MUSCATINE  JACINTO CI</v>
      </c>
      <c r="H3314" s="27" t="str">
        <f t="shared" si="105"/>
        <v>HOUSTON TX 77029</v>
      </c>
    </row>
    <row r="3315" spans="1:8" x14ac:dyDescent="0.2">
      <c r="A3315" s="27">
        <f>COUNTIFS(C:C,C3315,D:D,D3315)</f>
        <v>1</v>
      </c>
      <c r="B3315" s="30">
        <v>202101237758</v>
      </c>
      <c r="C3315" t="s">
        <v>7599</v>
      </c>
      <c r="D3315" t="s">
        <v>7600</v>
      </c>
      <c r="E3315" t="s">
        <v>4975</v>
      </c>
      <c r="F3315" t="s">
        <v>200</v>
      </c>
      <c r="G3315" s="27" t="str">
        <f t="shared" si="104"/>
        <v>10907 LARK BROOK LANE  HOUSTON</v>
      </c>
      <c r="H3315" s="27" t="str">
        <f t="shared" si="105"/>
        <v>HOUSTON TX 77065</v>
      </c>
    </row>
    <row r="3316" spans="1:8" x14ac:dyDescent="0.2">
      <c r="A3316" s="27">
        <f>COUNTIFS(C:C,C3316,D:D,D3316)</f>
        <v>1</v>
      </c>
      <c r="B3316" s="30">
        <v>202101242118</v>
      </c>
      <c r="C3316" t="s">
        <v>7788</v>
      </c>
      <c r="D3316" t="s">
        <v>5611</v>
      </c>
      <c r="E3316" t="s">
        <v>5032</v>
      </c>
      <c r="F3316" t="s">
        <v>64</v>
      </c>
      <c r="G3316" s="27" t="str">
        <f t="shared" si="104"/>
        <v>1111 LOVETT BLVD  HOUSTON</v>
      </c>
      <c r="H3316" s="27" t="str">
        <f t="shared" si="105"/>
        <v>HOUSTON TX 77006</v>
      </c>
    </row>
    <row r="3317" spans="1:8" x14ac:dyDescent="0.2">
      <c r="A3317" s="27">
        <f>COUNTIFS(C:C,C3317,D:D,D3317)</f>
        <v>1</v>
      </c>
      <c r="B3317" s="30">
        <v>202101242172</v>
      </c>
      <c r="C3317" t="s">
        <v>7757</v>
      </c>
      <c r="D3317" t="s">
        <v>1568</v>
      </c>
      <c r="E3317" t="s">
        <v>4935</v>
      </c>
      <c r="F3317" t="s">
        <v>7645</v>
      </c>
      <c r="G3317" s="27" t="str">
        <f t="shared" si="104"/>
        <v>2350 ATASCOCITA ROAD  HUMBLE</v>
      </c>
      <c r="H3317" s="27" t="str">
        <f t="shared" si="105"/>
        <v>HOUSTON TX 77396</v>
      </c>
    </row>
    <row r="3318" spans="1:8" x14ac:dyDescent="0.2">
      <c r="A3318" s="27">
        <f>COUNTIFS(C:C,C3318,D:D,D3318)</f>
        <v>1</v>
      </c>
      <c r="B3318" s="30">
        <v>202101242294</v>
      </c>
      <c r="C3318" t="s">
        <v>7780</v>
      </c>
      <c r="D3318" t="s">
        <v>7781</v>
      </c>
      <c r="E3318" t="s">
        <v>4989</v>
      </c>
      <c r="F3318" t="s">
        <v>7626</v>
      </c>
      <c r="G3318" s="27" t="str">
        <f t="shared" si="104"/>
        <v>4208 MASTERS  LEAGUE CIT</v>
      </c>
      <c r="H3318" s="27" t="str">
        <f t="shared" si="105"/>
        <v>HOUSTON TX 77573</v>
      </c>
    </row>
    <row r="3319" spans="1:8" x14ac:dyDescent="0.2">
      <c r="A3319" s="27">
        <f>COUNTIFS(C:C,C3319,D:D,D3319)</f>
        <v>1</v>
      </c>
      <c r="B3319" s="30">
        <v>202101242416</v>
      </c>
      <c r="C3319" t="s">
        <v>7801</v>
      </c>
      <c r="D3319" t="s">
        <v>5611</v>
      </c>
      <c r="E3319" t="s">
        <v>5032</v>
      </c>
      <c r="F3319" t="s">
        <v>64</v>
      </c>
      <c r="G3319" s="27" t="str">
        <f t="shared" si="104"/>
        <v>1111 LOVETT BLVD  HOUSTON</v>
      </c>
      <c r="H3319" s="27" t="str">
        <f t="shared" si="105"/>
        <v>HOUSTON TX 77006</v>
      </c>
    </row>
    <row r="3320" spans="1:8" x14ac:dyDescent="0.2">
      <c r="A3320" s="27">
        <f>COUNTIFS(C:C,C3320,D:D,D3320)</f>
        <v>1</v>
      </c>
      <c r="B3320" s="30">
        <v>202101242439</v>
      </c>
      <c r="C3320" t="s">
        <v>7823</v>
      </c>
      <c r="D3320" t="s">
        <v>7824</v>
      </c>
      <c r="E3320" t="s">
        <v>7825</v>
      </c>
      <c r="F3320" t="s">
        <v>78</v>
      </c>
      <c r="G3320" s="27" t="e">
        <f t="shared" si="104"/>
        <v>#VALUE!</v>
      </c>
      <c r="H3320" s="27" t="e">
        <f t="shared" si="105"/>
        <v>#VALUE!</v>
      </c>
    </row>
    <row r="3321" spans="1:8" x14ac:dyDescent="0.2">
      <c r="A3321" s="27">
        <f>COUNTIFS(C:C,C3321,D:D,D3321)</f>
        <v>1</v>
      </c>
      <c r="B3321" s="30">
        <v>202101242442</v>
      </c>
      <c r="C3321" t="s">
        <v>7697</v>
      </c>
      <c r="D3321" t="s">
        <v>7698</v>
      </c>
      <c r="E3321" t="s">
        <v>4856</v>
      </c>
      <c r="F3321" t="s">
        <v>72</v>
      </c>
      <c r="G3321" s="27" t="str">
        <f t="shared" si="104"/>
        <v>2919 ASHLEY ST  HOUSTON</v>
      </c>
      <c r="H3321" s="27" t="str">
        <f t="shared" si="105"/>
        <v>HOUSTON TX 77017</v>
      </c>
    </row>
    <row r="3322" spans="1:8" x14ac:dyDescent="0.2">
      <c r="A3322" s="27">
        <f>COUNTIFS(C:C,C3322,D:D,D3322)</f>
        <v>1</v>
      </c>
      <c r="B3322" s="30">
        <v>202101242474</v>
      </c>
      <c r="C3322" t="s">
        <v>7776</v>
      </c>
      <c r="D3322" t="s">
        <v>7777</v>
      </c>
      <c r="E3322" t="s">
        <v>4907</v>
      </c>
      <c r="F3322" t="s">
        <v>78</v>
      </c>
      <c r="G3322" s="27" t="str">
        <f t="shared" si="104"/>
        <v>1800 ST. JOSEPH'S PK WY PASADENA</v>
      </c>
      <c r="H3322" s="27" t="str">
        <f t="shared" si="105"/>
        <v>HOUSTON TX 77502</v>
      </c>
    </row>
    <row r="3323" spans="1:8" x14ac:dyDescent="0.2">
      <c r="A3323" s="27">
        <f>COUNTIFS(C:C,C3323,D:D,D3323)</f>
        <v>1</v>
      </c>
      <c r="B3323" s="30">
        <v>202101242481</v>
      </c>
      <c r="C3323" t="s">
        <v>7678</v>
      </c>
      <c r="D3323" t="s">
        <v>6771</v>
      </c>
      <c r="E3323" t="s">
        <v>4854</v>
      </c>
      <c r="F3323" t="s">
        <v>7638</v>
      </c>
      <c r="G3323" s="27" t="str">
        <f t="shared" si="104"/>
        <v>4126 WOOLWORTH  HOUSTON</v>
      </c>
      <c r="H3323" s="27" t="str">
        <f t="shared" si="105"/>
        <v>HOUSTON TX 77026</v>
      </c>
    </row>
    <row r="3324" spans="1:8" x14ac:dyDescent="0.2">
      <c r="A3324" s="27">
        <f>COUNTIFS(C:C,C3324,D:D,D3324)</f>
        <v>1</v>
      </c>
      <c r="B3324" s="30">
        <v>202101242484</v>
      </c>
      <c r="C3324" t="s">
        <v>7826</v>
      </c>
      <c r="D3324" t="s">
        <v>7827</v>
      </c>
      <c r="E3324" t="s">
        <v>4969</v>
      </c>
      <c r="F3324" t="s">
        <v>53</v>
      </c>
      <c r="G3324" s="27" t="str">
        <f t="shared" si="104"/>
        <v>1515 RUDEL DR  TOMBALL</v>
      </c>
      <c r="H3324" s="27" t="str">
        <f t="shared" si="105"/>
        <v>HOUSTON TX 77375</v>
      </c>
    </row>
    <row r="3325" spans="1:8" x14ac:dyDescent="0.2">
      <c r="A3325" s="27">
        <f>COUNTIFS(C:C,C3325,D:D,D3325)</f>
        <v>1</v>
      </c>
      <c r="B3325" s="30">
        <v>202101242492</v>
      </c>
      <c r="C3325" t="s">
        <v>7404</v>
      </c>
      <c r="D3325" t="s">
        <v>7405</v>
      </c>
      <c r="E3325" t="s">
        <v>4898</v>
      </c>
      <c r="F3325" t="s">
        <v>7640</v>
      </c>
      <c r="G3325" s="27" t="str">
        <f t="shared" si="104"/>
        <v>10202 QUIET VALLEY LN  HOUSTON</v>
      </c>
      <c r="H3325" s="27" t="str">
        <f t="shared" si="105"/>
        <v>HOUSTON TX 77075</v>
      </c>
    </row>
    <row r="3326" spans="1:8" x14ac:dyDescent="0.2">
      <c r="A3326" s="27">
        <f>COUNTIFS(C:C,C3326,D:D,D3326)</f>
        <v>1</v>
      </c>
      <c r="B3326" s="30">
        <v>202101242503</v>
      </c>
      <c r="C3326" t="s">
        <v>7795</v>
      </c>
      <c r="D3326" t="s">
        <v>7796</v>
      </c>
      <c r="E3326" t="s">
        <v>4875</v>
      </c>
      <c r="F3326" t="s">
        <v>78</v>
      </c>
      <c r="G3326" s="27" t="str">
        <f t="shared" si="104"/>
        <v>1927 ROXELLA  HOUSTON</v>
      </c>
      <c r="H3326" s="27" t="str">
        <f t="shared" si="105"/>
        <v>HOUSTON TX 77093</v>
      </c>
    </row>
    <row r="3327" spans="1:8" x14ac:dyDescent="0.2">
      <c r="A3327" s="27">
        <f>COUNTIFS(C:C,C3327,D:D,D3327)</f>
        <v>1</v>
      </c>
      <c r="B3327" s="30">
        <v>202101242505</v>
      </c>
      <c r="C3327" t="s">
        <v>7661</v>
      </c>
      <c r="D3327" t="s">
        <v>7662</v>
      </c>
      <c r="E3327" t="s">
        <v>5016</v>
      </c>
      <c r="F3327" t="s">
        <v>104</v>
      </c>
      <c r="G3327" s="27" t="str">
        <f t="shared" si="104"/>
        <v>9310 LAKEWAY VIEW LN  HOUSTON</v>
      </c>
      <c r="H3327" s="27" t="str">
        <f t="shared" si="105"/>
        <v>HOUSTON TX 77396</v>
      </c>
    </row>
    <row r="3328" spans="1:8" x14ac:dyDescent="0.2">
      <c r="A3328" s="27">
        <f>COUNTIFS(C:C,C3328,D:D,D3328)</f>
        <v>1</v>
      </c>
      <c r="B3328" s="30">
        <v>202101242507</v>
      </c>
      <c r="C3328" t="s">
        <v>7830</v>
      </c>
      <c r="D3328" t="s">
        <v>7831</v>
      </c>
      <c r="E3328" t="s">
        <v>4854</v>
      </c>
      <c r="F3328" t="s">
        <v>56</v>
      </c>
      <c r="G3328" s="27" t="str">
        <f t="shared" si="104"/>
        <v>3905 LOVE ST  HOUSTON</v>
      </c>
      <c r="H3328" s="27" t="str">
        <f t="shared" si="105"/>
        <v>HOUSTON TX 77026</v>
      </c>
    </row>
    <row r="3329" spans="1:8" x14ac:dyDescent="0.2">
      <c r="A3329" s="27">
        <f>COUNTIFS(C:C,C3329,D:D,D3329)</f>
        <v>1</v>
      </c>
      <c r="B3329" s="30">
        <v>202101242509</v>
      </c>
      <c r="C3329" t="s">
        <v>7832</v>
      </c>
      <c r="D3329" t="s">
        <v>7833</v>
      </c>
      <c r="E3329" t="s">
        <v>7834</v>
      </c>
      <c r="F3329" t="s">
        <v>78</v>
      </c>
      <c r="G3329" s="27" t="e">
        <f t="shared" si="104"/>
        <v>#VALUE!</v>
      </c>
      <c r="H3329" s="27" t="e">
        <f t="shared" si="105"/>
        <v>#VALUE!</v>
      </c>
    </row>
    <row r="3330" spans="1:8" x14ac:dyDescent="0.2">
      <c r="A3330" s="27">
        <f>COUNTIFS(C:C,C3330,D:D,D3330)</f>
        <v>1</v>
      </c>
      <c r="B3330" s="30">
        <v>202101242511</v>
      </c>
      <c r="C3330" t="s">
        <v>7749</v>
      </c>
      <c r="D3330" t="s">
        <v>7750</v>
      </c>
      <c r="E3330" t="s">
        <v>4874</v>
      </c>
      <c r="F3330" t="s">
        <v>64</v>
      </c>
      <c r="G3330" s="27" t="str">
        <f t="shared" si="104"/>
        <v>5974 SOUTHMONT ST  HOUSTON</v>
      </c>
      <c r="H3330" s="27" t="str">
        <f t="shared" si="105"/>
        <v>HOUSTON TX 77033</v>
      </c>
    </row>
    <row r="3331" spans="1:8" x14ac:dyDescent="0.2">
      <c r="A3331" s="27">
        <f>COUNTIFS(C:C,C3331,D:D,D3331)</f>
        <v>1</v>
      </c>
      <c r="B3331" s="30">
        <v>202101242513</v>
      </c>
      <c r="C3331" t="s">
        <v>7667</v>
      </c>
      <c r="D3331" t="s">
        <v>7668</v>
      </c>
      <c r="E3331" t="s">
        <v>4973</v>
      </c>
      <c r="F3331" t="s">
        <v>58</v>
      </c>
      <c r="G3331" s="27" t="str">
        <f t="shared" si="104"/>
        <v>7900 BISSONNET ST  HOUSTON</v>
      </c>
      <c r="H3331" s="27" t="str">
        <f t="shared" si="105"/>
        <v>HOUSTON TX 77074</v>
      </c>
    </row>
    <row r="3332" spans="1:8" x14ac:dyDescent="0.2">
      <c r="A3332" s="27">
        <f>COUNTIFS(C:C,C3332,D:D,D3332)</f>
        <v>1</v>
      </c>
      <c r="B3332" s="30">
        <v>202101242514</v>
      </c>
      <c r="C3332" t="s">
        <v>7828</v>
      </c>
      <c r="D3332" t="s">
        <v>7829</v>
      </c>
      <c r="E3332" t="s">
        <v>4860</v>
      </c>
      <c r="F3332" t="s">
        <v>79</v>
      </c>
      <c r="G3332" s="27" t="str">
        <f t="shared" si="104"/>
        <v>138 PERSIMMON DR  BAYTOWN</v>
      </c>
      <c r="H3332" s="27" t="str">
        <f t="shared" si="105"/>
        <v>HOUSTON TX 77520</v>
      </c>
    </row>
    <row r="3333" spans="1:8" x14ac:dyDescent="0.2">
      <c r="A3333" s="27">
        <f>COUNTIFS(C:C,C3333,D:D,D3333)</f>
        <v>1</v>
      </c>
      <c r="B3333" s="30">
        <v>202101242517</v>
      </c>
      <c r="C3333" t="s">
        <v>7724</v>
      </c>
      <c r="D3333" t="s">
        <v>7725</v>
      </c>
      <c r="E3333" t="s">
        <v>7562</v>
      </c>
      <c r="F3333" t="s">
        <v>343</v>
      </c>
      <c r="G3333" s="27" t="str">
        <f t="shared" si="104"/>
        <v>513 N LINDEN DR  TEXAS CITY</v>
      </c>
      <c r="H3333" s="27" t="str">
        <f t="shared" si="105"/>
        <v>HOUSTON TX 77591</v>
      </c>
    </row>
    <row r="3334" spans="1:8" x14ac:dyDescent="0.2">
      <c r="A3334" s="27">
        <f>COUNTIFS(C:C,C3334,D:D,D3334)</f>
        <v>1</v>
      </c>
      <c r="B3334" s="30">
        <v>202101242520</v>
      </c>
      <c r="C3334" t="s">
        <v>7742</v>
      </c>
      <c r="D3334" t="s">
        <v>7743</v>
      </c>
      <c r="E3334" t="s">
        <v>4850</v>
      </c>
      <c r="F3334" t="s">
        <v>53</v>
      </c>
      <c r="G3334" s="27" t="str">
        <f t="shared" si="104"/>
        <v>9518 SAGEASPEN LN  HOUSTON</v>
      </c>
      <c r="H3334" s="27" t="str">
        <f t="shared" si="105"/>
        <v>HOUSTON TX 77089</v>
      </c>
    </row>
    <row r="3335" spans="1:8" x14ac:dyDescent="0.2">
      <c r="A3335" s="27">
        <f>COUNTIFS(C:C,C3335,D:D,D3335)</f>
        <v>1</v>
      </c>
      <c r="B3335" s="30">
        <v>202101242522</v>
      </c>
      <c r="C3335" t="s">
        <v>7710</v>
      </c>
      <c r="D3335" t="s">
        <v>7711</v>
      </c>
      <c r="E3335" t="s">
        <v>4897</v>
      </c>
      <c r="F3335" t="s">
        <v>72</v>
      </c>
      <c r="G3335" s="27" t="str">
        <f t="shared" si="104"/>
        <v>438 TEXAS ST  SOUTH HOUS</v>
      </c>
      <c r="H3335" s="27" t="str">
        <f t="shared" si="105"/>
        <v>HOUSTON TX 77587</v>
      </c>
    </row>
    <row r="3336" spans="1:8" x14ac:dyDescent="0.2">
      <c r="A3336" s="27">
        <f>COUNTIFS(C:C,C3336,D:D,D3336)</f>
        <v>1</v>
      </c>
      <c r="B3336" s="30">
        <v>202101242524</v>
      </c>
      <c r="C3336" t="s">
        <v>7691</v>
      </c>
      <c r="D3336" t="s">
        <v>7692</v>
      </c>
      <c r="E3336" t="s">
        <v>5157</v>
      </c>
      <c r="F3336" t="s">
        <v>64</v>
      </c>
      <c r="G3336" s="27" t="str">
        <f t="shared" si="104"/>
        <v>718 RIEDEL  HOUSTON</v>
      </c>
      <c r="H3336" s="27" t="str">
        <f t="shared" si="105"/>
        <v>HOUSTON TX 77024</v>
      </c>
    </row>
    <row r="3337" spans="1:8" x14ac:dyDescent="0.2">
      <c r="A3337" s="27">
        <f>COUNTIFS(C:C,C3337,D:D,D3337)</f>
        <v>1</v>
      </c>
      <c r="B3337" s="30">
        <v>202101242525</v>
      </c>
      <c r="C3337" t="s">
        <v>7839</v>
      </c>
      <c r="D3337" t="s">
        <v>7840</v>
      </c>
      <c r="E3337" t="s">
        <v>7841</v>
      </c>
      <c r="F3337" t="s">
        <v>53</v>
      </c>
      <c r="G3337" s="27" t="e">
        <f t="shared" si="104"/>
        <v>#VALUE!</v>
      </c>
      <c r="H3337" s="27" t="e">
        <f t="shared" si="105"/>
        <v>#VALUE!</v>
      </c>
    </row>
    <row r="3338" spans="1:8" x14ac:dyDescent="0.2">
      <c r="A3338" s="27">
        <f>COUNTIFS(C:C,C3338,D:D,D3338)</f>
        <v>1</v>
      </c>
      <c r="B3338" s="30">
        <v>202101242533</v>
      </c>
      <c r="C3338" t="s">
        <v>7651</v>
      </c>
      <c r="D3338" t="s">
        <v>7652</v>
      </c>
      <c r="E3338" t="s">
        <v>4872</v>
      </c>
      <c r="F3338" t="s">
        <v>87</v>
      </c>
      <c r="G3338" s="27" t="str">
        <f t="shared" si="104"/>
        <v>7006 LANDOR  HOUSTON</v>
      </c>
      <c r="H3338" s="27" t="str">
        <f t="shared" si="105"/>
        <v>HOUSTON TX 77028</v>
      </c>
    </row>
    <row r="3339" spans="1:8" x14ac:dyDescent="0.2">
      <c r="A3339" s="27">
        <f>COUNTIFS(C:C,C3339,D:D,D3339)</f>
        <v>1</v>
      </c>
      <c r="B3339" s="30">
        <v>202101242535</v>
      </c>
      <c r="C3339" t="s">
        <v>7753</v>
      </c>
      <c r="D3339" t="s">
        <v>7754</v>
      </c>
      <c r="E3339" t="s">
        <v>4850</v>
      </c>
      <c r="F3339" t="s">
        <v>51</v>
      </c>
      <c r="G3339" s="27" t="str">
        <f t="shared" si="104"/>
        <v>11002 SAGEVALE LN  HOUSTON</v>
      </c>
      <c r="H3339" s="27" t="str">
        <f t="shared" si="105"/>
        <v>HOUSTON TX 77089</v>
      </c>
    </row>
    <row r="3340" spans="1:8" x14ac:dyDescent="0.2">
      <c r="A3340" s="27">
        <f>COUNTIFS(C:C,C3340,D:D,D3340)</f>
        <v>1</v>
      </c>
      <c r="B3340" s="30">
        <v>202101242541</v>
      </c>
      <c r="C3340" t="s">
        <v>7730</v>
      </c>
      <c r="D3340" t="s">
        <v>7731</v>
      </c>
      <c r="E3340" t="s">
        <v>4858</v>
      </c>
      <c r="F3340" t="s">
        <v>84</v>
      </c>
      <c r="G3340" s="27" t="str">
        <f t="shared" si="104"/>
        <v>7206 SHINING MIST LA NE RICHMOND</v>
      </c>
      <c r="H3340" s="27" t="str">
        <f t="shared" si="105"/>
        <v>HOUSTON TX 77469</v>
      </c>
    </row>
    <row r="3341" spans="1:8" x14ac:dyDescent="0.2">
      <c r="A3341" s="27">
        <f>COUNTIFS(C:C,C3341,D:D,D3341)</f>
        <v>1</v>
      </c>
      <c r="B3341" s="30">
        <v>202101242542</v>
      </c>
      <c r="C3341" t="s">
        <v>7705</v>
      </c>
      <c r="D3341" t="s">
        <v>1730</v>
      </c>
      <c r="E3341" t="s">
        <v>4875</v>
      </c>
      <c r="F3341" t="s">
        <v>71</v>
      </c>
      <c r="G3341" s="27" t="str">
        <f t="shared" si="104"/>
        <v>2000 TIDWELL RD  HOUSTON</v>
      </c>
      <c r="H3341" s="27" t="str">
        <f t="shared" si="105"/>
        <v>HOUSTON TX 77093</v>
      </c>
    </row>
    <row r="3342" spans="1:8" x14ac:dyDescent="0.2">
      <c r="A3342" s="27">
        <f>COUNTIFS(C:C,C3342,D:D,D3342)</f>
        <v>1</v>
      </c>
      <c r="B3342" s="30">
        <v>202101242543</v>
      </c>
      <c r="C3342" t="s">
        <v>7844</v>
      </c>
      <c r="D3342" t="s">
        <v>7845</v>
      </c>
      <c r="E3342" t="s">
        <v>4954</v>
      </c>
      <c r="F3342" t="s">
        <v>53</v>
      </c>
      <c r="G3342" s="27" t="str">
        <f t="shared" ref="G3342:G3405" si="106">D3342&amp;" "&amp;MID(E3342,1,FIND(" TX",E3342)-1)</f>
        <v>2911 AVANTI DR  PEARLAND</v>
      </c>
      <c r="H3342" s="27" t="str">
        <f t="shared" ref="H3342:H3405" si="107">"HOUSTON "&amp;MID(E3342,FIND("TX",E3342),8)</f>
        <v>HOUSTON TX 77584</v>
      </c>
    </row>
    <row r="3343" spans="1:8" x14ac:dyDescent="0.2">
      <c r="A3343" s="27">
        <f>COUNTIFS(C:C,C3343,D:D,D3343)</f>
        <v>1</v>
      </c>
      <c r="B3343" s="30">
        <v>202101242544</v>
      </c>
      <c r="C3343" t="s">
        <v>7793</v>
      </c>
      <c r="D3343" t="s">
        <v>7794</v>
      </c>
      <c r="E3343" t="s">
        <v>5124</v>
      </c>
      <c r="F3343" t="s">
        <v>66</v>
      </c>
      <c r="G3343" s="27" t="str">
        <f t="shared" si="106"/>
        <v>828 PARK TRAIL VIST A HOUSTON</v>
      </c>
      <c r="H3343" s="27" t="str">
        <f t="shared" si="107"/>
        <v>HOUSTON TX 77019</v>
      </c>
    </row>
    <row r="3344" spans="1:8" x14ac:dyDescent="0.2">
      <c r="A3344" s="27">
        <f>COUNTIFS(C:C,C3344,D:D,D3344)</f>
        <v>1</v>
      </c>
      <c r="B3344" s="30">
        <v>202101242546</v>
      </c>
      <c r="C3344" t="s">
        <v>6259</v>
      </c>
      <c r="D3344" t="s">
        <v>7773</v>
      </c>
      <c r="E3344" t="s">
        <v>4956</v>
      </c>
      <c r="F3344" t="s">
        <v>87</v>
      </c>
      <c r="G3344" s="27" t="str">
        <f t="shared" si="106"/>
        <v>15430 FALKIRK GREEN D R HUMBLE</v>
      </c>
      <c r="H3344" s="27" t="str">
        <f t="shared" si="107"/>
        <v>HOUSTON TX 77346</v>
      </c>
    </row>
    <row r="3345" spans="1:8" x14ac:dyDescent="0.2">
      <c r="A3345" s="27">
        <f>COUNTIFS(C:C,C3345,D:D,D3345)</f>
        <v>1</v>
      </c>
      <c r="B3345" s="30">
        <v>202101242550</v>
      </c>
      <c r="C3345" t="s">
        <v>7747</v>
      </c>
      <c r="D3345" t="s">
        <v>7748</v>
      </c>
      <c r="E3345" t="s">
        <v>4858</v>
      </c>
      <c r="F3345" t="s">
        <v>79</v>
      </c>
      <c r="G3345" s="27" t="str">
        <f t="shared" si="106"/>
        <v>1711 LOTTIE MOORE LO OP RICHMOND</v>
      </c>
      <c r="H3345" s="27" t="str">
        <f t="shared" si="107"/>
        <v>HOUSTON TX 77469</v>
      </c>
    </row>
    <row r="3346" spans="1:8" x14ac:dyDescent="0.2">
      <c r="A3346" s="27">
        <f>COUNTIFS(C:C,C3346,D:D,D3346)</f>
        <v>1</v>
      </c>
      <c r="B3346" s="30">
        <v>202101242553</v>
      </c>
      <c r="C3346" t="s">
        <v>7778</v>
      </c>
      <c r="D3346" t="s">
        <v>7779</v>
      </c>
      <c r="E3346" t="s">
        <v>4910</v>
      </c>
      <c r="F3346" t="s">
        <v>79</v>
      </c>
      <c r="G3346" s="27" t="str">
        <f t="shared" si="106"/>
        <v>1002 WILLERSLEY  CHANNELVIE</v>
      </c>
      <c r="H3346" s="27" t="str">
        <f t="shared" si="107"/>
        <v>HOUSTON TX 77530</v>
      </c>
    </row>
    <row r="3347" spans="1:8" x14ac:dyDescent="0.2">
      <c r="A3347" s="27">
        <f>COUNTIFS(C:C,C3347,D:D,D3347)</f>
        <v>1</v>
      </c>
      <c r="B3347" s="30">
        <v>202101242554</v>
      </c>
      <c r="C3347" t="s">
        <v>7732</v>
      </c>
      <c r="D3347" t="s">
        <v>7733</v>
      </c>
      <c r="E3347" t="s">
        <v>4909</v>
      </c>
      <c r="F3347" t="s">
        <v>68</v>
      </c>
      <c r="G3347" s="27" t="str">
        <f t="shared" si="106"/>
        <v>3927 HIGHPOINT LANE  HOUSTON</v>
      </c>
      <c r="H3347" s="27" t="str">
        <f t="shared" si="107"/>
        <v>HOUSTON TX 77053</v>
      </c>
    </row>
    <row r="3348" spans="1:8" x14ac:dyDescent="0.2">
      <c r="A3348" s="27">
        <f>COUNTIFS(C:C,C3348,D:D,D3348)</f>
        <v>1</v>
      </c>
      <c r="B3348" s="30">
        <v>202101242555</v>
      </c>
      <c r="C3348" t="s">
        <v>7718</v>
      </c>
      <c r="D3348" t="s">
        <v>7719</v>
      </c>
      <c r="E3348" t="s">
        <v>4893</v>
      </c>
      <c r="F3348" t="s">
        <v>79</v>
      </c>
      <c r="G3348" s="27" t="str">
        <f t="shared" si="106"/>
        <v>14518 ALROVER  HOUSTON</v>
      </c>
      <c r="H3348" s="27" t="str">
        <f t="shared" si="107"/>
        <v>HOUSTON TX 77045</v>
      </c>
    </row>
    <row r="3349" spans="1:8" x14ac:dyDescent="0.2">
      <c r="A3349" s="27">
        <f>COUNTIFS(C:C,C3349,D:D,D3349)</f>
        <v>1</v>
      </c>
      <c r="B3349" s="30">
        <v>202101242556</v>
      </c>
      <c r="C3349" t="s">
        <v>7676</v>
      </c>
      <c r="D3349" t="s">
        <v>7677</v>
      </c>
      <c r="E3349" t="s">
        <v>4854</v>
      </c>
      <c r="F3349" t="s">
        <v>85</v>
      </c>
      <c r="G3349" s="27" t="str">
        <f t="shared" si="106"/>
        <v>3806 WIPPRECHT ST  HOUSTON</v>
      </c>
      <c r="H3349" s="27" t="str">
        <f t="shared" si="107"/>
        <v>HOUSTON TX 77026</v>
      </c>
    </row>
    <row r="3350" spans="1:8" x14ac:dyDescent="0.2">
      <c r="A3350" s="27">
        <f>COUNTIFS(C:C,C3350,D:D,D3350)</f>
        <v>1</v>
      </c>
      <c r="B3350" s="30">
        <v>202101242559</v>
      </c>
      <c r="C3350" t="s">
        <v>7849</v>
      </c>
      <c r="D3350" t="s">
        <v>7850</v>
      </c>
      <c r="E3350" t="s">
        <v>4937</v>
      </c>
      <c r="F3350" t="s">
        <v>67</v>
      </c>
      <c r="G3350" s="27" t="str">
        <f t="shared" si="106"/>
        <v>7102 MOLINE ST  HOUSTON</v>
      </c>
      <c r="H3350" s="27" t="str">
        <f t="shared" si="107"/>
        <v>HOUSTON TX 77087</v>
      </c>
    </row>
    <row r="3351" spans="1:8" x14ac:dyDescent="0.2">
      <c r="A3351" s="27">
        <f>COUNTIFS(C:C,C3351,D:D,D3351)</f>
        <v>1</v>
      </c>
      <c r="B3351" s="30">
        <v>202101242563</v>
      </c>
      <c r="C3351" t="s">
        <v>7671</v>
      </c>
      <c r="D3351" t="s">
        <v>1604</v>
      </c>
      <c r="E3351" t="s">
        <v>4862</v>
      </c>
      <c r="F3351" t="s">
        <v>68</v>
      </c>
      <c r="G3351" s="27" t="str">
        <f t="shared" si="106"/>
        <v>910 CYPRESS STATION DR HOUSTON</v>
      </c>
      <c r="H3351" s="27" t="str">
        <f t="shared" si="107"/>
        <v>HOUSTON TX 77090</v>
      </c>
    </row>
    <row r="3352" spans="1:8" x14ac:dyDescent="0.2">
      <c r="A3352" s="27">
        <f>COUNTIFS(C:C,C3352,D:D,D3352)</f>
        <v>1</v>
      </c>
      <c r="B3352" s="30">
        <v>202101242571</v>
      </c>
      <c r="C3352" t="s">
        <v>7851</v>
      </c>
      <c r="D3352" t="s">
        <v>7852</v>
      </c>
      <c r="E3352" t="s">
        <v>7853</v>
      </c>
      <c r="F3352" t="s">
        <v>87</v>
      </c>
      <c r="G3352" s="27" t="str">
        <f t="shared" si="106"/>
        <v>12531 W HIGHWAY 71 23 15 AUSTIN</v>
      </c>
      <c r="H3352" s="27" t="str">
        <f t="shared" si="107"/>
        <v>HOUSTON TX 78738</v>
      </c>
    </row>
    <row r="3353" spans="1:8" x14ac:dyDescent="0.2">
      <c r="A3353" s="27">
        <f>COUNTIFS(C:C,C3353,D:D,D3353)</f>
        <v>1</v>
      </c>
      <c r="B3353" s="30">
        <v>202101242575</v>
      </c>
      <c r="C3353" t="s">
        <v>7765</v>
      </c>
      <c r="D3353" t="s">
        <v>7766</v>
      </c>
      <c r="E3353" t="s">
        <v>4997</v>
      </c>
      <c r="F3353" t="s">
        <v>79</v>
      </c>
      <c r="G3353" s="27" t="str">
        <f t="shared" si="106"/>
        <v>12527 HUNTINGTON VENT URE DR HOUSTON</v>
      </c>
      <c r="H3353" s="27" t="str">
        <f t="shared" si="107"/>
        <v>HOUSTON TX 77099</v>
      </c>
    </row>
    <row r="3354" spans="1:8" x14ac:dyDescent="0.2">
      <c r="A3354" s="27">
        <f>COUNTIFS(C:C,C3354,D:D,D3354)</f>
        <v>1</v>
      </c>
      <c r="B3354" s="30">
        <v>202101242580</v>
      </c>
      <c r="C3354" t="s">
        <v>7808</v>
      </c>
      <c r="D3354" t="s">
        <v>7809</v>
      </c>
      <c r="E3354" t="s">
        <v>4893</v>
      </c>
      <c r="F3354" t="s">
        <v>53</v>
      </c>
      <c r="G3354" s="27" t="str">
        <f t="shared" si="106"/>
        <v>14027 FAIRGROVE RIDGE DR HOUSTON</v>
      </c>
      <c r="H3354" s="27" t="str">
        <f t="shared" si="107"/>
        <v>HOUSTON TX 77045</v>
      </c>
    </row>
    <row r="3355" spans="1:8" x14ac:dyDescent="0.2">
      <c r="A3355" s="27">
        <f>COUNTIFS(C:C,C3355,D:D,D3355)</f>
        <v>1</v>
      </c>
      <c r="B3355" s="30">
        <v>202101242581</v>
      </c>
      <c r="C3355" t="s">
        <v>7791</v>
      </c>
      <c r="D3355" t="s">
        <v>7792</v>
      </c>
      <c r="E3355" t="s">
        <v>4988</v>
      </c>
      <c r="F3355" t="s">
        <v>87</v>
      </c>
      <c r="G3355" s="27" t="str">
        <f t="shared" si="106"/>
        <v>6961 CHASEWWOD DR  MISSOURI C</v>
      </c>
      <c r="H3355" s="27" t="str">
        <f t="shared" si="107"/>
        <v>HOUSTON TX 77489</v>
      </c>
    </row>
    <row r="3356" spans="1:8" x14ac:dyDescent="0.2">
      <c r="A3356" s="27">
        <f>COUNTIFS(C:C,C3356,D:D,D3356)</f>
        <v>1</v>
      </c>
      <c r="B3356" s="30">
        <v>202101242592</v>
      </c>
      <c r="C3356" t="s">
        <v>7755</v>
      </c>
      <c r="D3356" t="s">
        <v>7756</v>
      </c>
      <c r="E3356" t="s">
        <v>4900</v>
      </c>
      <c r="F3356" t="s">
        <v>78</v>
      </c>
      <c r="G3356" s="27" t="str">
        <f t="shared" si="106"/>
        <v>6338 BARTON HOLLOW L ANE KATY</v>
      </c>
      <c r="H3356" s="27" t="str">
        <f t="shared" si="107"/>
        <v>HOUSTON TX 77449</v>
      </c>
    </row>
    <row r="3357" spans="1:8" x14ac:dyDescent="0.2">
      <c r="A3357" s="27">
        <f>COUNTIFS(C:C,C3357,D:D,D3357)</f>
        <v>1</v>
      </c>
      <c r="B3357" s="30">
        <v>202101242597</v>
      </c>
      <c r="C3357" t="s">
        <v>7854</v>
      </c>
      <c r="D3357" t="s">
        <v>7855</v>
      </c>
      <c r="E3357" t="s">
        <v>4879</v>
      </c>
      <c r="F3357" t="s">
        <v>53</v>
      </c>
      <c r="G3357" s="27" t="str">
        <f t="shared" si="106"/>
        <v>6407 ANTOINE DR 3203  HOUSTON</v>
      </c>
      <c r="H3357" s="27" t="str">
        <f t="shared" si="107"/>
        <v>HOUSTON TX 77091</v>
      </c>
    </row>
    <row r="3358" spans="1:8" x14ac:dyDescent="0.2">
      <c r="A3358" s="27">
        <f>COUNTIFS(C:C,C3358,D:D,D3358)</f>
        <v>1</v>
      </c>
      <c r="B3358" s="30">
        <v>202101242599</v>
      </c>
      <c r="C3358" t="s">
        <v>7649</v>
      </c>
      <c r="D3358" t="s">
        <v>7650</v>
      </c>
      <c r="E3358" t="s">
        <v>4918</v>
      </c>
      <c r="F3358" t="s">
        <v>86</v>
      </c>
      <c r="G3358" s="27" t="str">
        <f t="shared" si="106"/>
        <v>1655 BLUE BELL RD  HOUSTON</v>
      </c>
      <c r="H3358" s="27" t="str">
        <f t="shared" si="107"/>
        <v>HOUSTON TX 77066</v>
      </c>
    </row>
    <row r="3359" spans="1:8" x14ac:dyDescent="0.2">
      <c r="A3359" s="27">
        <f>COUNTIFS(C:C,C3359,D:D,D3359)</f>
        <v>1</v>
      </c>
      <c r="B3359" s="30">
        <v>202101242601</v>
      </c>
      <c r="C3359" t="s">
        <v>7789</v>
      </c>
      <c r="D3359" t="s">
        <v>7790</v>
      </c>
      <c r="E3359" t="s">
        <v>4936</v>
      </c>
      <c r="F3359" t="s">
        <v>159</v>
      </c>
      <c r="G3359" s="27" t="str">
        <f t="shared" si="106"/>
        <v>7623 BRAES MEADOW DR  HOUSTON</v>
      </c>
      <c r="H3359" s="27" t="str">
        <f t="shared" si="107"/>
        <v>HOUSTON TX 77071</v>
      </c>
    </row>
    <row r="3360" spans="1:8" x14ac:dyDescent="0.2">
      <c r="A3360" s="27">
        <f>COUNTIFS(C:C,C3360,D:D,D3360)</f>
        <v>1</v>
      </c>
      <c r="B3360" s="30">
        <v>202101242603</v>
      </c>
      <c r="C3360" t="s">
        <v>7806</v>
      </c>
      <c r="D3360" t="s">
        <v>7807</v>
      </c>
      <c r="E3360" t="s">
        <v>4977</v>
      </c>
      <c r="F3360" t="s">
        <v>87</v>
      </c>
      <c r="G3360" s="27" t="str">
        <f t="shared" si="106"/>
        <v>6130 SOUTHWEST FWY O B HOUSTON</v>
      </c>
      <c r="H3360" s="27" t="str">
        <f t="shared" si="107"/>
        <v>HOUSTON TX 77057</v>
      </c>
    </row>
    <row r="3361" spans="1:8" x14ac:dyDescent="0.2">
      <c r="A3361" s="27">
        <f>COUNTIFS(C:C,C3361,D:D,D3361)</f>
        <v>1</v>
      </c>
      <c r="B3361" s="30">
        <v>202101242607</v>
      </c>
      <c r="C3361" t="s">
        <v>7856</v>
      </c>
      <c r="D3361" t="s">
        <v>7857</v>
      </c>
      <c r="E3361" t="s">
        <v>4851</v>
      </c>
      <c r="F3361" t="s">
        <v>79</v>
      </c>
      <c r="G3361" s="27" t="str">
        <f t="shared" si="106"/>
        <v>8238 BAY RUN AVE  BAYTOWN</v>
      </c>
      <c r="H3361" s="27" t="str">
        <f t="shared" si="107"/>
        <v>HOUSTON TX 77521</v>
      </c>
    </row>
    <row r="3362" spans="1:8" x14ac:dyDescent="0.2">
      <c r="A3362" s="27">
        <f>COUNTIFS(C:C,C3362,D:D,D3362)</f>
        <v>1</v>
      </c>
      <c r="B3362" s="30">
        <v>202101242611</v>
      </c>
      <c r="C3362" t="s">
        <v>7797</v>
      </c>
      <c r="D3362" t="s">
        <v>7634</v>
      </c>
      <c r="E3362" t="s">
        <v>6300</v>
      </c>
      <c r="F3362" t="s">
        <v>87</v>
      </c>
      <c r="G3362" s="27" t="str">
        <f t="shared" si="106"/>
        <v>20525 CYPRESSWO OD DR. HOUSTON</v>
      </c>
      <c r="H3362" s="27" t="str">
        <f t="shared" si="107"/>
        <v>HOUSTON TX 77433</v>
      </c>
    </row>
    <row r="3363" spans="1:8" x14ac:dyDescent="0.2">
      <c r="A3363" s="27">
        <f>COUNTIFS(C:C,C3363,D:D,D3363)</f>
        <v>1</v>
      </c>
      <c r="B3363" s="30">
        <v>202101242616</v>
      </c>
      <c r="C3363" t="s">
        <v>7745</v>
      </c>
      <c r="D3363" t="s">
        <v>7746</v>
      </c>
      <c r="E3363" t="s">
        <v>4864</v>
      </c>
      <c r="F3363" t="s">
        <v>68</v>
      </c>
      <c r="G3363" s="27" t="str">
        <f t="shared" si="106"/>
        <v>3300 LYONS AVE APT 4 04 HOUSTON</v>
      </c>
      <c r="H3363" s="27" t="str">
        <f t="shared" si="107"/>
        <v>HOUSTON TX 77020</v>
      </c>
    </row>
    <row r="3364" spans="1:8" x14ac:dyDescent="0.2">
      <c r="A3364" s="27">
        <f>COUNTIFS(C:C,C3364,D:D,D3364)</f>
        <v>1</v>
      </c>
      <c r="B3364" s="30">
        <v>202101242618</v>
      </c>
      <c r="C3364" t="s">
        <v>7858</v>
      </c>
      <c r="D3364" t="s">
        <v>7859</v>
      </c>
      <c r="E3364" t="s">
        <v>4887</v>
      </c>
      <c r="F3364" t="s">
        <v>51</v>
      </c>
      <c r="G3364" s="27" t="str">
        <f t="shared" si="106"/>
        <v>8007 GAMBREL WAY  ROSHARON</v>
      </c>
      <c r="H3364" s="27" t="str">
        <f t="shared" si="107"/>
        <v>HOUSTON TX 77583</v>
      </c>
    </row>
    <row r="3365" spans="1:8" x14ac:dyDescent="0.2">
      <c r="A3365" s="27">
        <f>COUNTIFS(C:C,C3365,D:D,D3365)</f>
        <v>1</v>
      </c>
      <c r="B3365" s="30">
        <v>202101242622</v>
      </c>
      <c r="C3365" t="s">
        <v>7689</v>
      </c>
      <c r="D3365" t="s">
        <v>7690</v>
      </c>
      <c r="E3365" t="s">
        <v>4951</v>
      </c>
      <c r="F3365" t="s">
        <v>53</v>
      </c>
      <c r="G3365" s="27" t="str">
        <f t="shared" si="106"/>
        <v>15807 MAPLE MANOR DR  HOUSTON</v>
      </c>
      <c r="H3365" s="27" t="str">
        <f t="shared" si="107"/>
        <v>HOUSTON TX 77095</v>
      </c>
    </row>
    <row r="3366" spans="1:8" x14ac:dyDescent="0.2">
      <c r="A3366" s="27">
        <f>COUNTIFS(C:C,C3366,D:D,D3366)</f>
        <v>1</v>
      </c>
      <c r="B3366" s="30">
        <v>202101242623</v>
      </c>
      <c r="C3366" t="s">
        <v>7860</v>
      </c>
      <c r="D3366" t="s">
        <v>7861</v>
      </c>
      <c r="E3366" t="s">
        <v>4879</v>
      </c>
      <c r="F3366" t="s">
        <v>159</v>
      </c>
      <c r="G3366" s="27" t="str">
        <f t="shared" si="106"/>
        <v>436 PICKERING ST  HOUSTON</v>
      </c>
      <c r="H3366" s="27" t="str">
        <f t="shared" si="107"/>
        <v>HOUSTON TX 77091</v>
      </c>
    </row>
    <row r="3367" spans="1:8" x14ac:dyDescent="0.2">
      <c r="A3367" s="27">
        <f>COUNTIFS(C:C,C3367,D:D,D3367)</f>
        <v>1</v>
      </c>
      <c r="B3367" s="30">
        <v>202101242632</v>
      </c>
      <c r="C3367" t="s">
        <v>7862</v>
      </c>
      <c r="D3367" t="s">
        <v>7863</v>
      </c>
      <c r="E3367" t="s">
        <v>4853</v>
      </c>
      <c r="F3367" t="s">
        <v>71</v>
      </c>
      <c r="G3367" s="27" t="str">
        <f t="shared" si="106"/>
        <v>3507 PEAR MEADOW LN  HOUSTON</v>
      </c>
      <c r="H3367" s="27" t="str">
        <f t="shared" si="107"/>
        <v>HOUSTON TX 77039</v>
      </c>
    </row>
    <row r="3368" spans="1:8" x14ac:dyDescent="0.2">
      <c r="A3368" s="27">
        <f>COUNTIFS(C:C,C3368,D:D,D3368)</f>
        <v>1</v>
      </c>
      <c r="B3368" s="30">
        <v>202101242636</v>
      </c>
      <c r="C3368" t="s">
        <v>7864</v>
      </c>
      <c r="D3368" t="s">
        <v>7865</v>
      </c>
      <c r="E3368" t="s">
        <v>4991</v>
      </c>
      <c r="F3368" t="s">
        <v>88</v>
      </c>
      <c r="G3368" s="27" t="str">
        <f t="shared" si="106"/>
        <v>9901 RICHMOND AVE 42 1 HOUSTON</v>
      </c>
      <c r="H3368" s="27" t="str">
        <f t="shared" si="107"/>
        <v>HOUSTON TX 77042</v>
      </c>
    </row>
    <row r="3369" spans="1:8" x14ac:dyDescent="0.2">
      <c r="A3369" s="27">
        <f>COUNTIFS(C:C,C3369,D:D,D3369)</f>
        <v>1</v>
      </c>
      <c r="B3369" s="30">
        <v>202101242640</v>
      </c>
      <c r="C3369" t="s">
        <v>7782</v>
      </c>
      <c r="D3369" t="s">
        <v>7783</v>
      </c>
      <c r="E3369" t="s">
        <v>4954</v>
      </c>
      <c r="F3369" t="s">
        <v>88</v>
      </c>
      <c r="G3369" s="27" t="str">
        <f t="shared" si="106"/>
        <v>12514 ROCKY COVE DR  PEARLAND</v>
      </c>
      <c r="H3369" s="27" t="str">
        <f t="shared" si="107"/>
        <v>HOUSTON TX 77584</v>
      </c>
    </row>
    <row r="3370" spans="1:8" x14ac:dyDescent="0.2">
      <c r="A3370" s="27">
        <f>COUNTIFS(C:C,C3370,D:D,D3370)</f>
        <v>1</v>
      </c>
      <c r="B3370" s="30">
        <v>202101242643</v>
      </c>
      <c r="C3370" t="s">
        <v>7720</v>
      </c>
      <c r="D3370" t="s">
        <v>7721</v>
      </c>
      <c r="E3370" t="s">
        <v>4939</v>
      </c>
      <c r="F3370" t="s">
        <v>88</v>
      </c>
      <c r="G3370" s="27" t="str">
        <f t="shared" si="106"/>
        <v>11610 STONE BRIDGE LN  HOUSTON</v>
      </c>
      <c r="H3370" s="27" t="str">
        <f t="shared" si="107"/>
        <v>HOUSTON TX 77064</v>
      </c>
    </row>
    <row r="3371" spans="1:8" x14ac:dyDescent="0.2">
      <c r="A3371" s="27">
        <f>COUNTIFS(C:C,C3371,D:D,D3371)</f>
        <v>1</v>
      </c>
      <c r="B3371" s="30">
        <v>202101242646</v>
      </c>
      <c r="C3371" t="s">
        <v>7866</v>
      </c>
      <c r="D3371" t="s">
        <v>7883</v>
      </c>
      <c r="E3371" t="s">
        <v>4939</v>
      </c>
      <c r="F3371" t="s">
        <v>88</v>
      </c>
      <c r="G3371" s="27" t="str">
        <f t="shared" si="106"/>
        <v>9607 GUSTY WIND HOUSTON</v>
      </c>
      <c r="H3371" s="27" t="str">
        <f t="shared" si="107"/>
        <v>HOUSTON TX 77064</v>
      </c>
    </row>
    <row r="3372" spans="1:8" x14ac:dyDescent="0.2">
      <c r="A3372" s="27">
        <f>COUNTIFS(C:C,C3372,D:D,D3372)</f>
        <v>1</v>
      </c>
      <c r="B3372" s="30">
        <v>202101242647</v>
      </c>
      <c r="C3372" t="s">
        <v>7695</v>
      </c>
      <c r="D3372" t="s">
        <v>7696</v>
      </c>
      <c r="E3372" t="s">
        <v>4865</v>
      </c>
      <c r="F3372" t="s">
        <v>68</v>
      </c>
      <c r="G3372" s="27" t="str">
        <f t="shared" si="106"/>
        <v>11311 EXETER ST  HOUSTON</v>
      </c>
      <c r="H3372" s="27" t="str">
        <f t="shared" si="107"/>
        <v xml:space="preserve">HOUSTON TX      </v>
      </c>
    </row>
    <row r="3373" spans="1:8" x14ac:dyDescent="0.2">
      <c r="A3373" s="27">
        <f>COUNTIFS(C:C,C3373,D:D,D3373)</f>
        <v>1</v>
      </c>
      <c r="B3373" s="30">
        <v>202101242648</v>
      </c>
      <c r="C3373" t="s">
        <v>7665</v>
      </c>
      <c r="D3373" t="s">
        <v>7666</v>
      </c>
      <c r="E3373" t="s">
        <v>4935</v>
      </c>
      <c r="F3373" t="s">
        <v>335</v>
      </c>
      <c r="G3373" s="27" t="str">
        <f t="shared" si="106"/>
        <v>1918 MACONDRAY DR  HUMBLE</v>
      </c>
      <c r="H3373" s="27" t="str">
        <f t="shared" si="107"/>
        <v>HOUSTON TX 77396</v>
      </c>
    </row>
    <row r="3374" spans="1:8" x14ac:dyDescent="0.2">
      <c r="A3374" s="27">
        <f>COUNTIFS(C:C,C3374,D:D,D3374)</f>
        <v>1</v>
      </c>
      <c r="B3374" s="30">
        <v>202101242676</v>
      </c>
      <c r="C3374" t="s">
        <v>7728</v>
      </c>
      <c r="D3374" t="s">
        <v>7729</v>
      </c>
      <c r="E3374" t="s">
        <v>4867</v>
      </c>
      <c r="F3374" t="s">
        <v>278</v>
      </c>
      <c r="G3374" s="27" t="str">
        <f t="shared" si="106"/>
        <v>2725 BEATTY ST  HOUSTON</v>
      </c>
      <c r="H3374" s="27" t="str">
        <f t="shared" si="107"/>
        <v>HOUSTON TX 77023</v>
      </c>
    </row>
    <row r="3375" spans="1:8" x14ac:dyDescent="0.2">
      <c r="A3375" s="27">
        <f>COUNTIFS(C:C,C3375,D:D,D3375)</f>
        <v>1</v>
      </c>
      <c r="B3375" s="30">
        <v>202101242677</v>
      </c>
      <c r="C3375" t="s">
        <v>7734</v>
      </c>
      <c r="D3375" t="s">
        <v>7735</v>
      </c>
      <c r="E3375" t="s">
        <v>5152</v>
      </c>
      <c r="F3375" t="s">
        <v>88</v>
      </c>
      <c r="G3375" s="27" t="str">
        <f t="shared" si="106"/>
        <v>5907 DIXIE LANE  BAYTOWN</v>
      </c>
      <c r="H3375" s="27" t="str">
        <f t="shared" si="107"/>
        <v>HOUSTON TX 77523</v>
      </c>
    </row>
    <row r="3376" spans="1:8" x14ac:dyDescent="0.2">
      <c r="A3376" s="27">
        <f>COUNTIFS(C:C,C3376,D:D,D3376)</f>
        <v>1</v>
      </c>
      <c r="B3376" s="30">
        <v>202101242679</v>
      </c>
      <c r="C3376" t="s">
        <v>7769</v>
      </c>
      <c r="D3376" t="s">
        <v>7770</v>
      </c>
      <c r="E3376" t="s">
        <v>4891</v>
      </c>
      <c r="F3376" t="s">
        <v>80</v>
      </c>
      <c r="G3376" s="27" t="str">
        <f t="shared" si="106"/>
        <v>969 DEWALT ST  HOUSTON</v>
      </c>
      <c r="H3376" s="27" t="str">
        <f t="shared" si="107"/>
        <v>HOUSTON TX 77088</v>
      </c>
    </row>
    <row r="3377" spans="1:8" x14ac:dyDescent="0.2">
      <c r="A3377" s="27">
        <f>COUNTIFS(C:C,C3377,D:D,D3377)</f>
        <v>1</v>
      </c>
      <c r="B3377" s="30">
        <v>202101242680</v>
      </c>
      <c r="C3377" t="s">
        <v>7674</v>
      </c>
      <c r="D3377" t="s">
        <v>7675</v>
      </c>
      <c r="E3377" t="s">
        <v>4852</v>
      </c>
      <c r="F3377" t="s">
        <v>7623</v>
      </c>
      <c r="G3377" s="27" t="str">
        <f t="shared" si="106"/>
        <v>8605 LAVENDER ST  HOUSTON</v>
      </c>
      <c r="H3377" s="27" t="str">
        <f t="shared" si="107"/>
        <v>HOUSTON TX 77016</v>
      </c>
    </row>
    <row r="3378" spans="1:8" x14ac:dyDescent="0.2">
      <c r="A3378" s="27">
        <f>COUNTIFS(C:C,C3378,D:D,D3378)</f>
        <v>1</v>
      </c>
      <c r="B3378" s="30">
        <v>202101242681</v>
      </c>
      <c r="C3378" t="s">
        <v>7867</v>
      </c>
      <c r="D3378" t="s">
        <v>7868</v>
      </c>
      <c r="E3378" t="s">
        <v>7869</v>
      </c>
      <c r="F3378" t="s">
        <v>88</v>
      </c>
      <c r="G3378" s="27" t="str">
        <f t="shared" si="106"/>
        <v>700 E UNION BOWER  IRVING</v>
      </c>
      <c r="H3378" s="27" t="str">
        <f t="shared" si="107"/>
        <v>HOUSTON TX 75061</v>
      </c>
    </row>
    <row r="3379" spans="1:8" x14ac:dyDescent="0.2">
      <c r="A3379" s="27">
        <f>COUNTIFS(C:C,C3379,D:D,D3379)</f>
        <v>1</v>
      </c>
      <c r="B3379" s="30">
        <v>202101242682</v>
      </c>
      <c r="C3379" t="s">
        <v>7802</v>
      </c>
      <c r="D3379" t="s">
        <v>7803</v>
      </c>
      <c r="E3379" t="s">
        <v>5104</v>
      </c>
      <c r="F3379" t="s">
        <v>53</v>
      </c>
      <c r="G3379" s="27" t="str">
        <f t="shared" si="106"/>
        <v>5531 TIGER LILLY WAY  HOUSTON</v>
      </c>
      <c r="H3379" s="27" t="str">
        <f t="shared" si="107"/>
        <v>HOUSTON TX 77085</v>
      </c>
    </row>
    <row r="3380" spans="1:8" x14ac:dyDescent="0.2">
      <c r="A3380" s="27">
        <f>COUNTIFS(C:C,C3380,D:D,D3380)</f>
        <v>1</v>
      </c>
      <c r="B3380" s="30">
        <v>202101242685</v>
      </c>
      <c r="C3380" t="s">
        <v>7870</v>
      </c>
      <c r="D3380" t="s">
        <v>7871</v>
      </c>
      <c r="E3380" t="s">
        <v>4941</v>
      </c>
      <c r="F3380" t="s">
        <v>88</v>
      </c>
      <c r="G3380" s="27" t="str">
        <f t="shared" si="106"/>
        <v>15530 HAZEL THICKET T RAIL CYPRESS</v>
      </c>
      <c r="H3380" s="27" t="str">
        <f t="shared" si="107"/>
        <v>HOUSTON TX 77429</v>
      </c>
    </row>
    <row r="3381" spans="1:8" x14ac:dyDescent="0.2">
      <c r="A3381" s="27">
        <f>COUNTIFS(C:C,C3381,D:D,D3381)</f>
        <v>1</v>
      </c>
      <c r="B3381" s="30">
        <v>202101242691</v>
      </c>
      <c r="C3381" t="s">
        <v>7670</v>
      </c>
      <c r="D3381" t="s">
        <v>4557</v>
      </c>
      <c r="E3381" t="s">
        <v>4896</v>
      </c>
      <c r="F3381" t="s">
        <v>53</v>
      </c>
      <c r="G3381" s="27" t="str">
        <f t="shared" si="106"/>
        <v>8711 TOWN PARK DR  HOUSTON</v>
      </c>
      <c r="H3381" s="27" t="str">
        <f t="shared" si="107"/>
        <v>HOUSTON TX 77036</v>
      </c>
    </row>
    <row r="3382" spans="1:8" x14ac:dyDescent="0.2">
      <c r="A3382" s="27">
        <f>COUNTIFS(C:C,C3382,D:D,D3382)</f>
        <v>1</v>
      </c>
      <c r="B3382" s="30">
        <v>202101242693</v>
      </c>
      <c r="C3382" t="s">
        <v>7738</v>
      </c>
      <c r="D3382" t="s">
        <v>7739</v>
      </c>
      <c r="E3382" t="s">
        <v>4896</v>
      </c>
      <c r="F3382" t="s">
        <v>72</v>
      </c>
      <c r="G3382" s="27" t="str">
        <f t="shared" si="106"/>
        <v>9888 BISSONNET ST  HOUSTON</v>
      </c>
      <c r="H3382" s="27" t="str">
        <f t="shared" si="107"/>
        <v>HOUSTON TX 77036</v>
      </c>
    </row>
    <row r="3383" spans="1:8" x14ac:dyDescent="0.2">
      <c r="A3383" s="27">
        <f>COUNTIFS(C:C,C3383,D:D,D3383)</f>
        <v>1</v>
      </c>
      <c r="B3383" s="30">
        <v>202101242694</v>
      </c>
      <c r="C3383" t="s">
        <v>7872</v>
      </c>
      <c r="D3383" t="s">
        <v>7873</v>
      </c>
      <c r="E3383" t="s">
        <v>4933</v>
      </c>
      <c r="F3383" t="s">
        <v>88</v>
      </c>
      <c r="G3383" s="27" t="str">
        <f t="shared" si="106"/>
        <v>3125 CRESTADALE DR 2 414 HOUSTON</v>
      </c>
      <c r="H3383" s="27" t="str">
        <f t="shared" si="107"/>
        <v>HOUSTON TX 77080</v>
      </c>
    </row>
    <row r="3384" spans="1:8" x14ac:dyDescent="0.2">
      <c r="A3384" s="27">
        <f>COUNTIFS(C:C,C3384,D:D,D3384)</f>
        <v>1</v>
      </c>
      <c r="B3384" s="30">
        <v>202101242706</v>
      </c>
      <c r="C3384" t="s">
        <v>7874</v>
      </c>
      <c r="D3384" t="s">
        <v>7875</v>
      </c>
      <c r="E3384" t="s">
        <v>4910</v>
      </c>
      <c r="F3384" t="s">
        <v>57</v>
      </c>
      <c r="G3384" s="27" t="str">
        <f t="shared" si="106"/>
        <v>16121 BEAR BAYOU DR 7 2 CHANNELVIE</v>
      </c>
      <c r="H3384" s="27" t="str">
        <f t="shared" si="107"/>
        <v>HOUSTON TX 77530</v>
      </c>
    </row>
    <row r="3385" spans="1:8" x14ac:dyDescent="0.2">
      <c r="A3385" s="27">
        <f>COUNTIFS(C:C,C3385,D:D,D3385)</f>
        <v>1</v>
      </c>
      <c r="B3385" s="30">
        <v>202101242708</v>
      </c>
      <c r="C3385" t="s">
        <v>7876</v>
      </c>
      <c r="D3385" t="s">
        <v>7885</v>
      </c>
      <c r="E3385" t="s">
        <v>7884</v>
      </c>
      <c r="F3385" t="s">
        <v>51</v>
      </c>
      <c r="G3385" s="27" t="str">
        <f t="shared" si="106"/>
        <v>20514 CAT SPRING</v>
      </c>
      <c r="H3385" s="27" t="str">
        <f t="shared" si="107"/>
        <v>HOUSTON TX 77449</v>
      </c>
    </row>
    <row r="3386" spans="1:8" x14ac:dyDescent="0.2">
      <c r="A3386" s="27">
        <f>COUNTIFS(C:C,C3386,D:D,D3386)</f>
        <v>1</v>
      </c>
      <c r="B3386" s="30">
        <v>202101242713</v>
      </c>
      <c r="C3386" t="s">
        <v>7877</v>
      </c>
      <c r="D3386" t="s">
        <v>7878</v>
      </c>
      <c r="E3386" t="s">
        <v>4943</v>
      </c>
      <c r="F3386" t="s">
        <v>51</v>
      </c>
      <c r="G3386" s="27" t="str">
        <f t="shared" si="106"/>
        <v>6403 SPRING CREEK  HOUSTON</v>
      </c>
      <c r="H3386" s="27" t="str">
        <f t="shared" si="107"/>
        <v>HOUSTON TX 77084</v>
      </c>
    </row>
    <row r="3387" spans="1:8" x14ac:dyDescent="0.2">
      <c r="A3387" s="27">
        <f>COUNTIFS(C:C,C3387,D:D,D3387)</f>
        <v>1</v>
      </c>
      <c r="B3387" s="30">
        <v>202101242714</v>
      </c>
      <c r="C3387" t="s">
        <v>7751</v>
      </c>
      <c r="D3387" t="s">
        <v>7752</v>
      </c>
      <c r="E3387" t="s">
        <v>5097</v>
      </c>
      <c r="F3387" t="s">
        <v>51</v>
      </c>
      <c r="G3387" s="27" t="str">
        <f t="shared" si="106"/>
        <v>8282 CAMBRIDGE ST AP T 1305 HOUSTON</v>
      </c>
      <c r="H3387" s="27" t="str">
        <f t="shared" si="107"/>
        <v>HOUSTON TX 77054</v>
      </c>
    </row>
    <row r="3388" spans="1:8" x14ac:dyDescent="0.2">
      <c r="A3388" s="27">
        <f>COUNTIFS(C:C,C3388,D:D,D3388)</f>
        <v>1</v>
      </c>
      <c r="B3388" s="30">
        <v>202101242717</v>
      </c>
      <c r="C3388" t="s">
        <v>7761</v>
      </c>
      <c r="D3388" t="s">
        <v>7762</v>
      </c>
      <c r="E3388" t="s">
        <v>4878</v>
      </c>
      <c r="F3388" t="s">
        <v>7646</v>
      </c>
      <c r="G3388" s="27" t="str">
        <f t="shared" si="106"/>
        <v>6102 CARSON RD  HOUSTON</v>
      </c>
      <c r="H3388" s="27" t="str">
        <f t="shared" si="107"/>
        <v>HOUSTON TX 77048</v>
      </c>
    </row>
    <row r="3389" spans="1:8" x14ac:dyDescent="0.2">
      <c r="A3389" s="27">
        <f>COUNTIFS(C:C,C3389,D:D,D3389)</f>
        <v>1</v>
      </c>
      <c r="B3389" s="30">
        <v>202101247229</v>
      </c>
      <c r="C3389" t="s">
        <v>7810</v>
      </c>
      <c r="D3389" t="s">
        <v>1208</v>
      </c>
      <c r="E3389" t="s">
        <v>4960</v>
      </c>
      <c r="F3389" t="s">
        <v>209</v>
      </c>
      <c r="G3389" s="27" t="str">
        <f t="shared" si="106"/>
        <v>400 GREENS RD  HOUSTON</v>
      </c>
      <c r="H3389" s="27" t="str">
        <f t="shared" si="107"/>
        <v>HOUSTON TX 77060</v>
      </c>
    </row>
    <row r="3390" spans="1:8" x14ac:dyDescent="0.2">
      <c r="A3390" s="27">
        <f>COUNTIFS(C:C,C3390,D:D,D3390)</f>
        <v>1</v>
      </c>
      <c r="B3390" s="30">
        <v>202101247256</v>
      </c>
      <c r="C3390" t="s">
        <v>7811</v>
      </c>
      <c r="D3390" t="s">
        <v>7812</v>
      </c>
      <c r="E3390" t="s">
        <v>4903</v>
      </c>
      <c r="F3390" t="s">
        <v>7632</v>
      </c>
      <c r="G3390" s="27" t="str">
        <f t="shared" si="106"/>
        <v>19915 PHILIPPA HILLS TRL CYPRESS</v>
      </c>
      <c r="H3390" s="27" t="str">
        <f t="shared" si="107"/>
        <v>HOUSTON TX 77433</v>
      </c>
    </row>
    <row r="3391" spans="1:8" x14ac:dyDescent="0.2">
      <c r="A3391" s="27">
        <f>COUNTIFS(C:C,C3391,D:D,D3391)</f>
        <v>1</v>
      </c>
      <c r="B3391" s="30">
        <v>202101247349</v>
      </c>
      <c r="C3391" t="s">
        <v>7813</v>
      </c>
      <c r="D3391" t="s">
        <v>7814</v>
      </c>
      <c r="E3391" t="s">
        <v>4918</v>
      </c>
      <c r="F3391" t="s">
        <v>7356</v>
      </c>
      <c r="G3391" s="27" t="str">
        <f t="shared" si="106"/>
        <v>11710 CHAMPIONS GROVE LN HOUSTON</v>
      </c>
      <c r="H3391" s="27" t="str">
        <f t="shared" si="107"/>
        <v>HOUSTON TX 77066</v>
      </c>
    </row>
    <row r="3392" spans="1:8" x14ac:dyDescent="0.2">
      <c r="A3392" s="27">
        <f>COUNTIFS(C:C,C3392,D:D,D3392)</f>
        <v>1</v>
      </c>
      <c r="B3392" s="30">
        <v>202101247408</v>
      </c>
      <c r="C3392" t="s">
        <v>7669</v>
      </c>
      <c r="D3392" t="s">
        <v>7224</v>
      </c>
      <c r="E3392" t="s">
        <v>7225</v>
      </c>
      <c r="F3392" t="s">
        <v>7637</v>
      </c>
      <c r="G3392" s="27" t="str">
        <f t="shared" si="106"/>
        <v>7819 OAK EDGE COURT  SPRING</v>
      </c>
      <c r="H3392" s="27" t="str">
        <f t="shared" si="107"/>
        <v>HOUSTON TX 77398</v>
      </c>
    </row>
    <row r="3393" spans="1:8" x14ac:dyDescent="0.2">
      <c r="A3393" s="27">
        <f>COUNTIFS(C:C,C3393,D:D,D3393)</f>
        <v>1</v>
      </c>
      <c r="B3393" s="30">
        <v>202101247435</v>
      </c>
      <c r="C3393" t="s">
        <v>7763</v>
      </c>
      <c r="D3393" t="s">
        <v>7764</v>
      </c>
      <c r="E3393" t="s">
        <v>4915</v>
      </c>
      <c r="F3393" t="s">
        <v>5293</v>
      </c>
      <c r="G3393" s="27" t="str">
        <f t="shared" si="106"/>
        <v>3603 LUCA  HOUSTON</v>
      </c>
      <c r="H3393" s="27" t="str">
        <f t="shared" si="107"/>
        <v>HOUSTON TX 77021</v>
      </c>
    </row>
    <row r="3394" spans="1:8" x14ac:dyDescent="0.2">
      <c r="A3394" s="27">
        <f>COUNTIFS(C:C,C3394,D:D,D3394)</f>
        <v>1</v>
      </c>
      <c r="B3394" s="30">
        <v>202101247436</v>
      </c>
      <c r="C3394" t="s">
        <v>7815</v>
      </c>
      <c r="D3394" t="s">
        <v>7816</v>
      </c>
      <c r="E3394" t="s">
        <v>4874</v>
      </c>
      <c r="F3394" t="s">
        <v>208</v>
      </c>
      <c r="G3394" s="27" t="str">
        <f t="shared" si="106"/>
        <v>5050 SUNFLOWER ST AP T HOUSTON</v>
      </c>
      <c r="H3394" s="27" t="str">
        <f t="shared" si="107"/>
        <v>HOUSTON TX 77033</v>
      </c>
    </row>
    <row r="3395" spans="1:8" x14ac:dyDescent="0.2">
      <c r="A3395" s="27">
        <f>COUNTIFS(C:C,C3395,D:D,D3395)</f>
        <v>1</v>
      </c>
      <c r="B3395" s="30">
        <v>202101247458</v>
      </c>
      <c r="C3395" t="s">
        <v>7817</v>
      </c>
      <c r="D3395" t="s">
        <v>7818</v>
      </c>
      <c r="E3395" t="s">
        <v>4880</v>
      </c>
      <c r="F3395" t="s">
        <v>200</v>
      </c>
      <c r="G3395" s="27" t="str">
        <f t="shared" si="106"/>
        <v>3509 ELGIN ST  HOUSTON</v>
      </c>
      <c r="H3395" s="27" t="str">
        <f t="shared" si="107"/>
        <v>HOUSTON TX 77004</v>
      </c>
    </row>
    <row r="3396" spans="1:8" x14ac:dyDescent="0.2">
      <c r="A3396" s="27">
        <f>COUNTIFS(C:C,C3396,D:D,D3396)</f>
        <v>1</v>
      </c>
      <c r="B3396" s="30">
        <v>202101247459</v>
      </c>
      <c r="C3396" t="s">
        <v>7819</v>
      </c>
      <c r="D3396" t="s">
        <v>7820</v>
      </c>
      <c r="E3396" t="s">
        <v>4864</v>
      </c>
      <c r="F3396" t="s">
        <v>209</v>
      </c>
      <c r="G3396" s="27" t="str">
        <f t="shared" si="106"/>
        <v>6909 BOYCE ST  HOUSTON</v>
      </c>
      <c r="H3396" s="27" t="str">
        <f t="shared" si="107"/>
        <v>HOUSTON TX 77020</v>
      </c>
    </row>
    <row r="3397" spans="1:8" x14ac:dyDescent="0.2">
      <c r="A3397" s="27">
        <f>COUNTIFS(C:C,C3397,D:D,D3397)</f>
        <v>1</v>
      </c>
      <c r="B3397" s="30">
        <v>202101247544</v>
      </c>
      <c r="C3397" t="s">
        <v>7699</v>
      </c>
      <c r="D3397" t="s">
        <v>7700</v>
      </c>
      <c r="E3397" t="s">
        <v>4984</v>
      </c>
      <c r="F3397" t="s">
        <v>238</v>
      </c>
      <c r="G3397" s="27" t="str">
        <f t="shared" si="106"/>
        <v>5815 EVENING SHADOWS LN SPRING</v>
      </c>
      <c r="H3397" s="27" t="str">
        <f t="shared" si="107"/>
        <v>HOUSTON TX 77373</v>
      </c>
    </row>
    <row r="3398" spans="1:8" x14ac:dyDescent="0.2">
      <c r="A3398" s="27">
        <f>COUNTIFS(C:C,C3398,D:D,D3398)</f>
        <v>1</v>
      </c>
      <c r="B3398" s="30">
        <v>202101247560</v>
      </c>
      <c r="C3398" t="s">
        <v>7703</v>
      </c>
      <c r="D3398" t="s">
        <v>7704</v>
      </c>
      <c r="E3398" t="s">
        <v>4861</v>
      </c>
      <c r="F3398" t="s">
        <v>203</v>
      </c>
      <c r="G3398" s="27" t="str">
        <f t="shared" si="106"/>
        <v>4506 REDBUD ST  HOUSTON</v>
      </c>
      <c r="H3398" s="27" t="str">
        <f t="shared" si="107"/>
        <v>HOUSTON TX 77051</v>
      </c>
    </row>
    <row r="3399" spans="1:8" x14ac:dyDescent="0.2">
      <c r="A3399" s="27">
        <f>COUNTIFS(C:C,C3399,D:D,D3399)</f>
        <v>1</v>
      </c>
      <c r="B3399" s="30">
        <v>202101247565</v>
      </c>
      <c r="C3399" t="s">
        <v>7440</v>
      </c>
      <c r="D3399" t="s">
        <v>7441</v>
      </c>
      <c r="E3399" t="s">
        <v>4952</v>
      </c>
      <c r="F3399" t="s">
        <v>7642</v>
      </c>
      <c r="G3399" s="27" t="str">
        <f t="shared" si="106"/>
        <v>621 SHAVER ST  PASADENA</v>
      </c>
      <c r="H3399" s="27" t="str">
        <f t="shared" si="107"/>
        <v>HOUSTON TX 77506</v>
      </c>
    </row>
    <row r="3400" spans="1:8" x14ac:dyDescent="0.2">
      <c r="A3400" s="27">
        <f>COUNTIFS(C:C,C3400,D:D,D3400)</f>
        <v>1</v>
      </c>
      <c r="B3400" s="30">
        <v>202101247585</v>
      </c>
      <c r="C3400" t="s">
        <v>7452</v>
      </c>
      <c r="D3400" t="s">
        <v>7453</v>
      </c>
      <c r="E3400" t="s">
        <v>4889</v>
      </c>
      <c r="F3400" t="s">
        <v>7644</v>
      </c>
      <c r="G3400" s="27" t="str">
        <f t="shared" si="106"/>
        <v>2214 BRIMMAGE DRIVE  HOUSTON</v>
      </c>
      <c r="H3400" s="27" t="str">
        <f t="shared" si="107"/>
        <v>HOUSTON TX 77067</v>
      </c>
    </row>
    <row r="3401" spans="1:8" x14ac:dyDescent="0.2">
      <c r="A3401" s="27">
        <f>COUNTIFS(C:C,C3401,D:D,D3401)</f>
        <v>1</v>
      </c>
      <c r="B3401" s="30">
        <v>202101247601</v>
      </c>
      <c r="C3401" t="s">
        <v>7821</v>
      </c>
      <c r="D3401" t="s">
        <v>7822</v>
      </c>
      <c r="E3401" t="s">
        <v>5033</v>
      </c>
      <c r="F3401" t="s">
        <v>231</v>
      </c>
      <c r="G3401" s="27" t="str">
        <f t="shared" si="106"/>
        <v>28922 GRAND TETON CT  KATY</v>
      </c>
      <c r="H3401" s="27" t="str">
        <f t="shared" si="107"/>
        <v>HOUSTON TX 77494</v>
      </c>
    </row>
    <row r="3402" spans="1:8" x14ac:dyDescent="0.2">
      <c r="A3402" s="27">
        <f>COUNTIFS(C:C,C3402,D:D,D3402)</f>
        <v>1</v>
      </c>
      <c r="B3402" s="30">
        <v>202101247627</v>
      </c>
      <c r="C3402" t="s">
        <v>7706</v>
      </c>
      <c r="D3402" t="s">
        <v>7707</v>
      </c>
      <c r="E3402" t="s">
        <v>4872</v>
      </c>
      <c r="F3402" t="s">
        <v>203</v>
      </c>
      <c r="G3402" s="27" t="str">
        <f t="shared" si="106"/>
        <v>7930 WOODLYN  HOUSTON</v>
      </c>
      <c r="H3402" s="27" t="str">
        <f t="shared" si="107"/>
        <v>HOUSTON TX 77028</v>
      </c>
    </row>
    <row r="3403" spans="1:8" x14ac:dyDescent="0.2">
      <c r="A3403" s="27">
        <f>COUNTIFS(C:C,C3403,D:D,D3403)</f>
        <v>1</v>
      </c>
      <c r="B3403" s="30">
        <v>202101247657</v>
      </c>
      <c r="C3403" t="s">
        <v>7681</v>
      </c>
      <c r="D3403" t="s">
        <v>7682</v>
      </c>
      <c r="E3403" t="s">
        <v>4875</v>
      </c>
      <c r="F3403" t="s">
        <v>195</v>
      </c>
      <c r="G3403" s="27" t="str">
        <f t="shared" si="106"/>
        <v>11707 MAYMOUNT LN  HOUSTON</v>
      </c>
      <c r="H3403" s="27" t="str">
        <f t="shared" si="107"/>
        <v>HOUSTON TX 77093</v>
      </c>
    </row>
    <row r="3404" spans="1:8" x14ac:dyDescent="0.2">
      <c r="A3404" s="27">
        <f>COUNTIFS(C:C,C3404,D:D,D3404)</f>
        <v>1</v>
      </c>
      <c r="B3404" s="30">
        <v>202101247673</v>
      </c>
      <c r="C3404" t="s">
        <v>7373</v>
      </c>
      <c r="D3404" t="s">
        <v>7374</v>
      </c>
      <c r="E3404" t="s">
        <v>4895</v>
      </c>
      <c r="F3404" t="s">
        <v>7635</v>
      </c>
      <c r="G3404" s="27" t="str">
        <f t="shared" si="106"/>
        <v>2104 CANAL ST  HOUSTON</v>
      </c>
      <c r="H3404" s="27" t="str">
        <f t="shared" si="107"/>
        <v>HOUSTON TX 77003</v>
      </c>
    </row>
    <row r="3405" spans="1:8" x14ac:dyDescent="0.2">
      <c r="A3405" s="27">
        <f>COUNTIFS(C:C,C3405,D:D,D3405)</f>
        <v>1</v>
      </c>
      <c r="B3405" s="30">
        <v>202101247676</v>
      </c>
      <c r="C3405" t="s">
        <v>7647</v>
      </c>
      <c r="D3405" t="s">
        <v>7648</v>
      </c>
      <c r="E3405" t="s">
        <v>4931</v>
      </c>
      <c r="F3405" t="s">
        <v>203</v>
      </c>
      <c r="G3405" s="27" t="str">
        <f t="shared" si="106"/>
        <v>13930 FORUM PARK DR  HOUSTON</v>
      </c>
      <c r="H3405" s="27" t="str">
        <f t="shared" si="107"/>
        <v>HOUSTON TX 77014</v>
      </c>
    </row>
    <row r="3406" spans="1:8" x14ac:dyDescent="0.2">
      <c r="A3406" s="27">
        <f>COUNTIFS(C:C,C3406,D:D,D3406)</f>
        <v>1</v>
      </c>
      <c r="B3406" s="30">
        <v>202101247681</v>
      </c>
      <c r="C3406" t="s">
        <v>7722</v>
      </c>
      <c r="D3406" t="s">
        <v>7723</v>
      </c>
      <c r="E3406" t="s">
        <v>5080</v>
      </c>
      <c r="F3406" t="s">
        <v>5298</v>
      </c>
      <c r="G3406" s="27" t="str">
        <f t="shared" ref="G3406:G3469" si="108">D3406&amp;" "&amp;MID(E3406,1,FIND(" TX",E3406)-1)</f>
        <v>11002 HAMMERLY BLVD A PT HOUSTON</v>
      </c>
      <c r="H3406" s="27" t="str">
        <f t="shared" ref="H3406:H3469" si="109">"HOUSTON "&amp;MID(E3406,FIND("TX",E3406),8)</f>
        <v>HOUSTON TX 77043</v>
      </c>
    </row>
    <row r="3407" spans="1:8" x14ac:dyDescent="0.2">
      <c r="A3407" s="27">
        <f>COUNTIFS(C:C,C3407,D:D,D3407)</f>
        <v>1</v>
      </c>
      <c r="B3407" s="30">
        <v>202101247699</v>
      </c>
      <c r="C3407" t="s">
        <v>7726</v>
      </c>
      <c r="D3407" t="s">
        <v>7727</v>
      </c>
      <c r="E3407" t="s">
        <v>4931</v>
      </c>
      <c r="F3407" t="s">
        <v>209</v>
      </c>
      <c r="G3407" s="27" t="str">
        <f t="shared" si="108"/>
        <v>14420 WALTERS RD UNIT 1 HOUSTON</v>
      </c>
      <c r="H3407" s="27" t="str">
        <f t="shared" si="109"/>
        <v>HOUSTON TX 77014</v>
      </c>
    </row>
    <row r="3408" spans="1:8" x14ac:dyDescent="0.2">
      <c r="A3408" s="27">
        <f>COUNTIFS(C:C,C3408,D:D,D3408)</f>
        <v>1</v>
      </c>
      <c r="B3408" s="30">
        <v>202101247701</v>
      </c>
      <c r="C3408" t="s">
        <v>7659</v>
      </c>
      <c r="D3408" t="s">
        <v>7660</v>
      </c>
      <c r="E3408" t="s">
        <v>4873</v>
      </c>
      <c r="F3408" t="s">
        <v>7636</v>
      </c>
      <c r="G3408" s="27" t="str">
        <f t="shared" si="108"/>
        <v>9523 ABBOTSHALL LN  HOUSTON</v>
      </c>
      <c r="H3408" s="27" t="str">
        <f t="shared" si="109"/>
        <v>HOUSTON TX 77044</v>
      </c>
    </row>
    <row r="3409" spans="1:8" x14ac:dyDescent="0.2">
      <c r="A3409" s="27">
        <f>COUNTIFS(C:C,C3409,D:D,D3409)</f>
        <v>1</v>
      </c>
      <c r="B3409" s="30">
        <v>202101247703</v>
      </c>
      <c r="C3409" t="s">
        <v>7685</v>
      </c>
      <c r="D3409" t="s">
        <v>7686</v>
      </c>
      <c r="E3409" t="s">
        <v>4878</v>
      </c>
      <c r="F3409" t="s">
        <v>203</v>
      </c>
      <c r="G3409" s="27" t="str">
        <f t="shared" si="108"/>
        <v>4825 PARADISE LN  HOUSTON</v>
      </c>
      <c r="H3409" s="27" t="str">
        <f t="shared" si="109"/>
        <v>HOUSTON TX 77048</v>
      </c>
    </row>
    <row r="3410" spans="1:8" x14ac:dyDescent="0.2">
      <c r="A3410" s="27">
        <f>COUNTIFS(C:C,C3410,D:D,D3410)</f>
        <v>1</v>
      </c>
      <c r="B3410" s="30">
        <v>202101247707</v>
      </c>
      <c r="C3410" t="s">
        <v>7736</v>
      </c>
      <c r="D3410" t="s">
        <v>7737</v>
      </c>
      <c r="E3410" t="s">
        <v>4854</v>
      </c>
      <c r="F3410" t="s">
        <v>7641</v>
      </c>
      <c r="G3410" s="27" t="str">
        <f t="shared" si="108"/>
        <v>4914 KASHMERE ST  HOUSTON</v>
      </c>
      <c r="H3410" s="27" t="str">
        <f t="shared" si="109"/>
        <v>HOUSTON TX 77026</v>
      </c>
    </row>
    <row r="3411" spans="1:8" x14ac:dyDescent="0.2">
      <c r="A3411" s="27">
        <f>COUNTIFS(C:C,C3411,D:D,D3411)</f>
        <v>2</v>
      </c>
      <c r="B3411" s="30">
        <v>202101247709</v>
      </c>
      <c r="C3411" t="s">
        <v>3138</v>
      </c>
      <c r="D3411" t="s">
        <v>3139</v>
      </c>
      <c r="E3411" t="s">
        <v>5160</v>
      </c>
      <c r="F3411" t="s">
        <v>221</v>
      </c>
      <c r="G3411" s="27" t="str">
        <f t="shared" si="108"/>
        <v>1117 TEXAS AVENUE  HOUSTON</v>
      </c>
      <c r="H3411" s="27" t="str">
        <f t="shared" si="109"/>
        <v>HOUSTON TX 77002</v>
      </c>
    </row>
    <row r="3412" spans="1:8" x14ac:dyDescent="0.2">
      <c r="A3412" s="27">
        <f>COUNTIFS(C:C,C3412,D:D,D3412)</f>
        <v>1</v>
      </c>
      <c r="B3412" s="30">
        <v>202101247719</v>
      </c>
      <c r="C3412" t="s">
        <v>7716</v>
      </c>
      <c r="D3412" t="s">
        <v>7717</v>
      </c>
      <c r="E3412" t="s">
        <v>5038</v>
      </c>
      <c r="F3412" t="s">
        <v>209</v>
      </c>
      <c r="G3412" s="27" t="str">
        <f t="shared" si="108"/>
        <v>2809 CR 471  BRAZORIA</v>
      </c>
      <c r="H3412" s="27" t="str">
        <f t="shared" si="109"/>
        <v>HOUSTON TX 77422</v>
      </c>
    </row>
    <row r="3413" spans="1:8" x14ac:dyDescent="0.2">
      <c r="A3413" s="27">
        <f>COUNTIFS(C:C,C3413,D:D,D3413)</f>
        <v>1</v>
      </c>
      <c r="B3413" s="30">
        <v>202101247729</v>
      </c>
      <c r="C3413" t="s">
        <v>7679</v>
      </c>
      <c r="D3413" t="s">
        <v>7680</v>
      </c>
      <c r="E3413" t="s">
        <v>4880</v>
      </c>
      <c r="F3413" t="s">
        <v>203</v>
      </c>
      <c r="G3413" s="27" t="str">
        <f t="shared" si="108"/>
        <v>2612 WHEELER AVE  HOUSTON</v>
      </c>
      <c r="H3413" s="27" t="str">
        <f t="shared" si="109"/>
        <v>HOUSTON TX 77004</v>
      </c>
    </row>
    <row r="3414" spans="1:8" x14ac:dyDescent="0.2">
      <c r="A3414" s="27">
        <f>COUNTIFS(C:C,C3414,D:D,D3414)</f>
        <v>1</v>
      </c>
      <c r="B3414" s="30">
        <v>202101247751</v>
      </c>
      <c r="C3414" t="s">
        <v>7740</v>
      </c>
      <c r="D3414" t="s">
        <v>7741</v>
      </c>
      <c r="E3414" t="s">
        <v>4931</v>
      </c>
      <c r="F3414" t="s">
        <v>203</v>
      </c>
      <c r="G3414" s="27" t="str">
        <f t="shared" si="108"/>
        <v>12550 KUYKENDAHL RD  HOUSTON</v>
      </c>
      <c r="H3414" s="27" t="str">
        <f t="shared" si="109"/>
        <v>HOUSTON TX 77014</v>
      </c>
    </row>
    <row r="3415" spans="1:8" x14ac:dyDescent="0.2">
      <c r="A3415" s="27">
        <f>COUNTIFS(C:C,C3415,D:D,D3415)</f>
        <v>1</v>
      </c>
      <c r="B3415" s="30">
        <v>202101247756</v>
      </c>
      <c r="C3415" t="s">
        <v>7687</v>
      </c>
      <c r="D3415" t="s">
        <v>7688</v>
      </c>
      <c r="E3415" t="s">
        <v>4991</v>
      </c>
      <c r="F3415" t="s">
        <v>207</v>
      </c>
      <c r="G3415" s="27" t="str">
        <f t="shared" si="108"/>
        <v>10075 WESTPARK DR 98  HOUSTON</v>
      </c>
      <c r="H3415" s="27" t="str">
        <f t="shared" si="109"/>
        <v>HOUSTON TX 77042</v>
      </c>
    </row>
    <row r="3416" spans="1:8" x14ac:dyDescent="0.2">
      <c r="A3416" s="27">
        <f>COUNTIFS(C:C,C3416,D:D,D3416)</f>
        <v>1</v>
      </c>
      <c r="B3416" s="30">
        <v>202101247762</v>
      </c>
      <c r="C3416" t="s">
        <v>7835</v>
      </c>
      <c r="D3416" t="s">
        <v>7836</v>
      </c>
      <c r="E3416" t="s">
        <v>4981</v>
      </c>
      <c r="F3416" t="s">
        <v>187</v>
      </c>
      <c r="G3416" s="27" t="str">
        <f t="shared" si="108"/>
        <v>10603 SOUTHDOWN TRACE TRL 304 HOUSTON</v>
      </c>
      <c r="H3416" s="27" t="str">
        <f t="shared" si="109"/>
        <v>HOUSTON TX 77034</v>
      </c>
    </row>
    <row r="3417" spans="1:8" x14ac:dyDescent="0.2">
      <c r="A3417" s="27">
        <f>COUNTIFS(C:C,C3417,D:D,D3417)</f>
        <v>1</v>
      </c>
      <c r="B3417" s="30">
        <v>202101247768</v>
      </c>
      <c r="C3417" t="s">
        <v>7767</v>
      </c>
      <c r="D3417" t="s">
        <v>7768</v>
      </c>
      <c r="E3417" t="s">
        <v>5120</v>
      </c>
      <c r="F3417" t="s">
        <v>217</v>
      </c>
      <c r="G3417" s="27" t="str">
        <f t="shared" si="108"/>
        <v>738 VOYAGER  HOUSTON</v>
      </c>
      <c r="H3417" s="27" t="str">
        <f t="shared" si="109"/>
        <v>HOUSTON TX 77062</v>
      </c>
    </row>
    <row r="3418" spans="1:8" x14ac:dyDescent="0.2">
      <c r="A3418" s="27">
        <f>COUNTIFS(C:C,C3418,D:D,D3418)</f>
        <v>1</v>
      </c>
      <c r="B3418" s="30">
        <v>202101247769</v>
      </c>
      <c r="C3418" t="s">
        <v>7798</v>
      </c>
      <c r="D3418" t="s">
        <v>7799</v>
      </c>
      <c r="E3418" t="s">
        <v>7800</v>
      </c>
      <c r="F3418" t="s">
        <v>7625</v>
      </c>
      <c r="G3418" s="27" t="e">
        <f t="shared" si="108"/>
        <v>#VALUE!</v>
      </c>
      <c r="H3418" s="27" t="e">
        <f t="shared" si="109"/>
        <v>#VALUE!</v>
      </c>
    </row>
    <row r="3419" spans="1:8" x14ac:dyDescent="0.2">
      <c r="A3419" s="27">
        <f>COUNTIFS(C:C,C3419,D:D,D3419)</f>
        <v>1</v>
      </c>
      <c r="B3419" s="30">
        <v>202101247772</v>
      </c>
      <c r="C3419" t="s">
        <v>7693</v>
      </c>
      <c r="D3419" t="s">
        <v>7694</v>
      </c>
      <c r="E3419" t="s">
        <v>4865</v>
      </c>
      <c r="F3419" t="s">
        <v>7639</v>
      </c>
      <c r="G3419" s="27" t="str">
        <f t="shared" si="108"/>
        <v>1107 PROGESSO  HOUSTON</v>
      </c>
      <c r="H3419" s="27" t="str">
        <f t="shared" si="109"/>
        <v xml:space="preserve">HOUSTON TX      </v>
      </c>
    </row>
    <row r="3420" spans="1:8" x14ac:dyDescent="0.2">
      <c r="A3420" s="27">
        <f>COUNTIFS(C:C,C3420,D:D,D3420)</f>
        <v>1</v>
      </c>
      <c r="B3420" s="30">
        <v>202101247773</v>
      </c>
      <c r="C3420" t="s">
        <v>7837</v>
      </c>
      <c r="D3420" t="s">
        <v>7838</v>
      </c>
      <c r="E3420" t="s">
        <v>4950</v>
      </c>
      <c r="F3420" t="s">
        <v>200</v>
      </c>
      <c r="G3420" s="27" t="str">
        <f t="shared" si="108"/>
        <v>605 BERRY RD 1801  HOUSTON</v>
      </c>
      <c r="H3420" s="27" t="str">
        <f t="shared" si="109"/>
        <v>HOUSTON TX 77022</v>
      </c>
    </row>
    <row r="3421" spans="1:8" x14ac:dyDescent="0.2">
      <c r="A3421" s="27">
        <f>COUNTIFS(C:C,C3421,D:D,D3421)</f>
        <v>1</v>
      </c>
      <c r="B3421" s="30">
        <v>202101247779</v>
      </c>
      <c r="C3421" t="s">
        <v>7784</v>
      </c>
      <c r="D3421" t="s">
        <v>7785</v>
      </c>
      <c r="E3421" t="s">
        <v>4904</v>
      </c>
      <c r="F3421" t="s">
        <v>200</v>
      </c>
      <c r="G3421" s="27" t="str">
        <f t="shared" si="108"/>
        <v>8723 TILGHAM ST  HOUSTON</v>
      </c>
      <c r="H3421" s="27" t="str">
        <f t="shared" si="109"/>
        <v>HOUSTON TX 77029</v>
      </c>
    </row>
    <row r="3422" spans="1:8" x14ac:dyDescent="0.2">
      <c r="A3422" s="27">
        <f>COUNTIFS(C:C,C3422,D:D,D3422)</f>
        <v>1</v>
      </c>
      <c r="B3422" s="30">
        <v>202101247781</v>
      </c>
      <c r="C3422" t="s">
        <v>7714</v>
      </c>
      <c r="D3422" t="s">
        <v>7715</v>
      </c>
      <c r="E3422" t="s">
        <v>4854</v>
      </c>
      <c r="F3422" t="s">
        <v>6995</v>
      </c>
      <c r="G3422" s="27" t="str">
        <f t="shared" si="108"/>
        <v>4502 CRANE DT  HOUSTON</v>
      </c>
      <c r="H3422" s="27" t="str">
        <f t="shared" si="109"/>
        <v>HOUSTON TX 77026</v>
      </c>
    </row>
    <row r="3423" spans="1:8" x14ac:dyDescent="0.2">
      <c r="A3423" s="27">
        <f>COUNTIFS(C:C,C3423,D:D,D3423)</f>
        <v>1</v>
      </c>
      <c r="B3423" s="30">
        <v>202101247786</v>
      </c>
      <c r="C3423" t="s">
        <v>7804</v>
      </c>
      <c r="D3423" t="s">
        <v>7805</v>
      </c>
      <c r="E3423" t="s">
        <v>4880</v>
      </c>
      <c r="F3423" t="s">
        <v>7628</v>
      </c>
      <c r="G3423" s="27" t="str">
        <f t="shared" si="108"/>
        <v>2505 SOUTHMORE BLVD  HOUSTON</v>
      </c>
      <c r="H3423" s="27" t="str">
        <f t="shared" si="109"/>
        <v>HOUSTON TX 77004</v>
      </c>
    </row>
    <row r="3424" spans="1:8" x14ac:dyDescent="0.2">
      <c r="A3424" s="27">
        <f>COUNTIFS(C:C,C3424,D:D,D3424)</f>
        <v>1</v>
      </c>
      <c r="B3424" s="30">
        <v>202101247790</v>
      </c>
      <c r="C3424" t="s">
        <v>2201</v>
      </c>
      <c r="D3424" t="s">
        <v>7744</v>
      </c>
      <c r="E3424" t="s">
        <v>4986</v>
      </c>
      <c r="F3424" t="s">
        <v>236</v>
      </c>
      <c r="G3424" s="27" t="str">
        <f t="shared" si="108"/>
        <v>515 S BENDER  HUMBLE</v>
      </c>
      <c r="H3424" s="27" t="str">
        <f t="shared" si="109"/>
        <v>HOUSTON TX 77338</v>
      </c>
    </row>
    <row r="3425" spans="1:8" x14ac:dyDescent="0.2">
      <c r="A3425" s="27">
        <f>COUNTIFS(C:C,C3425,D:D,D3425)</f>
        <v>1</v>
      </c>
      <c r="B3425" s="30">
        <v>202101247793</v>
      </c>
      <c r="C3425" t="s">
        <v>7655</v>
      </c>
      <c r="D3425" t="s">
        <v>7656</v>
      </c>
      <c r="E3425" t="s">
        <v>4880</v>
      </c>
      <c r="F3425" t="s">
        <v>193</v>
      </c>
      <c r="G3425" s="27" t="str">
        <f t="shared" si="108"/>
        <v>3401 FANNIN ST  HOUSTON</v>
      </c>
      <c r="H3425" s="27" t="str">
        <f t="shared" si="109"/>
        <v>HOUSTON TX 77004</v>
      </c>
    </row>
    <row r="3426" spans="1:8" x14ac:dyDescent="0.2">
      <c r="A3426" s="27">
        <f>COUNTIFS(C:C,C3426,D:D,D3426)</f>
        <v>1</v>
      </c>
      <c r="B3426" s="30">
        <v>202101247795</v>
      </c>
      <c r="C3426" t="s">
        <v>7842</v>
      </c>
      <c r="D3426" t="s">
        <v>7843</v>
      </c>
      <c r="E3426" t="s">
        <v>4895</v>
      </c>
      <c r="F3426" t="s">
        <v>193</v>
      </c>
      <c r="G3426" s="27" t="str">
        <f t="shared" si="108"/>
        <v>221 ESTELLE ST  HOUSTON</v>
      </c>
      <c r="H3426" s="27" t="str">
        <f t="shared" si="109"/>
        <v>HOUSTON TX 77003</v>
      </c>
    </row>
    <row r="3427" spans="1:8" x14ac:dyDescent="0.2">
      <c r="A3427" s="27">
        <f>COUNTIFS(C:C,C3427,D:D,D3427)</f>
        <v>1</v>
      </c>
      <c r="B3427" s="30">
        <v>202101247807</v>
      </c>
      <c r="C3427" t="s">
        <v>7683</v>
      </c>
      <c r="D3427" t="s">
        <v>7684</v>
      </c>
      <c r="E3427" t="s">
        <v>4956</v>
      </c>
      <c r="F3427" t="s">
        <v>7624</v>
      </c>
      <c r="G3427" s="27" t="str">
        <f t="shared" si="108"/>
        <v>5702 DEERTIMBERS TRA IL HUMBLE</v>
      </c>
      <c r="H3427" s="27" t="str">
        <f t="shared" si="109"/>
        <v>HOUSTON TX 77346</v>
      </c>
    </row>
    <row r="3428" spans="1:8" x14ac:dyDescent="0.2">
      <c r="A3428" s="27">
        <f>COUNTIFS(C:C,C3428,D:D,D3428)</f>
        <v>1</v>
      </c>
      <c r="B3428" s="30">
        <v>202101247815</v>
      </c>
      <c r="C3428" t="s">
        <v>7653</v>
      </c>
      <c r="D3428" t="s">
        <v>7654</v>
      </c>
      <c r="E3428" t="s">
        <v>5334</v>
      </c>
      <c r="F3428" t="s">
        <v>252</v>
      </c>
      <c r="G3428" s="27" t="str">
        <f t="shared" si="108"/>
        <v>327 HOFFMAN  HOUSTON</v>
      </c>
      <c r="H3428" s="27" t="str">
        <f t="shared" si="109"/>
        <v>HOUSTON TX 77030</v>
      </c>
    </row>
    <row r="3429" spans="1:8" x14ac:dyDescent="0.2">
      <c r="A3429" s="27">
        <f>COUNTIFS(C:C,C3429,D:D,D3429)</f>
        <v>1</v>
      </c>
      <c r="B3429" s="30">
        <v>202101247820</v>
      </c>
      <c r="C3429" t="s">
        <v>7774</v>
      </c>
      <c r="D3429" t="s">
        <v>7775</v>
      </c>
      <c r="E3429" t="s">
        <v>4878</v>
      </c>
      <c r="F3429" t="s">
        <v>209</v>
      </c>
      <c r="G3429" s="27" t="str">
        <f t="shared" si="108"/>
        <v>5522 ELM TREE DR  HOUSTON</v>
      </c>
      <c r="H3429" s="27" t="str">
        <f t="shared" si="109"/>
        <v>HOUSTON TX 77048</v>
      </c>
    </row>
    <row r="3430" spans="1:8" x14ac:dyDescent="0.2">
      <c r="A3430" s="27">
        <f>COUNTIFS(C:C,C3430,D:D,D3430)</f>
        <v>1</v>
      </c>
      <c r="B3430" s="30">
        <v>202101247823</v>
      </c>
      <c r="C3430" t="s">
        <v>7771</v>
      </c>
      <c r="D3430" t="s">
        <v>7772</v>
      </c>
      <c r="E3430" t="s">
        <v>4851</v>
      </c>
      <c r="F3430" t="s">
        <v>209</v>
      </c>
      <c r="G3430" s="27" t="str">
        <f t="shared" si="108"/>
        <v>320 MASSEY TOMPKINS RD BAYTOWN</v>
      </c>
      <c r="H3430" s="27" t="str">
        <f t="shared" si="109"/>
        <v>HOUSTON TX 77521</v>
      </c>
    </row>
    <row r="3431" spans="1:8" x14ac:dyDescent="0.2">
      <c r="A3431" s="27">
        <f>COUNTIFS(C:C,C3431,D:D,D3431)</f>
        <v>1</v>
      </c>
      <c r="B3431" s="30">
        <v>202101247845</v>
      </c>
      <c r="C3431" t="s">
        <v>7758</v>
      </c>
      <c r="D3431" t="s">
        <v>7759</v>
      </c>
      <c r="E3431" t="s">
        <v>7760</v>
      </c>
      <c r="F3431" t="s">
        <v>233</v>
      </c>
      <c r="G3431" s="27" t="str">
        <f t="shared" si="108"/>
        <v>9 DEWTHREAD CT  SPRING</v>
      </c>
      <c r="H3431" s="27" t="str">
        <f t="shared" si="109"/>
        <v>HOUSTON TX 77380</v>
      </c>
    </row>
    <row r="3432" spans="1:8" x14ac:dyDescent="0.2">
      <c r="A3432" s="27">
        <f>COUNTIFS(C:C,C3432,D:D,D3432)</f>
        <v>1</v>
      </c>
      <c r="B3432" s="30">
        <v>202101247860</v>
      </c>
      <c r="C3432" t="s">
        <v>7657</v>
      </c>
      <c r="D3432" t="s">
        <v>7658</v>
      </c>
      <c r="E3432" t="s">
        <v>4891</v>
      </c>
      <c r="F3432" t="s">
        <v>194</v>
      </c>
      <c r="G3432" s="27" t="str">
        <f t="shared" si="108"/>
        <v>7927 SUNNYVALE FORES T DR HOUSTON</v>
      </c>
      <c r="H3432" s="27" t="str">
        <f t="shared" si="109"/>
        <v>HOUSTON TX 77088</v>
      </c>
    </row>
    <row r="3433" spans="1:8" x14ac:dyDescent="0.2">
      <c r="A3433" s="27">
        <f>COUNTIFS(C:C,C3433,D:D,D3433)</f>
        <v>1</v>
      </c>
      <c r="B3433" s="30">
        <v>202101247861</v>
      </c>
      <c r="C3433" t="s">
        <v>7708</v>
      </c>
      <c r="D3433" t="s">
        <v>7709</v>
      </c>
      <c r="E3433" t="s">
        <v>4932</v>
      </c>
      <c r="F3433" t="s">
        <v>187</v>
      </c>
      <c r="G3433" s="27" t="str">
        <f t="shared" si="108"/>
        <v>6200 WEST TIDWELL  HOUSTON</v>
      </c>
      <c r="H3433" s="27" t="str">
        <f t="shared" si="109"/>
        <v>HOUSTON TX 77092</v>
      </c>
    </row>
    <row r="3434" spans="1:8" x14ac:dyDescent="0.2">
      <c r="A3434" s="27">
        <f>COUNTIFS(C:C,C3434,D:D,D3434)</f>
        <v>1</v>
      </c>
      <c r="B3434" s="30">
        <v>202101247864</v>
      </c>
      <c r="C3434" t="s">
        <v>7672</v>
      </c>
      <c r="D3434" t="s">
        <v>7673</v>
      </c>
      <c r="E3434" t="s">
        <v>4900</v>
      </c>
      <c r="F3434" t="s">
        <v>203</v>
      </c>
      <c r="G3434" s="27" t="str">
        <f t="shared" si="108"/>
        <v>2731 JEANENE CT  KATY</v>
      </c>
      <c r="H3434" s="27" t="str">
        <f t="shared" si="109"/>
        <v>HOUSTON TX 77449</v>
      </c>
    </row>
    <row r="3435" spans="1:8" x14ac:dyDescent="0.2">
      <c r="A3435" s="27">
        <f>COUNTIFS(C:C,C3435,D:D,D3435)</f>
        <v>1</v>
      </c>
      <c r="B3435" s="30">
        <v>202101247865</v>
      </c>
      <c r="C3435" t="s">
        <v>7786</v>
      </c>
      <c r="D3435" t="s">
        <v>7787</v>
      </c>
      <c r="E3435" t="s">
        <v>4960</v>
      </c>
      <c r="F3435" t="s">
        <v>233</v>
      </c>
      <c r="G3435" s="27" t="str">
        <f t="shared" si="108"/>
        <v>15167 DOGWOOD TREE  HOUSTON</v>
      </c>
      <c r="H3435" s="27" t="str">
        <f t="shared" si="109"/>
        <v>HOUSTON TX 77060</v>
      </c>
    </row>
    <row r="3436" spans="1:8" x14ac:dyDescent="0.2">
      <c r="A3436" s="27">
        <f>COUNTIFS(C:C,C3436,D:D,D3436)</f>
        <v>1</v>
      </c>
      <c r="B3436" s="30">
        <v>202101247889</v>
      </c>
      <c r="C3436" t="s">
        <v>7701</v>
      </c>
      <c r="D3436" t="s">
        <v>7702</v>
      </c>
      <c r="E3436" t="s">
        <v>4861</v>
      </c>
      <c r="F3436" t="s">
        <v>187</v>
      </c>
      <c r="G3436" s="27" t="str">
        <f t="shared" si="108"/>
        <v>2605 REED RD APT 330 8 HOUSTON</v>
      </c>
      <c r="H3436" s="27" t="str">
        <f t="shared" si="109"/>
        <v>HOUSTON TX 77051</v>
      </c>
    </row>
    <row r="3437" spans="1:8" x14ac:dyDescent="0.2">
      <c r="A3437" s="27">
        <f>COUNTIFS(C:C,C3437,D:D,D3437)</f>
        <v>1</v>
      </c>
      <c r="B3437" s="30">
        <v>202101252199</v>
      </c>
      <c r="C3437" t="s">
        <v>7115</v>
      </c>
      <c r="D3437" t="s">
        <v>8076</v>
      </c>
      <c r="E3437" t="s">
        <v>4897</v>
      </c>
      <c r="F3437" t="s">
        <v>68</v>
      </c>
      <c r="G3437" s="27" t="str">
        <f t="shared" si="108"/>
        <v>414 AVE A  SOUTH HOUS</v>
      </c>
      <c r="H3437" s="27" t="str">
        <f t="shared" si="109"/>
        <v>HOUSTON TX 77587</v>
      </c>
    </row>
    <row r="3438" spans="1:8" x14ac:dyDescent="0.2">
      <c r="A3438" s="27">
        <f>COUNTIFS(C:C,C3438,D:D,D3438)</f>
        <v>1</v>
      </c>
      <c r="B3438" s="30">
        <v>202101252216</v>
      </c>
      <c r="C3438" t="s">
        <v>8015</v>
      </c>
      <c r="D3438" t="s">
        <v>7031</v>
      </c>
      <c r="E3438" t="s">
        <v>4988</v>
      </c>
      <c r="F3438" t="s">
        <v>7359</v>
      </c>
      <c r="G3438" s="27" t="str">
        <f t="shared" si="108"/>
        <v>16542 MORGAN RUN  MISSOURI C</v>
      </c>
      <c r="H3438" s="27" t="str">
        <f t="shared" si="109"/>
        <v>HOUSTON TX 77489</v>
      </c>
    </row>
    <row r="3439" spans="1:8" x14ac:dyDescent="0.2">
      <c r="A3439" s="27">
        <f>COUNTIFS(C:C,C3439,D:D,D3439)</f>
        <v>1</v>
      </c>
      <c r="B3439" s="30">
        <v>202101252267</v>
      </c>
      <c r="C3439" t="s">
        <v>8079</v>
      </c>
      <c r="D3439" t="s">
        <v>8080</v>
      </c>
      <c r="E3439" t="s">
        <v>4931</v>
      </c>
      <c r="F3439" t="s">
        <v>53</v>
      </c>
      <c r="G3439" s="27" t="str">
        <f t="shared" si="108"/>
        <v>2402 BAMMELWOOD DR  HOUSTON</v>
      </c>
      <c r="H3439" s="27" t="str">
        <f t="shared" si="109"/>
        <v>HOUSTON TX 77014</v>
      </c>
    </row>
    <row r="3440" spans="1:8" x14ac:dyDescent="0.2">
      <c r="A3440" s="27">
        <f>COUNTIFS(C:C,C3440,D:D,D3440)</f>
        <v>1</v>
      </c>
      <c r="B3440" s="30">
        <v>202101252500</v>
      </c>
      <c r="C3440" t="s">
        <v>8068</v>
      </c>
      <c r="D3440" t="s">
        <v>8069</v>
      </c>
      <c r="E3440" t="s">
        <v>4896</v>
      </c>
      <c r="F3440" t="s">
        <v>88</v>
      </c>
      <c r="G3440" s="27" t="str">
        <f t="shared" si="108"/>
        <v>8721 TOWNPARK NO 117 8 HOUSTON</v>
      </c>
      <c r="H3440" s="27" t="str">
        <f t="shared" si="109"/>
        <v>HOUSTON TX 77036</v>
      </c>
    </row>
    <row r="3441" spans="1:8" x14ac:dyDescent="0.2">
      <c r="A3441" s="27">
        <f>COUNTIFS(C:C,C3441,D:D,D3441)</f>
        <v>1</v>
      </c>
      <c r="B3441" s="30">
        <v>202101252530</v>
      </c>
      <c r="C3441" t="s">
        <v>8013</v>
      </c>
      <c r="D3441" t="s">
        <v>8014</v>
      </c>
      <c r="E3441" t="s">
        <v>4875</v>
      </c>
      <c r="F3441" t="s">
        <v>88</v>
      </c>
      <c r="G3441" s="27" t="str">
        <f t="shared" si="108"/>
        <v>3403 LAURA KOPPE RD  HOUSTON</v>
      </c>
      <c r="H3441" s="27" t="str">
        <f t="shared" si="109"/>
        <v>HOUSTON TX 77093</v>
      </c>
    </row>
    <row r="3442" spans="1:8" x14ac:dyDescent="0.2">
      <c r="A3442" s="27">
        <f>COUNTIFS(C:C,C3442,D:D,D3442)</f>
        <v>1</v>
      </c>
      <c r="B3442" s="30">
        <v>202101252549</v>
      </c>
      <c r="C3442" t="s">
        <v>8081</v>
      </c>
      <c r="D3442" t="s">
        <v>8082</v>
      </c>
      <c r="E3442" t="s">
        <v>4853</v>
      </c>
      <c r="F3442" t="s">
        <v>88</v>
      </c>
      <c r="G3442" s="27" t="str">
        <f t="shared" si="108"/>
        <v>130 TINA LN  HOUSTON</v>
      </c>
      <c r="H3442" s="27" t="str">
        <f t="shared" si="109"/>
        <v>HOUSTON TX 77039</v>
      </c>
    </row>
    <row r="3443" spans="1:8" x14ac:dyDescent="0.2">
      <c r="A3443" s="27">
        <f>COUNTIFS(C:C,C3443,D:D,D3443)</f>
        <v>1</v>
      </c>
      <c r="B3443" s="30">
        <v>202101252552</v>
      </c>
      <c r="C3443" t="s">
        <v>7989</v>
      </c>
      <c r="D3443" t="s">
        <v>7990</v>
      </c>
      <c r="E3443" t="s">
        <v>4950</v>
      </c>
      <c r="F3443" t="s">
        <v>88</v>
      </c>
      <c r="G3443" s="27" t="str">
        <f t="shared" si="108"/>
        <v>602 REID  HOUSTON</v>
      </c>
      <c r="H3443" s="27" t="str">
        <f t="shared" si="109"/>
        <v>HOUSTON TX 77022</v>
      </c>
    </row>
    <row r="3444" spans="1:8" x14ac:dyDescent="0.2">
      <c r="A3444" s="27">
        <f>COUNTIFS(C:C,C3444,D:D,D3444)</f>
        <v>1</v>
      </c>
      <c r="B3444" s="30">
        <v>202101252560</v>
      </c>
      <c r="C3444" t="s">
        <v>7663</v>
      </c>
      <c r="D3444" t="s">
        <v>7664</v>
      </c>
      <c r="E3444" t="s">
        <v>4854</v>
      </c>
      <c r="F3444" t="s">
        <v>335</v>
      </c>
      <c r="G3444" s="27" t="str">
        <f t="shared" si="108"/>
        <v>5501 WAYNE  HOUSTON</v>
      </c>
      <c r="H3444" s="27" t="str">
        <f t="shared" si="109"/>
        <v>HOUSTON TX 77026</v>
      </c>
    </row>
    <row r="3445" spans="1:8" x14ac:dyDescent="0.2">
      <c r="A3445" s="27">
        <f>COUNTIFS(C:C,C3445,D:D,D3445)</f>
        <v>1</v>
      </c>
      <c r="B3445" s="30">
        <v>202101252562</v>
      </c>
      <c r="C3445" t="s">
        <v>8083</v>
      </c>
      <c r="D3445" t="s">
        <v>8084</v>
      </c>
      <c r="E3445" t="s">
        <v>5065</v>
      </c>
      <c r="F3445" t="s">
        <v>88</v>
      </c>
      <c r="G3445" s="27" t="str">
        <f t="shared" si="108"/>
        <v>4712 23RD ST  DICKINSON</v>
      </c>
      <c r="H3445" s="27" t="str">
        <f t="shared" si="109"/>
        <v>HOUSTON TX 77539</v>
      </c>
    </row>
    <row r="3446" spans="1:8" x14ac:dyDescent="0.2">
      <c r="A3446" s="27">
        <f>COUNTIFS(C:C,C3446,D:D,D3446)</f>
        <v>1</v>
      </c>
      <c r="B3446" s="30">
        <v>202101252566</v>
      </c>
      <c r="C3446" t="s">
        <v>8085</v>
      </c>
      <c r="D3446" t="s">
        <v>8086</v>
      </c>
      <c r="E3446" t="s">
        <v>4981</v>
      </c>
      <c r="F3446" t="s">
        <v>88</v>
      </c>
      <c r="G3446" s="27" t="str">
        <f t="shared" si="108"/>
        <v>715 FM 1959 502 1  HOUSTON</v>
      </c>
      <c r="H3446" s="27" t="str">
        <f t="shared" si="109"/>
        <v>HOUSTON TX 77034</v>
      </c>
    </row>
    <row r="3447" spans="1:8" x14ac:dyDescent="0.2">
      <c r="A3447" s="27">
        <f>COUNTIFS(C:C,C3447,D:D,D3447)</f>
        <v>1</v>
      </c>
      <c r="B3447" s="30">
        <v>202101252579</v>
      </c>
      <c r="C3447" t="s">
        <v>2340</v>
      </c>
      <c r="D3447" t="s">
        <v>8036</v>
      </c>
      <c r="E3447" t="s">
        <v>4944</v>
      </c>
      <c r="F3447" t="s">
        <v>88</v>
      </c>
      <c r="G3447" s="27" t="str">
        <f t="shared" si="108"/>
        <v>3354 LAKE STREAM DRI VE KINGWOOD</v>
      </c>
      <c r="H3447" s="27" t="str">
        <f t="shared" si="109"/>
        <v>HOUSTON TX 77339</v>
      </c>
    </row>
    <row r="3448" spans="1:8" x14ac:dyDescent="0.2">
      <c r="A3448" s="27">
        <f>COUNTIFS(C:C,C3448,D:D,D3448)</f>
        <v>1</v>
      </c>
      <c r="B3448" s="30">
        <v>202101252584</v>
      </c>
      <c r="C3448" t="s">
        <v>8087</v>
      </c>
      <c r="D3448" t="s">
        <v>8088</v>
      </c>
      <c r="E3448" t="s">
        <v>4898</v>
      </c>
      <c r="F3448" t="s">
        <v>88</v>
      </c>
      <c r="G3448" s="27" t="str">
        <f t="shared" si="108"/>
        <v>8345 ARROWHEAD LN  HOUSTON</v>
      </c>
      <c r="H3448" s="27" t="str">
        <f t="shared" si="109"/>
        <v>HOUSTON TX 77075</v>
      </c>
    </row>
    <row r="3449" spans="1:8" x14ac:dyDescent="0.2">
      <c r="A3449" s="27">
        <f>COUNTIFS(C:C,C3449,D:D,D3449)</f>
        <v>1</v>
      </c>
      <c r="B3449" s="30">
        <v>202101252591</v>
      </c>
      <c r="C3449" t="s">
        <v>8089</v>
      </c>
      <c r="D3449" t="s">
        <v>8090</v>
      </c>
      <c r="E3449" t="s">
        <v>4999</v>
      </c>
      <c r="F3449" t="s">
        <v>88</v>
      </c>
      <c r="G3449" s="27" t="str">
        <f t="shared" si="108"/>
        <v>3411 AUBURN HOLLOW L ANE KATY</v>
      </c>
      <c r="H3449" s="27" t="str">
        <f t="shared" si="109"/>
        <v>HOUSTON TX 77450</v>
      </c>
    </row>
    <row r="3450" spans="1:8" x14ac:dyDescent="0.2">
      <c r="A3450" s="27">
        <f>COUNTIFS(C:C,C3450,D:D,D3450)</f>
        <v>1</v>
      </c>
      <c r="B3450" s="30">
        <v>202101252593</v>
      </c>
      <c r="C3450" t="s">
        <v>8091</v>
      </c>
      <c r="D3450" t="s">
        <v>8092</v>
      </c>
      <c r="E3450" t="s">
        <v>8093</v>
      </c>
      <c r="F3450" t="s">
        <v>88</v>
      </c>
      <c r="G3450" s="27" t="str">
        <f t="shared" si="108"/>
        <v>7243 MERRYLANDS DR  ATASCOCITA</v>
      </c>
      <c r="H3450" s="27" t="str">
        <f t="shared" si="109"/>
        <v>HOUSTON TX 77346</v>
      </c>
    </row>
    <row r="3451" spans="1:8" x14ac:dyDescent="0.2">
      <c r="A3451" s="27">
        <f>COUNTIFS(C:C,C3451,D:D,D3451)</f>
        <v>1</v>
      </c>
      <c r="B3451" s="30">
        <v>202101252594</v>
      </c>
      <c r="C3451" t="s">
        <v>7977</v>
      </c>
      <c r="D3451" t="s">
        <v>6384</v>
      </c>
      <c r="E3451" t="s">
        <v>4863</v>
      </c>
      <c r="F3451" t="s">
        <v>88</v>
      </c>
      <c r="G3451" s="27" t="str">
        <f t="shared" si="108"/>
        <v>11000 GATESDEN DR  TOMBALL</v>
      </c>
      <c r="H3451" s="27" t="str">
        <f t="shared" si="109"/>
        <v>HOUSTON TX 77377</v>
      </c>
    </row>
    <row r="3452" spans="1:8" x14ac:dyDescent="0.2">
      <c r="A3452" s="27">
        <f>COUNTIFS(C:C,C3452,D:D,D3452)</f>
        <v>1</v>
      </c>
      <c r="B3452" s="30">
        <v>202101252595</v>
      </c>
      <c r="C3452" t="s">
        <v>8094</v>
      </c>
      <c r="D3452" t="s">
        <v>8095</v>
      </c>
      <c r="E3452" t="s">
        <v>5033</v>
      </c>
      <c r="F3452" t="s">
        <v>88</v>
      </c>
      <c r="G3452" s="27" t="str">
        <f t="shared" si="108"/>
        <v>708 ALABAMA ST  KATY</v>
      </c>
      <c r="H3452" s="27" t="str">
        <f t="shared" si="109"/>
        <v>HOUSTON TX 77494</v>
      </c>
    </row>
    <row r="3453" spans="1:8" x14ac:dyDescent="0.2">
      <c r="A3453" s="27">
        <f>COUNTIFS(C:C,C3453,D:D,D3453)</f>
        <v>1</v>
      </c>
      <c r="B3453" s="30">
        <v>202101252596</v>
      </c>
      <c r="C3453" t="s">
        <v>8096</v>
      </c>
      <c r="D3453" t="s">
        <v>8097</v>
      </c>
      <c r="E3453" t="s">
        <v>4859</v>
      </c>
      <c r="F3453" t="s">
        <v>88</v>
      </c>
      <c r="G3453" s="27" t="str">
        <f t="shared" si="108"/>
        <v>16434 NOBLE MEADOW LN  HOUSTON</v>
      </c>
      <c r="H3453" s="27" t="str">
        <f t="shared" si="109"/>
        <v>HOUSTON TX 77073</v>
      </c>
    </row>
    <row r="3454" spans="1:8" x14ac:dyDescent="0.2">
      <c r="A3454" s="27">
        <f>COUNTIFS(C:C,C3454,D:D,D3454)</f>
        <v>1</v>
      </c>
      <c r="B3454" s="30">
        <v>202101252612</v>
      </c>
      <c r="C3454" t="s">
        <v>8098</v>
      </c>
      <c r="D3454" t="s">
        <v>8099</v>
      </c>
      <c r="E3454" t="s">
        <v>4859</v>
      </c>
      <c r="F3454" t="s">
        <v>88</v>
      </c>
      <c r="G3454" s="27" t="str">
        <f t="shared" si="108"/>
        <v>1526 STONE BLUFF DR  HOUSTON</v>
      </c>
      <c r="H3454" s="27" t="str">
        <f t="shared" si="109"/>
        <v>HOUSTON TX 77073</v>
      </c>
    </row>
    <row r="3455" spans="1:8" x14ac:dyDescent="0.2">
      <c r="A3455" s="27">
        <f>COUNTIFS(C:C,C3455,D:D,D3455)</f>
        <v>1</v>
      </c>
      <c r="B3455" s="30">
        <v>202101252613</v>
      </c>
      <c r="C3455" t="s">
        <v>8017</v>
      </c>
      <c r="D3455" t="s">
        <v>8018</v>
      </c>
      <c r="E3455" t="s">
        <v>4939</v>
      </c>
      <c r="F3455" t="s">
        <v>88</v>
      </c>
      <c r="G3455" s="27" t="str">
        <f t="shared" si="108"/>
        <v>10623 AUTUMN MEADOW D R HOUSTON</v>
      </c>
      <c r="H3455" s="27" t="str">
        <f t="shared" si="109"/>
        <v>HOUSTON TX 77064</v>
      </c>
    </row>
    <row r="3456" spans="1:8" x14ac:dyDescent="0.2">
      <c r="A3456" s="27">
        <f>COUNTIFS(C:C,C3456,D:D,D3456)</f>
        <v>1</v>
      </c>
      <c r="B3456" s="30">
        <v>202101252614</v>
      </c>
      <c r="C3456" t="s">
        <v>8009</v>
      </c>
      <c r="D3456" t="s">
        <v>8010</v>
      </c>
      <c r="E3456" t="s">
        <v>5100</v>
      </c>
      <c r="F3456" t="s">
        <v>88</v>
      </c>
      <c r="G3456" s="27" t="str">
        <f t="shared" si="108"/>
        <v>4304 HIGHWAY 202  BEEVILLE</v>
      </c>
      <c r="H3456" s="27" t="str">
        <f t="shared" si="109"/>
        <v>HOUSTON TX 78102</v>
      </c>
    </row>
    <row r="3457" spans="1:8" x14ac:dyDescent="0.2">
      <c r="A3457" s="27">
        <f>COUNTIFS(C:C,C3457,D:D,D3457)</f>
        <v>1</v>
      </c>
      <c r="B3457" s="30">
        <v>202101252615</v>
      </c>
      <c r="C3457" t="s">
        <v>8100</v>
      </c>
      <c r="D3457" t="s">
        <v>8101</v>
      </c>
      <c r="E3457" t="s">
        <v>7463</v>
      </c>
      <c r="F3457" t="s">
        <v>88</v>
      </c>
      <c r="G3457" s="27" t="str">
        <f t="shared" si="108"/>
        <v>101 HOLLOW TREE LN 11204 HARRIS CO</v>
      </c>
      <c r="H3457" s="27" t="str">
        <f t="shared" si="109"/>
        <v>HOUSTON TX 77090</v>
      </c>
    </row>
    <row r="3458" spans="1:8" x14ac:dyDescent="0.2">
      <c r="A3458" s="27">
        <f>COUNTIFS(C:C,C3458,D:D,D3458)</f>
        <v>1</v>
      </c>
      <c r="B3458" s="30">
        <v>202101252678</v>
      </c>
      <c r="C3458" t="s">
        <v>8104</v>
      </c>
      <c r="D3458" t="s">
        <v>8105</v>
      </c>
      <c r="E3458" t="s">
        <v>4941</v>
      </c>
      <c r="F3458" t="s">
        <v>88</v>
      </c>
      <c r="G3458" s="27" t="str">
        <f t="shared" si="108"/>
        <v>16902 GREEN STAR LN  CYPRESS</v>
      </c>
      <c r="H3458" s="27" t="str">
        <f t="shared" si="109"/>
        <v>HOUSTON TX 77429</v>
      </c>
    </row>
    <row r="3459" spans="1:8" x14ac:dyDescent="0.2">
      <c r="A3459" s="27">
        <f>COUNTIFS(C:C,C3459,D:D,D3459)</f>
        <v>1</v>
      </c>
      <c r="B3459" s="30">
        <v>202101252683</v>
      </c>
      <c r="C3459" t="s">
        <v>8062</v>
      </c>
      <c r="D3459" t="s">
        <v>8063</v>
      </c>
      <c r="E3459" t="s">
        <v>4943</v>
      </c>
      <c r="F3459" t="s">
        <v>88</v>
      </c>
      <c r="G3459" s="27" t="str">
        <f t="shared" si="108"/>
        <v>5706 WEST VISTAGLEN LOOP HOUSTON</v>
      </c>
      <c r="H3459" s="27" t="str">
        <f t="shared" si="109"/>
        <v>HOUSTON TX 77084</v>
      </c>
    </row>
    <row r="3460" spans="1:8" x14ac:dyDescent="0.2">
      <c r="A3460" s="27">
        <f>COUNTIFS(C:C,C3460,D:D,D3460)</f>
        <v>1</v>
      </c>
      <c r="B3460" s="30">
        <v>202101252686</v>
      </c>
      <c r="C3460" t="s">
        <v>8106</v>
      </c>
      <c r="D3460" t="s">
        <v>8107</v>
      </c>
      <c r="E3460" t="s">
        <v>4878</v>
      </c>
      <c r="F3460" t="s">
        <v>88</v>
      </c>
      <c r="G3460" s="27" t="str">
        <f t="shared" si="108"/>
        <v>5134 HOWCHER ST  HOUSTON</v>
      </c>
      <c r="H3460" s="27" t="str">
        <f t="shared" si="109"/>
        <v>HOUSTON TX 77048</v>
      </c>
    </row>
    <row r="3461" spans="1:8" x14ac:dyDescent="0.2">
      <c r="A3461" s="27">
        <f>COUNTIFS(C:C,C3461,D:D,D3461)</f>
        <v>1</v>
      </c>
      <c r="B3461" s="30">
        <v>202101252687</v>
      </c>
      <c r="C3461" t="s">
        <v>8108</v>
      </c>
      <c r="D3461" t="s">
        <v>8109</v>
      </c>
      <c r="E3461" t="s">
        <v>4886</v>
      </c>
      <c r="F3461" t="s">
        <v>88</v>
      </c>
      <c r="G3461" s="27" t="str">
        <f t="shared" si="108"/>
        <v>12345 BOB WHITE DR  HOUSTON</v>
      </c>
      <c r="H3461" s="27" t="str">
        <f t="shared" si="109"/>
        <v>HOUSTON TX 77035</v>
      </c>
    </row>
    <row r="3462" spans="1:8" x14ac:dyDescent="0.2">
      <c r="A3462" s="27">
        <f>COUNTIFS(C:C,C3462,D:D,D3462)</f>
        <v>1</v>
      </c>
      <c r="B3462" s="30">
        <v>202101252696</v>
      </c>
      <c r="C3462" t="s">
        <v>8037</v>
      </c>
      <c r="D3462" t="s">
        <v>8038</v>
      </c>
      <c r="E3462" t="s">
        <v>4997</v>
      </c>
      <c r="F3462" t="s">
        <v>53</v>
      </c>
      <c r="G3462" s="27" t="str">
        <f t="shared" si="108"/>
        <v>13127 BASSFORD DR  HOUSTON</v>
      </c>
      <c r="H3462" s="27" t="str">
        <f t="shared" si="109"/>
        <v>HOUSTON TX 77099</v>
      </c>
    </row>
    <row r="3463" spans="1:8" x14ac:dyDescent="0.2">
      <c r="A3463" s="27">
        <f>COUNTIFS(C:C,C3463,D:D,D3463)</f>
        <v>1</v>
      </c>
      <c r="B3463" s="30">
        <v>202101252707</v>
      </c>
      <c r="C3463" t="s">
        <v>8057</v>
      </c>
      <c r="D3463" t="s">
        <v>8058</v>
      </c>
      <c r="E3463" t="s">
        <v>4970</v>
      </c>
      <c r="F3463" t="s">
        <v>53</v>
      </c>
      <c r="G3463" s="27" t="str">
        <f t="shared" si="108"/>
        <v>10001 FONDREN RD.  HOUSTON</v>
      </c>
      <c r="H3463" s="27" t="str">
        <f t="shared" si="109"/>
        <v>HOUSTON TX 77096</v>
      </c>
    </row>
    <row r="3464" spans="1:8" x14ac:dyDescent="0.2">
      <c r="A3464" s="27">
        <f>COUNTIFS(C:C,C3464,D:D,D3464)</f>
        <v>1</v>
      </c>
      <c r="B3464" s="30">
        <v>202101252709</v>
      </c>
      <c r="C3464" t="s">
        <v>8110</v>
      </c>
      <c r="D3464" t="s">
        <v>8111</v>
      </c>
      <c r="E3464" t="s">
        <v>4850</v>
      </c>
      <c r="F3464" t="s">
        <v>53</v>
      </c>
      <c r="G3464" s="27" t="str">
        <f t="shared" si="108"/>
        <v>11810 ALGONQUIN DR 23 2 HOUSTON</v>
      </c>
      <c r="H3464" s="27" t="str">
        <f t="shared" si="109"/>
        <v>HOUSTON TX 77089</v>
      </c>
    </row>
    <row r="3465" spans="1:8" x14ac:dyDescent="0.2">
      <c r="A3465" s="27">
        <f>COUNTIFS(C:C,C3465,D:D,D3465)</f>
        <v>1</v>
      </c>
      <c r="B3465" s="30">
        <v>202101252711</v>
      </c>
      <c r="C3465" t="s">
        <v>7973</v>
      </c>
      <c r="D3465" t="s">
        <v>7974</v>
      </c>
      <c r="E3465" t="s">
        <v>5160</v>
      </c>
      <c r="F3465" t="s">
        <v>75</v>
      </c>
      <c r="G3465" s="27" t="str">
        <f t="shared" si="108"/>
        <v>707 TOP STREET  HOUSTON</v>
      </c>
      <c r="H3465" s="27" t="str">
        <f t="shared" si="109"/>
        <v>HOUSTON TX 77002</v>
      </c>
    </row>
    <row r="3466" spans="1:8" x14ac:dyDescent="0.2">
      <c r="A3466" s="27">
        <f>COUNTIFS(C:C,C3466,D:D,D3466)</f>
        <v>1</v>
      </c>
      <c r="B3466" s="30">
        <v>202101252712</v>
      </c>
      <c r="C3466" t="s">
        <v>8047</v>
      </c>
      <c r="D3466" t="s">
        <v>8048</v>
      </c>
      <c r="E3466" t="s">
        <v>4865</v>
      </c>
      <c r="F3466" t="s">
        <v>53</v>
      </c>
      <c r="G3466" s="27" t="str">
        <f t="shared" si="108"/>
        <v>6939 NORTHLEAF DRIVE  HOUSTON</v>
      </c>
      <c r="H3466" s="27" t="str">
        <f t="shared" si="109"/>
        <v xml:space="preserve">HOUSTON TX      </v>
      </c>
    </row>
    <row r="3467" spans="1:8" x14ac:dyDescent="0.2">
      <c r="A3467" s="27">
        <f>COUNTIFS(C:C,C3467,D:D,D3467)</f>
        <v>1</v>
      </c>
      <c r="B3467" s="30">
        <v>202101252719</v>
      </c>
      <c r="C3467" t="s">
        <v>8114</v>
      </c>
      <c r="D3467" t="s">
        <v>8115</v>
      </c>
      <c r="E3467" t="s">
        <v>4900</v>
      </c>
      <c r="F3467" t="s">
        <v>53</v>
      </c>
      <c r="G3467" s="27" t="str">
        <f t="shared" si="108"/>
        <v>21030 AZELEA FIELD ST REET KATY</v>
      </c>
      <c r="H3467" s="27" t="str">
        <f t="shared" si="109"/>
        <v>HOUSTON TX 77449</v>
      </c>
    </row>
    <row r="3468" spans="1:8" x14ac:dyDescent="0.2">
      <c r="A3468" s="27">
        <f>COUNTIFS(C:C,C3468,D:D,D3468)</f>
        <v>1</v>
      </c>
      <c r="B3468" s="30">
        <v>202101252720</v>
      </c>
      <c r="C3468" t="s">
        <v>7971</v>
      </c>
      <c r="D3468" t="s">
        <v>7972</v>
      </c>
      <c r="E3468" t="s">
        <v>5077</v>
      </c>
      <c r="F3468" t="s">
        <v>56</v>
      </c>
      <c r="G3468" s="27" t="str">
        <f t="shared" si="108"/>
        <v>11038 WOODSHADOWS  HOUSTON</v>
      </c>
      <c r="H3468" s="27" t="str">
        <f t="shared" si="109"/>
        <v>HOUSTON TX 77013</v>
      </c>
    </row>
    <row r="3469" spans="1:8" x14ac:dyDescent="0.2">
      <c r="A3469" s="27">
        <f>COUNTIFS(C:C,C3469,D:D,D3469)</f>
        <v>1</v>
      </c>
      <c r="B3469" s="30">
        <v>202101252721</v>
      </c>
      <c r="C3469" t="s">
        <v>8116</v>
      </c>
      <c r="D3469" t="s">
        <v>8117</v>
      </c>
      <c r="E3469" t="s">
        <v>5143</v>
      </c>
      <c r="F3469" t="s">
        <v>53</v>
      </c>
      <c r="G3469" s="27" t="str">
        <f t="shared" si="108"/>
        <v>1910 BANKS ST  HOUSTON</v>
      </c>
      <c r="H3469" s="27" t="str">
        <f t="shared" si="109"/>
        <v>HOUSTON TX 77098</v>
      </c>
    </row>
    <row r="3470" spans="1:8" x14ac:dyDescent="0.2">
      <c r="A3470" s="27">
        <f>COUNTIFS(C:C,C3470,D:D,D3470)</f>
        <v>1</v>
      </c>
      <c r="B3470" s="30">
        <v>202101252723</v>
      </c>
      <c r="C3470" t="s">
        <v>8023</v>
      </c>
      <c r="D3470" t="s">
        <v>8024</v>
      </c>
      <c r="E3470" t="s">
        <v>4933</v>
      </c>
      <c r="F3470" t="s">
        <v>4821</v>
      </c>
      <c r="G3470" s="27" t="str">
        <f t="shared" ref="G3470:G3533" si="110">D3470&amp;" "&amp;MID(E3470,1,FIND(" TX",E3470)-1)</f>
        <v>1718 PINE VILLAGE  HOUSTON</v>
      </c>
      <c r="H3470" s="27" t="str">
        <f t="shared" ref="H3470:H3533" si="111">"HOUSTON "&amp;MID(E3470,FIND("TX",E3470),8)</f>
        <v>HOUSTON TX 77080</v>
      </c>
    </row>
    <row r="3471" spans="1:8" x14ac:dyDescent="0.2">
      <c r="A3471" s="27">
        <f>COUNTIFS(C:C,C3471,D:D,D3471)</f>
        <v>1</v>
      </c>
      <c r="B3471" s="30">
        <v>202101252725</v>
      </c>
      <c r="C3471" t="s">
        <v>8064</v>
      </c>
      <c r="D3471" t="s">
        <v>8065</v>
      </c>
      <c r="E3471" t="s">
        <v>4966</v>
      </c>
      <c r="F3471" t="s">
        <v>79</v>
      </c>
      <c r="G3471" s="27" t="str">
        <f t="shared" si="110"/>
        <v>4305 GLENWOOD AVE  DEER PARK</v>
      </c>
      <c r="H3471" s="27" t="str">
        <f t="shared" si="111"/>
        <v>HOUSTON TX 77536</v>
      </c>
    </row>
    <row r="3472" spans="1:8" x14ac:dyDescent="0.2">
      <c r="A3472" s="27">
        <f>COUNTIFS(C:C,C3472,D:D,D3472)</f>
        <v>1</v>
      </c>
      <c r="B3472" s="30">
        <v>202101252726</v>
      </c>
      <c r="C3472" t="s">
        <v>7958</v>
      </c>
      <c r="D3472" t="s">
        <v>7959</v>
      </c>
      <c r="E3472" t="s">
        <v>4941</v>
      </c>
      <c r="F3472" t="s">
        <v>53</v>
      </c>
      <c r="G3472" s="27" t="str">
        <f t="shared" si="110"/>
        <v>12923 HUNTERFIELD  CYPRESS</v>
      </c>
      <c r="H3472" s="27" t="str">
        <f t="shared" si="111"/>
        <v>HOUSTON TX 77429</v>
      </c>
    </row>
    <row r="3473" spans="1:8" x14ac:dyDescent="0.2">
      <c r="A3473" s="27">
        <f>COUNTIFS(C:C,C3473,D:D,D3473)</f>
        <v>1</v>
      </c>
      <c r="B3473" s="30">
        <v>202101252727</v>
      </c>
      <c r="C3473" t="s">
        <v>8118</v>
      </c>
      <c r="D3473" t="s">
        <v>8119</v>
      </c>
      <c r="E3473" t="s">
        <v>4951</v>
      </c>
      <c r="F3473" t="s">
        <v>56</v>
      </c>
      <c r="G3473" s="27" t="str">
        <f t="shared" si="110"/>
        <v>7630 CLOVER CANYON C IRCLE HOUSTON</v>
      </c>
      <c r="H3473" s="27" t="str">
        <f t="shared" si="111"/>
        <v>HOUSTON TX 77095</v>
      </c>
    </row>
    <row r="3474" spans="1:8" x14ac:dyDescent="0.2">
      <c r="A3474" s="27">
        <f>COUNTIFS(C:C,C3474,D:D,D3474)</f>
        <v>1</v>
      </c>
      <c r="B3474" s="30">
        <v>202101252729</v>
      </c>
      <c r="C3474" t="s">
        <v>8120</v>
      </c>
      <c r="D3474" t="s">
        <v>8121</v>
      </c>
      <c r="E3474" t="s">
        <v>4989</v>
      </c>
      <c r="F3474" t="s">
        <v>81</v>
      </c>
      <c r="G3474" s="27" t="str">
        <f t="shared" si="110"/>
        <v>2904 SEA BRIGHT CT  LEAGUE CIT</v>
      </c>
      <c r="H3474" s="27" t="str">
        <f t="shared" si="111"/>
        <v>HOUSTON TX 77573</v>
      </c>
    </row>
    <row r="3475" spans="1:8" x14ac:dyDescent="0.2">
      <c r="A3475" s="27">
        <f>COUNTIFS(C:C,C3475,D:D,D3475)</f>
        <v>1</v>
      </c>
      <c r="B3475" s="30">
        <v>202101252732</v>
      </c>
      <c r="C3475" t="s">
        <v>8019</v>
      </c>
      <c r="D3475" t="s">
        <v>8020</v>
      </c>
      <c r="E3475" t="s">
        <v>5002</v>
      </c>
      <c r="F3475" t="s">
        <v>72</v>
      </c>
      <c r="G3475" s="27" t="str">
        <f t="shared" si="110"/>
        <v>3000 WOODLAND PARK D RIVE APT 3 HOUSTON</v>
      </c>
      <c r="H3475" s="27" t="str">
        <f t="shared" si="111"/>
        <v>HOUSTON TX 77082</v>
      </c>
    </row>
    <row r="3476" spans="1:8" x14ac:dyDescent="0.2">
      <c r="A3476" s="27">
        <f>COUNTIFS(C:C,C3476,D:D,D3476)</f>
        <v>1</v>
      </c>
      <c r="B3476" s="30">
        <v>202101252733</v>
      </c>
      <c r="C3476" t="s">
        <v>7965</v>
      </c>
      <c r="D3476" t="s">
        <v>7966</v>
      </c>
      <c r="E3476" t="s">
        <v>4932</v>
      </c>
      <c r="F3476" t="s">
        <v>87</v>
      </c>
      <c r="G3476" s="27" t="str">
        <f t="shared" si="110"/>
        <v>39 JUSTICE PARK DR APT 701 HOUSTON</v>
      </c>
      <c r="H3476" s="27" t="str">
        <f t="shared" si="111"/>
        <v>HOUSTON TX 77092</v>
      </c>
    </row>
    <row r="3477" spans="1:8" x14ac:dyDescent="0.2">
      <c r="A3477" s="27">
        <f>COUNTIFS(C:C,C3477,D:D,D3477)</f>
        <v>1</v>
      </c>
      <c r="B3477" s="30">
        <v>202101252736</v>
      </c>
      <c r="C3477" t="s">
        <v>8055</v>
      </c>
      <c r="D3477" t="s">
        <v>8056</v>
      </c>
      <c r="E3477" t="s">
        <v>4862</v>
      </c>
      <c r="F3477" t="s">
        <v>75</v>
      </c>
      <c r="G3477" s="27" t="str">
        <f t="shared" si="110"/>
        <v>5101 BLUE ASH  HOUSTON</v>
      </c>
      <c r="H3477" s="27" t="str">
        <f t="shared" si="111"/>
        <v>HOUSTON TX 77090</v>
      </c>
    </row>
    <row r="3478" spans="1:8" x14ac:dyDescent="0.2">
      <c r="A3478" s="27">
        <f>COUNTIFS(C:C,C3478,D:D,D3478)</f>
        <v>1</v>
      </c>
      <c r="B3478" s="30">
        <v>202101252739</v>
      </c>
      <c r="C3478" t="s">
        <v>8124</v>
      </c>
      <c r="D3478" t="s">
        <v>8125</v>
      </c>
      <c r="E3478" t="s">
        <v>5111</v>
      </c>
      <c r="F3478" t="s">
        <v>68</v>
      </c>
      <c r="G3478" s="27" t="str">
        <f t="shared" si="110"/>
        <v>6421 FM 646 RD  SANTA FE</v>
      </c>
      <c r="H3478" s="27" t="str">
        <f t="shared" si="111"/>
        <v>HOUSTON TX 77510</v>
      </c>
    </row>
    <row r="3479" spans="1:8" x14ac:dyDescent="0.2">
      <c r="A3479" s="27">
        <f>COUNTIFS(C:C,C3479,D:D,D3479)</f>
        <v>1</v>
      </c>
      <c r="B3479" s="30">
        <v>202101252740</v>
      </c>
      <c r="C3479" t="s">
        <v>8126</v>
      </c>
      <c r="D3479" t="s">
        <v>8127</v>
      </c>
      <c r="E3479" t="s">
        <v>4910</v>
      </c>
      <c r="F3479" t="s">
        <v>51</v>
      </c>
      <c r="G3479" s="27" t="str">
        <f t="shared" si="110"/>
        <v>907 ASHLAND BLVD AP T 4 CHANNELVIE</v>
      </c>
      <c r="H3479" s="27" t="str">
        <f t="shared" si="111"/>
        <v>HOUSTON TX 77530</v>
      </c>
    </row>
    <row r="3480" spans="1:8" x14ac:dyDescent="0.2">
      <c r="A3480" s="27">
        <f>COUNTIFS(C:C,C3480,D:D,D3480)</f>
        <v>1</v>
      </c>
      <c r="B3480" s="30">
        <v>202101252741</v>
      </c>
      <c r="C3480" t="s">
        <v>7962</v>
      </c>
      <c r="D3480" t="s">
        <v>7963</v>
      </c>
      <c r="E3480" t="s">
        <v>4874</v>
      </c>
      <c r="F3480" t="s">
        <v>7955</v>
      </c>
      <c r="G3480" s="27" t="str">
        <f t="shared" si="110"/>
        <v>4821 BURMA  HOUSTON</v>
      </c>
      <c r="H3480" s="27" t="str">
        <f t="shared" si="111"/>
        <v>HOUSTON TX 77033</v>
      </c>
    </row>
    <row r="3481" spans="1:8" x14ac:dyDescent="0.2">
      <c r="A3481" s="27">
        <f>COUNTIFS(C:C,C3481,D:D,D3481)</f>
        <v>1</v>
      </c>
      <c r="B3481" s="30">
        <v>202101252743</v>
      </c>
      <c r="C3481" t="s">
        <v>7991</v>
      </c>
      <c r="D3481" t="s">
        <v>7992</v>
      </c>
      <c r="E3481" t="s">
        <v>4896</v>
      </c>
      <c r="F3481" t="s">
        <v>7366</v>
      </c>
      <c r="G3481" s="27" t="str">
        <f t="shared" si="110"/>
        <v>7507 KENSICO RD  HOUSTON</v>
      </c>
      <c r="H3481" s="27" t="str">
        <f t="shared" si="111"/>
        <v>HOUSTON TX 77036</v>
      </c>
    </row>
    <row r="3482" spans="1:8" x14ac:dyDescent="0.2">
      <c r="A3482" s="27">
        <f>COUNTIFS(C:C,C3482,D:D,D3482)</f>
        <v>1</v>
      </c>
      <c r="B3482" s="30">
        <v>202101252748</v>
      </c>
      <c r="C3482" t="s">
        <v>7975</v>
      </c>
      <c r="D3482" t="s">
        <v>7976</v>
      </c>
      <c r="E3482" t="s">
        <v>4879</v>
      </c>
      <c r="F3482" t="s">
        <v>87</v>
      </c>
      <c r="G3482" s="27" t="str">
        <f t="shared" si="110"/>
        <v>3111 W LITTLE YORK R D HOUSTON</v>
      </c>
      <c r="H3482" s="27" t="str">
        <f t="shared" si="111"/>
        <v>HOUSTON TX 77091</v>
      </c>
    </row>
    <row r="3483" spans="1:8" x14ac:dyDescent="0.2">
      <c r="A3483" s="27">
        <f>COUNTIFS(C:C,C3483,D:D,D3483)</f>
        <v>1</v>
      </c>
      <c r="B3483" s="30">
        <v>202101252752</v>
      </c>
      <c r="C3483" t="s">
        <v>7980</v>
      </c>
      <c r="D3483" t="s">
        <v>7981</v>
      </c>
      <c r="E3483" t="s">
        <v>5079</v>
      </c>
      <c r="F3483" t="s">
        <v>87</v>
      </c>
      <c r="G3483" s="27" t="str">
        <f t="shared" si="110"/>
        <v>746 MEMORIAL MEWS  HOUSTON</v>
      </c>
      <c r="H3483" s="27" t="str">
        <f t="shared" si="111"/>
        <v>HOUSTON TX 77079</v>
      </c>
    </row>
    <row r="3484" spans="1:8" x14ac:dyDescent="0.2">
      <c r="A3484" s="27">
        <f>COUNTIFS(C:C,C3484,D:D,D3484)</f>
        <v>1</v>
      </c>
      <c r="B3484" s="30">
        <v>202101252754</v>
      </c>
      <c r="C3484" t="s">
        <v>8128</v>
      </c>
      <c r="D3484" t="s">
        <v>8129</v>
      </c>
      <c r="E3484" t="s">
        <v>4966</v>
      </c>
      <c r="F3484" t="s">
        <v>79</v>
      </c>
      <c r="G3484" s="27" t="str">
        <f t="shared" si="110"/>
        <v>1901 DEER VALLEY  DEER PARK</v>
      </c>
      <c r="H3484" s="27" t="str">
        <f t="shared" si="111"/>
        <v>HOUSTON TX 77536</v>
      </c>
    </row>
    <row r="3485" spans="1:8" x14ac:dyDescent="0.2">
      <c r="A3485" s="27">
        <f>COUNTIFS(C:C,C3485,D:D,D3485)</f>
        <v>1</v>
      </c>
      <c r="B3485" s="30">
        <v>202101252758</v>
      </c>
      <c r="C3485" t="s">
        <v>8059</v>
      </c>
      <c r="D3485" t="s">
        <v>8060</v>
      </c>
      <c r="E3485" t="s">
        <v>4991</v>
      </c>
      <c r="F3485" t="s">
        <v>79</v>
      </c>
      <c r="G3485" s="27" t="str">
        <f t="shared" si="110"/>
        <v>10070 WESTPARK DRIVE  HOUSTON</v>
      </c>
      <c r="H3485" s="27" t="str">
        <f t="shared" si="111"/>
        <v>HOUSTON TX 77042</v>
      </c>
    </row>
    <row r="3486" spans="1:8" x14ac:dyDescent="0.2">
      <c r="A3486" s="27">
        <f>COUNTIFS(C:C,C3486,D:D,D3486)</f>
        <v>1</v>
      </c>
      <c r="B3486" s="30">
        <v>202101252760</v>
      </c>
      <c r="C3486" t="s">
        <v>8130</v>
      </c>
      <c r="D3486" t="s">
        <v>8131</v>
      </c>
      <c r="E3486" t="s">
        <v>4896</v>
      </c>
      <c r="F3486" t="s">
        <v>86</v>
      </c>
      <c r="G3486" s="27" t="str">
        <f t="shared" si="110"/>
        <v>10201 HARWIN DR  HOUSTON</v>
      </c>
      <c r="H3486" s="27" t="str">
        <f t="shared" si="111"/>
        <v>HOUSTON TX 77036</v>
      </c>
    </row>
    <row r="3487" spans="1:8" x14ac:dyDescent="0.2">
      <c r="A3487" s="27">
        <f>COUNTIFS(C:C,C3487,D:D,D3487)</f>
        <v>1</v>
      </c>
      <c r="B3487" s="30">
        <v>202101252762</v>
      </c>
      <c r="C3487" t="s">
        <v>8053</v>
      </c>
      <c r="D3487" t="s">
        <v>8054</v>
      </c>
      <c r="E3487" t="s">
        <v>4909</v>
      </c>
      <c r="F3487" t="s">
        <v>87</v>
      </c>
      <c r="G3487" s="27" t="str">
        <f t="shared" si="110"/>
        <v>4919 RAVEN RIDGE DR  HOUSTON</v>
      </c>
      <c r="H3487" s="27" t="str">
        <f t="shared" si="111"/>
        <v>HOUSTON TX 77053</v>
      </c>
    </row>
    <row r="3488" spans="1:8" x14ac:dyDescent="0.2">
      <c r="A3488" s="27">
        <f>COUNTIFS(C:C,C3488,D:D,D3488)</f>
        <v>1</v>
      </c>
      <c r="B3488" s="30">
        <v>202101252766</v>
      </c>
      <c r="C3488" t="s">
        <v>8074</v>
      </c>
      <c r="D3488" t="s">
        <v>8075</v>
      </c>
      <c r="E3488" t="s">
        <v>4977</v>
      </c>
      <c r="F3488" t="s">
        <v>67</v>
      </c>
      <c r="G3488" s="27" t="str">
        <f t="shared" si="110"/>
        <v>3737 HILLCROFT AVE  HOUSTON</v>
      </c>
      <c r="H3488" s="27" t="str">
        <f t="shared" si="111"/>
        <v>HOUSTON TX 77057</v>
      </c>
    </row>
    <row r="3489" spans="1:8" x14ac:dyDescent="0.2">
      <c r="A3489" s="27">
        <f>COUNTIFS(C:C,C3489,D:D,D3489)</f>
        <v>1</v>
      </c>
      <c r="B3489" s="30">
        <v>202101252774</v>
      </c>
      <c r="C3489" t="s">
        <v>8132</v>
      </c>
      <c r="D3489" t="s">
        <v>8133</v>
      </c>
      <c r="E3489" t="s">
        <v>5069</v>
      </c>
      <c r="F3489" t="s">
        <v>53</v>
      </c>
      <c r="G3489" s="27" t="str">
        <f t="shared" si="110"/>
        <v>15807 ST LAWRENCE COV E FRIENDSWOO</v>
      </c>
      <c r="H3489" s="27" t="str">
        <f t="shared" si="111"/>
        <v>HOUSTON TX 77546</v>
      </c>
    </row>
    <row r="3490" spans="1:8" x14ac:dyDescent="0.2">
      <c r="A3490" s="27">
        <f>COUNTIFS(C:C,C3490,D:D,D3490)</f>
        <v>1</v>
      </c>
      <c r="B3490" s="30">
        <v>202101252775</v>
      </c>
      <c r="C3490" t="s">
        <v>8026</v>
      </c>
      <c r="D3490" t="s">
        <v>8027</v>
      </c>
      <c r="E3490" t="s">
        <v>4901</v>
      </c>
      <c r="F3490" t="s">
        <v>53</v>
      </c>
      <c r="G3490" s="27" t="str">
        <f t="shared" si="110"/>
        <v>12707 BELLAIRE  HOUSTON</v>
      </c>
      <c r="H3490" s="27" t="str">
        <f t="shared" si="111"/>
        <v>HOUSTON TX 77072</v>
      </c>
    </row>
    <row r="3491" spans="1:8" x14ac:dyDescent="0.2">
      <c r="A3491" s="27">
        <f>COUNTIFS(C:C,C3491,D:D,D3491)</f>
        <v>1</v>
      </c>
      <c r="B3491" s="30">
        <v>202101252783</v>
      </c>
      <c r="C3491" t="s">
        <v>8136</v>
      </c>
      <c r="D3491" t="s">
        <v>8137</v>
      </c>
      <c r="E3491" t="s">
        <v>5187</v>
      </c>
      <c r="F3491" t="s">
        <v>72</v>
      </c>
      <c r="G3491" s="27" t="str">
        <f t="shared" si="110"/>
        <v>4530 LONG CREEK DR  FRESNO</v>
      </c>
      <c r="H3491" s="27" t="str">
        <f t="shared" si="111"/>
        <v>HOUSTON TX 77545</v>
      </c>
    </row>
    <row r="3492" spans="1:8" x14ac:dyDescent="0.2">
      <c r="A3492" s="27">
        <f>COUNTIFS(C:C,C3492,D:D,D3492)</f>
        <v>1</v>
      </c>
      <c r="B3492" s="30">
        <v>202101252794</v>
      </c>
      <c r="C3492" t="s">
        <v>7995</v>
      </c>
      <c r="D3492" t="s">
        <v>7996</v>
      </c>
      <c r="E3492" t="s">
        <v>4941</v>
      </c>
      <c r="F3492" t="s">
        <v>87</v>
      </c>
      <c r="G3492" s="27" t="str">
        <f t="shared" si="110"/>
        <v>19511 S OBLONG CIRCLE  CYPRESS</v>
      </c>
      <c r="H3492" s="27" t="str">
        <f t="shared" si="111"/>
        <v>HOUSTON TX 77429</v>
      </c>
    </row>
    <row r="3493" spans="1:8" x14ac:dyDescent="0.2">
      <c r="A3493" s="27">
        <f>COUNTIFS(C:C,C3493,D:D,D3493)</f>
        <v>1</v>
      </c>
      <c r="B3493" s="30">
        <v>202101252799</v>
      </c>
      <c r="C3493" t="s">
        <v>8138</v>
      </c>
      <c r="D3493" t="s">
        <v>8139</v>
      </c>
      <c r="E3493" t="s">
        <v>5080</v>
      </c>
      <c r="F3493" t="s">
        <v>53</v>
      </c>
      <c r="G3493" s="27" t="str">
        <f t="shared" si="110"/>
        <v>2135 SHADOWDALE  HOUSTON</v>
      </c>
      <c r="H3493" s="27" t="str">
        <f t="shared" si="111"/>
        <v>HOUSTON TX 77043</v>
      </c>
    </row>
    <row r="3494" spans="1:8" x14ac:dyDescent="0.2">
      <c r="A3494" s="27">
        <f>COUNTIFS(C:C,C3494,D:D,D3494)</f>
        <v>1</v>
      </c>
      <c r="B3494" s="30">
        <v>202101252805</v>
      </c>
      <c r="C3494" t="s">
        <v>8140</v>
      </c>
      <c r="D3494" t="s">
        <v>8141</v>
      </c>
      <c r="E3494" t="s">
        <v>5079</v>
      </c>
      <c r="F3494" t="s">
        <v>51</v>
      </c>
      <c r="G3494" s="27" t="str">
        <f t="shared" si="110"/>
        <v>880 HWY 6 S  HOUSTON</v>
      </c>
      <c r="H3494" s="27" t="str">
        <f t="shared" si="111"/>
        <v>HOUSTON TX 77079</v>
      </c>
    </row>
    <row r="3495" spans="1:8" x14ac:dyDescent="0.2">
      <c r="A3495" s="27">
        <f>COUNTIFS(C:C,C3495,D:D,D3495)</f>
        <v>1</v>
      </c>
      <c r="B3495" s="30">
        <v>202101252813</v>
      </c>
      <c r="C3495" t="s">
        <v>8142</v>
      </c>
      <c r="D3495" t="s">
        <v>8143</v>
      </c>
      <c r="E3495" t="s">
        <v>8144</v>
      </c>
      <c r="F3495" t="s">
        <v>87</v>
      </c>
      <c r="G3495" s="27" t="str">
        <f t="shared" si="110"/>
        <v>2665 IOMBARDI LN  DALLAS</v>
      </c>
      <c r="H3495" s="27" t="str">
        <f t="shared" si="111"/>
        <v>HOUSTON TX 75220</v>
      </c>
    </row>
    <row r="3496" spans="1:8" x14ac:dyDescent="0.2">
      <c r="A3496" s="27">
        <f>COUNTIFS(C:C,C3496,D:D,D3496)</f>
        <v>1</v>
      </c>
      <c r="B3496" s="30">
        <v>202101252815</v>
      </c>
      <c r="C3496" t="s">
        <v>8032</v>
      </c>
      <c r="D3496" t="s">
        <v>8033</v>
      </c>
      <c r="E3496" t="s">
        <v>4850</v>
      </c>
      <c r="F3496" t="s">
        <v>53</v>
      </c>
      <c r="G3496" s="27" t="str">
        <f t="shared" si="110"/>
        <v>10950 TANNER PARK CT 1401 HOUSTON</v>
      </c>
      <c r="H3496" s="27" t="str">
        <f t="shared" si="111"/>
        <v>HOUSTON TX 77089</v>
      </c>
    </row>
    <row r="3497" spans="1:8" x14ac:dyDescent="0.2">
      <c r="A3497" s="27">
        <f>COUNTIFS(C:C,C3497,D:D,D3497)</f>
        <v>1</v>
      </c>
      <c r="B3497" s="30">
        <v>202101252820</v>
      </c>
      <c r="C3497" t="s">
        <v>8005</v>
      </c>
      <c r="D3497" t="s">
        <v>8006</v>
      </c>
      <c r="E3497" t="s">
        <v>4937</v>
      </c>
      <c r="F3497" t="s">
        <v>53</v>
      </c>
      <c r="G3497" s="27" t="str">
        <f t="shared" si="110"/>
        <v>4114 GLENBROOK CT  HOUSTON</v>
      </c>
      <c r="H3497" s="27" t="str">
        <f t="shared" si="111"/>
        <v>HOUSTON TX 77087</v>
      </c>
    </row>
    <row r="3498" spans="1:8" x14ac:dyDescent="0.2">
      <c r="A3498" s="27">
        <f>COUNTIFS(C:C,C3498,D:D,D3498)</f>
        <v>1</v>
      </c>
      <c r="B3498" s="30">
        <v>202101252822</v>
      </c>
      <c r="C3498" t="s">
        <v>8145</v>
      </c>
      <c r="D3498" t="s">
        <v>8146</v>
      </c>
      <c r="E3498" t="s">
        <v>4956</v>
      </c>
      <c r="F3498" t="s">
        <v>53</v>
      </c>
      <c r="G3498" s="27" t="str">
        <f t="shared" si="110"/>
        <v>12206 CHESTNUT CLEARI NG TRL HUMBLE</v>
      </c>
      <c r="H3498" s="27" t="str">
        <f t="shared" si="111"/>
        <v>HOUSTON TX 77346</v>
      </c>
    </row>
    <row r="3499" spans="1:8" x14ac:dyDescent="0.2">
      <c r="A3499" s="27">
        <f>COUNTIFS(C:C,C3499,D:D,D3499)</f>
        <v>1</v>
      </c>
      <c r="B3499" s="30">
        <v>202101252825</v>
      </c>
      <c r="C3499" t="s">
        <v>8043</v>
      </c>
      <c r="D3499" t="s">
        <v>8044</v>
      </c>
      <c r="E3499" t="s">
        <v>4931</v>
      </c>
      <c r="F3499" t="s">
        <v>7929</v>
      </c>
      <c r="G3499" s="27" t="str">
        <f t="shared" si="110"/>
        <v>14022 WALTERS RD  HOUSTON</v>
      </c>
      <c r="H3499" s="27" t="str">
        <f t="shared" si="111"/>
        <v>HOUSTON TX 77014</v>
      </c>
    </row>
    <row r="3500" spans="1:8" x14ac:dyDescent="0.2">
      <c r="A3500" s="27">
        <f>COUNTIFS(C:C,C3500,D:D,D3500)</f>
        <v>1</v>
      </c>
      <c r="B3500" s="30">
        <v>202101252829</v>
      </c>
      <c r="C3500" t="s">
        <v>8011</v>
      </c>
      <c r="D3500" t="s">
        <v>8012</v>
      </c>
      <c r="E3500" t="s">
        <v>5003</v>
      </c>
      <c r="F3500" t="s">
        <v>87</v>
      </c>
      <c r="G3500" s="27" t="str">
        <f t="shared" si="110"/>
        <v>16318 LYNN CREST CT  FORT BEND</v>
      </c>
      <c r="H3500" s="27" t="str">
        <f t="shared" si="111"/>
        <v>HOUSTON TX 77083</v>
      </c>
    </row>
    <row r="3501" spans="1:8" x14ac:dyDescent="0.2">
      <c r="A3501" s="27">
        <f>COUNTIFS(C:C,C3501,D:D,D3501)</f>
        <v>1</v>
      </c>
      <c r="B3501" s="30">
        <v>202101252834</v>
      </c>
      <c r="C3501" t="s">
        <v>8049</v>
      </c>
      <c r="D3501" t="s">
        <v>8050</v>
      </c>
      <c r="E3501" t="s">
        <v>4907</v>
      </c>
      <c r="F3501" t="s">
        <v>64</v>
      </c>
      <c r="G3501" s="27" t="str">
        <f t="shared" si="110"/>
        <v>1502 LOCKLAINE DR  PASADENA</v>
      </c>
      <c r="H3501" s="27" t="str">
        <f t="shared" si="111"/>
        <v>HOUSTON TX 77502</v>
      </c>
    </row>
    <row r="3502" spans="1:8" x14ac:dyDescent="0.2">
      <c r="A3502" s="27">
        <f>COUNTIFS(C:C,C3502,D:D,D3502)</f>
        <v>1</v>
      </c>
      <c r="B3502" s="30">
        <v>202101252840</v>
      </c>
      <c r="C3502" t="s">
        <v>8072</v>
      </c>
      <c r="D3502" t="s">
        <v>8073</v>
      </c>
      <c r="E3502" t="s">
        <v>4960</v>
      </c>
      <c r="F3502" t="s">
        <v>86</v>
      </c>
      <c r="G3502" s="27" t="str">
        <f t="shared" si="110"/>
        <v>427 HOLLYVALE DR  HOUSTON</v>
      </c>
      <c r="H3502" s="27" t="str">
        <f t="shared" si="111"/>
        <v>HOUSTON TX 77060</v>
      </c>
    </row>
    <row r="3503" spans="1:8" x14ac:dyDescent="0.2">
      <c r="A3503" s="27">
        <f>COUNTIFS(C:C,C3503,D:D,D3503)</f>
        <v>1</v>
      </c>
      <c r="B3503" s="30">
        <v>202101252845</v>
      </c>
      <c r="C3503" t="s">
        <v>7969</v>
      </c>
      <c r="D3503" t="s">
        <v>7970</v>
      </c>
      <c r="E3503" t="s">
        <v>4903</v>
      </c>
      <c r="F3503" t="s">
        <v>87</v>
      </c>
      <c r="G3503" s="27" t="str">
        <f t="shared" si="110"/>
        <v>7602 PARK SAGE LANE  CYPRESS</v>
      </c>
      <c r="H3503" s="27" t="str">
        <f t="shared" si="111"/>
        <v>HOUSTON TX 77433</v>
      </c>
    </row>
    <row r="3504" spans="1:8" x14ac:dyDescent="0.2">
      <c r="A3504" s="27">
        <f>COUNTIFS(C:C,C3504,D:D,D3504)</f>
        <v>1</v>
      </c>
      <c r="B3504" s="30">
        <v>202101252846</v>
      </c>
      <c r="C3504" t="s">
        <v>7967</v>
      </c>
      <c r="D3504" t="s">
        <v>7968</v>
      </c>
      <c r="E3504" t="s">
        <v>4852</v>
      </c>
      <c r="F3504" t="s">
        <v>66</v>
      </c>
      <c r="G3504" s="27" t="str">
        <f t="shared" si="110"/>
        <v>7446 PARKER  HOUSTON</v>
      </c>
      <c r="H3504" s="27" t="str">
        <f t="shared" si="111"/>
        <v>HOUSTON TX 77016</v>
      </c>
    </row>
    <row r="3505" spans="1:8" x14ac:dyDescent="0.2">
      <c r="A3505" s="27">
        <f>COUNTIFS(C:C,C3505,D:D,D3505)</f>
        <v>1</v>
      </c>
      <c r="B3505" s="30">
        <v>202101252847</v>
      </c>
      <c r="C3505" t="s">
        <v>7982</v>
      </c>
      <c r="D3505" t="s">
        <v>7983</v>
      </c>
      <c r="E3505" t="s">
        <v>4915</v>
      </c>
      <c r="F3505" t="s">
        <v>56</v>
      </c>
      <c r="G3505" s="27" t="str">
        <f t="shared" si="110"/>
        <v>4415 PERRY ST APT 11 3 HOUSTON</v>
      </c>
      <c r="H3505" s="27" t="str">
        <f t="shared" si="111"/>
        <v>HOUSTON TX 77021</v>
      </c>
    </row>
    <row r="3506" spans="1:8" x14ac:dyDescent="0.2">
      <c r="A3506" s="27">
        <f>COUNTIFS(C:C,C3506,D:D,D3506)</f>
        <v>1</v>
      </c>
      <c r="B3506" s="30">
        <v>202101252850</v>
      </c>
      <c r="C3506" t="s">
        <v>8003</v>
      </c>
      <c r="D3506" t="s">
        <v>8004</v>
      </c>
      <c r="E3506" t="s">
        <v>4910</v>
      </c>
      <c r="F3506" t="s">
        <v>87</v>
      </c>
      <c r="G3506" s="27" t="str">
        <f t="shared" si="110"/>
        <v>16014 RIDLON ST  CHANNELVIE</v>
      </c>
      <c r="H3506" s="27" t="str">
        <f t="shared" si="111"/>
        <v>HOUSTON TX 77530</v>
      </c>
    </row>
    <row r="3507" spans="1:8" x14ac:dyDescent="0.2">
      <c r="A3507" s="27">
        <f>COUNTIFS(C:C,C3507,D:D,D3507)</f>
        <v>1</v>
      </c>
      <c r="B3507" s="30">
        <v>202101252851</v>
      </c>
      <c r="C3507" t="s">
        <v>7960</v>
      </c>
      <c r="D3507" t="s">
        <v>7961</v>
      </c>
      <c r="E3507" t="s">
        <v>4977</v>
      </c>
      <c r="F3507" t="s">
        <v>64</v>
      </c>
      <c r="G3507" s="27" t="str">
        <f t="shared" si="110"/>
        <v>6505 WESTHEIMER RD  HOUSTON</v>
      </c>
      <c r="H3507" s="27" t="str">
        <f t="shared" si="111"/>
        <v>HOUSTON TX 77057</v>
      </c>
    </row>
    <row r="3508" spans="1:8" x14ac:dyDescent="0.2">
      <c r="A3508" s="27">
        <f>COUNTIFS(C:C,C3508,D:D,D3508)</f>
        <v>1</v>
      </c>
      <c r="B3508" s="30">
        <v>202101257333</v>
      </c>
      <c r="C3508" t="s">
        <v>7993</v>
      </c>
      <c r="D3508" t="s">
        <v>7994</v>
      </c>
      <c r="E3508" t="s">
        <v>4901</v>
      </c>
      <c r="F3508" t="s">
        <v>221</v>
      </c>
      <c r="G3508" s="27" t="str">
        <f t="shared" si="110"/>
        <v>13046 LEADER ST  HOUSTON</v>
      </c>
      <c r="H3508" s="27" t="str">
        <f t="shared" si="111"/>
        <v>HOUSTON TX 77072</v>
      </c>
    </row>
    <row r="3509" spans="1:8" x14ac:dyDescent="0.2">
      <c r="A3509" s="27">
        <f>COUNTIFS(C:C,C3509,D:D,D3509)</f>
        <v>1</v>
      </c>
      <c r="B3509" s="30">
        <v>202101257386</v>
      </c>
      <c r="C3509" t="s">
        <v>8077</v>
      </c>
      <c r="D3509" t="s">
        <v>8078</v>
      </c>
      <c r="E3509" t="s">
        <v>4945</v>
      </c>
      <c r="F3509" t="s">
        <v>181</v>
      </c>
      <c r="G3509" s="27" t="str">
        <f t="shared" si="110"/>
        <v>6030 OXFORD LAKE DR  ROSENBERG</v>
      </c>
      <c r="H3509" s="27" t="str">
        <f t="shared" si="111"/>
        <v>HOUSTON TX 77471</v>
      </c>
    </row>
    <row r="3510" spans="1:8" x14ac:dyDescent="0.2">
      <c r="A3510" s="27">
        <f>COUNTIFS(C:C,C3510,D:D,D3510)</f>
        <v>1</v>
      </c>
      <c r="B3510" s="30">
        <v>202101257791</v>
      </c>
      <c r="C3510" t="s">
        <v>7712</v>
      </c>
      <c r="D3510" t="s">
        <v>7713</v>
      </c>
      <c r="E3510" t="s">
        <v>5009</v>
      </c>
      <c r="F3510" t="s">
        <v>4764</v>
      </c>
      <c r="G3510" s="27" t="str">
        <f t="shared" si="110"/>
        <v>613 N FLAMINGO  SEABROOK</v>
      </c>
      <c r="H3510" s="27" t="str">
        <f t="shared" si="111"/>
        <v>HOUSTON TX 77586</v>
      </c>
    </row>
    <row r="3511" spans="1:8" x14ac:dyDescent="0.2">
      <c r="A3511" s="27">
        <f>COUNTIFS(C:C,C3511,D:D,D3511)</f>
        <v>1</v>
      </c>
      <c r="B3511" s="30">
        <v>202101257817</v>
      </c>
      <c r="C3511" t="s">
        <v>8016</v>
      </c>
      <c r="D3511" t="s">
        <v>1568</v>
      </c>
      <c r="E3511" t="s">
        <v>4935</v>
      </c>
      <c r="F3511" t="s">
        <v>4790</v>
      </c>
      <c r="G3511" s="27" t="str">
        <f t="shared" si="110"/>
        <v>2350 ATASCOCITA ROAD  HUMBLE</v>
      </c>
      <c r="H3511" s="27" t="str">
        <f t="shared" si="111"/>
        <v>HOUSTON TX 77396</v>
      </c>
    </row>
    <row r="3512" spans="1:8" x14ac:dyDescent="0.2">
      <c r="A3512" s="27">
        <f>COUNTIFS(C:C,C3512,D:D,D3512)</f>
        <v>1</v>
      </c>
      <c r="B3512" s="30">
        <v>202101257867</v>
      </c>
      <c r="C3512" t="s">
        <v>8102</v>
      </c>
      <c r="D3512" t="s">
        <v>8103</v>
      </c>
      <c r="E3512" t="s">
        <v>4851</v>
      </c>
      <c r="F3512" t="s">
        <v>200</v>
      </c>
      <c r="G3512" s="27" t="str">
        <f t="shared" si="110"/>
        <v>3862 MORELOS RD  BAYTOWN</v>
      </c>
      <c r="H3512" s="27" t="str">
        <f t="shared" si="111"/>
        <v>HOUSTON TX 77521</v>
      </c>
    </row>
    <row r="3513" spans="1:8" x14ac:dyDescent="0.2">
      <c r="A3513" s="27">
        <f>COUNTIFS(C:C,C3513,D:D,D3513)</f>
        <v>1</v>
      </c>
      <c r="B3513" s="30">
        <v>202101257895</v>
      </c>
      <c r="C3513" t="s">
        <v>2510</v>
      </c>
      <c r="D3513" t="s">
        <v>7964</v>
      </c>
      <c r="E3513" t="s">
        <v>5063</v>
      </c>
      <c r="F3513" t="s">
        <v>194</v>
      </c>
      <c r="G3513" s="27" t="str">
        <f t="shared" si="110"/>
        <v>7426 BRIARGATE CT  HOUSTON</v>
      </c>
      <c r="H3513" s="27" t="str">
        <f t="shared" si="111"/>
        <v>HOUSTON TX 77489</v>
      </c>
    </row>
    <row r="3514" spans="1:8" x14ac:dyDescent="0.2">
      <c r="A3514" s="27">
        <f>COUNTIFS(C:C,C3514,D:D,D3514)</f>
        <v>1</v>
      </c>
      <c r="B3514" s="30">
        <v>202101257898</v>
      </c>
      <c r="C3514" t="s">
        <v>7978</v>
      </c>
      <c r="D3514" t="s">
        <v>7979</v>
      </c>
      <c r="E3514" t="s">
        <v>5137</v>
      </c>
      <c r="F3514" t="s">
        <v>206</v>
      </c>
      <c r="G3514" s="27" t="str">
        <f t="shared" si="110"/>
        <v>1901 POST OAK BLVD  HOUSTON</v>
      </c>
      <c r="H3514" s="27" t="str">
        <f t="shared" si="111"/>
        <v>HOUSTON TX 77056</v>
      </c>
    </row>
    <row r="3515" spans="1:8" x14ac:dyDescent="0.2">
      <c r="A3515" s="27">
        <f>COUNTIFS(C:C,C3515,D:D,D3515)</f>
        <v>1</v>
      </c>
      <c r="B3515" s="30">
        <v>202101257904</v>
      </c>
      <c r="C3515" t="s">
        <v>8025</v>
      </c>
      <c r="D3515" t="s">
        <v>4362</v>
      </c>
      <c r="E3515" t="s">
        <v>4862</v>
      </c>
      <c r="F3515" t="s">
        <v>187</v>
      </c>
      <c r="G3515" s="27" t="str">
        <f t="shared" si="110"/>
        <v>15530 ELLA BLVD  HOUSTON</v>
      </c>
      <c r="H3515" s="27" t="str">
        <f t="shared" si="111"/>
        <v>HOUSTON TX 77090</v>
      </c>
    </row>
    <row r="3516" spans="1:8" x14ac:dyDescent="0.2">
      <c r="A3516" s="27">
        <f>COUNTIFS(C:C,C3516,D:D,D3516)</f>
        <v>1</v>
      </c>
      <c r="B3516" s="30">
        <v>202101257910</v>
      </c>
      <c r="C3516" t="s">
        <v>8112</v>
      </c>
      <c r="D3516" t="s">
        <v>8113</v>
      </c>
      <c r="E3516" t="s">
        <v>4956</v>
      </c>
      <c r="F3516" t="s">
        <v>200</v>
      </c>
      <c r="G3516" s="27" t="str">
        <f t="shared" si="110"/>
        <v>12202 GRAND ARCHES LN  HUMBLE</v>
      </c>
      <c r="H3516" s="27" t="str">
        <f t="shared" si="111"/>
        <v>HOUSTON TX 77346</v>
      </c>
    </row>
    <row r="3517" spans="1:8" x14ac:dyDescent="0.2">
      <c r="A3517" s="27">
        <f>COUNTIFS(C:C,C3517,D:D,D3517)</f>
        <v>1</v>
      </c>
      <c r="B3517" s="30">
        <v>202101257911</v>
      </c>
      <c r="C3517" t="s">
        <v>8028</v>
      </c>
      <c r="D3517" t="s">
        <v>8029</v>
      </c>
      <c r="E3517" t="s">
        <v>4910</v>
      </c>
      <c r="F3517" t="s">
        <v>189</v>
      </c>
      <c r="G3517" s="27" t="str">
        <f t="shared" si="110"/>
        <v>16317 PECAN ST  CHANNELVIE</v>
      </c>
      <c r="H3517" s="27" t="str">
        <f t="shared" si="111"/>
        <v>HOUSTON TX 77530</v>
      </c>
    </row>
    <row r="3518" spans="1:8" x14ac:dyDescent="0.2">
      <c r="A3518" s="27">
        <f>COUNTIFS(C:C,C3518,D:D,D3518)</f>
        <v>1</v>
      </c>
      <c r="B3518" s="30">
        <v>202101257912</v>
      </c>
      <c r="C3518" t="s">
        <v>8051</v>
      </c>
      <c r="D3518" t="s">
        <v>8052</v>
      </c>
      <c r="E3518" t="s">
        <v>4852</v>
      </c>
      <c r="F3518" t="s">
        <v>194</v>
      </c>
      <c r="G3518" s="27" t="str">
        <f t="shared" si="110"/>
        <v>4402 WEAVER ROAD  HOUSTON</v>
      </c>
      <c r="H3518" s="27" t="str">
        <f t="shared" si="111"/>
        <v>HOUSTON TX 77016</v>
      </c>
    </row>
    <row r="3519" spans="1:8" x14ac:dyDescent="0.2">
      <c r="A3519" s="27">
        <f>COUNTIFS(C:C,C3519,D:D,D3519)</f>
        <v>1</v>
      </c>
      <c r="B3519" s="30">
        <v>202101257913</v>
      </c>
      <c r="C3519" t="s">
        <v>8001</v>
      </c>
      <c r="D3519" t="s">
        <v>8002</v>
      </c>
      <c r="E3519" t="s">
        <v>4928</v>
      </c>
      <c r="F3519" t="s">
        <v>200</v>
      </c>
      <c r="G3519" s="27" t="str">
        <f t="shared" si="110"/>
        <v>106 COURTLAND CT  HIGHLANDS</v>
      </c>
      <c r="H3519" s="27" t="str">
        <f t="shared" si="111"/>
        <v>HOUSTON TX 77562</v>
      </c>
    </row>
    <row r="3520" spans="1:8" x14ac:dyDescent="0.2">
      <c r="A3520" s="27">
        <f>COUNTIFS(C:C,C3520,D:D,D3520)</f>
        <v>1</v>
      </c>
      <c r="B3520" s="30">
        <v>202101257914</v>
      </c>
      <c r="C3520" t="s">
        <v>8061</v>
      </c>
      <c r="D3520" t="s">
        <v>8671</v>
      </c>
      <c r="E3520" t="s">
        <v>4935</v>
      </c>
      <c r="F3520" t="s">
        <v>186</v>
      </c>
      <c r="G3520" s="27" t="str">
        <f t="shared" si="110"/>
        <v>8011 BLUEJAY TWIN CL HUMBLE</v>
      </c>
      <c r="H3520" s="27" t="str">
        <f t="shared" si="111"/>
        <v>HOUSTON TX 77396</v>
      </c>
    </row>
    <row r="3521" spans="1:8" x14ac:dyDescent="0.2">
      <c r="A3521" s="27">
        <f>COUNTIFS(C:C,C3521,D:D,D3521)</f>
        <v>1</v>
      </c>
      <c r="B3521" s="30">
        <v>202101257921</v>
      </c>
      <c r="C3521" t="s">
        <v>8007</v>
      </c>
      <c r="D3521" t="s">
        <v>8008</v>
      </c>
      <c r="E3521" t="s">
        <v>4906</v>
      </c>
      <c r="F3521" t="s">
        <v>7937</v>
      </c>
      <c r="G3521" s="27" t="str">
        <f t="shared" si="110"/>
        <v>2911 PARKLAND ST  PASADENA</v>
      </c>
      <c r="H3521" s="27" t="str">
        <f t="shared" si="111"/>
        <v>HOUSTON TX 77504</v>
      </c>
    </row>
    <row r="3522" spans="1:8" x14ac:dyDescent="0.2">
      <c r="A3522" s="27">
        <f>COUNTIFS(C:C,C3522,D:D,D3522)</f>
        <v>1</v>
      </c>
      <c r="B3522" s="30">
        <v>202101257925</v>
      </c>
      <c r="C3522" t="s">
        <v>8122</v>
      </c>
      <c r="D3522" t="s">
        <v>8123</v>
      </c>
      <c r="E3522" t="s">
        <v>4973</v>
      </c>
      <c r="F3522" t="s">
        <v>217</v>
      </c>
      <c r="G3522" s="27" t="str">
        <f t="shared" si="110"/>
        <v>8963 S GESSNER RD AP T 196 HOUSTON</v>
      </c>
      <c r="H3522" s="27" t="str">
        <f t="shared" si="111"/>
        <v>HOUSTON TX 77074</v>
      </c>
    </row>
    <row r="3523" spans="1:8" x14ac:dyDescent="0.2">
      <c r="A3523" s="27">
        <f>COUNTIFS(C:C,C3523,D:D,D3523)</f>
        <v>1</v>
      </c>
      <c r="B3523" s="30">
        <v>202101257933</v>
      </c>
      <c r="C3523" t="s">
        <v>8041</v>
      </c>
      <c r="D3523" t="s">
        <v>8042</v>
      </c>
      <c r="E3523" t="s">
        <v>4859</v>
      </c>
      <c r="F3523" t="s">
        <v>7957</v>
      </c>
      <c r="G3523" s="27" t="str">
        <f t="shared" si="110"/>
        <v>20506 NORTHBRIAR DR  HOUSTON</v>
      </c>
      <c r="H3523" s="27" t="str">
        <f t="shared" si="111"/>
        <v>HOUSTON TX 77073</v>
      </c>
    </row>
    <row r="3524" spans="1:8" x14ac:dyDescent="0.2">
      <c r="A3524" s="27">
        <f>COUNTIFS(C:C,C3524,D:D,D3524)</f>
        <v>1</v>
      </c>
      <c r="B3524" s="30">
        <v>202101257939</v>
      </c>
      <c r="C3524" t="s">
        <v>7986</v>
      </c>
      <c r="D3524" t="s">
        <v>7987</v>
      </c>
      <c r="E3524" t="s">
        <v>7988</v>
      </c>
      <c r="F3524" t="s">
        <v>209</v>
      </c>
      <c r="G3524" s="27" t="str">
        <f t="shared" si="110"/>
        <v>510 BATTLEBELL  HIGHLANDS</v>
      </c>
      <c r="H3524" s="27" t="str">
        <f t="shared" si="111"/>
        <v>HOUSTON TX 77532</v>
      </c>
    </row>
    <row r="3525" spans="1:8" x14ac:dyDescent="0.2">
      <c r="A3525" s="27">
        <f>COUNTIFS(C:C,C3525,D:D,D3525)</f>
        <v>1</v>
      </c>
      <c r="B3525" s="30">
        <v>202101257947</v>
      </c>
      <c r="C3525" t="s">
        <v>8030</v>
      </c>
      <c r="D3525" t="s">
        <v>8031</v>
      </c>
      <c r="E3525" t="s">
        <v>4852</v>
      </c>
      <c r="F3525" t="s">
        <v>185</v>
      </c>
      <c r="G3525" s="27" t="str">
        <f t="shared" si="110"/>
        <v>6811 HOPPER RD  HOUSTON</v>
      </c>
      <c r="H3525" s="27" t="str">
        <f t="shared" si="111"/>
        <v>HOUSTON TX 77016</v>
      </c>
    </row>
    <row r="3526" spans="1:8" x14ac:dyDescent="0.2">
      <c r="A3526" s="27">
        <f>COUNTIFS(C:C,C3526,D:D,D3526)</f>
        <v>1</v>
      </c>
      <c r="B3526" s="30">
        <v>202101257948</v>
      </c>
      <c r="C3526" t="s">
        <v>8039</v>
      </c>
      <c r="D3526" t="s">
        <v>8040</v>
      </c>
      <c r="E3526" t="s">
        <v>4855</v>
      </c>
      <c r="F3526" t="s">
        <v>215</v>
      </c>
      <c r="G3526" s="27" t="str">
        <f t="shared" si="110"/>
        <v>9006 BANTING ST  HOUSTON</v>
      </c>
      <c r="H3526" s="27" t="str">
        <f t="shared" si="111"/>
        <v>HOUSTON TX 77078</v>
      </c>
    </row>
    <row r="3527" spans="1:8" x14ac:dyDescent="0.2">
      <c r="A3527" s="27">
        <f>COUNTIFS(C:C,C3527,D:D,D3527)</f>
        <v>1</v>
      </c>
      <c r="B3527" s="30">
        <v>202101257961</v>
      </c>
      <c r="C3527" t="s">
        <v>8045</v>
      </c>
      <c r="D3527" t="s">
        <v>8046</v>
      </c>
      <c r="E3527" t="s">
        <v>4941</v>
      </c>
      <c r="F3527" t="s">
        <v>217</v>
      </c>
      <c r="G3527" s="27" t="str">
        <f t="shared" si="110"/>
        <v>16415 DARBY HOUSE ST  CYPRESS</v>
      </c>
      <c r="H3527" s="27" t="str">
        <f t="shared" si="111"/>
        <v>HOUSTON TX 77429</v>
      </c>
    </row>
    <row r="3528" spans="1:8" x14ac:dyDescent="0.2">
      <c r="A3528" s="27">
        <f>COUNTIFS(C:C,C3528,D:D,D3528)</f>
        <v>1</v>
      </c>
      <c r="B3528" s="30">
        <v>202101257969</v>
      </c>
      <c r="C3528" t="s">
        <v>8021</v>
      </c>
      <c r="D3528" t="s">
        <v>8022</v>
      </c>
      <c r="E3528" t="s">
        <v>4862</v>
      </c>
      <c r="F3528" t="s">
        <v>193</v>
      </c>
      <c r="G3528" s="27" t="str">
        <f t="shared" si="110"/>
        <v>333 AIRTEX  HOUSTON</v>
      </c>
      <c r="H3528" s="27" t="str">
        <f t="shared" si="111"/>
        <v>HOUSTON TX 77090</v>
      </c>
    </row>
    <row r="3529" spans="1:8" x14ac:dyDescent="0.2">
      <c r="A3529" s="27">
        <f>COUNTIFS(C:C,C3529,D:D,D3529)</f>
        <v>1</v>
      </c>
      <c r="B3529" s="30">
        <v>202101257970</v>
      </c>
      <c r="C3529" t="s">
        <v>8134</v>
      </c>
      <c r="D3529" t="s">
        <v>8135</v>
      </c>
      <c r="E3529" t="s">
        <v>5853</v>
      </c>
      <c r="F3529" t="s">
        <v>194</v>
      </c>
      <c r="G3529" s="27" t="str">
        <f t="shared" si="110"/>
        <v>1403 EDGEBROOK DR  EL CAMPO</v>
      </c>
      <c r="H3529" s="27" t="str">
        <f t="shared" si="111"/>
        <v>HOUSTON TX 77437</v>
      </c>
    </row>
    <row r="3530" spans="1:8" x14ac:dyDescent="0.2">
      <c r="A3530" s="27">
        <f>COUNTIFS(C:C,C3530,D:D,D3530)</f>
        <v>1</v>
      </c>
      <c r="B3530" s="30">
        <v>202101257971</v>
      </c>
      <c r="C3530" t="s">
        <v>7999</v>
      </c>
      <c r="D3530" t="s">
        <v>8000</v>
      </c>
      <c r="E3530" t="s">
        <v>4907</v>
      </c>
      <c r="F3530" t="s">
        <v>7956</v>
      </c>
      <c r="G3530" s="27" t="str">
        <f t="shared" si="110"/>
        <v>1807 NOTTINGHAM  PASADENA</v>
      </c>
      <c r="H3530" s="27" t="str">
        <f t="shared" si="111"/>
        <v>HOUSTON TX 77502</v>
      </c>
    </row>
    <row r="3531" spans="1:8" x14ac:dyDescent="0.2">
      <c r="A3531" s="27">
        <f>COUNTIFS(C:C,C3531,D:D,D3531)</f>
        <v>1</v>
      </c>
      <c r="B3531" s="30">
        <v>202101257981</v>
      </c>
      <c r="C3531" t="s">
        <v>7984</v>
      </c>
      <c r="D3531" t="s">
        <v>7985</v>
      </c>
      <c r="E3531" t="s">
        <v>4956</v>
      </c>
      <c r="F3531" t="s">
        <v>185</v>
      </c>
      <c r="G3531" s="27" t="str">
        <f t="shared" si="110"/>
        <v>15023 SUNSET FIELD DR  HUMBLE</v>
      </c>
      <c r="H3531" s="27" t="str">
        <f t="shared" si="111"/>
        <v>HOUSTON TX 77346</v>
      </c>
    </row>
    <row r="3532" spans="1:8" x14ac:dyDescent="0.2">
      <c r="A3532" s="27">
        <f>COUNTIFS(C:C,C3532,D:D,D3532)</f>
        <v>1</v>
      </c>
      <c r="B3532" s="30">
        <v>202101257983</v>
      </c>
      <c r="C3532" t="s">
        <v>8034</v>
      </c>
      <c r="D3532" t="s">
        <v>8035</v>
      </c>
      <c r="E3532" t="s">
        <v>4960</v>
      </c>
      <c r="F3532" t="s">
        <v>196</v>
      </c>
      <c r="G3532" s="27" t="str">
        <f t="shared" si="110"/>
        <v>315 BENMAR DR  HOUSTON</v>
      </c>
      <c r="H3532" s="27" t="str">
        <f t="shared" si="111"/>
        <v>HOUSTON TX 77060</v>
      </c>
    </row>
    <row r="3533" spans="1:8" x14ac:dyDescent="0.2">
      <c r="A3533" s="27">
        <f>COUNTIFS(C:C,C3533,D:D,D3533)</f>
        <v>1</v>
      </c>
      <c r="B3533" s="30">
        <v>202101272410</v>
      </c>
      <c r="C3533" t="s">
        <v>8590</v>
      </c>
      <c r="D3533" t="s">
        <v>8591</v>
      </c>
      <c r="E3533" t="s">
        <v>4855</v>
      </c>
      <c r="F3533" t="s">
        <v>64</v>
      </c>
      <c r="G3533" s="27" t="str">
        <f t="shared" si="110"/>
        <v>9806 RIBBONWOOD ST  HOUSTON</v>
      </c>
      <c r="H3533" s="27" t="str">
        <f t="shared" si="111"/>
        <v>HOUSTON TX 77078</v>
      </c>
    </row>
    <row r="3534" spans="1:8" x14ac:dyDescent="0.2">
      <c r="A3534" s="27">
        <f>COUNTIFS(C:C,C3534,D:D,D3534)</f>
        <v>1</v>
      </c>
      <c r="B3534" s="30">
        <v>202101272411</v>
      </c>
      <c r="C3534" t="s">
        <v>8464</v>
      </c>
      <c r="D3534" t="s">
        <v>8465</v>
      </c>
      <c r="E3534" t="s">
        <v>5002</v>
      </c>
      <c r="F3534" t="s">
        <v>104</v>
      </c>
      <c r="G3534" s="27" t="str">
        <f t="shared" ref="G3534:G3597" si="112">D3534&amp;" "&amp;MID(E3534,1,FIND(" TX",E3534)-1)</f>
        <v>3131 HAYES RD  HOUSTON</v>
      </c>
      <c r="H3534" s="27" t="str">
        <f t="shared" ref="H3534:H3597" si="113">"HOUSTON "&amp;MID(E3534,FIND("TX",E3534),8)</f>
        <v>HOUSTON TX 77082</v>
      </c>
    </row>
    <row r="3535" spans="1:8" x14ac:dyDescent="0.2">
      <c r="A3535" s="27">
        <f>COUNTIFS(C:C,C3535,D:D,D3535)</f>
        <v>1</v>
      </c>
      <c r="B3535" s="30">
        <v>202101272572</v>
      </c>
      <c r="C3535" t="s">
        <v>8392</v>
      </c>
      <c r="D3535" t="s">
        <v>8393</v>
      </c>
      <c r="E3535" t="s">
        <v>8394</v>
      </c>
      <c r="F3535" t="s">
        <v>57</v>
      </c>
      <c r="G3535" s="27" t="str">
        <f t="shared" si="112"/>
        <v>1011 CROSS FIELD DR  KATY</v>
      </c>
      <c r="H3535" s="27" t="str">
        <f t="shared" si="113"/>
        <v xml:space="preserve">HOUSTON TX      </v>
      </c>
    </row>
    <row r="3536" spans="1:8" x14ac:dyDescent="0.2">
      <c r="A3536" s="27">
        <f>COUNTIFS(C:C,C3536,D:D,D3536)</f>
        <v>1</v>
      </c>
      <c r="B3536" s="30">
        <v>202101272637</v>
      </c>
      <c r="C3536" t="s">
        <v>8363</v>
      </c>
      <c r="D3536" t="s">
        <v>8364</v>
      </c>
      <c r="E3536" t="s">
        <v>4938</v>
      </c>
      <c r="F3536" t="s">
        <v>8342</v>
      </c>
      <c r="G3536" s="27" t="str">
        <f t="shared" si="112"/>
        <v>314 HILL RD  HOUSTON</v>
      </c>
      <c r="H3536" s="27" t="str">
        <f t="shared" si="113"/>
        <v>HOUSTON TX 77037</v>
      </c>
    </row>
    <row r="3537" spans="1:8" x14ac:dyDescent="0.2">
      <c r="A3537" s="27">
        <f>COUNTIFS(C:C,C3537,D:D,D3537)</f>
        <v>1</v>
      </c>
      <c r="B3537" s="30">
        <v>202101272673</v>
      </c>
      <c r="C3537" t="s">
        <v>8492</v>
      </c>
      <c r="D3537" t="s">
        <v>8493</v>
      </c>
      <c r="E3537" t="s">
        <v>4875</v>
      </c>
      <c r="F3537" t="s">
        <v>86</v>
      </c>
      <c r="G3537" s="27" t="str">
        <f t="shared" si="112"/>
        <v>4244 LITTLECREST RD  HOUSTON</v>
      </c>
      <c r="H3537" s="27" t="str">
        <f t="shared" si="113"/>
        <v>HOUSTON TX 77093</v>
      </c>
    </row>
    <row r="3538" spans="1:8" x14ac:dyDescent="0.2">
      <c r="A3538" s="27">
        <f>COUNTIFS(C:C,C3538,D:D,D3538)</f>
        <v>1</v>
      </c>
      <c r="B3538" s="30">
        <v>202101272688</v>
      </c>
      <c r="C3538" t="s">
        <v>8070</v>
      </c>
      <c r="D3538" t="s">
        <v>8071</v>
      </c>
      <c r="E3538" t="s">
        <v>4855</v>
      </c>
      <c r="F3538" t="s">
        <v>8352</v>
      </c>
      <c r="G3538" s="27" t="str">
        <f t="shared" si="112"/>
        <v>9651 GALAXY ST  HOUSTON</v>
      </c>
      <c r="H3538" s="27" t="str">
        <f t="shared" si="113"/>
        <v>HOUSTON TX 77078</v>
      </c>
    </row>
    <row r="3539" spans="1:8" x14ac:dyDescent="0.2">
      <c r="A3539" s="27">
        <f>COUNTIFS(C:C,C3539,D:D,D3539)</f>
        <v>1</v>
      </c>
      <c r="B3539" s="30">
        <v>202101272782</v>
      </c>
      <c r="C3539" t="s">
        <v>8478</v>
      </c>
      <c r="D3539" t="s">
        <v>8479</v>
      </c>
      <c r="E3539" t="s">
        <v>5206</v>
      </c>
      <c r="F3539" t="s">
        <v>88</v>
      </c>
      <c r="G3539" s="27" t="str">
        <f t="shared" si="112"/>
        <v>3738 EMBARCADERO DR  HARRIS CO</v>
      </c>
      <c r="H3539" s="27" t="str">
        <f t="shared" si="113"/>
        <v>HOUSTON TX 77082</v>
      </c>
    </row>
    <row r="3540" spans="1:8" x14ac:dyDescent="0.2">
      <c r="A3540" s="27">
        <f>COUNTIFS(C:C,C3540,D:D,D3540)</f>
        <v>1</v>
      </c>
      <c r="B3540" s="30">
        <v>202101272795</v>
      </c>
      <c r="C3540" t="s">
        <v>8484</v>
      </c>
      <c r="D3540" t="s">
        <v>8485</v>
      </c>
      <c r="E3540" t="s">
        <v>5069</v>
      </c>
      <c r="F3540" t="s">
        <v>88</v>
      </c>
      <c r="G3540" s="27" t="str">
        <f t="shared" si="112"/>
        <v>3940 LAURA LEIGH DR  FRIENDSWOO</v>
      </c>
      <c r="H3540" s="27" t="str">
        <f t="shared" si="113"/>
        <v>HOUSTON TX 77546</v>
      </c>
    </row>
    <row r="3541" spans="1:8" x14ac:dyDescent="0.2">
      <c r="A3541" s="27">
        <f>COUNTIFS(C:C,C3541,D:D,D3541)</f>
        <v>1</v>
      </c>
      <c r="B3541" s="30">
        <v>202101272796</v>
      </c>
      <c r="C3541" t="s">
        <v>8550</v>
      </c>
      <c r="D3541" t="s">
        <v>8551</v>
      </c>
      <c r="E3541" t="s">
        <v>4864</v>
      </c>
      <c r="F3541" t="s">
        <v>88</v>
      </c>
      <c r="G3541" s="27" t="str">
        <f t="shared" si="112"/>
        <v>7305 LAREDO  HOUSTON</v>
      </c>
      <c r="H3541" s="27" t="str">
        <f t="shared" si="113"/>
        <v>HOUSTON TX 77020</v>
      </c>
    </row>
    <row r="3542" spans="1:8" x14ac:dyDescent="0.2">
      <c r="A3542" s="27">
        <f>COUNTIFS(C:C,C3542,D:D,D3542)</f>
        <v>1</v>
      </c>
      <c r="B3542" s="30">
        <v>202101272797</v>
      </c>
      <c r="C3542" t="s">
        <v>8600</v>
      </c>
      <c r="D3542" t="s">
        <v>8601</v>
      </c>
      <c r="E3542" t="s">
        <v>4850</v>
      </c>
      <c r="F3542" t="s">
        <v>88</v>
      </c>
      <c r="G3542" s="27" t="str">
        <f t="shared" si="112"/>
        <v>11810 ALGONQUIN DR 43 7 HOUSTON</v>
      </c>
      <c r="H3542" s="27" t="str">
        <f t="shared" si="113"/>
        <v>HOUSTON TX 77089</v>
      </c>
    </row>
    <row r="3543" spans="1:8" x14ac:dyDescent="0.2">
      <c r="A3543" s="27">
        <f>COUNTIFS(C:C,C3543,D:D,D3543)</f>
        <v>1</v>
      </c>
      <c r="B3543" s="30">
        <v>202101272798</v>
      </c>
      <c r="C3543" t="s">
        <v>8490</v>
      </c>
      <c r="D3543" t="s">
        <v>8491</v>
      </c>
      <c r="E3543" t="s">
        <v>4999</v>
      </c>
      <c r="F3543" t="s">
        <v>88</v>
      </c>
      <c r="G3543" s="27" t="str">
        <f t="shared" si="112"/>
        <v>4125 BRANDON BRANCH CT KATY</v>
      </c>
      <c r="H3543" s="27" t="str">
        <f t="shared" si="113"/>
        <v>HOUSTON TX 77450</v>
      </c>
    </row>
    <row r="3544" spans="1:8" x14ac:dyDescent="0.2">
      <c r="A3544" s="27">
        <f>COUNTIFS(C:C,C3544,D:D,D3544)</f>
        <v>1</v>
      </c>
      <c r="B3544" s="30">
        <v>202101272800</v>
      </c>
      <c r="C3544" t="s">
        <v>8433</v>
      </c>
      <c r="D3544" t="s">
        <v>8434</v>
      </c>
      <c r="E3544" t="s">
        <v>4894</v>
      </c>
      <c r="F3544" t="s">
        <v>88</v>
      </c>
      <c r="G3544" s="27" t="str">
        <f t="shared" si="112"/>
        <v>1715 MCKEE ST  HOUSTON</v>
      </c>
      <c r="H3544" s="27" t="str">
        <f t="shared" si="113"/>
        <v>HOUSTON TX 77009</v>
      </c>
    </row>
    <row r="3545" spans="1:8" x14ac:dyDescent="0.2">
      <c r="A3545" s="27">
        <f>COUNTIFS(C:C,C3545,D:D,D3545)</f>
        <v>1</v>
      </c>
      <c r="B3545" s="30">
        <v>202101272801</v>
      </c>
      <c r="C3545" t="s">
        <v>8429</v>
      </c>
      <c r="D3545" t="s">
        <v>8430</v>
      </c>
      <c r="E3545" t="s">
        <v>4914</v>
      </c>
      <c r="F3545" t="s">
        <v>88</v>
      </c>
      <c r="G3545" s="27" t="str">
        <f t="shared" si="112"/>
        <v>1627 ASPEN GROVE  HOUSTON</v>
      </c>
      <c r="H3545" s="27" t="str">
        <f t="shared" si="113"/>
        <v>HOUSTON TX 77077</v>
      </c>
    </row>
    <row r="3546" spans="1:8" x14ac:dyDescent="0.2">
      <c r="A3546" s="27">
        <f>COUNTIFS(C:C,C3546,D:D,D3546)</f>
        <v>1</v>
      </c>
      <c r="B3546" s="30">
        <v>202101272802</v>
      </c>
      <c r="C3546" t="s">
        <v>7997</v>
      </c>
      <c r="D3546" t="s">
        <v>7998</v>
      </c>
      <c r="E3546" t="s">
        <v>4914</v>
      </c>
      <c r="F3546" t="s">
        <v>335</v>
      </c>
      <c r="G3546" s="27" t="str">
        <f t="shared" si="112"/>
        <v>12100 OVERBROOK LANE 15A HOUSTON</v>
      </c>
      <c r="H3546" s="27" t="str">
        <f t="shared" si="113"/>
        <v>HOUSTON TX 77077</v>
      </c>
    </row>
    <row r="3547" spans="1:8" x14ac:dyDescent="0.2">
      <c r="A3547" s="27">
        <f>COUNTIFS(C:C,C3547,D:D,D3547)</f>
        <v>1</v>
      </c>
      <c r="B3547" s="30">
        <v>202101272804</v>
      </c>
      <c r="C3547" t="s">
        <v>8562</v>
      </c>
      <c r="D3547" t="s">
        <v>8563</v>
      </c>
      <c r="E3547" t="s">
        <v>8564</v>
      </c>
      <c r="F3547" t="s">
        <v>88</v>
      </c>
      <c r="G3547" s="27" t="str">
        <f t="shared" si="112"/>
        <v>7711 OCONNOR 2316  ROUND ROCK</v>
      </c>
      <c r="H3547" s="27" t="str">
        <f t="shared" si="113"/>
        <v>HOUSTON TX 78681</v>
      </c>
    </row>
    <row r="3548" spans="1:8" x14ac:dyDescent="0.2">
      <c r="A3548" s="27">
        <f>COUNTIFS(C:C,C3548,D:D,D3548)</f>
        <v>1</v>
      </c>
      <c r="B3548" s="30">
        <v>202101272807</v>
      </c>
      <c r="C3548" t="s">
        <v>8423</v>
      </c>
      <c r="D3548" t="s">
        <v>8424</v>
      </c>
      <c r="E3548" t="s">
        <v>5017</v>
      </c>
      <c r="F3548" t="s">
        <v>88</v>
      </c>
      <c r="G3548" s="27" t="str">
        <f t="shared" si="112"/>
        <v>1410 RISING SPRINGS LN HARRIS CO</v>
      </c>
      <c r="H3548" s="27" t="str">
        <f t="shared" si="113"/>
        <v>HOUSTON TX 77073</v>
      </c>
    </row>
    <row r="3549" spans="1:8" x14ac:dyDescent="0.2">
      <c r="A3549" s="27">
        <f>COUNTIFS(C:C,C3549,D:D,D3549)</f>
        <v>1</v>
      </c>
      <c r="B3549" s="30">
        <v>202101272808</v>
      </c>
      <c r="C3549" t="s">
        <v>8379</v>
      </c>
      <c r="D3549" t="s">
        <v>8380</v>
      </c>
      <c r="E3549" t="s">
        <v>4897</v>
      </c>
      <c r="F3549" t="s">
        <v>88</v>
      </c>
      <c r="G3549" s="27" t="str">
        <f t="shared" si="112"/>
        <v>709 MISSIOURI ST  SOUTH HOUS</v>
      </c>
      <c r="H3549" s="27" t="str">
        <f t="shared" si="113"/>
        <v>HOUSTON TX 77587</v>
      </c>
    </row>
    <row r="3550" spans="1:8" x14ac:dyDescent="0.2">
      <c r="A3550" s="27">
        <f>COUNTIFS(C:C,C3550,D:D,D3550)</f>
        <v>1</v>
      </c>
      <c r="B3550" s="30">
        <v>202101272809</v>
      </c>
      <c r="C3550" t="s">
        <v>8370</v>
      </c>
      <c r="D3550" t="s">
        <v>8371</v>
      </c>
      <c r="E3550" t="s">
        <v>8372</v>
      </c>
      <c r="F3550" t="s">
        <v>88</v>
      </c>
      <c r="G3550" s="27" t="str">
        <f t="shared" si="112"/>
        <v>601 CLEARLAKE RD  HIGHLAND</v>
      </c>
      <c r="H3550" s="27" t="str">
        <f t="shared" si="113"/>
        <v>HOUSTON TX 77562</v>
      </c>
    </row>
    <row r="3551" spans="1:8" x14ac:dyDescent="0.2">
      <c r="A3551" s="27">
        <f>COUNTIFS(C:C,C3551,D:D,D3551)</f>
        <v>1</v>
      </c>
      <c r="B3551" s="30">
        <v>202101272812</v>
      </c>
      <c r="C3551" t="s">
        <v>8449</v>
      </c>
      <c r="D3551" t="s">
        <v>8450</v>
      </c>
      <c r="E3551" t="s">
        <v>4966</v>
      </c>
      <c r="F3551" t="s">
        <v>88</v>
      </c>
      <c r="G3551" s="27" t="str">
        <f t="shared" si="112"/>
        <v>2710 KINGSDALE DR  DEER PARK</v>
      </c>
      <c r="H3551" s="27" t="str">
        <f t="shared" si="113"/>
        <v>HOUSTON TX 77536</v>
      </c>
    </row>
    <row r="3552" spans="1:8" x14ac:dyDescent="0.2">
      <c r="A3552" s="27">
        <f>COUNTIFS(C:C,C3552,D:D,D3552)</f>
        <v>1</v>
      </c>
      <c r="B3552" s="30">
        <v>202101272816</v>
      </c>
      <c r="C3552" t="s">
        <v>8386</v>
      </c>
      <c r="D3552" t="s">
        <v>8387</v>
      </c>
      <c r="E3552" t="s">
        <v>5073</v>
      </c>
      <c r="F3552" t="s">
        <v>88</v>
      </c>
      <c r="G3552" s="27" t="str">
        <f t="shared" si="112"/>
        <v>875 N SHEPHERD DR 1 53 HOUSTON</v>
      </c>
      <c r="H3552" s="27" t="str">
        <f t="shared" si="113"/>
        <v>HOUSTON TX 77008</v>
      </c>
    </row>
    <row r="3553" spans="1:8" x14ac:dyDescent="0.2">
      <c r="A3553" s="27">
        <f>COUNTIFS(C:C,C3553,D:D,D3553)</f>
        <v>1</v>
      </c>
      <c r="B3553" s="30">
        <v>202101272821</v>
      </c>
      <c r="C3553" t="s">
        <v>6367</v>
      </c>
      <c r="D3553" t="s">
        <v>8659</v>
      </c>
      <c r="E3553" t="s">
        <v>4984</v>
      </c>
      <c r="F3553" t="s">
        <v>88</v>
      </c>
      <c r="G3553" s="27" t="str">
        <f t="shared" si="112"/>
        <v>25000 ALDINE WESTFIEL D RD SPRING</v>
      </c>
      <c r="H3553" s="27" t="str">
        <f t="shared" si="113"/>
        <v>HOUSTON TX 77373</v>
      </c>
    </row>
    <row r="3554" spans="1:8" x14ac:dyDescent="0.2">
      <c r="A3554" s="27">
        <f>COUNTIFS(C:C,C3554,D:D,D3554)</f>
        <v>1</v>
      </c>
      <c r="B3554" s="30">
        <v>202101272823</v>
      </c>
      <c r="C3554" t="s">
        <v>8451</v>
      </c>
      <c r="D3554" t="s">
        <v>8452</v>
      </c>
      <c r="E3554" t="s">
        <v>5025</v>
      </c>
      <c r="F3554" t="s">
        <v>56</v>
      </c>
      <c r="G3554" s="27" t="str">
        <f t="shared" si="112"/>
        <v>2722 VILLAGE CIRCLE  KATY</v>
      </c>
      <c r="H3554" s="27" t="str">
        <f t="shared" si="113"/>
        <v>HOUSTON TX 77493</v>
      </c>
    </row>
    <row r="3555" spans="1:8" x14ac:dyDescent="0.2">
      <c r="A3555" s="27">
        <f>COUNTIFS(C:C,C3555,D:D,D3555)</f>
        <v>1</v>
      </c>
      <c r="B3555" s="30">
        <v>202101272827</v>
      </c>
      <c r="C3555" t="s">
        <v>8510</v>
      </c>
      <c r="D3555" t="s">
        <v>8511</v>
      </c>
      <c r="E3555" t="s">
        <v>4906</v>
      </c>
      <c r="F3555" t="s">
        <v>88</v>
      </c>
      <c r="G3555" s="27" t="str">
        <f t="shared" si="112"/>
        <v>5100 ALLEN GENOA RD  PASADENA</v>
      </c>
      <c r="H3555" s="27" t="str">
        <f t="shared" si="113"/>
        <v>HOUSTON TX 77504</v>
      </c>
    </row>
    <row r="3556" spans="1:8" x14ac:dyDescent="0.2">
      <c r="A3556" s="27">
        <f>COUNTIFS(C:C,C3556,D:D,D3556)</f>
        <v>1</v>
      </c>
      <c r="B3556" s="30">
        <v>202101272828</v>
      </c>
      <c r="C3556" t="s">
        <v>8458</v>
      </c>
      <c r="D3556" t="s">
        <v>8459</v>
      </c>
      <c r="E3556" t="s">
        <v>4984</v>
      </c>
      <c r="F3556" t="s">
        <v>56</v>
      </c>
      <c r="G3556" s="27" t="str">
        <f t="shared" si="112"/>
        <v>2915 CIDER WOOD DR  SPRING</v>
      </c>
      <c r="H3556" s="27" t="str">
        <f t="shared" si="113"/>
        <v>HOUSTON TX 77373</v>
      </c>
    </row>
    <row r="3557" spans="1:8" x14ac:dyDescent="0.2">
      <c r="A3557" s="27">
        <f>COUNTIFS(C:C,C3557,D:D,D3557)</f>
        <v>1</v>
      </c>
      <c r="B3557" s="30">
        <v>202101272830</v>
      </c>
      <c r="C3557" t="s">
        <v>8602</v>
      </c>
      <c r="D3557" t="s">
        <v>8603</v>
      </c>
      <c r="E3557" t="s">
        <v>4886</v>
      </c>
      <c r="F3557" t="s">
        <v>88</v>
      </c>
      <c r="G3557" s="27" t="str">
        <f t="shared" si="112"/>
        <v>11810 CHIMNEY ROCK RD  HOUSTON</v>
      </c>
      <c r="H3557" s="27" t="str">
        <f t="shared" si="113"/>
        <v>HOUSTON TX 77035</v>
      </c>
    </row>
    <row r="3558" spans="1:8" x14ac:dyDescent="0.2">
      <c r="A3558" s="27">
        <f>COUNTIFS(C:C,C3558,D:D,D3558)</f>
        <v>1</v>
      </c>
      <c r="B3558" s="30">
        <v>202101272831</v>
      </c>
      <c r="C3558" t="s">
        <v>8645</v>
      </c>
      <c r="D3558" t="s">
        <v>8646</v>
      </c>
      <c r="E3558" t="s">
        <v>5016</v>
      </c>
      <c r="F3558" t="s">
        <v>53</v>
      </c>
      <c r="G3558" s="27" t="str">
        <f t="shared" si="112"/>
        <v>16607 LARCHWOOD DR  HOUSTON</v>
      </c>
      <c r="H3558" s="27" t="str">
        <f t="shared" si="113"/>
        <v>HOUSTON TX 77396</v>
      </c>
    </row>
    <row r="3559" spans="1:8" x14ac:dyDescent="0.2">
      <c r="A3559" s="27">
        <f>COUNTIFS(C:C,C3559,D:D,D3559)</f>
        <v>1</v>
      </c>
      <c r="B3559" s="30">
        <v>202101272833</v>
      </c>
      <c r="C3559" t="s">
        <v>8066</v>
      </c>
      <c r="D3559" t="s">
        <v>8067</v>
      </c>
      <c r="E3559" t="s">
        <v>4852</v>
      </c>
      <c r="F3559" t="s">
        <v>8351</v>
      </c>
      <c r="G3559" s="27" t="str">
        <f t="shared" si="112"/>
        <v>11335 RAINCOVE  HOUSTON</v>
      </c>
      <c r="H3559" s="27" t="str">
        <f t="shared" si="113"/>
        <v>HOUSTON TX 77016</v>
      </c>
    </row>
    <row r="3560" spans="1:8" x14ac:dyDescent="0.2">
      <c r="A3560" s="27">
        <f>COUNTIFS(C:C,C3560,D:D,D3560)</f>
        <v>1</v>
      </c>
      <c r="B3560" s="30">
        <v>202101272835</v>
      </c>
      <c r="C3560" t="s">
        <v>8664</v>
      </c>
      <c r="D3560" t="s">
        <v>8665</v>
      </c>
      <c r="E3560" t="s">
        <v>8666</v>
      </c>
      <c r="F3560" t="s">
        <v>53</v>
      </c>
      <c r="G3560" s="27" t="e">
        <f t="shared" si="112"/>
        <v>#VALUE!</v>
      </c>
      <c r="H3560" s="27" t="e">
        <f t="shared" si="113"/>
        <v>#VALUE!</v>
      </c>
    </row>
    <row r="3561" spans="1:8" x14ac:dyDescent="0.2">
      <c r="A3561" s="27">
        <f>COUNTIFS(C:C,C3561,D:D,D3561)</f>
        <v>1</v>
      </c>
      <c r="B3561" s="30">
        <v>202101272836</v>
      </c>
      <c r="C3561" t="s">
        <v>8632</v>
      </c>
      <c r="D3561" t="s">
        <v>8633</v>
      </c>
      <c r="E3561" t="s">
        <v>4873</v>
      </c>
      <c r="F3561" t="s">
        <v>88</v>
      </c>
      <c r="G3561" s="27" t="str">
        <f t="shared" si="112"/>
        <v>15326 ROSEHILL SUMMIT LANE HOUSTON</v>
      </c>
      <c r="H3561" s="27" t="str">
        <f t="shared" si="113"/>
        <v>HOUSTON TX 77044</v>
      </c>
    </row>
    <row r="3562" spans="1:8" x14ac:dyDescent="0.2">
      <c r="A3562" s="27">
        <f>COUNTIFS(C:C,C3562,D:D,D3562)</f>
        <v>1</v>
      </c>
      <c r="B3562" s="30">
        <v>202101272849</v>
      </c>
      <c r="C3562" t="s">
        <v>8643</v>
      </c>
      <c r="D3562" t="s">
        <v>8644</v>
      </c>
      <c r="E3562" t="s">
        <v>4909</v>
      </c>
      <c r="F3562" t="s">
        <v>53</v>
      </c>
      <c r="G3562" s="27" t="str">
        <f t="shared" si="112"/>
        <v>16512 MONTE CARLO LN  HOUSTON</v>
      </c>
      <c r="H3562" s="27" t="str">
        <f t="shared" si="113"/>
        <v>HOUSTON TX 77053</v>
      </c>
    </row>
    <row r="3563" spans="1:8" x14ac:dyDescent="0.2">
      <c r="A3563" s="27">
        <f>COUNTIFS(C:C,C3563,D:D,D3563)</f>
        <v>1</v>
      </c>
      <c r="B3563" s="30">
        <v>202101272853</v>
      </c>
      <c r="C3563" t="s">
        <v>8488</v>
      </c>
      <c r="D3563" t="s">
        <v>8489</v>
      </c>
      <c r="E3563" t="s">
        <v>4861</v>
      </c>
      <c r="F3563" t="s">
        <v>51</v>
      </c>
      <c r="G3563" s="27" t="str">
        <f t="shared" si="112"/>
        <v>4107 PHLOX ST  HOUSTON</v>
      </c>
      <c r="H3563" s="27" t="str">
        <f t="shared" si="113"/>
        <v>HOUSTON TX 77051</v>
      </c>
    </row>
    <row r="3564" spans="1:8" x14ac:dyDescent="0.2">
      <c r="A3564" s="27">
        <f>COUNTIFS(C:C,C3564,D:D,D3564)</f>
        <v>1</v>
      </c>
      <c r="B3564" s="30">
        <v>202101272854</v>
      </c>
      <c r="C3564" t="s">
        <v>8618</v>
      </c>
      <c r="D3564" t="s">
        <v>8619</v>
      </c>
      <c r="E3564" t="s">
        <v>4931</v>
      </c>
      <c r="F3564" t="s">
        <v>51</v>
      </c>
      <c r="G3564" s="27" t="str">
        <f t="shared" si="112"/>
        <v>13119 MARBURY CT  HOUSTON</v>
      </c>
      <c r="H3564" s="27" t="str">
        <f t="shared" si="113"/>
        <v>HOUSTON TX 77014</v>
      </c>
    </row>
    <row r="3565" spans="1:8" x14ac:dyDescent="0.2">
      <c r="A3565" s="27">
        <f>COUNTIFS(C:C,C3565,D:D,D3565)</f>
        <v>1</v>
      </c>
      <c r="B3565" s="30">
        <v>202101272855</v>
      </c>
      <c r="C3565" t="s">
        <v>8504</v>
      </c>
      <c r="D3565" t="s">
        <v>8505</v>
      </c>
      <c r="E3565" t="s">
        <v>4994</v>
      </c>
      <c r="F3565" t="s">
        <v>53</v>
      </c>
      <c r="G3565" s="27" t="str">
        <f t="shared" si="112"/>
        <v>4810 SPRING CYPRESS  SPRING</v>
      </c>
      <c r="H3565" s="27" t="str">
        <f t="shared" si="113"/>
        <v>HOUSTON TX 77388</v>
      </c>
    </row>
    <row r="3566" spans="1:8" x14ac:dyDescent="0.2">
      <c r="A3566" s="27">
        <f>COUNTIFS(C:C,C3566,D:D,D3566)</f>
        <v>1</v>
      </c>
      <c r="B3566" s="30">
        <v>202101272858</v>
      </c>
      <c r="C3566" t="s">
        <v>8614</v>
      </c>
      <c r="D3566" t="s">
        <v>8615</v>
      </c>
      <c r="E3566" t="s">
        <v>4873</v>
      </c>
      <c r="F3566" t="s">
        <v>79</v>
      </c>
      <c r="G3566" s="27" t="str">
        <f t="shared" si="112"/>
        <v>12711 WINDING MANOR D R. HOUSTON</v>
      </c>
      <c r="H3566" s="27" t="str">
        <f t="shared" si="113"/>
        <v>HOUSTON TX 77044</v>
      </c>
    </row>
    <row r="3567" spans="1:8" x14ac:dyDescent="0.2">
      <c r="A3567" s="27">
        <f>COUNTIFS(C:C,C3567,D:D,D3567)</f>
        <v>1</v>
      </c>
      <c r="B3567" s="30">
        <v>202101272860</v>
      </c>
      <c r="C3567" t="s">
        <v>8516</v>
      </c>
      <c r="D3567" t="s">
        <v>1383</v>
      </c>
      <c r="E3567" t="s">
        <v>4919</v>
      </c>
      <c r="F3567" t="s">
        <v>8340</v>
      </c>
      <c r="G3567" s="27" t="str">
        <f t="shared" si="112"/>
        <v>5500 EL CAMINO DEL R EY ST HOUSTON</v>
      </c>
      <c r="H3567" s="27" t="str">
        <f t="shared" si="113"/>
        <v>HOUSTON TX 77081</v>
      </c>
    </row>
    <row r="3568" spans="1:8" x14ac:dyDescent="0.2">
      <c r="A3568" s="27">
        <f>COUNTIFS(C:C,C3568,D:D,D3568)</f>
        <v>1</v>
      </c>
      <c r="B3568" s="30">
        <v>202101272872</v>
      </c>
      <c r="C3568" t="s">
        <v>8466</v>
      </c>
      <c r="D3568" t="s">
        <v>8467</v>
      </c>
      <c r="E3568" t="s">
        <v>4893</v>
      </c>
      <c r="F3568" t="s">
        <v>88</v>
      </c>
      <c r="G3568" s="27" t="str">
        <f t="shared" si="112"/>
        <v>3135 BERAN DR  HOUSTON</v>
      </c>
      <c r="H3568" s="27" t="str">
        <f t="shared" si="113"/>
        <v>HOUSTON TX 77045</v>
      </c>
    </row>
    <row r="3569" spans="1:8" x14ac:dyDescent="0.2">
      <c r="A3569" s="27">
        <f>COUNTIFS(C:C,C3569,D:D,D3569)</f>
        <v>1</v>
      </c>
      <c r="B3569" s="30">
        <v>202101272873</v>
      </c>
      <c r="C3569" t="s">
        <v>8616</v>
      </c>
      <c r="D3569" t="s">
        <v>8617</v>
      </c>
      <c r="E3569" t="s">
        <v>4873</v>
      </c>
      <c r="F3569" t="s">
        <v>78</v>
      </c>
      <c r="G3569" s="27" t="str">
        <f t="shared" si="112"/>
        <v>12711 WINDING MANOR D RIVE HOUSTON</v>
      </c>
      <c r="H3569" s="27" t="str">
        <f t="shared" si="113"/>
        <v>HOUSTON TX 77044</v>
      </c>
    </row>
    <row r="3570" spans="1:8" x14ac:dyDescent="0.2">
      <c r="A3570" s="27">
        <f>COUNTIFS(C:C,C3570,D:D,D3570)</f>
        <v>1</v>
      </c>
      <c r="B3570" s="30">
        <v>202101272874</v>
      </c>
      <c r="C3570" t="s">
        <v>8367</v>
      </c>
      <c r="D3570" t="s">
        <v>3421</v>
      </c>
      <c r="E3570" t="s">
        <v>4948</v>
      </c>
      <c r="F3570" t="s">
        <v>67</v>
      </c>
      <c r="G3570" s="27" t="str">
        <f t="shared" si="112"/>
        <v>416 E 9TH ST  HOUSTON</v>
      </c>
      <c r="H3570" s="27" t="str">
        <f t="shared" si="113"/>
        <v>HOUSTON TX 77007</v>
      </c>
    </row>
    <row r="3571" spans="1:8" x14ac:dyDescent="0.2">
      <c r="A3571" s="27">
        <f>COUNTIFS(C:C,C3571,D:D,D3571)</f>
        <v>1</v>
      </c>
      <c r="B3571" s="30">
        <v>202101272875</v>
      </c>
      <c r="C3571" t="s">
        <v>8572</v>
      </c>
      <c r="D3571" t="s">
        <v>8573</v>
      </c>
      <c r="E3571" t="s">
        <v>4896</v>
      </c>
      <c r="F3571" t="s">
        <v>88</v>
      </c>
      <c r="G3571" s="27" t="str">
        <f t="shared" si="112"/>
        <v>8100 SANDSPOINT DR  HOUSTON</v>
      </c>
      <c r="H3571" s="27" t="str">
        <f t="shared" si="113"/>
        <v>HOUSTON TX 77036</v>
      </c>
    </row>
    <row r="3572" spans="1:8" x14ac:dyDescent="0.2">
      <c r="A3572" s="27">
        <f>COUNTIFS(C:C,C3572,D:D,D3572)</f>
        <v>1</v>
      </c>
      <c r="B3572" s="30">
        <v>202101272876</v>
      </c>
      <c r="C3572" t="s">
        <v>8651</v>
      </c>
      <c r="D3572" t="s">
        <v>8652</v>
      </c>
      <c r="E3572" t="s">
        <v>4900</v>
      </c>
      <c r="F3572" t="s">
        <v>88</v>
      </c>
      <c r="G3572" s="27" t="str">
        <f t="shared" si="112"/>
        <v>21130 STONEY HAVEN DR  KATY</v>
      </c>
      <c r="H3572" s="27" t="str">
        <f t="shared" si="113"/>
        <v>HOUSTON TX 77449</v>
      </c>
    </row>
    <row r="3573" spans="1:8" x14ac:dyDescent="0.2">
      <c r="A3573" s="27">
        <f>COUNTIFS(C:C,C3573,D:D,D3573)</f>
        <v>1</v>
      </c>
      <c r="B3573" s="30">
        <v>202101272878</v>
      </c>
      <c r="C3573" t="s">
        <v>8634</v>
      </c>
      <c r="D3573" t="s">
        <v>8635</v>
      </c>
      <c r="E3573" t="s">
        <v>5052</v>
      </c>
      <c r="F3573" t="s">
        <v>87</v>
      </c>
      <c r="G3573" s="27" t="str">
        <f t="shared" si="112"/>
        <v>15614 DAWNBROOK DR  HOUSTON</v>
      </c>
      <c r="H3573" s="27" t="str">
        <f t="shared" si="113"/>
        <v>HOUSTON TX 77068</v>
      </c>
    </row>
    <row r="3574" spans="1:8" x14ac:dyDescent="0.2">
      <c r="A3574" s="27">
        <f>COUNTIFS(C:C,C3574,D:D,D3574)</f>
        <v>1</v>
      </c>
      <c r="B3574" s="30">
        <v>202101272880</v>
      </c>
      <c r="C3574" t="s">
        <v>8373</v>
      </c>
      <c r="D3574" t="s">
        <v>8374</v>
      </c>
      <c r="E3574" t="s">
        <v>8375</v>
      </c>
      <c r="F3574" t="s">
        <v>88</v>
      </c>
      <c r="G3574" s="27" t="str">
        <f t="shared" si="112"/>
        <v>643 N MONROE  LA GRANGE</v>
      </c>
      <c r="H3574" s="27" t="str">
        <f t="shared" si="113"/>
        <v>HOUSTON TX 78945</v>
      </c>
    </row>
    <row r="3575" spans="1:8" x14ac:dyDescent="0.2">
      <c r="A3575" s="27">
        <f>COUNTIFS(C:C,C3575,D:D,D3575)</f>
        <v>1</v>
      </c>
      <c r="B3575" s="30">
        <v>202101272882</v>
      </c>
      <c r="C3575" t="s">
        <v>8431</v>
      </c>
      <c r="D3575" t="s">
        <v>8432</v>
      </c>
      <c r="E3575" t="s">
        <v>5152</v>
      </c>
      <c r="F3575" t="s">
        <v>335</v>
      </c>
      <c r="G3575" s="27" t="str">
        <f t="shared" si="112"/>
        <v>1710 EARL PORTER DR  BAYTOWN</v>
      </c>
      <c r="H3575" s="27" t="str">
        <f t="shared" si="113"/>
        <v>HOUSTON TX 77523</v>
      </c>
    </row>
    <row r="3576" spans="1:8" x14ac:dyDescent="0.2">
      <c r="A3576" s="27">
        <f>COUNTIFS(C:C,C3576,D:D,D3576)</f>
        <v>1</v>
      </c>
      <c r="B3576" s="30">
        <v>202101272886</v>
      </c>
      <c r="C3576" t="s">
        <v>8641</v>
      </c>
      <c r="D3576" t="s">
        <v>8642</v>
      </c>
      <c r="E3576" t="s">
        <v>4909</v>
      </c>
      <c r="F3576" t="s">
        <v>79</v>
      </c>
      <c r="G3576" s="27" t="str">
        <f t="shared" si="112"/>
        <v>16211 SAMOA WAY  HOUSTON</v>
      </c>
      <c r="H3576" s="27" t="str">
        <f t="shared" si="113"/>
        <v>HOUSTON TX 77053</v>
      </c>
    </row>
    <row r="3577" spans="1:8" x14ac:dyDescent="0.2">
      <c r="A3577" s="27">
        <f>COUNTIFS(C:C,C3577,D:D,D3577)</f>
        <v>1</v>
      </c>
      <c r="B3577" s="30">
        <v>202101272889</v>
      </c>
      <c r="C3577" t="s">
        <v>8592</v>
      </c>
      <c r="D3577" t="s">
        <v>8593</v>
      </c>
      <c r="E3577" t="s">
        <v>4975</v>
      </c>
      <c r="F3577" t="s">
        <v>78</v>
      </c>
      <c r="G3577" s="27" t="str">
        <f t="shared" si="112"/>
        <v>9903 SAND DOLLAR DR  HOUSTON</v>
      </c>
      <c r="H3577" s="27" t="str">
        <f t="shared" si="113"/>
        <v>HOUSTON TX 77065</v>
      </c>
    </row>
    <row r="3578" spans="1:8" x14ac:dyDescent="0.2">
      <c r="A3578" s="27">
        <f>COUNTIFS(C:C,C3578,D:D,D3578)</f>
        <v>1</v>
      </c>
      <c r="B3578" s="30">
        <v>202101272890</v>
      </c>
      <c r="C3578" t="s">
        <v>8636</v>
      </c>
      <c r="D3578" t="s">
        <v>8637</v>
      </c>
      <c r="E3578" t="s">
        <v>4920</v>
      </c>
      <c r="F3578" t="s">
        <v>71</v>
      </c>
      <c r="G3578" s="27" t="str">
        <f t="shared" si="112"/>
        <v>15770 BELLAIRE BLVD A PT 1406 HOUSTON</v>
      </c>
      <c r="H3578" s="27" t="str">
        <f t="shared" si="113"/>
        <v>HOUSTON TX 77083</v>
      </c>
    </row>
    <row r="3579" spans="1:8" x14ac:dyDescent="0.2">
      <c r="A3579" s="27">
        <f>COUNTIFS(C:C,C3579,D:D,D3579)</f>
        <v>1</v>
      </c>
      <c r="B3579" s="30">
        <v>202101272891</v>
      </c>
      <c r="C3579" t="s">
        <v>8383</v>
      </c>
      <c r="D3579" t="s">
        <v>8384</v>
      </c>
      <c r="E3579" t="s">
        <v>4960</v>
      </c>
      <c r="F3579" t="s">
        <v>79</v>
      </c>
      <c r="G3579" s="27" t="str">
        <f t="shared" si="112"/>
        <v>797 GOODSON DR 88  HOUSTON</v>
      </c>
      <c r="H3579" s="27" t="str">
        <f t="shared" si="113"/>
        <v>HOUSTON TX 77060</v>
      </c>
    </row>
    <row r="3580" spans="1:8" x14ac:dyDescent="0.2">
      <c r="A3580" s="27">
        <f>COUNTIFS(C:C,C3580,D:D,D3580)</f>
        <v>1</v>
      </c>
      <c r="B3580" s="30">
        <v>202101272892</v>
      </c>
      <c r="C3580" t="s">
        <v>8596</v>
      </c>
      <c r="D3580" t="s">
        <v>8597</v>
      </c>
      <c r="E3580" t="s">
        <v>4893</v>
      </c>
      <c r="F3580" t="s">
        <v>88</v>
      </c>
      <c r="G3580" s="27" t="str">
        <f t="shared" si="112"/>
        <v>10000 FANNIN ST  HOUSTON</v>
      </c>
      <c r="H3580" s="27" t="str">
        <f t="shared" si="113"/>
        <v>HOUSTON TX 77045</v>
      </c>
    </row>
    <row r="3581" spans="1:8" x14ac:dyDescent="0.2">
      <c r="A3581" s="27">
        <f>COUNTIFS(C:C,C3581,D:D,D3581)</f>
        <v>1</v>
      </c>
      <c r="B3581" s="30">
        <v>202101272898</v>
      </c>
      <c r="C3581" t="s">
        <v>8385</v>
      </c>
      <c r="D3581" t="s">
        <v>8384</v>
      </c>
      <c r="E3581" t="s">
        <v>4960</v>
      </c>
      <c r="F3581" t="s">
        <v>78</v>
      </c>
      <c r="G3581" s="27" t="str">
        <f t="shared" si="112"/>
        <v>797 GOODSON DR 88  HOUSTON</v>
      </c>
      <c r="H3581" s="27" t="str">
        <f t="shared" si="113"/>
        <v>HOUSTON TX 77060</v>
      </c>
    </row>
    <row r="3582" spans="1:8" x14ac:dyDescent="0.2">
      <c r="A3582" s="27">
        <f>COUNTIFS(C:C,C3582,D:D,D3582)</f>
        <v>1</v>
      </c>
      <c r="B3582" s="30">
        <v>202101272899</v>
      </c>
      <c r="C3582" t="s">
        <v>8544</v>
      </c>
      <c r="D3582" t="s">
        <v>8545</v>
      </c>
      <c r="E3582" t="s">
        <v>5081</v>
      </c>
      <c r="F3582" t="s">
        <v>275</v>
      </c>
      <c r="G3582" s="27" t="str">
        <f t="shared" si="112"/>
        <v>6811 MOSS OAKS DR  HOUSTON</v>
      </c>
      <c r="H3582" s="27" t="str">
        <f t="shared" si="113"/>
        <v>HOUSTON TX 77050</v>
      </c>
    </row>
    <row r="3583" spans="1:8" x14ac:dyDescent="0.2">
      <c r="A3583" s="27">
        <f>COUNTIFS(C:C,C3583,D:D,D3583)</f>
        <v>1</v>
      </c>
      <c r="B3583" s="30">
        <v>202101272901</v>
      </c>
      <c r="C3583" t="s">
        <v>8486</v>
      </c>
      <c r="D3583" t="s">
        <v>8487</v>
      </c>
      <c r="E3583" t="s">
        <v>4933</v>
      </c>
      <c r="F3583" t="s">
        <v>53</v>
      </c>
      <c r="G3583" s="27" t="str">
        <f t="shared" si="112"/>
        <v>3950 HOLLISTER ST  HOUSTON</v>
      </c>
      <c r="H3583" s="27" t="str">
        <f t="shared" si="113"/>
        <v>HOUSTON TX 77080</v>
      </c>
    </row>
    <row r="3584" spans="1:8" x14ac:dyDescent="0.2">
      <c r="A3584" s="27">
        <f>COUNTIFS(C:C,C3584,D:D,D3584)</f>
        <v>1</v>
      </c>
      <c r="B3584" s="30">
        <v>202101272902</v>
      </c>
      <c r="C3584" t="s">
        <v>8360</v>
      </c>
      <c r="D3584" t="s">
        <v>8361</v>
      </c>
      <c r="E3584" t="s">
        <v>4876</v>
      </c>
      <c r="F3584" t="s">
        <v>88</v>
      </c>
      <c r="G3584" s="27" t="str">
        <f t="shared" si="112"/>
        <v>174 BLACK ROCK RD  HOUSTON</v>
      </c>
      <c r="H3584" s="27" t="str">
        <f t="shared" si="113"/>
        <v>HOUSTON TX 77015</v>
      </c>
    </row>
    <row r="3585" spans="1:8" x14ac:dyDescent="0.2">
      <c r="A3585" s="27">
        <f>COUNTIFS(C:C,C3585,D:D,D3585)</f>
        <v>1</v>
      </c>
      <c r="B3585" s="30">
        <v>202101272904</v>
      </c>
      <c r="C3585" t="s">
        <v>8570</v>
      </c>
      <c r="D3585" t="s">
        <v>8571</v>
      </c>
      <c r="E3585" t="s">
        <v>4931</v>
      </c>
      <c r="F3585" t="s">
        <v>53</v>
      </c>
      <c r="G3585" s="27" t="str">
        <f t="shared" si="112"/>
        <v>8060 8TH ST  HOUSTON</v>
      </c>
      <c r="H3585" s="27" t="str">
        <f t="shared" si="113"/>
        <v>HOUSTON TX 77014</v>
      </c>
    </row>
    <row r="3586" spans="1:8" x14ac:dyDescent="0.2">
      <c r="A3586" s="27">
        <f>COUNTIFS(C:C,C3586,D:D,D3586)</f>
        <v>1</v>
      </c>
      <c r="B3586" s="30">
        <v>202101272908</v>
      </c>
      <c r="C3586" t="s">
        <v>8415</v>
      </c>
      <c r="D3586" t="s">
        <v>8416</v>
      </c>
      <c r="E3586" t="s">
        <v>5254</v>
      </c>
      <c r="F3586" t="s">
        <v>88</v>
      </c>
      <c r="G3586" s="27" t="str">
        <f t="shared" si="112"/>
        <v>1306 AIRLINE PLACE  HOUSTON</v>
      </c>
      <c r="H3586" s="27" t="str">
        <f t="shared" si="113"/>
        <v>HOUSTON TX 77583</v>
      </c>
    </row>
    <row r="3587" spans="1:8" x14ac:dyDescent="0.2">
      <c r="A3587" s="27">
        <f>COUNTIFS(C:C,C3587,D:D,D3587)</f>
        <v>1</v>
      </c>
      <c r="B3587" s="30">
        <v>202101272909</v>
      </c>
      <c r="C3587" t="s">
        <v>8508</v>
      </c>
      <c r="D3587" t="s">
        <v>8509</v>
      </c>
      <c r="E3587" t="s">
        <v>4851</v>
      </c>
      <c r="F3587" t="s">
        <v>88</v>
      </c>
      <c r="G3587" s="27" t="str">
        <f t="shared" si="112"/>
        <v>5012 ASHWOOD DR  BAYTOWN</v>
      </c>
      <c r="H3587" s="27" t="str">
        <f t="shared" si="113"/>
        <v>HOUSTON TX 77521</v>
      </c>
    </row>
    <row r="3588" spans="1:8" x14ac:dyDescent="0.2">
      <c r="A3588" s="27">
        <f>COUNTIFS(C:C,C3588,D:D,D3588)</f>
        <v>1</v>
      </c>
      <c r="B3588" s="30">
        <v>202101272910</v>
      </c>
      <c r="C3588" t="s">
        <v>8542</v>
      </c>
      <c r="D3588" t="s">
        <v>8543</v>
      </c>
      <c r="E3588" t="s">
        <v>4932</v>
      </c>
      <c r="F3588" t="s">
        <v>79</v>
      </c>
      <c r="G3588" s="27" t="str">
        <f t="shared" si="112"/>
        <v>6610 LIMESTONE  HOUSTON</v>
      </c>
      <c r="H3588" s="27" t="str">
        <f t="shared" si="113"/>
        <v>HOUSTON TX 77092</v>
      </c>
    </row>
    <row r="3589" spans="1:8" x14ac:dyDescent="0.2">
      <c r="A3589" s="27">
        <f>COUNTIFS(C:C,C3589,D:D,D3589)</f>
        <v>1</v>
      </c>
      <c r="B3589" s="30">
        <v>202101272911</v>
      </c>
      <c r="C3589" t="s">
        <v>8594</v>
      </c>
      <c r="D3589" t="s">
        <v>8595</v>
      </c>
      <c r="E3589" t="s">
        <v>4899</v>
      </c>
      <c r="F3589" t="s">
        <v>85</v>
      </c>
      <c r="G3589" s="27" t="str">
        <f t="shared" si="112"/>
        <v>9955 BAMMEL NORTH HO USTON DR HOUSTON</v>
      </c>
      <c r="H3589" s="27" t="str">
        <f t="shared" si="113"/>
        <v>HOUSTON TX 77086</v>
      </c>
    </row>
    <row r="3590" spans="1:8" x14ac:dyDescent="0.2">
      <c r="A3590" s="27">
        <f>COUNTIFS(C:C,C3590,D:D,D3590)</f>
        <v>1</v>
      </c>
      <c r="B3590" s="30">
        <v>202101272914</v>
      </c>
      <c r="C3590" t="s">
        <v>8455</v>
      </c>
      <c r="D3590" t="s">
        <v>8456</v>
      </c>
      <c r="E3590" t="s">
        <v>8457</v>
      </c>
      <c r="F3590" t="s">
        <v>51</v>
      </c>
      <c r="G3590" s="27" t="str">
        <f t="shared" si="112"/>
        <v>2800 OLD HEARNE RD 3 7 BRYAN</v>
      </c>
      <c r="H3590" s="27" t="str">
        <f t="shared" si="113"/>
        <v>HOUSTON TX 77803</v>
      </c>
    </row>
    <row r="3591" spans="1:8" x14ac:dyDescent="0.2">
      <c r="A3591" s="27">
        <f>COUNTIFS(C:C,C3591,D:D,D3591)</f>
        <v>1</v>
      </c>
      <c r="B3591" s="30">
        <v>202101272918</v>
      </c>
      <c r="C3591" t="s">
        <v>8500</v>
      </c>
      <c r="D3591" t="s">
        <v>8501</v>
      </c>
      <c r="E3591" t="s">
        <v>4920</v>
      </c>
      <c r="F3591" t="s">
        <v>76</v>
      </c>
      <c r="G3591" s="27" t="str">
        <f t="shared" si="112"/>
        <v>4614 PINE LN  HOUSTON</v>
      </c>
      <c r="H3591" s="27" t="str">
        <f t="shared" si="113"/>
        <v>HOUSTON TX 77083</v>
      </c>
    </row>
    <row r="3592" spans="1:8" x14ac:dyDescent="0.2">
      <c r="A3592" s="27">
        <f>COUNTIFS(C:C,C3592,D:D,D3592)</f>
        <v>1</v>
      </c>
      <c r="B3592" s="30">
        <v>202101272920</v>
      </c>
      <c r="C3592" t="s">
        <v>8427</v>
      </c>
      <c r="D3592" t="s">
        <v>8428</v>
      </c>
      <c r="E3592" t="s">
        <v>5187</v>
      </c>
      <c r="F3592" t="s">
        <v>51</v>
      </c>
      <c r="G3592" s="27" t="str">
        <f t="shared" si="112"/>
        <v>1526 HUNTER GREEN LN  FRESNO</v>
      </c>
      <c r="H3592" s="27" t="str">
        <f t="shared" si="113"/>
        <v>HOUSTON TX 77545</v>
      </c>
    </row>
    <row r="3593" spans="1:8" x14ac:dyDescent="0.2">
      <c r="A3593" s="27">
        <f>COUNTIFS(C:C,C3593,D:D,D3593)</f>
        <v>1</v>
      </c>
      <c r="B3593" s="30">
        <v>202101272930</v>
      </c>
      <c r="C3593" t="s">
        <v>8552</v>
      </c>
      <c r="D3593" t="s">
        <v>8553</v>
      </c>
      <c r="E3593" t="s">
        <v>4988</v>
      </c>
      <c r="F3593" t="s">
        <v>87</v>
      </c>
      <c r="G3593" s="27" t="str">
        <f t="shared" si="112"/>
        <v>7414 PARKCRAFT DR  MISSOURI C</v>
      </c>
      <c r="H3593" s="27" t="str">
        <f t="shared" si="113"/>
        <v>HOUSTON TX 77489</v>
      </c>
    </row>
    <row r="3594" spans="1:8" x14ac:dyDescent="0.2">
      <c r="A3594" s="27">
        <f>COUNTIFS(C:C,C3594,D:D,D3594)</f>
        <v>1</v>
      </c>
      <c r="B3594" s="30">
        <v>202101272947</v>
      </c>
      <c r="C3594" t="s">
        <v>8606</v>
      </c>
      <c r="D3594" t="s">
        <v>8607</v>
      </c>
      <c r="E3594" t="s">
        <v>4875</v>
      </c>
      <c r="F3594" t="s">
        <v>58</v>
      </c>
      <c r="G3594" s="27" t="str">
        <f t="shared" si="112"/>
        <v>12029 ALDINE WESTIFEL D HOUSTON</v>
      </c>
      <c r="H3594" s="27" t="str">
        <f t="shared" si="113"/>
        <v>HOUSTON TX 77093</v>
      </c>
    </row>
    <row r="3595" spans="1:8" x14ac:dyDescent="0.2">
      <c r="A3595" s="27">
        <f>COUNTIFS(C:C,C3595,D:D,D3595)</f>
        <v>1</v>
      </c>
      <c r="B3595" s="30">
        <v>202101272948</v>
      </c>
      <c r="C3595" t="s">
        <v>8546</v>
      </c>
      <c r="D3595" t="s">
        <v>8547</v>
      </c>
      <c r="E3595" t="s">
        <v>5055</v>
      </c>
      <c r="F3595" t="s">
        <v>87</v>
      </c>
      <c r="G3595" s="27" t="str">
        <f t="shared" si="112"/>
        <v>6833 LAKEVIEW HAVEN DR HARRIS CO</v>
      </c>
      <c r="H3595" s="27" t="str">
        <f t="shared" si="113"/>
        <v>HOUSTON TX 77084</v>
      </c>
    </row>
    <row r="3596" spans="1:8" x14ac:dyDescent="0.2">
      <c r="A3596" s="27">
        <f>COUNTIFS(C:C,C3596,D:D,D3596)</f>
        <v>1</v>
      </c>
      <c r="B3596" s="30">
        <v>202101272952</v>
      </c>
      <c r="C3596" t="s">
        <v>8521</v>
      </c>
      <c r="D3596" t="s">
        <v>8522</v>
      </c>
      <c r="E3596" t="s">
        <v>4886</v>
      </c>
      <c r="F3596" t="s">
        <v>53</v>
      </c>
      <c r="G3596" s="27" t="str">
        <f t="shared" si="112"/>
        <v>5557 GASMER 673  HOUSTON</v>
      </c>
      <c r="H3596" s="27" t="str">
        <f t="shared" si="113"/>
        <v>HOUSTON TX 77035</v>
      </c>
    </row>
    <row r="3597" spans="1:8" x14ac:dyDescent="0.2">
      <c r="A3597" s="27">
        <f>COUNTIFS(C:C,C3597,D:D,D3597)</f>
        <v>1</v>
      </c>
      <c r="B3597" s="30">
        <v>202101272956</v>
      </c>
      <c r="C3597" t="s">
        <v>8560</v>
      </c>
      <c r="D3597" t="s">
        <v>8561</v>
      </c>
      <c r="E3597" t="s">
        <v>4953</v>
      </c>
      <c r="F3597" t="s">
        <v>72</v>
      </c>
      <c r="G3597" s="27" t="str">
        <f t="shared" si="112"/>
        <v>7710 AVENUE B  HOUSTON</v>
      </c>
      <c r="H3597" s="27" t="str">
        <f t="shared" si="113"/>
        <v>HOUSTON TX 77012</v>
      </c>
    </row>
    <row r="3598" spans="1:8" x14ac:dyDescent="0.2">
      <c r="A3598" s="27">
        <f>COUNTIFS(C:C,C3598,D:D,D3598)</f>
        <v>1</v>
      </c>
      <c r="B3598" s="30">
        <v>202101272957</v>
      </c>
      <c r="C3598" t="s">
        <v>8474</v>
      </c>
      <c r="D3598" t="s">
        <v>8475</v>
      </c>
      <c r="E3598" t="s">
        <v>5160</v>
      </c>
      <c r="F3598" t="s">
        <v>53</v>
      </c>
      <c r="G3598" s="27" t="str">
        <f t="shared" ref="G3598:G3661" si="114">D3598&amp;" "&amp;MID(E3598,1,FIND(" TX",E3598)-1)</f>
        <v>3550 MAIN ST APT 730 8 HOUSTON</v>
      </c>
      <c r="H3598" s="27" t="str">
        <f t="shared" ref="H3598:H3661" si="115">"HOUSTON "&amp;MID(E3598,FIND("TX",E3598),8)</f>
        <v>HOUSTON TX 77002</v>
      </c>
    </row>
    <row r="3599" spans="1:8" x14ac:dyDescent="0.2">
      <c r="A3599" s="27">
        <f>COUNTIFS(C:C,C3599,D:D,D3599)</f>
        <v>1</v>
      </c>
      <c r="B3599" s="30">
        <v>202101272961</v>
      </c>
      <c r="C3599" t="s">
        <v>8425</v>
      </c>
      <c r="D3599" t="s">
        <v>8426</v>
      </c>
      <c r="E3599" t="s">
        <v>5005</v>
      </c>
      <c r="F3599" t="s">
        <v>53</v>
      </c>
      <c r="G3599" s="27" t="str">
        <f t="shared" si="114"/>
        <v>1519 OLD GREENS RD  HOUSTON</v>
      </c>
      <c r="H3599" s="27" t="str">
        <f t="shared" si="115"/>
        <v>HOUSTON TX 77032</v>
      </c>
    </row>
    <row r="3600" spans="1:8" x14ac:dyDescent="0.2">
      <c r="A3600" s="27">
        <f>COUNTIFS(C:C,C3600,D:D,D3600)</f>
        <v>1</v>
      </c>
      <c r="B3600" s="30">
        <v>202101272964</v>
      </c>
      <c r="C3600" t="s">
        <v>8378</v>
      </c>
      <c r="D3600" t="s">
        <v>8377</v>
      </c>
      <c r="E3600" t="s">
        <v>4879</v>
      </c>
      <c r="F3600" t="s">
        <v>64</v>
      </c>
      <c r="G3600" s="27" t="str">
        <f t="shared" si="114"/>
        <v>702 LOVERS LN  HOUSTON</v>
      </c>
      <c r="H3600" s="27" t="str">
        <f t="shared" si="115"/>
        <v>HOUSTON TX 77091</v>
      </c>
    </row>
    <row r="3601" spans="1:8" x14ac:dyDescent="0.2">
      <c r="A3601" s="27">
        <f>COUNTIFS(C:C,C3601,D:D,D3601)</f>
        <v>1</v>
      </c>
      <c r="B3601" s="30">
        <v>202101272968</v>
      </c>
      <c r="C3601" t="s">
        <v>8514</v>
      </c>
      <c r="D3601" t="s">
        <v>8515</v>
      </c>
      <c r="E3601" t="s">
        <v>4919</v>
      </c>
      <c r="F3601" t="s">
        <v>72</v>
      </c>
      <c r="G3601" s="27" t="str">
        <f t="shared" si="114"/>
        <v>5401 CHIMNEY ROCK RD 879 HOUSTON</v>
      </c>
      <c r="H3601" s="27" t="str">
        <f t="shared" si="115"/>
        <v>HOUSTON TX 77081</v>
      </c>
    </row>
    <row r="3602" spans="1:8" x14ac:dyDescent="0.2">
      <c r="A3602" s="27">
        <f>COUNTIFS(C:C,C3602,D:D,D3602)</f>
        <v>1</v>
      </c>
      <c r="B3602" s="30">
        <v>202101272969</v>
      </c>
      <c r="C3602" t="s">
        <v>8409</v>
      </c>
      <c r="D3602" t="s">
        <v>8410</v>
      </c>
      <c r="E3602" t="s">
        <v>4895</v>
      </c>
      <c r="F3602" t="s">
        <v>71</v>
      </c>
      <c r="G3602" s="27" t="str">
        <f t="shared" si="114"/>
        <v>1200 BASTROP  HOUSTON</v>
      </c>
      <c r="H3602" s="27" t="str">
        <f t="shared" si="115"/>
        <v>HOUSTON TX 77003</v>
      </c>
    </row>
    <row r="3603" spans="1:8" x14ac:dyDescent="0.2">
      <c r="A3603" s="27">
        <f>COUNTIFS(C:C,C3603,D:D,D3603)</f>
        <v>1</v>
      </c>
      <c r="B3603" s="30">
        <v>202101272971</v>
      </c>
      <c r="C3603" t="s">
        <v>8362</v>
      </c>
      <c r="D3603" t="s">
        <v>2293</v>
      </c>
      <c r="E3603" t="s">
        <v>4960</v>
      </c>
      <c r="F3603" t="s">
        <v>78</v>
      </c>
      <c r="G3603" s="27" t="str">
        <f t="shared" si="114"/>
        <v>197 GOODSON DR  HOUSTON</v>
      </c>
      <c r="H3603" s="27" t="str">
        <f t="shared" si="115"/>
        <v>HOUSTON TX 77060</v>
      </c>
    </row>
    <row r="3604" spans="1:8" x14ac:dyDescent="0.2">
      <c r="A3604" s="27">
        <f>COUNTIFS(C:C,C3604,D:D,D3604)</f>
        <v>1</v>
      </c>
      <c r="B3604" s="30">
        <v>202101272977</v>
      </c>
      <c r="C3604" t="s">
        <v>8630</v>
      </c>
      <c r="D3604" t="s">
        <v>8631</v>
      </c>
      <c r="E3604" t="s">
        <v>5002</v>
      </c>
      <c r="F3604" t="s">
        <v>51</v>
      </c>
      <c r="G3604" s="27" t="str">
        <f t="shared" si="114"/>
        <v>15250 GRAY RIDGE DRIV E HOUSTON</v>
      </c>
      <c r="H3604" s="27" t="str">
        <f t="shared" si="115"/>
        <v>HOUSTON TX 77082</v>
      </c>
    </row>
    <row r="3605" spans="1:8" x14ac:dyDescent="0.2">
      <c r="A3605" s="27">
        <f>COUNTIFS(C:C,C3605,D:D,D3605)</f>
        <v>1</v>
      </c>
      <c r="B3605" s="30">
        <v>202101272981</v>
      </c>
      <c r="C3605" t="s">
        <v>8444</v>
      </c>
      <c r="D3605" t="s">
        <v>8445</v>
      </c>
      <c r="E3605" t="s">
        <v>5137</v>
      </c>
      <c r="F3605" t="s">
        <v>53</v>
      </c>
      <c r="G3605" s="27" t="str">
        <f t="shared" si="114"/>
        <v>2425 SAGE RD 216  HOUSTON</v>
      </c>
      <c r="H3605" s="27" t="str">
        <f t="shared" si="115"/>
        <v>HOUSTON TX 77056</v>
      </c>
    </row>
    <row r="3606" spans="1:8" x14ac:dyDescent="0.2">
      <c r="A3606" s="27">
        <f>COUNTIFS(C:C,C3606,D:D,D3606)</f>
        <v>1</v>
      </c>
      <c r="B3606" s="30">
        <v>202101272984</v>
      </c>
      <c r="C3606" t="s">
        <v>8653</v>
      </c>
      <c r="D3606" t="s">
        <v>8654</v>
      </c>
      <c r="E3606" t="s">
        <v>4986</v>
      </c>
      <c r="F3606" t="s">
        <v>61</v>
      </c>
      <c r="G3606" s="27" t="str">
        <f t="shared" si="114"/>
        <v>21630 MACHEALA WAY  HUMBLE</v>
      </c>
      <c r="H3606" s="27" t="str">
        <f t="shared" si="115"/>
        <v>HOUSTON TX 77338</v>
      </c>
    </row>
    <row r="3607" spans="1:8" x14ac:dyDescent="0.2">
      <c r="A3607" s="27">
        <f>COUNTIFS(C:C,C3607,D:D,D3607)</f>
        <v>1</v>
      </c>
      <c r="B3607" s="30">
        <v>202101272986</v>
      </c>
      <c r="C3607" t="s">
        <v>8468</v>
      </c>
      <c r="D3607" t="s">
        <v>8469</v>
      </c>
      <c r="E3607" t="s">
        <v>4854</v>
      </c>
      <c r="F3607" t="s">
        <v>53</v>
      </c>
      <c r="G3607" s="27" t="str">
        <f t="shared" si="114"/>
        <v>3306 LOVE PLAZA  HOUSTON</v>
      </c>
      <c r="H3607" s="27" t="str">
        <f t="shared" si="115"/>
        <v>HOUSTON TX 77026</v>
      </c>
    </row>
    <row r="3608" spans="1:8" x14ac:dyDescent="0.2">
      <c r="A3608" s="27">
        <f>COUNTIFS(C:C,C3608,D:D,D3608)</f>
        <v>1</v>
      </c>
      <c r="B3608" s="30">
        <v>202101272987</v>
      </c>
      <c r="C3608" t="s">
        <v>8566</v>
      </c>
      <c r="D3608" t="s">
        <v>8567</v>
      </c>
      <c r="E3608" t="s">
        <v>4903</v>
      </c>
      <c r="F3608" t="s">
        <v>53</v>
      </c>
      <c r="G3608" s="27" t="str">
        <f t="shared" si="114"/>
        <v>7914 SWEETSTONE BLUF F LANE CYPRESS</v>
      </c>
      <c r="H3608" s="27" t="str">
        <f t="shared" si="115"/>
        <v>HOUSTON TX 77433</v>
      </c>
    </row>
    <row r="3609" spans="1:8" x14ac:dyDescent="0.2">
      <c r="A3609" s="27">
        <f>COUNTIFS(C:C,C3609,D:D,D3609)</f>
        <v>1</v>
      </c>
      <c r="B3609" s="30">
        <v>202101272990</v>
      </c>
      <c r="C3609" t="s">
        <v>8442</v>
      </c>
      <c r="D3609" t="s">
        <v>8443</v>
      </c>
      <c r="E3609" t="s">
        <v>5026</v>
      </c>
      <c r="F3609" t="s">
        <v>79</v>
      </c>
      <c r="G3609" s="27" t="str">
        <f t="shared" si="114"/>
        <v>2223 W BAY AREA BLVD APT 2004 WEBSTER</v>
      </c>
      <c r="H3609" s="27" t="str">
        <f t="shared" si="115"/>
        <v>HOUSTON TX 77598</v>
      </c>
    </row>
    <row r="3610" spans="1:8" x14ac:dyDescent="0.2">
      <c r="A3610" s="27">
        <f>COUNTIFS(C:C,C3610,D:D,D3610)</f>
        <v>1</v>
      </c>
      <c r="B3610" s="30">
        <v>202101272995</v>
      </c>
      <c r="C3610" t="s">
        <v>8649</v>
      </c>
      <c r="D3610" t="s">
        <v>8650</v>
      </c>
      <c r="E3610" t="s">
        <v>4858</v>
      </c>
      <c r="F3610" t="s">
        <v>87</v>
      </c>
      <c r="G3610" s="27" t="str">
        <f t="shared" si="114"/>
        <v>17919 OAKLAND MILLS D R RICHMOND</v>
      </c>
      <c r="H3610" s="27" t="str">
        <f t="shared" si="115"/>
        <v>HOUSTON TX 77469</v>
      </c>
    </row>
    <row r="3611" spans="1:8" x14ac:dyDescent="0.2">
      <c r="A3611" s="27">
        <f>COUNTIFS(C:C,C3611,D:D,D3611)</f>
        <v>1</v>
      </c>
      <c r="B3611" s="30">
        <v>202101273019</v>
      </c>
      <c r="C3611" t="s">
        <v>8502</v>
      </c>
      <c r="D3611" t="s">
        <v>8503</v>
      </c>
      <c r="E3611" t="s">
        <v>4877</v>
      </c>
      <c r="F3611" t="s">
        <v>53</v>
      </c>
      <c r="G3611" s="27" t="str">
        <f t="shared" si="114"/>
        <v>4715 LAKESIDE MEADOW DR MISSOURI C</v>
      </c>
      <c r="H3611" s="27" t="str">
        <f t="shared" si="115"/>
        <v>HOUSTON TX 77459</v>
      </c>
    </row>
    <row r="3612" spans="1:8" x14ac:dyDescent="0.2">
      <c r="A3612" s="27">
        <f>COUNTIFS(C:C,C3612,D:D,D3612)</f>
        <v>1</v>
      </c>
      <c r="B3612" s="30">
        <v>202101273030</v>
      </c>
      <c r="C3612" t="s">
        <v>8660</v>
      </c>
      <c r="D3612" t="s">
        <v>8661</v>
      </c>
      <c r="E3612" t="s">
        <v>4969</v>
      </c>
      <c r="F3612" t="s">
        <v>64</v>
      </c>
      <c r="G3612" s="27" t="str">
        <f t="shared" si="114"/>
        <v>27650 TOMBALL PARKWAY  TOMBALL</v>
      </c>
      <c r="H3612" s="27" t="str">
        <f t="shared" si="115"/>
        <v>HOUSTON TX 77375</v>
      </c>
    </row>
    <row r="3613" spans="1:8" x14ac:dyDescent="0.2">
      <c r="A3613" s="27">
        <f>COUNTIFS(C:C,C3613,D:D,D3613)</f>
        <v>1</v>
      </c>
      <c r="B3613" s="30">
        <v>202101273032</v>
      </c>
      <c r="C3613" t="s">
        <v>8620</v>
      </c>
      <c r="D3613" t="s">
        <v>8621</v>
      </c>
      <c r="E3613" t="s">
        <v>4876</v>
      </c>
      <c r="F3613" t="s">
        <v>78</v>
      </c>
      <c r="G3613" s="27" t="str">
        <f t="shared" si="114"/>
        <v>13210 S THORNTREE DRI VE HOUSTON</v>
      </c>
      <c r="H3613" s="27" t="str">
        <f t="shared" si="115"/>
        <v>HOUSTON TX 77015</v>
      </c>
    </row>
    <row r="3614" spans="1:8" x14ac:dyDescent="0.2">
      <c r="A3614" s="27">
        <f>COUNTIFS(C:C,C3614,D:D,D3614)</f>
        <v>1</v>
      </c>
      <c r="B3614" s="30">
        <v>202101273034</v>
      </c>
      <c r="C3614" t="s">
        <v>8417</v>
      </c>
      <c r="D3614" t="s">
        <v>8418</v>
      </c>
      <c r="E3614" t="s">
        <v>4994</v>
      </c>
      <c r="F3614" t="s">
        <v>68</v>
      </c>
      <c r="G3614" s="27" t="str">
        <f t="shared" si="114"/>
        <v>1306 LEMM RD  SPRING</v>
      </c>
      <c r="H3614" s="27" t="str">
        <f t="shared" si="115"/>
        <v>HOUSTON TX 77388</v>
      </c>
    </row>
    <row r="3615" spans="1:8" x14ac:dyDescent="0.2">
      <c r="A3615" s="27">
        <f>COUNTIFS(C:C,C3615,D:D,D3615)</f>
        <v>1</v>
      </c>
      <c r="B3615" s="30">
        <v>202101273038</v>
      </c>
      <c r="C3615" t="s">
        <v>8580</v>
      </c>
      <c r="D3615" t="s">
        <v>8581</v>
      </c>
      <c r="E3615" t="s">
        <v>4973</v>
      </c>
      <c r="F3615" t="s">
        <v>79</v>
      </c>
      <c r="G3615" s="27" t="str">
        <f t="shared" si="114"/>
        <v>9001 S BRAESWOOD BLV D 1910 HOUSTON</v>
      </c>
      <c r="H3615" s="27" t="str">
        <f t="shared" si="115"/>
        <v>HOUSTON TX 77074</v>
      </c>
    </row>
    <row r="3616" spans="1:8" x14ac:dyDescent="0.2">
      <c r="A3616" s="27">
        <f>COUNTIFS(C:C,C3616,D:D,D3616)</f>
        <v>1</v>
      </c>
      <c r="B3616" s="30">
        <v>202101273041</v>
      </c>
      <c r="C3616" t="s">
        <v>8655</v>
      </c>
      <c r="D3616" t="s">
        <v>8656</v>
      </c>
      <c r="E3616" t="s">
        <v>4984</v>
      </c>
      <c r="F3616" t="s">
        <v>53</v>
      </c>
      <c r="G3616" s="27" t="str">
        <f t="shared" si="114"/>
        <v>23807 SPRING DANE DRI VE SPRING</v>
      </c>
      <c r="H3616" s="27" t="str">
        <f t="shared" si="115"/>
        <v>HOUSTON TX 77373</v>
      </c>
    </row>
    <row r="3617" spans="1:8" x14ac:dyDescent="0.2">
      <c r="A3617" s="27">
        <f>COUNTIFS(C:C,C3617,D:D,D3617)</f>
        <v>1</v>
      </c>
      <c r="B3617" s="30">
        <v>202101273043</v>
      </c>
      <c r="C3617" t="s">
        <v>8612</v>
      </c>
      <c r="D3617" t="s">
        <v>8613</v>
      </c>
      <c r="E3617" t="s">
        <v>4878</v>
      </c>
      <c r="F3617" t="s">
        <v>86</v>
      </c>
      <c r="G3617" s="27" t="str">
        <f t="shared" si="114"/>
        <v>12226 CALM FEATHER DR  HOUSTON</v>
      </c>
      <c r="H3617" s="27" t="str">
        <f t="shared" si="115"/>
        <v>HOUSTON TX 77048</v>
      </c>
    </row>
    <row r="3618" spans="1:8" x14ac:dyDescent="0.2">
      <c r="A3618" s="27">
        <f>COUNTIFS(C:C,C3618,D:D,D3618)</f>
        <v>1</v>
      </c>
      <c r="B3618" s="30">
        <v>202101273044</v>
      </c>
      <c r="C3618" t="s">
        <v>8470</v>
      </c>
      <c r="D3618" t="s">
        <v>8471</v>
      </c>
      <c r="E3618" t="s">
        <v>4880</v>
      </c>
      <c r="F3618" t="s">
        <v>53</v>
      </c>
      <c r="G3618" s="27" t="str">
        <f t="shared" si="114"/>
        <v>3333 ALABAMA ST APT 120C HOUSTON</v>
      </c>
      <c r="H3618" s="27" t="str">
        <f t="shared" si="115"/>
        <v>HOUSTON TX 77004</v>
      </c>
    </row>
    <row r="3619" spans="1:8" x14ac:dyDescent="0.2">
      <c r="A3619" s="27">
        <f>COUNTIFS(C:C,C3619,D:D,D3619)</f>
        <v>1</v>
      </c>
      <c r="B3619" s="30">
        <v>202101273045</v>
      </c>
      <c r="C3619" t="s">
        <v>8657</v>
      </c>
      <c r="D3619" t="s">
        <v>8658</v>
      </c>
      <c r="E3619" t="s">
        <v>4882</v>
      </c>
      <c r="F3619" t="s">
        <v>56</v>
      </c>
      <c r="G3619" s="27" t="str">
        <f t="shared" si="114"/>
        <v>23902 KUYKENDAHL RD  SPRING</v>
      </c>
      <c r="H3619" s="27" t="str">
        <f t="shared" si="115"/>
        <v>HOUSTON TX 77389</v>
      </c>
    </row>
    <row r="3620" spans="1:8" x14ac:dyDescent="0.2">
      <c r="A3620" s="27">
        <f>COUNTIFS(C:C,C3620,D:D,D3620)</f>
        <v>1</v>
      </c>
      <c r="B3620" s="30">
        <v>202101273046</v>
      </c>
      <c r="C3620" t="s">
        <v>8482</v>
      </c>
      <c r="D3620" t="s">
        <v>8483</v>
      </c>
      <c r="E3620" t="s">
        <v>4854</v>
      </c>
      <c r="F3620" t="s">
        <v>53</v>
      </c>
      <c r="G3620" s="27" t="str">
        <f t="shared" si="114"/>
        <v>3808 LOS ANGELES ST  HOUSTON</v>
      </c>
      <c r="H3620" s="27" t="str">
        <f t="shared" si="115"/>
        <v>HOUSTON TX 77026</v>
      </c>
    </row>
    <row r="3621" spans="1:8" x14ac:dyDescent="0.2">
      <c r="A3621" s="27">
        <f>COUNTIFS(C:C,C3621,D:D,D3621)</f>
        <v>1</v>
      </c>
      <c r="B3621" s="30">
        <v>202101273048</v>
      </c>
      <c r="C3621" t="s">
        <v>8381</v>
      </c>
      <c r="D3621" t="s">
        <v>8382</v>
      </c>
      <c r="E3621" t="s">
        <v>4969</v>
      </c>
      <c r="F3621" t="s">
        <v>67</v>
      </c>
      <c r="G3621" s="27" t="str">
        <f t="shared" si="114"/>
        <v>741 JAMES ST  TOMBALL</v>
      </c>
      <c r="H3621" s="27" t="str">
        <f t="shared" si="115"/>
        <v>HOUSTON TX 77375</v>
      </c>
    </row>
    <row r="3622" spans="1:8" x14ac:dyDescent="0.2">
      <c r="A3622" s="27">
        <f>COUNTIFS(C:C,C3622,D:D,D3622)</f>
        <v>1</v>
      </c>
      <c r="B3622" s="30">
        <v>202101273050</v>
      </c>
      <c r="C3622" t="s">
        <v>8584</v>
      </c>
      <c r="D3622" t="s">
        <v>8585</v>
      </c>
      <c r="E3622" t="s">
        <v>4933</v>
      </c>
      <c r="F3622" t="s">
        <v>79</v>
      </c>
      <c r="G3622" s="27" t="str">
        <f t="shared" si="114"/>
        <v>9026 KEMPWOOD DR  HOUSTON</v>
      </c>
      <c r="H3622" s="27" t="str">
        <f t="shared" si="115"/>
        <v>HOUSTON TX 77080</v>
      </c>
    </row>
    <row r="3623" spans="1:8" x14ac:dyDescent="0.2">
      <c r="A3623" s="27">
        <f>COUNTIFS(C:C,C3623,D:D,D3623)</f>
        <v>1</v>
      </c>
      <c r="B3623" s="30">
        <v>202101273057</v>
      </c>
      <c r="C3623" t="s">
        <v>8610</v>
      </c>
      <c r="D3623" t="s">
        <v>8611</v>
      </c>
      <c r="E3623" t="s">
        <v>4850</v>
      </c>
      <c r="F3623" t="s">
        <v>79</v>
      </c>
      <c r="G3623" s="27" t="str">
        <f t="shared" si="114"/>
        <v>12127 POMPTON  HOUSTON</v>
      </c>
      <c r="H3623" s="27" t="str">
        <f t="shared" si="115"/>
        <v>HOUSTON TX 77089</v>
      </c>
    </row>
    <row r="3624" spans="1:8" x14ac:dyDescent="0.2">
      <c r="A3624" s="27">
        <f>COUNTIFS(C:C,C3624,D:D,D3624)</f>
        <v>1</v>
      </c>
      <c r="B3624" s="30">
        <v>202101273058</v>
      </c>
      <c r="C3624" t="s">
        <v>8519</v>
      </c>
      <c r="D3624" t="s">
        <v>8520</v>
      </c>
      <c r="E3624" t="s">
        <v>4900</v>
      </c>
      <c r="F3624" t="s">
        <v>79</v>
      </c>
      <c r="G3624" s="27" t="str">
        <f t="shared" si="114"/>
        <v>5534 SUMMIT LODGE DR  KATY</v>
      </c>
      <c r="H3624" s="27" t="str">
        <f t="shared" si="115"/>
        <v>HOUSTON TX 77449</v>
      </c>
    </row>
    <row r="3625" spans="1:8" x14ac:dyDescent="0.2">
      <c r="A3625" s="27">
        <f>COUNTIFS(C:C,C3625,D:D,D3625)</f>
        <v>1</v>
      </c>
      <c r="B3625" s="30">
        <v>202101273063</v>
      </c>
      <c r="C3625" t="s">
        <v>8462</v>
      </c>
      <c r="D3625" t="s">
        <v>8463</v>
      </c>
      <c r="E3625" t="s">
        <v>4864</v>
      </c>
      <c r="F3625" t="s">
        <v>78</v>
      </c>
      <c r="G3625" s="27" t="str">
        <f t="shared" si="114"/>
        <v>3114 MARKET ST  HOUSTON</v>
      </c>
      <c r="H3625" s="27" t="str">
        <f t="shared" si="115"/>
        <v>HOUSTON TX 77020</v>
      </c>
    </row>
    <row r="3626" spans="1:8" x14ac:dyDescent="0.2">
      <c r="A3626" s="27">
        <f>COUNTIFS(C:C,C3626,D:D,D3626)</f>
        <v>1</v>
      </c>
      <c r="B3626" s="30">
        <v>202101273066</v>
      </c>
      <c r="C3626" t="s">
        <v>8413</v>
      </c>
      <c r="D3626" t="s">
        <v>8414</v>
      </c>
      <c r="E3626" t="s">
        <v>4897</v>
      </c>
      <c r="F3626" t="s">
        <v>71</v>
      </c>
      <c r="G3626" s="27" t="str">
        <f t="shared" si="114"/>
        <v>1208 AVENUE N APT 24 6 SOUTH HOUS</v>
      </c>
      <c r="H3626" s="27" t="str">
        <f t="shared" si="115"/>
        <v>HOUSTON TX 77587</v>
      </c>
    </row>
    <row r="3627" spans="1:8" x14ac:dyDescent="0.2">
      <c r="A3627" s="27">
        <f>COUNTIFS(C:C,C3627,D:D,D3627)</f>
        <v>1</v>
      </c>
      <c r="B3627" s="30">
        <v>202101273069</v>
      </c>
      <c r="C3627" t="s">
        <v>8530</v>
      </c>
      <c r="D3627" t="s">
        <v>8531</v>
      </c>
      <c r="E3627" t="s">
        <v>5025</v>
      </c>
      <c r="F3627" t="s">
        <v>79</v>
      </c>
      <c r="G3627" s="27" t="str">
        <f t="shared" si="114"/>
        <v>6005 WHISPERING LAKE S AVE KATY</v>
      </c>
      <c r="H3627" s="27" t="str">
        <f t="shared" si="115"/>
        <v>HOUSTON TX 77493</v>
      </c>
    </row>
    <row r="3628" spans="1:8" x14ac:dyDescent="0.2">
      <c r="A3628" s="27">
        <f>COUNTIFS(C:C,C3628,D:D,D3628)</f>
        <v>1</v>
      </c>
      <c r="B3628" s="30">
        <v>202101273070</v>
      </c>
      <c r="C3628" t="s">
        <v>8397</v>
      </c>
      <c r="D3628" t="s">
        <v>8398</v>
      </c>
      <c r="E3628" t="s">
        <v>4984</v>
      </c>
      <c r="F3628" t="s">
        <v>53</v>
      </c>
      <c r="G3628" s="27" t="str">
        <f t="shared" si="114"/>
        <v>1091 LIEREN LANE  SPRING</v>
      </c>
      <c r="H3628" s="27" t="str">
        <f t="shared" si="115"/>
        <v>HOUSTON TX 77373</v>
      </c>
    </row>
    <row r="3629" spans="1:8" x14ac:dyDescent="0.2">
      <c r="A3629" s="27">
        <f>COUNTIFS(C:C,C3629,D:D,D3629)</f>
        <v>1</v>
      </c>
      <c r="B3629" s="30">
        <v>202101273071</v>
      </c>
      <c r="C3629" t="s">
        <v>8494</v>
      </c>
      <c r="D3629" t="s">
        <v>8495</v>
      </c>
      <c r="E3629" t="s">
        <v>4869</v>
      </c>
      <c r="F3629" t="s">
        <v>87</v>
      </c>
      <c r="G3629" s="27" t="str">
        <f t="shared" si="114"/>
        <v>4411 N SHEPHERD DR  HOUSTON</v>
      </c>
      <c r="H3629" s="27" t="str">
        <f t="shared" si="115"/>
        <v>HOUSTON TX 77018</v>
      </c>
    </row>
    <row r="3630" spans="1:8" x14ac:dyDescent="0.2">
      <c r="A3630" s="27">
        <f>COUNTIFS(C:C,C3630,D:D,D3630)</f>
        <v>1</v>
      </c>
      <c r="B3630" s="30">
        <v>202101273072</v>
      </c>
      <c r="C3630" t="s">
        <v>8528</v>
      </c>
      <c r="D3630" t="s">
        <v>8529</v>
      </c>
      <c r="E3630" t="s">
        <v>4978</v>
      </c>
      <c r="F3630" t="s">
        <v>68</v>
      </c>
      <c r="G3630" s="27" t="str">
        <f t="shared" si="114"/>
        <v>5903 SOLAR POINT LN  HOUSTON</v>
      </c>
      <c r="H3630" s="27" t="str">
        <f t="shared" si="115"/>
        <v>HOUSTON TX 77041</v>
      </c>
    </row>
    <row r="3631" spans="1:8" x14ac:dyDescent="0.2">
      <c r="A3631" s="27">
        <f>COUNTIFS(C:C,C3631,D:D,D3631)</f>
        <v>1</v>
      </c>
      <c r="B3631" s="30">
        <v>202101273075</v>
      </c>
      <c r="C3631" t="s">
        <v>8512</v>
      </c>
      <c r="D3631" t="s">
        <v>8513</v>
      </c>
      <c r="E3631" t="s">
        <v>4943</v>
      </c>
      <c r="F3631" t="s">
        <v>56</v>
      </c>
      <c r="G3631" s="27" t="str">
        <f t="shared" si="114"/>
        <v>5310 DUNNETHEAD DR  HOUSTON</v>
      </c>
      <c r="H3631" s="27" t="str">
        <f t="shared" si="115"/>
        <v>HOUSTON TX 77084</v>
      </c>
    </row>
    <row r="3632" spans="1:8" x14ac:dyDescent="0.2">
      <c r="A3632" s="27">
        <f>COUNTIFS(C:C,C3632,D:D,D3632)</f>
        <v>1</v>
      </c>
      <c r="B3632" s="30">
        <v>202101273079</v>
      </c>
      <c r="C3632" t="s">
        <v>8460</v>
      </c>
      <c r="D3632" t="s">
        <v>8461</v>
      </c>
      <c r="E3632" t="s">
        <v>4905</v>
      </c>
      <c r="F3632" t="s">
        <v>57</v>
      </c>
      <c r="G3632" s="27" t="str">
        <f t="shared" si="114"/>
        <v>3015 WASHINGTON  PASADENA</v>
      </c>
      <c r="H3632" s="27" t="str">
        <f t="shared" si="115"/>
        <v>HOUSTON TX 77503</v>
      </c>
    </row>
    <row r="3633" spans="1:8" x14ac:dyDescent="0.2">
      <c r="A3633" s="27">
        <f>COUNTIFS(C:C,C3633,D:D,D3633)</f>
        <v>1</v>
      </c>
      <c r="B3633" s="30">
        <v>202101273085</v>
      </c>
      <c r="C3633" t="s">
        <v>8622</v>
      </c>
      <c r="D3633" t="s">
        <v>8623</v>
      </c>
      <c r="E3633" t="s">
        <v>5104</v>
      </c>
      <c r="F3633" t="s">
        <v>79</v>
      </c>
      <c r="G3633" s="27" t="str">
        <f t="shared" si="114"/>
        <v>13615 BROKEN BRIDGE D R HOUSTON</v>
      </c>
      <c r="H3633" s="27" t="str">
        <f t="shared" si="115"/>
        <v>HOUSTON TX 77085</v>
      </c>
    </row>
    <row r="3634" spans="1:8" x14ac:dyDescent="0.2">
      <c r="A3634" s="27">
        <f>COUNTIFS(C:C,C3634,D:D,D3634)</f>
        <v>1</v>
      </c>
      <c r="B3634" s="30">
        <v>202101273093</v>
      </c>
      <c r="C3634" t="s">
        <v>8628</v>
      </c>
      <c r="D3634" t="s">
        <v>8629</v>
      </c>
      <c r="E3634" t="s">
        <v>4903</v>
      </c>
      <c r="F3634" t="s">
        <v>78</v>
      </c>
      <c r="G3634" s="27" t="str">
        <f t="shared" si="114"/>
        <v>14602 BELLA MEADOW CT  CYPRESS</v>
      </c>
      <c r="H3634" s="27" t="str">
        <f t="shared" si="115"/>
        <v>HOUSTON TX 77433</v>
      </c>
    </row>
    <row r="3635" spans="1:8" x14ac:dyDescent="0.2">
      <c r="A3635" s="27">
        <f>COUNTIFS(C:C,C3635,D:D,D3635)</f>
        <v>1</v>
      </c>
      <c r="B3635" s="30">
        <v>202101273094</v>
      </c>
      <c r="C3635" t="s">
        <v>8565</v>
      </c>
      <c r="D3635" t="s">
        <v>4289</v>
      </c>
      <c r="E3635" t="s">
        <v>4967</v>
      </c>
      <c r="F3635" t="s">
        <v>75</v>
      </c>
      <c r="G3635" s="27" t="str">
        <f t="shared" si="114"/>
        <v>7740 W LITTLE YORK R D HOUSTON</v>
      </c>
      <c r="H3635" s="27" t="str">
        <f t="shared" si="115"/>
        <v>HOUSTON TX 77040</v>
      </c>
    </row>
    <row r="3636" spans="1:8" x14ac:dyDescent="0.2">
      <c r="A3636" s="27">
        <f>COUNTIFS(C:C,C3636,D:D,D3636)</f>
        <v>1</v>
      </c>
      <c r="B3636" s="30">
        <v>202101273099</v>
      </c>
      <c r="C3636" t="s">
        <v>8540</v>
      </c>
      <c r="D3636" t="s">
        <v>8541</v>
      </c>
      <c r="E3636" t="s">
        <v>4900</v>
      </c>
      <c r="F3636" t="s">
        <v>87</v>
      </c>
      <c r="G3636" s="27" t="str">
        <f t="shared" si="114"/>
        <v>6527 NEW WORLD DR  KATY</v>
      </c>
      <c r="H3636" s="27" t="str">
        <f t="shared" si="115"/>
        <v>HOUSTON TX 77449</v>
      </c>
    </row>
    <row r="3637" spans="1:8" x14ac:dyDescent="0.2">
      <c r="A3637" s="27">
        <f>COUNTIFS(C:C,C3637,D:D,D3637)</f>
        <v>1</v>
      </c>
      <c r="B3637" s="30">
        <v>202101277689</v>
      </c>
      <c r="C3637" t="s">
        <v>8446</v>
      </c>
      <c r="D3637" t="s">
        <v>8447</v>
      </c>
      <c r="E3637" t="s">
        <v>8448</v>
      </c>
      <c r="F3637" t="s">
        <v>215</v>
      </c>
      <c r="G3637" s="27" t="str">
        <f t="shared" si="114"/>
        <v>2431 FM 1960 RD W  HOUSTON</v>
      </c>
      <c r="H3637" s="27" t="str">
        <f t="shared" si="115"/>
        <v>HOUSTON TX 7068</v>
      </c>
    </row>
    <row r="3638" spans="1:8" x14ac:dyDescent="0.2">
      <c r="A3638" s="27">
        <f>COUNTIFS(C:C,C3638,D:D,D3638)</f>
        <v>1</v>
      </c>
      <c r="B3638" s="30">
        <v>202101277753</v>
      </c>
      <c r="C3638" t="s">
        <v>8586</v>
      </c>
      <c r="D3638" t="s">
        <v>8587</v>
      </c>
      <c r="E3638" t="s">
        <v>4896</v>
      </c>
      <c r="F3638" t="s">
        <v>187</v>
      </c>
      <c r="G3638" s="27" t="str">
        <f t="shared" si="114"/>
        <v>9234 ROWAN LN  HOUSTON</v>
      </c>
      <c r="H3638" s="27" t="str">
        <f t="shared" si="115"/>
        <v>HOUSTON TX 77036</v>
      </c>
    </row>
    <row r="3639" spans="1:8" x14ac:dyDescent="0.2">
      <c r="A3639" s="27">
        <f>COUNTIFS(C:C,C3639,D:D,D3639)</f>
        <v>1</v>
      </c>
      <c r="B3639" s="30">
        <v>202101277760</v>
      </c>
      <c r="C3639" t="s">
        <v>8578</v>
      </c>
      <c r="D3639" t="s">
        <v>8579</v>
      </c>
      <c r="E3639" t="s">
        <v>4891</v>
      </c>
      <c r="F3639" t="s">
        <v>187</v>
      </c>
      <c r="G3639" s="27" t="str">
        <f t="shared" si="114"/>
        <v>8923 ANTOINE DR  HOUSTON</v>
      </c>
      <c r="H3639" s="27" t="str">
        <f t="shared" si="115"/>
        <v>HOUSTON TX 77088</v>
      </c>
    </row>
    <row r="3640" spans="1:8" x14ac:dyDescent="0.2">
      <c r="A3640" s="27">
        <f>COUNTIFS(C:C,C3640,D:D,D3640)</f>
        <v>1</v>
      </c>
      <c r="B3640" s="30">
        <v>202101277764</v>
      </c>
      <c r="C3640" t="s">
        <v>8395</v>
      </c>
      <c r="D3640" t="s">
        <v>8396</v>
      </c>
      <c r="E3640" t="s">
        <v>4982</v>
      </c>
      <c r="F3640" t="s">
        <v>189</v>
      </c>
      <c r="G3640" s="27" t="str">
        <f t="shared" si="114"/>
        <v>1018 SHADY TRAIL  HOUSTON</v>
      </c>
      <c r="H3640" s="27" t="str">
        <f t="shared" si="115"/>
        <v>HOUSTON TX 77038</v>
      </c>
    </row>
    <row r="3641" spans="1:8" x14ac:dyDescent="0.2">
      <c r="A3641" s="27">
        <f>COUNTIFS(C:C,C3641,D:D,D3641)</f>
        <v>1</v>
      </c>
      <c r="B3641" s="30">
        <v>202101277800</v>
      </c>
      <c r="C3641" t="s">
        <v>8536</v>
      </c>
      <c r="D3641" t="s">
        <v>8537</v>
      </c>
      <c r="E3641" t="s">
        <v>4919</v>
      </c>
      <c r="F3641" t="s">
        <v>211</v>
      </c>
      <c r="G3641" s="27" t="str">
        <f t="shared" si="114"/>
        <v>6305 WESTWARD ST 157  HOUSTON</v>
      </c>
      <c r="H3641" s="27" t="str">
        <f t="shared" si="115"/>
        <v>HOUSTON TX 77081</v>
      </c>
    </row>
    <row r="3642" spans="1:8" x14ac:dyDescent="0.2">
      <c r="A3642" s="27">
        <f>COUNTIFS(C:C,C3642,D:D,D3642)</f>
        <v>1</v>
      </c>
      <c r="B3642" s="30">
        <v>202101277839</v>
      </c>
      <c r="C3642" t="s">
        <v>8390</v>
      </c>
      <c r="D3642" t="s">
        <v>8391</v>
      </c>
      <c r="E3642" t="s">
        <v>4907</v>
      </c>
      <c r="F3642" t="s">
        <v>194</v>
      </c>
      <c r="G3642" s="27" t="str">
        <f t="shared" si="114"/>
        <v>912 PAULINE AVE  PASADENA</v>
      </c>
      <c r="H3642" s="27" t="str">
        <f t="shared" si="115"/>
        <v>HOUSTON TX 77502</v>
      </c>
    </row>
    <row r="3643" spans="1:8" x14ac:dyDescent="0.2">
      <c r="A3643" s="27">
        <f>COUNTIFS(C:C,C3643,D:D,D3643)</f>
        <v>1</v>
      </c>
      <c r="B3643" s="30">
        <v>202101277870</v>
      </c>
      <c r="C3643" t="s">
        <v>8598</v>
      </c>
      <c r="D3643" t="s">
        <v>8599</v>
      </c>
      <c r="E3643" t="s">
        <v>4886</v>
      </c>
      <c r="F3643" t="s">
        <v>200</v>
      </c>
      <c r="G3643" s="27" t="str">
        <f t="shared" si="114"/>
        <v>11629 BOB WHITE DR  HOUSTON</v>
      </c>
      <c r="H3643" s="27" t="str">
        <f t="shared" si="115"/>
        <v>HOUSTON TX 77035</v>
      </c>
    </row>
    <row r="3644" spans="1:8" x14ac:dyDescent="0.2">
      <c r="A3644" s="27">
        <f>COUNTIFS(C:C,C3644,D:D,D3644)</f>
        <v>1</v>
      </c>
      <c r="B3644" s="30">
        <v>202101277880</v>
      </c>
      <c r="C3644" t="s">
        <v>8388</v>
      </c>
      <c r="D3644" t="s">
        <v>8389</v>
      </c>
      <c r="E3644" t="s">
        <v>4952</v>
      </c>
      <c r="F3644" t="s">
        <v>8333</v>
      </c>
      <c r="G3644" s="27" t="str">
        <f t="shared" si="114"/>
        <v>904 ALVIN ST.  PASADENA</v>
      </c>
      <c r="H3644" s="27" t="str">
        <f t="shared" si="115"/>
        <v>HOUSTON TX 77506</v>
      </c>
    </row>
    <row r="3645" spans="1:8" x14ac:dyDescent="0.2">
      <c r="A3645" s="27">
        <f>COUNTIFS(C:C,C3645,D:D,D3645)</f>
        <v>1</v>
      </c>
      <c r="B3645" s="30">
        <v>202101277896</v>
      </c>
      <c r="C3645" t="s">
        <v>8517</v>
      </c>
      <c r="D3645" t="s">
        <v>8518</v>
      </c>
      <c r="E3645" t="s">
        <v>4854</v>
      </c>
      <c r="F3645" t="s">
        <v>193</v>
      </c>
      <c r="G3645" s="27" t="str">
        <f t="shared" si="114"/>
        <v>5532 BUNTE  HOUSTON</v>
      </c>
      <c r="H3645" s="27" t="str">
        <f t="shared" si="115"/>
        <v>HOUSTON TX 77026</v>
      </c>
    </row>
    <row r="3646" spans="1:8" x14ac:dyDescent="0.2">
      <c r="A3646" s="27">
        <f>COUNTIFS(C:C,C3646,D:D,D3646)</f>
        <v>1</v>
      </c>
      <c r="B3646" s="30">
        <v>202101277901</v>
      </c>
      <c r="C3646" t="s">
        <v>8574</v>
      </c>
      <c r="D3646" t="s">
        <v>8575</v>
      </c>
      <c r="E3646" t="s">
        <v>4874</v>
      </c>
      <c r="F3646" t="s">
        <v>194</v>
      </c>
      <c r="G3646" s="27" t="str">
        <f t="shared" si="114"/>
        <v>8311 ST LO  HOUSTON</v>
      </c>
      <c r="H3646" s="27" t="str">
        <f t="shared" si="115"/>
        <v>HOUSTON TX 77033</v>
      </c>
    </row>
    <row r="3647" spans="1:8" x14ac:dyDescent="0.2">
      <c r="A3647" s="27">
        <f>COUNTIFS(C:C,C3647,D:D,D3647)</f>
        <v>1</v>
      </c>
      <c r="B3647" s="30">
        <v>202101277956</v>
      </c>
      <c r="C3647" t="s">
        <v>8476</v>
      </c>
      <c r="D3647" t="s">
        <v>8477</v>
      </c>
      <c r="E3647" t="s">
        <v>4944</v>
      </c>
      <c r="F3647" t="s">
        <v>196</v>
      </c>
      <c r="G3647" s="27" t="str">
        <f t="shared" si="114"/>
        <v>3700 KINGWOOD DR  KINGWOOD</v>
      </c>
      <c r="H3647" s="27" t="str">
        <f t="shared" si="115"/>
        <v>HOUSTON TX 77339</v>
      </c>
    </row>
    <row r="3648" spans="1:8" x14ac:dyDescent="0.2">
      <c r="A3648" s="27">
        <f>COUNTIFS(C:C,C3648,D:D,D3648)</f>
        <v>1</v>
      </c>
      <c r="B3648" s="30">
        <v>202101277998</v>
      </c>
      <c r="C3648" t="s">
        <v>8626</v>
      </c>
      <c r="D3648" t="s">
        <v>8627</v>
      </c>
      <c r="E3648" t="s">
        <v>5092</v>
      </c>
      <c r="F3648" t="s">
        <v>8347</v>
      </c>
      <c r="G3648" s="27" t="str">
        <f t="shared" si="114"/>
        <v>14400 EASTEX FWY  HUMBLE</v>
      </c>
      <c r="H3648" s="27" t="str">
        <f t="shared" si="115"/>
        <v xml:space="preserve">HOUSTON TX      </v>
      </c>
    </row>
    <row r="3649" spans="1:8" x14ac:dyDescent="0.2">
      <c r="A3649" s="27">
        <f>COUNTIFS(C:C,C3649,D:D,D3649)</f>
        <v>1</v>
      </c>
      <c r="B3649" s="30">
        <v>202101277999</v>
      </c>
      <c r="C3649" t="s">
        <v>8532</v>
      </c>
      <c r="D3649" t="s">
        <v>8533</v>
      </c>
      <c r="E3649" t="s">
        <v>4854</v>
      </c>
      <c r="F3649" t="s">
        <v>200</v>
      </c>
      <c r="G3649" s="27" t="str">
        <f t="shared" si="114"/>
        <v>6203 MAKEIG  HOUSTON</v>
      </c>
      <c r="H3649" s="27" t="str">
        <f t="shared" si="115"/>
        <v>HOUSTON TX 77026</v>
      </c>
    </row>
    <row r="3650" spans="1:8" x14ac:dyDescent="0.2">
      <c r="A3650" s="27">
        <f>COUNTIFS(C:C,C3650,D:D,D3650)</f>
        <v>1</v>
      </c>
      <c r="B3650" s="30">
        <v>202101278007</v>
      </c>
      <c r="C3650" t="s">
        <v>8588</v>
      </c>
      <c r="D3650" t="s">
        <v>8589</v>
      </c>
      <c r="E3650" t="s">
        <v>4861</v>
      </c>
      <c r="F3650" t="s">
        <v>189</v>
      </c>
      <c r="G3650" s="27" t="str">
        <f t="shared" si="114"/>
        <v>9618 KINDER LN  HOUSTON</v>
      </c>
      <c r="H3650" s="27" t="str">
        <f t="shared" si="115"/>
        <v>HOUSTON TX 77051</v>
      </c>
    </row>
    <row r="3651" spans="1:8" x14ac:dyDescent="0.2">
      <c r="A3651" s="27">
        <f>COUNTIFS(C:C,C3651,D:D,D3651)</f>
        <v>1</v>
      </c>
      <c r="B3651" s="30">
        <v>202101278009</v>
      </c>
      <c r="C3651" t="s">
        <v>8608</v>
      </c>
      <c r="D3651" t="s">
        <v>8609</v>
      </c>
      <c r="E3651" t="s">
        <v>4889</v>
      </c>
      <c r="F3651" t="s">
        <v>215</v>
      </c>
      <c r="G3651" s="27" t="str">
        <f t="shared" si="114"/>
        <v>12042 HADLEY FALLS CT  HOUSTON</v>
      </c>
      <c r="H3651" s="27" t="str">
        <f t="shared" si="115"/>
        <v>HOUSTON TX 77067</v>
      </c>
    </row>
    <row r="3652" spans="1:8" x14ac:dyDescent="0.2">
      <c r="A3652" s="27">
        <f>COUNTIFS(C:C,C3652,D:D,D3652)</f>
        <v>1</v>
      </c>
      <c r="B3652" s="30">
        <v>202101278015</v>
      </c>
      <c r="C3652" t="s">
        <v>8438</v>
      </c>
      <c r="D3652" t="s">
        <v>8439</v>
      </c>
      <c r="E3652" t="s">
        <v>5009</v>
      </c>
      <c r="F3652" t="s">
        <v>200</v>
      </c>
      <c r="G3652" s="27" t="str">
        <f t="shared" si="114"/>
        <v>2109 LORD NELSON DR  SEABROOK</v>
      </c>
      <c r="H3652" s="27" t="str">
        <f t="shared" si="115"/>
        <v>HOUSTON TX 77586</v>
      </c>
    </row>
    <row r="3653" spans="1:8" x14ac:dyDescent="0.2">
      <c r="A3653" s="27">
        <f>COUNTIFS(C:C,C3653,D:D,D3653)</f>
        <v>1</v>
      </c>
      <c r="B3653" s="30">
        <v>202101278020</v>
      </c>
      <c r="C3653" t="s">
        <v>8582</v>
      </c>
      <c r="D3653" t="s">
        <v>8583</v>
      </c>
      <c r="E3653" t="s">
        <v>4987</v>
      </c>
      <c r="F3653" t="s">
        <v>214</v>
      </c>
      <c r="G3653" s="27" t="str">
        <f t="shared" si="114"/>
        <v>9005 LONG POINT RD  HOUSTON</v>
      </c>
      <c r="H3653" s="27" t="str">
        <f t="shared" si="115"/>
        <v>HOUSTON TX 77055</v>
      </c>
    </row>
    <row r="3654" spans="1:8" x14ac:dyDescent="0.2">
      <c r="A3654" s="27">
        <f>COUNTIFS(C:C,C3654,D:D,D3654)</f>
        <v>1</v>
      </c>
      <c r="B3654" s="30">
        <v>202101278025</v>
      </c>
      <c r="C3654" t="s">
        <v>8523</v>
      </c>
      <c r="D3654" t="s">
        <v>8524</v>
      </c>
      <c r="E3654" t="s">
        <v>4919</v>
      </c>
      <c r="F3654" t="s">
        <v>194</v>
      </c>
      <c r="G3654" s="27" t="str">
        <f t="shared" si="114"/>
        <v>5601 CHIMNEY ROCK RD  HOUSTON</v>
      </c>
      <c r="H3654" s="27" t="str">
        <f t="shared" si="115"/>
        <v>HOUSTON TX 77081</v>
      </c>
    </row>
    <row r="3655" spans="1:8" x14ac:dyDescent="0.2">
      <c r="A3655" s="27">
        <f>COUNTIFS(C:C,C3655,D:D,D3655)</f>
        <v>1</v>
      </c>
      <c r="B3655" s="30">
        <v>202101278027</v>
      </c>
      <c r="C3655" t="s">
        <v>8604</v>
      </c>
      <c r="D3655" t="s">
        <v>8605</v>
      </c>
      <c r="E3655" t="s">
        <v>4901</v>
      </c>
      <c r="F3655" t="s">
        <v>8356</v>
      </c>
      <c r="G3655" s="27" t="str">
        <f t="shared" si="114"/>
        <v>12003 POMPANO LN  HOUSTON</v>
      </c>
      <c r="H3655" s="27" t="str">
        <f t="shared" si="115"/>
        <v>HOUSTON TX 77072</v>
      </c>
    </row>
    <row r="3656" spans="1:8" x14ac:dyDescent="0.2">
      <c r="A3656" s="27">
        <f>COUNTIFS(C:C,C3656,D:D,D3656)</f>
        <v>1</v>
      </c>
      <c r="B3656" s="30">
        <v>202101278037</v>
      </c>
      <c r="C3656" t="s">
        <v>8568</v>
      </c>
      <c r="D3656" t="s">
        <v>8569</v>
      </c>
      <c r="E3656" t="s">
        <v>5023</v>
      </c>
      <c r="F3656" t="s">
        <v>200</v>
      </c>
      <c r="G3656" s="27" t="str">
        <f t="shared" si="114"/>
        <v>7979 WESTHEIMER APT 202 HOUSTON</v>
      </c>
      <c r="H3656" s="27" t="str">
        <f t="shared" si="115"/>
        <v>HOUSTON TX 77063</v>
      </c>
    </row>
    <row r="3657" spans="1:8" x14ac:dyDescent="0.2">
      <c r="A3657" s="27">
        <f>COUNTIFS(C:C,C3657,D:D,D3657)</f>
        <v>1</v>
      </c>
      <c r="B3657" s="30">
        <v>202101278038</v>
      </c>
      <c r="C3657" t="s">
        <v>8526</v>
      </c>
      <c r="D3657" t="s">
        <v>8527</v>
      </c>
      <c r="E3657" t="s">
        <v>4874</v>
      </c>
      <c r="F3657" t="s">
        <v>203</v>
      </c>
      <c r="G3657" s="27" t="str">
        <f t="shared" si="114"/>
        <v>5874 THRUSH DR  HOUSTON</v>
      </c>
      <c r="H3657" s="27" t="str">
        <f t="shared" si="115"/>
        <v>HOUSTON TX 77033</v>
      </c>
    </row>
    <row r="3658" spans="1:8" x14ac:dyDescent="0.2">
      <c r="A3658" s="27">
        <f>COUNTIFS(C:C,C3658,D:D,D3658)</f>
        <v>1</v>
      </c>
      <c r="B3658" s="30">
        <v>202101278045</v>
      </c>
      <c r="C3658" t="s">
        <v>8399</v>
      </c>
      <c r="D3658" t="s">
        <v>8400</v>
      </c>
      <c r="E3658" t="s">
        <v>5032</v>
      </c>
      <c r="F3658" t="s">
        <v>209</v>
      </c>
      <c r="G3658" s="27" t="str">
        <f t="shared" si="114"/>
        <v>1111 LOVETT  HOUSTON</v>
      </c>
      <c r="H3658" s="27" t="str">
        <f t="shared" si="115"/>
        <v>HOUSTON TX 77006</v>
      </c>
    </row>
    <row r="3659" spans="1:8" x14ac:dyDescent="0.2">
      <c r="A3659" s="27">
        <f>COUNTIFS(C:C,C3659,D:D,D3659)</f>
        <v>1</v>
      </c>
      <c r="B3659" s="30">
        <v>202101278046</v>
      </c>
      <c r="C3659" t="s">
        <v>8435</v>
      </c>
      <c r="D3659" t="s">
        <v>8436</v>
      </c>
      <c r="E3659" t="s">
        <v>8437</v>
      </c>
      <c r="F3659" t="s">
        <v>214</v>
      </c>
      <c r="G3659" s="27" t="str">
        <f t="shared" si="114"/>
        <v>1906 BROADCOURT DR  MISSOURI C</v>
      </c>
      <c r="H3659" s="27" t="str">
        <f t="shared" si="115"/>
        <v>HOUSTON TX 77021</v>
      </c>
    </row>
    <row r="3660" spans="1:8" x14ac:dyDescent="0.2">
      <c r="A3660" s="27">
        <f>COUNTIFS(C:C,C3660,D:D,D3660)</f>
        <v>1</v>
      </c>
      <c r="B3660" s="30">
        <v>202101278047</v>
      </c>
      <c r="C3660" t="s">
        <v>8480</v>
      </c>
      <c r="D3660" t="s">
        <v>8481</v>
      </c>
      <c r="E3660" t="s">
        <v>4871</v>
      </c>
      <c r="F3660" t="s">
        <v>187</v>
      </c>
      <c r="G3660" s="27" t="str">
        <f t="shared" si="114"/>
        <v>3803 BOTANY LN  HOUSTON</v>
      </c>
      <c r="H3660" s="27" t="str">
        <f t="shared" si="115"/>
        <v>HOUSTON TX 77047</v>
      </c>
    </row>
    <row r="3661" spans="1:8" x14ac:dyDescent="0.2">
      <c r="A3661" s="27">
        <f>COUNTIFS(C:C,C3661,D:D,D3661)</f>
        <v>1</v>
      </c>
      <c r="B3661" s="30">
        <v>202101278059</v>
      </c>
      <c r="C3661" t="s">
        <v>8506</v>
      </c>
      <c r="D3661" t="s">
        <v>8507</v>
      </c>
      <c r="E3661" t="s">
        <v>4909</v>
      </c>
      <c r="F3661" t="s">
        <v>204</v>
      </c>
      <c r="G3661" s="27" t="str">
        <f t="shared" si="114"/>
        <v>5006 CASTLECREEK LN  HOUSTON</v>
      </c>
      <c r="H3661" s="27" t="str">
        <f t="shared" si="115"/>
        <v>HOUSTON TX 77053</v>
      </c>
    </row>
    <row r="3662" spans="1:8" x14ac:dyDescent="0.2">
      <c r="A3662" s="27">
        <f>COUNTIFS(C:C,C3662,D:D,D3662)</f>
        <v>1</v>
      </c>
      <c r="B3662" s="30">
        <v>202101278063</v>
      </c>
      <c r="C3662" t="s">
        <v>8358</v>
      </c>
      <c r="D3662" t="s">
        <v>8359</v>
      </c>
      <c r="E3662" t="s">
        <v>4894</v>
      </c>
      <c r="F3662" t="s">
        <v>231</v>
      </c>
      <c r="G3662" s="27" t="str">
        <f t="shared" ref="G3662:G3725" si="116">D3662&amp;" "&amp;MID(E3662,1,FIND(" TX",E3662)-1)</f>
        <v>100 W CAVALCADE ST RM 339 HOUSTON</v>
      </c>
      <c r="H3662" s="27" t="str">
        <f t="shared" ref="H3662:H3725" si="117">"HOUSTON "&amp;MID(E3662,FIND("TX",E3662),8)</f>
        <v>HOUSTON TX 77009</v>
      </c>
    </row>
    <row r="3663" spans="1:8" x14ac:dyDescent="0.2">
      <c r="A3663" s="27">
        <f>COUNTIFS(C:C,C3663,D:D,D3663)</f>
        <v>1</v>
      </c>
      <c r="B3663" s="30">
        <v>202101278064</v>
      </c>
      <c r="C3663" t="s">
        <v>8638</v>
      </c>
      <c r="D3663" t="s">
        <v>8639</v>
      </c>
      <c r="E3663" t="s">
        <v>8640</v>
      </c>
      <c r="F3663" t="s">
        <v>5296</v>
      </c>
      <c r="G3663" s="27" t="str">
        <f t="shared" si="116"/>
        <v>15803 SMITHLAND DR  HOSUTON</v>
      </c>
      <c r="H3663" s="27" t="str">
        <f t="shared" si="117"/>
        <v>HOUSTON TX 77084</v>
      </c>
    </row>
    <row r="3664" spans="1:8" x14ac:dyDescent="0.2">
      <c r="A3664" s="27">
        <f>COUNTIFS(C:C,C3664,D:D,D3664)</f>
        <v>1</v>
      </c>
      <c r="B3664" s="30">
        <v>202101278069</v>
      </c>
      <c r="C3664" t="s">
        <v>8403</v>
      </c>
      <c r="D3664" t="s">
        <v>8404</v>
      </c>
      <c r="E3664" t="s">
        <v>4910</v>
      </c>
      <c r="F3664" t="s">
        <v>7356</v>
      </c>
      <c r="G3664" s="27" t="str">
        <f t="shared" si="116"/>
        <v>1122 SOMERCOTES LN  CHANNELVIE</v>
      </c>
      <c r="H3664" s="27" t="str">
        <f t="shared" si="117"/>
        <v>HOUSTON TX 77530</v>
      </c>
    </row>
    <row r="3665" spans="1:8" x14ac:dyDescent="0.2">
      <c r="A3665" s="27">
        <f>COUNTIFS(C:C,C3665,D:D,D3665)</f>
        <v>1</v>
      </c>
      <c r="B3665" s="30">
        <v>202101278072</v>
      </c>
      <c r="C3665" t="s">
        <v>8498</v>
      </c>
      <c r="D3665" t="s">
        <v>8499</v>
      </c>
      <c r="E3665" t="s">
        <v>4861</v>
      </c>
      <c r="F3665" t="s">
        <v>209</v>
      </c>
      <c r="G3665" s="27" t="str">
        <f t="shared" si="116"/>
        <v>4605 MALLOW ST B  HOUSTON</v>
      </c>
      <c r="H3665" s="27" t="str">
        <f t="shared" si="117"/>
        <v>HOUSTON TX 77051</v>
      </c>
    </row>
    <row r="3666" spans="1:8" x14ac:dyDescent="0.2">
      <c r="A3666" s="27">
        <f>COUNTIFS(C:C,C3666,D:D,D3666)</f>
        <v>1</v>
      </c>
      <c r="B3666" s="30">
        <v>202101278075</v>
      </c>
      <c r="C3666" t="s">
        <v>8411</v>
      </c>
      <c r="D3666" t="s">
        <v>8412</v>
      </c>
      <c r="E3666" t="s">
        <v>5066</v>
      </c>
      <c r="F3666" t="s">
        <v>194</v>
      </c>
      <c r="G3666" s="27" t="str">
        <f t="shared" si="116"/>
        <v>1207 GREEN KNOLL DR  SUGAR LAND</v>
      </c>
      <c r="H3666" s="27" t="str">
        <f t="shared" si="117"/>
        <v>HOUSTON TX 77479</v>
      </c>
    </row>
    <row r="3667" spans="1:8" x14ac:dyDescent="0.2">
      <c r="A3667" s="27">
        <f>COUNTIFS(C:C,C3667,D:D,D3667)</f>
        <v>1</v>
      </c>
      <c r="B3667" s="30">
        <v>202101278076</v>
      </c>
      <c r="C3667" t="s">
        <v>8525</v>
      </c>
      <c r="D3667" t="s">
        <v>6578</v>
      </c>
      <c r="E3667" t="s">
        <v>4932</v>
      </c>
      <c r="F3667" t="s">
        <v>260</v>
      </c>
      <c r="G3667" s="27" t="str">
        <f t="shared" si="116"/>
        <v>5801 N HOUSTON ROSSL YN RD HOUSTON</v>
      </c>
      <c r="H3667" s="27" t="str">
        <f t="shared" si="117"/>
        <v>HOUSTON TX 77092</v>
      </c>
    </row>
    <row r="3668" spans="1:8" x14ac:dyDescent="0.2">
      <c r="A3668" s="27">
        <f>COUNTIFS(C:C,C3668,D:D,D3668)</f>
        <v>1</v>
      </c>
      <c r="B3668" s="30">
        <v>202101278079</v>
      </c>
      <c r="C3668" t="s">
        <v>8401</v>
      </c>
      <c r="D3668" t="s">
        <v>8402</v>
      </c>
      <c r="E3668" t="s">
        <v>4864</v>
      </c>
      <c r="F3668" t="s">
        <v>5297</v>
      </c>
      <c r="G3668" s="27" t="str">
        <f t="shared" si="116"/>
        <v>1113 GROVE ST  HOUSTON</v>
      </c>
      <c r="H3668" s="27" t="str">
        <f t="shared" si="117"/>
        <v>HOUSTON TX 77020</v>
      </c>
    </row>
    <row r="3669" spans="1:8" x14ac:dyDescent="0.2">
      <c r="A3669" s="27">
        <f>COUNTIFS(C:C,C3669,D:D,D3669)</f>
        <v>1</v>
      </c>
      <c r="B3669" s="30">
        <v>202101278090</v>
      </c>
      <c r="C3669" t="s">
        <v>8407</v>
      </c>
      <c r="D3669" t="s">
        <v>8406</v>
      </c>
      <c r="E3669" t="s">
        <v>5160</v>
      </c>
      <c r="F3669" t="s">
        <v>183</v>
      </c>
      <c r="G3669" s="27" t="str">
        <f t="shared" si="116"/>
        <v>1200 TRAVIS  HOUSTON</v>
      </c>
      <c r="H3669" s="27" t="str">
        <f t="shared" si="117"/>
        <v>HOUSTON TX 77002</v>
      </c>
    </row>
    <row r="3670" spans="1:8" x14ac:dyDescent="0.2">
      <c r="A3670" s="27">
        <f>COUNTIFS(C:C,C3670,D:D,D3670)</f>
        <v>1</v>
      </c>
      <c r="B3670" s="30">
        <v>202101278091</v>
      </c>
      <c r="C3670" t="s">
        <v>8405</v>
      </c>
      <c r="D3670" t="s">
        <v>8406</v>
      </c>
      <c r="E3670" t="s">
        <v>4865</v>
      </c>
      <c r="F3670" t="s">
        <v>183</v>
      </c>
      <c r="G3670" s="27" t="str">
        <f t="shared" si="116"/>
        <v>1200 TRAVIS  HOUSTON</v>
      </c>
      <c r="H3670" s="27" t="str">
        <f t="shared" si="117"/>
        <v xml:space="preserve">HOUSTON TX      </v>
      </c>
    </row>
    <row r="3671" spans="1:8" x14ac:dyDescent="0.2">
      <c r="A3671" s="27">
        <f>COUNTIFS(C:C,C3671,D:D,D3671)</f>
        <v>1</v>
      </c>
      <c r="B3671" s="30">
        <v>202101278092</v>
      </c>
      <c r="C3671" t="s">
        <v>8408</v>
      </c>
      <c r="D3671" t="s">
        <v>8406</v>
      </c>
      <c r="E3671" t="s">
        <v>4865</v>
      </c>
      <c r="F3671" t="s">
        <v>183</v>
      </c>
      <c r="G3671" s="27" t="str">
        <f t="shared" si="116"/>
        <v>1200 TRAVIS  HOUSTON</v>
      </c>
      <c r="H3671" s="27" t="str">
        <f t="shared" si="117"/>
        <v xml:space="preserve">HOUSTON TX      </v>
      </c>
    </row>
    <row r="3672" spans="1:8" x14ac:dyDescent="0.2">
      <c r="A3672" s="27">
        <f>COUNTIFS(C:C,C3672,D:D,D3672)</f>
        <v>1</v>
      </c>
      <c r="B3672" s="30">
        <v>202101278096</v>
      </c>
      <c r="C3672" t="s">
        <v>8365</v>
      </c>
      <c r="D3672" t="s">
        <v>8366</v>
      </c>
      <c r="E3672" t="s">
        <v>4960</v>
      </c>
      <c r="F3672" t="s">
        <v>187</v>
      </c>
      <c r="G3672" s="27" t="str">
        <f t="shared" si="116"/>
        <v>407 GREENS RD  HOUSTON</v>
      </c>
      <c r="H3672" s="27" t="str">
        <f t="shared" si="117"/>
        <v>HOUSTON TX 77060</v>
      </c>
    </row>
    <row r="3673" spans="1:8" x14ac:dyDescent="0.2">
      <c r="A3673" s="27">
        <f>COUNTIFS(C:C,C3673,D:D,D3673)</f>
        <v>1</v>
      </c>
      <c r="B3673" s="30">
        <v>202101278097</v>
      </c>
      <c r="C3673" t="s">
        <v>8576</v>
      </c>
      <c r="D3673" t="s">
        <v>8577</v>
      </c>
      <c r="E3673" t="s">
        <v>4901</v>
      </c>
      <c r="F3673" t="s">
        <v>200</v>
      </c>
      <c r="G3673" s="27" t="str">
        <f t="shared" si="116"/>
        <v>8323 CINNAMON LN 113  HOUSTON</v>
      </c>
      <c r="H3673" s="27" t="str">
        <f t="shared" si="117"/>
        <v>HOUSTON TX 77072</v>
      </c>
    </row>
    <row r="3674" spans="1:8" x14ac:dyDescent="0.2">
      <c r="A3674" s="27">
        <f>COUNTIFS(C:C,C3674,D:D,D3674)</f>
        <v>1</v>
      </c>
      <c r="B3674" s="30">
        <v>202101278104</v>
      </c>
      <c r="C3674" t="s">
        <v>8554</v>
      </c>
      <c r="D3674" t="s">
        <v>8555</v>
      </c>
      <c r="E3674" t="s">
        <v>4872</v>
      </c>
      <c r="F3674" t="s">
        <v>236</v>
      </c>
      <c r="G3674" s="27" t="str">
        <f t="shared" si="116"/>
        <v>7422 GLEN MANOR DR  HOUSTON</v>
      </c>
      <c r="H3674" s="27" t="str">
        <f t="shared" si="117"/>
        <v>HOUSTON TX 77028</v>
      </c>
    </row>
    <row r="3675" spans="1:8" x14ac:dyDescent="0.2">
      <c r="A3675" s="27">
        <f>COUNTIFS(C:C,C3675,D:D,D3675)</f>
        <v>1</v>
      </c>
      <c r="B3675" s="30">
        <v>202101278119</v>
      </c>
      <c r="C3675" t="s">
        <v>8472</v>
      </c>
      <c r="D3675" t="s">
        <v>8473</v>
      </c>
      <c r="E3675" t="s">
        <v>4984</v>
      </c>
      <c r="F3675" t="s">
        <v>8353</v>
      </c>
      <c r="G3675" s="27" t="str">
        <f t="shared" si="116"/>
        <v>3499 LOUETTA  SPRING</v>
      </c>
      <c r="H3675" s="27" t="str">
        <f t="shared" si="117"/>
        <v>HOUSTON TX 77373</v>
      </c>
    </row>
    <row r="3676" spans="1:8" x14ac:dyDescent="0.2">
      <c r="A3676" s="27">
        <f>COUNTIFS(C:C,C3676,D:D,D3676)</f>
        <v>1</v>
      </c>
      <c r="B3676" s="30">
        <v>202101278124</v>
      </c>
      <c r="C3676" t="s">
        <v>8419</v>
      </c>
      <c r="D3676" t="s">
        <v>8420</v>
      </c>
      <c r="E3676" t="s">
        <v>4879</v>
      </c>
      <c r="F3676" t="s">
        <v>6119</v>
      </c>
      <c r="G3676" s="27" t="str">
        <f t="shared" si="116"/>
        <v>1309 HOMER  HOUSTON</v>
      </c>
      <c r="H3676" s="27" t="str">
        <f t="shared" si="117"/>
        <v>HOUSTON TX 77091</v>
      </c>
    </row>
    <row r="3677" spans="1:8" x14ac:dyDescent="0.2">
      <c r="A3677" s="27">
        <f>COUNTIFS(C:C,C3677,D:D,D3677)</f>
        <v>1</v>
      </c>
      <c r="B3677" s="30">
        <v>202101278127</v>
      </c>
      <c r="C3677" t="s">
        <v>8376</v>
      </c>
      <c r="D3677" t="s">
        <v>8377</v>
      </c>
      <c r="E3677" t="s">
        <v>4879</v>
      </c>
      <c r="F3677" t="s">
        <v>189</v>
      </c>
      <c r="G3677" s="27" t="str">
        <f t="shared" si="116"/>
        <v>702 LOVERS LN  HOUSTON</v>
      </c>
      <c r="H3677" s="27" t="str">
        <f t="shared" si="117"/>
        <v>HOUSTON TX 77091</v>
      </c>
    </row>
    <row r="3678" spans="1:8" x14ac:dyDescent="0.2">
      <c r="A3678" s="27">
        <f>COUNTIFS(C:C,C3678,D:D,D3678)</f>
        <v>1</v>
      </c>
      <c r="B3678" s="30">
        <v>202101278128</v>
      </c>
      <c r="C3678" t="s">
        <v>8368</v>
      </c>
      <c r="D3678" t="s">
        <v>8369</v>
      </c>
      <c r="E3678" t="s">
        <v>5014</v>
      </c>
      <c r="F3678" t="s">
        <v>200</v>
      </c>
      <c r="G3678" s="27" t="str">
        <f t="shared" si="116"/>
        <v>547 WINBURN TIDE LN  LA PORTE</v>
      </c>
      <c r="H3678" s="27" t="str">
        <f t="shared" si="117"/>
        <v>HOUSTON TX 77571</v>
      </c>
    </row>
    <row r="3679" spans="1:8" x14ac:dyDescent="0.2">
      <c r="A3679" s="27">
        <f>COUNTIFS(C:C,C3679,D:D,D3679)</f>
        <v>1</v>
      </c>
      <c r="B3679" s="30">
        <v>202101278145</v>
      </c>
      <c r="C3679" t="s">
        <v>8624</v>
      </c>
      <c r="D3679" t="s">
        <v>8625</v>
      </c>
      <c r="E3679" t="s">
        <v>5265</v>
      </c>
      <c r="F3679" t="s">
        <v>204</v>
      </c>
      <c r="G3679" s="27" t="str">
        <f t="shared" si="116"/>
        <v>14307 BRANCH WATER LA NE SUGAR LAND</v>
      </c>
      <c r="H3679" s="27" t="str">
        <f t="shared" si="117"/>
        <v>HOUSTON TX 77498</v>
      </c>
    </row>
    <row r="3680" spans="1:8" x14ac:dyDescent="0.2">
      <c r="A3680" s="27">
        <f>COUNTIFS(C:C,C3680,D:D,D3680)</f>
        <v>1</v>
      </c>
      <c r="B3680" s="30">
        <v>202101278154</v>
      </c>
      <c r="C3680" t="s">
        <v>8496</v>
      </c>
      <c r="D3680" t="s">
        <v>8497</v>
      </c>
      <c r="E3680" t="s">
        <v>4931</v>
      </c>
      <c r="F3680" t="s">
        <v>233</v>
      </c>
      <c r="G3680" s="27" t="str">
        <f t="shared" si="116"/>
        <v>4522 SYLVANFIELD DR  HOUSTON</v>
      </c>
      <c r="H3680" s="27" t="str">
        <f t="shared" si="117"/>
        <v>HOUSTON TX 77014</v>
      </c>
    </row>
    <row r="3681" spans="1:8" x14ac:dyDescent="0.2">
      <c r="A3681" s="27">
        <f>COUNTIFS(C:C,C3681,D:D,D3681)</f>
        <v>1</v>
      </c>
      <c r="B3681" s="30">
        <v>202101278155</v>
      </c>
      <c r="C3681" t="s">
        <v>8558</v>
      </c>
      <c r="D3681" t="s">
        <v>8559</v>
      </c>
      <c r="E3681" t="s">
        <v>4986</v>
      </c>
      <c r="F3681" t="s">
        <v>187</v>
      </c>
      <c r="G3681" s="27" t="str">
        <f t="shared" si="116"/>
        <v>7503 MUSTANG CORRAL DR HUMBLE</v>
      </c>
      <c r="H3681" s="27" t="str">
        <f t="shared" si="117"/>
        <v>HOUSTON TX 77338</v>
      </c>
    </row>
    <row r="3682" spans="1:8" x14ac:dyDescent="0.2">
      <c r="A3682" s="27">
        <f>COUNTIFS(C:C,C3682,D:D,D3682)</f>
        <v>1</v>
      </c>
      <c r="B3682" s="30">
        <v>202101278173</v>
      </c>
      <c r="C3682" t="s">
        <v>8453</v>
      </c>
      <c r="D3682" t="s">
        <v>8454</v>
      </c>
      <c r="E3682" t="s">
        <v>4977</v>
      </c>
      <c r="F3682" t="s">
        <v>200</v>
      </c>
      <c r="G3682" s="27" t="str">
        <f t="shared" si="116"/>
        <v>2777 BRIARGROVE DR  HOUSTON</v>
      </c>
      <c r="H3682" s="27" t="str">
        <f t="shared" si="117"/>
        <v>HOUSTON TX 77057</v>
      </c>
    </row>
    <row r="3683" spans="1:8" x14ac:dyDescent="0.2">
      <c r="A3683" s="27">
        <f>COUNTIFS(C:C,C3683,D:D,D3683)</f>
        <v>1</v>
      </c>
      <c r="B3683" s="30">
        <v>202101278190</v>
      </c>
      <c r="C3683" t="s">
        <v>8421</v>
      </c>
      <c r="D3683" t="s">
        <v>8422</v>
      </c>
      <c r="E3683" t="s">
        <v>5233</v>
      </c>
      <c r="F3683" t="s">
        <v>8334</v>
      </c>
      <c r="G3683" s="27" t="str">
        <f t="shared" si="116"/>
        <v>1405 ANNE AVE  HOUSTON</v>
      </c>
      <c r="H3683" s="27" t="str">
        <f t="shared" si="117"/>
        <v>HOUSTON TX 77338</v>
      </c>
    </row>
    <row r="3684" spans="1:8" x14ac:dyDescent="0.2">
      <c r="A3684" s="27">
        <f>COUNTIFS(C:C,C3684,D:D,D3684)</f>
        <v>1</v>
      </c>
      <c r="B3684" s="30">
        <v>202101278194</v>
      </c>
      <c r="C3684" t="s">
        <v>8534</v>
      </c>
      <c r="D3684" t="s">
        <v>8535</v>
      </c>
      <c r="E3684" t="s">
        <v>4879</v>
      </c>
      <c r="F3684" t="s">
        <v>209</v>
      </c>
      <c r="G3684" s="27" t="str">
        <f t="shared" si="116"/>
        <v>6301 W MONTGOMERY  HOUSTON</v>
      </c>
      <c r="H3684" s="27" t="str">
        <f t="shared" si="117"/>
        <v>HOUSTON TX 77091</v>
      </c>
    </row>
    <row r="3685" spans="1:8" x14ac:dyDescent="0.2">
      <c r="A3685" s="27">
        <f>COUNTIFS(C:C,C3685,D:D,D3685)</f>
        <v>1</v>
      </c>
      <c r="B3685" s="30">
        <v>202101278226</v>
      </c>
      <c r="C3685" t="s">
        <v>8556</v>
      </c>
      <c r="D3685" t="s">
        <v>8557</v>
      </c>
      <c r="E3685" t="s">
        <v>4890</v>
      </c>
      <c r="F3685" t="s">
        <v>207</v>
      </c>
      <c r="G3685" s="27" t="str">
        <f t="shared" si="116"/>
        <v>7485 HAYWOOD DR  HOUSTON</v>
      </c>
      <c r="H3685" s="27" t="str">
        <f t="shared" si="117"/>
        <v>HOUSTON TX 77061</v>
      </c>
    </row>
    <row r="3686" spans="1:8" x14ac:dyDescent="0.2">
      <c r="A3686" s="27">
        <f>COUNTIFS(C:C,C3686,D:D,D3686)</f>
        <v>1</v>
      </c>
      <c r="B3686" s="30">
        <v>202101278236</v>
      </c>
      <c r="C3686" t="s">
        <v>8647</v>
      </c>
      <c r="D3686" t="s">
        <v>8648</v>
      </c>
      <c r="E3686" t="s">
        <v>4862</v>
      </c>
      <c r="F3686" t="s">
        <v>8292</v>
      </c>
      <c r="G3686" s="27" t="str">
        <f t="shared" si="116"/>
        <v>17331 RED OAK DR #18  HOUSTON</v>
      </c>
      <c r="H3686" s="27" t="str">
        <f t="shared" si="117"/>
        <v>HOUSTON TX 77090</v>
      </c>
    </row>
    <row r="3687" spans="1:8" x14ac:dyDescent="0.2">
      <c r="A3687" s="27">
        <f>COUNTIFS(C:C,C3687,D:D,D3687)</f>
        <v>1</v>
      </c>
      <c r="B3687" s="30">
        <v>202101278238</v>
      </c>
      <c r="C3687" t="s">
        <v>8440</v>
      </c>
      <c r="D3687" t="s">
        <v>8441</v>
      </c>
      <c r="E3687" t="s">
        <v>5334</v>
      </c>
      <c r="F3687" t="s">
        <v>8316</v>
      </c>
      <c r="G3687" s="27" t="str">
        <f t="shared" si="116"/>
        <v>2211 S BRAESWOOD BLV D HOUSTON</v>
      </c>
      <c r="H3687" s="27" t="str">
        <f t="shared" si="117"/>
        <v>HOUSTON TX 77030</v>
      </c>
    </row>
    <row r="3688" spans="1:8" x14ac:dyDescent="0.2">
      <c r="A3688" s="27">
        <f>COUNTIFS(C:C,C3688,D:D,D3688)</f>
        <v>1</v>
      </c>
      <c r="B3688" s="30">
        <v>202101278255</v>
      </c>
      <c r="C3688" t="s">
        <v>8538</v>
      </c>
      <c r="D3688" t="s">
        <v>8539</v>
      </c>
      <c r="E3688" t="s">
        <v>4886</v>
      </c>
      <c r="F3688" t="s">
        <v>189</v>
      </c>
      <c r="G3688" s="27" t="str">
        <f t="shared" si="116"/>
        <v>6400 W BELLFORT APT 985 HOUSTON</v>
      </c>
      <c r="H3688" s="27" t="str">
        <f t="shared" si="117"/>
        <v>HOUSTON TX 77035</v>
      </c>
    </row>
    <row r="3689" spans="1:8" x14ac:dyDescent="0.2">
      <c r="A3689" s="27">
        <f>COUNTIFS(C:C,C3689,D:D,D3689)</f>
        <v>1</v>
      </c>
      <c r="B3689" s="30">
        <v>202101278269</v>
      </c>
      <c r="C3689" t="s">
        <v>8548</v>
      </c>
      <c r="D3689" t="s">
        <v>8549</v>
      </c>
      <c r="E3689" t="s">
        <v>5016</v>
      </c>
      <c r="F3689" t="s">
        <v>233</v>
      </c>
      <c r="G3689" s="27" t="str">
        <f t="shared" si="116"/>
        <v>7211 OAK VILLAGE DR  HOUSTON</v>
      </c>
      <c r="H3689" s="27" t="str">
        <f t="shared" si="117"/>
        <v>HOUSTON TX 77396</v>
      </c>
    </row>
    <row r="3690" spans="1:8" x14ac:dyDescent="0.2">
      <c r="A3690" s="27">
        <f>COUNTIFS(C:C,C3690,D:D,D3690)</f>
        <v>1</v>
      </c>
      <c r="B3690" s="30">
        <v>202101282545</v>
      </c>
      <c r="C3690" t="s">
        <v>7846</v>
      </c>
      <c r="D3690" t="s">
        <v>7880</v>
      </c>
      <c r="E3690" t="s">
        <v>4889</v>
      </c>
      <c r="F3690" t="s">
        <v>51</v>
      </c>
      <c r="G3690" s="27" t="str">
        <f t="shared" si="116"/>
        <v>11805 TRICKEY RD HOUSTON</v>
      </c>
      <c r="H3690" s="27" t="str">
        <f t="shared" si="117"/>
        <v>HOUSTON TX 77067</v>
      </c>
    </row>
    <row r="3691" spans="1:8" x14ac:dyDescent="0.2">
      <c r="A3691" s="27">
        <f>COUNTIFS(C:C,C3691,D:D,D3691)</f>
        <v>1</v>
      </c>
      <c r="B3691" s="30">
        <v>202101282547</v>
      </c>
      <c r="C3691" t="s">
        <v>7847</v>
      </c>
      <c r="D3691" t="s">
        <v>7882</v>
      </c>
      <c r="E3691" t="s">
        <v>7881</v>
      </c>
      <c r="F3691" t="s">
        <v>71</v>
      </c>
      <c r="G3691" s="27" t="str">
        <f t="shared" si="116"/>
        <v>305 W BAKER RD HOUSTON</v>
      </c>
      <c r="H3691" s="27" t="str">
        <f t="shared" si="117"/>
        <v>HOUSTON TX 77521</v>
      </c>
    </row>
    <row r="3692" spans="1:8" x14ac:dyDescent="0.2">
      <c r="A3692" s="27">
        <f>COUNTIFS(C:C,C3692,D:D,D3692)</f>
        <v>1</v>
      </c>
      <c r="B3692" s="30">
        <v>202101282574</v>
      </c>
      <c r="C3692" t="s">
        <v>8835</v>
      </c>
      <c r="D3692" t="s">
        <v>8836</v>
      </c>
      <c r="E3692" t="s">
        <v>4891</v>
      </c>
      <c r="F3692" t="s">
        <v>69</v>
      </c>
      <c r="G3692" s="27" t="str">
        <f t="shared" si="116"/>
        <v>7302 ALABONSON  HOUSTON</v>
      </c>
      <c r="H3692" s="27" t="str">
        <f t="shared" si="117"/>
        <v>HOUSTON TX 77088</v>
      </c>
    </row>
    <row r="3693" spans="1:8" x14ac:dyDescent="0.2">
      <c r="A3693" s="27">
        <f>COUNTIFS(C:C,C3693,D:D,D3693)</f>
        <v>1</v>
      </c>
      <c r="B3693" s="30">
        <v>202101282708</v>
      </c>
      <c r="C3693" t="s">
        <v>7876</v>
      </c>
      <c r="D3693" t="s">
        <v>8667</v>
      </c>
      <c r="E3693" t="s">
        <v>5084</v>
      </c>
      <c r="F3693" t="s">
        <v>51</v>
      </c>
      <c r="G3693" s="27" t="str">
        <f t="shared" si="116"/>
        <v>20514 CAT SPRING HOUSTON</v>
      </c>
      <c r="H3693" s="27" t="str">
        <f t="shared" si="117"/>
        <v>HOUSTON TX 77449</v>
      </c>
    </row>
    <row r="3694" spans="1:8" x14ac:dyDescent="0.2">
      <c r="A3694" s="27">
        <f>COUNTIFS(C:C,C3694,D:D,D3694)</f>
        <v>1</v>
      </c>
      <c r="B3694" s="30">
        <v>202101283002</v>
      </c>
      <c r="C3694" t="s">
        <v>8662</v>
      </c>
      <c r="D3694" t="s">
        <v>8663</v>
      </c>
      <c r="E3694" t="s">
        <v>4895</v>
      </c>
      <c r="F3694" t="s">
        <v>71</v>
      </c>
      <c r="G3694" s="27" t="str">
        <f t="shared" si="116"/>
        <v>2100 BASTROP HOUSTON</v>
      </c>
      <c r="H3694" s="27" t="str">
        <f t="shared" si="117"/>
        <v>HOUSTON TX 77003</v>
      </c>
    </row>
    <row r="3695" spans="1:8" x14ac:dyDescent="0.2">
      <c r="A3695" s="27">
        <f>COUNTIFS(C:C,C3695,D:D,D3695)</f>
        <v>1</v>
      </c>
      <c r="B3695" s="30">
        <v>202101283036</v>
      </c>
      <c r="C3695" t="s">
        <v>8782</v>
      </c>
      <c r="D3695" t="s">
        <v>8783</v>
      </c>
      <c r="E3695" t="s">
        <v>4930</v>
      </c>
      <c r="F3695" t="s">
        <v>67</v>
      </c>
      <c r="G3695" s="27" t="str">
        <f t="shared" si="116"/>
        <v>10426 PILLOT  JACINTO CI</v>
      </c>
      <c r="H3695" s="27" t="str">
        <f t="shared" si="117"/>
        <v>HOUSTON TX 77029</v>
      </c>
    </row>
    <row r="3696" spans="1:8" x14ac:dyDescent="0.2">
      <c r="A3696" s="27">
        <f>COUNTIFS(C:C,C3696,D:D,D3696)</f>
        <v>1</v>
      </c>
      <c r="B3696" s="30">
        <v>202101283076</v>
      </c>
      <c r="C3696" t="s">
        <v>8831</v>
      </c>
      <c r="D3696" t="s">
        <v>8832</v>
      </c>
      <c r="E3696" t="s">
        <v>4856</v>
      </c>
      <c r="F3696" t="s">
        <v>51</v>
      </c>
      <c r="G3696" s="27" t="str">
        <f t="shared" si="116"/>
        <v>926 CHRISTINE  HOUSTON</v>
      </c>
      <c r="H3696" s="27" t="str">
        <f t="shared" si="117"/>
        <v>HOUSTON TX 77017</v>
      </c>
    </row>
    <row r="3697" spans="1:8" x14ac:dyDescent="0.2">
      <c r="A3697" s="27">
        <f>COUNTIFS(C:C,C3697,D:D,D3697)</f>
        <v>1</v>
      </c>
      <c r="B3697" s="30">
        <v>202101283080</v>
      </c>
      <c r="C3697" t="s">
        <v>8829</v>
      </c>
      <c r="D3697" t="s">
        <v>8830</v>
      </c>
      <c r="E3697" t="s">
        <v>4878</v>
      </c>
      <c r="F3697" t="s">
        <v>71</v>
      </c>
      <c r="G3697" s="27" t="str">
        <f t="shared" si="116"/>
        <v>5002 RICHFIELD LN  HOUSTON</v>
      </c>
      <c r="H3697" s="27" t="str">
        <f t="shared" si="117"/>
        <v>HOUSTON TX 77048</v>
      </c>
    </row>
    <row r="3698" spans="1:8" x14ac:dyDescent="0.2">
      <c r="A3698" s="27">
        <f>COUNTIFS(C:C,C3698,D:D,D3698)</f>
        <v>1</v>
      </c>
      <c r="B3698" s="30">
        <v>202101283082</v>
      </c>
      <c r="C3698" t="s">
        <v>8820</v>
      </c>
      <c r="D3698" t="s">
        <v>8821</v>
      </c>
      <c r="E3698" t="s">
        <v>4880</v>
      </c>
      <c r="F3698" t="s">
        <v>53</v>
      </c>
      <c r="G3698" s="27" t="str">
        <f t="shared" si="116"/>
        <v>3101 LIVE OAK ST  HOUSTON</v>
      </c>
      <c r="H3698" s="27" t="str">
        <f t="shared" si="117"/>
        <v>HOUSTON TX 77004</v>
      </c>
    </row>
    <row r="3699" spans="1:8" x14ac:dyDescent="0.2">
      <c r="A3699" s="27">
        <f>COUNTIFS(C:C,C3699,D:D,D3699)</f>
        <v>1</v>
      </c>
      <c r="B3699" s="30">
        <v>202101283083</v>
      </c>
      <c r="C3699" t="s">
        <v>8803</v>
      </c>
      <c r="D3699" t="s">
        <v>8804</v>
      </c>
      <c r="E3699" t="s">
        <v>4918</v>
      </c>
      <c r="F3699" t="s">
        <v>156</v>
      </c>
      <c r="G3699" s="27" t="str">
        <f t="shared" si="116"/>
        <v>5110 AZALEA TRACE DR  HOUSTON</v>
      </c>
      <c r="H3699" s="27" t="str">
        <f t="shared" si="117"/>
        <v>HOUSTON TX 77066</v>
      </c>
    </row>
    <row r="3700" spans="1:8" x14ac:dyDescent="0.2">
      <c r="A3700" s="27">
        <f>COUNTIFS(C:C,C3700,D:D,D3700)</f>
        <v>1</v>
      </c>
      <c r="B3700" s="30">
        <v>202101283086</v>
      </c>
      <c r="C3700" t="s">
        <v>8850</v>
      </c>
      <c r="D3700" t="s">
        <v>8851</v>
      </c>
      <c r="E3700" t="s">
        <v>4949</v>
      </c>
      <c r="F3700" t="s">
        <v>53</v>
      </c>
      <c r="G3700" s="27" t="str">
        <f t="shared" si="116"/>
        <v>8939 BLUEBURRY LANE  HOUSTON</v>
      </c>
      <c r="H3700" s="27" t="str">
        <f t="shared" si="117"/>
        <v>HOUSTON TX 77049</v>
      </c>
    </row>
    <row r="3701" spans="1:8" x14ac:dyDescent="0.2">
      <c r="A3701" s="27">
        <f>COUNTIFS(C:C,C3701,D:D,D3701)</f>
        <v>1</v>
      </c>
      <c r="B3701" s="30">
        <v>202101283088</v>
      </c>
      <c r="C3701" t="s">
        <v>8852</v>
      </c>
      <c r="D3701" t="s">
        <v>8828</v>
      </c>
      <c r="E3701" t="s">
        <v>4952</v>
      </c>
      <c r="F3701" t="s">
        <v>51</v>
      </c>
      <c r="G3701" s="27" t="str">
        <f t="shared" si="116"/>
        <v>2317 MARSHALL ST  PASADENA</v>
      </c>
      <c r="H3701" s="27" t="str">
        <f t="shared" si="117"/>
        <v>HOUSTON TX 77506</v>
      </c>
    </row>
    <row r="3702" spans="1:8" x14ac:dyDescent="0.2">
      <c r="A3702" s="27">
        <f>COUNTIFS(C:C,C3702,D:D,D3702)</f>
        <v>1</v>
      </c>
      <c r="B3702" s="30">
        <v>202101283089</v>
      </c>
      <c r="C3702" t="s">
        <v>8827</v>
      </c>
      <c r="D3702" t="s">
        <v>8828</v>
      </c>
      <c r="E3702" t="s">
        <v>4906</v>
      </c>
      <c r="F3702" t="s">
        <v>53</v>
      </c>
      <c r="G3702" s="27" t="str">
        <f t="shared" si="116"/>
        <v>2317 MARSHALL ST  PASADENA</v>
      </c>
      <c r="H3702" s="27" t="str">
        <f t="shared" si="117"/>
        <v>HOUSTON TX 77504</v>
      </c>
    </row>
    <row r="3703" spans="1:8" x14ac:dyDescent="0.2">
      <c r="A3703" s="27">
        <f>COUNTIFS(C:C,C3703,D:D,D3703)</f>
        <v>1</v>
      </c>
      <c r="B3703" s="30">
        <v>202101283091</v>
      </c>
      <c r="C3703" t="s">
        <v>8839</v>
      </c>
      <c r="D3703" t="s">
        <v>7005</v>
      </c>
      <c r="E3703" t="s">
        <v>5060</v>
      </c>
      <c r="F3703" t="s">
        <v>53</v>
      </c>
      <c r="G3703" s="27" t="str">
        <f t="shared" si="116"/>
        <v>13555 BRETON RIDGE ST  HOUSTON</v>
      </c>
      <c r="H3703" s="27" t="str">
        <f t="shared" si="117"/>
        <v>HOUSTON TX 77070</v>
      </c>
    </row>
    <row r="3704" spans="1:8" x14ac:dyDescent="0.2">
      <c r="A3704" s="27">
        <f>COUNTIFS(C:C,C3704,D:D,D3704)</f>
        <v>1</v>
      </c>
      <c r="B3704" s="30">
        <v>202101283092</v>
      </c>
      <c r="C3704" t="s">
        <v>8786</v>
      </c>
      <c r="D3704" t="s">
        <v>8787</v>
      </c>
      <c r="E3704" t="s">
        <v>4894</v>
      </c>
      <c r="F3704" t="s">
        <v>68</v>
      </c>
      <c r="G3704" s="27" t="str">
        <f t="shared" si="116"/>
        <v>2901 FULTON  HOUSTON</v>
      </c>
      <c r="H3704" s="27" t="str">
        <f t="shared" si="117"/>
        <v>HOUSTON TX 77009</v>
      </c>
    </row>
    <row r="3705" spans="1:8" x14ac:dyDescent="0.2">
      <c r="A3705" s="27">
        <f>COUNTIFS(C:C,C3705,D:D,D3705)</f>
        <v>1</v>
      </c>
      <c r="B3705" s="30">
        <v>202101283100</v>
      </c>
      <c r="C3705" t="s">
        <v>8853</v>
      </c>
      <c r="D3705" t="s">
        <v>8854</v>
      </c>
      <c r="E3705" t="s">
        <v>4876</v>
      </c>
      <c r="F3705" t="s">
        <v>53</v>
      </c>
      <c r="G3705" s="27" t="str">
        <f t="shared" si="116"/>
        <v>14682 GAINESVILLE  HOUSTON</v>
      </c>
      <c r="H3705" s="27" t="str">
        <f t="shared" si="117"/>
        <v>HOUSTON TX 77015</v>
      </c>
    </row>
    <row r="3706" spans="1:8" x14ac:dyDescent="0.2">
      <c r="A3706" s="27">
        <f>COUNTIFS(C:C,C3706,D:D,D3706)</f>
        <v>1</v>
      </c>
      <c r="B3706" s="30">
        <v>202101283113</v>
      </c>
      <c r="C3706" t="s">
        <v>8800</v>
      </c>
      <c r="D3706" t="s">
        <v>8801</v>
      </c>
      <c r="E3706" t="s">
        <v>8802</v>
      </c>
      <c r="F3706" t="s">
        <v>64</v>
      </c>
      <c r="G3706" s="27" t="str">
        <f t="shared" si="116"/>
        <v>12150 LOMA VISTA CIR  DEL VALLE</v>
      </c>
      <c r="H3706" s="27" t="str">
        <f t="shared" si="117"/>
        <v>HOUSTON TX 78617</v>
      </c>
    </row>
    <row r="3707" spans="1:8" x14ac:dyDescent="0.2">
      <c r="A3707" s="27">
        <f>COUNTIFS(C:C,C3707,D:D,D3707)</f>
        <v>1</v>
      </c>
      <c r="B3707" s="30">
        <v>202101283116</v>
      </c>
      <c r="C3707" t="s">
        <v>8822</v>
      </c>
      <c r="D3707" t="s">
        <v>8823</v>
      </c>
      <c r="E3707" t="s">
        <v>4862</v>
      </c>
      <c r="F3707" t="s">
        <v>75</v>
      </c>
      <c r="G3707" s="27" t="str">
        <f t="shared" si="116"/>
        <v>14306 ALAMAN DR  HOUSTON</v>
      </c>
      <c r="H3707" s="27" t="str">
        <f t="shared" si="117"/>
        <v>HOUSTON TX 77090</v>
      </c>
    </row>
    <row r="3708" spans="1:8" x14ac:dyDescent="0.2">
      <c r="A3708" s="27">
        <f>COUNTIFS(C:C,C3708,D:D,D3708)</f>
        <v>1</v>
      </c>
      <c r="B3708" s="30">
        <v>202101283121</v>
      </c>
      <c r="C3708" t="s">
        <v>8857</v>
      </c>
      <c r="D3708" t="s">
        <v>8858</v>
      </c>
      <c r="E3708" t="s">
        <v>4872</v>
      </c>
      <c r="F3708" t="s">
        <v>80</v>
      </c>
      <c r="G3708" s="27" t="str">
        <f t="shared" si="116"/>
        <v>6705 QUEENSLAND  HOUSTON</v>
      </c>
      <c r="H3708" s="27" t="str">
        <f t="shared" si="117"/>
        <v>HOUSTON TX 77028</v>
      </c>
    </row>
    <row r="3709" spans="1:8" x14ac:dyDescent="0.2">
      <c r="A3709" s="27">
        <f>COUNTIFS(C:C,C3709,D:D,D3709)</f>
        <v>1</v>
      </c>
      <c r="B3709" s="30">
        <v>202101283148</v>
      </c>
      <c r="C3709" t="s">
        <v>8861</v>
      </c>
      <c r="D3709" t="s">
        <v>8862</v>
      </c>
      <c r="E3709" t="s">
        <v>4951</v>
      </c>
      <c r="F3709" t="s">
        <v>87</v>
      </c>
      <c r="G3709" s="27" t="str">
        <f t="shared" si="116"/>
        <v>14931 ELMONT DR  HOUSTON</v>
      </c>
      <c r="H3709" s="27" t="str">
        <f t="shared" si="117"/>
        <v>HOUSTON TX 77095</v>
      </c>
    </row>
    <row r="3710" spans="1:8" x14ac:dyDescent="0.2">
      <c r="A3710" s="27">
        <f>COUNTIFS(C:C,C3710,D:D,D3710)</f>
        <v>1</v>
      </c>
      <c r="B3710" s="30">
        <v>202101283151</v>
      </c>
      <c r="C3710" t="s">
        <v>8863</v>
      </c>
      <c r="D3710" t="s">
        <v>8864</v>
      </c>
      <c r="E3710" t="s">
        <v>4914</v>
      </c>
      <c r="F3710" t="s">
        <v>53</v>
      </c>
      <c r="G3710" s="27" t="str">
        <f t="shared" si="116"/>
        <v>2150 BENTWORTH DR 45 4 HOUSTON</v>
      </c>
      <c r="H3710" s="27" t="str">
        <f t="shared" si="117"/>
        <v>HOUSTON TX 77077</v>
      </c>
    </row>
    <row r="3711" spans="1:8" x14ac:dyDescent="0.2">
      <c r="A3711" s="27">
        <f>COUNTIFS(C:C,C3711,D:D,D3711)</f>
        <v>1</v>
      </c>
      <c r="B3711" s="30">
        <v>202101283153</v>
      </c>
      <c r="C3711" t="s">
        <v>8840</v>
      </c>
      <c r="D3711" t="s">
        <v>8841</v>
      </c>
      <c r="E3711" t="s">
        <v>4943</v>
      </c>
      <c r="F3711" t="s">
        <v>79</v>
      </c>
      <c r="G3711" s="27" t="str">
        <f t="shared" si="116"/>
        <v>5319 PARKSHORE DR  HOUSTON</v>
      </c>
      <c r="H3711" s="27" t="str">
        <f t="shared" si="117"/>
        <v>HOUSTON TX 77084</v>
      </c>
    </row>
    <row r="3712" spans="1:8" x14ac:dyDescent="0.2">
      <c r="A3712" s="27">
        <f>COUNTIFS(C:C,C3712,D:D,D3712)</f>
        <v>1</v>
      </c>
      <c r="B3712" s="30">
        <v>202101283154</v>
      </c>
      <c r="C3712" t="s">
        <v>8792</v>
      </c>
      <c r="D3712" t="s">
        <v>8793</v>
      </c>
      <c r="E3712" t="s">
        <v>4936</v>
      </c>
      <c r="F3712" t="s">
        <v>58</v>
      </c>
      <c r="G3712" s="27" t="str">
        <f t="shared" si="116"/>
        <v>8622 DAWNRIDGE  HOUSTON</v>
      </c>
      <c r="H3712" s="27" t="str">
        <f t="shared" si="117"/>
        <v>HOUSTON TX 77071</v>
      </c>
    </row>
    <row r="3713" spans="1:8" x14ac:dyDescent="0.2">
      <c r="A3713" s="27">
        <f>COUNTIFS(C:C,C3713,D:D,D3713)</f>
        <v>1</v>
      </c>
      <c r="B3713" s="30">
        <v>202101283161</v>
      </c>
      <c r="C3713" t="s">
        <v>8865</v>
      </c>
      <c r="D3713" t="s">
        <v>8866</v>
      </c>
      <c r="E3713" t="s">
        <v>4886</v>
      </c>
      <c r="F3713" t="s">
        <v>79</v>
      </c>
      <c r="G3713" s="27" t="str">
        <f t="shared" si="116"/>
        <v>12123 STONE EAST DR U NIT A HOUSTON</v>
      </c>
      <c r="H3713" s="27" t="str">
        <f t="shared" si="117"/>
        <v>HOUSTON TX 77035</v>
      </c>
    </row>
    <row r="3714" spans="1:8" x14ac:dyDescent="0.2">
      <c r="A3714" s="27">
        <f>COUNTIFS(C:C,C3714,D:D,D3714)</f>
        <v>1</v>
      </c>
      <c r="B3714" s="30">
        <v>202101283162</v>
      </c>
      <c r="C3714" t="s">
        <v>8867</v>
      </c>
      <c r="D3714" t="s">
        <v>8868</v>
      </c>
      <c r="E3714" t="s">
        <v>4988</v>
      </c>
      <c r="F3714" t="s">
        <v>79</v>
      </c>
      <c r="G3714" s="27" t="str">
        <f t="shared" si="116"/>
        <v>2018 VILLAGE PARK DR  MISSOURI C</v>
      </c>
      <c r="H3714" s="27" t="str">
        <f t="shared" si="117"/>
        <v>HOUSTON TX 77489</v>
      </c>
    </row>
    <row r="3715" spans="1:8" x14ac:dyDescent="0.2">
      <c r="A3715" s="27">
        <f>COUNTIFS(C:C,C3715,D:D,D3715)</f>
        <v>1</v>
      </c>
      <c r="B3715" s="30">
        <v>202101283168</v>
      </c>
      <c r="C3715" t="s">
        <v>8798</v>
      </c>
      <c r="D3715" t="s">
        <v>8799</v>
      </c>
      <c r="E3715" t="s">
        <v>4933</v>
      </c>
      <c r="F3715" t="s">
        <v>53</v>
      </c>
      <c r="G3715" s="27" t="str">
        <f t="shared" si="116"/>
        <v>8800 HAMMERLY BLVD  HOUSTON</v>
      </c>
      <c r="H3715" s="27" t="str">
        <f t="shared" si="117"/>
        <v>HOUSTON TX 77080</v>
      </c>
    </row>
    <row r="3716" spans="1:8" x14ac:dyDescent="0.2">
      <c r="A3716" s="27">
        <f>COUNTIFS(C:C,C3716,D:D,D3716)</f>
        <v>1</v>
      </c>
      <c r="B3716" s="30">
        <v>202101283172</v>
      </c>
      <c r="C3716" t="s">
        <v>8869</v>
      </c>
      <c r="D3716" t="s">
        <v>8870</v>
      </c>
      <c r="E3716" t="s">
        <v>4936</v>
      </c>
      <c r="F3716" t="s">
        <v>78</v>
      </c>
      <c r="G3716" s="27" t="str">
        <f t="shared" si="116"/>
        <v>7939 FAWN TERRACE DR  HOUSTON</v>
      </c>
      <c r="H3716" s="27" t="str">
        <f t="shared" si="117"/>
        <v>HOUSTON TX 77071</v>
      </c>
    </row>
    <row r="3717" spans="1:8" x14ac:dyDescent="0.2">
      <c r="A3717" s="27">
        <f>COUNTIFS(C:C,C3717,D:D,D3717)</f>
        <v>1</v>
      </c>
      <c r="B3717" s="30">
        <v>202101283175</v>
      </c>
      <c r="C3717" t="s">
        <v>8871</v>
      </c>
      <c r="D3717" t="s">
        <v>8872</v>
      </c>
      <c r="E3717" t="s">
        <v>8873</v>
      </c>
      <c r="F3717" t="s">
        <v>79</v>
      </c>
      <c r="G3717" s="27" t="str">
        <f t="shared" si="116"/>
        <v>6010 LEACREST CT  HOUSSTON</v>
      </c>
      <c r="H3717" s="27" t="str">
        <f t="shared" si="117"/>
        <v>HOUSTON TX 77049</v>
      </c>
    </row>
    <row r="3718" spans="1:8" x14ac:dyDescent="0.2">
      <c r="A3718" s="27">
        <f>COUNTIFS(C:C,C3718,D:D,D3718)</f>
        <v>1</v>
      </c>
      <c r="B3718" s="30">
        <v>202101283188</v>
      </c>
      <c r="C3718" t="s">
        <v>8874</v>
      </c>
      <c r="D3718" t="s">
        <v>8875</v>
      </c>
      <c r="E3718" t="s">
        <v>4960</v>
      </c>
      <c r="F3718" t="s">
        <v>53</v>
      </c>
      <c r="G3718" s="27" t="str">
        <f t="shared" si="116"/>
        <v>1100 LANGWICH DR  HOUSTON</v>
      </c>
      <c r="H3718" s="27" t="str">
        <f t="shared" si="117"/>
        <v>HOUSTON TX 77060</v>
      </c>
    </row>
    <row r="3719" spans="1:8" x14ac:dyDescent="0.2">
      <c r="A3719" s="27">
        <f>COUNTIFS(C:C,C3719,D:D,D3719)</f>
        <v>1</v>
      </c>
      <c r="B3719" s="30">
        <v>202101283200</v>
      </c>
      <c r="C3719" t="s">
        <v>8807</v>
      </c>
      <c r="D3719" t="s">
        <v>8808</v>
      </c>
      <c r="E3719" t="s">
        <v>4943</v>
      </c>
      <c r="F3719" t="s">
        <v>53</v>
      </c>
      <c r="G3719" s="27" t="str">
        <f t="shared" si="116"/>
        <v>3303 BARKERS CROSSIN G AVE HOUSTON</v>
      </c>
      <c r="H3719" s="27" t="str">
        <f t="shared" si="117"/>
        <v>HOUSTON TX 77084</v>
      </c>
    </row>
    <row r="3720" spans="1:8" x14ac:dyDescent="0.2">
      <c r="A3720" s="27">
        <f>COUNTIFS(C:C,C3720,D:D,D3720)</f>
        <v>1</v>
      </c>
      <c r="B3720" s="30">
        <v>202101283201</v>
      </c>
      <c r="C3720" t="s">
        <v>8876</v>
      </c>
      <c r="D3720" t="s">
        <v>8877</v>
      </c>
      <c r="E3720" t="s">
        <v>4984</v>
      </c>
      <c r="F3720" t="s">
        <v>72</v>
      </c>
      <c r="G3720" s="27" t="str">
        <f t="shared" si="116"/>
        <v>20433 WHITEWOOD  SPRING</v>
      </c>
      <c r="H3720" s="27" t="str">
        <f t="shared" si="117"/>
        <v>HOUSTON TX 77373</v>
      </c>
    </row>
    <row r="3721" spans="1:8" x14ac:dyDescent="0.2">
      <c r="A3721" s="27">
        <f>COUNTIFS(C:C,C3721,D:D,D3721)</f>
        <v>1</v>
      </c>
      <c r="B3721" s="30">
        <v>202101283207</v>
      </c>
      <c r="C3721" t="s">
        <v>8824</v>
      </c>
      <c r="D3721" t="s">
        <v>8825</v>
      </c>
      <c r="E3721" t="s">
        <v>4893</v>
      </c>
      <c r="F3721" t="s">
        <v>79</v>
      </c>
      <c r="G3721" s="27" t="str">
        <f t="shared" si="116"/>
        <v>4310 WOODMONT DRIVE  HOUSTON</v>
      </c>
      <c r="H3721" s="27" t="str">
        <f t="shared" si="117"/>
        <v>HOUSTON TX 77045</v>
      </c>
    </row>
    <row r="3722" spans="1:8" x14ac:dyDescent="0.2">
      <c r="A3722" s="27">
        <f>COUNTIFS(C:C,C3722,D:D,D3722)</f>
        <v>1</v>
      </c>
      <c r="B3722" s="30">
        <v>202101283209</v>
      </c>
      <c r="C3722" t="s">
        <v>8880</v>
      </c>
      <c r="D3722" t="s">
        <v>8881</v>
      </c>
      <c r="E3722" t="s">
        <v>8882</v>
      </c>
      <c r="F3722" t="s">
        <v>58</v>
      </c>
      <c r="G3722" s="27" t="str">
        <f t="shared" si="116"/>
        <v>706 WREN AVE  AUSTIN</v>
      </c>
      <c r="H3722" s="27" t="str">
        <f t="shared" si="117"/>
        <v>HOUSTON TX 78753</v>
      </c>
    </row>
    <row r="3723" spans="1:8" x14ac:dyDescent="0.2">
      <c r="A3723" s="27">
        <f>COUNTIFS(C:C,C3723,D:D,D3723)</f>
        <v>1</v>
      </c>
      <c r="B3723" s="30">
        <v>202101283211</v>
      </c>
      <c r="C3723" t="s">
        <v>8772</v>
      </c>
      <c r="D3723" t="s">
        <v>8773</v>
      </c>
      <c r="E3723" t="s">
        <v>4960</v>
      </c>
      <c r="F3723" t="s">
        <v>88</v>
      </c>
      <c r="G3723" s="27" t="str">
        <f t="shared" si="116"/>
        <v>555 DEMINAR  HOUSTON</v>
      </c>
      <c r="H3723" s="27" t="str">
        <f t="shared" si="117"/>
        <v>HOUSTON TX 77060</v>
      </c>
    </row>
    <row r="3724" spans="1:8" x14ac:dyDescent="0.2">
      <c r="A3724" s="27">
        <f>COUNTIFS(C:C,C3724,D:D,D3724)</f>
        <v>1</v>
      </c>
      <c r="B3724" s="30">
        <v>202101283215</v>
      </c>
      <c r="C3724" t="s">
        <v>8776</v>
      </c>
      <c r="D3724" t="s">
        <v>8777</v>
      </c>
      <c r="E3724" t="s">
        <v>5080</v>
      </c>
      <c r="F3724" t="s">
        <v>58</v>
      </c>
      <c r="G3724" s="27" t="str">
        <f t="shared" si="116"/>
        <v>10934 MAYFIELD  HOUSTON</v>
      </c>
      <c r="H3724" s="27" t="str">
        <f t="shared" si="117"/>
        <v>HOUSTON TX 77043</v>
      </c>
    </row>
    <row r="3725" spans="1:8" x14ac:dyDescent="0.2">
      <c r="A3725" s="27">
        <f>COUNTIFS(C:C,C3725,D:D,D3725)</f>
        <v>1</v>
      </c>
      <c r="B3725" s="30">
        <v>202101283216</v>
      </c>
      <c r="C3725" t="s">
        <v>8784</v>
      </c>
      <c r="D3725" t="s">
        <v>8785</v>
      </c>
      <c r="E3725" t="s">
        <v>4879</v>
      </c>
      <c r="F3725" t="s">
        <v>102</v>
      </c>
      <c r="G3725" s="27" t="str">
        <f t="shared" si="116"/>
        <v>3008 CLIFFDALE ST  HOUSTON</v>
      </c>
      <c r="H3725" s="27" t="str">
        <f t="shared" si="117"/>
        <v>HOUSTON TX 77091</v>
      </c>
    </row>
    <row r="3726" spans="1:8" x14ac:dyDescent="0.2">
      <c r="A3726" s="27">
        <f>COUNTIFS(C:C,C3726,D:D,D3726)</f>
        <v>1</v>
      </c>
      <c r="B3726" s="30">
        <v>202101283219</v>
      </c>
      <c r="C3726" t="s">
        <v>8796</v>
      </c>
      <c r="D3726" t="s">
        <v>8797</v>
      </c>
      <c r="E3726" t="s">
        <v>4874</v>
      </c>
      <c r="F3726" t="s">
        <v>79</v>
      </c>
      <c r="G3726" s="27" t="str">
        <f t="shared" ref="G3726:G3745" si="118">D3726&amp;" "&amp;MID(E3726,1,FIND(" TX",E3726)-1)</f>
        <v>5035 BRISCOE ST  HOUSTON</v>
      </c>
      <c r="H3726" s="27" t="str">
        <f t="shared" ref="H3726:H3745" si="119">"HOUSTON "&amp;MID(E3726,FIND("TX",E3726),8)</f>
        <v>HOUSTON TX 77033</v>
      </c>
    </row>
    <row r="3727" spans="1:8" x14ac:dyDescent="0.2">
      <c r="A3727" s="27">
        <f>COUNTIFS(C:C,C3727,D:D,D3727)</f>
        <v>1</v>
      </c>
      <c r="B3727" s="30">
        <v>202101287812</v>
      </c>
      <c r="C3727" t="s">
        <v>7848</v>
      </c>
      <c r="D3727" t="s">
        <v>7886</v>
      </c>
      <c r="E3727" t="s">
        <v>4859</v>
      </c>
      <c r="F3727" t="s">
        <v>243</v>
      </c>
      <c r="G3727" s="27" t="str">
        <f t="shared" si="118"/>
        <v>14900 NORTH FREEWAY HOUSTON</v>
      </c>
      <c r="H3727" s="27" t="str">
        <f t="shared" si="119"/>
        <v>HOUSTON TX 77073</v>
      </c>
    </row>
    <row r="3728" spans="1:8" x14ac:dyDescent="0.2">
      <c r="A3728" s="27">
        <f>COUNTIFS(C:C,C3728,D:D,D3728)</f>
        <v>1</v>
      </c>
      <c r="B3728" s="30">
        <v>202101287855</v>
      </c>
      <c r="C3728" t="s">
        <v>8826</v>
      </c>
      <c r="D3728" t="s">
        <v>955</v>
      </c>
      <c r="E3728" t="s">
        <v>4879</v>
      </c>
      <c r="F3728" t="s">
        <v>200</v>
      </c>
      <c r="G3728" s="27" t="str">
        <f t="shared" si="118"/>
        <v>2303 W TIDWELL RD  HOUSTON</v>
      </c>
      <c r="H3728" s="27" t="str">
        <f t="shared" si="119"/>
        <v>HOUSTON TX 77091</v>
      </c>
    </row>
    <row r="3729" spans="1:8" x14ac:dyDescent="0.2">
      <c r="A3729" s="27">
        <f>COUNTIFS(C:C,C3729,D:D,D3729)</f>
        <v>1</v>
      </c>
      <c r="B3729" s="30">
        <v>202101287914</v>
      </c>
      <c r="C3729" t="s">
        <v>8061</v>
      </c>
      <c r="D3729" t="s">
        <v>8814</v>
      </c>
      <c r="E3729" t="s">
        <v>4935</v>
      </c>
      <c r="F3729" t="s">
        <v>186</v>
      </c>
      <c r="G3729" s="27" t="str">
        <f t="shared" si="118"/>
        <v>8011  BLUEJAY TWIN C IRHUMBLE, HUMBLE</v>
      </c>
      <c r="H3729" s="27" t="str">
        <f t="shared" si="119"/>
        <v>HOUSTON TX 77396</v>
      </c>
    </row>
    <row r="3730" spans="1:8" x14ac:dyDescent="0.2">
      <c r="A3730" s="27">
        <f>COUNTIFS(C:C,C3730,D:D,D3730)</f>
        <v>1</v>
      </c>
      <c r="B3730" s="30">
        <v>202101287932</v>
      </c>
      <c r="C3730" t="s">
        <v>8041</v>
      </c>
      <c r="D3730" t="s">
        <v>8809</v>
      </c>
      <c r="E3730" t="s">
        <v>4984</v>
      </c>
      <c r="F3730" t="s">
        <v>8349</v>
      </c>
      <c r="G3730" s="27" t="str">
        <f t="shared" si="118"/>
        <v>5107 WALNUT GATE  SPRING</v>
      </c>
      <c r="H3730" s="27" t="str">
        <f t="shared" si="119"/>
        <v>HOUSTON TX 77373</v>
      </c>
    </row>
    <row r="3731" spans="1:8" x14ac:dyDescent="0.2">
      <c r="A3731" s="27">
        <f>COUNTIFS(C:C,C3731,D:D,D3731)</f>
        <v>1</v>
      </c>
      <c r="B3731" s="30">
        <v>202101288070</v>
      </c>
      <c r="C3731" t="s">
        <v>8842</v>
      </c>
      <c r="D3731" t="s">
        <v>8843</v>
      </c>
      <c r="E3731" t="s">
        <v>5060</v>
      </c>
      <c r="F3731" t="s">
        <v>187</v>
      </c>
      <c r="G3731" s="27" t="str">
        <f t="shared" si="118"/>
        <v>16315 LUZERNE DR  HOUSTON</v>
      </c>
      <c r="H3731" s="27" t="str">
        <f t="shared" si="119"/>
        <v>HOUSTON TX 77070</v>
      </c>
    </row>
    <row r="3732" spans="1:8" x14ac:dyDescent="0.2">
      <c r="A3732" s="27">
        <f>COUNTIFS(C:C,C3732,D:D,D3732)</f>
        <v>1</v>
      </c>
      <c r="B3732" s="30">
        <v>202101288109</v>
      </c>
      <c r="C3732" t="s">
        <v>8770</v>
      </c>
      <c r="D3732" t="s">
        <v>8771</v>
      </c>
      <c r="E3732" t="s">
        <v>4988</v>
      </c>
      <c r="F3732" t="s">
        <v>203</v>
      </c>
      <c r="G3732" s="27" t="str">
        <f t="shared" si="118"/>
        <v>727 KIRKWOOD  MISSOURI C</v>
      </c>
      <c r="H3732" s="27" t="str">
        <f t="shared" si="119"/>
        <v>HOUSTON TX 77489</v>
      </c>
    </row>
    <row r="3733" spans="1:8" x14ac:dyDescent="0.2">
      <c r="A3733" s="27">
        <f>COUNTIFS(C:C,C3733,D:D,D3733)</f>
        <v>1</v>
      </c>
      <c r="B3733" s="30">
        <v>202101288118</v>
      </c>
      <c r="C3733" t="s">
        <v>8844</v>
      </c>
      <c r="D3733" t="s">
        <v>8845</v>
      </c>
      <c r="E3733" t="s">
        <v>4960</v>
      </c>
      <c r="F3733" t="s">
        <v>200</v>
      </c>
      <c r="G3733" s="27" t="str">
        <f t="shared" si="118"/>
        <v>16966 NORTHCHASE DR 8 01 HOUSTON</v>
      </c>
      <c r="H3733" s="27" t="str">
        <f t="shared" si="119"/>
        <v>HOUSTON TX 77060</v>
      </c>
    </row>
    <row r="3734" spans="1:8" x14ac:dyDescent="0.2">
      <c r="A3734" s="27">
        <f>COUNTIFS(C:C,C3734,D:D,D3734)</f>
        <v>1</v>
      </c>
      <c r="B3734" s="30">
        <v>202101288129</v>
      </c>
      <c r="C3734" t="s">
        <v>8846</v>
      </c>
      <c r="D3734" t="s">
        <v>8847</v>
      </c>
      <c r="E3734" t="s">
        <v>4857</v>
      </c>
      <c r="F3734" t="s">
        <v>5293</v>
      </c>
      <c r="G3734" s="27" t="str">
        <f t="shared" si="118"/>
        <v>5930 RED BLUFF 912  PASADENA</v>
      </c>
      <c r="H3734" s="27" t="str">
        <f t="shared" si="119"/>
        <v>HOUSTON TX 77505</v>
      </c>
    </row>
    <row r="3735" spans="1:8" x14ac:dyDescent="0.2">
      <c r="A3735" s="27">
        <f>COUNTIFS(C:C,C3735,D:D,D3735)</f>
        <v>1</v>
      </c>
      <c r="B3735" s="30">
        <v>202101288204</v>
      </c>
      <c r="C3735" t="s">
        <v>8848</v>
      </c>
      <c r="D3735" t="s">
        <v>8849</v>
      </c>
      <c r="E3735" t="s">
        <v>4851</v>
      </c>
      <c r="F3735" t="s">
        <v>193</v>
      </c>
      <c r="G3735" s="27" t="str">
        <f t="shared" si="118"/>
        <v>7802 BREDA DR  BAYTOWN</v>
      </c>
      <c r="H3735" s="27" t="str">
        <f t="shared" si="119"/>
        <v>HOUSTON TX 77521</v>
      </c>
    </row>
    <row r="3736" spans="1:8" x14ac:dyDescent="0.2">
      <c r="A3736" s="27">
        <f>COUNTIFS(C:C,C3736,D:D,D3736)</f>
        <v>1</v>
      </c>
      <c r="B3736" s="30">
        <v>202101288205</v>
      </c>
      <c r="C3736" t="s">
        <v>8788</v>
      </c>
      <c r="D3736" t="s">
        <v>8789</v>
      </c>
      <c r="E3736" t="s">
        <v>5016</v>
      </c>
      <c r="F3736" t="s">
        <v>203</v>
      </c>
      <c r="G3736" s="27" t="str">
        <f t="shared" si="118"/>
        <v>6060 GREENS RD APT 1 07 HOUSTON</v>
      </c>
      <c r="H3736" s="27" t="str">
        <f t="shared" si="119"/>
        <v>HOUSTON TX 77396</v>
      </c>
    </row>
    <row r="3737" spans="1:8" x14ac:dyDescent="0.2">
      <c r="A3737" s="27">
        <f>COUNTIFS(C:C,C3737,D:D,D3737)</f>
        <v>1</v>
      </c>
      <c r="B3737" s="30">
        <v>202101288243</v>
      </c>
      <c r="C3737" t="s">
        <v>8833</v>
      </c>
      <c r="D3737" t="s">
        <v>8834</v>
      </c>
      <c r="E3737" t="s">
        <v>4931</v>
      </c>
      <c r="F3737" t="s">
        <v>201</v>
      </c>
      <c r="G3737" s="27" t="str">
        <f t="shared" si="118"/>
        <v>1618 KRISWOOD  HOUSTON</v>
      </c>
      <c r="H3737" s="27" t="str">
        <f t="shared" si="119"/>
        <v>HOUSTON TX 77014</v>
      </c>
    </row>
    <row r="3738" spans="1:8" x14ac:dyDescent="0.2">
      <c r="A3738" s="27">
        <f>COUNTIFS(C:C,C3738,D:D,D3738)</f>
        <v>1</v>
      </c>
      <c r="B3738" s="30">
        <v>202101288244</v>
      </c>
      <c r="C3738" t="s">
        <v>8669</v>
      </c>
      <c r="D3738" t="s">
        <v>8331</v>
      </c>
      <c r="E3738" t="s">
        <v>8670</v>
      </c>
      <c r="F3738" t="s">
        <v>203</v>
      </c>
      <c r="G3738" s="27" t="str">
        <f t="shared" si="118"/>
        <v>439 BOOKER T WA SHINGTON S TENAHA</v>
      </c>
      <c r="H3738" s="27" t="str">
        <f t="shared" si="119"/>
        <v>HOUSTON TX 75974</v>
      </c>
    </row>
    <row r="3739" spans="1:8" x14ac:dyDescent="0.2">
      <c r="A3739" s="27">
        <f>COUNTIFS(C:C,C3739,D:D,D3739)</f>
        <v>1</v>
      </c>
      <c r="B3739" s="30">
        <v>202101288259</v>
      </c>
      <c r="C3739" t="s">
        <v>8815</v>
      </c>
      <c r="D3739" t="s">
        <v>8816</v>
      </c>
      <c r="E3739" t="s">
        <v>5014</v>
      </c>
      <c r="F3739" t="s">
        <v>187</v>
      </c>
      <c r="G3739" s="27" t="str">
        <f t="shared" si="118"/>
        <v>9999 SPENCER HWY  LA PORTE</v>
      </c>
      <c r="H3739" s="27" t="str">
        <f t="shared" si="119"/>
        <v>HOUSTON TX 77571</v>
      </c>
    </row>
    <row r="3740" spans="1:8" x14ac:dyDescent="0.2">
      <c r="A3740" s="27">
        <f>COUNTIFS(C:C,C3740,D:D,D3740)</f>
        <v>1</v>
      </c>
      <c r="B3740" s="30">
        <v>202101288264</v>
      </c>
      <c r="C3740" t="s">
        <v>8810</v>
      </c>
      <c r="D3740" t="s">
        <v>8811</v>
      </c>
      <c r="E3740" t="s">
        <v>4914</v>
      </c>
      <c r="F3740" t="s">
        <v>6556</v>
      </c>
      <c r="G3740" s="27" t="str">
        <f t="shared" si="118"/>
        <v>1000 THREADNEEDLE  HOUSTON</v>
      </c>
      <c r="H3740" s="27" t="str">
        <f t="shared" si="119"/>
        <v>HOUSTON TX 77077</v>
      </c>
    </row>
    <row r="3741" spans="1:8" x14ac:dyDescent="0.2">
      <c r="A3741" s="27">
        <f>COUNTIFS(C:C,C3741,D:D,D3741)</f>
        <v>1</v>
      </c>
      <c r="B3741" s="30">
        <v>202101288270</v>
      </c>
      <c r="C3741" t="s">
        <v>8790</v>
      </c>
      <c r="D3741" t="s">
        <v>8791</v>
      </c>
      <c r="E3741" t="s">
        <v>5064</v>
      </c>
      <c r="F3741" t="s">
        <v>181</v>
      </c>
      <c r="G3741" s="27" t="str">
        <f t="shared" si="118"/>
        <v>1121 29TH ST  GALVESTON</v>
      </c>
      <c r="H3741" s="27" t="str">
        <f t="shared" si="119"/>
        <v>HOUSTON TX 77550</v>
      </c>
    </row>
    <row r="3742" spans="1:8" x14ac:dyDescent="0.2">
      <c r="A3742" s="27">
        <f>COUNTIFS(C:C,C3742,D:D,D3742)</f>
        <v>1</v>
      </c>
      <c r="B3742" s="30">
        <v>202101288272</v>
      </c>
      <c r="C3742" t="s">
        <v>8818</v>
      </c>
      <c r="D3742" t="s">
        <v>8819</v>
      </c>
      <c r="E3742" t="s">
        <v>5005</v>
      </c>
      <c r="F3742" t="s">
        <v>192</v>
      </c>
      <c r="G3742" s="27" t="str">
        <f t="shared" si="118"/>
        <v>5531 FARLEY DR  HOUSTON</v>
      </c>
      <c r="H3742" s="27" t="str">
        <f t="shared" si="119"/>
        <v>HOUSTON TX 77032</v>
      </c>
    </row>
    <row r="3743" spans="1:8" x14ac:dyDescent="0.2">
      <c r="A3743" s="27">
        <f>COUNTIFS(C:C,C3743,D:D,D3743)</f>
        <v>1</v>
      </c>
      <c r="B3743" s="30">
        <v>202101288285</v>
      </c>
      <c r="C3743" t="s">
        <v>8768</v>
      </c>
      <c r="D3743" t="s">
        <v>8769</v>
      </c>
      <c r="E3743" t="s">
        <v>4935</v>
      </c>
      <c r="F3743" t="s">
        <v>189</v>
      </c>
      <c r="G3743" s="27" t="str">
        <f t="shared" si="118"/>
        <v>4735 PENINSULA GARDE N WAY HUMBLE</v>
      </c>
      <c r="H3743" s="27" t="str">
        <f t="shared" si="119"/>
        <v>HOUSTON TX 77396</v>
      </c>
    </row>
    <row r="3744" spans="1:8" x14ac:dyDescent="0.2">
      <c r="A3744" s="27">
        <f>COUNTIFS(C:C,C3744,D:D,D3744)</f>
        <v>1</v>
      </c>
      <c r="B3744" s="30">
        <v>202101288286</v>
      </c>
      <c r="C3744" t="s">
        <v>8780</v>
      </c>
      <c r="D3744" t="s">
        <v>8781</v>
      </c>
      <c r="E3744" t="s">
        <v>4981</v>
      </c>
      <c r="F3744" t="s">
        <v>203</v>
      </c>
      <c r="G3744" s="27" t="str">
        <f t="shared" si="118"/>
        <v>215 PRINCESS DR  HOUSTON</v>
      </c>
      <c r="H3744" s="27" t="str">
        <f t="shared" si="119"/>
        <v>HOUSTON TX 77034</v>
      </c>
    </row>
    <row r="3745" spans="1:8" x14ac:dyDescent="0.2">
      <c r="A3745" s="27">
        <f>COUNTIFS(C:C,C3745,D:D,D3745)</f>
        <v>1</v>
      </c>
      <c r="B3745" s="30">
        <v>202101288300</v>
      </c>
      <c r="C3745" t="s">
        <v>8812</v>
      </c>
      <c r="D3745" t="s">
        <v>8813</v>
      </c>
      <c r="E3745" t="s">
        <v>4991</v>
      </c>
      <c r="F3745" t="s">
        <v>187</v>
      </c>
      <c r="G3745" s="27" t="str">
        <f t="shared" si="118"/>
        <v>680 W SAM HOUSTON P KWY S HOUSTON</v>
      </c>
      <c r="H3745" s="27" t="str">
        <f t="shared" si="119"/>
        <v>HOUSTON TX 77042</v>
      </c>
    </row>
    <row r="3746" spans="1:8" x14ac:dyDescent="0.2">
      <c r="A3746" s="27">
        <f>COUNTIFS(C:C,C3746,D:D,D3746)</f>
        <v>1</v>
      </c>
      <c r="B3746" s="30">
        <v>202101288315</v>
      </c>
      <c r="C3746" t="s">
        <v>8855</v>
      </c>
      <c r="D3746" t="s">
        <v>8856</v>
      </c>
      <c r="E3746" t="s">
        <v>5185</v>
      </c>
      <c r="F3746" t="s">
        <v>203</v>
      </c>
      <c r="G3746" s="27"/>
      <c r="H3746" s="27"/>
    </row>
    <row r="3747" spans="1:8" x14ac:dyDescent="0.2">
      <c r="A3747" s="27">
        <f>COUNTIFS(C:C,C3747,D:D,D3747)</f>
        <v>1</v>
      </c>
      <c r="B3747" s="30">
        <v>202101288327</v>
      </c>
      <c r="C3747" t="s">
        <v>8766</v>
      </c>
      <c r="D3747" t="s">
        <v>8767</v>
      </c>
      <c r="E3747" t="s">
        <v>4874</v>
      </c>
      <c r="F3747" t="s">
        <v>8758</v>
      </c>
      <c r="G3747" s="27"/>
      <c r="H3747" s="27"/>
    </row>
    <row r="3748" spans="1:8" x14ac:dyDescent="0.2">
      <c r="A3748" s="27">
        <f>COUNTIFS(C:C,C3748,D:D,D3748)</f>
        <v>1</v>
      </c>
      <c r="B3748" s="30">
        <v>202101288332</v>
      </c>
      <c r="C3748" t="s">
        <v>8859</v>
      </c>
      <c r="D3748" t="s">
        <v>8860</v>
      </c>
      <c r="E3748" t="s">
        <v>5009</v>
      </c>
      <c r="F3748" t="s">
        <v>189</v>
      </c>
      <c r="G3748" s="27"/>
      <c r="H3748" s="27"/>
    </row>
    <row r="3749" spans="1:8" x14ac:dyDescent="0.2">
      <c r="A3749" s="27">
        <f>COUNTIFS(C:C,C3749,D:D,D3749)</f>
        <v>1</v>
      </c>
      <c r="B3749" s="30">
        <v>202101288353</v>
      </c>
      <c r="C3749" t="s">
        <v>8794</v>
      </c>
      <c r="D3749" t="s">
        <v>8795</v>
      </c>
      <c r="E3749" t="s">
        <v>4864</v>
      </c>
      <c r="F3749" t="s">
        <v>8763</v>
      </c>
      <c r="G3749" s="27"/>
      <c r="H3749" s="27"/>
    </row>
    <row r="3750" spans="1:8" x14ac:dyDescent="0.2">
      <c r="A3750" s="27">
        <f>COUNTIFS(C:C,C3750,D:D,D3750)</f>
        <v>1</v>
      </c>
      <c r="B3750" s="30">
        <v>202101288360</v>
      </c>
      <c r="C3750" t="s">
        <v>8778</v>
      </c>
      <c r="D3750" t="s">
        <v>8779</v>
      </c>
      <c r="E3750" t="s">
        <v>5002</v>
      </c>
      <c r="F3750" t="s">
        <v>194</v>
      </c>
      <c r="G3750" s="27"/>
      <c r="H3750" s="27"/>
    </row>
    <row r="3751" spans="1:8" x14ac:dyDescent="0.2">
      <c r="A3751" s="27">
        <f>COUNTIFS(C:C,C3751,D:D,D3751)</f>
        <v>1</v>
      </c>
      <c r="B3751" s="30">
        <v>202101288364</v>
      </c>
      <c r="C3751" t="s">
        <v>8805</v>
      </c>
      <c r="D3751" t="s">
        <v>8806</v>
      </c>
      <c r="E3751" t="s">
        <v>4932</v>
      </c>
      <c r="F3751" t="s">
        <v>8764</v>
      </c>
      <c r="G3751" s="27"/>
      <c r="H3751" s="27"/>
    </row>
    <row r="3752" spans="1:8" x14ac:dyDescent="0.2">
      <c r="A3752" s="27">
        <f>COUNTIFS(C:C,C3752,D:D,D3752)</f>
        <v>2</v>
      </c>
      <c r="B3752" s="30">
        <v>202101288380</v>
      </c>
      <c r="C3752" t="s">
        <v>1677</v>
      </c>
      <c r="D3752" t="s">
        <v>1678</v>
      </c>
      <c r="E3752" t="s">
        <v>4854</v>
      </c>
      <c r="F3752" t="s">
        <v>7628</v>
      </c>
      <c r="G3752" s="27"/>
      <c r="H3752" s="27"/>
    </row>
    <row r="3753" spans="1:8" x14ac:dyDescent="0.2">
      <c r="A3753" s="27">
        <f>COUNTIFS(C:C,C3753,D:D,D3753)</f>
        <v>1</v>
      </c>
      <c r="B3753" s="30">
        <v>202101288385</v>
      </c>
      <c r="C3753" t="s">
        <v>8774</v>
      </c>
      <c r="D3753" t="s">
        <v>8775</v>
      </c>
      <c r="E3753" t="s">
        <v>4873</v>
      </c>
      <c r="F3753" t="s">
        <v>203</v>
      </c>
    </row>
    <row r="3754" spans="1:8" x14ac:dyDescent="0.2">
      <c r="A3754" s="27">
        <f>COUNTIFS(C:C,C3754,D:D,D3754)</f>
        <v>1</v>
      </c>
      <c r="B3754" s="30">
        <v>202101288431</v>
      </c>
      <c r="C3754" t="s">
        <v>8878</v>
      </c>
      <c r="D3754" t="s">
        <v>8879</v>
      </c>
      <c r="E3754" t="s">
        <v>4994</v>
      </c>
      <c r="F3754" t="s">
        <v>217</v>
      </c>
    </row>
    <row r="3755" spans="1:8" x14ac:dyDescent="0.2">
      <c r="A3755" s="27">
        <f>COUNTIFS(C:C,C3755,D:D,D3755)</f>
        <v>1</v>
      </c>
      <c r="B3755" s="30">
        <v>202101288432</v>
      </c>
      <c r="C3755" t="s">
        <v>8837</v>
      </c>
      <c r="D3755" t="s">
        <v>8838</v>
      </c>
      <c r="E3755" t="s">
        <v>4985</v>
      </c>
      <c r="F3755" t="s">
        <v>217</v>
      </c>
    </row>
    <row r="3756" spans="1:8" x14ac:dyDescent="0.2">
      <c r="A3756" s="27">
        <f>COUNTIFS(C:C,C3756,D:D,D3756)</f>
        <v>1</v>
      </c>
      <c r="B3756" s="30">
        <v>202101292947</v>
      </c>
      <c r="C3756" t="s">
        <v>8606</v>
      </c>
      <c r="D3756" t="s">
        <v>8817</v>
      </c>
      <c r="E3756" t="s">
        <v>4875</v>
      </c>
      <c r="F3756" t="s">
        <v>9036</v>
      </c>
    </row>
    <row r="3757" spans="1:8" x14ac:dyDescent="0.2">
      <c r="A3757" s="27">
        <f>COUNTIFS(C:C,C3757,D:D,D3757)</f>
        <v>1</v>
      </c>
      <c r="B3757" s="30">
        <v>202101293025</v>
      </c>
      <c r="C3757" t="s">
        <v>8668</v>
      </c>
      <c r="D3757" t="s">
        <v>8259</v>
      </c>
      <c r="E3757" t="s">
        <v>9163</v>
      </c>
      <c r="F3757" t="s">
        <v>65</v>
      </c>
    </row>
    <row r="3758" spans="1:8" x14ac:dyDescent="0.2">
      <c r="A3758" s="27">
        <f>COUNTIFS(C:C,C3758,D:D,D3758)</f>
        <v>1</v>
      </c>
      <c r="B3758" s="30">
        <v>202101293130</v>
      </c>
      <c r="C3758" t="s">
        <v>9085</v>
      </c>
      <c r="D3758" t="s">
        <v>9086</v>
      </c>
      <c r="E3758" t="s">
        <v>5245</v>
      </c>
      <c r="F3758" t="s">
        <v>104</v>
      </c>
    </row>
    <row r="3759" spans="1:8" x14ac:dyDescent="0.2">
      <c r="A3759" s="27">
        <f>COUNTIFS(C:C,C3759,D:D,D3759)</f>
        <v>1</v>
      </c>
      <c r="B3759" s="30">
        <v>202101293196</v>
      </c>
      <c r="C3759" t="s">
        <v>9083</v>
      </c>
      <c r="D3759" t="s">
        <v>9084</v>
      </c>
      <c r="E3759" t="s">
        <v>4988</v>
      </c>
      <c r="F3759" t="s">
        <v>78</v>
      </c>
    </row>
    <row r="3760" spans="1:8" x14ac:dyDescent="0.2">
      <c r="A3760" s="27">
        <f>COUNTIFS(C:C,C3760,D:D,D3760)</f>
        <v>1</v>
      </c>
      <c r="B3760" s="30">
        <v>202101293205</v>
      </c>
      <c r="C3760" t="s">
        <v>9141</v>
      </c>
      <c r="D3760" t="s">
        <v>9142</v>
      </c>
      <c r="E3760" t="s">
        <v>9143</v>
      </c>
      <c r="F3760" t="s">
        <v>5297</v>
      </c>
    </row>
    <row r="3761" spans="1:6" x14ac:dyDescent="0.2">
      <c r="A3761" s="27">
        <f>COUNTIFS(C:C,C3761,D:D,D3761)</f>
        <v>1</v>
      </c>
      <c r="B3761" s="30">
        <v>202101293206</v>
      </c>
      <c r="C3761" t="s">
        <v>9161</v>
      </c>
      <c r="D3761" t="s">
        <v>9162</v>
      </c>
      <c r="E3761" t="s">
        <v>5025</v>
      </c>
      <c r="F3761" t="s">
        <v>53</v>
      </c>
    </row>
    <row r="3762" spans="1:6" x14ac:dyDescent="0.2">
      <c r="A3762" s="27">
        <f>COUNTIFS(C:C,C3762,D:D,D3762)</f>
        <v>1</v>
      </c>
      <c r="B3762" s="30">
        <v>202101293214</v>
      </c>
      <c r="C3762" t="s">
        <v>9069</v>
      </c>
      <c r="D3762" t="s">
        <v>9070</v>
      </c>
      <c r="E3762" t="s">
        <v>4891</v>
      </c>
      <c r="F3762" t="s">
        <v>53</v>
      </c>
    </row>
    <row r="3763" spans="1:6" x14ac:dyDescent="0.2">
      <c r="A3763" s="27">
        <f>COUNTIFS(C:C,C3763,D:D,D3763)</f>
        <v>1</v>
      </c>
      <c r="B3763" s="30">
        <v>202101293228</v>
      </c>
      <c r="C3763" t="s">
        <v>9131</v>
      </c>
      <c r="D3763" t="s">
        <v>9132</v>
      </c>
      <c r="E3763" t="s">
        <v>4874</v>
      </c>
      <c r="F3763" t="s">
        <v>71</v>
      </c>
    </row>
    <row r="3764" spans="1:6" x14ac:dyDescent="0.2">
      <c r="A3764" s="27">
        <f>COUNTIFS(C:C,C3764,D:D,D3764)</f>
        <v>1</v>
      </c>
      <c r="B3764" s="30">
        <v>202101293241</v>
      </c>
      <c r="C3764" t="s">
        <v>9159</v>
      </c>
      <c r="D3764" t="s">
        <v>9160</v>
      </c>
      <c r="E3764" t="s">
        <v>4903</v>
      </c>
      <c r="F3764" t="s">
        <v>57</v>
      </c>
    </row>
    <row r="3765" spans="1:6" x14ac:dyDescent="0.2">
      <c r="A3765" s="27">
        <f>COUNTIFS(C:C,C3765,D:D,D3765)</f>
        <v>1</v>
      </c>
      <c r="B3765" s="30">
        <v>202101293242</v>
      </c>
      <c r="C3765" t="s">
        <v>9107</v>
      </c>
      <c r="D3765" t="s">
        <v>9108</v>
      </c>
      <c r="E3765" t="s">
        <v>4973</v>
      </c>
      <c r="F3765" t="s">
        <v>71</v>
      </c>
    </row>
    <row r="3766" spans="1:6" x14ac:dyDescent="0.2">
      <c r="A3766" s="27">
        <f>COUNTIFS(C:C,C3766,D:D,D3766)</f>
        <v>1</v>
      </c>
      <c r="B3766" s="30">
        <v>202101293244</v>
      </c>
      <c r="C3766" t="s">
        <v>9153</v>
      </c>
      <c r="D3766" t="s">
        <v>9154</v>
      </c>
      <c r="E3766" t="s">
        <v>5075</v>
      </c>
      <c r="F3766" t="s">
        <v>75</v>
      </c>
    </row>
    <row r="3767" spans="1:6" x14ac:dyDescent="0.2">
      <c r="A3767" s="27">
        <f>COUNTIFS(C:C,C3767,D:D,D3767)</f>
        <v>1</v>
      </c>
      <c r="B3767" s="30">
        <v>202101293245</v>
      </c>
      <c r="C3767" t="s">
        <v>9093</v>
      </c>
      <c r="D3767" t="s">
        <v>9094</v>
      </c>
      <c r="E3767" t="s">
        <v>4900</v>
      </c>
      <c r="F3767" t="s">
        <v>70</v>
      </c>
    </row>
    <row r="3768" spans="1:6" x14ac:dyDescent="0.2">
      <c r="A3768" s="27">
        <f>COUNTIFS(C:C,C3768,D:D,D3768)</f>
        <v>1</v>
      </c>
      <c r="B3768" s="30">
        <v>202101293248</v>
      </c>
      <c r="C3768" t="s">
        <v>9103</v>
      </c>
      <c r="D3768" t="s">
        <v>9104</v>
      </c>
      <c r="E3768" t="s">
        <v>4900</v>
      </c>
      <c r="F3768" t="s">
        <v>56</v>
      </c>
    </row>
    <row r="3769" spans="1:6" x14ac:dyDescent="0.2">
      <c r="A3769" s="27">
        <f>COUNTIFS(C:C,C3769,D:D,D3769)</f>
        <v>1</v>
      </c>
      <c r="B3769" s="30">
        <v>202101293249</v>
      </c>
      <c r="C3769" t="s">
        <v>9148</v>
      </c>
      <c r="D3769" t="s">
        <v>2962</v>
      </c>
      <c r="E3769" t="s">
        <v>4931</v>
      </c>
      <c r="F3769" t="s">
        <v>78</v>
      </c>
    </row>
    <row r="3770" spans="1:6" x14ac:dyDescent="0.2">
      <c r="A3770" s="27">
        <f>COUNTIFS(C:C,C3770,D:D,D3770)</f>
        <v>1</v>
      </c>
      <c r="B3770" s="30">
        <v>202101293251</v>
      </c>
      <c r="C3770" t="s">
        <v>9058</v>
      </c>
      <c r="D3770" t="s">
        <v>9059</v>
      </c>
      <c r="E3770" t="s">
        <v>4904</v>
      </c>
      <c r="F3770" t="s">
        <v>71</v>
      </c>
    </row>
    <row r="3771" spans="1:6" x14ac:dyDescent="0.2">
      <c r="A3771" s="27">
        <f>COUNTIFS(C:C,C3771,D:D,D3771)</f>
        <v>1</v>
      </c>
      <c r="B3771" s="30">
        <v>202101293257</v>
      </c>
      <c r="C3771" t="s">
        <v>9135</v>
      </c>
      <c r="D3771" t="s">
        <v>9136</v>
      </c>
      <c r="E3771" t="s">
        <v>4889</v>
      </c>
      <c r="F3771" t="s">
        <v>67</v>
      </c>
    </row>
    <row r="3772" spans="1:6" x14ac:dyDescent="0.2">
      <c r="A3772" s="27">
        <f>COUNTIFS(C:C,C3772,D:D,D3772)</f>
        <v>1</v>
      </c>
      <c r="B3772" s="30">
        <v>202101293258</v>
      </c>
      <c r="C3772" t="s">
        <v>9071</v>
      </c>
      <c r="D3772" t="s">
        <v>9072</v>
      </c>
      <c r="E3772" t="s">
        <v>4851</v>
      </c>
      <c r="F3772" t="s">
        <v>53</v>
      </c>
    </row>
    <row r="3773" spans="1:6" x14ac:dyDescent="0.2">
      <c r="A3773" s="27">
        <f>COUNTIFS(C:C,C3773,D:D,D3773)</f>
        <v>1</v>
      </c>
      <c r="B3773" s="30">
        <v>202101293260</v>
      </c>
      <c r="C3773" t="s">
        <v>9079</v>
      </c>
      <c r="D3773" t="s">
        <v>9080</v>
      </c>
      <c r="E3773" t="s">
        <v>5097</v>
      </c>
      <c r="F3773" t="s">
        <v>53</v>
      </c>
    </row>
    <row r="3774" spans="1:6" x14ac:dyDescent="0.2">
      <c r="A3774" s="27">
        <f>COUNTIFS(C:C,C3774,D:D,D3774)</f>
        <v>1</v>
      </c>
      <c r="B3774" s="30">
        <v>202101293263</v>
      </c>
      <c r="C3774" t="s">
        <v>9105</v>
      </c>
      <c r="D3774" t="s">
        <v>9106</v>
      </c>
      <c r="E3774" t="s">
        <v>4901</v>
      </c>
      <c r="F3774" t="s">
        <v>53</v>
      </c>
    </row>
    <row r="3775" spans="1:6" x14ac:dyDescent="0.2">
      <c r="A3775" s="27">
        <f>COUNTIFS(C:C,C3775,D:D,D3775)</f>
        <v>1</v>
      </c>
      <c r="B3775" s="30">
        <v>202101293267</v>
      </c>
      <c r="C3775" t="s">
        <v>9157</v>
      </c>
      <c r="D3775" t="s">
        <v>9158</v>
      </c>
      <c r="E3775" t="s">
        <v>4903</v>
      </c>
      <c r="F3775" t="s">
        <v>57</v>
      </c>
    </row>
    <row r="3776" spans="1:6" x14ac:dyDescent="0.2">
      <c r="A3776" s="27">
        <f>COUNTIFS(C:C,C3776,D:D,D3776)</f>
        <v>1</v>
      </c>
      <c r="B3776" s="30">
        <v>202101293272</v>
      </c>
      <c r="C3776" t="s">
        <v>9113</v>
      </c>
      <c r="D3776" t="s">
        <v>9114</v>
      </c>
      <c r="E3776" t="s">
        <v>4935</v>
      </c>
      <c r="F3776" t="s">
        <v>68</v>
      </c>
    </row>
    <row r="3777" spans="1:6" x14ac:dyDescent="0.2">
      <c r="A3777" s="27">
        <f>COUNTIFS(C:C,C3777,D:D,D3777)</f>
        <v>1</v>
      </c>
      <c r="B3777" s="30">
        <v>202101293276</v>
      </c>
      <c r="C3777" t="s">
        <v>9077</v>
      </c>
      <c r="D3777" t="s">
        <v>9078</v>
      </c>
      <c r="E3777" t="s">
        <v>4907</v>
      </c>
      <c r="F3777" t="s">
        <v>53</v>
      </c>
    </row>
    <row r="3778" spans="1:6" x14ac:dyDescent="0.2">
      <c r="A3778" s="27">
        <f>COUNTIFS(C:C,C3778,D:D,D3778)</f>
        <v>1</v>
      </c>
      <c r="B3778" s="30">
        <v>202101293284</v>
      </c>
      <c r="C3778" t="s">
        <v>9137</v>
      </c>
      <c r="D3778" t="s">
        <v>9138</v>
      </c>
      <c r="E3778" t="s">
        <v>4871</v>
      </c>
      <c r="F3778" t="s">
        <v>53</v>
      </c>
    </row>
    <row r="3779" spans="1:6" x14ac:dyDescent="0.2">
      <c r="A3779" s="27">
        <f>COUNTIFS(C:C,C3779,D:D,D3779)</f>
        <v>1</v>
      </c>
      <c r="B3779" s="30">
        <v>202101293289</v>
      </c>
      <c r="C3779" t="s">
        <v>9064</v>
      </c>
      <c r="D3779" t="s">
        <v>9065</v>
      </c>
      <c r="E3779" t="s">
        <v>9066</v>
      </c>
      <c r="F3779" t="s">
        <v>71</v>
      </c>
    </row>
    <row r="3780" spans="1:6" x14ac:dyDescent="0.2">
      <c r="A3780" s="27">
        <f>COUNTIFS(C:C,C3780,D:D,D3780)</f>
        <v>1</v>
      </c>
      <c r="B3780" s="30">
        <v>202101293290</v>
      </c>
      <c r="C3780" t="s">
        <v>9151</v>
      </c>
      <c r="D3780" t="s">
        <v>9152</v>
      </c>
      <c r="E3780" t="s">
        <v>4910</v>
      </c>
      <c r="F3780" t="s">
        <v>53</v>
      </c>
    </row>
    <row r="3781" spans="1:6" x14ac:dyDescent="0.2">
      <c r="A3781" s="27">
        <f>COUNTIFS(C:C,C3781,D:D,D3781)</f>
        <v>1</v>
      </c>
      <c r="B3781" s="30">
        <v>202101293324</v>
      </c>
      <c r="C3781" t="s">
        <v>9129</v>
      </c>
      <c r="D3781" t="s">
        <v>9130</v>
      </c>
      <c r="E3781" t="s">
        <v>4871</v>
      </c>
      <c r="F3781" t="s">
        <v>64</v>
      </c>
    </row>
    <row r="3782" spans="1:6" x14ac:dyDescent="0.2">
      <c r="A3782" s="27">
        <f>COUNTIFS(C:C,C3782,D:D,D3782)</f>
        <v>1</v>
      </c>
      <c r="B3782" s="30">
        <v>202101293325</v>
      </c>
      <c r="C3782" t="s">
        <v>9144</v>
      </c>
      <c r="D3782" t="s">
        <v>9145</v>
      </c>
      <c r="E3782" t="s">
        <v>4931</v>
      </c>
      <c r="F3782" t="s">
        <v>68</v>
      </c>
    </row>
    <row r="3783" spans="1:6" x14ac:dyDescent="0.2">
      <c r="A3783" s="27">
        <f>COUNTIFS(C:C,C3783,D:D,D3783)</f>
        <v>1</v>
      </c>
      <c r="B3783" s="30">
        <v>202101293334</v>
      </c>
      <c r="C3783" t="s">
        <v>9101</v>
      </c>
      <c r="D3783" t="s">
        <v>9102</v>
      </c>
      <c r="E3783" t="s">
        <v>4852</v>
      </c>
      <c r="F3783" t="s">
        <v>71</v>
      </c>
    </row>
    <row r="3784" spans="1:6" x14ac:dyDescent="0.2">
      <c r="A3784" s="27">
        <f>COUNTIFS(C:C,C3784,D:D,D3784)</f>
        <v>1</v>
      </c>
      <c r="B3784" s="30">
        <v>202101293342</v>
      </c>
      <c r="C3784" t="s">
        <v>9164</v>
      </c>
      <c r="D3784" t="s">
        <v>9165</v>
      </c>
      <c r="E3784" t="s">
        <v>5084</v>
      </c>
      <c r="F3784" t="s">
        <v>5297</v>
      </c>
    </row>
    <row r="3785" spans="1:6" x14ac:dyDescent="0.2">
      <c r="A3785" s="27">
        <f>COUNTIFS(C:C,C3785,D:D,D3785)</f>
        <v>1</v>
      </c>
      <c r="B3785" s="30">
        <v>202101297989</v>
      </c>
      <c r="C3785" t="s">
        <v>9125</v>
      </c>
      <c r="D3785" t="s">
        <v>9126</v>
      </c>
      <c r="E3785" t="s">
        <v>5060</v>
      </c>
      <c r="F3785" t="s">
        <v>187</v>
      </c>
    </row>
    <row r="3786" spans="1:6" x14ac:dyDescent="0.2">
      <c r="A3786" s="27">
        <f>COUNTIFS(C:C,C3786,D:D,D3786)</f>
        <v>1</v>
      </c>
      <c r="B3786" s="30">
        <v>202101298028</v>
      </c>
      <c r="C3786" t="s">
        <v>7312</v>
      </c>
      <c r="D3786" t="s">
        <v>9060</v>
      </c>
      <c r="E3786" t="s">
        <v>9061</v>
      </c>
      <c r="F3786" t="s">
        <v>6736</v>
      </c>
    </row>
    <row r="3787" spans="1:6" x14ac:dyDescent="0.2">
      <c r="A3787" s="27">
        <f>COUNTIFS(C:C,C3787,D:D,D3787)</f>
        <v>1</v>
      </c>
      <c r="B3787" s="30">
        <v>202101298053</v>
      </c>
      <c r="C3787" t="s">
        <v>9056</v>
      </c>
      <c r="D3787" t="s">
        <v>9057</v>
      </c>
      <c r="E3787" t="s">
        <v>5002</v>
      </c>
      <c r="F3787" t="s">
        <v>6995</v>
      </c>
    </row>
    <row r="3788" spans="1:6" x14ac:dyDescent="0.2">
      <c r="A3788" s="27">
        <f>COUNTIFS(C:C,C3788,D:D,D3788)</f>
        <v>1</v>
      </c>
      <c r="B3788" s="30">
        <v>202101298166</v>
      </c>
      <c r="C3788" t="s">
        <v>9149</v>
      </c>
      <c r="D3788" t="s">
        <v>9150</v>
      </c>
      <c r="E3788" t="s">
        <v>4909</v>
      </c>
      <c r="F3788" t="s">
        <v>200</v>
      </c>
    </row>
    <row r="3789" spans="1:6" x14ac:dyDescent="0.2">
      <c r="A3789" s="27">
        <f>COUNTIFS(C:C,C3789,D:D,D3789)</f>
        <v>1</v>
      </c>
      <c r="B3789" s="30">
        <v>202101298174</v>
      </c>
      <c r="C3789" t="s">
        <v>9073</v>
      </c>
      <c r="D3789" t="s">
        <v>9074</v>
      </c>
      <c r="E3789" t="s">
        <v>4891</v>
      </c>
      <c r="F3789" t="s">
        <v>5293</v>
      </c>
    </row>
    <row r="3790" spans="1:6" x14ac:dyDescent="0.2">
      <c r="A3790" s="27">
        <f>COUNTIFS(C:C,C3790,D:D,D3790)</f>
        <v>1</v>
      </c>
      <c r="B3790" s="30">
        <v>202101298193</v>
      </c>
      <c r="C3790" t="s">
        <v>9095</v>
      </c>
      <c r="D3790" t="s">
        <v>9096</v>
      </c>
      <c r="E3790" t="s">
        <v>4956</v>
      </c>
      <c r="F3790" t="s">
        <v>221</v>
      </c>
    </row>
    <row r="3791" spans="1:6" x14ac:dyDescent="0.2">
      <c r="A3791" s="27">
        <f>COUNTIFS(C:C,C3791,D:D,D3791)</f>
        <v>1</v>
      </c>
      <c r="B3791" s="30">
        <v>202101298313</v>
      </c>
      <c r="C3791" t="s">
        <v>9133</v>
      </c>
      <c r="D3791" t="s">
        <v>9134</v>
      </c>
      <c r="E3791" t="s">
        <v>5002</v>
      </c>
      <c r="F3791" t="s">
        <v>236</v>
      </c>
    </row>
    <row r="3792" spans="1:6" x14ac:dyDescent="0.2">
      <c r="A3792" s="27">
        <f>COUNTIFS(C:C,C3792,D:D,D3792)</f>
        <v>1</v>
      </c>
      <c r="B3792" s="30">
        <v>202101298322</v>
      </c>
      <c r="C3792" t="s">
        <v>9075</v>
      </c>
      <c r="D3792" t="s">
        <v>9076</v>
      </c>
      <c r="E3792" t="s">
        <v>4895</v>
      </c>
      <c r="F3792" t="s">
        <v>188</v>
      </c>
    </row>
    <row r="3793" spans="1:6" x14ac:dyDescent="0.2">
      <c r="A3793" s="27">
        <f>COUNTIFS(C:C,C3793,D:D,D3793)</f>
        <v>1</v>
      </c>
      <c r="B3793" s="30">
        <v>202101298324</v>
      </c>
      <c r="C3793" t="s">
        <v>9087</v>
      </c>
      <c r="D3793" t="s">
        <v>9088</v>
      </c>
      <c r="E3793" t="s">
        <v>4989</v>
      </c>
      <c r="F3793" t="s">
        <v>189</v>
      </c>
    </row>
    <row r="3794" spans="1:6" x14ac:dyDescent="0.2">
      <c r="A3794" s="27">
        <f>COUNTIFS(C:C,C3794,D:D,D3794)</f>
        <v>1</v>
      </c>
      <c r="B3794" s="30">
        <v>202101298349</v>
      </c>
      <c r="C3794" t="s">
        <v>9053</v>
      </c>
      <c r="D3794" t="s">
        <v>9054</v>
      </c>
      <c r="E3794" t="s">
        <v>9055</v>
      </c>
      <c r="F3794" t="s">
        <v>295</v>
      </c>
    </row>
    <row r="3795" spans="1:6" x14ac:dyDescent="0.2">
      <c r="A3795" s="27">
        <f>COUNTIFS(C:C,C3795,D:D,D3795)</f>
        <v>1</v>
      </c>
      <c r="B3795" s="30">
        <v>202101298361</v>
      </c>
      <c r="C3795" t="s">
        <v>9067</v>
      </c>
      <c r="D3795" t="s">
        <v>9068</v>
      </c>
      <c r="E3795" t="s">
        <v>5005</v>
      </c>
      <c r="F3795" t="s">
        <v>187</v>
      </c>
    </row>
    <row r="3796" spans="1:6" x14ac:dyDescent="0.2">
      <c r="A3796" s="27">
        <f>COUNTIFS(C:C,C3796,D:D,D3796)</f>
        <v>1</v>
      </c>
      <c r="B3796" s="30">
        <v>202101298372</v>
      </c>
      <c r="C3796" t="s">
        <v>9091</v>
      </c>
      <c r="D3796" t="s">
        <v>9092</v>
      </c>
      <c r="E3796" t="s">
        <v>4867</v>
      </c>
      <c r="F3796" t="s">
        <v>8888</v>
      </c>
    </row>
    <row r="3797" spans="1:6" x14ac:dyDescent="0.2">
      <c r="A3797" s="27">
        <f>COUNTIFS(C:C,C3797,D:D,D3797)</f>
        <v>1</v>
      </c>
      <c r="B3797" s="30">
        <v>202101298418</v>
      </c>
      <c r="C3797" t="s">
        <v>9117</v>
      </c>
      <c r="D3797" t="s">
        <v>9118</v>
      </c>
      <c r="E3797" t="s">
        <v>4891</v>
      </c>
      <c r="F3797" t="s">
        <v>6733</v>
      </c>
    </row>
    <row r="3798" spans="1:6" x14ac:dyDescent="0.2">
      <c r="A3798" s="27">
        <f>COUNTIFS(C:C,C3798,D:D,D3798)</f>
        <v>1</v>
      </c>
      <c r="B3798" s="30">
        <v>202101298425</v>
      </c>
      <c r="C3798" t="s">
        <v>9123</v>
      </c>
      <c r="D3798" t="s">
        <v>9124</v>
      </c>
      <c r="E3798" t="s">
        <v>4982</v>
      </c>
      <c r="F3798" t="s">
        <v>204</v>
      </c>
    </row>
    <row r="3799" spans="1:6" x14ac:dyDescent="0.2">
      <c r="A3799" s="27">
        <f>COUNTIFS(C:C,C3799,D:D,D3799)</f>
        <v>1</v>
      </c>
      <c r="B3799" s="30">
        <v>202101298469</v>
      </c>
      <c r="C3799" t="s">
        <v>9121</v>
      </c>
      <c r="D3799" t="s">
        <v>9122</v>
      </c>
      <c r="E3799" t="s">
        <v>4855</v>
      </c>
      <c r="F3799" t="s">
        <v>58</v>
      </c>
    </row>
    <row r="3800" spans="1:6" x14ac:dyDescent="0.2">
      <c r="A3800" s="27">
        <f>COUNTIFS(C:C,C3800,D:D,D3800)</f>
        <v>1</v>
      </c>
      <c r="B3800" s="30">
        <v>202101298483</v>
      </c>
      <c r="C3800" t="s">
        <v>9139</v>
      </c>
      <c r="D3800" t="s">
        <v>9140</v>
      </c>
      <c r="E3800" t="s">
        <v>4949</v>
      </c>
      <c r="F3800" t="s">
        <v>187</v>
      </c>
    </row>
    <row r="3801" spans="1:6" x14ac:dyDescent="0.2">
      <c r="A3801" s="27">
        <f>COUNTIFS(C:C,C3801,D:D,D3801)</f>
        <v>1</v>
      </c>
      <c r="B3801" s="30">
        <v>202101298495</v>
      </c>
      <c r="C3801" t="s">
        <v>9127</v>
      </c>
      <c r="D3801" t="s">
        <v>9128</v>
      </c>
      <c r="E3801" t="s">
        <v>4850</v>
      </c>
      <c r="F3801" t="s">
        <v>181</v>
      </c>
    </row>
    <row r="3802" spans="1:6" x14ac:dyDescent="0.2">
      <c r="A3802" s="27">
        <f>COUNTIFS(C:C,C3802,D:D,D3802)</f>
        <v>1</v>
      </c>
      <c r="B3802" s="30">
        <v>202101298498</v>
      </c>
      <c r="C3802" t="s">
        <v>9051</v>
      </c>
      <c r="D3802" t="s">
        <v>9052</v>
      </c>
      <c r="E3802" t="s">
        <v>4890</v>
      </c>
      <c r="F3802" t="s">
        <v>6682</v>
      </c>
    </row>
    <row r="3803" spans="1:6" x14ac:dyDescent="0.2">
      <c r="A3803" s="27">
        <f>COUNTIFS(C:C,C3803,D:D,D3803)</f>
        <v>1</v>
      </c>
      <c r="B3803" s="30">
        <v>202101298501</v>
      </c>
      <c r="C3803" t="s">
        <v>9097</v>
      </c>
      <c r="D3803" t="s">
        <v>9098</v>
      </c>
      <c r="E3803" t="s">
        <v>4862</v>
      </c>
      <c r="F3803" t="s">
        <v>185</v>
      </c>
    </row>
    <row r="3804" spans="1:6" x14ac:dyDescent="0.2">
      <c r="A3804" s="27">
        <f>COUNTIFS(C:C,C3804,D:D,D3804)</f>
        <v>1</v>
      </c>
      <c r="B3804" s="30">
        <v>202101298512</v>
      </c>
      <c r="C3804" t="s">
        <v>9146</v>
      </c>
      <c r="D3804" t="s">
        <v>9147</v>
      </c>
      <c r="E3804" t="s">
        <v>4931</v>
      </c>
      <c r="F3804" t="s">
        <v>5297</v>
      </c>
    </row>
    <row r="3805" spans="1:6" x14ac:dyDescent="0.2">
      <c r="A3805" s="27">
        <f>COUNTIFS(C:C,C3805,D:D,D3805)</f>
        <v>1</v>
      </c>
      <c r="B3805" s="30">
        <v>202101298524</v>
      </c>
      <c r="C3805" t="s">
        <v>9155</v>
      </c>
      <c r="D3805" t="s">
        <v>9156</v>
      </c>
      <c r="E3805" t="s">
        <v>4999</v>
      </c>
      <c r="F3805" t="s">
        <v>193</v>
      </c>
    </row>
    <row r="3806" spans="1:6" x14ac:dyDescent="0.2">
      <c r="A3806" s="27">
        <f>COUNTIFS(C:C,C3806,D:D,D3806)</f>
        <v>1</v>
      </c>
      <c r="B3806" s="30">
        <v>202101298528</v>
      </c>
      <c r="C3806" t="s">
        <v>9099</v>
      </c>
      <c r="D3806" t="s">
        <v>9100</v>
      </c>
      <c r="E3806" t="s">
        <v>4861</v>
      </c>
      <c r="F3806" t="s">
        <v>200</v>
      </c>
    </row>
    <row r="3807" spans="1:6" x14ac:dyDescent="0.2">
      <c r="A3807" s="27">
        <f>COUNTIFS(C:C,C3807,D:D,D3807)</f>
        <v>1</v>
      </c>
      <c r="B3807" s="30">
        <v>202101298529</v>
      </c>
      <c r="C3807" t="s">
        <v>9081</v>
      </c>
      <c r="D3807" t="s">
        <v>9082</v>
      </c>
      <c r="E3807" t="s">
        <v>5097</v>
      </c>
      <c r="F3807" t="s">
        <v>203</v>
      </c>
    </row>
    <row r="3808" spans="1:6" x14ac:dyDescent="0.2">
      <c r="A3808" s="27">
        <f>COUNTIFS(C:C,C3808,D:D,D3808)</f>
        <v>1</v>
      </c>
      <c r="B3808" s="30">
        <v>202101298545</v>
      </c>
      <c r="C3808" t="s">
        <v>9062</v>
      </c>
      <c r="D3808" t="s">
        <v>9063</v>
      </c>
      <c r="E3808" t="s">
        <v>4950</v>
      </c>
      <c r="F3808" t="s">
        <v>185</v>
      </c>
    </row>
    <row r="3809" spans="1:6" x14ac:dyDescent="0.2">
      <c r="A3809" s="27">
        <f>COUNTIFS(C:C,C3809,D:D,D3809)</f>
        <v>1</v>
      </c>
      <c r="B3809" s="30">
        <v>202101298551</v>
      </c>
      <c r="C3809" t="s">
        <v>9115</v>
      </c>
      <c r="D3809" t="s">
        <v>9116</v>
      </c>
      <c r="E3809" t="s">
        <v>4856</v>
      </c>
      <c r="F3809" t="s">
        <v>204</v>
      </c>
    </row>
    <row r="3810" spans="1:6" x14ac:dyDescent="0.2">
      <c r="A3810" s="27">
        <f>COUNTIFS(C:C,C3810,D:D,D3810)</f>
        <v>1</v>
      </c>
      <c r="B3810" s="30">
        <v>202101298558</v>
      </c>
      <c r="C3810" t="s">
        <v>9109</v>
      </c>
      <c r="D3810" t="s">
        <v>9110</v>
      </c>
      <c r="E3810" t="s">
        <v>5729</v>
      </c>
      <c r="F3810" t="s">
        <v>193</v>
      </c>
    </row>
    <row r="3811" spans="1:6" x14ac:dyDescent="0.2">
      <c r="A3811" s="27">
        <f>COUNTIFS(C:C,C3811,D:D,D3811)</f>
        <v>1</v>
      </c>
      <c r="B3811" s="30">
        <v>202101298559</v>
      </c>
      <c r="C3811" t="s">
        <v>9089</v>
      </c>
      <c r="D3811" t="s">
        <v>9090</v>
      </c>
      <c r="E3811" t="s">
        <v>4880</v>
      </c>
      <c r="F3811" t="s">
        <v>204</v>
      </c>
    </row>
    <row r="3812" spans="1:6" x14ac:dyDescent="0.2">
      <c r="A3812" s="27">
        <f>COUNTIFS(C:C,C3812,D:D,D3812)</f>
        <v>1</v>
      </c>
      <c r="B3812" s="30">
        <v>202101298582</v>
      </c>
      <c r="C3812" t="s">
        <v>9111</v>
      </c>
      <c r="D3812" t="s">
        <v>9112</v>
      </c>
      <c r="E3812" t="s">
        <v>6300</v>
      </c>
      <c r="F3812" t="s">
        <v>6736</v>
      </c>
    </row>
    <row r="3813" spans="1:6" x14ac:dyDescent="0.2">
      <c r="A3813" s="27">
        <f>COUNTIFS(C:C,C3813,D:D,D3813)</f>
        <v>1</v>
      </c>
      <c r="B3813" s="30">
        <v>202101298583</v>
      </c>
      <c r="C3813" t="s">
        <v>9119</v>
      </c>
      <c r="D3813" t="s">
        <v>9120</v>
      </c>
      <c r="E3813" t="s">
        <v>4933</v>
      </c>
      <c r="F3813" t="s">
        <v>185</v>
      </c>
    </row>
  </sheetData>
  <autoFilter ref="B2:F3813" xr:uid="{6253B36A-76F8-3743-B7EF-D263D3B5EDBB}">
    <sortState ref="B3:F3813">
      <sortCondition ref="B2:B3813"/>
    </sortState>
  </autoFilter>
  <sortState ref="A3:F3813">
    <sortCondition descending="1" ref="A3:A3813"/>
    <sortCondition ref="C3:C3813"/>
    <sortCondition ref="B3:B381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E1571-2709-934F-8DB5-5058F8CA7510}">
  <sheetPr codeName="Sheet4">
    <tabColor rgb="FF00B050"/>
  </sheetPr>
  <dimension ref="B2:J5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6" sqref="D56"/>
    </sheetView>
  </sheetViews>
  <sheetFormatPr baseColWidth="10" defaultRowHeight="16" x14ac:dyDescent="0.2"/>
  <cols>
    <col min="1" max="1" width="3.5" customWidth="1"/>
    <col min="2" max="2" width="33.5" bestFit="1" customWidth="1"/>
    <col min="3" max="3" width="8.33203125" bestFit="1" customWidth="1"/>
    <col min="4" max="6" width="10" customWidth="1"/>
    <col min="7" max="7" width="3.1640625" customWidth="1"/>
    <col min="8" max="8" width="25.1640625" bestFit="1" customWidth="1"/>
    <col min="9" max="9" width="16" customWidth="1"/>
    <col min="10" max="10" width="17.6640625" customWidth="1"/>
  </cols>
  <sheetData>
    <row r="2" spans="2:10" x14ac:dyDescent="0.2">
      <c r="B2" s="33" t="s">
        <v>113</v>
      </c>
      <c r="C2" s="33" t="s">
        <v>114</v>
      </c>
      <c r="D2" s="32" t="s">
        <v>116</v>
      </c>
      <c r="E2" s="32"/>
      <c r="F2" s="32"/>
      <c r="H2" s="35" t="s">
        <v>119</v>
      </c>
      <c r="I2" s="35"/>
      <c r="J2" s="35"/>
    </row>
    <row r="3" spans="2:10" x14ac:dyDescent="0.2">
      <c r="B3" s="33"/>
      <c r="C3" s="33"/>
      <c r="D3" s="12" t="s">
        <v>115</v>
      </c>
      <c r="E3" s="12" t="s">
        <v>117</v>
      </c>
      <c r="F3" s="12" t="s">
        <v>118</v>
      </c>
      <c r="H3" s="16" t="s">
        <v>113</v>
      </c>
      <c r="I3" s="34" t="s">
        <v>51</v>
      </c>
      <c r="J3" s="34"/>
    </row>
    <row r="4" spans="2:10" x14ac:dyDescent="0.2">
      <c r="B4" t="s">
        <v>68</v>
      </c>
      <c r="C4">
        <v>200</v>
      </c>
      <c r="D4">
        <v>0</v>
      </c>
      <c r="E4">
        <v>0</v>
      </c>
      <c r="F4">
        <v>0</v>
      </c>
    </row>
    <row r="5" spans="2:10" x14ac:dyDescent="0.2">
      <c r="B5" t="s">
        <v>85</v>
      </c>
      <c r="C5">
        <v>200</v>
      </c>
      <c r="D5">
        <v>0</v>
      </c>
      <c r="E5">
        <v>0</v>
      </c>
      <c r="F5">
        <v>0</v>
      </c>
      <c r="H5" s="13" t="s">
        <v>125</v>
      </c>
      <c r="I5" s="13" t="s">
        <v>123</v>
      </c>
      <c r="J5" s="13" t="s">
        <v>124</v>
      </c>
    </row>
    <row r="6" spans="2:10" x14ac:dyDescent="0.2">
      <c r="B6" t="s">
        <v>112</v>
      </c>
      <c r="C6">
        <v>300</v>
      </c>
      <c r="D6">
        <v>0</v>
      </c>
      <c r="E6">
        <v>0</v>
      </c>
      <c r="F6">
        <v>0</v>
      </c>
      <c r="H6" s="14" t="s">
        <v>120</v>
      </c>
      <c r="I6" s="15">
        <f>VLOOKUP(I$3,$B$4:$F$103,2,FALSE)</f>
        <v>20000</v>
      </c>
      <c r="J6" s="15">
        <f>I6</f>
        <v>20000</v>
      </c>
    </row>
    <row r="7" spans="2:10" x14ac:dyDescent="0.2">
      <c r="B7" t="s">
        <v>93</v>
      </c>
      <c r="C7">
        <v>300</v>
      </c>
      <c r="D7">
        <v>0</v>
      </c>
      <c r="E7">
        <v>0</v>
      </c>
      <c r="F7">
        <v>0</v>
      </c>
      <c r="H7" s="14" t="s">
        <v>115</v>
      </c>
      <c r="I7" s="15">
        <f>I$6*VLOOKUP(I$3,$B$4:$F$103,3,FALSE)</f>
        <v>21000</v>
      </c>
      <c r="J7" s="15">
        <f>I7/2</f>
        <v>10500</v>
      </c>
    </row>
    <row r="8" spans="2:10" x14ac:dyDescent="0.2">
      <c r="B8" t="s">
        <v>83</v>
      </c>
      <c r="C8">
        <v>300</v>
      </c>
      <c r="D8">
        <v>0</v>
      </c>
      <c r="E8">
        <v>0</v>
      </c>
      <c r="F8">
        <v>0</v>
      </c>
      <c r="H8" s="14" t="s">
        <v>121</v>
      </c>
      <c r="I8" s="15">
        <f>I$6*VLOOKUP(I$3,$B$4:$F$103,4,FALSE)</f>
        <v>22000</v>
      </c>
      <c r="J8" s="15">
        <f>I8/3</f>
        <v>7333.333333333333</v>
      </c>
    </row>
    <row r="9" spans="2:10" x14ac:dyDescent="0.2">
      <c r="B9" t="s">
        <v>94</v>
      </c>
      <c r="C9">
        <v>400</v>
      </c>
      <c r="D9">
        <v>0</v>
      </c>
      <c r="E9">
        <v>0</v>
      </c>
      <c r="F9">
        <v>0</v>
      </c>
      <c r="H9" s="14" t="s">
        <v>122</v>
      </c>
      <c r="I9" s="15">
        <f>I$6*VLOOKUP(I$3,$B$4:$F$103,5,FALSE)</f>
        <v>26600</v>
      </c>
      <c r="J9" s="15">
        <f>I9/6</f>
        <v>4433.333333333333</v>
      </c>
    </row>
    <row r="10" spans="2:10" x14ac:dyDescent="0.2">
      <c r="B10" t="s">
        <v>92</v>
      </c>
      <c r="C10">
        <v>500</v>
      </c>
      <c r="D10">
        <v>0</v>
      </c>
      <c r="E10">
        <v>0</v>
      </c>
      <c r="F10">
        <v>0</v>
      </c>
    </row>
    <row r="11" spans="2:10" x14ac:dyDescent="0.2">
      <c r="B11" t="s">
        <v>99</v>
      </c>
      <c r="C11">
        <v>500</v>
      </c>
      <c r="D11">
        <v>0</v>
      </c>
      <c r="E11">
        <v>0</v>
      </c>
      <c r="F11">
        <v>0</v>
      </c>
    </row>
    <row r="12" spans="2:10" x14ac:dyDescent="0.2">
      <c r="B12" t="s">
        <v>69</v>
      </c>
      <c r="C12">
        <v>500</v>
      </c>
      <c r="D12">
        <v>0</v>
      </c>
      <c r="E12">
        <v>0</v>
      </c>
      <c r="F12">
        <v>0</v>
      </c>
    </row>
    <row r="13" spans="2:10" x14ac:dyDescent="0.2">
      <c r="B13" t="s">
        <v>95</v>
      </c>
      <c r="C13">
        <v>500</v>
      </c>
      <c r="D13">
        <v>0</v>
      </c>
      <c r="E13">
        <v>0</v>
      </c>
      <c r="F13">
        <v>0</v>
      </c>
    </row>
    <row r="14" spans="2:10" x14ac:dyDescent="0.2">
      <c r="B14" t="s">
        <v>111</v>
      </c>
      <c r="C14">
        <v>500</v>
      </c>
      <c r="D14">
        <v>0</v>
      </c>
      <c r="E14">
        <v>0</v>
      </c>
      <c r="F14">
        <v>0</v>
      </c>
    </row>
    <row r="15" spans="2:10" x14ac:dyDescent="0.2">
      <c r="B15" t="s">
        <v>72</v>
      </c>
      <c r="C15">
        <v>500</v>
      </c>
      <c r="D15">
        <v>0</v>
      </c>
      <c r="E15">
        <v>0</v>
      </c>
      <c r="F15">
        <v>0</v>
      </c>
    </row>
    <row r="16" spans="2:10" x14ac:dyDescent="0.2">
      <c r="B16" t="s">
        <v>89</v>
      </c>
      <c r="C16">
        <v>1000</v>
      </c>
      <c r="D16">
        <v>1.25</v>
      </c>
      <c r="E16">
        <v>1.5</v>
      </c>
      <c r="F16">
        <v>2</v>
      </c>
    </row>
    <row r="17" spans="2:6" x14ac:dyDescent="0.2">
      <c r="B17" t="s">
        <v>90</v>
      </c>
      <c r="C17">
        <v>1000</v>
      </c>
      <c r="D17">
        <v>1.25</v>
      </c>
      <c r="E17">
        <v>1.5</v>
      </c>
      <c r="F17">
        <v>2</v>
      </c>
    </row>
    <row r="18" spans="2:6" x14ac:dyDescent="0.2">
      <c r="B18" t="s">
        <v>88</v>
      </c>
      <c r="C18">
        <v>1000</v>
      </c>
      <c r="D18">
        <v>1.25</v>
      </c>
      <c r="E18">
        <v>1.5</v>
      </c>
      <c r="F18">
        <v>2</v>
      </c>
    </row>
    <row r="19" spans="2:6" x14ac:dyDescent="0.2">
      <c r="B19" t="s">
        <v>91</v>
      </c>
      <c r="C19">
        <v>1500</v>
      </c>
      <c r="D19">
        <v>1.25</v>
      </c>
      <c r="E19">
        <v>1.5</v>
      </c>
      <c r="F19">
        <v>2</v>
      </c>
    </row>
    <row r="20" spans="2:6" x14ac:dyDescent="0.2">
      <c r="B20" t="s">
        <v>87</v>
      </c>
      <c r="C20">
        <v>1500</v>
      </c>
      <c r="D20">
        <v>1.25</v>
      </c>
      <c r="E20">
        <v>1.5</v>
      </c>
      <c r="F20">
        <v>2</v>
      </c>
    </row>
    <row r="21" spans="2:6" x14ac:dyDescent="0.2">
      <c r="B21" t="s">
        <v>79</v>
      </c>
      <c r="C21">
        <v>2000</v>
      </c>
      <c r="D21">
        <v>1.25</v>
      </c>
      <c r="E21">
        <v>1.5</v>
      </c>
      <c r="F21">
        <v>2</v>
      </c>
    </row>
    <row r="22" spans="2:6" x14ac:dyDescent="0.2">
      <c r="B22" t="s">
        <v>81</v>
      </c>
      <c r="C22">
        <v>2000</v>
      </c>
      <c r="D22">
        <v>1.25</v>
      </c>
      <c r="E22">
        <v>1.5</v>
      </c>
      <c r="F22">
        <v>2</v>
      </c>
    </row>
    <row r="23" spans="2:6" x14ac:dyDescent="0.2">
      <c r="B23" t="s">
        <v>78</v>
      </c>
      <c r="C23">
        <v>2000</v>
      </c>
      <c r="D23">
        <v>1.25</v>
      </c>
      <c r="E23">
        <v>1.5</v>
      </c>
      <c r="F23">
        <v>2</v>
      </c>
    </row>
    <row r="24" spans="2:6" x14ac:dyDescent="0.2">
      <c r="B24" t="s">
        <v>57</v>
      </c>
      <c r="C24">
        <v>2500</v>
      </c>
      <c r="D24">
        <v>1.25</v>
      </c>
      <c r="E24">
        <v>1.5</v>
      </c>
      <c r="F24">
        <v>2</v>
      </c>
    </row>
    <row r="25" spans="2:6" x14ac:dyDescent="0.2">
      <c r="B25" t="s">
        <v>56</v>
      </c>
      <c r="C25">
        <v>2500</v>
      </c>
      <c r="D25">
        <v>1.25</v>
      </c>
      <c r="E25">
        <v>1.5</v>
      </c>
      <c r="F25">
        <v>2</v>
      </c>
    </row>
    <row r="26" spans="2:6" x14ac:dyDescent="0.2">
      <c r="B26" t="s">
        <v>58</v>
      </c>
      <c r="C26">
        <v>2500</v>
      </c>
      <c r="D26">
        <v>1.25</v>
      </c>
      <c r="E26">
        <v>1.5</v>
      </c>
      <c r="F26">
        <v>2</v>
      </c>
    </row>
    <row r="27" spans="2:6" x14ac:dyDescent="0.2">
      <c r="B27" t="s">
        <v>98</v>
      </c>
      <c r="C27">
        <v>3000</v>
      </c>
      <c r="D27">
        <v>1.25</v>
      </c>
      <c r="E27">
        <v>1.5</v>
      </c>
      <c r="F27">
        <v>2</v>
      </c>
    </row>
    <row r="28" spans="2:6" x14ac:dyDescent="0.2">
      <c r="B28" t="s">
        <v>86</v>
      </c>
      <c r="C28">
        <v>4000</v>
      </c>
      <c r="D28">
        <v>1.25</v>
      </c>
      <c r="E28">
        <v>1.5</v>
      </c>
      <c r="F28">
        <v>2</v>
      </c>
    </row>
    <row r="29" spans="2:6" x14ac:dyDescent="0.2">
      <c r="B29" t="s">
        <v>102</v>
      </c>
      <c r="C29">
        <v>4000</v>
      </c>
      <c r="D29">
        <v>1.25</v>
      </c>
      <c r="E29">
        <v>1.5</v>
      </c>
      <c r="F29">
        <v>2</v>
      </c>
    </row>
    <row r="30" spans="2:6" x14ac:dyDescent="0.2">
      <c r="B30" t="s">
        <v>73</v>
      </c>
      <c r="C30">
        <v>4000</v>
      </c>
      <c r="D30">
        <v>1.25</v>
      </c>
      <c r="E30">
        <v>1.5</v>
      </c>
      <c r="F30">
        <v>2</v>
      </c>
    </row>
    <row r="31" spans="2:6" x14ac:dyDescent="0.2">
      <c r="B31" t="s">
        <v>82</v>
      </c>
      <c r="C31">
        <v>4000</v>
      </c>
      <c r="D31">
        <v>1.25</v>
      </c>
      <c r="E31">
        <v>1.5</v>
      </c>
      <c r="F31">
        <v>2</v>
      </c>
    </row>
    <row r="32" spans="2:6" x14ac:dyDescent="0.2">
      <c r="B32" t="s">
        <v>75</v>
      </c>
      <c r="C32">
        <v>4000</v>
      </c>
      <c r="D32">
        <v>1.25</v>
      </c>
      <c r="E32">
        <v>1.5</v>
      </c>
      <c r="F32">
        <v>2</v>
      </c>
    </row>
    <row r="33" spans="2:6" x14ac:dyDescent="0.2">
      <c r="B33" t="s">
        <v>76</v>
      </c>
      <c r="C33">
        <v>4000</v>
      </c>
      <c r="D33">
        <v>1.25</v>
      </c>
      <c r="E33">
        <v>1.5</v>
      </c>
      <c r="F33">
        <v>2</v>
      </c>
    </row>
    <row r="34" spans="2:6" x14ac:dyDescent="0.2">
      <c r="B34" t="s">
        <v>74</v>
      </c>
      <c r="C34">
        <v>4000</v>
      </c>
      <c r="D34">
        <v>1.25</v>
      </c>
      <c r="E34">
        <v>1.5</v>
      </c>
      <c r="F34">
        <v>2</v>
      </c>
    </row>
    <row r="35" spans="2:6" x14ac:dyDescent="0.2">
      <c r="B35" t="s">
        <v>71</v>
      </c>
      <c r="C35">
        <v>4000</v>
      </c>
      <c r="D35">
        <v>1.25</v>
      </c>
      <c r="E35">
        <v>1.5</v>
      </c>
      <c r="F35">
        <v>2</v>
      </c>
    </row>
    <row r="36" spans="2:6" x14ac:dyDescent="0.2">
      <c r="B36" t="s">
        <v>77</v>
      </c>
      <c r="C36">
        <v>4000</v>
      </c>
      <c r="D36">
        <v>1.25</v>
      </c>
      <c r="E36">
        <v>1.5</v>
      </c>
      <c r="F36">
        <v>2</v>
      </c>
    </row>
    <row r="37" spans="2:6" x14ac:dyDescent="0.2">
      <c r="B37" t="s">
        <v>100</v>
      </c>
      <c r="C37">
        <v>4000</v>
      </c>
      <c r="D37">
        <v>1.25</v>
      </c>
      <c r="E37">
        <v>1.5</v>
      </c>
      <c r="F37">
        <v>2</v>
      </c>
    </row>
    <row r="38" spans="2:6" x14ac:dyDescent="0.2">
      <c r="B38" t="s">
        <v>101</v>
      </c>
      <c r="C38">
        <v>4000</v>
      </c>
      <c r="D38">
        <v>1.25</v>
      </c>
      <c r="E38">
        <v>1.5</v>
      </c>
      <c r="F38">
        <v>2</v>
      </c>
    </row>
    <row r="39" spans="2:6" x14ac:dyDescent="0.2">
      <c r="B39" t="s">
        <v>84</v>
      </c>
      <c r="C39">
        <v>5000</v>
      </c>
      <c r="D39">
        <v>1.1000000000000001</v>
      </c>
      <c r="E39">
        <v>1.25</v>
      </c>
      <c r="F39">
        <v>1.5</v>
      </c>
    </row>
    <row r="40" spans="2:6" x14ac:dyDescent="0.2">
      <c r="B40" t="s">
        <v>70</v>
      </c>
      <c r="C40">
        <v>5000</v>
      </c>
      <c r="D40">
        <v>1.1000000000000001</v>
      </c>
      <c r="E40">
        <v>1.25</v>
      </c>
      <c r="F40">
        <v>1.5</v>
      </c>
    </row>
    <row r="41" spans="2:6" x14ac:dyDescent="0.2">
      <c r="B41" t="s">
        <v>60</v>
      </c>
      <c r="C41">
        <v>5000</v>
      </c>
      <c r="D41">
        <v>1.1000000000000001</v>
      </c>
      <c r="E41">
        <v>1.25</v>
      </c>
      <c r="F41">
        <v>1.5</v>
      </c>
    </row>
    <row r="42" spans="2:6" x14ac:dyDescent="0.2">
      <c r="B42" t="s">
        <v>96</v>
      </c>
      <c r="C42">
        <v>5000</v>
      </c>
      <c r="D42">
        <v>1.1000000000000001</v>
      </c>
      <c r="E42">
        <v>1.25</v>
      </c>
      <c r="F42">
        <v>1.5</v>
      </c>
    </row>
    <row r="43" spans="2:6" x14ac:dyDescent="0.2">
      <c r="B43" t="s">
        <v>63</v>
      </c>
      <c r="C43">
        <v>6000</v>
      </c>
      <c r="D43">
        <v>1.1000000000000001</v>
      </c>
      <c r="E43">
        <v>1.25</v>
      </c>
      <c r="F43">
        <v>1.5</v>
      </c>
    </row>
    <row r="44" spans="2:6" x14ac:dyDescent="0.2">
      <c r="B44" t="s">
        <v>66</v>
      </c>
      <c r="C44">
        <v>7000</v>
      </c>
      <c r="D44">
        <v>1.1000000000000001</v>
      </c>
      <c r="E44">
        <v>1.25</v>
      </c>
      <c r="F44">
        <v>1.5</v>
      </c>
    </row>
    <row r="45" spans="2:6" x14ac:dyDescent="0.2">
      <c r="B45" t="s">
        <v>97</v>
      </c>
      <c r="C45">
        <v>7000</v>
      </c>
      <c r="D45">
        <v>1.1000000000000001</v>
      </c>
      <c r="E45">
        <v>1.25</v>
      </c>
      <c r="F45">
        <v>1.5</v>
      </c>
    </row>
    <row r="46" spans="2:6" x14ac:dyDescent="0.2">
      <c r="B46" t="s">
        <v>103</v>
      </c>
      <c r="C46">
        <v>7500</v>
      </c>
      <c r="D46">
        <v>1.1000000000000001</v>
      </c>
      <c r="E46">
        <v>1.25</v>
      </c>
      <c r="F46">
        <v>1.5</v>
      </c>
    </row>
    <row r="47" spans="2:6" x14ac:dyDescent="0.2">
      <c r="B47" t="s">
        <v>65</v>
      </c>
      <c r="C47">
        <v>8000</v>
      </c>
      <c r="D47">
        <v>1.1000000000000001</v>
      </c>
      <c r="E47">
        <v>1.25</v>
      </c>
      <c r="F47">
        <v>1.5</v>
      </c>
    </row>
    <row r="48" spans="2:6" x14ac:dyDescent="0.2">
      <c r="B48" t="s">
        <v>80</v>
      </c>
      <c r="C48">
        <v>8000</v>
      </c>
      <c r="D48">
        <v>1.1000000000000001</v>
      </c>
      <c r="E48">
        <v>1.25</v>
      </c>
      <c r="F48">
        <v>1.5</v>
      </c>
    </row>
    <row r="49" spans="2:6" x14ac:dyDescent="0.2">
      <c r="B49" t="s">
        <v>106</v>
      </c>
      <c r="C49">
        <v>10000</v>
      </c>
      <c r="D49">
        <v>1.1000000000000001</v>
      </c>
      <c r="E49">
        <v>1.25</v>
      </c>
      <c r="F49">
        <v>1.5</v>
      </c>
    </row>
    <row r="50" spans="2:6" x14ac:dyDescent="0.2">
      <c r="B50" t="s">
        <v>64</v>
      </c>
      <c r="C50">
        <v>10000</v>
      </c>
      <c r="D50">
        <v>1.1000000000000001</v>
      </c>
      <c r="E50">
        <v>1.25</v>
      </c>
      <c r="F50">
        <v>1.5</v>
      </c>
    </row>
    <row r="51" spans="2:6" x14ac:dyDescent="0.2">
      <c r="B51" t="s">
        <v>67</v>
      </c>
      <c r="C51">
        <v>10000</v>
      </c>
      <c r="D51">
        <v>1.1000000000000001</v>
      </c>
      <c r="E51">
        <v>1.25</v>
      </c>
      <c r="F51">
        <v>1.5</v>
      </c>
    </row>
    <row r="52" spans="2:6" x14ac:dyDescent="0.2">
      <c r="B52" t="s">
        <v>59</v>
      </c>
      <c r="C52">
        <v>12000</v>
      </c>
      <c r="D52">
        <v>1.1000000000000001</v>
      </c>
      <c r="E52">
        <v>1.25</v>
      </c>
      <c r="F52">
        <v>1.5</v>
      </c>
    </row>
    <row r="53" spans="2:6" x14ac:dyDescent="0.2">
      <c r="B53" t="s">
        <v>61</v>
      </c>
      <c r="C53">
        <v>15000</v>
      </c>
      <c r="D53">
        <v>1.1000000000000001</v>
      </c>
      <c r="E53">
        <v>1.25</v>
      </c>
      <c r="F53">
        <v>1.5</v>
      </c>
    </row>
    <row r="54" spans="2:6" x14ac:dyDescent="0.2">
      <c r="B54" t="s">
        <v>110</v>
      </c>
      <c r="C54">
        <v>17000</v>
      </c>
      <c r="D54">
        <v>1.1000000000000001</v>
      </c>
      <c r="E54">
        <v>1.25</v>
      </c>
      <c r="F54">
        <v>1.5</v>
      </c>
    </row>
    <row r="55" spans="2:6" x14ac:dyDescent="0.2">
      <c r="B55" t="s">
        <v>53</v>
      </c>
      <c r="C55">
        <v>20000</v>
      </c>
      <c r="D55">
        <v>1.05</v>
      </c>
      <c r="E55">
        <v>1.1000000000000001</v>
      </c>
      <c r="F55">
        <v>1.33</v>
      </c>
    </row>
    <row r="56" spans="2:6" x14ac:dyDescent="0.2">
      <c r="B56" t="s">
        <v>51</v>
      </c>
      <c r="C56">
        <v>20000</v>
      </c>
      <c r="D56">
        <v>1.05</v>
      </c>
      <c r="E56">
        <v>1.1000000000000001</v>
      </c>
      <c r="F56">
        <v>1.33</v>
      </c>
    </row>
  </sheetData>
  <sortState ref="B4:C56">
    <sortCondition ref="C4:C56"/>
  </sortState>
  <mergeCells count="5">
    <mergeCell ref="D2:F2"/>
    <mergeCell ref="C2:C3"/>
    <mergeCell ref="B2:B3"/>
    <mergeCell ref="I3:J3"/>
    <mergeCell ref="H2:J2"/>
  </mergeCells>
  <conditionalFormatting sqref="B4:F103">
    <cfRule type="expression" dxfId="1" priority="2">
      <formula>ISODD(ROW())</formula>
    </cfRule>
  </conditionalFormatting>
  <conditionalFormatting sqref="I6:J9">
    <cfRule type="expression" dxfId="0" priority="1">
      <formula>ISODD(ROW())</formula>
    </cfRule>
  </conditionalFormatting>
  <dataValidations count="1">
    <dataValidation type="list" allowBlank="1" showInputMessage="1" showErrorMessage="1" sqref="I3" xr:uid="{81561977-159E-CE4A-B636-B0E5A99A37CE}">
      <formula1>$B$4:$B$103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88BE-63AF-D447-997E-6FF445602853}">
  <sheetPr codeName="Sheet3">
    <tabColor theme="0" tint="-0.499984740745262"/>
  </sheetPr>
  <dimension ref="B2:AC52"/>
  <sheetViews>
    <sheetView workbookViewId="0">
      <selection activeCell="N7" sqref="N7"/>
    </sheetView>
  </sheetViews>
  <sheetFormatPr baseColWidth="10" defaultRowHeight="16" x14ac:dyDescent="0.2"/>
  <cols>
    <col min="1" max="1" width="3.33203125" customWidth="1"/>
    <col min="2" max="2" width="5.5" bestFit="1" customWidth="1"/>
    <col min="3" max="3" width="32.6640625" bestFit="1" customWidth="1"/>
    <col min="4" max="4" width="3.33203125" customWidth="1"/>
    <col min="5" max="5" width="20.33203125" bestFit="1" customWidth="1"/>
    <col min="6" max="6" width="11.33203125" bestFit="1" customWidth="1"/>
    <col min="7" max="15" width="10.5" customWidth="1"/>
  </cols>
  <sheetData>
    <row r="2" spans="2:29" x14ac:dyDescent="0.2">
      <c r="B2" s="36" t="s">
        <v>6</v>
      </c>
      <c r="C2" s="36"/>
      <c r="E2" s="36" t="s">
        <v>146</v>
      </c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2:29" x14ac:dyDescent="0.2">
      <c r="B3" s="9">
        <v>1</v>
      </c>
      <c r="C3" s="24" t="s">
        <v>3</v>
      </c>
      <c r="E3" s="20" t="s">
        <v>147</v>
      </c>
      <c r="F3" s="38" t="s">
        <v>148</v>
      </c>
      <c r="G3" s="38"/>
      <c r="H3" s="38"/>
      <c r="I3" s="38"/>
      <c r="J3" s="38"/>
      <c r="K3" s="38"/>
      <c r="L3" s="38"/>
      <c r="M3" s="38"/>
      <c r="N3" s="38"/>
      <c r="O3" s="38"/>
    </row>
    <row r="4" spans="2:29" x14ac:dyDescent="0.2">
      <c r="B4" s="9">
        <v>2</v>
      </c>
      <c r="C4" s="24" t="s">
        <v>4</v>
      </c>
      <c r="E4" s="21" t="s">
        <v>4</v>
      </c>
      <c r="F4" s="21" t="s">
        <v>11</v>
      </c>
      <c r="G4" s="21"/>
      <c r="H4" s="21"/>
      <c r="I4" s="21"/>
      <c r="J4" s="21"/>
      <c r="K4" s="21"/>
      <c r="L4" s="21"/>
      <c r="M4" s="21"/>
      <c r="N4" s="21"/>
      <c r="O4" s="21"/>
    </row>
    <row r="5" spans="2:29" x14ac:dyDescent="0.2">
      <c r="B5" s="9">
        <v>3</v>
      </c>
      <c r="C5" s="24"/>
      <c r="E5" s="22" t="s">
        <v>17</v>
      </c>
      <c r="F5" s="19" t="s">
        <v>55</v>
      </c>
      <c r="G5" s="19"/>
      <c r="H5" s="19"/>
      <c r="I5" s="19"/>
      <c r="J5" s="19"/>
      <c r="K5" s="19"/>
      <c r="L5" s="19"/>
      <c r="M5" s="19"/>
      <c r="N5" s="19"/>
      <c r="O5" s="19"/>
    </row>
    <row r="6" spans="2:29" x14ac:dyDescent="0.2">
      <c r="B6" s="9">
        <v>4</v>
      </c>
      <c r="C6" s="24"/>
      <c r="E6" s="22" t="s">
        <v>34</v>
      </c>
      <c r="F6" s="19" t="s">
        <v>130</v>
      </c>
      <c r="G6" s="19" t="s">
        <v>151</v>
      </c>
      <c r="H6" s="19" t="s">
        <v>152</v>
      </c>
      <c r="I6" s="19" t="s">
        <v>273</v>
      </c>
      <c r="J6" s="19" t="s">
        <v>212</v>
      </c>
      <c r="K6" s="19">
        <v>0</v>
      </c>
      <c r="L6" s="19" t="s">
        <v>7615</v>
      </c>
      <c r="M6" s="19" t="s">
        <v>7616</v>
      </c>
      <c r="N6" s="19" t="s">
        <v>8357</v>
      </c>
      <c r="O6" s="19"/>
    </row>
    <row r="7" spans="2:29" x14ac:dyDescent="0.2">
      <c r="B7" s="9">
        <v>5</v>
      </c>
      <c r="C7" s="24"/>
      <c r="E7" s="22" t="s">
        <v>41</v>
      </c>
      <c r="F7" s="19" t="s">
        <v>264</v>
      </c>
      <c r="G7" s="19"/>
      <c r="H7" s="19"/>
      <c r="I7" s="19"/>
      <c r="J7" s="19"/>
      <c r="K7" s="19"/>
      <c r="L7" s="19"/>
      <c r="M7" s="19"/>
      <c r="N7" s="19"/>
      <c r="O7" s="19"/>
    </row>
    <row r="8" spans="2:29" x14ac:dyDescent="0.2">
      <c r="B8" s="9">
        <v>6</v>
      </c>
      <c r="C8" s="24"/>
      <c r="E8" s="22" t="s">
        <v>20</v>
      </c>
      <c r="F8" s="19" t="s">
        <v>44</v>
      </c>
      <c r="G8" s="19" t="s">
        <v>52</v>
      </c>
      <c r="H8" s="19" t="s">
        <v>153</v>
      </c>
      <c r="I8" s="19" t="s">
        <v>265</v>
      </c>
      <c r="J8" s="19" t="s">
        <v>45</v>
      </c>
      <c r="K8" s="19" t="s">
        <v>266</v>
      </c>
      <c r="L8" s="19" t="s">
        <v>267</v>
      </c>
      <c r="M8" s="19" t="s">
        <v>62</v>
      </c>
      <c r="N8" s="19" t="s">
        <v>48</v>
      </c>
      <c r="O8" s="19" t="s">
        <v>48</v>
      </c>
      <c r="P8" t="s">
        <v>268</v>
      </c>
      <c r="Q8" t="s">
        <v>263</v>
      </c>
      <c r="R8" t="s">
        <v>46</v>
      </c>
      <c r="S8" t="s">
        <v>179</v>
      </c>
      <c r="T8" t="s">
        <v>269</v>
      </c>
      <c r="U8" t="s">
        <v>164</v>
      </c>
      <c r="V8" t="s">
        <v>270</v>
      </c>
      <c r="W8" t="s">
        <v>271</v>
      </c>
      <c r="X8" t="s">
        <v>47</v>
      </c>
      <c r="Y8" t="s">
        <v>272</v>
      </c>
      <c r="Z8" t="s">
        <v>50</v>
      </c>
      <c r="AA8" t="s">
        <v>54</v>
      </c>
      <c r="AB8" t="s">
        <v>49</v>
      </c>
      <c r="AC8" t="s">
        <v>155</v>
      </c>
    </row>
    <row r="9" spans="2:29" x14ac:dyDescent="0.2">
      <c r="E9" s="22" t="s">
        <v>38</v>
      </c>
      <c r="F9" s="19" t="s">
        <v>4757</v>
      </c>
      <c r="G9" s="19"/>
      <c r="H9" s="19"/>
      <c r="I9" s="19"/>
      <c r="J9" s="19"/>
      <c r="K9" s="19"/>
      <c r="L9" s="19"/>
      <c r="M9" s="19"/>
      <c r="N9" s="19"/>
      <c r="O9" s="19"/>
    </row>
    <row r="10" spans="2:29" x14ac:dyDescent="0.2">
      <c r="B10" s="37" t="s">
        <v>9</v>
      </c>
      <c r="C10" s="37" t="s">
        <v>7</v>
      </c>
      <c r="E10" s="22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2:29" x14ac:dyDescent="0.2">
      <c r="B11" s="23" t="s">
        <v>8</v>
      </c>
      <c r="C11" s="20" t="s">
        <v>107</v>
      </c>
      <c r="E11" s="22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2:29" x14ac:dyDescent="0.2">
      <c r="B12" s="23" t="s">
        <v>10</v>
      </c>
      <c r="C12" s="20" t="s">
        <v>108</v>
      </c>
      <c r="E12" s="22"/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2:29" x14ac:dyDescent="0.2">
      <c r="B13" s="23" t="s">
        <v>8</v>
      </c>
      <c r="C13" s="20" t="s">
        <v>109</v>
      </c>
      <c r="E13" s="22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2:29" x14ac:dyDescent="0.2">
      <c r="B14" s="23" t="s">
        <v>10</v>
      </c>
      <c r="C14" s="20" t="s">
        <v>4752</v>
      </c>
      <c r="E14" s="22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2:29" x14ac:dyDescent="0.2">
      <c r="B15" s="24"/>
      <c r="C15" s="20"/>
      <c r="E15" s="22"/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2:29" x14ac:dyDescent="0.2">
      <c r="B16" s="24"/>
      <c r="C16" s="20"/>
      <c r="E16" s="22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2:15" x14ac:dyDescent="0.2">
      <c r="B17" s="24"/>
      <c r="C17" s="20"/>
      <c r="E17" s="22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8" spans="2:15" x14ac:dyDescent="0.2">
      <c r="B18" s="24"/>
      <c r="C18" s="20"/>
      <c r="E18" s="22"/>
      <c r="F18" s="19"/>
      <c r="G18" s="19"/>
      <c r="H18" s="19"/>
      <c r="I18" s="19"/>
      <c r="J18" s="19"/>
      <c r="K18" s="19"/>
      <c r="L18" s="19"/>
      <c r="M18" s="19"/>
      <c r="N18" s="19"/>
      <c r="O18" s="19"/>
    </row>
    <row r="19" spans="2:15" x14ac:dyDescent="0.2">
      <c r="B19" s="24"/>
      <c r="C19" s="20"/>
    </row>
    <row r="20" spans="2:15" x14ac:dyDescent="0.2">
      <c r="B20" s="24"/>
      <c r="C20" s="20"/>
    </row>
    <row r="21" spans="2:15" x14ac:dyDescent="0.2">
      <c r="B21" s="24"/>
      <c r="C21" s="20"/>
    </row>
    <row r="22" spans="2:15" x14ac:dyDescent="0.2">
      <c r="B22" s="24"/>
      <c r="C22" s="20"/>
    </row>
    <row r="23" spans="2:15" x14ac:dyDescent="0.2">
      <c r="B23" s="24"/>
      <c r="C23" s="20"/>
    </row>
    <row r="24" spans="2:15" x14ac:dyDescent="0.2">
      <c r="B24" s="24"/>
      <c r="C24" s="20"/>
    </row>
    <row r="25" spans="2:15" x14ac:dyDescent="0.2">
      <c r="B25" s="24"/>
      <c r="C25" s="20"/>
    </row>
    <row r="26" spans="2:15" x14ac:dyDescent="0.2">
      <c r="B26" s="24"/>
      <c r="C26" s="20"/>
    </row>
    <row r="27" spans="2:15" x14ac:dyDescent="0.2">
      <c r="B27" s="24"/>
      <c r="C27" s="20"/>
    </row>
    <row r="28" spans="2:15" x14ac:dyDescent="0.2">
      <c r="B28" s="24"/>
      <c r="C28" s="20"/>
    </row>
    <row r="29" spans="2:15" x14ac:dyDescent="0.2">
      <c r="B29" s="24"/>
      <c r="C29" s="20"/>
    </row>
    <row r="30" spans="2:15" x14ac:dyDescent="0.2">
      <c r="B30" s="24"/>
      <c r="C30" s="20"/>
    </row>
    <row r="31" spans="2:15" x14ac:dyDescent="0.2">
      <c r="B31" s="24"/>
      <c r="C31" s="20"/>
    </row>
    <row r="32" spans="2:15" x14ac:dyDescent="0.2">
      <c r="B32" s="24"/>
      <c r="C32" s="20"/>
    </row>
    <row r="33" spans="2:3" x14ac:dyDescent="0.2">
      <c r="B33" s="24"/>
      <c r="C33" s="20"/>
    </row>
    <row r="34" spans="2:3" x14ac:dyDescent="0.2">
      <c r="B34" s="24"/>
      <c r="C34" s="20"/>
    </row>
    <row r="35" spans="2:3" x14ac:dyDescent="0.2">
      <c r="B35" s="24"/>
      <c r="C35" s="20"/>
    </row>
    <row r="36" spans="2:3" x14ac:dyDescent="0.2">
      <c r="B36" s="24"/>
      <c r="C36" s="20"/>
    </row>
    <row r="37" spans="2:3" x14ac:dyDescent="0.2">
      <c r="B37" s="24"/>
      <c r="C37" s="20"/>
    </row>
    <row r="38" spans="2:3" x14ac:dyDescent="0.2">
      <c r="B38" s="24"/>
      <c r="C38" s="20"/>
    </row>
    <row r="39" spans="2:3" x14ac:dyDescent="0.2">
      <c r="B39" s="24"/>
      <c r="C39" s="20"/>
    </row>
    <row r="40" spans="2:3" x14ac:dyDescent="0.2">
      <c r="B40" s="24"/>
      <c r="C40" s="20"/>
    </row>
    <row r="41" spans="2:3" x14ac:dyDescent="0.2">
      <c r="B41" s="24"/>
      <c r="C41" s="20"/>
    </row>
    <row r="42" spans="2:3" x14ac:dyDescent="0.2">
      <c r="B42" s="24"/>
      <c r="C42" s="20"/>
    </row>
    <row r="43" spans="2:3" x14ac:dyDescent="0.2">
      <c r="B43" s="24"/>
      <c r="C43" s="20"/>
    </row>
    <row r="44" spans="2:3" x14ac:dyDescent="0.2">
      <c r="B44" s="24"/>
      <c r="C44" s="20"/>
    </row>
    <row r="45" spans="2:3" x14ac:dyDescent="0.2">
      <c r="B45" s="24"/>
      <c r="C45" s="20"/>
    </row>
    <row r="46" spans="2:3" x14ac:dyDescent="0.2">
      <c r="B46" s="24"/>
      <c r="C46" s="20"/>
    </row>
    <row r="47" spans="2:3" x14ac:dyDescent="0.2">
      <c r="B47" s="24"/>
      <c r="C47" s="20"/>
    </row>
    <row r="48" spans="2:3" x14ac:dyDescent="0.2">
      <c r="B48" s="24"/>
      <c r="C48" s="20"/>
    </row>
    <row r="49" spans="2:3" x14ac:dyDescent="0.2">
      <c r="B49" s="24"/>
      <c r="C49" s="20"/>
    </row>
    <row r="50" spans="2:3" x14ac:dyDescent="0.2">
      <c r="B50" s="24"/>
      <c r="C50" s="20"/>
    </row>
    <row r="51" spans="2:3" x14ac:dyDescent="0.2">
      <c r="B51" s="24"/>
      <c r="C51" s="20"/>
    </row>
    <row r="52" spans="2:3" x14ac:dyDescent="0.2">
      <c r="B52" s="24"/>
      <c r="C52" s="20"/>
    </row>
  </sheetData>
  <sortState ref="E3:E101">
    <sortCondition ref="E3:E101"/>
  </sortState>
  <mergeCells count="4">
    <mergeCell ref="B2:C2"/>
    <mergeCell ref="B10:C10"/>
    <mergeCell ref="E2:O2"/>
    <mergeCell ref="F3:O3"/>
  </mergeCells>
  <dataValidations count="1">
    <dataValidation type="list" allowBlank="1" showInputMessage="1" showErrorMessage="1" sqref="B11:B14" xr:uid="{EAEE7DDF-4A1B-6349-8293-A4DBE6AAB7C3}">
      <formula1>"yes,no"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BD8086-3791-1A42-8B87-3CBE4A386C4E}">
          <x14:formula1>
            <xm:f>data_web!$B$2:$G$2</xm:f>
          </x14:formula1>
          <xm:sqref>C3:C8</xm:sqref>
        </x14:dataValidation>
        <x14:dataValidation type="list" allowBlank="1" showInputMessage="1" showErrorMessage="1" xr:uid="{E8A387C4-A358-F149-BF10-9A6C1F68D485}">
          <x14:formula1>
            <xm:f>import_data!$B$2:$AG$2</xm:f>
          </x14:formula1>
          <xm:sqref>E5:E18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96BF8-F88F-3046-95F1-8521C9C1C6E8}">
  <sheetPr codeName="Sheet7"/>
  <dimension ref="B2:G10"/>
  <sheetViews>
    <sheetView workbookViewId="0">
      <selection activeCell="C11" sqref="C11"/>
    </sheetView>
  </sheetViews>
  <sheetFormatPr baseColWidth="10" defaultRowHeight="16" x14ac:dyDescent="0.2"/>
  <cols>
    <col min="1" max="1" width="3" customWidth="1"/>
    <col min="3" max="3" width="10.1640625" bestFit="1" customWidth="1"/>
    <col min="4" max="4" width="34.5" customWidth="1"/>
    <col min="5" max="5" width="34" bestFit="1" customWidth="1"/>
    <col min="6" max="6" width="3.5" customWidth="1"/>
  </cols>
  <sheetData>
    <row r="2" spans="2:7" x14ac:dyDescent="0.2">
      <c r="B2" s="39" t="s">
        <v>143</v>
      </c>
      <c r="C2" s="39"/>
      <c r="D2" s="39"/>
      <c r="E2" s="39"/>
      <c r="G2" t="s">
        <v>144</v>
      </c>
    </row>
    <row r="3" spans="2:7" x14ac:dyDescent="0.2">
      <c r="B3" s="18" t="s">
        <v>131</v>
      </c>
      <c r="C3" s="18" t="s">
        <v>132</v>
      </c>
      <c r="D3" s="18" t="s">
        <v>145</v>
      </c>
      <c r="E3" s="18" t="s">
        <v>133</v>
      </c>
      <c r="G3" s="7" t="str">
        <f>HYPERLINK("https://mobile.hcdistrictclerk.com/CaseDetails/SearchPrinting.aspx","mobile link")</f>
        <v>mobile link</v>
      </c>
    </row>
    <row r="4" spans="2:7" x14ac:dyDescent="0.2">
      <c r="B4" s="17" t="s">
        <v>134</v>
      </c>
      <c r="C4" t="s">
        <v>4753</v>
      </c>
      <c r="D4" t="s">
        <v>126</v>
      </c>
      <c r="G4" s="7" t="str">
        <f>HYPERLINK("https://www.hcdistrictclerk.com/Edocs/Public/Search.aspx?NewSuits=1","desktop link")</f>
        <v>desktop link</v>
      </c>
    </row>
    <row r="5" spans="2:7" x14ac:dyDescent="0.2">
      <c r="B5" s="17" t="s">
        <v>135</v>
      </c>
      <c r="C5" t="s">
        <v>4753</v>
      </c>
      <c r="D5" t="s">
        <v>127</v>
      </c>
      <c r="E5" t="s">
        <v>139</v>
      </c>
      <c r="G5" s="7" t="str">
        <f>HYPERLINK("https://www.hcdistrictclerk.com/Common/e-services/PublicDatasets.aspx","full daily dataset")</f>
        <v>full daily dataset</v>
      </c>
    </row>
    <row r="6" spans="2:7" x14ac:dyDescent="0.2">
      <c r="B6" s="17" t="s">
        <v>136</v>
      </c>
      <c r="C6" t="s">
        <v>4753</v>
      </c>
      <c r="D6" t="s">
        <v>128</v>
      </c>
    </row>
    <row r="7" spans="2:7" x14ac:dyDescent="0.2">
      <c r="B7" s="17" t="s">
        <v>137</v>
      </c>
      <c r="C7" t="s">
        <v>4753</v>
      </c>
      <c r="D7" t="s">
        <v>129</v>
      </c>
      <c r="E7" t="s">
        <v>140</v>
      </c>
    </row>
    <row r="8" spans="2:7" x14ac:dyDescent="0.2">
      <c r="B8" s="17" t="s">
        <v>138</v>
      </c>
      <c r="C8" t="s">
        <v>4753</v>
      </c>
      <c r="D8" t="s">
        <v>141</v>
      </c>
      <c r="E8" t="s">
        <v>142</v>
      </c>
    </row>
    <row r="9" spans="2:7" x14ac:dyDescent="0.2">
      <c r="B9" s="17" t="s">
        <v>149</v>
      </c>
      <c r="C9" t="s">
        <v>4753</v>
      </c>
      <c r="D9" t="s">
        <v>150</v>
      </c>
    </row>
    <row r="10" spans="2:7" x14ac:dyDescent="0.2">
      <c r="B10" s="17" t="s">
        <v>4754</v>
      </c>
      <c r="C10" t="s">
        <v>4753</v>
      </c>
      <c r="D10" t="s">
        <v>4755</v>
      </c>
    </row>
  </sheetData>
  <mergeCells count="1">
    <mergeCell ref="B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import_data</vt:lpstr>
      <vt:lpstr>import_web</vt:lpstr>
      <vt:lpstr>data_web</vt:lpstr>
      <vt:lpstr>Mailer</vt:lpstr>
      <vt:lpstr>Pricebook</vt:lpstr>
      <vt:lpstr>Settings</vt:lpstr>
      <vt:lpstr>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Stephanos Zunez</dc:creator>
  <cp:lastModifiedBy>Stephanos Zunez</cp:lastModifiedBy>
  <dcterms:created xsi:type="dcterms:W3CDTF">2021-01-06T12:03:16Z</dcterms:created>
  <dcterms:modified xsi:type="dcterms:W3CDTF">2021-01-29T15:02:12Z</dcterms:modified>
</cp:coreProperties>
</file>