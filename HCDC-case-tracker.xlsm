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zunez/src/legal-tools/"/>
    </mc:Choice>
  </mc:AlternateContent>
  <xr:revisionPtr revIDLastSave="0" documentId="13_ncr:1_{4178F7BE-3B80-4649-AEBD-30A5BDB9B4BC}" xr6:coauthVersionLast="36" xr6:coauthVersionMax="36" xr10:uidLastSave="{00000000-0000-0000-0000-000000000000}"/>
  <bookViews>
    <workbookView xWindow="0" yWindow="500" windowWidth="38400" windowHeight="21100" xr2:uid="{3556E5E8-A781-8E47-B72C-6CA21AAD2856}"/>
  </bookViews>
  <sheets>
    <sheet name="import_data" sheetId="7" r:id="rId1"/>
    <sheet name="import_web" sheetId="4" r:id="rId2"/>
    <sheet name="data_web" sheetId="3" r:id="rId3"/>
    <sheet name="Mailer" sheetId="11" r:id="rId4"/>
    <sheet name="Pricebook" sheetId="8" r:id="rId5"/>
    <sheet name="Settings" sheetId="1" r:id="rId6"/>
    <sheet name="dev" sheetId="10" r:id="rId7"/>
  </sheets>
  <functionGroups builtInGroupCount="19"/>
  <definedNames>
    <definedName name="_xlnm._FilterDatabase" localSheetId="2" hidden="1">data_web!$B$2:$G$2</definedName>
    <definedName name="_xlnm._FilterDatabase" localSheetId="0" hidden="1">import_data!$B$2:$AG$5097</definedName>
    <definedName name="_xlnm._FilterDatabase" localSheetId="3" hidden="1">Mailer!$B$2:$F$3752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0" l="1"/>
  <c r="G4" i="10"/>
  <c r="G3" i="10"/>
  <c r="I6" i="8"/>
  <c r="J6" i="8" s="1"/>
  <c r="I7" i="8" l="1"/>
  <c r="J7" i="8" s="1"/>
  <c r="I8" i="8"/>
  <c r="J8" i="8" s="1"/>
  <c r="I9" i="8"/>
  <c r="J9" i="8" s="1"/>
</calcChain>
</file>

<file path=xl/sharedStrings.xml><?xml version="1.0" encoding="utf-8"?>
<sst xmlns="http://schemas.openxmlformats.org/spreadsheetml/2006/main" count="201" uniqueCount="181">
  <si>
    <t>Case(Cause)#</t>
  </si>
  <si>
    <t>Style</t>
  </si>
  <si>
    <t>File Date</t>
  </si>
  <si>
    <t>Court</t>
  </si>
  <si>
    <t>Type of Action/Offense</t>
  </si>
  <si>
    <t>Case Region</t>
  </si>
  <si>
    <t>Sort Order</t>
  </si>
  <si>
    <t>Configurations</t>
  </si>
  <si>
    <t>no</t>
  </si>
  <si>
    <t>Configuration</t>
  </si>
  <si>
    <t>yes</t>
  </si>
  <si>
    <t>(F)</t>
  </si>
  <si>
    <t>rundate</t>
  </si>
  <si>
    <t>cdi</t>
  </si>
  <si>
    <t>cas</t>
  </si>
  <si>
    <t>fda</t>
  </si>
  <si>
    <t>ins</t>
  </si>
  <si>
    <t>cad</t>
  </si>
  <si>
    <t>crt</t>
  </si>
  <si>
    <t>cst</t>
  </si>
  <si>
    <t>dst</t>
  </si>
  <si>
    <t>bam</t>
  </si>
  <si>
    <t>curr_off</t>
  </si>
  <si>
    <t>curr_off_lit</t>
  </si>
  <si>
    <t>curr_l_d</t>
  </si>
  <si>
    <t>nda</t>
  </si>
  <si>
    <t>cnc</t>
  </si>
  <si>
    <t>rea</t>
  </si>
  <si>
    <t>def_nam</t>
  </si>
  <si>
    <t>def_spn</t>
  </si>
  <si>
    <t>def_rac</t>
  </si>
  <si>
    <t>def_sex</t>
  </si>
  <si>
    <t>def_dob</t>
  </si>
  <si>
    <t>def_stnum</t>
  </si>
  <si>
    <t>def_stnam</t>
  </si>
  <si>
    <t>def_cty</t>
  </si>
  <si>
    <t>def_st</t>
  </si>
  <si>
    <t>def_zip</t>
  </si>
  <si>
    <t>aty_nam</t>
  </si>
  <si>
    <t>aty_spn</t>
  </si>
  <si>
    <t>aty_coc</t>
  </si>
  <si>
    <t>aty_coc_lit</t>
  </si>
  <si>
    <t>def_birthplace</t>
  </si>
  <si>
    <t>def_uscitizen</t>
  </si>
  <si>
    <t>A</t>
  </si>
  <si>
    <t>F</t>
  </si>
  <si>
    <t>M</t>
  </si>
  <si>
    <t>U</t>
  </si>
  <si>
    <t>J</t>
  </si>
  <si>
    <t>Y</t>
  </si>
  <si>
    <t>W</t>
  </si>
  <si>
    <t>ASSAULT-BODILY INJURY</t>
  </si>
  <si>
    <t>C</t>
  </si>
  <si>
    <t>ASSAULT-FAMILY MEMBER</t>
  </si>
  <si>
    <t>X</t>
  </si>
  <si>
    <t>DISM</t>
  </si>
  <si>
    <t>TERRORISTIC THREAT FAMILY/HOUS</t>
  </si>
  <si>
    <t>TERRORISTIC THREAT FEAR IMMINE</t>
  </si>
  <si>
    <t>TERRORISTIC THREAT</t>
  </si>
  <si>
    <t>BURGLARY OF VEHICLE</t>
  </si>
  <si>
    <t>POSS-UNL USE OF CRIM INSTR</t>
  </si>
  <si>
    <t>THEFT &gt;=$750 &lt;$2,500</t>
  </si>
  <si>
    <t>I</t>
  </si>
  <si>
    <t>THEFT-MAIL &lt;=10 ADDRESSES</t>
  </si>
  <si>
    <t>THEFT &gt;=$100&lt;$750</t>
  </si>
  <si>
    <t>THEFT &lt;$100 W/PREV CONVICTION</t>
  </si>
  <si>
    <t>CRIMINAL MISCHIEF &gt;=$750&lt;$2,50</t>
  </si>
  <si>
    <t>CRIM MISCH &gt;=100 &lt;$750</t>
  </si>
  <si>
    <t>INTERFERE DUTIES PUB SERVANT</t>
  </si>
  <si>
    <t>VIOL BOND/PROTECTIVE ORDER</t>
  </si>
  <si>
    <t>PROSTITUTION - NON PUBLIC OFFE</t>
  </si>
  <si>
    <t>EVADING ARREST/DETENTION</t>
  </si>
  <si>
    <t>RESIST ARR-SEARCH</t>
  </si>
  <si>
    <t>FALSE REPORT TO POLICE OFFICER</t>
  </si>
  <si>
    <t>FAIL IDENT TO P-O-FUGITIVE</t>
  </si>
  <si>
    <t>FAIL TO ID TO P.O. FALSE INF/F</t>
  </si>
  <si>
    <t>FAIL TO ID TO P.O. FALSE INF</t>
  </si>
  <si>
    <t>ESCAPE</t>
  </si>
  <si>
    <t>UNLAW CARRY WPN</t>
  </si>
  <si>
    <t>CARRYING HANDGUN IN MOTOR VEHI</t>
  </si>
  <si>
    <t>DISCHARGE FIREARM METRO AREA</t>
  </si>
  <si>
    <t>UNLAW. CARRY WPN/LIC/HOLDER IN</t>
  </si>
  <si>
    <t>FALSE REPORT</t>
  </si>
  <si>
    <t>HARASSING COMMUNICATION</t>
  </si>
  <si>
    <t>DEADLY CONDUCT</t>
  </si>
  <si>
    <t>INTERFER W/EMER REQ FOR ASSIST</t>
  </si>
  <si>
    <t>FSGI ACC ATTEND DAMAGE VEH&gt;=$2</t>
  </si>
  <si>
    <t>DWI 2ND</t>
  </si>
  <si>
    <t>DRIVING WHILE INTOXICATED</t>
  </si>
  <si>
    <t>DWI/OPEN ALCOHOL CONTAINER</t>
  </si>
  <si>
    <t>DWI 1ST OFFENDER BAC&gt;=0.15</t>
  </si>
  <si>
    <t>DWI 2ND OFFENDER BAC&gt;=0.15</t>
  </si>
  <si>
    <t>DRV W/LIC INV W/PR CN/SUS/W/O</t>
  </si>
  <si>
    <t>RACING ON HIGHWAY</t>
  </si>
  <si>
    <t>RECKLESS DRIVING</t>
  </si>
  <si>
    <t>UNLAWFUL RESTRAINT</t>
  </si>
  <si>
    <t>POSS CS PG 3 &lt;28 GRAMS</t>
  </si>
  <si>
    <t>CRIM TRES HAB/SHLTR/SUPRFUND/I</t>
  </si>
  <si>
    <t>CRIMINAL TRESPASS</t>
  </si>
  <si>
    <t>VIOL PROTECTIVE ORDER</t>
  </si>
  <si>
    <t>OUT OF STATE - FUGITIVE</t>
  </si>
  <si>
    <t>OUT OF COUNTY - MISDEMEANOR</t>
  </si>
  <si>
    <t>FALSIFY DRUG TEST RESULTS</t>
  </si>
  <si>
    <t>THEFT AGGREGATE =&gt;$750&lt;$2500 1</t>
  </si>
  <si>
    <t>THEFT AGGREGATE =&gt;$100&lt;$750 MU</t>
  </si>
  <si>
    <t>Prompt to append web data?</t>
  </si>
  <si>
    <t>Automatically remove raw web data?</t>
  </si>
  <si>
    <t>Prompt to append text data?</t>
  </si>
  <si>
    <t>ATT BURGLARY OF BUILDING</t>
  </si>
  <si>
    <t>TAMPER W/I.D. PERSONAL PROP</t>
  </si>
  <si>
    <t>RACING ON HIGHWAY W/ENHAN</t>
  </si>
  <si>
    <t>Offense</t>
  </si>
  <si>
    <t>Single payment</t>
  </si>
  <si>
    <t>Half down</t>
  </si>
  <si>
    <t>Payment multiplier</t>
  </si>
  <si>
    <t>3monthly</t>
  </si>
  <si>
    <t>6monthly</t>
  </si>
  <si>
    <t>Example</t>
  </si>
  <si>
    <t>Single payment price [ $ ]</t>
  </si>
  <si>
    <t>Three monthly payments</t>
  </si>
  <si>
    <t>Six monthly payments</t>
  </si>
  <si>
    <t>Total cost [ $ ]</t>
  </si>
  <si>
    <t>Cost/invoice [ $ ]</t>
  </si>
  <si>
    <t>Payment plan</t>
  </si>
  <si>
    <t>Filter dups, concat records case/offense</t>
  </si>
  <si>
    <t>del address=NULL</t>
  </si>
  <si>
    <t>best dst=B, O, N</t>
  </si>
  <si>
    <t>not DISM</t>
  </si>
  <si>
    <t>#BLANK</t>
  </si>
  <si>
    <t>Item</t>
  </si>
  <si>
    <t>Status</t>
  </si>
  <si>
    <t>Comment</t>
  </si>
  <si>
    <t>0000</t>
  </si>
  <si>
    <t>0001</t>
  </si>
  <si>
    <t>0002</t>
  </si>
  <si>
    <t>0003</t>
  </si>
  <si>
    <t>0004</t>
  </si>
  <si>
    <t>Updated filter to accept #ANY syntax</t>
  </si>
  <si>
    <t>Updated filter</t>
  </si>
  <si>
    <t>del attorny!=''</t>
  </si>
  <si>
    <t>Updated filter to accept #BLANK syntax</t>
  </si>
  <si>
    <t>Punch list</t>
  </si>
  <si>
    <t>Tests</t>
  </si>
  <si>
    <t>Requirement</t>
  </si>
  <si>
    <t>Keyword filter (exclusive)</t>
  </si>
  <si>
    <t>Parameter</t>
  </si>
  <si>
    <t>Keywords</t>
  </si>
  <si>
    <t>0005</t>
  </si>
  <si>
    <t>Error trap for Cancel button on Import</t>
  </si>
  <si>
    <t>HOMELESS</t>
  </si>
  <si>
    <t>UNKNOWN</t>
  </si>
  <si>
    <t>D</t>
  </si>
  <si>
    <t>Z</t>
  </si>
  <si>
    <t>R</t>
  </si>
  <si>
    <t>P</t>
  </si>
  <si>
    <t>TRANSIENT</t>
  </si>
  <si>
    <t>L</t>
  </si>
  <si>
    <t>HIRED</t>
  </si>
  <si>
    <t>E</t>
  </si>
  <si>
    <t>G</t>
  </si>
  <si>
    <t>H</t>
  </si>
  <si>
    <t>K</t>
  </si>
  <si>
    <t>Q</t>
  </si>
  <si>
    <t>S</t>
  </si>
  <si>
    <t>T</t>
  </si>
  <si>
    <t>V</t>
  </si>
  <si>
    <t>UNK</t>
  </si>
  <si>
    <t>HBK-id</t>
  </si>
  <si>
    <t>Defendant</t>
  </si>
  <si>
    <t>Street</t>
  </si>
  <si>
    <t>City, State Zip</t>
  </si>
  <si>
    <t>Offenses</t>
  </si>
  <si>
    <t>Automatical merge dulicate records?</t>
  </si>
  <si>
    <t>done</t>
  </si>
  <si>
    <t>0006</t>
  </si>
  <si>
    <t>Mailer function</t>
  </si>
  <si>
    <t>^^^ DON'T USE THIS ^^^</t>
  </si>
  <si>
    <t>KHAN, HADEE BABAR</t>
  </si>
  <si>
    <t>HOMLESS</t>
  </si>
  <si>
    <t>VARIOUS MOTELS</t>
  </si>
  <si>
    <t xml:space="preserve">NOT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</si>
</sst>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[$$-409]* #,##0_);_([$$-409]* \(#,##0\);_([$$-409]* &quot;-&quot;??_);_(@_)"/>
  </numFmts>
  <fonts count="11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rgb="FF000000"/>
      <name val="Times"/>
      <family val="1"/>
    </font>
    <font>
      <b/>
      <sz val="18"/>
      <color rgb="FF000000"/>
      <name val="Times"/>
      <family val="1"/>
    </font>
    <font>
      <sz val="12"/>
      <color rgb="FF000000"/>
      <name val="Times"/>
      <family val="1"/>
    </font>
    <font>
      <u/>
      <sz val="12"/>
      <color theme="1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0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3" fillId="0" borderId="0" xfId="0" applyFont="1"/>
    <xf numFmtId="0" fontId="2" fillId="0" borderId="0" xfId="0" applyFont="1"/>
    <xf numFmtId="0" fontId="4" fillId="0" borderId="0" xfId="0" applyFont="1"/>
    <xf numFmtId="0" fontId="0" fillId="0" borderId="0" xfId="0" applyNumberFormat="1"/>
    <xf numFmtId="0" fontId="5" fillId="0" borderId="0" xfId="1"/>
    <xf numFmtId="14" fontId="4" fillId="0" borderId="0" xfId="0" applyNumberFormat="1" applyFont="1"/>
    <xf numFmtId="0" fontId="0" fillId="4" borderId="1" xfId="0" applyFill="1" applyBorder="1" applyAlignment="1">
      <alignment horizontal="center"/>
    </xf>
    <xf numFmtId="47" fontId="0" fillId="0" borderId="0" xfId="0" applyNumberFormat="1"/>
    <xf numFmtId="1" fontId="0" fillId="0" borderId="0" xfId="0" applyNumberFormat="1"/>
    <xf numFmtId="0" fontId="0" fillId="7" borderId="1" xfId="0" applyFont="1" applyFill="1" applyBorder="1"/>
    <xf numFmtId="0" fontId="1" fillId="8" borderId="1" xfId="0" applyFont="1" applyFill="1" applyBorder="1"/>
    <xf numFmtId="0" fontId="7" fillId="9" borderId="1" xfId="0" applyFont="1" applyFill="1" applyBorder="1"/>
    <xf numFmtId="164" fontId="0" fillId="0" borderId="1" xfId="0" applyNumberFormat="1" applyBorder="1"/>
    <xf numFmtId="0" fontId="7" fillId="8" borderId="1" xfId="0" applyFont="1" applyFill="1" applyBorder="1"/>
    <xf numFmtId="0" fontId="0" fillId="0" borderId="0" xfId="0" quotePrefix="1"/>
    <xf numFmtId="0" fontId="1" fillId="4" borderId="0" xfId="0" applyFont="1" applyFill="1"/>
    <xf numFmtId="0" fontId="6" fillId="5" borderId="1" xfId="0" applyFont="1" applyFill="1" applyBorder="1"/>
    <xf numFmtId="0" fontId="0" fillId="4" borderId="1" xfId="0" applyFill="1" applyBorder="1"/>
    <xf numFmtId="0" fontId="6" fillId="5" borderId="3" xfId="0" applyFont="1" applyFill="1" applyBorder="1"/>
    <xf numFmtId="0" fontId="8" fillId="5" borderId="3" xfId="0" applyFont="1" applyFill="1" applyBorder="1"/>
    <xf numFmtId="0" fontId="8" fillId="5" borderId="1" xfId="0" applyFont="1" applyFill="1" applyBorder="1" applyAlignment="1">
      <alignment horizontal="center"/>
    </xf>
    <xf numFmtId="0" fontId="8" fillId="5" borderId="1" xfId="0" applyFont="1" applyFill="1" applyBorder="1"/>
    <xf numFmtId="22" fontId="0" fillId="0" borderId="0" xfId="0" applyNumberFormat="1"/>
    <xf numFmtId="22" fontId="7" fillId="0" borderId="0" xfId="0" applyNumberFormat="1" applyFont="1"/>
    <xf numFmtId="0" fontId="7" fillId="0" borderId="0" xfId="0" applyFont="1"/>
    <xf numFmtId="0" fontId="10" fillId="0" borderId="0" xfId="0" applyFont="1"/>
    <xf numFmtId="12" fontId="0" fillId="0" borderId="0" xfId="0" applyNumberFormat="1"/>
    <xf numFmtId="1" fontId="10" fillId="0" borderId="0" xfId="0" applyNumberFormat="1" applyFont="1"/>
    <xf numFmtId="0" fontId="10" fillId="0" borderId="0" xfId="0" applyFont="1" applyAlignment="1">
      <alignment horizontal="left"/>
    </xf>
    <xf numFmtId="0" fontId="7" fillId="6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6" fillId="0" borderId="2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2"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AF9EFF"/>
      <color rgb="FFD88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0</xdr:rowOff>
        </xdr:from>
        <xdr:to>
          <xdr:col>1</xdr:col>
          <xdr:colOff>977900</xdr:colOff>
          <xdr:row>0</xdr:row>
          <xdr:rowOff>342900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1016000</xdr:colOff>
          <xdr:row>0</xdr:row>
          <xdr:rowOff>0</xdr:rowOff>
        </xdr:from>
        <xdr:to>
          <xdr:col>2</xdr:col>
          <xdr:colOff>292100</xdr:colOff>
          <xdr:row>0</xdr:row>
          <xdr:rowOff>342900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0</xdr:row>
          <xdr:rowOff>0</xdr:rowOff>
        </xdr:from>
        <xdr:to>
          <xdr:col>3</xdr:col>
          <xdr:colOff>876300</xdr:colOff>
          <xdr:row>0</xdr:row>
          <xdr:rowOff>342900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mailer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5</xdr:row>
          <xdr:rowOff>25400</xdr:rowOff>
        </xdr:from>
        <xdr:to>
          <xdr:col>8</xdr:col>
          <xdr:colOff>698500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1</xdr:row>
          <xdr:rowOff>12700</xdr:rowOff>
        </xdr:from>
        <xdr:to>
          <xdr:col>8</xdr:col>
          <xdr:colOff>698500</xdr:colOff>
          <xdr:row>2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101600</xdr:colOff>
          <xdr:row>3</xdr:row>
          <xdr:rowOff>12700</xdr:rowOff>
        </xdr:from>
        <xdr:to>
          <xdr:col>8</xdr:col>
          <xdr:colOff>698500</xdr:colOff>
          <xdr:row>4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787400</xdr:colOff>
          <xdr:row>1</xdr:row>
          <xdr:rowOff>12700</xdr:rowOff>
        </xdr:from>
        <xdr:to>
          <xdr:col>10</xdr:col>
          <xdr:colOff>596900</xdr:colOff>
          <xdr:row>2</xdr:row>
          <xdr:rowOff>190500</xdr:rowOff>
        </xdr:to>
        <xdr:sp macro="" textlink="">
          <xdr:nvSpPr>
            <xdr:cNvPr id="2053" name="Button 5" descr="Upload data to serv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Upload data to server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B49B9-EB42-784D-AE8E-EAF296E7FC45}">
  <sheetPr codeName="Sheet6">
    <tabColor rgb="FF7030A0"/>
  </sheetPr>
  <dimension ref="A1:CH7163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3" sqref="B3"/>
    </sheetView>
  </sheetViews>
  <sheetFormatPr baseColWidth="10" defaultRowHeight="16" x14ac:dyDescent="0.2"/>
  <cols>
    <col min="1" max="1" width="3" customWidth="1"/>
    <col min="2" max="2" width="15.83203125" bestFit="1" customWidth="1"/>
    <col min="3" max="3" width="6" bestFit="1" customWidth="1"/>
    <col min="4" max="4" width="17.83203125" bestFit="1" customWidth="1"/>
    <col min="5" max="5" width="10.83203125" bestFit="1" customWidth="1"/>
    <col min="6" max="6" width="6" bestFit="1" customWidth="1"/>
    <col min="7" max="7" width="6.5" bestFit="1" customWidth="1"/>
    <col min="8" max="8" width="5.83203125" bestFit="1" customWidth="1"/>
    <col min="9" max="9" width="6" bestFit="1" customWidth="1"/>
    <col min="10" max="10" width="6.1640625" bestFit="1" customWidth="1"/>
    <col min="11" max="11" width="19.6640625" bestFit="1" customWidth="1"/>
    <col min="12" max="12" width="10.1640625" bestFit="1" customWidth="1"/>
    <col min="13" max="13" width="34.6640625" bestFit="1" customWidth="1"/>
    <col min="14" max="14" width="10.33203125" bestFit="1" customWidth="1"/>
    <col min="15" max="15" width="10.83203125" bestFit="1" customWidth="1"/>
    <col min="16" max="17" width="6.33203125" bestFit="1" customWidth="1"/>
    <col min="18" max="18" width="39" bestFit="1" customWidth="1"/>
    <col min="19" max="19" width="10.1640625" bestFit="1" customWidth="1"/>
    <col min="20" max="20" width="9.83203125" bestFit="1" customWidth="1"/>
    <col min="21" max="21" width="10.1640625" bestFit="1" customWidth="1"/>
    <col min="22" max="22" width="10.83203125" bestFit="1" customWidth="1"/>
    <col min="23" max="23" width="12.5" bestFit="1" customWidth="1"/>
    <col min="24" max="24" width="27.5" bestFit="1" customWidth="1"/>
    <col min="25" max="25" width="14" bestFit="1" customWidth="1"/>
    <col min="26" max="26" width="8.83203125" bestFit="1" customWidth="1"/>
    <col min="27" max="27" width="9.6640625" bestFit="1" customWidth="1"/>
    <col min="28" max="28" width="29.83203125" bestFit="1" customWidth="1"/>
    <col min="29" max="29" width="10.1640625" bestFit="1" customWidth="1"/>
    <col min="30" max="30" width="10" bestFit="1" customWidth="1"/>
    <col min="31" max="31" width="28.6640625" bestFit="1" customWidth="1"/>
    <col min="32" max="32" width="15.5" bestFit="1" customWidth="1"/>
    <col min="33" max="33" width="14.5" bestFit="1" customWidth="1"/>
    <col min="34" max="34" width="3.33203125" customWidth="1"/>
  </cols>
  <sheetData>
    <row r="1" spans="1:86" ht="30" customHeight="1" x14ac:dyDescent="0.2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</row>
    <row r="2" spans="1:86" x14ac:dyDescent="0.2">
      <c r="A2" s="27"/>
      <c r="B2" s="2" t="s">
        <v>12</v>
      </c>
      <c r="C2" s="2" t="s">
        <v>13</v>
      </c>
      <c r="D2" s="2" t="s">
        <v>14</v>
      </c>
      <c r="E2" s="2" t="s">
        <v>15</v>
      </c>
      <c r="F2" s="2" t="s">
        <v>16</v>
      </c>
      <c r="G2" s="2" t="s">
        <v>17</v>
      </c>
      <c r="H2" s="2" t="s">
        <v>18</v>
      </c>
      <c r="I2" s="2" t="s">
        <v>19</v>
      </c>
      <c r="J2" s="2" t="s">
        <v>20</v>
      </c>
      <c r="K2" s="2" t="s">
        <v>21</v>
      </c>
      <c r="L2" s="2" t="s">
        <v>22</v>
      </c>
      <c r="M2" s="2" t="s">
        <v>23</v>
      </c>
      <c r="N2" s="2" t="s">
        <v>24</v>
      </c>
      <c r="O2" s="2" t="s">
        <v>25</v>
      </c>
      <c r="P2" s="2" t="s">
        <v>26</v>
      </c>
      <c r="Q2" s="2" t="s">
        <v>27</v>
      </c>
      <c r="R2" s="2" t="s">
        <v>28</v>
      </c>
      <c r="S2" s="2" t="s">
        <v>29</v>
      </c>
      <c r="T2" s="2" t="s">
        <v>30</v>
      </c>
      <c r="U2" s="2" t="s">
        <v>31</v>
      </c>
      <c r="V2" s="2" t="s">
        <v>32</v>
      </c>
      <c r="W2" s="2" t="s">
        <v>33</v>
      </c>
      <c r="X2" s="2" t="s">
        <v>34</v>
      </c>
      <c r="Y2" s="2" t="s">
        <v>35</v>
      </c>
      <c r="Z2" s="2" t="s">
        <v>36</v>
      </c>
      <c r="AA2" s="2" t="s">
        <v>37</v>
      </c>
      <c r="AB2" s="2" t="s">
        <v>38</v>
      </c>
      <c r="AC2" s="2" t="s">
        <v>39</v>
      </c>
      <c r="AD2" s="2" t="s">
        <v>40</v>
      </c>
      <c r="AE2" s="2" t="s">
        <v>41</v>
      </c>
      <c r="AF2" s="2" t="s">
        <v>42</v>
      </c>
      <c r="AG2" s="2" t="s">
        <v>43</v>
      </c>
      <c r="AH2" s="27"/>
    </row>
    <row r="3" spans="1:86" x14ac:dyDescent="0.2">
      <c r="A3" s="27"/>
      <c r="B3" s="25"/>
      <c r="D3" s="11"/>
      <c r="E3" s="10"/>
      <c r="O3" s="10"/>
      <c r="V3" s="10"/>
      <c r="W3" s="6"/>
    </row>
    <row r="4" spans="1:86" x14ac:dyDescent="0.2">
      <c r="A4" s="27"/>
      <c r="B4" s="25"/>
      <c r="D4" s="11"/>
      <c r="E4" s="10"/>
      <c r="O4" s="10"/>
      <c r="V4" s="10"/>
      <c r="W4" s="6"/>
    </row>
    <row r="5" spans="1:86" x14ac:dyDescent="0.2">
      <c r="A5" s="27"/>
      <c r="B5" s="25"/>
      <c r="D5" s="11"/>
      <c r="E5" s="10"/>
      <c r="O5" s="10"/>
      <c r="V5" s="10"/>
      <c r="W5" s="6"/>
    </row>
    <row r="6" spans="1:86" x14ac:dyDescent="0.2">
      <c r="A6" s="27"/>
      <c r="B6" s="1"/>
      <c r="D6" s="11"/>
      <c r="E6" s="10"/>
      <c r="O6" s="10"/>
      <c r="V6" s="10"/>
      <c r="W6" s="6"/>
    </row>
    <row r="7" spans="1:86" x14ac:dyDescent="0.2">
      <c r="A7" s="27"/>
      <c r="B7" s="1"/>
      <c r="D7" s="11"/>
      <c r="E7" s="10"/>
      <c r="O7" s="10"/>
      <c r="V7" s="10"/>
      <c r="W7" s="6"/>
    </row>
    <row r="8" spans="1:86" x14ac:dyDescent="0.2">
      <c r="A8" s="27"/>
      <c r="B8" s="25"/>
      <c r="D8" s="11"/>
      <c r="E8" s="10"/>
      <c r="O8" s="10"/>
      <c r="V8" s="10"/>
      <c r="W8" s="6"/>
    </row>
    <row r="9" spans="1:86" x14ac:dyDescent="0.2">
      <c r="A9" s="27"/>
      <c r="B9" s="25"/>
      <c r="D9" s="11"/>
      <c r="E9" s="10"/>
      <c r="O9" s="10"/>
      <c r="V9" s="10"/>
      <c r="W9" s="6"/>
    </row>
    <row r="10" spans="1:86" x14ac:dyDescent="0.2">
      <c r="A10" s="27"/>
      <c r="B10" s="25"/>
      <c r="D10" s="11"/>
      <c r="E10" s="10"/>
      <c r="O10" s="10"/>
      <c r="V10" s="10"/>
      <c r="W10" s="6"/>
    </row>
    <row r="11" spans="1:86" x14ac:dyDescent="0.2">
      <c r="A11" s="27"/>
      <c r="B11" s="25"/>
      <c r="D11" s="11"/>
      <c r="E11" s="10"/>
      <c r="O11" s="10"/>
      <c r="V11" s="10"/>
      <c r="W11" s="6"/>
    </row>
    <row r="12" spans="1:86" x14ac:dyDescent="0.2">
      <c r="A12" s="27"/>
      <c r="B12" s="25"/>
      <c r="D12" s="11"/>
      <c r="E12" s="10"/>
      <c r="O12" s="10"/>
      <c r="V12" s="10"/>
      <c r="W12" s="6"/>
    </row>
    <row r="13" spans="1:86" x14ac:dyDescent="0.2">
      <c r="A13" s="27"/>
      <c r="B13" s="25"/>
      <c r="D13" s="11"/>
      <c r="E13" s="10"/>
      <c r="O13" s="10"/>
      <c r="V13" s="10"/>
      <c r="W13" s="6"/>
    </row>
    <row r="14" spans="1:86" x14ac:dyDescent="0.2">
      <c r="A14" s="27"/>
      <c r="B14" s="1"/>
      <c r="D14" s="11"/>
      <c r="E14" s="10"/>
      <c r="O14" s="10"/>
      <c r="V14" s="10"/>
      <c r="W14" s="6"/>
    </row>
    <row r="15" spans="1:86" x14ac:dyDescent="0.2">
      <c r="A15" s="27"/>
      <c r="B15" s="25"/>
      <c r="D15" s="11"/>
      <c r="E15" s="10"/>
      <c r="O15" s="10"/>
      <c r="V15" s="10"/>
      <c r="W15" s="6"/>
    </row>
    <row r="16" spans="1:86" x14ac:dyDescent="0.2">
      <c r="A16" s="27"/>
      <c r="B16" s="25"/>
      <c r="D16" s="11"/>
      <c r="E16" s="10"/>
      <c r="O16" s="10"/>
      <c r="V16" s="10"/>
      <c r="W16" s="6"/>
    </row>
    <row r="17" spans="1:23" x14ac:dyDescent="0.2">
      <c r="A17" s="27"/>
      <c r="B17" s="25"/>
      <c r="D17" s="11"/>
      <c r="E17" s="10"/>
      <c r="O17" s="10"/>
      <c r="V17" s="10"/>
      <c r="W17" s="6"/>
    </row>
    <row r="18" spans="1:23" x14ac:dyDescent="0.2">
      <c r="A18" s="27"/>
      <c r="B18" s="25"/>
      <c r="D18" s="11"/>
      <c r="E18" s="10"/>
      <c r="O18" s="10"/>
      <c r="V18" s="10"/>
      <c r="W18" s="6"/>
    </row>
    <row r="19" spans="1:23" x14ac:dyDescent="0.2">
      <c r="A19" s="27"/>
      <c r="B19" s="25"/>
      <c r="D19" s="11"/>
      <c r="E19" s="10"/>
      <c r="O19" s="10"/>
      <c r="V19" s="10"/>
      <c r="W19" s="6"/>
    </row>
    <row r="20" spans="1:23" x14ac:dyDescent="0.2">
      <c r="A20" s="27"/>
      <c r="B20" s="25"/>
      <c r="D20" s="11"/>
      <c r="E20" s="10"/>
      <c r="O20" s="10"/>
      <c r="V20" s="10"/>
      <c r="W20" s="6"/>
    </row>
    <row r="21" spans="1:23" x14ac:dyDescent="0.2">
      <c r="A21" s="27"/>
      <c r="B21" s="25"/>
      <c r="D21" s="11"/>
      <c r="E21" s="10"/>
      <c r="O21" s="10"/>
      <c r="V21" s="10"/>
      <c r="W21" s="6"/>
    </row>
    <row r="22" spans="1:23" x14ac:dyDescent="0.2">
      <c r="A22" s="27"/>
      <c r="B22" s="1"/>
      <c r="D22" s="11"/>
      <c r="E22" s="10"/>
      <c r="O22" s="10"/>
      <c r="V22" s="10"/>
      <c r="W22" s="6"/>
    </row>
    <row r="23" spans="1:23" x14ac:dyDescent="0.2">
      <c r="A23" s="27"/>
      <c r="B23" s="25"/>
      <c r="D23" s="11"/>
      <c r="E23" s="10"/>
      <c r="O23" s="10"/>
      <c r="V23" s="10"/>
      <c r="W23" s="6"/>
    </row>
    <row r="24" spans="1:23" x14ac:dyDescent="0.2">
      <c r="A24" s="27"/>
      <c r="B24" s="25"/>
      <c r="D24" s="11"/>
      <c r="E24" s="10"/>
      <c r="O24" s="10"/>
      <c r="V24" s="10"/>
      <c r="W24" s="6"/>
    </row>
    <row r="25" spans="1:23" x14ac:dyDescent="0.2">
      <c r="A25" s="27"/>
      <c r="B25" s="25"/>
      <c r="D25" s="11"/>
      <c r="E25" s="10"/>
      <c r="O25" s="10"/>
      <c r="V25" s="10"/>
      <c r="W25" s="6"/>
    </row>
    <row r="26" spans="1:23" x14ac:dyDescent="0.2">
      <c r="A26" s="27"/>
      <c r="B26" s="25"/>
      <c r="D26" s="11"/>
      <c r="E26" s="10"/>
      <c r="O26" s="10"/>
      <c r="V26" s="10"/>
      <c r="W26" s="6"/>
    </row>
    <row r="27" spans="1:23" x14ac:dyDescent="0.2">
      <c r="A27" s="27"/>
      <c r="B27" s="1"/>
      <c r="D27" s="11"/>
      <c r="E27" s="10"/>
      <c r="O27" s="10"/>
      <c r="V27" s="10"/>
      <c r="W27" s="6"/>
    </row>
    <row r="28" spans="1:23" x14ac:dyDescent="0.2">
      <c r="A28" s="27"/>
      <c r="B28" s="1"/>
      <c r="D28" s="11"/>
      <c r="E28" s="10"/>
      <c r="O28" s="10"/>
      <c r="V28" s="10"/>
      <c r="W28" s="6"/>
    </row>
    <row r="29" spans="1:23" x14ac:dyDescent="0.2">
      <c r="A29" s="27"/>
      <c r="B29" s="25"/>
      <c r="D29" s="11"/>
      <c r="E29" s="10"/>
      <c r="O29" s="10"/>
      <c r="V29" s="10"/>
      <c r="W29" s="6"/>
    </row>
    <row r="30" spans="1:23" x14ac:dyDescent="0.2">
      <c r="A30" s="27"/>
      <c r="B30" s="25"/>
      <c r="D30" s="11"/>
      <c r="E30" s="10"/>
      <c r="O30" s="10"/>
      <c r="V30" s="10"/>
      <c r="W30" s="6"/>
    </row>
    <row r="31" spans="1:23" x14ac:dyDescent="0.2">
      <c r="A31" s="27"/>
      <c r="B31" s="25"/>
      <c r="D31" s="11"/>
      <c r="E31" s="10"/>
      <c r="O31" s="10"/>
      <c r="V31" s="10"/>
      <c r="W31" s="6"/>
    </row>
    <row r="32" spans="1:23" x14ac:dyDescent="0.2">
      <c r="A32" s="27"/>
      <c r="B32" s="25"/>
      <c r="D32" s="11"/>
      <c r="E32" s="10"/>
      <c r="O32" s="10"/>
      <c r="V32" s="10"/>
      <c r="W32" s="6"/>
    </row>
    <row r="33" spans="1:23" x14ac:dyDescent="0.2">
      <c r="A33" s="27"/>
      <c r="B33" s="1"/>
      <c r="D33" s="11"/>
      <c r="E33" s="10"/>
      <c r="O33" s="10"/>
      <c r="V33" s="10"/>
      <c r="W33" s="6"/>
    </row>
    <row r="34" spans="1:23" x14ac:dyDescent="0.2">
      <c r="A34" s="27"/>
      <c r="B34" s="25"/>
      <c r="D34" s="11"/>
      <c r="E34" s="10"/>
      <c r="O34" s="10"/>
      <c r="V34" s="10"/>
      <c r="W34" s="6"/>
    </row>
    <row r="35" spans="1:23" x14ac:dyDescent="0.2">
      <c r="A35" s="27"/>
      <c r="B35" s="25"/>
      <c r="D35" s="11"/>
      <c r="E35" s="10"/>
      <c r="O35" s="10"/>
      <c r="V35" s="10"/>
      <c r="W35" s="6"/>
    </row>
    <row r="36" spans="1:23" x14ac:dyDescent="0.2">
      <c r="A36" s="27"/>
      <c r="B36" s="25"/>
      <c r="D36" s="11"/>
      <c r="E36" s="10"/>
      <c r="O36" s="10"/>
      <c r="V36" s="10"/>
      <c r="W36" s="6"/>
    </row>
    <row r="37" spans="1:23" x14ac:dyDescent="0.2">
      <c r="A37" s="27"/>
      <c r="B37" s="25"/>
      <c r="D37" s="11"/>
      <c r="E37" s="10"/>
      <c r="O37" s="10"/>
      <c r="V37" s="10"/>
      <c r="W37" s="6"/>
    </row>
    <row r="38" spans="1:23" x14ac:dyDescent="0.2">
      <c r="A38" s="27"/>
      <c r="B38" s="25"/>
      <c r="D38" s="11"/>
      <c r="E38" s="10"/>
      <c r="O38" s="10"/>
      <c r="V38" s="10"/>
      <c r="W38" s="6"/>
    </row>
    <row r="39" spans="1:23" x14ac:dyDescent="0.2">
      <c r="A39" s="27"/>
      <c r="B39" s="1"/>
      <c r="D39" s="11"/>
      <c r="E39" s="10"/>
      <c r="O39" s="10"/>
      <c r="V39" s="10"/>
      <c r="W39" s="6"/>
    </row>
    <row r="40" spans="1:23" x14ac:dyDescent="0.2">
      <c r="A40" s="27"/>
      <c r="B40" s="25"/>
      <c r="D40" s="11"/>
      <c r="E40" s="10"/>
      <c r="O40" s="10"/>
      <c r="V40" s="10"/>
    </row>
    <row r="41" spans="1:23" x14ac:dyDescent="0.2">
      <c r="A41" s="27"/>
      <c r="B41" s="25"/>
      <c r="D41" s="11"/>
      <c r="E41" s="10"/>
      <c r="O41" s="10"/>
      <c r="V41" s="10"/>
      <c r="W41" s="6"/>
    </row>
    <row r="42" spans="1:23" x14ac:dyDescent="0.2">
      <c r="A42" s="27"/>
      <c r="B42" s="25"/>
      <c r="D42" s="11"/>
      <c r="E42" s="10"/>
      <c r="O42" s="10"/>
      <c r="V42" s="10"/>
      <c r="W42" s="6"/>
    </row>
    <row r="43" spans="1:23" x14ac:dyDescent="0.2">
      <c r="A43" s="27"/>
      <c r="B43" s="25"/>
      <c r="D43" s="11"/>
      <c r="E43" s="10"/>
      <c r="O43" s="10"/>
      <c r="V43" s="10"/>
      <c r="W43" s="6"/>
    </row>
    <row r="44" spans="1:23" x14ac:dyDescent="0.2">
      <c r="A44" s="27"/>
      <c r="B44" s="25"/>
      <c r="D44" s="11"/>
      <c r="E44" s="10"/>
      <c r="O44" s="10"/>
      <c r="V44" s="10"/>
      <c r="W44" s="6"/>
    </row>
    <row r="45" spans="1:23" x14ac:dyDescent="0.2">
      <c r="A45" s="27"/>
      <c r="B45" s="25"/>
      <c r="D45" s="11"/>
      <c r="E45" s="10"/>
      <c r="O45" s="10"/>
      <c r="V45" s="10"/>
      <c r="W45" s="6"/>
    </row>
    <row r="46" spans="1:23" x14ac:dyDescent="0.2">
      <c r="A46" s="27"/>
      <c r="B46" s="25"/>
      <c r="D46" s="11"/>
      <c r="E46" s="10"/>
      <c r="O46" s="10"/>
      <c r="V46" s="10"/>
      <c r="W46" s="6"/>
    </row>
    <row r="47" spans="1:23" x14ac:dyDescent="0.2">
      <c r="A47" s="27"/>
      <c r="B47" s="25"/>
      <c r="D47" s="11"/>
      <c r="E47" s="10"/>
      <c r="O47" s="10"/>
      <c r="V47" s="10"/>
      <c r="W47" s="6"/>
    </row>
    <row r="48" spans="1:23" x14ac:dyDescent="0.2">
      <c r="A48" s="27"/>
      <c r="B48" s="25"/>
      <c r="D48" s="11"/>
      <c r="E48" s="10"/>
      <c r="O48" s="10"/>
      <c r="V48" s="10"/>
      <c r="W48" s="6"/>
    </row>
    <row r="49" spans="1:23" x14ac:dyDescent="0.2">
      <c r="A49" s="27"/>
      <c r="B49" s="1"/>
      <c r="D49" s="11"/>
      <c r="E49" s="10"/>
      <c r="O49" s="10"/>
      <c r="V49" s="10"/>
      <c r="W49" s="6"/>
    </row>
    <row r="50" spans="1:23" x14ac:dyDescent="0.2">
      <c r="A50" s="27"/>
      <c r="B50" s="1"/>
      <c r="D50" s="11"/>
      <c r="E50" s="10"/>
      <c r="O50" s="10"/>
      <c r="V50" s="10"/>
    </row>
    <row r="51" spans="1:23" x14ac:dyDescent="0.2">
      <c r="A51" s="27"/>
      <c r="B51" s="25"/>
      <c r="D51" s="11"/>
      <c r="E51" s="10"/>
      <c r="O51" s="10"/>
      <c r="V51" s="10"/>
      <c r="W51" s="6"/>
    </row>
    <row r="52" spans="1:23" x14ac:dyDescent="0.2">
      <c r="A52" s="27"/>
      <c r="B52" s="25"/>
      <c r="D52" s="11"/>
      <c r="E52" s="10"/>
      <c r="O52" s="10"/>
      <c r="V52" s="10"/>
      <c r="W52" s="6"/>
    </row>
    <row r="53" spans="1:23" x14ac:dyDescent="0.2">
      <c r="A53" s="27"/>
      <c r="B53" s="25"/>
      <c r="D53" s="11"/>
      <c r="E53" s="10"/>
      <c r="O53" s="10"/>
      <c r="V53" s="10"/>
      <c r="W53" s="6"/>
    </row>
    <row r="54" spans="1:23" x14ac:dyDescent="0.2">
      <c r="A54" s="27"/>
      <c r="B54" s="25"/>
      <c r="D54" s="11"/>
      <c r="E54" s="10"/>
      <c r="O54" s="10"/>
      <c r="V54" s="10"/>
      <c r="W54" s="6"/>
    </row>
    <row r="55" spans="1:23" x14ac:dyDescent="0.2">
      <c r="A55" s="27"/>
      <c r="B55" s="25"/>
      <c r="D55" s="11"/>
      <c r="E55" s="10"/>
      <c r="O55" s="10"/>
      <c r="V55" s="10"/>
      <c r="W55" s="6"/>
    </row>
    <row r="56" spans="1:23" x14ac:dyDescent="0.2">
      <c r="A56" s="27"/>
      <c r="B56" s="25"/>
      <c r="D56" s="11"/>
      <c r="E56" s="10"/>
      <c r="O56" s="10"/>
      <c r="V56" s="10"/>
      <c r="W56" s="6"/>
    </row>
    <row r="57" spans="1:23" x14ac:dyDescent="0.2">
      <c r="A57" s="27"/>
      <c r="B57" s="25"/>
      <c r="D57" s="11"/>
      <c r="E57" s="10"/>
      <c r="O57" s="10"/>
      <c r="V57" s="10"/>
      <c r="W57" s="6"/>
    </row>
    <row r="58" spans="1:23" x14ac:dyDescent="0.2">
      <c r="A58" s="27"/>
      <c r="B58" s="25"/>
      <c r="D58" s="11"/>
      <c r="E58" s="10"/>
      <c r="O58" s="10"/>
      <c r="V58" s="10"/>
      <c r="W58" s="6"/>
    </row>
    <row r="59" spans="1:23" x14ac:dyDescent="0.2">
      <c r="A59" s="27"/>
      <c r="B59" s="1"/>
      <c r="D59" s="11"/>
      <c r="E59" s="10"/>
      <c r="O59" s="10"/>
      <c r="V59" s="10"/>
      <c r="W59" s="6"/>
    </row>
    <row r="60" spans="1:23" x14ac:dyDescent="0.2">
      <c r="A60" s="27"/>
      <c r="B60" s="1"/>
      <c r="D60" s="11"/>
      <c r="E60" s="10"/>
      <c r="O60" s="10"/>
      <c r="V60" s="10"/>
      <c r="W60" s="6"/>
    </row>
    <row r="61" spans="1:23" x14ac:dyDescent="0.2">
      <c r="A61" s="27"/>
      <c r="B61" s="25"/>
      <c r="D61" s="11"/>
      <c r="E61" s="10"/>
      <c r="O61" s="10"/>
      <c r="V61" s="10"/>
      <c r="W61" s="6"/>
    </row>
    <row r="62" spans="1:23" x14ac:dyDescent="0.2">
      <c r="A62" s="27"/>
      <c r="B62" s="25"/>
      <c r="D62" s="11"/>
      <c r="E62" s="10"/>
      <c r="O62" s="10"/>
      <c r="V62" s="10"/>
      <c r="W62" s="6"/>
    </row>
    <row r="63" spans="1:23" x14ac:dyDescent="0.2">
      <c r="A63" s="27"/>
      <c r="B63" s="25"/>
      <c r="D63" s="11"/>
      <c r="E63" s="10"/>
      <c r="O63" s="10"/>
      <c r="V63" s="10"/>
      <c r="W63" s="6"/>
    </row>
    <row r="64" spans="1:23" x14ac:dyDescent="0.2">
      <c r="A64" s="27"/>
      <c r="B64" s="25"/>
      <c r="D64" s="11"/>
      <c r="E64" s="10"/>
      <c r="O64" s="10"/>
      <c r="V64" s="10"/>
      <c r="W64" s="6"/>
    </row>
    <row r="65" spans="1:23" x14ac:dyDescent="0.2">
      <c r="A65" s="27"/>
      <c r="B65" s="25"/>
      <c r="D65" s="11"/>
      <c r="E65" s="10"/>
      <c r="O65" s="10"/>
      <c r="V65" s="10"/>
      <c r="W65" s="6"/>
    </row>
    <row r="66" spans="1:23" x14ac:dyDescent="0.2">
      <c r="A66" s="27"/>
      <c r="B66" s="25"/>
      <c r="D66" s="11"/>
      <c r="E66" s="10"/>
      <c r="O66" s="10"/>
      <c r="V66" s="10"/>
      <c r="W66" s="6"/>
    </row>
    <row r="67" spans="1:23" x14ac:dyDescent="0.2">
      <c r="A67" s="27"/>
      <c r="B67" s="25"/>
      <c r="D67" s="11"/>
      <c r="E67" s="10"/>
      <c r="O67" s="10"/>
      <c r="V67" s="10"/>
      <c r="W67" s="6"/>
    </row>
    <row r="68" spans="1:23" x14ac:dyDescent="0.2">
      <c r="A68" s="27"/>
      <c r="B68" s="25"/>
      <c r="D68" s="11"/>
      <c r="E68" s="10"/>
      <c r="O68" s="10"/>
      <c r="V68" s="10"/>
      <c r="W68" s="6"/>
    </row>
    <row r="69" spans="1:23" x14ac:dyDescent="0.2">
      <c r="A69" s="27"/>
      <c r="B69" s="25"/>
      <c r="D69" s="11"/>
      <c r="E69" s="10"/>
      <c r="O69" s="10"/>
      <c r="V69" s="10"/>
      <c r="W69" s="6"/>
    </row>
    <row r="70" spans="1:23" x14ac:dyDescent="0.2">
      <c r="A70" s="27"/>
      <c r="B70" s="25"/>
      <c r="D70" s="11"/>
      <c r="E70" s="10"/>
      <c r="O70" s="10"/>
      <c r="V70" s="10"/>
      <c r="W70" s="6"/>
    </row>
    <row r="71" spans="1:23" x14ac:dyDescent="0.2">
      <c r="A71" s="27"/>
      <c r="B71" s="1"/>
      <c r="D71" s="11"/>
      <c r="E71" s="10"/>
      <c r="O71" s="10"/>
      <c r="V71" s="10"/>
      <c r="W71" s="6"/>
    </row>
    <row r="72" spans="1:23" x14ac:dyDescent="0.2">
      <c r="A72" s="27"/>
      <c r="B72" s="25"/>
      <c r="D72" s="11"/>
      <c r="E72" s="10"/>
      <c r="O72" s="10"/>
      <c r="V72" s="10"/>
      <c r="W72" s="6"/>
    </row>
    <row r="73" spans="1:23" x14ac:dyDescent="0.2">
      <c r="A73" s="27"/>
      <c r="B73" s="25"/>
      <c r="D73" s="11"/>
      <c r="E73" s="10"/>
      <c r="O73" s="10"/>
      <c r="V73" s="10"/>
      <c r="W73" s="6"/>
    </row>
    <row r="74" spans="1:23" x14ac:dyDescent="0.2">
      <c r="A74" s="27"/>
      <c r="B74" s="25"/>
      <c r="D74" s="11"/>
      <c r="E74" s="10"/>
      <c r="O74" s="10"/>
      <c r="V74" s="10"/>
      <c r="W74" s="6"/>
    </row>
    <row r="75" spans="1:23" x14ac:dyDescent="0.2">
      <c r="A75" s="27"/>
      <c r="B75" s="25"/>
      <c r="D75" s="11"/>
      <c r="E75" s="10"/>
      <c r="O75" s="10"/>
      <c r="V75" s="10"/>
      <c r="W75" s="6"/>
    </row>
    <row r="76" spans="1:23" x14ac:dyDescent="0.2">
      <c r="A76" s="27"/>
      <c r="B76" s="25"/>
      <c r="D76" s="11"/>
      <c r="E76" s="10"/>
      <c r="O76" s="10"/>
      <c r="V76" s="10"/>
      <c r="W76" s="6"/>
    </row>
    <row r="77" spans="1:23" x14ac:dyDescent="0.2">
      <c r="A77" s="27"/>
      <c r="B77" s="25"/>
      <c r="D77" s="11"/>
      <c r="E77" s="10"/>
      <c r="O77" s="10"/>
      <c r="V77" s="10"/>
      <c r="W77" s="6"/>
    </row>
    <row r="78" spans="1:23" x14ac:dyDescent="0.2">
      <c r="A78" s="27"/>
      <c r="B78" s="25"/>
      <c r="D78" s="11"/>
      <c r="E78" s="10"/>
      <c r="O78" s="10"/>
      <c r="V78" s="10"/>
      <c r="W78" s="6"/>
    </row>
    <row r="79" spans="1:23" x14ac:dyDescent="0.2">
      <c r="A79" s="27"/>
      <c r="B79" s="1"/>
      <c r="D79" s="11"/>
      <c r="E79" s="10"/>
      <c r="O79" s="10"/>
      <c r="V79" s="10"/>
      <c r="W79" s="6"/>
    </row>
    <row r="80" spans="1:23" x14ac:dyDescent="0.2">
      <c r="A80" s="27"/>
      <c r="B80" s="25"/>
      <c r="D80" s="11"/>
      <c r="E80" s="10"/>
      <c r="O80" s="10"/>
      <c r="V80" s="10"/>
      <c r="W80" s="6"/>
    </row>
    <row r="81" spans="1:23" x14ac:dyDescent="0.2">
      <c r="A81" s="27"/>
      <c r="B81" s="25"/>
      <c r="D81" s="11"/>
      <c r="E81" s="10"/>
      <c r="O81" s="10"/>
      <c r="V81" s="10"/>
      <c r="W81" s="6"/>
    </row>
    <row r="82" spans="1:23" x14ac:dyDescent="0.2">
      <c r="A82" s="27"/>
      <c r="B82" s="25"/>
      <c r="D82" s="11"/>
      <c r="E82" s="10"/>
      <c r="O82" s="10"/>
      <c r="V82" s="10"/>
      <c r="W82" s="6"/>
    </row>
    <row r="83" spans="1:23" x14ac:dyDescent="0.2">
      <c r="A83" s="27"/>
      <c r="B83" s="25"/>
      <c r="D83" s="11"/>
      <c r="E83" s="10"/>
      <c r="O83" s="10"/>
      <c r="V83" s="10"/>
      <c r="W83" s="6"/>
    </row>
    <row r="84" spans="1:23" x14ac:dyDescent="0.2">
      <c r="A84" s="27"/>
      <c r="B84" s="25"/>
      <c r="D84" s="11"/>
      <c r="E84" s="10"/>
      <c r="O84" s="10"/>
      <c r="V84" s="10"/>
      <c r="W84" s="6"/>
    </row>
    <row r="85" spans="1:23" x14ac:dyDescent="0.2">
      <c r="A85" s="27"/>
      <c r="B85" s="25"/>
      <c r="D85" s="11"/>
      <c r="E85" s="10"/>
      <c r="O85" s="10"/>
      <c r="V85" s="10"/>
      <c r="W85" s="6"/>
    </row>
    <row r="86" spans="1:23" x14ac:dyDescent="0.2">
      <c r="A86" s="27"/>
      <c r="B86" s="25"/>
      <c r="D86" s="11"/>
      <c r="E86" s="10"/>
      <c r="O86" s="10"/>
      <c r="V86" s="10"/>
      <c r="W86" s="6"/>
    </row>
    <row r="87" spans="1:23" x14ac:dyDescent="0.2">
      <c r="A87" s="27"/>
      <c r="B87" s="25"/>
      <c r="D87" s="11"/>
      <c r="E87" s="10"/>
      <c r="O87" s="10"/>
      <c r="V87" s="10"/>
      <c r="W87" s="6"/>
    </row>
    <row r="88" spans="1:23" x14ac:dyDescent="0.2">
      <c r="A88" s="27"/>
      <c r="B88" s="25"/>
      <c r="D88" s="11"/>
      <c r="E88" s="10"/>
      <c r="O88" s="10"/>
      <c r="V88" s="10"/>
      <c r="W88" s="6"/>
    </row>
    <row r="89" spans="1:23" x14ac:dyDescent="0.2">
      <c r="A89" s="27"/>
      <c r="B89" s="25"/>
      <c r="D89" s="11"/>
      <c r="E89" s="10"/>
      <c r="O89" s="10"/>
      <c r="V89" s="10"/>
      <c r="W89" s="6"/>
    </row>
    <row r="90" spans="1:23" x14ac:dyDescent="0.2">
      <c r="A90" s="27"/>
      <c r="B90" s="25"/>
      <c r="D90" s="11"/>
      <c r="E90" s="10"/>
      <c r="O90" s="10"/>
      <c r="V90" s="10"/>
      <c r="W90" s="6"/>
    </row>
    <row r="91" spans="1:23" x14ac:dyDescent="0.2">
      <c r="A91" s="27"/>
      <c r="B91" s="25"/>
      <c r="D91" s="11"/>
      <c r="E91" s="10"/>
      <c r="O91" s="10"/>
      <c r="V91" s="10"/>
      <c r="W91" s="6"/>
    </row>
    <row r="92" spans="1:23" x14ac:dyDescent="0.2">
      <c r="A92" s="27"/>
      <c r="B92" s="25"/>
      <c r="D92" s="11"/>
      <c r="E92" s="10"/>
      <c r="O92" s="10"/>
      <c r="V92" s="10"/>
      <c r="W92" s="6"/>
    </row>
    <row r="93" spans="1:23" x14ac:dyDescent="0.2">
      <c r="A93" s="27"/>
      <c r="B93" s="25"/>
      <c r="D93" s="11"/>
      <c r="E93" s="10"/>
      <c r="O93" s="10"/>
      <c r="V93" s="10"/>
      <c r="W93" s="6"/>
    </row>
    <row r="94" spans="1:23" x14ac:dyDescent="0.2">
      <c r="A94" s="27"/>
      <c r="B94" s="25"/>
      <c r="D94" s="11"/>
      <c r="E94" s="10"/>
      <c r="O94" s="10"/>
      <c r="V94" s="10"/>
      <c r="W94" s="6"/>
    </row>
    <row r="95" spans="1:23" x14ac:dyDescent="0.2">
      <c r="A95" s="27"/>
      <c r="B95" s="25"/>
      <c r="D95" s="11"/>
      <c r="E95" s="10"/>
      <c r="O95" s="10"/>
      <c r="V95" s="10"/>
      <c r="W95" s="6"/>
    </row>
    <row r="96" spans="1:23" x14ac:dyDescent="0.2">
      <c r="A96" s="27"/>
      <c r="B96" s="1"/>
      <c r="D96" s="11"/>
      <c r="E96" s="10"/>
      <c r="O96" s="10"/>
      <c r="V96" s="10"/>
      <c r="W96" s="6"/>
    </row>
    <row r="97" spans="1:23" x14ac:dyDescent="0.2">
      <c r="A97" s="27"/>
      <c r="B97" s="25"/>
      <c r="D97" s="11"/>
      <c r="E97" s="10"/>
      <c r="O97" s="10"/>
      <c r="V97" s="10"/>
      <c r="W97" s="6"/>
    </row>
    <row r="98" spans="1:23" x14ac:dyDescent="0.2">
      <c r="A98" s="27"/>
      <c r="B98" s="1"/>
      <c r="D98" s="11"/>
      <c r="E98" s="10"/>
      <c r="O98" s="10"/>
      <c r="V98" s="10"/>
      <c r="W98" s="6"/>
    </row>
    <row r="99" spans="1:23" x14ac:dyDescent="0.2">
      <c r="A99" s="27"/>
      <c r="B99" s="25"/>
      <c r="D99" s="11"/>
      <c r="E99" s="10"/>
      <c r="O99" s="10"/>
      <c r="V99" s="10"/>
      <c r="W99" s="6"/>
    </row>
    <row r="100" spans="1:23" x14ac:dyDescent="0.2">
      <c r="A100" s="27"/>
      <c r="B100" s="25"/>
      <c r="D100" s="11"/>
      <c r="E100" s="10"/>
      <c r="O100" s="10"/>
      <c r="V100" s="10"/>
      <c r="W100" s="6"/>
    </row>
    <row r="101" spans="1:23" x14ac:dyDescent="0.2">
      <c r="A101" s="27"/>
      <c r="B101" s="25"/>
      <c r="D101" s="11"/>
      <c r="E101" s="10"/>
      <c r="O101" s="10"/>
      <c r="V101" s="10"/>
      <c r="W101" s="6"/>
    </row>
    <row r="102" spans="1:23" x14ac:dyDescent="0.2">
      <c r="A102" s="27"/>
      <c r="B102" s="25"/>
      <c r="D102" s="11"/>
      <c r="E102" s="10"/>
      <c r="O102" s="10"/>
      <c r="V102" s="10"/>
      <c r="W102" s="6"/>
    </row>
    <row r="103" spans="1:23" x14ac:dyDescent="0.2">
      <c r="A103" s="27"/>
      <c r="B103" s="25"/>
      <c r="D103" s="11"/>
      <c r="E103" s="10"/>
      <c r="O103" s="10"/>
      <c r="V103" s="10"/>
      <c r="W103" s="6"/>
    </row>
    <row r="104" spans="1:23" x14ac:dyDescent="0.2">
      <c r="A104" s="27"/>
      <c r="B104" s="25"/>
      <c r="D104" s="11"/>
      <c r="E104" s="10"/>
      <c r="O104" s="10"/>
      <c r="V104" s="10"/>
      <c r="W104" s="6"/>
    </row>
    <row r="105" spans="1:23" x14ac:dyDescent="0.2">
      <c r="A105" s="27"/>
      <c r="B105" s="25"/>
      <c r="D105" s="11"/>
      <c r="E105" s="10"/>
      <c r="O105" s="10"/>
      <c r="V105" s="10"/>
      <c r="W105" s="6"/>
    </row>
    <row r="106" spans="1:23" x14ac:dyDescent="0.2">
      <c r="A106" s="27"/>
      <c r="B106" s="25"/>
      <c r="D106" s="11"/>
      <c r="E106" s="10"/>
      <c r="O106" s="10"/>
      <c r="V106" s="10"/>
      <c r="W106" s="6"/>
    </row>
    <row r="107" spans="1:23" x14ac:dyDescent="0.2">
      <c r="A107" s="27"/>
      <c r="B107" s="25"/>
      <c r="D107" s="11"/>
      <c r="E107" s="10"/>
      <c r="O107" s="10"/>
      <c r="V107" s="10"/>
      <c r="W107" s="6"/>
    </row>
    <row r="108" spans="1:23" x14ac:dyDescent="0.2">
      <c r="A108" s="27"/>
      <c r="B108" s="25"/>
      <c r="D108" s="11"/>
      <c r="E108" s="10"/>
      <c r="O108" s="10"/>
      <c r="V108" s="10"/>
      <c r="W108" s="6"/>
    </row>
    <row r="109" spans="1:23" x14ac:dyDescent="0.2">
      <c r="A109" s="27"/>
      <c r="B109" s="1"/>
      <c r="D109" s="11"/>
      <c r="E109" s="10"/>
      <c r="O109" s="10"/>
      <c r="V109" s="10"/>
      <c r="W109" s="6"/>
    </row>
    <row r="110" spans="1:23" x14ac:dyDescent="0.2">
      <c r="A110" s="27"/>
      <c r="B110" s="25"/>
      <c r="D110" s="11"/>
      <c r="E110" s="10"/>
      <c r="O110" s="10"/>
      <c r="V110" s="10"/>
      <c r="W110" s="6"/>
    </row>
    <row r="111" spans="1:23" x14ac:dyDescent="0.2">
      <c r="A111" s="27"/>
      <c r="B111" s="25"/>
      <c r="D111" s="11"/>
      <c r="E111" s="10"/>
      <c r="O111" s="10"/>
      <c r="V111" s="10"/>
      <c r="W111" s="6"/>
    </row>
    <row r="112" spans="1:23" x14ac:dyDescent="0.2">
      <c r="A112" s="27"/>
      <c r="B112" s="25"/>
      <c r="D112" s="11"/>
      <c r="E112" s="10"/>
      <c r="O112" s="10"/>
      <c r="V112" s="10"/>
      <c r="W112" s="6"/>
    </row>
    <row r="113" spans="1:23" x14ac:dyDescent="0.2">
      <c r="A113" s="27"/>
      <c r="B113" s="25"/>
      <c r="D113" s="11"/>
      <c r="E113" s="10"/>
      <c r="O113" s="10"/>
      <c r="V113" s="10"/>
      <c r="W113" s="6"/>
    </row>
    <row r="114" spans="1:23" x14ac:dyDescent="0.2">
      <c r="A114" s="27"/>
      <c r="B114" s="25"/>
      <c r="D114" s="11"/>
      <c r="E114" s="10"/>
      <c r="O114" s="10"/>
      <c r="V114" s="10"/>
      <c r="W114" s="6"/>
    </row>
    <row r="115" spans="1:23" x14ac:dyDescent="0.2">
      <c r="A115" s="27"/>
      <c r="B115" s="25"/>
      <c r="D115" s="11"/>
      <c r="E115" s="10"/>
      <c r="O115" s="10"/>
      <c r="V115" s="10"/>
      <c r="W115" s="6"/>
    </row>
    <row r="116" spans="1:23" x14ac:dyDescent="0.2">
      <c r="A116" s="27"/>
      <c r="B116" s="25"/>
      <c r="D116" s="11"/>
      <c r="E116" s="10"/>
      <c r="O116" s="10"/>
      <c r="V116" s="10"/>
      <c r="W116" s="6"/>
    </row>
    <row r="117" spans="1:23" x14ac:dyDescent="0.2">
      <c r="A117" s="27"/>
      <c r="B117" s="1"/>
      <c r="D117" s="11"/>
      <c r="E117" s="10"/>
      <c r="O117" s="10"/>
      <c r="V117" s="10"/>
      <c r="W117" s="6"/>
    </row>
    <row r="118" spans="1:23" x14ac:dyDescent="0.2">
      <c r="A118" s="27"/>
      <c r="B118" s="25"/>
      <c r="D118" s="11"/>
      <c r="E118" s="10"/>
      <c r="O118" s="10"/>
      <c r="V118" s="10"/>
      <c r="W118" s="6"/>
    </row>
    <row r="119" spans="1:23" x14ac:dyDescent="0.2">
      <c r="A119" s="27"/>
      <c r="B119" s="1"/>
      <c r="D119" s="11"/>
      <c r="E119" s="10"/>
      <c r="O119" s="10"/>
      <c r="V119" s="10"/>
      <c r="W119" s="6"/>
    </row>
    <row r="120" spans="1:23" x14ac:dyDescent="0.2">
      <c r="A120" s="27"/>
      <c r="B120" s="25"/>
      <c r="D120" s="11"/>
      <c r="E120" s="10"/>
      <c r="O120" s="10"/>
      <c r="V120" s="10"/>
      <c r="W120" s="6"/>
    </row>
    <row r="121" spans="1:23" x14ac:dyDescent="0.2">
      <c r="A121" s="27"/>
      <c r="B121" s="25"/>
      <c r="D121" s="11"/>
      <c r="E121" s="10"/>
      <c r="O121" s="10"/>
      <c r="V121" s="10"/>
      <c r="W121" s="6"/>
    </row>
    <row r="122" spans="1:23" x14ac:dyDescent="0.2">
      <c r="A122" s="27"/>
      <c r="B122" s="25"/>
      <c r="D122" s="11"/>
      <c r="E122" s="10"/>
      <c r="O122" s="10"/>
      <c r="V122" s="10"/>
      <c r="W122" s="6"/>
    </row>
    <row r="123" spans="1:23" x14ac:dyDescent="0.2">
      <c r="A123" s="27"/>
      <c r="B123" s="1"/>
      <c r="D123" s="11"/>
      <c r="E123" s="10"/>
      <c r="O123" s="10"/>
      <c r="V123" s="10"/>
      <c r="W123" s="6"/>
    </row>
    <row r="124" spans="1:23" x14ac:dyDescent="0.2">
      <c r="A124" s="27"/>
      <c r="B124" s="25"/>
      <c r="D124" s="11"/>
      <c r="E124" s="10"/>
      <c r="O124" s="10"/>
      <c r="V124" s="10"/>
      <c r="W124" s="6"/>
    </row>
    <row r="125" spans="1:23" x14ac:dyDescent="0.2">
      <c r="A125" s="27"/>
      <c r="B125" s="25"/>
      <c r="D125" s="11"/>
      <c r="E125" s="10"/>
      <c r="O125" s="10"/>
      <c r="V125" s="10"/>
      <c r="W125" s="6"/>
    </row>
    <row r="126" spans="1:23" x14ac:dyDescent="0.2">
      <c r="A126" s="27"/>
      <c r="B126" s="25"/>
      <c r="D126" s="11"/>
      <c r="E126" s="10"/>
      <c r="O126" s="10"/>
      <c r="V126" s="10"/>
      <c r="W126" s="6"/>
    </row>
    <row r="127" spans="1:23" x14ac:dyDescent="0.2">
      <c r="A127" s="27"/>
      <c r="B127" s="25"/>
      <c r="D127" s="11"/>
      <c r="E127" s="10"/>
      <c r="O127" s="10"/>
      <c r="V127" s="10"/>
      <c r="W127" s="6"/>
    </row>
    <row r="128" spans="1:23" x14ac:dyDescent="0.2">
      <c r="A128" s="27"/>
      <c r="B128" s="25"/>
      <c r="D128" s="11"/>
      <c r="E128" s="10"/>
      <c r="O128" s="10"/>
      <c r="V128" s="10"/>
      <c r="W128" s="6"/>
    </row>
    <row r="129" spans="1:23" x14ac:dyDescent="0.2">
      <c r="A129" s="27"/>
      <c r="B129" s="25"/>
      <c r="D129" s="11"/>
      <c r="E129" s="10"/>
      <c r="O129" s="10"/>
      <c r="V129" s="10"/>
      <c r="W129" s="6"/>
    </row>
    <row r="130" spans="1:23" x14ac:dyDescent="0.2">
      <c r="A130" s="27"/>
      <c r="B130" s="25"/>
      <c r="D130" s="11"/>
      <c r="E130" s="10"/>
      <c r="O130" s="10"/>
      <c r="V130" s="10"/>
      <c r="W130" s="6"/>
    </row>
    <row r="131" spans="1:23" x14ac:dyDescent="0.2">
      <c r="A131" s="27"/>
      <c r="B131" s="25"/>
      <c r="D131" s="11"/>
      <c r="E131" s="10"/>
      <c r="O131" s="10"/>
      <c r="V131" s="10"/>
      <c r="W131" s="6"/>
    </row>
    <row r="132" spans="1:23" x14ac:dyDescent="0.2">
      <c r="A132" s="27"/>
      <c r="B132" s="25"/>
      <c r="D132" s="11"/>
      <c r="E132" s="10"/>
      <c r="O132" s="10"/>
      <c r="V132" s="10"/>
      <c r="W132" s="6"/>
    </row>
    <row r="133" spans="1:23" x14ac:dyDescent="0.2">
      <c r="A133" s="27"/>
      <c r="B133" s="25"/>
      <c r="D133" s="11"/>
      <c r="E133" s="10"/>
      <c r="O133" s="10"/>
      <c r="V133" s="10"/>
      <c r="W133" s="6"/>
    </row>
    <row r="134" spans="1:23" x14ac:dyDescent="0.2">
      <c r="A134" s="27"/>
      <c r="B134" s="25"/>
      <c r="D134" s="11"/>
      <c r="E134" s="10"/>
      <c r="O134" s="10"/>
      <c r="V134" s="10"/>
      <c r="W134" s="6"/>
    </row>
    <row r="135" spans="1:23" x14ac:dyDescent="0.2">
      <c r="A135" s="27"/>
      <c r="B135" s="25"/>
      <c r="D135" s="11"/>
      <c r="E135" s="10"/>
      <c r="O135" s="10"/>
      <c r="V135" s="10"/>
      <c r="W135" s="6"/>
    </row>
    <row r="136" spans="1:23" x14ac:dyDescent="0.2">
      <c r="A136" s="27"/>
      <c r="B136" s="1"/>
      <c r="D136" s="11"/>
      <c r="E136" s="10"/>
      <c r="O136" s="10"/>
      <c r="V136" s="10"/>
      <c r="W136" s="6"/>
    </row>
    <row r="137" spans="1:23" x14ac:dyDescent="0.2">
      <c r="A137" s="27"/>
      <c r="B137" s="25"/>
      <c r="D137" s="11"/>
      <c r="E137" s="10"/>
      <c r="O137" s="10"/>
      <c r="V137" s="10"/>
      <c r="W137" s="6"/>
    </row>
    <row r="138" spans="1:23" x14ac:dyDescent="0.2">
      <c r="A138" s="27"/>
      <c r="B138" s="1"/>
      <c r="D138" s="11"/>
      <c r="E138" s="10"/>
      <c r="O138" s="10"/>
      <c r="V138" s="10"/>
      <c r="W138" s="6"/>
    </row>
    <row r="139" spans="1:23" x14ac:dyDescent="0.2">
      <c r="A139" s="27"/>
      <c r="B139" s="25"/>
      <c r="D139" s="11"/>
      <c r="E139" s="10"/>
      <c r="O139" s="10"/>
      <c r="V139" s="10"/>
      <c r="W139" s="6"/>
    </row>
    <row r="140" spans="1:23" x14ac:dyDescent="0.2">
      <c r="A140" s="27"/>
      <c r="B140" s="25"/>
      <c r="D140" s="11"/>
      <c r="E140" s="10"/>
      <c r="O140" s="10"/>
      <c r="V140" s="10"/>
      <c r="W140" s="6"/>
    </row>
    <row r="141" spans="1:23" x14ac:dyDescent="0.2">
      <c r="A141" s="27"/>
      <c r="B141" s="25"/>
      <c r="D141" s="11"/>
      <c r="E141" s="10"/>
      <c r="O141" s="10"/>
      <c r="V141" s="10"/>
      <c r="W141" s="6"/>
    </row>
    <row r="142" spans="1:23" x14ac:dyDescent="0.2">
      <c r="A142" s="27"/>
      <c r="B142" s="25"/>
      <c r="D142" s="11"/>
      <c r="E142" s="10"/>
      <c r="O142" s="10"/>
      <c r="V142" s="10"/>
      <c r="W142" s="6"/>
    </row>
    <row r="143" spans="1:23" x14ac:dyDescent="0.2">
      <c r="A143" s="27"/>
      <c r="B143" s="25"/>
      <c r="D143" s="11"/>
      <c r="E143" s="10"/>
      <c r="O143" s="10"/>
      <c r="V143" s="10"/>
      <c r="W143" s="6"/>
    </row>
    <row r="144" spans="1:23" x14ac:dyDescent="0.2">
      <c r="A144" s="27"/>
      <c r="B144" s="25"/>
      <c r="D144" s="11"/>
      <c r="E144" s="10"/>
      <c r="O144" s="10"/>
      <c r="V144" s="10"/>
      <c r="W144" s="6"/>
    </row>
    <row r="145" spans="1:23" x14ac:dyDescent="0.2">
      <c r="A145" s="27"/>
      <c r="B145" s="1"/>
      <c r="D145" s="11"/>
      <c r="E145" s="10"/>
      <c r="O145" s="10"/>
      <c r="V145" s="10"/>
      <c r="W145" s="6"/>
    </row>
    <row r="146" spans="1:23" x14ac:dyDescent="0.2">
      <c r="A146" s="27"/>
      <c r="B146" s="25"/>
      <c r="D146" s="11"/>
      <c r="E146" s="10"/>
      <c r="O146" s="10"/>
      <c r="V146" s="10"/>
      <c r="W146" s="6"/>
    </row>
    <row r="147" spans="1:23" x14ac:dyDescent="0.2">
      <c r="A147" s="27"/>
      <c r="B147" s="25"/>
      <c r="D147" s="11"/>
      <c r="E147" s="10"/>
      <c r="O147" s="10"/>
      <c r="V147" s="10"/>
      <c r="W147" s="6"/>
    </row>
    <row r="148" spans="1:23" x14ac:dyDescent="0.2">
      <c r="A148" s="27"/>
      <c r="B148" s="25"/>
      <c r="D148" s="11"/>
      <c r="E148" s="10"/>
      <c r="O148" s="10"/>
      <c r="V148" s="10"/>
      <c r="W148" s="6"/>
    </row>
    <row r="149" spans="1:23" x14ac:dyDescent="0.2">
      <c r="A149" s="27"/>
      <c r="B149" s="25"/>
      <c r="D149" s="11"/>
      <c r="E149" s="10"/>
      <c r="O149" s="10"/>
      <c r="V149" s="10"/>
      <c r="W149" s="6"/>
    </row>
    <row r="150" spans="1:23" x14ac:dyDescent="0.2">
      <c r="A150" s="27"/>
      <c r="B150" s="25"/>
      <c r="D150" s="11"/>
      <c r="E150" s="10"/>
      <c r="O150" s="10"/>
      <c r="V150" s="10"/>
      <c r="W150" s="6"/>
    </row>
    <row r="151" spans="1:23" x14ac:dyDescent="0.2">
      <c r="A151" s="27"/>
      <c r="B151" s="25"/>
      <c r="D151" s="11"/>
      <c r="E151" s="10"/>
      <c r="O151" s="10"/>
      <c r="V151" s="10"/>
      <c r="W151" s="6"/>
    </row>
    <row r="152" spans="1:23" x14ac:dyDescent="0.2">
      <c r="A152" s="27"/>
      <c r="B152" s="25"/>
      <c r="D152" s="11"/>
      <c r="E152" s="10"/>
      <c r="O152" s="10"/>
      <c r="V152" s="10"/>
      <c r="W152" s="6"/>
    </row>
    <row r="153" spans="1:23" x14ac:dyDescent="0.2">
      <c r="A153" s="27"/>
      <c r="B153" s="25"/>
      <c r="D153" s="11"/>
      <c r="E153" s="10"/>
      <c r="O153" s="10"/>
      <c r="V153" s="10"/>
      <c r="W153" s="6"/>
    </row>
    <row r="154" spans="1:23" x14ac:dyDescent="0.2">
      <c r="A154" s="27"/>
      <c r="B154" s="25"/>
      <c r="D154" s="11"/>
      <c r="E154" s="10"/>
      <c r="O154" s="10"/>
      <c r="V154" s="10"/>
      <c r="W154" s="6"/>
    </row>
    <row r="155" spans="1:23" x14ac:dyDescent="0.2">
      <c r="A155" s="27"/>
      <c r="B155" s="25"/>
      <c r="D155" s="11"/>
      <c r="E155" s="10"/>
      <c r="O155" s="10"/>
      <c r="V155" s="10"/>
      <c r="W155" s="6"/>
    </row>
    <row r="156" spans="1:23" x14ac:dyDescent="0.2">
      <c r="A156" s="27"/>
      <c r="B156" s="25"/>
      <c r="D156" s="11"/>
      <c r="E156" s="10"/>
      <c r="O156" s="10"/>
      <c r="V156" s="10"/>
      <c r="W156" s="6"/>
    </row>
    <row r="157" spans="1:23" x14ac:dyDescent="0.2">
      <c r="A157" s="27"/>
      <c r="B157" s="25"/>
      <c r="D157" s="11"/>
      <c r="E157" s="10"/>
      <c r="O157" s="10"/>
      <c r="V157" s="10"/>
      <c r="W157" s="6"/>
    </row>
    <row r="158" spans="1:23" x14ac:dyDescent="0.2">
      <c r="A158" s="27"/>
      <c r="B158" s="25"/>
      <c r="D158" s="11"/>
      <c r="E158" s="10"/>
      <c r="O158" s="10"/>
      <c r="V158" s="10"/>
      <c r="W158" s="6"/>
    </row>
    <row r="159" spans="1:23" x14ac:dyDescent="0.2">
      <c r="A159" s="27"/>
      <c r="B159" s="25"/>
      <c r="D159" s="11"/>
      <c r="E159" s="10"/>
      <c r="O159" s="10"/>
      <c r="V159" s="10"/>
      <c r="W159" s="6"/>
    </row>
    <row r="160" spans="1:23" x14ac:dyDescent="0.2">
      <c r="A160" s="27"/>
      <c r="B160" s="25"/>
      <c r="D160" s="11"/>
      <c r="E160" s="10"/>
      <c r="O160" s="10"/>
      <c r="V160" s="10"/>
      <c r="W160" s="6"/>
    </row>
    <row r="161" spans="1:23" x14ac:dyDescent="0.2">
      <c r="A161" s="27"/>
      <c r="B161" s="25"/>
      <c r="D161" s="11"/>
      <c r="E161" s="10"/>
      <c r="O161" s="10"/>
      <c r="V161" s="10"/>
      <c r="W161" s="6"/>
    </row>
    <row r="162" spans="1:23" x14ac:dyDescent="0.2">
      <c r="A162" s="27"/>
      <c r="B162" s="25"/>
      <c r="D162" s="11"/>
      <c r="E162" s="10"/>
      <c r="O162" s="10"/>
      <c r="V162" s="10"/>
      <c r="W162" s="6"/>
    </row>
    <row r="163" spans="1:23" x14ac:dyDescent="0.2">
      <c r="A163" s="27"/>
      <c r="B163" s="25"/>
      <c r="D163" s="11"/>
      <c r="E163" s="10"/>
      <c r="O163" s="10"/>
      <c r="V163" s="10"/>
      <c r="W163" s="6"/>
    </row>
    <row r="164" spans="1:23" x14ac:dyDescent="0.2">
      <c r="A164" s="27"/>
      <c r="B164" s="25"/>
      <c r="D164" s="11"/>
      <c r="E164" s="10"/>
      <c r="O164" s="10"/>
      <c r="V164" s="10"/>
      <c r="W164" s="6"/>
    </row>
    <row r="165" spans="1:23" x14ac:dyDescent="0.2">
      <c r="A165" s="27"/>
      <c r="B165" s="25"/>
      <c r="D165" s="11"/>
      <c r="E165" s="10"/>
      <c r="O165" s="10"/>
      <c r="V165" s="10"/>
      <c r="W165" s="6"/>
    </row>
    <row r="166" spans="1:23" x14ac:dyDescent="0.2">
      <c r="A166" s="27"/>
      <c r="B166" s="1"/>
      <c r="D166" s="11"/>
      <c r="E166" s="10"/>
      <c r="O166" s="10"/>
      <c r="V166" s="10"/>
      <c r="W166" s="6"/>
    </row>
    <row r="167" spans="1:23" x14ac:dyDescent="0.2">
      <c r="A167" s="27"/>
      <c r="B167" s="25"/>
      <c r="D167" s="11"/>
      <c r="E167" s="10"/>
      <c r="O167" s="10"/>
      <c r="V167" s="10"/>
      <c r="W167" s="6"/>
    </row>
    <row r="168" spans="1:23" x14ac:dyDescent="0.2">
      <c r="A168" s="27"/>
      <c r="B168" s="25"/>
      <c r="D168" s="11"/>
      <c r="E168" s="10"/>
      <c r="O168" s="10"/>
      <c r="V168" s="10"/>
      <c r="W168" s="6"/>
    </row>
    <row r="169" spans="1:23" x14ac:dyDescent="0.2">
      <c r="A169" s="27"/>
      <c r="B169" s="25"/>
      <c r="D169" s="11"/>
      <c r="E169" s="10"/>
      <c r="O169" s="10"/>
      <c r="V169" s="10"/>
      <c r="W169" s="6"/>
    </row>
    <row r="170" spans="1:23" x14ac:dyDescent="0.2">
      <c r="A170" s="27"/>
      <c r="B170" s="1"/>
      <c r="D170" s="11"/>
      <c r="E170" s="10"/>
      <c r="O170" s="10"/>
      <c r="V170" s="10"/>
      <c r="W170" s="6"/>
    </row>
    <row r="171" spans="1:23" x14ac:dyDescent="0.2">
      <c r="A171" s="27"/>
      <c r="B171" s="25"/>
      <c r="D171" s="11"/>
      <c r="E171" s="10"/>
      <c r="O171" s="10"/>
      <c r="V171" s="10"/>
      <c r="W171" s="6"/>
    </row>
    <row r="172" spans="1:23" x14ac:dyDescent="0.2">
      <c r="A172" s="27"/>
      <c r="B172" s="25"/>
      <c r="D172" s="11"/>
      <c r="E172" s="10"/>
      <c r="O172" s="10"/>
      <c r="V172" s="10"/>
      <c r="W172" s="6"/>
    </row>
    <row r="173" spans="1:23" x14ac:dyDescent="0.2">
      <c r="A173" s="27"/>
      <c r="B173" s="25"/>
      <c r="D173" s="11"/>
      <c r="E173" s="10"/>
      <c r="O173" s="10"/>
      <c r="V173" s="10"/>
      <c r="W173" s="6"/>
    </row>
    <row r="174" spans="1:23" x14ac:dyDescent="0.2">
      <c r="A174" s="27"/>
      <c r="B174" s="25"/>
      <c r="D174" s="11"/>
      <c r="E174" s="10"/>
      <c r="O174" s="10"/>
      <c r="V174" s="10"/>
      <c r="W174" s="6"/>
    </row>
    <row r="175" spans="1:23" x14ac:dyDescent="0.2">
      <c r="A175" s="27"/>
      <c r="B175" s="25"/>
      <c r="D175" s="11"/>
      <c r="E175" s="10"/>
      <c r="O175" s="10"/>
      <c r="V175" s="10"/>
      <c r="W175" s="6"/>
    </row>
    <row r="176" spans="1:23" x14ac:dyDescent="0.2">
      <c r="A176" s="27"/>
      <c r="B176" s="25"/>
      <c r="D176" s="11"/>
      <c r="E176" s="10"/>
      <c r="O176" s="10"/>
      <c r="V176" s="10"/>
      <c r="W176" s="6"/>
    </row>
    <row r="177" spans="1:23" x14ac:dyDescent="0.2">
      <c r="A177" s="27"/>
      <c r="B177" s="25"/>
      <c r="D177" s="11"/>
      <c r="E177" s="10"/>
      <c r="O177" s="10"/>
      <c r="V177" s="10"/>
      <c r="W177" s="6"/>
    </row>
    <row r="178" spans="1:23" x14ac:dyDescent="0.2">
      <c r="A178" s="27"/>
      <c r="B178" s="25"/>
      <c r="D178" s="11"/>
      <c r="E178" s="10"/>
      <c r="O178" s="10"/>
      <c r="V178" s="10"/>
      <c r="W178" s="6"/>
    </row>
    <row r="179" spans="1:23" x14ac:dyDescent="0.2">
      <c r="A179" s="27"/>
      <c r="B179" s="25"/>
      <c r="D179" s="11"/>
      <c r="E179" s="10"/>
      <c r="O179" s="10"/>
      <c r="V179" s="10"/>
      <c r="W179" s="6"/>
    </row>
    <row r="180" spans="1:23" x14ac:dyDescent="0.2">
      <c r="A180" s="27"/>
      <c r="B180" s="25"/>
      <c r="D180" s="11"/>
      <c r="E180" s="10"/>
      <c r="O180" s="10"/>
      <c r="V180" s="10"/>
      <c r="W180" s="6"/>
    </row>
    <row r="181" spans="1:23" x14ac:dyDescent="0.2">
      <c r="A181" s="27"/>
      <c r="B181" s="25"/>
      <c r="D181" s="11"/>
      <c r="E181" s="10"/>
      <c r="O181" s="10"/>
      <c r="V181" s="10"/>
      <c r="W181" s="6"/>
    </row>
    <row r="182" spans="1:23" x14ac:dyDescent="0.2">
      <c r="A182" s="27"/>
      <c r="B182" s="25"/>
      <c r="D182" s="11"/>
      <c r="E182" s="10"/>
      <c r="O182" s="10"/>
      <c r="V182" s="10"/>
      <c r="W182" s="6"/>
    </row>
    <row r="183" spans="1:23" x14ac:dyDescent="0.2">
      <c r="A183" s="27"/>
      <c r="B183" s="25"/>
      <c r="D183" s="11"/>
      <c r="E183" s="10"/>
      <c r="O183" s="10"/>
      <c r="V183" s="10"/>
      <c r="W183" s="6"/>
    </row>
    <row r="184" spans="1:23" x14ac:dyDescent="0.2">
      <c r="A184" s="27"/>
      <c r="B184" s="25"/>
      <c r="D184" s="11"/>
      <c r="E184" s="10"/>
      <c r="O184" s="10"/>
      <c r="V184" s="10"/>
      <c r="W184" s="6"/>
    </row>
    <row r="185" spans="1:23" x14ac:dyDescent="0.2">
      <c r="A185" s="27"/>
      <c r="B185" s="25"/>
      <c r="D185" s="11"/>
      <c r="E185" s="10"/>
      <c r="O185" s="10"/>
      <c r="V185" s="10"/>
      <c r="W185" s="6"/>
    </row>
    <row r="186" spans="1:23" x14ac:dyDescent="0.2">
      <c r="A186" s="27"/>
      <c r="B186" s="1"/>
      <c r="D186" s="11"/>
      <c r="E186" s="10"/>
      <c r="O186" s="10"/>
      <c r="V186" s="10"/>
      <c r="W186" s="6"/>
    </row>
    <row r="187" spans="1:23" x14ac:dyDescent="0.2">
      <c r="A187" s="27"/>
      <c r="B187" s="25"/>
      <c r="D187" s="11"/>
      <c r="E187" s="10"/>
      <c r="O187" s="10"/>
      <c r="V187" s="10"/>
      <c r="W187" s="6"/>
    </row>
    <row r="188" spans="1:23" x14ac:dyDescent="0.2">
      <c r="A188" s="27"/>
      <c r="B188" s="25"/>
      <c r="D188" s="11"/>
      <c r="E188" s="10"/>
      <c r="O188" s="10"/>
      <c r="V188" s="10"/>
      <c r="W188" s="6"/>
    </row>
    <row r="189" spans="1:23" x14ac:dyDescent="0.2">
      <c r="A189" s="27"/>
      <c r="B189" s="25"/>
      <c r="D189" s="11"/>
      <c r="E189" s="10"/>
      <c r="O189" s="10"/>
      <c r="V189" s="10"/>
      <c r="W189" s="6"/>
    </row>
    <row r="190" spans="1:23" x14ac:dyDescent="0.2">
      <c r="A190" s="27"/>
      <c r="B190" s="25"/>
      <c r="D190" s="11"/>
      <c r="E190" s="10"/>
      <c r="O190" s="10"/>
      <c r="V190" s="10"/>
      <c r="W190" s="6"/>
    </row>
    <row r="191" spans="1:23" x14ac:dyDescent="0.2">
      <c r="A191" s="27"/>
      <c r="B191" s="25"/>
      <c r="D191" s="11"/>
      <c r="E191" s="10"/>
      <c r="O191" s="10"/>
      <c r="V191" s="10"/>
      <c r="W191" s="6"/>
    </row>
    <row r="192" spans="1:23" x14ac:dyDescent="0.2">
      <c r="A192" s="27"/>
      <c r="B192" s="25"/>
      <c r="D192" s="11"/>
      <c r="E192" s="10"/>
      <c r="O192" s="10"/>
      <c r="V192" s="10"/>
      <c r="W192" s="6"/>
    </row>
    <row r="193" spans="1:23" x14ac:dyDescent="0.2">
      <c r="A193" s="27"/>
      <c r="B193" s="25"/>
      <c r="D193" s="11"/>
      <c r="E193" s="10"/>
      <c r="O193" s="10"/>
      <c r="V193" s="10"/>
      <c r="W193" s="6"/>
    </row>
    <row r="194" spans="1:23" x14ac:dyDescent="0.2">
      <c r="A194" s="27"/>
      <c r="B194" s="25"/>
      <c r="D194" s="11"/>
      <c r="E194" s="10"/>
      <c r="O194" s="10"/>
      <c r="V194" s="10"/>
      <c r="W194" s="6"/>
    </row>
    <row r="195" spans="1:23" x14ac:dyDescent="0.2">
      <c r="A195" s="27"/>
      <c r="B195" s="25"/>
      <c r="D195" s="11"/>
      <c r="E195" s="10"/>
      <c r="O195" s="10"/>
      <c r="V195" s="10"/>
      <c r="W195" s="6"/>
    </row>
    <row r="196" spans="1:23" x14ac:dyDescent="0.2">
      <c r="A196" s="27"/>
      <c r="B196" s="25"/>
      <c r="D196" s="11"/>
      <c r="E196" s="10"/>
      <c r="O196" s="10"/>
      <c r="V196" s="10"/>
      <c r="W196" s="6"/>
    </row>
    <row r="197" spans="1:23" x14ac:dyDescent="0.2">
      <c r="A197" s="27"/>
      <c r="B197" s="25"/>
      <c r="D197" s="11"/>
      <c r="E197" s="10"/>
      <c r="O197" s="10"/>
      <c r="V197" s="10"/>
      <c r="W197" s="6"/>
    </row>
    <row r="198" spans="1:23" x14ac:dyDescent="0.2">
      <c r="A198" s="27"/>
      <c r="B198" s="25"/>
      <c r="D198" s="11"/>
      <c r="E198" s="10"/>
      <c r="O198" s="10"/>
      <c r="V198" s="10"/>
      <c r="W198" s="6"/>
    </row>
    <row r="199" spans="1:23" x14ac:dyDescent="0.2">
      <c r="A199" s="27"/>
      <c r="B199" s="25"/>
      <c r="D199" s="11"/>
      <c r="E199" s="10"/>
      <c r="O199" s="10"/>
      <c r="V199" s="10"/>
      <c r="W199" s="6"/>
    </row>
    <row r="200" spans="1:23" x14ac:dyDescent="0.2">
      <c r="A200" s="27"/>
      <c r="B200" s="25"/>
      <c r="D200" s="11"/>
      <c r="E200" s="10"/>
      <c r="O200" s="10"/>
      <c r="V200" s="10"/>
      <c r="W200" s="6"/>
    </row>
    <row r="201" spans="1:23" x14ac:dyDescent="0.2">
      <c r="A201" s="27"/>
      <c r="B201" s="1"/>
      <c r="D201" s="11"/>
      <c r="E201" s="10"/>
      <c r="O201" s="10"/>
      <c r="V201" s="10"/>
      <c r="W201" s="6"/>
    </row>
    <row r="202" spans="1:23" x14ac:dyDescent="0.2">
      <c r="A202" s="27"/>
      <c r="B202" s="25"/>
      <c r="D202" s="11"/>
      <c r="E202" s="10"/>
      <c r="O202" s="10"/>
      <c r="V202" s="10"/>
      <c r="W202" s="6"/>
    </row>
    <row r="203" spans="1:23" x14ac:dyDescent="0.2">
      <c r="A203" s="27"/>
      <c r="B203" s="25"/>
      <c r="D203" s="11"/>
      <c r="E203" s="10"/>
      <c r="O203" s="10"/>
      <c r="V203" s="10"/>
      <c r="W203" s="6"/>
    </row>
    <row r="204" spans="1:23" x14ac:dyDescent="0.2">
      <c r="A204" s="27"/>
      <c r="B204" s="1"/>
      <c r="D204" s="11"/>
      <c r="E204" s="10"/>
      <c r="O204" s="10"/>
      <c r="V204" s="10"/>
      <c r="W204" s="6"/>
    </row>
    <row r="205" spans="1:23" x14ac:dyDescent="0.2">
      <c r="A205" s="27"/>
      <c r="B205" s="25"/>
      <c r="D205" s="11"/>
      <c r="E205" s="10"/>
      <c r="O205" s="10"/>
      <c r="V205" s="10"/>
      <c r="W205" s="6"/>
    </row>
    <row r="206" spans="1:23" x14ac:dyDescent="0.2">
      <c r="A206" s="27"/>
      <c r="B206" s="25"/>
      <c r="D206" s="11"/>
      <c r="E206" s="10"/>
      <c r="O206" s="10"/>
      <c r="V206" s="10"/>
    </row>
    <row r="207" spans="1:23" x14ac:dyDescent="0.2">
      <c r="A207" s="27"/>
      <c r="B207" s="25"/>
      <c r="D207" s="11"/>
      <c r="E207" s="10"/>
      <c r="O207" s="10"/>
      <c r="V207" s="10"/>
    </row>
    <row r="208" spans="1:23" x14ac:dyDescent="0.2">
      <c r="A208" s="27"/>
      <c r="B208" s="25"/>
      <c r="D208" s="11"/>
      <c r="E208" s="10"/>
      <c r="O208" s="10"/>
      <c r="V208" s="10"/>
      <c r="W208" s="6"/>
    </row>
    <row r="209" spans="1:23" x14ac:dyDescent="0.2">
      <c r="A209" s="27"/>
      <c r="B209" s="25"/>
      <c r="D209" s="11"/>
      <c r="E209" s="10"/>
      <c r="O209" s="10"/>
      <c r="V209" s="10"/>
      <c r="W209" s="6"/>
    </row>
    <row r="210" spans="1:23" x14ac:dyDescent="0.2">
      <c r="A210" s="27"/>
      <c r="B210" s="25"/>
      <c r="D210" s="11"/>
      <c r="E210" s="10"/>
      <c r="O210" s="10"/>
      <c r="V210" s="10"/>
      <c r="W210" s="6"/>
    </row>
    <row r="211" spans="1:23" x14ac:dyDescent="0.2">
      <c r="A211" s="27"/>
      <c r="B211" s="1"/>
      <c r="D211" s="11"/>
      <c r="E211" s="10"/>
      <c r="O211" s="10"/>
      <c r="V211" s="10"/>
      <c r="W211" s="6"/>
    </row>
    <row r="212" spans="1:23" x14ac:dyDescent="0.2">
      <c r="A212" s="27"/>
      <c r="B212" s="25"/>
      <c r="D212" s="11"/>
      <c r="E212" s="10"/>
      <c r="O212" s="10"/>
      <c r="V212" s="10"/>
      <c r="W212" s="6"/>
    </row>
    <row r="213" spans="1:23" x14ac:dyDescent="0.2">
      <c r="A213" s="27"/>
      <c r="B213" s="25"/>
      <c r="D213" s="11"/>
      <c r="E213" s="10"/>
      <c r="O213" s="10"/>
      <c r="V213" s="10"/>
      <c r="W213" s="6"/>
    </row>
    <row r="214" spans="1:23" x14ac:dyDescent="0.2">
      <c r="A214" s="27"/>
      <c r="B214" s="25"/>
      <c r="D214" s="11"/>
      <c r="E214" s="10"/>
      <c r="O214" s="10"/>
      <c r="V214" s="10"/>
      <c r="W214" s="6"/>
    </row>
    <row r="215" spans="1:23" x14ac:dyDescent="0.2">
      <c r="A215" s="27"/>
      <c r="B215" s="25"/>
      <c r="D215" s="11"/>
      <c r="E215" s="10"/>
      <c r="O215" s="10"/>
      <c r="V215" s="10"/>
      <c r="W215" s="6"/>
    </row>
    <row r="216" spans="1:23" x14ac:dyDescent="0.2">
      <c r="A216" s="27"/>
      <c r="B216" s="25"/>
      <c r="D216" s="11"/>
      <c r="E216" s="10"/>
      <c r="O216" s="10"/>
      <c r="V216" s="10"/>
      <c r="W216" s="6"/>
    </row>
    <row r="217" spans="1:23" x14ac:dyDescent="0.2">
      <c r="A217" s="27"/>
      <c r="B217" s="25"/>
      <c r="D217" s="11"/>
      <c r="E217" s="10"/>
      <c r="O217" s="10"/>
      <c r="V217" s="10"/>
      <c r="W217" s="6"/>
    </row>
    <row r="218" spans="1:23" x14ac:dyDescent="0.2">
      <c r="A218" s="27"/>
      <c r="B218" s="25"/>
      <c r="D218" s="11"/>
      <c r="E218" s="10"/>
      <c r="O218" s="10"/>
      <c r="V218" s="10"/>
      <c r="W218" s="6"/>
    </row>
    <row r="219" spans="1:23" x14ac:dyDescent="0.2">
      <c r="A219" s="27"/>
      <c r="B219" s="25"/>
      <c r="D219" s="11"/>
      <c r="E219" s="10"/>
      <c r="O219" s="10"/>
      <c r="V219" s="10"/>
      <c r="W219" s="6"/>
    </row>
    <row r="220" spans="1:23" x14ac:dyDescent="0.2">
      <c r="A220" s="27"/>
      <c r="B220" s="25"/>
      <c r="D220" s="11"/>
      <c r="E220" s="10"/>
      <c r="O220" s="10"/>
      <c r="V220" s="10"/>
      <c r="W220" s="6"/>
    </row>
    <row r="221" spans="1:23" x14ac:dyDescent="0.2">
      <c r="A221" s="27"/>
      <c r="B221" s="1"/>
      <c r="D221" s="11"/>
      <c r="E221" s="10"/>
      <c r="O221" s="10"/>
      <c r="V221" s="10"/>
      <c r="W221" s="6"/>
    </row>
    <row r="222" spans="1:23" x14ac:dyDescent="0.2">
      <c r="A222" s="27"/>
      <c r="B222" s="25"/>
      <c r="D222" s="11"/>
      <c r="E222" s="10"/>
      <c r="O222" s="10"/>
      <c r="V222" s="10"/>
      <c r="W222" s="6"/>
    </row>
    <row r="223" spans="1:23" x14ac:dyDescent="0.2">
      <c r="A223" s="27"/>
      <c r="B223" s="25"/>
      <c r="D223" s="11"/>
      <c r="E223" s="10"/>
      <c r="O223" s="10"/>
      <c r="V223" s="10"/>
      <c r="W223" s="6"/>
    </row>
    <row r="224" spans="1:23" x14ac:dyDescent="0.2">
      <c r="A224" s="27"/>
      <c r="B224" s="25"/>
      <c r="D224" s="11"/>
      <c r="E224" s="10"/>
      <c r="O224" s="10"/>
      <c r="V224" s="10"/>
      <c r="W224" s="6"/>
    </row>
    <row r="225" spans="1:23" x14ac:dyDescent="0.2">
      <c r="A225" s="27"/>
      <c r="B225" s="25"/>
      <c r="D225" s="11"/>
      <c r="E225" s="10"/>
      <c r="O225" s="10"/>
      <c r="V225" s="10"/>
      <c r="W225" s="6"/>
    </row>
    <row r="226" spans="1:23" x14ac:dyDescent="0.2">
      <c r="A226" s="27"/>
      <c r="B226" s="25"/>
      <c r="D226" s="11"/>
      <c r="E226" s="10"/>
      <c r="O226" s="10"/>
      <c r="V226" s="10"/>
      <c r="W226" s="6"/>
    </row>
    <row r="227" spans="1:23" x14ac:dyDescent="0.2">
      <c r="A227" s="27"/>
      <c r="B227" s="25"/>
      <c r="D227" s="11"/>
      <c r="E227" s="10"/>
      <c r="O227" s="10"/>
      <c r="V227" s="10"/>
      <c r="W227" s="6"/>
    </row>
    <row r="228" spans="1:23" x14ac:dyDescent="0.2">
      <c r="A228" s="27"/>
      <c r="B228" s="25"/>
      <c r="D228" s="11"/>
      <c r="E228" s="10"/>
      <c r="O228" s="10"/>
      <c r="V228" s="10"/>
      <c r="W228" s="6"/>
    </row>
    <row r="229" spans="1:23" x14ac:dyDescent="0.2">
      <c r="A229" s="27"/>
      <c r="B229" s="25"/>
      <c r="D229" s="11"/>
      <c r="E229" s="10"/>
      <c r="O229" s="10"/>
      <c r="V229" s="10"/>
      <c r="W229" s="6"/>
    </row>
    <row r="230" spans="1:23" x14ac:dyDescent="0.2">
      <c r="A230" s="27"/>
      <c r="B230" s="25"/>
      <c r="D230" s="11"/>
      <c r="E230" s="10"/>
      <c r="O230" s="10"/>
      <c r="V230" s="10"/>
      <c r="W230" s="6"/>
    </row>
    <row r="231" spans="1:23" x14ac:dyDescent="0.2">
      <c r="A231" s="27"/>
      <c r="B231" s="1"/>
      <c r="D231" s="11"/>
      <c r="E231" s="10"/>
      <c r="O231" s="10"/>
      <c r="V231" s="10"/>
      <c r="W231" s="6"/>
    </row>
    <row r="232" spans="1:23" x14ac:dyDescent="0.2">
      <c r="A232" s="27"/>
      <c r="B232" s="25"/>
      <c r="D232" s="11"/>
      <c r="E232" s="10"/>
      <c r="O232" s="10"/>
      <c r="V232" s="10"/>
      <c r="W232" s="6"/>
    </row>
    <row r="233" spans="1:23" x14ac:dyDescent="0.2">
      <c r="A233" s="27"/>
      <c r="B233" s="25"/>
      <c r="D233" s="11"/>
      <c r="E233" s="10"/>
      <c r="O233" s="10"/>
      <c r="V233" s="10"/>
      <c r="W233" s="6"/>
    </row>
    <row r="234" spans="1:23" x14ac:dyDescent="0.2">
      <c r="A234" s="27"/>
      <c r="B234" s="25"/>
      <c r="D234" s="11"/>
      <c r="E234" s="10"/>
      <c r="O234" s="10"/>
      <c r="V234" s="10"/>
      <c r="W234" s="6"/>
    </row>
    <row r="235" spans="1:23" x14ac:dyDescent="0.2">
      <c r="A235" s="27"/>
      <c r="B235" s="1"/>
      <c r="D235" s="11"/>
      <c r="E235" s="10"/>
      <c r="O235" s="10"/>
      <c r="V235" s="10"/>
      <c r="W235" s="6"/>
    </row>
    <row r="236" spans="1:23" x14ac:dyDescent="0.2">
      <c r="A236" s="27"/>
      <c r="B236" s="25"/>
      <c r="D236" s="11"/>
      <c r="E236" s="10"/>
      <c r="O236" s="10"/>
      <c r="V236" s="10"/>
      <c r="W236" s="6"/>
    </row>
    <row r="237" spans="1:23" x14ac:dyDescent="0.2">
      <c r="A237" s="27"/>
      <c r="B237" s="25"/>
      <c r="D237" s="11"/>
      <c r="E237" s="10"/>
      <c r="O237" s="10"/>
      <c r="V237" s="10"/>
      <c r="W237" s="6"/>
    </row>
    <row r="238" spans="1:23" x14ac:dyDescent="0.2">
      <c r="A238" s="27"/>
      <c r="B238" s="25"/>
      <c r="D238" s="11"/>
      <c r="E238" s="10"/>
      <c r="O238" s="10"/>
      <c r="V238" s="10"/>
      <c r="W238" s="6"/>
    </row>
    <row r="239" spans="1:23" x14ac:dyDescent="0.2">
      <c r="A239" s="27"/>
      <c r="B239" s="25"/>
      <c r="D239" s="11"/>
      <c r="E239" s="10"/>
      <c r="O239" s="10"/>
      <c r="V239" s="10"/>
      <c r="W239" s="6"/>
    </row>
    <row r="240" spans="1:23" x14ac:dyDescent="0.2">
      <c r="A240" s="27"/>
      <c r="B240" s="25"/>
      <c r="D240" s="11"/>
      <c r="E240" s="10"/>
      <c r="O240" s="10"/>
      <c r="V240" s="10"/>
      <c r="W240" s="6"/>
    </row>
    <row r="241" spans="1:23" x14ac:dyDescent="0.2">
      <c r="A241" s="27"/>
      <c r="B241" s="25"/>
      <c r="D241" s="11"/>
      <c r="E241" s="10"/>
      <c r="O241" s="10"/>
      <c r="V241" s="10"/>
      <c r="W241" s="6"/>
    </row>
    <row r="242" spans="1:23" x14ac:dyDescent="0.2">
      <c r="A242" s="27"/>
      <c r="B242" s="25"/>
      <c r="D242" s="11"/>
      <c r="E242" s="10"/>
      <c r="O242" s="10"/>
      <c r="V242" s="10"/>
      <c r="W242" s="6"/>
    </row>
    <row r="243" spans="1:23" x14ac:dyDescent="0.2">
      <c r="A243" s="27"/>
      <c r="B243" s="25"/>
      <c r="D243" s="11"/>
      <c r="E243" s="10"/>
      <c r="O243" s="10"/>
      <c r="V243" s="10"/>
      <c r="W243" s="6"/>
    </row>
    <row r="244" spans="1:23" x14ac:dyDescent="0.2">
      <c r="A244" s="27"/>
      <c r="B244" s="25"/>
      <c r="D244" s="11"/>
      <c r="E244" s="10"/>
      <c r="O244" s="10"/>
      <c r="V244" s="10"/>
      <c r="W244" s="6"/>
    </row>
    <row r="245" spans="1:23" x14ac:dyDescent="0.2">
      <c r="A245" s="27"/>
      <c r="B245" s="1"/>
      <c r="D245" s="11"/>
      <c r="E245" s="10"/>
      <c r="O245" s="10"/>
      <c r="V245" s="10"/>
      <c r="W245" s="6"/>
    </row>
    <row r="246" spans="1:23" x14ac:dyDescent="0.2">
      <c r="A246" s="27"/>
      <c r="B246" s="25"/>
      <c r="D246" s="11"/>
      <c r="E246" s="10"/>
      <c r="O246" s="10"/>
      <c r="V246" s="10"/>
      <c r="W246" s="6"/>
    </row>
    <row r="247" spans="1:23" x14ac:dyDescent="0.2">
      <c r="A247" s="27"/>
      <c r="B247" s="25"/>
      <c r="D247" s="11"/>
      <c r="E247" s="10"/>
      <c r="O247" s="10"/>
      <c r="V247" s="10"/>
      <c r="W247" s="6"/>
    </row>
    <row r="248" spans="1:23" x14ac:dyDescent="0.2">
      <c r="A248" s="27"/>
      <c r="B248" s="25"/>
      <c r="D248" s="11"/>
      <c r="E248" s="10"/>
      <c r="O248" s="10"/>
      <c r="V248" s="10"/>
      <c r="W248" s="6"/>
    </row>
    <row r="249" spans="1:23" x14ac:dyDescent="0.2">
      <c r="A249" s="27"/>
      <c r="B249" s="25"/>
      <c r="D249" s="11"/>
      <c r="E249" s="10"/>
      <c r="O249" s="10"/>
      <c r="V249" s="10"/>
      <c r="W249" s="6"/>
    </row>
    <row r="250" spans="1:23" x14ac:dyDescent="0.2">
      <c r="A250" s="27"/>
      <c r="B250" s="25"/>
      <c r="D250" s="11"/>
      <c r="E250" s="10"/>
      <c r="O250" s="10"/>
      <c r="V250" s="10"/>
      <c r="W250" s="6"/>
    </row>
    <row r="251" spans="1:23" x14ac:dyDescent="0.2">
      <c r="A251" s="27"/>
      <c r="B251" s="25"/>
      <c r="D251" s="11"/>
      <c r="E251" s="10"/>
      <c r="O251" s="10"/>
      <c r="V251" s="10"/>
      <c r="W251" s="6"/>
    </row>
    <row r="252" spans="1:23" x14ac:dyDescent="0.2">
      <c r="A252" s="27"/>
      <c r="B252" s="25"/>
      <c r="D252" s="11"/>
      <c r="E252" s="10"/>
      <c r="O252" s="10"/>
      <c r="V252" s="10"/>
      <c r="W252" s="6"/>
    </row>
    <row r="253" spans="1:23" x14ac:dyDescent="0.2">
      <c r="A253" s="27"/>
      <c r="B253" s="25"/>
      <c r="D253" s="11"/>
      <c r="E253" s="10"/>
      <c r="O253" s="10"/>
      <c r="V253" s="10"/>
      <c r="W253" s="6"/>
    </row>
    <row r="254" spans="1:23" x14ac:dyDescent="0.2">
      <c r="A254" s="27"/>
      <c r="B254" s="25"/>
      <c r="D254" s="11"/>
      <c r="E254" s="10"/>
      <c r="O254" s="10"/>
      <c r="V254" s="10"/>
      <c r="W254" s="6"/>
    </row>
    <row r="255" spans="1:23" x14ac:dyDescent="0.2">
      <c r="A255" s="27"/>
      <c r="B255" s="25"/>
      <c r="D255" s="11"/>
      <c r="E255" s="10"/>
      <c r="O255" s="10"/>
      <c r="V255" s="10"/>
      <c r="W255" s="6"/>
    </row>
    <row r="256" spans="1:23" x14ac:dyDescent="0.2">
      <c r="A256" s="27"/>
      <c r="B256" s="25"/>
      <c r="D256" s="11"/>
      <c r="E256" s="10"/>
      <c r="O256" s="10"/>
      <c r="V256" s="10"/>
      <c r="W256" s="6"/>
    </row>
    <row r="257" spans="1:23" x14ac:dyDescent="0.2">
      <c r="A257" s="27"/>
      <c r="B257" s="25"/>
      <c r="D257" s="11"/>
      <c r="E257" s="10"/>
      <c r="O257" s="10"/>
      <c r="V257" s="10"/>
      <c r="W257" s="6"/>
    </row>
    <row r="258" spans="1:23" x14ac:dyDescent="0.2">
      <c r="A258" s="27"/>
      <c r="B258" s="25"/>
      <c r="D258" s="11"/>
      <c r="E258" s="10"/>
      <c r="O258" s="10"/>
      <c r="V258" s="10"/>
      <c r="W258" s="6"/>
    </row>
    <row r="259" spans="1:23" x14ac:dyDescent="0.2">
      <c r="A259" s="27"/>
      <c r="B259" s="25"/>
      <c r="D259" s="11"/>
      <c r="E259" s="10"/>
      <c r="O259" s="10"/>
      <c r="V259" s="10"/>
      <c r="W259" s="6"/>
    </row>
    <row r="260" spans="1:23" x14ac:dyDescent="0.2">
      <c r="A260" s="27"/>
      <c r="B260" s="25"/>
      <c r="D260" s="11"/>
      <c r="E260" s="10"/>
      <c r="O260" s="10"/>
      <c r="V260" s="10"/>
      <c r="W260" s="6"/>
    </row>
    <row r="261" spans="1:23" x14ac:dyDescent="0.2">
      <c r="A261" s="27"/>
      <c r="B261" s="1"/>
      <c r="D261" s="11"/>
      <c r="E261" s="10"/>
      <c r="O261" s="10"/>
      <c r="V261" s="10"/>
      <c r="W261" s="6"/>
    </row>
    <row r="262" spans="1:23" x14ac:dyDescent="0.2">
      <c r="A262" s="27"/>
      <c r="B262" s="25"/>
      <c r="D262" s="11"/>
      <c r="E262" s="10"/>
      <c r="O262" s="10"/>
      <c r="V262" s="10"/>
      <c r="W262" s="6"/>
    </row>
    <row r="263" spans="1:23" x14ac:dyDescent="0.2">
      <c r="A263" s="27"/>
      <c r="B263" s="25"/>
      <c r="D263" s="11"/>
      <c r="E263" s="10"/>
      <c r="O263" s="10"/>
      <c r="V263" s="10"/>
      <c r="W263" s="6"/>
    </row>
    <row r="264" spans="1:23" x14ac:dyDescent="0.2">
      <c r="A264" s="27"/>
      <c r="B264" s="25"/>
      <c r="D264" s="11"/>
      <c r="E264" s="10"/>
      <c r="O264" s="10"/>
      <c r="V264" s="10"/>
      <c r="W264" s="6"/>
    </row>
    <row r="265" spans="1:23" x14ac:dyDescent="0.2">
      <c r="A265" s="27"/>
      <c r="B265" s="25"/>
      <c r="D265" s="11"/>
      <c r="E265" s="10"/>
      <c r="O265" s="10"/>
      <c r="V265" s="10"/>
      <c r="W265" s="6"/>
    </row>
    <row r="266" spans="1:23" x14ac:dyDescent="0.2">
      <c r="A266" s="27"/>
      <c r="B266" s="25"/>
      <c r="D266" s="11"/>
      <c r="E266" s="10"/>
      <c r="O266" s="10"/>
      <c r="V266" s="10"/>
      <c r="W266" s="6"/>
    </row>
    <row r="267" spans="1:23" x14ac:dyDescent="0.2">
      <c r="A267" s="27"/>
      <c r="B267" s="25"/>
      <c r="D267" s="11"/>
      <c r="E267" s="10"/>
      <c r="O267" s="10"/>
      <c r="V267" s="10"/>
      <c r="W267" s="6"/>
    </row>
    <row r="268" spans="1:23" x14ac:dyDescent="0.2">
      <c r="A268" s="27"/>
      <c r="B268" s="25"/>
      <c r="D268" s="11"/>
      <c r="E268" s="10"/>
      <c r="O268" s="10"/>
      <c r="V268" s="10"/>
      <c r="W268" s="6"/>
    </row>
    <row r="269" spans="1:23" x14ac:dyDescent="0.2">
      <c r="A269" s="27"/>
      <c r="B269" s="25"/>
      <c r="D269" s="11"/>
      <c r="E269" s="10"/>
      <c r="O269" s="10"/>
      <c r="V269" s="10"/>
      <c r="W269" s="6"/>
    </row>
    <row r="270" spans="1:23" x14ac:dyDescent="0.2">
      <c r="A270" s="27"/>
      <c r="B270" s="25"/>
      <c r="D270" s="11"/>
      <c r="E270" s="10"/>
      <c r="O270" s="10"/>
      <c r="V270" s="10"/>
      <c r="W270" s="6"/>
    </row>
    <row r="271" spans="1:23" x14ac:dyDescent="0.2">
      <c r="A271" s="27"/>
      <c r="B271" s="25"/>
      <c r="D271" s="11"/>
      <c r="E271" s="10"/>
      <c r="O271" s="10"/>
      <c r="V271" s="10"/>
      <c r="W271" s="6"/>
    </row>
    <row r="272" spans="1:23" x14ac:dyDescent="0.2">
      <c r="A272" s="27"/>
      <c r="B272" s="1"/>
      <c r="D272" s="11"/>
      <c r="E272" s="10"/>
      <c r="O272" s="10"/>
      <c r="V272" s="10"/>
      <c r="W272" s="6"/>
    </row>
    <row r="273" spans="1:23" x14ac:dyDescent="0.2">
      <c r="A273" s="27"/>
      <c r="B273" s="25"/>
      <c r="D273" s="11"/>
      <c r="E273" s="10"/>
      <c r="O273" s="10"/>
      <c r="V273" s="10"/>
      <c r="W273" s="6"/>
    </row>
    <row r="274" spans="1:23" x14ac:dyDescent="0.2">
      <c r="A274" s="27"/>
      <c r="B274" s="25"/>
      <c r="D274" s="11"/>
      <c r="E274" s="10"/>
      <c r="O274" s="10"/>
      <c r="V274" s="10"/>
      <c r="W274" s="6"/>
    </row>
    <row r="275" spans="1:23" x14ac:dyDescent="0.2">
      <c r="A275" s="27"/>
      <c r="B275" s="25"/>
      <c r="D275" s="11"/>
      <c r="E275" s="10"/>
      <c r="O275" s="10"/>
      <c r="V275" s="10"/>
      <c r="W275" s="6"/>
    </row>
    <row r="276" spans="1:23" x14ac:dyDescent="0.2">
      <c r="A276" s="27"/>
      <c r="B276" s="25"/>
      <c r="D276" s="11"/>
      <c r="E276" s="10"/>
      <c r="O276" s="10"/>
      <c r="V276" s="10"/>
      <c r="W276" s="6"/>
    </row>
    <row r="277" spans="1:23" x14ac:dyDescent="0.2">
      <c r="A277" s="27"/>
      <c r="B277" s="25"/>
      <c r="D277" s="11"/>
      <c r="E277" s="10"/>
      <c r="O277" s="10"/>
      <c r="V277" s="10"/>
      <c r="W277" s="6"/>
    </row>
    <row r="278" spans="1:23" x14ac:dyDescent="0.2">
      <c r="A278" s="27"/>
      <c r="B278" s="25"/>
      <c r="D278" s="11"/>
      <c r="E278" s="10"/>
      <c r="O278" s="10"/>
      <c r="V278" s="10"/>
      <c r="W278" s="6"/>
    </row>
    <row r="279" spans="1:23" x14ac:dyDescent="0.2">
      <c r="A279" s="27"/>
      <c r="B279" s="1"/>
      <c r="D279" s="11"/>
      <c r="E279" s="10"/>
      <c r="O279" s="10"/>
      <c r="V279" s="10"/>
      <c r="W279" s="6"/>
    </row>
    <row r="280" spans="1:23" x14ac:dyDescent="0.2">
      <c r="A280" s="27"/>
      <c r="B280" s="25"/>
      <c r="D280" s="11"/>
      <c r="E280" s="10"/>
      <c r="O280" s="10"/>
      <c r="V280" s="10"/>
      <c r="W280" s="6"/>
    </row>
    <row r="281" spans="1:23" x14ac:dyDescent="0.2">
      <c r="A281" s="27"/>
      <c r="B281" s="25"/>
      <c r="D281" s="11"/>
      <c r="E281" s="10"/>
      <c r="O281" s="10"/>
      <c r="V281" s="10"/>
      <c r="W281" s="6"/>
    </row>
    <row r="282" spans="1:23" x14ac:dyDescent="0.2">
      <c r="A282" s="27"/>
      <c r="B282" s="25"/>
      <c r="D282" s="11"/>
      <c r="E282" s="10"/>
      <c r="O282" s="10"/>
      <c r="V282" s="10"/>
      <c r="W282" s="6"/>
    </row>
    <row r="283" spans="1:23" x14ac:dyDescent="0.2">
      <c r="A283" s="27"/>
      <c r="B283" s="25"/>
      <c r="D283" s="11"/>
      <c r="E283" s="10"/>
      <c r="O283" s="10"/>
      <c r="V283" s="10"/>
      <c r="W283" s="6"/>
    </row>
    <row r="284" spans="1:23" x14ac:dyDescent="0.2">
      <c r="A284" s="27"/>
      <c r="B284" s="25"/>
      <c r="D284" s="11"/>
      <c r="E284" s="10"/>
      <c r="O284" s="10"/>
      <c r="V284" s="10"/>
      <c r="W284" s="6"/>
    </row>
    <row r="285" spans="1:23" x14ac:dyDescent="0.2">
      <c r="A285" s="27"/>
      <c r="B285" s="25"/>
      <c r="D285" s="11"/>
      <c r="E285" s="10"/>
      <c r="O285" s="10"/>
      <c r="V285" s="10"/>
      <c r="W285" s="6"/>
    </row>
    <row r="286" spans="1:23" x14ac:dyDescent="0.2">
      <c r="A286" s="27"/>
      <c r="B286" s="25"/>
      <c r="D286" s="11"/>
      <c r="E286" s="10"/>
      <c r="O286" s="10"/>
      <c r="V286" s="10"/>
      <c r="W286" s="6"/>
    </row>
    <row r="287" spans="1:23" x14ac:dyDescent="0.2">
      <c r="A287" s="27"/>
      <c r="B287" s="25"/>
      <c r="D287" s="11"/>
      <c r="E287" s="10"/>
      <c r="O287" s="10"/>
      <c r="V287" s="10"/>
      <c r="W287" s="6"/>
    </row>
    <row r="288" spans="1:23" x14ac:dyDescent="0.2">
      <c r="A288" s="27"/>
      <c r="B288" s="1"/>
      <c r="D288" s="11"/>
      <c r="E288" s="10"/>
      <c r="O288" s="10"/>
      <c r="V288" s="10"/>
      <c r="W288" s="6"/>
    </row>
    <row r="289" spans="1:23" x14ac:dyDescent="0.2">
      <c r="A289" s="27"/>
      <c r="B289" s="25"/>
      <c r="D289" s="11"/>
      <c r="E289" s="10"/>
      <c r="O289" s="10"/>
      <c r="V289" s="10"/>
      <c r="W289" s="6"/>
    </row>
    <row r="290" spans="1:23" x14ac:dyDescent="0.2">
      <c r="A290" s="27"/>
      <c r="B290" s="25"/>
      <c r="D290" s="11"/>
      <c r="E290" s="10"/>
      <c r="O290" s="10"/>
      <c r="V290" s="10"/>
      <c r="W290" s="6"/>
    </row>
    <row r="291" spans="1:23" x14ac:dyDescent="0.2">
      <c r="A291" s="27"/>
      <c r="B291" s="25"/>
      <c r="D291" s="11"/>
      <c r="E291" s="10"/>
      <c r="O291" s="10"/>
      <c r="V291" s="10"/>
      <c r="W291" s="6"/>
    </row>
    <row r="292" spans="1:23" x14ac:dyDescent="0.2">
      <c r="A292" s="27"/>
      <c r="B292" s="25"/>
      <c r="D292" s="11"/>
      <c r="E292" s="10"/>
      <c r="O292" s="10"/>
      <c r="V292" s="10"/>
      <c r="W292" s="6"/>
    </row>
    <row r="293" spans="1:23" x14ac:dyDescent="0.2">
      <c r="A293" s="27"/>
      <c r="B293" s="25"/>
      <c r="D293" s="11"/>
      <c r="E293" s="10"/>
      <c r="O293" s="10"/>
      <c r="V293" s="10"/>
      <c r="W293" s="6"/>
    </row>
    <row r="294" spans="1:23" x14ac:dyDescent="0.2">
      <c r="A294" s="27"/>
      <c r="B294" s="25"/>
      <c r="D294" s="11"/>
      <c r="E294" s="10"/>
      <c r="O294" s="10"/>
      <c r="V294" s="10"/>
      <c r="W294" s="6"/>
    </row>
    <row r="295" spans="1:23" x14ac:dyDescent="0.2">
      <c r="A295" s="27"/>
      <c r="B295" s="25"/>
      <c r="D295" s="11"/>
      <c r="E295" s="10"/>
      <c r="O295" s="10"/>
      <c r="V295" s="10"/>
      <c r="W295" s="6"/>
    </row>
    <row r="296" spans="1:23" x14ac:dyDescent="0.2">
      <c r="A296" s="27"/>
      <c r="B296" s="25"/>
      <c r="D296" s="11"/>
      <c r="E296" s="10"/>
      <c r="O296" s="10"/>
      <c r="V296" s="10"/>
      <c r="W296" s="6"/>
    </row>
    <row r="297" spans="1:23" x14ac:dyDescent="0.2">
      <c r="A297" s="27"/>
      <c r="B297" s="25"/>
      <c r="D297" s="11"/>
      <c r="E297" s="10"/>
      <c r="O297" s="10"/>
      <c r="V297" s="10"/>
      <c r="W297" s="6"/>
    </row>
    <row r="298" spans="1:23" x14ac:dyDescent="0.2">
      <c r="A298" s="27"/>
      <c r="B298" s="1"/>
      <c r="D298" s="11"/>
      <c r="E298" s="10"/>
      <c r="O298" s="10"/>
      <c r="V298" s="10"/>
      <c r="W298" s="6"/>
    </row>
    <row r="299" spans="1:23" x14ac:dyDescent="0.2">
      <c r="A299" s="27"/>
      <c r="B299" s="25"/>
      <c r="D299" s="11"/>
      <c r="E299" s="10"/>
      <c r="O299" s="10"/>
      <c r="V299" s="10"/>
      <c r="W299" s="6"/>
    </row>
    <row r="300" spans="1:23" x14ac:dyDescent="0.2">
      <c r="A300" s="27"/>
      <c r="B300" s="25"/>
      <c r="D300" s="11"/>
      <c r="E300" s="10"/>
      <c r="O300" s="10"/>
      <c r="V300" s="10"/>
      <c r="W300" s="6"/>
    </row>
    <row r="301" spans="1:23" x14ac:dyDescent="0.2">
      <c r="A301" s="27"/>
      <c r="B301" s="25"/>
      <c r="D301" s="11"/>
      <c r="E301" s="10"/>
      <c r="O301" s="10"/>
      <c r="V301" s="10"/>
      <c r="W301" s="6"/>
    </row>
    <row r="302" spans="1:23" x14ac:dyDescent="0.2">
      <c r="A302" s="27"/>
      <c r="B302" s="25"/>
      <c r="D302" s="11"/>
      <c r="E302" s="10"/>
      <c r="O302" s="10"/>
      <c r="V302" s="10"/>
      <c r="W302" s="6"/>
    </row>
    <row r="303" spans="1:23" x14ac:dyDescent="0.2">
      <c r="A303" s="27"/>
      <c r="B303" s="25"/>
      <c r="D303" s="11"/>
      <c r="E303" s="10"/>
      <c r="O303" s="10"/>
      <c r="V303" s="10"/>
      <c r="W303" s="6"/>
    </row>
    <row r="304" spans="1:23" x14ac:dyDescent="0.2">
      <c r="A304" s="27"/>
      <c r="B304" s="25"/>
      <c r="D304" s="11"/>
      <c r="E304" s="10"/>
      <c r="O304" s="10"/>
      <c r="V304" s="10"/>
      <c r="W304" s="6"/>
    </row>
    <row r="305" spans="1:23" x14ac:dyDescent="0.2">
      <c r="A305" s="27"/>
      <c r="B305" s="1"/>
      <c r="D305" s="11"/>
      <c r="E305" s="10"/>
      <c r="O305" s="10"/>
      <c r="V305" s="10"/>
      <c r="W305" s="6"/>
    </row>
    <row r="306" spans="1:23" x14ac:dyDescent="0.2">
      <c r="A306" s="27"/>
      <c r="B306" s="25"/>
      <c r="D306" s="11"/>
      <c r="E306" s="10"/>
      <c r="O306" s="10"/>
      <c r="V306" s="10"/>
      <c r="W306" s="6"/>
    </row>
    <row r="307" spans="1:23" x14ac:dyDescent="0.2">
      <c r="A307" s="27"/>
      <c r="B307" s="25"/>
      <c r="D307" s="11"/>
      <c r="E307" s="10"/>
      <c r="O307" s="10"/>
      <c r="V307" s="10"/>
      <c r="W307" s="6"/>
    </row>
    <row r="308" spans="1:23" x14ac:dyDescent="0.2">
      <c r="A308" s="27"/>
      <c r="B308" s="25"/>
      <c r="D308" s="11"/>
      <c r="E308" s="10"/>
      <c r="O308" s="10"/>
      <c r="V308" s="10"/>
      <c r="W308" s="6"/>
    </row>
    <row r="309" spans="1:23" x14ac:dyDescent="0.2">
      <c r="A309" s="27"/>
      <c r="B309" s="1"/>
      <c r="D309" s="11"/>
      <c r="E309" s="10"/>
      <c r="O309" s="10"/>
      <c r="V309" s="10"/>
      <c r="W309" s="6"/>
    </row>
    <row r="310" spans="1:23" x14ac:dyDescent="0.2">
      <c r="A310" s="27"/>
      <c r="B310" s="25"/>
      <c r="D310" s="11"/>
      <c r="E310" s="10"/>
      <c r="O310" s="10"/>
      <c r="V310" s="10"/>
      <c r="W310" s="6"/>
    </row>
    <row r="311" spans="1:23" x14ac:dyDescent="0.2">
      <c r="A311" s="27"/>
      <c r="B311" s="25"/>
      <c r="D311" s="11"/>
      <c r="E311" s="10"/>
      <c r="O311" s="10"/>
      <c r="V311" s="10"/>
      <c r="W311" s="6"/>
    </row>
    <row r="312" spans="1:23" x14ac:dyDescent="0.2">
      <c r="A312" s="27"/>
      <c r="B312" s="25"/>
      <c r="D312" s="11"/>
      <c r="E312" s="10"/>
      <c r="O312" s="10"/>
      <c r="V312" s="10"/>
      <c r="W312" s="6"/>
    </row>
    <row r="313" spans="1:23" x14ac:dyDescent="0.2">
      <c r="A313" s="27"/>
      <c r="B313" s="1"/>
      <c r="D313" s="11"/>
      <c r="E313" s="10"/>
      <c r="O313" s="10"/>
      <c r="V313" s="10"/>
      <c r="W313" s="6"/>
    </row>
    <row r="314" spans="1:23" x14ac:dyDescent="0.2">
      <c r="A314" s="27"/>
      <c r="B314" s="25"/>
      <c r="D314" s="11"/>
      <c r="E314" s="10"/>
      <c r="O314" s="10"/>
      <c r="V314" s="10"/>
      <c r="W314" s="6"/>
    </row>
    <row r="315" spans="1:23" x14ac:dyDescent="0.2">
      <c r="A315" s="27"/>
      <c r="B315" s="25"/>
      <c r="D315" s="11"/>
      <c r="E315" s="10"/>
      <c r="O315" s="10"/>
      <c r="V315" s="10"/>
      <c r="W315" s="6"/>
    </row>
    <row r="316" spans="1:23" x14ac:dyDescent="0.2">
      <c r="A316" s="27"/>
      <c r="B316" s="1"/>
      <c r="D316" s="11"/>
      <c r="E316" s="10"/>
      <c r="O316" s="10"/>
      <c r="V316" s="10"/>
      <c r="W316" s="6"/>
    </row>
    <row r="317" spans="1:23" x14ac:dyDescent="0.2">
      <c r="A317" s="27"/>
      <c r="B317" s="25"/>
      <c r="D317" s="11"/>
      <c r="E317" s="10"/>
      <c r="O317" s="10"/>
      <c r="V317" s="10"/>
      <c r="W317" s="6"/>
    </row>
    <row r="318" spans="1:23" x14ac:dyDescent="0.2">
      <c r="A318" s="27"/>
      <c r="B318" s="25"/>
      <c r="D318" s="11"/>
      <c r="E318" s="10"/>
      <c r="O318" s="10"/>
      <c r="V318" s="10"/>
      <c r="W318" s="6"/>
    </row>
    <row r="319" spans="1:23" x14ac:dyDescent="0.2">
      <c r="A319" s="27"/>
      <c r="B319" s="1"/>
      <c r="D319" s="11"/>
      <c r="E319" s="10"/>
      <c r="O319" s="10"/>
      <c r="V319" s="10"/>
      <c r="W319" s="6"/>
    </row>
    <row r="320" spans="1:23" x14ac:dyDescent="0.2">
      <c r="A320" s="27"/>
      <c r="B320" s="25"/>
      <c r="D320" s="11"/>
      <c r="E320" s="10"/>
      <c r="O320" s="10"/>
      <c r="V320" s="10"/>
      <c r="W320" s="6"/>
    </row>
    <row r="321" spans="1:23" x14ac:dyDescent="0.2">
      <c r="A321" s="27"/>
      <c r="B321" s="25"/>
      <c r="D321" s="11"/>
      <c r="E321" s="10"/>
      <c r="O321" s="10"/>
      <c r="V321" s="10"/>
      <c r="W321" s="6"/>
    </row>
    <row r="322" spans="1:23" x14ac:dyDescent="0.2">
      <c r="A322" s="27"/>
      <c r="B322" s="1"/>
      <c r="D322" s="11"/>
      <c r="E322" s="10"/>
      <c r="O322" s="10"/>
      <c r="V322" s="10"/>
      <c r="W322" s="6"/>
    </row>
    <row r="323" spans="1:23" x14ac:dyDescent="0.2">
      <c r="A323" s="27"/>
      <c r="B323" s="25"/>
      <c r="D323" s="11"/>
      <c r="E323" s="10"/>
      <c r="O323" s="10"/>
      <c r="V323" s="10"/>
      <c r="W323" s="6"/>
    </row>
    <row r="324" spans="1:23" x14ac:dyDescent="0.2">
      <c r="A324" s="27"/>
      <c r="B324" s="25"/>
      <c r="D324" s="11"/>
      <c r="E324" s="10"/>
      <c r="O324" s="10"/>
      <c r="V324" s="10"/>
      <c r="W324" s="6"/>
    </row>
    <row r="325" spans="1:23" x14ac:dyDescent="0.2">
      <c r="A325" s="27"/>
      <c r="B325" s="1"/>
      <c r="D325" s="11"/>
      <c r="E325" s="10"/>
      <c r="O325" s="10"/>
      <c r="V325" s="10"/>
      <c r="W325" s="6"/>
    </row>
    <row r="326" spans="1:23" x14ac:dyDescent="0.2">
      <c r="A326" s="27"/>
      <c r="B326" s="25"/>
      <c r="D326" s="11"/>
      <c r="E326" s="10"/>
      <c r="O326" s="10"/>
      <c r="V326" s="10"/>
      <c r="W326" s="6"/>
    </row>
    <row r="327" spans="1:23" x14ac:dyDescent="0.2">
      <c r="A327" s="27"/>
      <c r="B327" s="25"/>
      <c r="D327" s="11"/>
      <c r="E327" s="10"/>
      <c r="O327" s="10"/>
      <c r="V327" s="10"/>
      <c r="W327" s="6"/>
    </row>
    <row r="328" spans="1:23" x14ac:dyDescent="0.2">
      <c r="A328" s="27"/>
      <c r="B328" s="25"/>
      <c r="D328" s="11"/>
      <c r="E328" s="10"/>
      <c r="O328" s="10"/>
      <c r="V328" s="10"/>
      <c r="W328" s="6"/>
    </row>
    <row r="329" spans="1:23" x14ac:dyDescent="0.2">
      <c r="A329" s="27"/>
      <c r="B329" s="25"/>
      <c r="D329" s="11"/>
      <c r="E329" s="10"/>
      <c r="O329" s="10"/>
      <c r="V329" s="10"/>
      <c r="W329" s="6"/>
    </row>
    <row r="330" spans="1:23" x14ac:dyDescent="0.2">
      <c r="A330" s="27"/>
      <c r="B330" s="1"/>
      <c r="D330" s="11"/>
      <c r="E330" s="10"/>
      <c r="O330" s="10"/>
      <c r="V330" s="10"/>
      <c r="W330" s="6"/>
    </row>
    <row r="331" spans="1:23" x14ac:dyDescent="0.2">
      <c r="A331" s="27"/>
      <c r="B331" s="25"/>
      <c r="D331" s="11"/>
      <c r="E331" s="10"/>
      <c r="O331" s="10"/>
      <c r="V331" s="10"/>
    </row>
    <row r="332" spans="1:23" x14ac:dyDescent="0.2">
      <c r="A332" s="27"/>
      <c r="B332" s="25"/>
      <c r="D332" s="11"/>
      <c r="E332" s="10"/>
      <c r="O332" s="10"/>
      <c r="V332" s="10"/>
    </row>
    <row r="333" spans="1:23" x14ac:dyDescent="0.2">
      <c r="A333" s="27"/>
      <c r="B333" s="25"/>
      <c r="D333" s="11"/>
      <c r="E333" s="10"/>
      <c r="O333" s="10"/>
      <c r="V333" s="10"/>
    </row>
    <row r="334" spans="1:23" x14ac:dyDescent="0.2">
      <c r="A334" s="27"/>
      <c r="B334" s="25"/>
      <c r="D334" s="11"/>
      <c r="E334" s="10"/>
      <c r="O334" s="10"/>
      <c r="V334" s="10"/>
    </row>
    <row r="335" spans="1:23" x14ac:dyDescent="0.2">
      <c r="A335" s="27"/>
      <c r="B335" s="25"/>
      <c r="D335" s="11"/>
      <c r="E335" s="10"/>
      <c r="O335" s="10"/>
      <c r="V335" s="10"/>
    </row>
    <row r="336" spans="1:23" x14ac:dyDescent="0.2">
      <c r="A336" s="27"/>
      <c r="B336" s="25"/>
      <c r="D336" s="11"/>
      <c r="E336" s="10"/>
      <c r="O336" s="10"/>
      <c r="V336" s="10"/>
    </row>
    <row r="337" spans="1:23" x14ac:dyDescent="0.2">
      <c r="A337" s="27"/>
      <c r="B337" s="25"/>
      <c r="D337" s="11"/>
      <c r="E337" s="10"/>
      <c r="O337" s="10"/>
      <c r="V337" s="10"/>
    </row>
    <row r="338" spans="1:23" x14ac:dyDescent="0.2">
      <c r="A338" s="27"/>
      <c r="B338" s="25"/>
      <c r="D338" s="11"/>
      <c r="E338" s="10"/>
      <c r="O338" s="10"/>
      <c r="V338" s="10"/>
      <c r="W338" s="6"/>
    </row>
    <row r="339" spans="1:23" x14ac:dyDescent="0.2">
      <c r="A339" s="27"/>
      <c r="B339" s="25"/>
      <c r="D339" s="11"/>
      <c r="E339" s="10"/>
      <c r="O339" s="10"/>
      <c r="V339" s="10"/>
      <c r="W339" s="6"/>
    </row>
    <row r="340" spans="1:23" x14ac:dyDescent="0.2">
      <c r="A340" s="27"/>
      <c r="B340" s="25"/>
      <c r="D340" s="11"/>
      <c r="E340" s="10"/>
      <c r="O340" s="10"/>
      <c r="V340" s="10"/>
      <c r="W340" s="6"/>
    </row>
    <row r="341" spans="1:23" x14ac:dyDescent="0.2">
      <c r="A341" s="27"/>
      <c r="B341" s="25"/>
      <c r="D341" s="11"/>
      <c r="E341" s="10"/>
      <c r="O341" s="10"/>
      <c r="V341" s="10"/>
      <c r="W341" s="6"/>
    </row>
    <row r="342" spans="1:23" x14ac:dyDescent="0.2">
      <c r="A342" s="27"/>
      <c r="B342" s="1"/>
      <c r="D342" s="11"/>
      <c r="E342" s="10"/>
      <c r="O342" s="10"/>
      <c r="V342" s="10"/>
      <c r="W342" s="6"/>
    </row>
    <row r="343" spans="1:23" x14ac:dyDescent="0.2">
      <c r="A343" s="27"/>
      <c r="B343" s="25"/>
      <c r="D343" s="11"/>
      <c r="E343" s="10"/>
      <c r="O343" s="10"/>
      <c r="V343" s="10"/>
      <c r="W343" s="6"/>
    </row>
    <row r="344" spans="1:23" x14ac:dyDescent="0.2">
      <c r="A344" s="27"/>
      <c r="B344" s="25"/>
      <c r="D344" s="11"/>
      <c r="E344" s="10"/>
      <c r="O344" s="10"/>
      <c r="V344" s="10"/>
      <c r="W344" s="6"/>
    </row>
    <row r="345" spans="1:23" x14ac:dyDescent="0.2">
      <c r="A345" s="27"/>
      <c r="B345" s="25"/>
      <c r="D345" s="11"/>
      <c r="E345" s="10"/>
      <c r="O345" s="10"/>
      <c r="V345" s="10"/>
      <c r="W345" s="6"/>
    </row>
    <row r="346" spans="1:23" x14ac:dyDescent="0.2">
      <c r="A346" s="27"/>
      <c r="B346" s="25"/>
      <c r="D346" s="11"/>
      <c r="E346" s="10"/>
      <c r="O346" s="10"/>
      <c r="V346" s="10"/>
      <c r="W346" s="6"/>
    </row>
    <row r="347" spans="1:23" x14ac:dyDescent="0.2">
      <c r="A347" s="27"/>
      <c r="B347" s="25"/>
      <c r="D347" s="11"/>
      <c r="E347" s="10"/>
      <c r="O347" s="10"/>
      <c r="V347" s="10"/>
      <c r="W347" s="6"/>
    </row>
    <row r="348" spans="1:23" x14ac:dyDescent="0.2">
      <c r="A348" s="27"/>
      <c r="B348" s="1"/>
      <c r="D348" s="11"/>
      <c r="E348" s="10"/>
      <c r="O348" s="10"/>
      <c r="V348" s="10"/>
      <c r="W348" s="6"/>
    </row>
    <row r="349" spans="1:23" x14ac:dyDescent="0.2">
      <c r="A349" s="27"/>
      <c r="B349" s="25"/>
      <c r="D349" s="11"/>
      <c r="E349" s="10"/>
      <c r="O349" s="10"/>
      <c r="V349" s="10"/>
      <c r="W349" s="6"/>
    </row>
    <row r="350" spans="1:23" x14ac:dyDescent="0.2">
      <c r="A350" s="27"/>
      <c r="B350" s="25"/>
      <c r="D350" s="11"/>
      <c r="E350" s="10"/>
      <c r="O350" s="10"/>
      <c r="V350" s="10"/>
      <c r="W350" s="6"/>
    </row>
    <row r="351" spans="1:23" x14ac:dyDescent="0.2">
      <c r="A351" s="27"/>
      <c r="B351" s="25"/>
      <c r="D351" s="11"/>
      <c r="E351" s="10"/>
      <c r="O351" s="10"/>
      <c r="V351" s="10"/>
      <c r="W351" s="6"/>
    </row>
    <row r="352" spans="1:23" x14ac:dyDescent="0.2">
      <c r="A352" s="27"/>
      <c r="B352" s="25"/>
      <c r="D352" s="11"/>
      <c r="E352" s="10"/>
      <c r="O352" s="10"/>
      <c r="V352" s="10"/>
      <c r="W352" s="6"/>
    </row>
    <row r="353" spans="1:23" x14ac:dyDescent="0.2">
      <c r="A353" s="27"/>
      <c r="B353" s="25"/>
      <c r="D353" s="11"/>
      <c r="E353" s="10"/>
      <c r="O353" s="10"/>
      <c r="V353" s="10"/>
      <c r="W353" s="6"/>
    </row>
    <row r="354" spans="1:23" x14ac:dyDescent="0.2">
      <c r="A354" s="27"/>
      <c r="B354" s="25"/>
      <c r="D354" s="11"/>
      <c r="E354" s="10"/>
      <c r="O354" s="10"/>
      <c r="V354" s="10"/>
      <c r="W354" s="6"/>
    </row>
    <row r="355" spans="1:23" x14ac:dyDescent="0.2">
      <c r="A355" s="27"/>
      <c r="B355" s="25"/>
      <c r="D355" s="11"/>
      <c r="E355" s="10"/>
      <c r="O355" s="10"/>
      <c r="V355" s="10"/>
      <c r="W355" s="6"/>
    </row>
    <row r="356" spans="1:23" x14ac:dyDescent="0.2">
      <c r="A356" s="27"/>
      <c r="B356" s="25"/>
      <c r="D356" s="11"/>
      <c r="E356" s="10"/>
      <c r="O356" s="10"/>
      <c r="V356" s="10"/>
      <c r="W356" s="6"/>
    </row>
    <row r="357" spans="1:23" x14ac:dyDescent="0.2">
      <c r="A357" s="27"/>
      <c r="B357" s="25"/>
      <c r="D357" s="11"/>
      <c r="E357" s="10"/>
      <c r="O357" s="10"/>
      <c r="V357" s="10"/>
      <c r="W357" s="6"/>
    </row>
    <row r="358" spans="1:23" x14ac:dyDescent="0.2">
      <c r="A358" s="27"/>
      <c r="B358" s="1"/>
      <c r="D358" s="11"/>
      <c r="E358" s="10"/>
      <c r="O358" s="10"/>
      <c r="V358" s="10"/>
      <c r="W358" s="6"/>
    </row>
    <row r="359" spans="1:23" x14ac:dyDescent="0.2">
      <c r="A359" s="27"/>
      <c r="B359" s="25"/>
      <c r="D359" s="11"/>
      <c r="E359" s="10"/>
      <c r="O359" s="10"/>
      <c r="V359" s="10"/>
      <c r="W359" s="6"/>
    </row>
    <row r="360" spans="1:23" x14ac:dyDescent="0.2">
      <c r="A360" s="27"/>
      <c r="B360" s="1"/>
      <c r="D360" s="11"/>
      <c r="E360" s="10"/>
      <c r="O360" s="10"/>
      <c r="V360" s="10"/>
      <c r="W360" s="6"/>
    </row>
    <row r="361" spans="1:23" x14ac:dyDescent="0.2">
      <c r="A361" s="27"/>
      <c r="B361" s="25"/>
      <c r="D361" s="11"/>
      <c r="E361" s="10"/>
      <c r="O361" s="10"/>
      <c r="V361" s="10"/>
      <c r="W361" s="6"/>
    </row>
    <row r="362" spans="1:23" x14ac:dyDescent="0.2">
      <c r="A362" s="27"/>
      <c r="B362" s="25"/>
      <c r="D362" s="11"/>
      <c r="E362" s="10"/>
      <c r="O362" s="10"/>
      <c r="V362" s="10"/>
      <c r="W362" s="6"/>
    </row>
    <row r="363" spans="1:23" x14ac:dyDescent="0.2">
      <c r="A363" s="27"/>
      <c r="B363" s="25"/>
      <c r="D363" s="11"/>
      <c r="E363" s="10"/>
      <c r="O363" s="10"/>
      <c r="V363" s="10"/>
      <c r="W363" s="6"/>
    </row>
    <row r="364" spans="1:23" x14ac:dyDescent="0.2">
      <c r="A364" s="27"/>
      <c r="B364" s="25"/>
      <c r="D364" s="11"/>
      <c r="E364" s="10"/>
      <c r="O364" s="10"/>
      <c r="V364" s="10"/>
      <c r="W364" s="6"/>
    </row>
    <row r="365" spans="1:23" x14ac:dyDescent="0.2">
      <c r="A365" s="27"/>
      <c r="B365" s="25"/>
      <c r="D365" s="11"/>
      <c r="E365" s="10"/>
      <c r="O365" s="10"/>
      <c r="V365" s="10"/>
      <c r="W365" s="6"/>
    </row>
    <row r="366" spans="1:23" x14ac:dyDescent="0.2">
      <c r="A366" s="27"/>
      <c r="B366" s="25"/>
      <c r="D366" s="11"/>
      <c r="E366" s="10"/>
      <c r="O366" s="10"/>
      <c r="V366" s="10"/>
      <c r="W366" s="6"/>
    </row>
    <row r="367" spans="1:23" x14ac:dyDescent="0.2">
      <c r="A367" s="27"/>
      <c r="B367" s="1"/>
      <c r="D367" s="11"/>
      <c r="E367" s="10"/>
      <c r="O367" s="10"/>
      <c r="V367" s="10"/>
      <c r="W367" s="6"/>
    </row>
    <row r="368" spans="1:23" x14ac:dyDescent="0.2">
      <c r="A368" s="27"/>
      <c r="B368" s="25"/>
      <c r="D368" s="11"/>
      <c r="E368" s="10"/>
      <c r="O368" s="10"/>
      <c r="V368" s="10"/>
      <c r="W368" s="6"/>
    </row>
    <row r="369" spans="1:23" x14ac:dyDescent="0.2">
      <c r="A369" s="27"/>
      <c r="B369" s="25"/>
      <c r="D369" s="11"/>
      <c r="E369" s="10"/>
      <c r="O369" s="10"/>
      <c r="V369" s="10"/>
      <c r="W369" s="6"/>
    </row>
    <row r="370" spans="1:23" x14ac:dyDescent="0.2">
      <c r="A370" s="27"/>
      <c r="B370" s="25"/>
      <c r="D370" s="11"/>
      <c r="E370" s="10"/>
      <c r="O370" s="10"/>
      <c r="V370" s="10"/>
      <c r="W370" s="6"/>
    </row>
    <row r="371" spans="1:23" x14ac:dyDescent="0.2">
      <c r="A371" s="27"/>
      <c r="B371" s="25"/>
      <c r="D371" s="11"/>
      <c r="E371" s="10"/>
      <c r="O371" s="10"/>
      <c r="V371" s="10"/>
      <c r="W371" s="6"/>
    </row>
    <row r="372" spans="1:23" x14ac:dyDescent="0.2">
      <c r="A372" s="27"/>
      <c r="B372" s="25"/>
      <c r="D372" s="11"/>
      <c r="E372" s="10"/>
      <c r="O372" s="10"/>
      <c r="V372" s="10"/>
      <c r="W372" s="6"/>
    </row>
    <row r="373" spans="1:23" x14ac:dyDescent="0.2">
      <c r="A373" s="27"/>
      <c r="B373" s="25"/>
      <c r="D373" s="11"/>
      <c r="E373" s="10"/>
      <c r="O373" s="10"/>
      <c r="V373" s="10"/>
      <c r="W373" s="6"/>
    </row>
    <row r="374" spans="1:23" x14ac:dyDescent="0.2">
      <c r="A374" s="27"/>
      <c r="B374" s="25"/>
      <c r="D374" s="11"/>
      <c r="E374" s="10"/>
      <c r="O374" s="10"/>
      <c r="V374" s="10"/>
      <c r="W374" s="6"/>
    </row>
    <row r="375" spans="1:23" x14ac:dyDescent="0.2">
      <c r="A375" s="27"/>
      <c r="B375" s="1"/>
      <c r="D375" s="11"/>
      <c r="E375" s="10"/>
      <c r="O375" s="10"/>
      <c r="V375" s="10"/>
      <c r="W375" s="6"/>
    </row>
    <row r="376" spans="1:23" x14ac:dyDescent="0.2">
      <c r="A376" s="27"/>
      <c r="B376" s="25"/>
      <c r="D376" s="11"/>
      <c r="E376" s="10"/>
      <c r="O376" s="10"/>
      <c r="V376" s="10"/>
      <c r="W376" s="6"/>
    </row>
    <row r="377" spans="1:23" x14ac:dyDescent="0.2">
      <c r="A377" s="27"/>
      <c r="B377" s="25"/>
      <c r="D377" s="11"/>
      <c r="E377" s="10"/>
      <c r="O377" s="10"/>
      <c r="V377" s="10"/>
      <c r="W377" s="6"/>
    </row>
    <row r="378" spans="1:23" x14ac:dyDescent="0.2">
      <c r="A378" s="27"/>
      <c r="B378" s="25"/>
      <c r="D378" s="11"/>
      <c r="E378" s="10"/>
      <c r="O378" s="10"/>
      <c r="V378" s="10"/>
      <c r="W378" s="6"/>
    </row>
    <row r="379" spans="1:23" x14ac:dyDescent="0.2">
      <c r="A379" s="27"/>
      <c r="B379" s="25"/>
      <c r="D379" s="11"/>
      <c r="E379" s="10"/>
      <c r="O379" s="10"/>
      <c r="V379" s="10"/>
      <c r="W379" s="6"/>
    </row>
    <row r="380" spans="1:23" x14ac:dyDescent="0.2">
      <c r="A380" s="27"/>
      <c r="B380" s="25"/>
      <c r="D380" s="11"/>
      <c r="E380" s="10"/>
      <c r="O380" s="10"/>
      <c r="V380" s="10"/>
      <c r="W380" s="6"/>
    </row>
    <row r="381" spans="1:23" x14ac:dyDescent="0.2">
      <c r="A381" s="27"/>
      <c r="B381" s="25"/>
      <c r="D381" s="11"/>
      <c r="E381" s="10"/>
      <c r="O381" s="10"/>
      <c r="V381" s="10"/>
      <c r="W381" s="6"/>
    </row>
    <row r="382" spans="1:23" x14ac:dyDescent="0.2">
      <c r="A382" s="27"/>
      <c r="B382" s="25"/>
      <c r="D382" s="11"/>
      <c r="E382" s="10"/>
      <c r="O382" s="10"/>
      <c r="V382" s="10"/>
      <c r="W382" s="6"/>
    </row>
    <row r="383" spans="1:23" x14ac:dyDescent="0.2">
      <c r="A383" s="27"/>
      <c r="B383" s="25"/>
      <c r="D383" s="11"/>
      <c r="E383" s="10"/>
      <c r="O383" s="10"/>
      <c r="V383" s="10"/>
      <c r="W383" s="6"/>
    </row>
    <row r="384" spans="1:23" x14ac:dyDescent="0.2">
      <c r="A384" s="27"/>
      <c r="B384" s="25"/>
      <c r="D384" s="11"/>
      <c r="E384" s="10"/>
      <c r="O384" s="10"/>
      <c r="V384" s="10"/>
      <c r="W384" s="6"/>
    </row>
    <row r="385" spans="1:23" x14ac:dyDescent="0.2">
      <c r="A385" s="27"/>
      <c r="B385" s="25"/>
      <c r="D385" s="11"/>
      <c r="E385" s="10"/>
      <c r="O385" s="10"/>
      <c r="V385" s="10"/>
      <c r="W385" s="6"/>
    </row>
    <row r="386" spans="1:23" x14ac:dyDescent="0.2">
      <c r="A386" s="27"/>
      <c r="B386" s="25"/>
      <c r="D386" s="11"/>
      <c r="E386" s="10"/>
      <c r="O386" s="10"/>
      <c r="V386" s="10"/>
      <c r="W386" s="6"/>
    </row>
    <row r="387" spans="1:23" x14ac:dyDescent="0.2">
      <c r="A387" s="27"/>
      <c r="B387" s="25"/>
      <c r="D387" s="11"/>
      <c r="E387" s="10"/>
      <c r="O387" s="10"/>
      <c r="V387" s="10"/>
      <c r="W387" s="6"/>
    </row>
    <row r="388" spans="1:23" x14ac:dyDescent="0.2">
      <c r="A388" s="27"/>
      <c r="B388" s="25"/>
      <c r="D388" s="11"/>
      <c r="E388" s="10"/>
      <c r="O388" s="10"/>
      <c r="V388" s="10"/>
      <c r="W388" s="6"/>
    </row>
    <row r="389" spans="1:23" x14ac:dyDescent="0.2">
      <c r="A389" s="27"/>
      <c r="B389" s="1"/>
      <c r="D389" s="11"/>
      <c r="E389" s="10"/>
      <c r="O389" s="10"/>
      <c r="V389" s="10"/>
      <c r="W389" s="6"/>
    </row>
    <row r="390" spans="1:23" x14ac:dyDescent="0.2">
      <c r="A390" s="27"/>
      <c r="B390" s="25"/>
      <c r="D390" s="11"/>
      <c r="E390" s="10"/>
      <c r="O390" s="10"/>
      <c r="V390" s="10"/>
      <c r="W390" s="6"/>
    </row>
    <row r="391" spans="1:23" x14ac:dyDescent="0.2">
      <c r="A391" s="27"/>
      <c r="B391" s="25"/>
      <c r="D391" s="11"/>
      <c r="E391" s="10"/>
      <c r="O391" s="10"/>
      <c r="V391" s="10"/>
      <c r="W391" s="6"/>
    </row>
    <row r="392" spans="1:23" x14ac:dyDescent="0.2">
      <c r="A392" s="27"/>
      <c r="B392" s="25"/>
      <c r="D392" s="11"/>
      <c r="E392" s="10"/>
      <c r="O392" s="10"/>
      <c r="V392" s="10"/>
      <c r="W392" s="6"/>
    </row>
    <row r="393" spans="1:23" x14ac:dyDescent="0.2">
      <c r="A393" s="27"/>
      <c r="B393" s="25"/>
      <c r="D393" s="11"/>
      <c r="E393" s="10"/>
      <c r="O393" s="10"/>
      <c r="V393" s="10"/>
      <c r="W393" s="6"/>
    </row>
    <row r="394" spans="1:23" x14ac:dyDescent="0.2">
      <c r="A394" s="27"/>
      <c r="B394" s="25"/>
      <c r="D394" s="11"/>
      <c r="E394" s="10"/>
      <c r="O394" s="10"/>
      <c r="V394" s="10"/>
      <c r="W394" s="6"/>
    </row>
    <row r="395" spans="1:23" x14ac:dyDescent="0.2">
      <c r="A395" s="27"/>
      <c r="B395" s="25"/>
      <c r="D395" s="11"/>
      <c r="E395" s="10"/>
      <c r="O395" s="10"/>
      <c r="V395" s="10"/>
      <c r="W395" s="6"/>
    </row>
    <row r="396" spans="1:23" x14ac:dyDescent="0.2">
      <c r="A396" s="27"/>
      <c r="B396" s="25"/>
      <c r="D396" s="11"/>
      <c r="E396" s="10"/>
      <c r="O396" s="10"/>
      <c r="V396" s="10"/>
      <c r="W396" s="6"/>
    </row>
    <row r="397" spans="1:23" x14ac:dyDescent="0.2">
      <c r="A397" s="27"/>
      <c r="B397" s="25"/>
      <c r="D397" s="11"/>
      <c r="E397" s="10"/>
      <c r="O397" s="10"/>
      <c r="V397" s="10"/>
      <c r="W397" s="6"/>
    </row>
    <row r="398" spans="1:23" x14ac:dyDescent="0.2">
      <c r="A398" s="27"/>
      <c r="B398" s="25"/>
      <c r="D398" s="11"/>
      <c r="E398" s="10"/>
      <c r="O398" s="10"/>
      <c r="V398" s="10"/>
      <c r="W398" s="6"/>
    </row>
    <row r="399" spans="1:23" x14ac:dyDescent="0.2">
      <c r="A399" s="27"/>
      <c r="B399" s="25"/>
      <c r="D399" s="11"/>
      <c r="E399" s="10"/>
      <c r="O399" s="10"/>
      <c r="V399" s="10"/>
      <c r="W399" s="6"/>
    </row>
    <row r="400" spans="1:23" x14ac:dyDescent="0.2">
      <c r="A400" s="27"/>
      <c r="B400" s="25"/>
      <c r="D400" s="11"/>
      <c r="E400" s="10"/>
      <c r="O400" s="10"/>
      <c r="V400" s="10"/>
      <c r="W400" s="6"/>
    </row>
    <row r="401" spans="1:23" x14ac:dyDescent="0.2">
      <c r="A401" s="27"/>
      <c r="B401" s="25"/>
      <c r="D401" s="11"/>
      <c r="E401" s="10"/>
      <c r="O401" s="10"/>
      <c r="V401" s="10"/>
      <c r="W401" s="6"/>
    </row>
    <row r="402" spans="1:23" x14ac:dyDescent="0.2">
      <c r="A402" s="27"/>
      <c r="B402" s="25"/>
      <c r="D402" s="11"/>
      <c r="E402" s="10"/>
      <c r="O402" s="10"/>
      <c r="V402" s="10"/>
      <c r="W402" s="6"/>
    </row>
    <row r="403" spans="1:23" x14ac:dyDescent="0.2">
      <c r="A403" s="27"/>
      <c r="B403" s="25"/>
      <c r="D403" s="11"/>
      <c r="E403" s="10"/>
      <c r="O403" s="10"/>
      <c r="V403" s="10"/>
      <c r="W403" s="6"/>
    </row>
    <row r="404" spans="1:23" x14ac:dyDescent="0.2">
      <c r="A404" s="27"/>
      <c r="B404" s="1"/>
      <c r="D404" s="11"/>
      <c r="E404" s="10"/>
      <c r="O404" s="10"/>
      <c r="V404" s="10"/>
      <c r="W404" s="6"/>
    </row>
    <row r="405" spans="1:23" x14ac:dyDescent="0.2">
      <c r="A405" s="27"/>
      <c r="B405" s="25"/>
      <c r="D405" s="11"/>
      <c r="E405" s="10"/>
      <c r="O405" s="10"/>
      <c r="V405" s="10"/>
      <c r="W405" s="6"/>
    </row>
    <row r="406" spans="1:23" x14ac:dyDescent="0.2">
      <c r="A406" s="27"/>
      <c r="B406" s="25"/>
      <c r="D406" s="11"/>
      <c r="E406" s="10"/>
      <c r="O406" s="10"/>
      <c r="V406" s="10"/>
      <c r="W406" s="6"/>
    </row>
    <row r="407" spans="1:23" x14ac:dyDescent="0.2">
      <c r="A407" s="27"/>
      <c r="B407" s="25"/>
      <c r="D407" s="11"/>
      <c r="E407" s="10"/>
      <c r="O407" s="10"/>
      <c r="V407" s="10"/>
      <c r="W407" s="6"/>
    </row>
    <row r="408" spans="1:23" x14ac:dyDescent="0.2">
      <c r="A408" s="27"/>
      <c r="B408" s="25"/>
      <c r="D408" s="11"/>
      <c r="E408" s="10"/>
      <c r="O408" s="10"/>
      <c r="V408" s="10"/>
      <c r="W408" s="6"/>
    </row>
    <row r="409" spans="1:23" x14ac:dyDescent="0.2">
      <c r="A409" s="27"/>
      <c r="B409" s="25"/>
      <c r="D409" s="11"/>
      <c r="E409" s="10"/>
      <c r="O409" s="10"/>
      <c r="V409" s="10"/>
      <c r="W409" s="6"/>
    </row>
    <row r="410" spans="1:23" x14ac:dyDescent="0.2">
      <c r="A410" s="27"/>
      <c r="B410" s="25"/>
      <c r="D410" s="11"/>
      <c r="E410" s="10"/>
      <c r="O410" s="10"/>
      <c r="V410" s="10"/>
      <c r="W410" s="6"/>
    </row>
    <row r="411" spans="1:23" x14ac:dyDescent="0.2">
      <c r="A411" s="27"/>
      <c r="B411" s="25"/>
      <c r="D411" s="11"/>
      <c r="E411" s="10"/>
      <c r="O411" s="10"/>
      <c r="V411" s="10"/>
      <c r="W411" s="6"/>
    </row>
    <row r="412" spans="1:23" x14ac:dyDescent="0.2">
      <c r="A412" s="27"/>
      <c r="B412" s="25"/>
      <c r="D412" s="11"/>
      <c r="E412" s="10"/>
      <c r="O412" s="10"/>
      <c r="V412" s="10"/>
      <c r="W412" s="6"/>
    </row>
    <row r="413" spans="1:23" x14ac:dyDescent="0.2">
      <c r="A413" s="27"/>
      <c r="B413" s="1"/>
      <c r="D413" s="11"/>
      <c r="E413" s="10"/>
      <c r="O413" s="10"/>
      <c r="V413" s="10"/>
      <c r="W413" s="6"/>
    </row>
    <row r="414" spans="1:23" x14ac:dyDescent="0.2">
      <c r="A414" s="27"/>
      <c r="B414" s="25"/>
      <c r="D414" s="11"/>
      <c r="E414" s="10"/>
      <c r="O414" s="10"/>
      <c r="V414" s="10"/>
      <c r="W414" s="6"/>
    </row>
    <row r="415" spans="1:23" x14ac:dyDescent="0.2">
      <c r="A415" s="27"/>
      <c r="B415" s="25"/>
      <c r="D415" s="11"/>
      <c r="E415" s="10"/>
      <c r="O415" s="10"/>
      <c r="V415" s="10"/>
      <c r="W415" s="6"/>
    </row>
    <row r="416" spans="1:23" x14ac:dyDescent="0.2">
      <c r="A416" s="27"/>
      <c r="B416" s="25"/>
      <c r="D416" s="11"/>
      <c r="E416" s="10"/>
      <c r="O416" s="10"/>
      <c r="V416" s="10"/>
      <c r="W416" s="6"/>
    </row>
    <row r="417" spans="1:23" x14ac:dyDescent="0.2">
      <c r="A417" s="27"/>
      <c r="B417" s="25"/>
      <c r="D417" s="11"/>
      <c r="E417" s="10"/>
      <c r="O417" s="10"/>
      <c r="V417" s="10"/>
      <c r="W417" s="6"/>
    </row>
    <row r="418" spans="1:23" x14ac:dyDescent="0.2">
      <c r="A418" s="27"/>
      <c r="B418" s="25"/>
      <c r="D418" s="11"/>
      <c r="E418" s="10"/>
      <c r="O418" s="10"/>
      <c r="V418" s="10"/>
      <c r="W418" s="6"/>
    </row>
    <row r="419" spans="1:23" x14ac:dyDescent="0.2">
      <c r="A419" s="27"/>
      <c r="B419" s="25"/>
      <c r="D419" s="11"/>
      <c r="E419" s="10"/>
      <c r="O419" s="10"/>
      <c r="V419" s="10"/>
      <c r="W419" s="6"/>
    </row>
    <row r="420" spans="1:23" x14ac:dyDescent="0.2">
      <c r="A420" s="27"/>
      <c r="B420" s="25"/>
      <c r="D420" s="11"/>
      <c r="E420" s="10"/>
      <c r="O420" s="10"/>
      <c r="V420" s="10"/>
      <c r="W420" s="6"/>
    </row>
    <row r="421" spans="1:23" x14ac:dyDescent="0.2">
      <c r="A421" s="27"/>
      <c r="B421" s="25"/>
      <c r="D421" s="11"/>
      <c r="E421" s="10"/>
      <c r="O421" s="10"/>
      <c r="V421" s="10"/>
      <c r="W421" s="6"/>
    </row>
    <row r="422" spans="1:23" x14ac:dyDescent="0.2">
      <c r="A422" s="27"/>
      <c r="B422" s="25"/>
      <c r="D422" s="11"/>
      <c r="E422" s="10"/>
      <c r="O422" s="10"/>
      <c r="V422" s="10"/>
      <c r="W422" s="6"/>
    </row>
    <row r="423" spans="1:23" x14ac:dyDescent="0.2">
      <c r="A423" s="27"/>
      <c r="B423" s="25"/>
      <c r="D423" s="11"/>
      <c r="E423" s="10"/>
      <c r="O423" s="10"/>
      <c r="V423" s="10"/>
      <c r="W423" s="6"/>
    </row>
    <row r="424" spans="1:23" x14ac:dyDescent="0.2">
      <c r="A424" s="27"/>
      <c r="B424" s="25"/>
      <c r="D424" s="11"/>
      <c r="E424" s="10"/>
      <c r="O424" s="10"/>
      <c r="V424" s="10"/>
      <c r="W424" s="6"/>
    </row>
    <row r="425" spans="1:23" x14ac:dyDescent="0.2">
      <c r="A425" s="27"/>
      <c r="B425" s="25"/>
      <c r="D425" s="11"/>
      <c r="E425" s="10"/>
      <c r="O425" s="10"/>
      <c r="V425" s="10"/>
      <c r="W425" s="6"/>
    </row>
    <row r="426" spans="1:23" x14ac:dyDescent="0.2">
      <c r="A426" s="27"/>
      <c r="B426" s="25"/>
      <c r="D426" s="11"/>
      <c r="E426" s="10"/>
      <c r="O426" s="10"/>
      <c r="V426" s="10"/>
      <c r="W426" s="6"/>
    </row>
    <row r="427" spans="1:23" x14ac:dyDescent="0.2">
      <c r="A427" s="27"/>
      <c r="B427" s="1"/>
      <c r="D427" s="11"/>
      <c r="E427" s="10"/>
      <c r="O427" s="10"/>
      <c r="V427" s="10"/>
      <c r="W427" s="6"/>
    </row>
    <row r="428" spans="1:23" x14ac:dyDescent="0.2">
      <c r="A428" s="27"/>
      <c r="B428" s="25"/>
      <c r="D428" s="11"/>
      <c r="E428" s="10"/>
      <c r="O428" s="10"/>
      <c r="V428" s="10"/>
      <c r="W428" s="6"/>
    </row>
    <row r="429" spans="1:23" x14ac:dyDescent="0.2">
      <c r="A429" s="27"/>
      <c r="B429" s="25"/>
      <c r="D429" s="11"/>
      <c r="E429" s="10"/>
      <c r="O429" s="10"/>
      <c r="V429" s="10"/>
      <c r="W429" s="6"/>
    </row>
    <row r="430" spans="1:23" x14ac:dyDescent="0.2">
      <c r="A430" s="27"/>
      <c r="B430" s="25"/>
      <c r="D430" s="11"/>
      <c r="E430" s="10"/>
      <c r="O430" s="10"/>
      <c r="V430" s="10"/>
      <c r="W430" s="6"/>
    </row>
    <row r="431" spans="1:23" x14ac:dyDescent="0.2">
      <c r="A431" s="27"/>
      <c r="B431" s="1"/>
      <c r="D431" s="11"/>
      <c r="E431" s="10"/>
      <c r="O431" s="10"/>
      <c r="V431" s="10"/>
      <c r="W431" s="6"/>
    </row>
    <row r="432" spans="1:23" x14ac:dyDescent="0.2">
      <c r="A432" s="27"/>
      <c r="B432" s="25"/>
      <c r="D432" s="11"/>
      <c r="E432" s="10"/>
      <c r="O432" s="10"/>
      <c r="V432" s="10"/>
      <c r="W432" s="6"/>
    </row>
    <row r="433" spans="1:23" x14ac:dyDescent="0.2">
      <c r="A433" s="27"/>
      <c r="B433" s="25"/>
      <c r="D433" s="11"/>
      <c r="E433" s="10"/>
      <c r="O433" s="10"/>
      <c r="V433" s="10"/>
      <c r="W433" s="6"/>
    </row>
    <row r="434" spans="1:23" x14ac:dyDescent="0.2">
      <c r="A434" s="27"/>
      <c r="B434" s="25"/>
      <c r="D434" s="11"/>
      <c r="E434" s="10"/>
      <c r="O434" s="10"/>
      <c r="V434" s="10"/>
      <c r="W434" s="6"/>
    </row>
    <row r="435" spans="1:23" x14ac:dyDescent="0.2">
      <c r="A435" s="27"/>
      <c r="B435" s="1"/>
      <c r="D435" s="11"/>
      <c r="E435" s="10"/>
      <c r="O435" s="10"/>
      <c r="V435" s="10"/>
      <c r="W435" s="6"/>
    </row>
    <row r="436" spans="1:23" x14ac:dyDescent="0.2">
      <c r="A436" s="27"/>
      <c r="B436" s="25"/>
      <c r="D436" s="11"/>
      <c r="E436" s="10"/>
      <c r="O436" s="10"/>
      <c r="V436" s="10"/>
      <c r="W436" s="6"/>
    </row>
    <row r="437" spans="1:23" x14ac:dyDescent="0.2">
      <c r="A437" s="27"/>
      <c r="B437" s="25"/>
      <c r="D437" s="11"/>
      <c r="E437" s="10"/>
      <c r="O437" s="10"/>
      <c r="V437" s="10"/>
    </row>
    <row r="438" spans="1:23" x14ac:dyDescent="0.2">
      <c r="A438" s="27"/>
      <c r="B438" s="1"/>
      <c r="D438" s="11"/>
      <c r="E438" s="10"/>
      <c r="O438" s="10"/>
      <c r="V438" s="10"/>
      <c r="W438" s="6"/>
    </row>
    <row r="439" spans="1:23" x14ac:dyDescent="0.2">
      <c r="A439" s="27"/>
      <c r="B439" s="25"/>
      <c r="D439" s="11"/>
      <c r="E439" s="10"/>
      <c r="O439" s="10"/>
      <c r="V439" s="10"/>
      <c r="W439" s="6"/>
    </row>
    <row r="440" spans="1:23" x14ac:dyDescent="0.2">
      <c r="A440" s="27"/>
      <c r="B440" s="1"/>
      <c r="D440" s="11"/>
      <c r="E440" s="10"/>
      <c r="O440" s="10"/>
      <c r="V440" s="10"/>
      <c r="W440" s="6"/>
    </row>
    <row r="441" spans="1:23" x14ac:dyDescent="0.2">
      <c r="A441" s="27"/>
      <c r="B441" s="25"/>
      <c r="D441" s="11"/>
      <c r="E441" s="10"/>
      <c r="O441" s="10"/>
      <c r="V441" s="10"/>
      <c r="W441" s="6"/>
    </row>
    <row r="442" spans="1:23" x14ac:dyDescent="0.2">
      <c r="A442" s="27"/>
      <c r="B442" s="1"/>
      <c r="D442" s="11"/>
      <c r="E442" s="10"/>
      <c r="O442" s="10"/>
      <c r="V442" s="10"/>
      <c r="W442" s="6"/>
    </row>
    <row r="443" spans="1:23" x14ac:dyDescent="0.2">
      <c r="A443" s="27"/>
      <c r="B443" s="25"/>
      <c r="D443" s="11"/>
      <c r="E443" s="10"/>
      <c r="O443" s="10"/>
      <c r="V443" s="10"/>
      <c r="W443" s="6"/>
    </row>
    <row r="444" spans="1:23" x14ac:dyDescent="0.2">
      <c r="A444" s="27"/>
      <c r="B444" s="25"/>
      <c r="D444" s="11"/>
      <c r="E444" s="10"/>
      <c r="O444" s="10"/>
      <c r="V444" s="10"/>
      <c r="W444" s="6"/>
    </row>
    <row r="445" spans="1:23" x14ac:dyDescent="0.2">
      <c r="A445" s="27"/>
      <c r="B445" s="25"/>
      <c r="D445" s="11"/>
      <c r="E445" s="10"/>
      <c r="O445" s="10"/>
      <c r="V445" s="10"/>
      <c r="W445" s="6"/>
    </row>
    <row r="446" spans="1:23" x14ac:dyDescent="0.2">
      <c r="A446" s="27"/>
      <c r="B446" s="25"/>
      <c r="D446" s="11"/>
      <c r="E446" s="10"/>
      <c r="O446" s="10"/>
      <c r="V446" s="10"/>
      <c r="W446" s="6"/>
    </row>
    <row r="447" spans="1:23" x14ac:dyDescent="0.2">
      <c r="A447" s="27"/>
      <c r="B447" s="1"/>
      <c r="D447" s="11"/>
      <c r="E447" s="10"/>
      <c r="O447" s="10"/>
      <c r="V447" s="10"/>
      <c r="W447" s="6"/>
    </row>
    <row r="448" spans="1:23" x14ac:dyDescent="0.2">
      <c r="A448" s="27"/>
      <c r="B448" s="25"/>
      <c r="D448" s="11"/>
      <c r="E448" s="10"/>
      <c r="O448" s="10"/>
      <c r="V448" s="10"/>
      <c r="W448" s="6"/>
    </row>
    <row r="449" spans="1:23" x14ac:dyDescent="0.2">
      <c r="A449" s="27"/>
      <c r="B449" s="25"/>
      <c r="D449" s="11"/>
      <c r="E449" s="10"/>
      <c r="O449" s="10"/>
      <c r="V449" s="10"/>
      <c r="W449" s="6"/>
    </row>
    <row r="450" spans="1:23" x14ac:dyDescent="0.2">
      <c r="A450" s="27"/>
      <c r="B450" s="25"/>
      <c r="D450" s="11"/>
      <c r="E450" s="10"/>
      <c r="O450" s="10"/>
      <c r="V450" s="10"/>
      <c r="W450" s="6"/>
    </row>
    <row r="451" spans="1:23" x14ac:dyDescent="0.2">
      <c r="A451" s="27"/>
      <c r="B451" s="25"/>
      <c r="D451" s="11"/>
      <c r="E451" s="10"/>
      <c r="O451" s="10"/>
      <c r="V451" s="10"/>
      <c r="W451" s="6"/>
    </row>
    <row r="452" spans="1:23" x14ac:dyDescent="0.2">
      <c r="A452" s="27"/>
      <c r="B452" s="25"/>
      <c r="D452" s="11"/>
      <c r="E452" s="10"/>
      <c r="O452" s="10"/>
      <c r="V452" s="10"/>
      <c r="W452" s="6"/>
    </row>
    <row r="453" spans="1:23" x14ac:dyDescent="0.2">
      <c r="A453" s="27"/>
      <c r="B453" s="25"/>
      <c r="D453" s="11"/>
      <c r="E453" s="10"/>
      <c r="O453" s="10"/>
      <c r="V453" s="10"/>
      <c r="W453" s="6"/>
    </row>
    <row r="454" spans="1:23" x14ac:dyDescent="0.2">
      <c r="A454" s="27"/>
      <c r="B454" s="1"/>
      <c r="D454" s="11"/>
      <c r="E454" s="10"/>
      <c r="O454" s="10"/>
      <c r="V454" s="10"/>
      <c r="W454" s="6"/>
    </row>
    <row r="455" spans="1:23" x14ac:dyDescent="0.2">
      <c r="A455" s="27"/>
      <c r="B455" s="25"/>
      <c r="D455" s="11"/>
      <c r="E455" s="10"/>
      <c r="O455" s="10"/>
      <c r="V455" s="10"/>
      <c r="W455" s="6"/>
    </row>
    <row r="456" spans="1:23" x14ac:dyDescent="0.2">
      <c r="A456" s="27"/>
      <c r="B456" s="25"/>
      <c r="D456" s="11"/>
      <c r="E456" s="10"/>
      <c r="O456" s="10"/>
      <c r="V456" s="10"/>
      <c r="W456" s="6"/>
    </row>
    <row r="457" spans="1:23" x14ac:dyDescent="0.2">
      <c r="A457" s="27"/>
      <c r="B457" s="25"/>
      <c r="D457" s="11"/>
      <c r="E457" s="10"/>
      <c r="O457" s="10"/>
      <c r="V457" s="10"/>
      <c r="W457" s="6"/>
    </row>
    <row r="458" spans="1:23" x14ac:dyDescent="0.2">
      <c r="A458" s="27"/>
      <c r="B458" s="25"/>
      <c r="D458" s="11"/>
      <c r="E458" s="10"/>
      <c r="O458" s="10"/>
      <c r="V458" s="10"/>
      <c r="W458" s="6"/>
    </row>
    <row r="459" spans="1:23" x14ac:dyDescent="0.2">
      <c r="A459" s="27"/>
      <c r="B459" s="25"/>
      <c r="D459" s="11"/>
      <c r="E459" s="10"/>
      <c r="O459" s="10"/>
      <c r="V459" s="10"/>
      <c r="W459" s="6"/>
    </row>
    <row r="460" spans="1:23" x14ac:dyDescent="0.2">
      <c r="A460" s="27"/>
      <c r="B460" s="25"/>
      <c r="D460" s="11"/>
      <c r="E460" s="10"/>
      <c r="O460" s="10"/>
      <c r="V460" s="10"/>
      <c r="W460" s="6"/>
    </row>
    <row r="461" spans="1:23" x14ac:dyDescent="0.2">
      <c r="A461" s="27"/>
      <c r="B461" s="1"/>
      <c r="D461" s="11"/>
      <c r="E461" s="10"/>
      <c r="O461" s="10"/>
      <c r="V461" s="10"/>
      <c r="W461" s="6"/>
    </row>
    <row r="462" spans="1:23" x14ac:dyDescent="0.2">
      <c r="A462" s="27"/>
      <c r="B462" s="1"/>
      <c r="D462" s="11"/>
      <c r="E462" s="10"/>
      <c r="O462" s="10"/>
      <c r="V462" s="10"/>
      <c r="W462" s="6"/>
    </row>
    <row r="463" spans="1:23" x14ac:dyDescent="0.2">
      <c r="A463" s="27"/>
      <c r="B463" s="1"/>
      <c r="D463" s="11"/>
      <c r="E463" s="10"/>
      <c r="O463" s="10"/>
      <c r="V463" s="10"/>
      <c r="W463" s="6"/>
    </row>
    <row r="464" spans="1:23" x14ac:dyDescent="0.2">
      <c r="A464" s="27"/>
      <c r="B464" s="25"/>
      <c r="D464" s="11"/>
      <c r="E464" s="10"/>
      <c r="O464" s="10"/>
      <c r="V464" s="10"/>
      <c r="W464" s="6"/>
    </row>
    <row r="465" spans="1:23" x14ac:dyDescent="0.2">
      <c r="A465" s="27"/>
      <c r="B465" s="25"/>
      <c r="D465" s="11"/>
      <c r="E465" s="10"/>
      <c r="O465" s="10"/>
      <c r="V465" s="10"/>
      <c r="W465" s="6"/>
    </row>
    <row r="466" spans="1:23" x14ac:dyDescent="0.2">
      <c r="A466" s="27"/>
      <c r="B466" s="25"/>
      <c r="D466" s="11"/>
      <c r="E466" s="10"/>
      <c r="O466" s="10"/>
      <c r="V466" s="10"/>
      <c r="W466" s="6"/>
    </row>
    <row r="467" spans="1:23" x14ac:dyDescent="0.2">
      <c r="A467" s="27"/>
      <c r="B467" s="25"/>
      <c r="D467" s="11"/>
      <c r="E467" s="10"/>
      <c r="O467" s="10"/>
      <c r="V467" s="10"/>
      <c r="W467" s="6"/>
    </row>
    <row r="468" spans="1:23" x14ac:dyDescent="0.2">
      <c r="A468" s="27"/>
      <c r="B468" s="1"/>
      <c r="D468" s="11"/>
      <c r="E468" s="10"/>
      <c r="O468" s="10"/>
      <c r="V468" s="10"/>
      <c r="W468" s="6"/>
    </row>
    <row r="469" spans="1:23" x14ac:dyDescent="0.2">
      <c r="A469" s="27"/>
      <c r="B469" s="1"/>
      <c r="D469" s="11"/>
      <c r="E469" s="10"/>
      <c r="O469" s="10"/>
      <c r="V469" s="10"/>
      <c r="W469" s="6"/>
    </row>
    <row r="470" spans="1:23" x14ac:dyDescent="0.2">
      <c r="A470" s="27"/>
      <c r="B470" s="25"/>
      <c r="D470" s="11"/>
      <c r="E470" s="10"/>
      <c r="O470" s="10"/>
      <c r="V470" s="10"/>
      <c r="W470" s="6"/>
    </row>
    <row r="471" spans="1:23" x14ac:dyDescent="0.2">
      <c r="A471" s="27"/>
      <c r="B471" s="25"/>
      <c r="D471" s="11"/>
      <c r="E471" s="10"/>
      <c r="O471" s="10"/>
      <c r="V471" s="10"/>
      <c r="W471" s="6"/>
    </row>
    <row r="472" spans="1:23" x14ac:dyDescent="0.2">
      <c r="A472" s="27"/>
      <c r="B472" s="1"/>
      <c r="D472" s="11"/>
      <c r="E472" s="10"/>
      <c r="O472" s="10"/>
      <c r="V472" s="10"/>
      <c r="W472" s="6"/>
    </row>
    <row r="473" spans="1:23" x14ac:dyDescent="0.2">
      <c r="A473" s="27"/>
      <c r="B473" s="25"/>
      <c r="D473" s="11"/>
      <c r="E473" s="10"/>
      <c r="O473" s="10"/>
      <c r="V473" s="10"/>
      <c r="W473" s="6"/>
    </row>
    <row r="474" spans="1:23" x14ac:dyDescent="0.2">
      <c r="A474" s="27"/>
      <c r="B474" s="1"/>
      <c r="D474" s="11"/>
      <c r="E474" s="10"/>
      <c r="O474" s="10"/>
      <c r="V474" s="10"/>
      <c r="W474" s="6"/>
    </row>
    <row r="475" spans="1:23" x14ac:dyDescent="0.2">
      <c r="A475" s="27"/>
      <c r="B475" s="25"/>
      <c r="D475" s="11"/>
      <c r="E475" s="10"/>
      <c r="O475" s="10"/>
      <c r="V475" s="10"/>
      <c r="W475" s="6"/>
    </row>
    <row r="476" spans="1:23" x14ac:dyDescent="0.2">
      <c r="A476" s="27"/>
      <c r="B476" s="25"/>
      <c r="D476" s="11"/>
      <c r="E476" s="10"/>
      <c r="O476" s="10"/>
      <c r="V476" s="10"/>
      <c r="W476" s="6"/>
    </row>
    <row r="477" spans="1:23" x14ac:dyDescent="0.2">
      <c r="A477" s="27"/>
      <c r="B477" s="25"/>
      <c r="D477" s="11"/>
      <c r="E477" s="10"/>
      <c r="O477" s="10"/>
      <c r="V477" s="10"/>
      <c r="W477" s="6"/>
    </row>
    <row r="478" spans="1:23" x14ac:dyDescent="0.2">
      <c r="A478" s="27"/>
      <c r="B478" s="25"/>
      <c r="D478" s="11"/>
      <c r="E478" s="10"/>
      <c r="O478" s="10"/>
      <c r="V478" s="10"/>
      <c r="W478" s="6"/>
    </row>
    <row r="479" spans="1:23" x14ac:dyDescent="0.2">
      <c r="A479" s="27"/>
      <c r="B479" s="25"/>
      <c r="D479" s="11"/>
      <c r="E479" s="10"/>
      <c r="O479" s="10"/>
      <c r="V479" s="10"/>
      <c r="W479" s="6"/>
    </row>
    <row r="480" spans="1:23" x14ac:dyDescent="0.2">
      <c r="A480" s="27"/>
      <c r="B480" s="25"/>
      <c r="D480" s="11"/>
      <c r="E480" s="10"/>
      <c r="O480" s="10"/>
      <c r="V480" s="10"/>
      <c r="W480" s="6"/>
    </row>
    <row r="481" spans="1:23" x14ac:dyDescent="0.2">
      <c r="A481" s="27"/>
      <c r="B481" s="25"/>
      <c r="D481" s="11"/>
      <c r="E481" s="10"/>
      <c r="O481" s="10"/>
      <c r="V481" s="10"/>
      <c r="W481" s="6"/>
    </row>
    <row r="482" spans="1:23" x14ac:dyDescent="0.2">
      <c r="A482" s="27"/>
      <c r="B482" s="25"/>
      <c r="D482" s="11"/>
      <c r="E482" s="10"/>
      <c r="O482" s="10"/>
      <c r="V482" s="10"/>
      <c r="W482" s="6"/>
    </row>
    <row r="483" spans="1:23" x14ac:dyDescent="0.2">
      <c r="A483" s="27"/>
      <c r="B483" s="25"/>
      <c r="D483" s="11"/>
      <c r="E483" s="10"/>
      <c r="O483" s="10"/>
      <c r="V483" s="10"/>
      <c r="W483" s="6"/>
    </row>
    <row r="484" spans="1:23" x14ac:dyDescent="0.2">
      <c r="A484" s="27"/>
      <c r="B484" s="25"/>
      <c r="D484" s="11"/>
      <c r="E484" s="10"/>
      <c r="O484" s="10"/>
      <c r="V484" s="10"/>
      <c r="W484" s="6"/>
    </row>
    <row r="485" spans="1:23" x14ac:dyDescent="0.2">
      <c r="A485" s="27"/>
      <c r="B485" s="25"/>
      <c r="D485" s="11"/>
      <c r="E485" s="10"/>
      <c r="O485" s="10"/>
      <c r="V485" s="10"/>
      <c r="W485" s="6"/>
    </row>
    <row r="486" spans="1:23" x14ac:dyDescent="0.2">
      <c r="A486" s="27"/>
      <c r="B486" s="25"/>
      <c r="D486" s="11"/>
      <c r="E486" s="10"/>
      <c r="O486" s="10"/>
      <c r="V486" s="10"/>
      <c r="W486" s="6"/>
    </row>
    <row r="487" spans="1:23" x14ac:dyDescent="0.2">
      <c r="A487" s="27"/>
      <c r="B487" s="25"/>
      <c r="D487" s="11"/>
      <c r="E487" s="10"/>
      <c r="O487" s="10"/>
      <c r="V487" s="10"/>
      <c r="W487" s="6"/>
    </row>
    <row r="488" spans="1:23" x14ac:dyDescent="0.2">
      <c r="A488" s="27"/>
      <c r="B488" s="25"/>
      <c r="D488" s="11"/>
      <c r="E488" s="10"/>
      <c r="O488" s="10"/>
      <c r="V488" s="10"/>
      <c r="W488" s="6"/>
    </row>
    <row r="489" spans="1:23" x14ac:dyDescent="0.2">
      <c r="A489" s="27"/>
      <c r="B489" s="25"/>
      <c r="D489" s="11"/>
      <c r="E489" s="10"/>
      <c r="O489" s="10"/>
      <c r="V489" s="10"/>
      <c r="W489" s="6"/>
    </row>
    <row r="490" spans="1:23" x14ac:dyDescent="0.2">
      <c r="A490" s="27"/>
      <c r="B490" s="25"/>
      <c r="D490" s="11"/>
      <c r="E490" s="10"/>
      <c r="O490" s="10"/>
      <c r="V490" s="10"/>
      <c r="W490" s="6"/>
    </row>
    <row r="491" spans="1:23" x14ac:dyDescent="0.2">
      <c r="A491" s="27"/>
      <c r="B491" s="25"/>
      <c r="D491" s="11"/>
      <c r="E491" s="10"/>
      <c r="O491" s="10"/>
      <c r="V491" s="10"/>
      <c r="W491" s="6"/>
    </row>
    <row r="492" spans="1:23" x14ac:dyDescent="0.2">
      <c r="A492" s="27"/>
      <c r="B492" s="25"/>
      <c r="D492" s="11"/>
      <c r="E492" s="10"/>
      <c r="O492" s="10"/>
      <c r="V492" s="10"/>
      <c r="W492" s="6"/>
    </row>
    <row r="493" spans="1:23" x14ac:dyDescent="0.2">
      <c r="A493" s="27"/>
      <c r="B493" s="1"/>
      <c r="D493" s="11"/>
      <c r="E493" s="10"/>
      <c r="O493" s="10"/>
      <c r="V493" s="10"/>
      <c r="W493" s="6"/>
    </row>
    <row r="494" spans="1:23" x14ac:dyDescent="0.2">
      <c r="A494" s="27"/>
      <c r="B494" s="25"/>
      <c r="D494" s="11"/>
      <c r="E494" s="10"/>
      <c r="O494" s="10"/>
      <c r="V494" s="10"/>
      <c r="W494" s="6"/>
    </row>
    <row r="495" spans="1:23" x14ac:dyDescent="0.2">
      <c r="A495" s="27"/>
      <c r="B495" s="25"/>
      <c r="D495" s="11"/>
      <c r="E495" s="10"/>
      <c r="O495" s="10"/>
      <c r="V495" s="10"/>
      <c r="W495" s="6"/>
    </row>
    <row r="496" spans="1:23" x14ac:dyDescent="0.2">
      <c r="A496" s="27"/>
      <c r="B496" s="25"/>
      <c r="D496" s="11"/>
      <c r="E496" s="10"/>
      <c r="O496" s="10"/>
      <c r="V496" s="10"/>
      <c r="W496" s="6"/>
    </row>
    <row r="497" spans="1:23" x14ac:dyDescent="0.2">
      <c r="A497" s="27"/>
      <c r="B497" s="25"/>
      <c r="D497" s="11"/>
      <c r="E497" s="10"/>
      <c r="O497" s="10"/>
      <c r="V497" s="10"/>
      <c r="W497" s="6"/>
    </row>
    <row r="498" spans="1:23" x14ac:dyDescent="0.2">
      <c r="A498" s="27"/>
      <c r="B498" s="25"/>
      <c r="D498" s="11"/>
      <c r="E498" s="10"/>
      <c r="O498" s="10"/>
      <c r="V498" s="10"/>
      <c r="W498" s="6"/>
    </row>
    <row r="499" spans="1:23" x14ac:dyDescent="0.2">
      <c r="A499" s="27"/>
      <c r="B499" s="1"/>
      <c r="D499" s="11"/>
      <c r="E499" s="10"/>
      <c r="O499" s="10"/>
      <c r="V499" s="10"/>
      <c r="W499" s="6"/>
    </row>
    <row r="500" spans="1:23" x14ac:dyDescent="0.2">
      <c r="A500" s="27"/>
      <c r="B500" s="25"/>
      <c r="D500" s="11"/>
      <c r="E500" s="10"/>
      <c r="O500" s="10"/>
      <c r="V500" s="10"/>
      <c r="W500" s="6"/>
    </row>
    <row r="501" spans="1:23" x14ac:dyDescent="0.2">
      <c r="A501" s="27"/>
      <c r="B501" s="25"/>
      <c r="D501" s="11"/>
      <c r="E501" s="10"/>
      <c r="O501" s="10"/>
      <c r="V501" s="10"/>
      <c r="W501" s="6"/>
    </row>
    <row r="502" spans="1:23" x14ac:dyDescent="0.2">
      <c r="A502" s="27"/>
      <c r="B502" s="25"/>
      <c r="D502" s="11"/>
      <c r="E502" s="10"/>
      <c r="O502" s="10"/>
      <c r="V502" s="10"/>
      <c r="W502" s="6"/>
    </row>
    <row r="503" spans="1:23" x14ac:dyDescent="0.2">
      <c r="A503" s="27"/>
      <c r="B503" s="25"/>
      <c r="D503" s="11"/>
      <c r="E503" s="10"/>
      <c r="O503" s="10"/>
      <c r="V503" s="10"/>
      <c r="W503" s="6"/>
    </row>
    <row r="504" spans="1:23" x14ac:dyDescent="0.2">
      <c r="A504" s="27"/>
      <c r="B504" s="25"/>
      <c r="D504" s="11"/>
      <c r="E504" s="10"/>
      <c r="O504" s="10"/>
      <c r="V504" s="10"/>
      <c r="W504" s="6"/>
    </row>
    <row r="505" spans="1:23" x14ac:dyDescent="0.2">
      <c r="A505" s="27"/>
      <c r="B505" s="25"/>
      <c r="D505" s="11"/>
      <c r="E505" s="10"/>
      <c r="O505" s="10"/>
      <c r="V505" s="10"/>
      <c r="W505" s="6"/>
    </row>
    <row r="506" spans="1:23" x14ac:dyDescent="0.2">
      <c r="A506" s="27"/>
      <c r="B506" s="25"/>
      <c r="D506" s="11"/>
      <c r="E506" s="10"/>
      <c r="O506" s="10"/>
      <c r="V506" s="10"/>
      <c r="W506" s="6"/>
    </row>
    <row r="507" spans="1:23" x14ac:dyDescent="0.2">
      <c r="A507" s="27"/>
      <c r="B507" s="25"/>
      <c r="D507" s="11"/>
      <c r="E507" s="10"/>
      <c r="O507" s="10"/>
      <c r="V507" s="10"/>
      <c r="W507" s="6"/>
    </row>
    <row r="508" spans="1:23" x14ac:dyDescent="0.2">
      <c r="A508" s="27"/>
      <c r="B508" s="25"/>
      <c r="D508" s="11"/>
      <c r="E508" s="10"/>
      <c r="O508" s="10"/>
      <c r="V508" s="10"/>
      <c r="W508" s="6"/>
    </row>
    <row r="509" spans="1:23" x14ac:dyDescent="0.2">
      <c r="A509" s="27"/>
      <c r="B509" s="25"/>
      <c r="D509" s="11"/>
      <c r="E509" s="10"/>
      <c r="O509" s="10"/>
      <c r="V509" s="10"/>
      <c r="W509" s="6"/>
    </row>
    <row r="510" spans="1:23" x14ac:dyDescent="0.2">
      <c r="A510" s="27"/>
      <c r="B510" s="25"/>
      <c r="D510" s="11"/>
      <c r="E510" s="10"/>
      <c r="O510" s="10"/>
      <c r="V510" s="10"/>
      <c r="W510" s="6"/>
    </row>
    <row r="511" spans="1:23" x14ac:dyDescent="0.2">
      <c r="A511" s="27"/>
      <c r="B511" s="25"/>
      <c r="D511" s="11"/>
      <c r="E511" s="10"/>
      <c r="O511" s="10"/>
      <c r="V511" s="10"/>
      <c r="W511" s="6"/>
    </row>
    <row r="512" spans="1:23" x14ac:dyDescent="0.2">
      <c r="A512" s="27"/>
      <c r="B512" s="25"/>
      <c r="D512" s="11"/>
      <c r="E512" s="10"/>
      <c r="O512" s="10"/>
      <c r="V512" s="10"/>
      <c r="W512" s="6"/>
    </row>
    <row r="513" spans="1:23" x14ac:dyDescent="0.2">
      <c r="A513" s="27"/>
      <c r="B513" s="25"/>
      <c r="D513" s="11"/>
      <c r="E513" s="10"/>
      <c r="O513" s="10"/>
      <c r="V513" s="10"/>
      <c r="W513" s="6"/>
    </row>
    <row r="514" spans="1:23" x14ac:dyDescent="0.2">
      <c r="A514" s="27"/>
      <c r="B514" s="25"/>
      <c r="D514" s="11"/>
      <c r="E514" s="10"/>
      <c r="O514" s="10"/>
      <c r="V514" s="10"/>
      <c r="W514" s="6"/>
    </row>
    <row r="515" spans="1:23" x14ac:dyDescent="0.2">
      <c r="A515" s="27"/>
      <c r="B515" s="25"/>
      <c r="D515" s="11"/>
      <c r="E515" s="10"/>
      <c r="O515" s="10"/>
      <c r="V515" s="10"/>
      <c r="W515" s="6"/>
    </row>
    <row r="516" spans="1:23" x14ac:dyDescent="0.2">
      <c r="A516" s="27"/>
      <c r="B516" s="25"/>
      <c r="D516" s="11"/>
      <c r="E516" s="10"/>
      <c r="O516" s="10"/>
      <c r="V516" s="10"/>
      <c r="W516" s="6"/>
    </row>
    <row r="517" spans="1:23" x14ac:dyDescent="0.2">
      <c r="A517" s="27"/>
      <c r="B517" s="25"/>
      <c r="D517" s="11"/>
      <c r="E517" s="10"/>
      <c r="O517" s="10"/>
      <c r="V517" s="10"/>
      <c r="W517" s="6"/>
    </row>
    <row r="518" spans="1:23" x14ac:dyDescent="0.2">
      <c r="A518" s="27"/>
      <c r="B518" s="1"/>
      <c r="D518" s="11"/>
      <c r="E518" s="10"/>
      <c r="O518" s="10"/>
      <c r="V518" s="10"/>
      <c r="W518" s="6"/>
    </row>
    <row r="519" spans="1:23" x14ac:dyDescent="0.2">
      <c r="A519" s="27"/>
      <c r="B519" s="1"/>
      <c r="D519" s="11"/>
      <c r="E519" s="10"/>
      <c r="O519" s="10"/>
      <c r="V519" s="10"/>
      <c r="W519" s="6"/>
    </row>
    <row r="520" spans="1:23" x14ac:dyDescent="0.2">
      <c r="A520" s="27"/>
      <c r="B520" s="1"/>
      <c r="D520" s="11"/>
      <c r="E520" s="10"/>
      <c r="O520" s="10"/>
      <c r="V520" s="10"/>
      <c r="W520" s="6"/>
    </row>
    <row r="521" spans="1:23" x14ac:dyDescent="0.2">
      <c r="A521" s="27"/>
      <c r="B521" s="25"/>
      <c r="D521" s="11"/>
      <c r="E521" s="10"/>
      <c r="O521" s="10"/>
      <c r="V521" s="10"/>
      <c r="W521" s="6"/>
    </row>
    <row r="522" spans="1:23" x14ac:dyDescent="0.2">
      <c r="A522" s="27"/>
      <c r="B522" s="25"/>
      <c r="D522" s="11"/>
      <c r="E522" s="10"/>
      <c r="O522" s="10"/>
      <c r="V522" s="10"/>
      <c r="W522" s="6"/>
    </row>
    <row r="523" spans="1:23" x14ac:dyDescent="0.2">
      <c r="A523" s="27"/>
      <c r="B523" s="25"/>
      <c r="D523" s="11"/>
      <c r="E523" s="10"/>
      <c r="O523" s="10"/>
      <c r="V523" s="10"/>
      <c r="W523" s="6"/>
    </row>
    <row r="524" spans="1:23" x14ac:dyDescent="0.2">
      <c r="A524" s="27"/>
      <c r="B524" s="1"/>
      <c r="D524" s="11"/>
      <c r="E524" s="10"/>
      <c r="O524" s="10"/>
      <c r="V524" s="10"/>
      <c r="W524" s="6"/>
    </row>
    <row r="525" spans="1:23" x14ac:dyDescent="0.2">
      <c r="A525" s="27"/>
      <c r="B525" s="25"/>
      <c r="D525" s="11"/>
      <c r="E525" s="10"/>
      <c r="O525" s="10"/>
      <c r="V525" s="10"/>
      <c r="W525" s="6"/>
    </row>
    <row r="526" spans="1:23" x14ac:dyDescent="0.2">
      <c r="A526" s="27"/>
      <c r="B526" s="25"/>
      <c r="D526" s="11"/>
      <c r="E526" s="10"/>
      <c r="O526" s="10"/>
      <c r="V526" s="10"/>
      <c r="W526" s="6"/>
    </row>
    <row r="527" spans="1:23" x14ac:dyDescent="0.2">
      <c r="A527" s="27"/>
      <c r="B527" s="25"/>
      <c r="D527" s="11"/>
      <c r="E527" s="10"/>
      <c r="O527" s="10"/>
      <c r="V527" s="10"/>
      <c r="W527" s="6"/>
    </row>
    <row r="528" spans="1:23" x14ac:dyDescent="0.2">
      <c r="A528" s="27"/>
      <c r="B528" s="25"/>
      <c r="D528" s="11"/>
      <c r="E528" s="10"/>
      <c r="O528" s="10"/>
      <c r="V528" s="10"/>
      <c r="W528" s="6"/>
    </row>
    <row r="529" spans="1:23" x14ac:dyDescent="0.2">
      <c r="A529" s="27"/>
      <c r="B529" s="25"/>
      <c r="D529" s="11"/>
      <c r="E529" s="10"/>
      <c r="O529" s="10"/>
      <c r="V529" s="10"/>
      <c r="W529" s="6"/>
    </row>
    <row r="530" spans="1:23" x14ac:dyDescent="0.2">
      <c r="A530" s="27"/>
      <c r="B530" s="1"/>
      <c r="D530" s="11"/>
      <c r="E530" s="10"/>
      <c r="O530" s="10"/>
      <c r="V530" s="10"/>
      <c r="W530" s="6"/>
    </row>
    <row r="531" spans="1:23" x14ac:dyDescent="0.2">
      <c r="A531" s="27"/>
      <c r="B531" s="1"/>
      <c r="D531" s="11"/>
      <c r="E531" s="10"/>
      <c r="O531" s="10"/>
      <c r="V531" s="10"/>
      <c r="W531" s="6"/>
    </row>
    <row r="532" spans="1:23" x14ac:dyDescent="0.2">
      <c r="A532" s="27"/>
      <c r="B532" s="25"/>
      <c r="D532" s="11"/>
      <c r="E532" s="10"/>
      <c r="O532" s="10"/>
      <c r="V532" s="10"/>
      <c r="W532" s="6"/>
    </row>
    <row r="533" spans="1:23" x14ac:dyDescent="0.2">
      <c r="A533" s="27"/>
      <c r="B533" s="1"/>
      <c r="D533" s="11"/>
      <c r="E533" s="10"/>
      <c r="O533" s="10"/>
      <c r="V533" s="10"/>
      <c r="W533" s="6"/>
    </row>
    <row r="534" spans="1:23" x14ac:dyDescent="0.2">
      <c r="A534" s="27"/>
      <c r="B534" s="1"/>
      <c r="D534" s="11"/>
      <c r="E534" s="10"/>
      <c r="O534" s="10"/>
      <c r="V534" s="10"/>
      <c r="W534" s="6"/>
    </row>
    <row r="535" spans="1:23" x14ac:dyDescent="0.2">
      <c r="A535" s="27"/>
      <c r="B535" s="25"/>
      <c r="D535" s="11"/>
      <c r="E535" s="10"/>
      <c r="O535" s="10"/>
      <c r="V535" s="10"/>
      <c r="W535" s="6"/>
    </row>
    <row r="536" spans="1:23" x14ac:dyDescent="0.2">
      <c r="A536" s="27"/>
      <c r="B536" s="25"/>
      <c r="D536" s="11"/>
      <c r="E536" s="10"/>
      <c r="O536" s="10"/>
      <c r="V536" s="10"/>
      <c r="W536" s="6"/>
    </row>
    <row r="537" spans="1:23" x14ac:dyDescent="0.2">
      <c r="A537" s="27"/>
      <c r="B537" s="25"/>
      <c r="D537" s="11"/>
      <c r="E537" s="10"/>
      <c r="O537" s="10"/>
      <c r="V537" s="10"/>
      <c r="W537" s="6"/>
    </row>
    <row r="538" spans="1:23" x14ac:dyDescent="0.2">
      <c r="A538" s="27"/>
      <c r="B538" s="25"/>
      <c r="D538" s="11"/>
      <c r="E538" s="10"/>
      <c r="O538" s="10"/>
      <c r="V538" s="10"/>
      <c r="W538" s="6"/>
    </row>
    <row r="539" spans="1:23" x14ac:dyDescent="0.2">
      <c r="A539" s="27"/>
      <c r="B539" s="25"/>
      <c r="D539" s="11"/>
      <c r="E539" s="10"/>
      <c r="O539" s="10"/>
      <c r="V539" s="10"/>
      <c r="W539" s="6"/>
    </row>
    <row r="540" spans="1:23" x14ac:dyDescent="0.2">
      <c r="A540" s="27"/>
      <c r="B540" s="25"/>
      <c r="D540" s="11"/>
      <c r="E540" s="10"/>
      <c r="O540" s="10"/>
      <c r="V540" s="10"/>
      <c r="W540" s="6"/>
    </row>
    <row r="541" spans="1:23" x14ac:dyDescent="0.2">
      <c r="A541" s="27"/>
      <c r="B541" s="25"/>
      <c r="D541" s="11"/>
      <c r="E541" s="10"/>
      <c r="O541" s="10"/>
      <c r="V541" s="10"/>
      <c r="W541" s="6"/>
    </row>
    <row r="542" spans="1:23" x14ac:dyDescent="0.2">
      <c r="A542" s="27"/>
      <c r="B542" s="25"/>
      <c r="D542" s="11"/>
      <c r="E542" s="10"/>
      <c r="O542" s="10"/>
      <c r="V542" s="10"/>
      <c r="W542" s="6"/>
    </row>
    <row r="543" spans="1:23" x14ac:dyDescent="0.2">
      <c r="A543" s="27"/>
      <c r="B543" s="25"/>
      <c r="D543" s="11"/>
      <c r="E543" s="10"/>
      <c r="O543" s="10"/>
      <c r="V543" s="10"/>
      <c r="W543" s="6"/>
    </row>
    <row r="544" spans="1:23" x14ac:dyDescent="0.2">
      <c r="A544" s="27"/>
      <c r="B544" s="25"/>
      <c r="D544" s="11"/>
      <c r="E544" s="10"/>
      <c r="O544" s="10"/>
      <c r="V544" s="10"/>
      <c r="W544" s="6"/>
    </row>
    <row r="545" spans="1:23" x14ac:dyDescent="0.2">
      <c r="A545" s="27"/>
      <c r="B545" s="25"/>
      <c r="D545" s="11"/>
      <c r="E545" s="10"/>
      <c r="O545" s="10"/>
      <c r="V545" s="10"/>
      <c r="W545" s="6"/>
    </row>
    <row r="546" spans="1:23" x14ac:dyDescent="0.2">
      <c r="A546" s="27"/>
      <c r="B546" s="25"/>
      <c r="D546" s="11"/>
      <c r="E546" s="10"/>
      <c r="O546" s="10"/>
      <c r="V546" s="10"/>
      <c r="W546" s="6"/>
    </row>
    <row r="547" spans="1:23" x14ac:dyDescent="0.2">
      <c r="A547" s="27"/>
      <c r="B547" s="1"/>
      <c r="D547" s="11"/>
      <c r="E547" s="10"/>
      <c r="O547" s="10"/>
      <c r="V547" s="10"/>
      <c r="W547" s="6"/>
    </row>
    <row r="548" spans="1:23" x14ac:dyDescent="0.2">
      <c r="A548" s="27"/>
      <c r="B548" s="25"/>
      <c r="D548" s="11"/>
      <c r="E548" s="10"/>
      <c r="O548" s="10"/>
      <c r="V548" s="10"/>
      <c r="W548" s="6"/>
    </row>
    <row r="549" spans="1:23" x14ac:dyDescent="0.2">
      <c r="A549" s="27"/>
      <c r="B549" s="1"/>
      <c r="D549" s="11"/>
      <c r="E549" s="10"/>
      <c r="O549" s="10"/>
      <c r="V549" s="10"/>
      <c r="W549" s="6"/>
    </row>
    <row r="550" spans="1:23" x14ac:dyDescent="0.2">
      <c r="A550" s="27"/>
      <c r="B550" s="25"/>
      <c r="D550" s="11"/>
      <c r="E550" s="10"/>
      <c r="O550" s="10"/>
      <c r="V550" s="10"/>
      <c r="W550" s="6"/>
    </row>
    <row r="551" spans="1:23" x14ac:dyDescent="0.2">
      <c r="A551" s="27"/>
      <c r="B551" s="25"/>
      <c r="D551" s="11"/>
      <c r="E551" s="10"/>
      <c r="O551" s="10"/>
      <c r="V551" s="10"/>
      <c r="W551" s="6"/>
    </row>
    <row r="552" spans="1:23" x14ac:dyDescent="0.2">
      <c r="A552" s="27"/>
      <c r="B552" s="1"/>
      <c r="D552" s="11"/>
      <c r="E552" s="10"/>
      <c r="O552" s="10"/>
      <c r="V552" s="10"/>
      <c r="W552" s="6"/>
    </row>
    <row r="553" spans="1:23" x14ac:dyDescent="0.2">
      <c r="A553" s="27"/>
      <c r="B553" s="25"/>
      <c r="D553" s="11"/>
      <c r="E553" s="10"/>
      <c r="O553" s="10"/>
      <c r="V553" s="10"/>
      <c r="W553" s="6"/>
    </row>
    <row r="554" spans="1:23" x14ac:dyDescent="0.2">
      <c r="A554" s="27"/>
      <c r="B554" s="25"/>
      <c r="D554" s="11"/>
      <c r="E554" s="10"/>
      <c r="O554" s="10"/>
      <c r="V554" s="10"/>
      <c r="W554" s="6"/>
    </row>
    <row r="555" spans="1:23" x14ac:dyDescent="0.2">
      <c r="A555" s="27"/>
      <c r="B555" s="1"/>
      <c r="D555" s="11"/>
      <c r="E555" s="10"/>
      <c r="O555" s="10"/>
      <c r="V555" s="10"/>
      <c r="W555" s="6"/>
    </row>
    <row r="556" spans="1:23" x14ac:dyDescent="0.2">
      <c r="A556" s="27"/>
      <c r="B556" s="25"/>
      <c r="D556" s="11"/>
      <c r="E556" s="10"/>
      <c r="O556" s="10"/>
      <c r="V556" s="10"/>
      <c r="W556" s="6"/>
    </row>
    <row r="557" spans="1:23" x14ac:dyDescent="0.2">
      <c r="A557" s="27"/>
      <c r="B557" s="25"/>
      <c r="D557" s="11"/>
      <c r="E557" s="10"/>
      <c r="O557" s="10"/>
      <c r="V557" s="10"/>
      <c r="W557" s="6"/>
    </row>
    <row r="558" spans="1:23" x14ac:dyDescent="0.2">
      <c r="A558" s="27"/>
      <c r="B558" s="25"/>
      <c r="D558" s="11"/>
      <c r="E558" s="10"/>
      <c r="O558" s="10"/>
      <c r="V558" s="10"/>
      <c r="W558" s="6"/>
    </row>
    <row r="559" spans="1:23" x14ac:dyDescent="0.2">
      <c r="A559" s="27"/>
      <c r="B559" s="25"/>
      <c r="D559" s="11"/>
      <c r="E559" s="10"/>
      <c r="O559" s="10"/>
      <c r="V559" s="10"/>
      <c r="W559" s="6"/>
    </row>
    <row r="560" spans="1:23" x14ac:dyDescent="0.2">
      <c r="A560" s="27"/>
      <c r="B560" s="1"/>
      <c r="D560" s="11"/>
      <c r="E560" s="10"/>
      <c r="O560" s="10"/>
      <c r="V560" s="10"/>
      <c r="W560" s="6"/>
    </row>
    <row r="561" spans="1:23" x14ac:dyDescent="0.2">
      <c r="A561" s="27"/>
      <c r="B561" s="25"/>
      <c r="D561" s="11"/>
      <c r="E561" s="10"/>
      <c r="O561" s="10"/>
      <c r="V561" s="10"/>
      <c r="W561" s="6"/>
    </row>
    <row r="562" spans="1:23" x14ac:dyDescent="0.2">
      <c r="A562" s="27"/>
      <c r="B562" s="25"/>
      <c r="D562" s="11"/>
      <c r="E562" s="10"/>
      <c r="O562" s="10"/>
      <c r="V562" s="10"/>
      <c r="W562" s="6"/>
    </row>
    <row r="563" spans="1:23" x14ac:dyDescent="0.2">
      <c r="A563" s="27"/>
      <c r="B563" s="25"/>
      <c r="D563" s="11"/>
      <c r="E563" s="10"/>
      <c r="O563" s="10"/>
      <c r="V563" s="10"/>
      <c r="W563" s="6"/>
    </row>
    <row r="564" spans="1:23" x14ac:dyDescent="0.2">
      <c r="A564" s="27"/>
      <c r="B564" s="25"/>
      <c r="D564" s="11"/>
      <c r="E564" s="10"/>
      <c r="O564" s="10"/>
      <c r="V564" s="10"/>
      <c r="W564" s="6"/>
    </row>
    <row r="565" spans="1:23" x14ac:dyDescent="0.2">
      <c r="A565" s="27"/>
      <c r="B565" s="25"/>
      <c r="D565" s="11"/>
      <c r="E565" s="10"/>
      <c r="O565" s="10"/>
      <c r="V565" s="10"/>
      <c r="W565" s="6"/>
    </row>
    <row r="566" spans="1:23" x14ac:dyDescent="0.2">
      <c r="A566" s="27"/>
      <c r="B566" s="25"/>
      <c r="D566" s="11"/>
      <c r="E566" s="10"/>
      <c r="O566" s="10"/>
      <c r="V566" s="10"/>
      <c r="W566" s="6"/>
    </row>
    <row r="567" spans="1:23" x14ac:dyDescent="0.2">
      <c r="A567" s="27"/>
      <c r="B567" s="25"/>
      <c r="D567" s="11"/>
      <c r="E567" s="10"/>
      <c r="O567" s="10"/>
      <c r="V567" s="10"/>
      <c r="W567" s="6"/>
    </row>
    <row r="568" spans="1:23" x14ac:dyDescent="0.2">
      <c r="A568" s="27"/>
      <c r="B568" s="25"/>
      <c r="D568" s="11"/>
      <c r="E568" s="10"/>
      <c r="O568" s="10"/>
      <c r="V568" s="10"/>
      <c r="W568" s="6"/>
    </row>
    <row r="569" spans="1:23" x14ac:dyDescent="0.2">
      <c r="A569" s="27"/>
      <c r="B569" s="1"/>
      <c r="D569" s="11"/>
      <c r="E569" s="10"/>
      <c r="O569" s="10"/>
      <c r="V569" s="10"/>
      <c r="W569" s="6"/>
    </row>
    <row r="570" spans="1:23" x14ac:dyDescent="0.2">
      <c r="A570" s="27"/>
      <c r="B570" s="25"/>
      <c r="D570" s="11"/>
      <c r="E570" s="10"/>
      <c r="O570" s="10"/>
      <c r="V570" s="10"/>
      <c r="W570" s="6"/>
    </row>
    <row r="571" spans="1:23" x14ac:dyDescent="0.2">
      <c r="A571" s="27"/>
      <c r="B571" s="25"/>
      <c r="D571" s="11"/>
      <c r="E571" s="10"/>
      <c r="O571" s="10"/>
      <c r="V571" s="10"/>
      <c r="W571" s="6"/>
    </row>
    <row r="572" spans="1:23" x14ac:dyDescent="0.2">
      <c r="A572" s="27"/>
      <c r="B572" s="25"/>
      <c r="D572" s="11"/>
      <c r="E572" s="10"/>
      <c r="O572" s="10"/>
      <c r="V572" s="10"/>
      <c r="W572" s="6"/>
    </row>
    <row r="573" spans="1:23" x14ac:dyDescent="0.2">
      <c r="A573" s="27"/>
      <c r="B573" s="25"/>
      <c r="D573" s="11"/>
      <c r="E573" s="10"/>
      <c r="O573" s="10"/>
      <c r="V573" s="10"/>
      <c r="W573" s="6"/>
    </row>
    <row r="574" spans="1:23" x14ac:dyDescent="0.2">
      <c r="A574" s="27"/>
      <c r="B574" s="25"/>
      <c r="D574" s="11"/>
      <c r="E574" s="10"/>
      <c r="O574" s="10"/>
      <c r="V574" s="10"/>
      <c r="W574" s="6"/>
    </row>
    <row r="575" spans="1:23" x14ac:dyDescent="0.2">
      <c r="A575" s="27"/>
      <c r="B575" s="25"/>
      <c r="D575" s="11"/>
      <c r="E575" s="10"/>
      <c r="O575" s="10"/>
      <c r="V575" s="10"/>
      <c r="W575" s="6"/>
    </row>
    <row r="576" spans="1:23" x14ac:dyDescent="0.2">
      <c r="A576" s="27"/>
      <c r="B576" s="25"/>
      <c r="D576" s="11"/>
      <c r="E576" s="10"/>
      <c r="O576" s="10"/>
      <c r="V576" s="10"/>
      <c r="W576" s="6"/>
    </row>
    <row r="577" spans="1:23" x14ac:dyDescent="0.2">
      <c r="A577" s="27"/>
      <c r="B577" s="1"/>
      <c r="D577" s="11"/>
      <c r="E577" s="10"/>
      <c r="O577" s="10"/>
      <c r="V577" s="10"/>
      <c r="W577" s="6"/>
    </row>
    <row r="578" spans="1:23" x14ac:dyDescent="0.2">
      <c r="A578" s="27"/>
      <c r="B578" s="25"/>
      <c r="D578" s="11"/>
      <c r="E578" s="10"/>
      <c r="O578" s="10"/>
      <c r="V578" s="10"/>
      <c r="W578" s="6"/>
    </row>
    <row r="579" spans="1:23" x14ac:dyDescent="0.2">
      <c r="A579" s="27"/>
      <c r="B579" s="25"/>
      <c r="D579" s="11"/>
      <c r="E579" s="10"/>
      <c r="O579" s="10"/>
      <c r="V579" s="10"/>
      <c r="W579" s="6"/>
    </row>
    <row r="580" spans="1:23" x14ac:dyDescent="0.2">
      <c r="A580" s="27"/>
      <c r="B580" s="25"/>
      <c r="D580" s="11"/>
      <c r="E580" s="10"/>
      <c r="O580" s="10"/>
      <c r="V580" s="10"/>
      <c r="W580" s="6"/>
    </row>
    <row r="581" spans="1:23" x14ac:dyDescent="0.2">
      <c r="A581" s="27"/>
      <c r="B581" s="25"/>
      <c r="D581" s="11"/>
      <c r="E581" s="10"/>
      <c r="O581" s="10"/>
      <c r="V581" s="10"/>
      <c r="W581" s="6"/>
    </row>
    <row r="582" spans="1:23" x14ac:dyDescent="0.2">
      <c r="A582" s="27"/>
      <c r="B582" s="25"/>
      <c r="D582" s="11"/>
      <c r="E582" s="10"/>
      <c r="O582" s="10"/>
      <c r="V582" s="10"/>
      <c r="W582" s="6"/>
    </row>
    <row r="583" spans="1:23" x14ac:dyDescent="0.2">
      <c r="A583" s="27"/>
      <c r="B583" s="1"/>
      <c r="D583" s="11"/>
      <c r="E583" s="10"/>
      <c r="O583" s="10"/>
      <c r="V583" s="10"/>
      <c r="W583" s="6"/>
    </row>
    <row r="584" spans="1:23" x14ac:dyDescent="0.2">
      <c r="A584" s="27"/>
      <c r="B584" s="25"/>
      <c r="D584" s="11"/>
      <c r="E584" s="10"/>
      <c r="O584" s="10"/>
      <c r="V584" s="10"/>
      <c r="W584" s="6"/>
    </row>
    <row r="585" spans="1:23" x14ac:dyDescent="0.2">
      <c r="A585" s="27"/>
      <c r="B585" s="1"/>
      <c r="D585" s="11"/>
      <c r="E585" s="10"/>
      <c r="O585" s="10"/>
      <c r="V585" s="10"/>
      <c r="W585" s="6"/>
    </row>
    <row r="586" spans="1:23" x14ac:dyDescent="0.2">
      <c r="A586" s="27"/>
      <c r="B586" s="1"/>
      <c r="D586" s="11"/>
      <c r="E586" s="10"/>
      <c r="O586" s="10"/>
      <c r="V586" s="10"/>
      <c r="W586" s="6"/>
    </row>
    <row r="587" spans="1:23" x14ac:dyDescent="0.2">
      <c r="A587" s="27"/>
      <c r="B587" s="25"/>
      <c r="D587" s="11"/>
      <c r="E587" s="10"/>
      <c r="O587" s="10"/>
      <c r="V587" s="10"/>
      <c r="W587" s="6"/>
    </row>
    <row r="588" spans="1:23" x14ac:dyDescent="0.2">
      <c r="A588" s="27"/>
      <c r="B588" s="25"/>
      <c r="D588" s="11"/>
      <c r="E588" s="10"/>
      <c r="O588" s="10"/>
      <c r="V588" s="10"/>
      <c r="W588" s="6"/>
    </row>
    <row r="589" spans="1:23" x14ac:dyDescent="0.2">
      <c r="A589" s="27"/>
      <c r="B589" s="25"/>
      <c r="D589" s="11"/>
      <c r="E589" s="10"/>
      <c r="O589" s="10"/>
      <c r="V589" s="10"/>
      <c r="W589" s="6"/>
    </row>
    <row r="590" spans="1:23" x14ac:dyDescent="0.2">
      <c r="A590" s="27"/>
      <c r="B590" s="1"/>
      <c r="D590" s="11"/>
      <c r="E590" s="10"/>
      <c r="O590" s="10"/>
      <c r="V590" s="10"/>
      <c r="W590" s="6"/>
    </row>
    <row r="591" spans="1:23" x14ac:dyDescent="0.2">
      <c r="A591" s="27"/>
      <c r="B591" s="25"/>
      <c r="D591" s="11"/>
      <c r="E591" s="10"/>
      <c r="O591" s="10"/>
      <c r="V591" s="10"/>
      <c r="W591" s="6"/>
    </row>
    <row r="592" spans="1:23" x14ac:dyDescent="0.2">
      <c r="A592" s="27"/>
      <c r="B592" s="1"/>
      <c r="D592" s="11"/>
      <c r="E592" s="10"/>
      <c r="O592" s="10"/>
      <c r="V592" s="10"/>
      <c r="W592" s="6"/>
    </row>
    <row r="593" spans="1:23" x14ac:dyDescent="0.2">
      <c r="A593" s="27"/>
      <c r="B593" s="25"/>
      <c r="D593" s="11"/>
      <c r="E593" s="10"/>
      <c r="O593" s="10"/>
      <c r="V593" s="10"/>
      <c r="W593" s="6"/>
    </row>
    <row r="594" spans="1:23" x14ac:dyDescent="0.2">
      <c r="A594" s="27"/>
      <c r="B594" s="25"/>
      <c r="D594" s="11"/>
      <c r="E594" s="10"/>
      <c r="O594" s="10"/>
      <c r="V594" s="10"/>
      <c r="W594" s="6"/>
    </row>
    <row r="595" spans="1:23" x14ac:dyDescent="0.2">
      <c r="A595" s="27"/>
      <c r="B595" s="1"/>
      <c r="D595" s="11"/>
      <c r="E595" s="10"/>
      <c r="O595" s="10"/>
      <c r="V595" s="10"/>
      <c r="W595" s="6"/>
    </row>
    <row r="596" spans="1:23" x14ac:dyDescent="0.2">
      <c r="A596" s="27"/>
      <c r="B596" s="25"/>
      <c r="D596" s="11"/>
      <c r="E596" s="10"/>
      <c r="O596" s="10"/>
      <c r="V596" s="10"/>
      <c r="W596" s="6"/>
    </row>
    <row r="597" spans="1:23" x14ac:dyDescent="0.2">
      <c r="A597" s="27"/>
      <c r="B597" s="1"/>
      <c r="D597" s="11"/>
      <c r="E597" s="10"/>
      <c r="O597" s="10"/>
      <c r="V597" s="10"/>
      <c r="W597" s="6"/>
    </row>
    <row r="598" spans="1:23" x14ac:dyDescent="0.2">
      <c r="A598" s="27"/>
      <c r="B598" s="25"/>
      <c r="D598" s="11"/>
      <c r="E598" s="10"/>
      <c r="O598" s="10"/>
      <c r="V598" s="10"/>
      <c r="W598" s="6"/>
    </row>
    <row r="599" spans="1:23" x14ac:dyDescent="0.2">
      <c r="A599" s="27"/>
      <c r="B599" s="25"/>
      <c r="D599" s="11"/>
      <c r="E599" s="10"/>
      <c r="O599" s="10"/>
      <c r="V599" s="10"/>
      <c r="W599" s="6"/>
    </row>
    <row r="600" spans="1:23" x14ac:dyDescent="0.2">
      <c r="A600" s="27"/>
      <c r="B600" s="25"/>
      <c r="D600" s="11"/>
      <c r="E600" s="10"/>
      <c r="O600" s="10"/>
      <c r="V600" s="10"/>
      <c r="W600" s="6"/>
    </row>
    <row r="601" spans="1:23" x14ac:dyDescent="0.2">
      <c r="A601" s="27"/>
      <c r="B601" s="1"/>
      <c r="D601" s="11"/>
      <c r="E601" s="10"/>
      <c r="O601" s="10"/>
      <c r="V601" s="10"/>
      <c r="W601" s="6"/>
    </row>
    <row r="602" spans="1:23" x14ac:dyDescent="0.2">
      <c r="A602" s="27"/>
      <c r="B602" s="25"/>
      <c r="D602" s="11"/>
      <c r="E602" s="10"/>
      <c r="O602" s="10"/>
      <c r="V602" s="10"/>
      <c r="W602" s="6"/>
    </row>
    <row r="603" spans="1:23" x14ac:dyDescent="0.2">
      <c r="A603" s="27"/>
      <c r="B603" s="25"/>
      <c r="D603" s="11"/>
      <c r="E603" s="10"/>
      <c r="O603" s="10"/>
      <c r="V603" s="10"/>
      <c r="W603" s="6"/>
    </row>
    <row r="604" spans="1:23" x14ac:dyDescent="0.2">
      <c r="A604" s="27"/>
      <c r="B604" s="1"/>
      <c r="D604" s="11"/>
      <c r="E604" s="10"/>
      <c r="O604" s="10"/>
      <c r="V604" s="10"/>
      <c r="W604" s="6"/>
    </row>
    <row r="605" spans="1:23" x14ac:dyDescent="0.2">
      <c r="A605" s="27"/>
      <c r="B605" s="25"/>
      <c r="D605" s="11"/>
      <c r="E605" s="10"/>
      <c r="O605" s="10"/>
      <c r="V605" s="10"/>
      <c r="W605" s="6"/>
    </row>
    <row r="606" spans="1:23" x14ac:dyDescent="0.2">
      <c r="A606" s="27"/>
      <c r="B606" s="25"/>
      <c r="D606" s="11"/>
      <c r="E606" s="10"/>
      <c r="O606" s="10"/>
      <c r="V606" s="10"/>
      <c r="W606" s="6"/>
    </row>
    <row r="607" spans="1:23" x14ac:dyDescent="0.2">
      <c r="A607" s="27"/>
      <c r="B607" s="25"/>
      <c r="D607" s="11"/>
      <c r="E607" s="10"/>
      <c r="O607" s="10"/>
      <c r="V607" s="10"/>
      <c r="W607" s="6"/>
    </row>
    <row r="608" spans="1:23" x14ac:dyDescent="0.2">
      <c r="A608" s="27"/>
      <c r="B608" s="25"/>
      <c r="D608" s="11"/>
      <c r="E608" s="10"/>
      <c r="O608" s="10"/>
      <c r="V608" s="10"/>
      <c r="W608" s="6"/>
    </row>
    <row r="609" spans="1:23" x14ac:dyDescent="0.2">
      <c r="A609" s="27"/>
      <c r="B609" s="25"/>
      <c r="D609" s="11"/>
      <c r="E609" s="10"/>
      <c r="O609" s="10"/>
      <c r="V609" s="10"/>
      <c r="W609" s="6"/>
    </row>
    <row r="610" spans="1:23" x14ac:dyDescent="0.2">
      <c r="A610" s="27"/>
      <c r="B610" s="25"/>
      <c r="D610" s="11"/>
      <c r="E610" s="10"/>
      <c r="O610" s="10"/>
      <c r="V610" s="10"/>
      <c r="W610" s="6"/>
    </row>
    <row r="611" spans="1:23" x14ac:dyDescent="0.2">
      <c r="A611" s="27"/>
      <c r="B611" s="25"/>
      <c r="D611" s="11"/>
      <c r="E611" s="10"/>
      <c r="O611" s="10"/>
      <c r="V611" s="10"/>
      <c r="W611" s="6"/>
    </row>
    <row r="612" spans="1:23" x14ac:dyDescent="0.2">
      <c r="A612" s="27"/>
      <c r="B612" s="25"/>
      <c r="D612" s="11"/>
      <c r="E612" s="10"/>
      <c r="O612" s="10"/>
      <c r="V612" s="10"/>
      <c r="W612" s="6"/>
    </row>
    <row r="613" spans="1:23" x14ac:dyDescent="0.2">
      <c r="A613" s="27"/>
      <c r="B613" s="25"/>
      <c r="D613" s="11"/>
      <c r="E613" s="10"/>
      <c r="O613" s="10"/>
      <c r="V613" s="10"/>
      <c r="W613" s="6"/>
    </row>
    <row r="614" spans="1:23" x14ac:dyDescent="0.2">
      <c r="A614" s="27"/>
      <c r="B614" s="25"/>
      <c r="D614" s="11"/>
      <c r="E614" s="10"/>
      <c r="O614" s="10"/>
      <c r="V614" s="10"/>
      <c r="W614" s="6"/>
    </row>
    <row r="615" spans="1:23" x14ac:dyDescent="0.2">
      <c r="A615" s="27"/>
      <c r="B615" s="1"/>
      <c r="D615" s="11"/>
      <c r="E615" s="10"/>
      <c r="O615" s="10"/>
      <c r="V615" s="10"/>
      <c r="W615" s="6"/>
    </row>
    <row r="616" spans="1:23" x14ac:dyDescent="0.2">
      <c r="A616" s="27"/>
      <c r="B616" s="1"/>
      <c r="D616" s="11"/>
      <c r="E616" s="10"/>
      <c r="O616" s="10"/>
      <c r="V616" s="10"/>
      <c r="W616" s="6"/>
    </row>
    <row r="617" spans="1:23" x14ac:dyDescent="0.2">
      <c r="A617" s="27"/>
      <c r="B617" s="25"/>
      <c r="D617" s="11"/>
      <c r="E617" s="10"/>
      <c r="O617" s="10"/>
      <c r="V617" s="10"/>
      <c r="W617" s="6"/>
    </row>
    <row r="618" spans="1:23" x14ac:dyDescent="0.2">
      <c r="A618" s="27"/>
      <c r="B618" s="25"/>
      <c r="D618" s="11"/>
      <c r="E618" s="10"/>
      <c r="O618" s="10"/>
      <c r="V618" s="10"/>
      <c r="W618" s="6"/>
    </row>
    <row r="619" spans="1:23" x14ac:dyDescent="0.2">
      <c r="A619" s="27"/>
      <c r="B619" s="25"/>
      <c r="D619" s="11"/>
      <c r="E619" s="10"/>
      <c r="O619" s="10"/>
      <c r="V619" s="10"/>
      <c r="W619" s="6"/>
    </row>
    <row r="620" spans="1:23" x14ac:dyDescent="0.2">
      <c r="A620" s="27"/>
      <c r="B620" s="25"/>
      <c r="D620" s="11"/>
      <c r="E620" s="10"/>
      <c r="O620" s="10"/>
      <c r="V620" s="10"/>
      <c r="W620" s="6"/>
    </row>
    <row r="621" spans="1:23" x14ac:dyDescent="0.2">
      <c r="A621" s="27"/>
      <c r="B621" s="25"/>
      <c r="D621" s="11"/>
      <c r="E621" s="10"/>
      <c r="O621" s="10"/>
      <c r="V621" s="10"/>
      <c r="W621" s="6"/>
    </row>
    <row r="622" spans="1:23" x14ac:dyDescent="0.2">
      <c r="A622" s="27"/>
      <c r="B622" s="25"/>
      <c r="D622" s="11"/>
      <c r="E622" s="10"/>
      <c r="O622" s="10"/>
      <c r="V622" s="10"/>
      <c r="W622" s="6"/>
    </row>
    <row r="623" spans="1:23" x14ac:dyDescent="0.2">
      <c r="A623" s="27"/>
      <c r="B623" s="1"/>
      <c r="D623" s="11"/>
      <c r="E623" s="10"/>
      <c r="O623" s="10"/>
      <c r="V623" s="10"/>
      <c r="W623" s="6"/>
    </row>
    <row r="624" spans="1:23" x14ac:dyDescent="0.2">
      <c r="A624" s="27"/>
      <c r="B624" s="25"/>
      <c r="D624" s="11"/>
      <c r="E624" s="10"/>
      <c r="O624" s="10"/>
      <c r="V624" s="10"/>
      <c r="W624" s="6"/>
    </row>
    <row r="625" spans="1:23" x14ac:dyDescent="0.2">
      <c r="A625" s="27"/>
      <c r="B625" s="25"/>
      <c r="D625" s="11"/>
      <c r="E625" s="10"/>
      <c r="O625" s="10"/>
      <c r="V625" s="10"/>
      <c r="W625" s="6"/>
    </row>
    <row r="626" spans="1:23" x14ac:dyDescent="0.2">
      <c r="A626" s="27"/>
      <c r="B626" s="25"/>
      <c r="D626" s="11"/>
      <c r="E626" s="10"/>
      <c r="O626" s="10"/>
      <c r="V626" s="10"/>
      <c r="W626" s="6"/>
    </row>
    <row r="627" spans="1:23" x14ac:dyDescent="0.2">
      <c r="A627" s="27"/>
      <c r="B627" s="1"/>
      <c r="D627" s="11"/>
      <c r="E627" s="10"/>
      <c r="O627" s="10"/>
      <c r="V627" s="10"/>
      <c r="W627" s="6"/>
    </row>
    <row r="628" spans="1:23" x14ac:dyDescent="0.2">
      <c r="A628" s="27"/>
      <c r="B628" s="25"/>
      <c r="D628" s="11"/>
      <c r="E628" s="10"/>
      <c r="O628" s="10"/>
      <c r="V628" s="10"/>
      <c r="W628" s="6"/>
    </row>
    <row r="629" spans="1:23" x14ac:dyDescent="0.2">
      <c r="A629" s="27"/>
      <c r="B629" s="25"/>
      <c r="D629" s="11"/>
      <c r="E629" s="10"/>
      <c r="O629" s="10"/>
      <c r="V629" s="10"/>
      <c r="W629" s="6"/>
    </row>
    <row r="630" spans="1:23" x14ac:dyDescent="0.2">
      <c r="A630" s="27"/>
      <c r="B630" s="25"/>
      <c r="D630" s="11"/>
      <c r="E630" s="10"/>
      <c r="O630" s="10"/>
      <c r="V630" s="10"/>
      <c r="W630" s="6"/>
    </row>
    <row r="631" spans="1:23" x14ac:dyDescent="0.2">
      <c r="A631" s="27"/>
      <c r="B631" s="25"/>
      <c r="D631" s="11"/>
      <c r="E631" s="10"/>
      <c r="O631" s="10"/>
      <c r="V631" s="10"/>
      <c r="W631" s="6"/>
    </row>
    <row r="632" spans="1:23" x14ac:dyDescent="0.2">
      <c r="A632" s="27"/>
      <c r="B632" s="25"/>
      <c r="D632" s="11"/>
      <c r="E632" s="10"/>
      <c r="O632" s="10"/>
      <c r="V632" s="10"/>
      <c r="W632" s="6"/>
    </row>
    <row r="633" spans="1:23" x14ac:dyDescent="0.2">
      <c r="A633" s="27"/>
      <c r="B633" s="25"/>
      <c r="D633" s="11"/>
      <c r="E633" s="10"/>
      <c r="O633" s="10"/>
      <c r="V633" s="10"/>
      <c r="W633" s="6"/>
    </row>
    <row r="634" spans="1:23" x14ac:dyDescent="0.2">
      <c r="A634" s="27"/>
      <c r="B634" s="25"/>
      <c r="D634" s="11"/>
      <c r="E634" s="10"/>
      <c r="O634" s="10"/>
      <c r="V634" s="10"/>
      <c r="W634" s="6"/>
    </row>
    <row r="635" spans="1:23" x14ac:dyDescent="0.2">
      <c r="A635" s="27"/>
      <c r="B635" s="25"/>
      <c r="D635" s="11"/>
      <c r="E635" s="10"/>
      <c r="O635" s="10"/>
      <c r="V635" s="10"/>
      <c r="W635" s="6"/>
    </row>
    <row r="636" spans="1:23" x14ac:dyDescent="0.2">
      <c r="A636" s="27"/>
      <c r="B636" s="25"/>
      <c r="D636" s="11"/>
      <c r="E636" s="10"/>
      <c r="O636" s="10"/>
      <c r="V636" s="10"/>
      <c r="W636" s="6"/>
    </row>
    <row r="637" spans="1:23" x14ac:dyDescent="0.2">
      <c r="A637" s="27"/>
      <c r="B637" s="25"/>
      <c r="D637" s="11"/>
      <c r="E637" s="10"/>
      <c r="O637" s="10"/>
      <c r="V637" s="10"/>
      <c r="W637" s="6"/>
    </row>
    <row r="638" spans="1:23" x14ac:dyDescent="0.2">
      <c r="A638" s="27"/>
      <c r="B638" s="25"/>
      <c r="D638" s="11"/>
      <c r="E638" s="10"/>
      <c r="O638" s="10"/>
      <c r="V638" s="10"/>
      <c r="W638" s="6"/>
    </row>
    <row r="639" spans="1:23" x14ac:dyDescent="0.2">
      <c r="A639" s="27"/>
      <c r="B639" s="25"/>
      <c r="D639" s="11"/>
      <c r="E639" s="10"/>
      <c r="O639" s="10"/>
      <c r="V639" s="10"/>
      <c r="W639" s="6"/>
    </row>
    <row r="640" spans="1:23" x14ac:dyDescent="0.2">
      <c r="A640" s="27"/>
      <c r="B640" s="25"/>
      <c r="D640" s="11"/>
      <c r="E640" s="10"/>
      <c r="O640" s="10"/>
      <c r="V640" s="10"/>
      <c r="W640" s="6"/>
    </row>
    <row r="641" spans="1:23" x14ac:dyDescent="0.2">
      <c r="A641" s="27"/>
      <c r="B641" s="25"/>
      <c r="D641" s="11"/>
      <c r="E641" s="10"/>
      <c r="O641" s="10"/>
      <c r="V641" s="10"/>
      <c r="W641" s="6"/>
    </row>
    <row r="642" spans="1:23" x14ac:dyDescent="0.2">
      <c r="A642" s="27"/>
      <c r="B642" s="1"/>
      <c r="D642" s="11"/>
      <c r="E642" s="10"/>
      <c r="O642" s="10"/>
      <c r="V642" s="10"/>
      <c r="W642" s="6"/>
    </row>
    <row r="643" spans="1:23" x14ac:dyDescent="0.2">
      <c r="A643" s="27"/>
      <c r="B643" s="25"/>
      <c r="D643" s="11"/>
      <c r="E643" s="10"/>
      <c r="O643" s="10"/>
      <c r="V643" s="10"/>
      <c r="W643" s="6"/>
    </row>
    <row r="644" spans="1:23" x14ac:dyDescent="0.2">
      <c r="A644" s="27"/>
      <c r="B644" s="25"/>
      <c r="D644" s="11"/>
      <c r="E644" s="10"/>
      <c r="O644" s="10"/>
      <c r="V644" s="10"/>
      <c r="W644" s="6"/>
    </row>
    <row r="645" spans="1:23" x14ac:dyDescent="0.2">
      <c r="A645" s="27"/>
      <c r="B645" s="25"/>
      <c r="D645" s="11"/>
      <c r="E645" s="10"/>
      <c r="O645" s="10"/>
      <c r="V645" s="10"/>
      <c r="W645" s="6"/>
    </row>
    <row r="646" spans="1:23" x14ac:dyDescent="0.2">
      <c r="A646" s="27"/>
      <c r="B646" s="25"/>
      <c r="D646" s="11"/>
      <c r="E646" s="10"/>
      <c r="O646" s="10"/>
      <c r="V646" s="10"/>
      <c r="W646" s="6"/>
    </row>
    <row r="647" spans="1:23" x14ac:dyDescent="0.2">
      <c r="A647" s="27"/>
      <c r="B647" s="25"/>
      <c r="D647" s="11"/>
      <c r="E647" s="10"/>
      <c r="O647" s="10"/>
      <c r="V647" s="10"/>
      <c r="W647" s="6"/>
    </row>
    <row r="648" spans="1:23" x14ac:dyDescent="0.2">
      <c r="A648" s="27"/>
      <c r="B648" s="1"/>
      <c r="D648" s="11"/>
      <c r="E648" s="10"/>
      <c r="O648" s="10"/>
      <c r="V648" s="10"/>
      <c r="W648" s="6"/>
    </row>
    <row r="649" spans="1:23" x14ac:dyDescent="0.2">
      <c r="A649" s="27"/>
      <c r="B649" s="1"/>
      <c r="D649" s="11"/>
      <c r="E649" s="10"/>
      <c r="O649" s="10"/>
      <c r="V649" s="10"/>
      <c r="W649" s="6"/>
    </row>
    <row r="650" spans="1:23" x14ac:dyDescent="0.2">
      <c r="A650" s="27"/>
      <c r="B650" s="1"/>
      <c r="D650" s="11"/>
      <c r="E650" s="10"/>
      <c r="O650" s="10"/>
      <c r="V650" s="10"/>
      <c r="W650" s="6"/>
    </row>
    <row r="651" spans="1:23" x14ac:dyDescent="0.2">
      <c r="A651" s="27"/>
      <c r="B651" s="25"/>
      <c r="D651" s="11"/>
      <c r="E651" s="10"/>
      <c r="O651" s="10"/>
      <c r="V651" s="10"/>
      <c r="W651" s="6"/>
    </row>
    <row r="652" spans="1:23" x14ac:dyDescent="0.2">
      <c r="A652" s="27"/>
      <c r="B652" s="25"/>
      <c r="D652" s="11"/>
      <c r="E652" s="10"/>
      <c r="O652" s="10"/>
      <c r="V652" s="10"/>
      <c r="W652" s="6"/>
    </row>
    <row r="653" spans="1:23" x14ac:dyDescent="0.2">
      <c r="A653" s="27"/>
      <c r="B653" s="25"/>
      <c r="D653" s="11"/>
      <c r="E653" s="10"/>
      <c r="O653" s="10"/>
      <c r="V653" s="10"/>
      <c r="W653" s="6"/>
    </row>
    <row r="654" spans="1:23" x14ac:dyDescent="0.2">
      <c r="A654" s="27"/>
      <c r="B654" s="25"/>
      <c r="D654" s="11"/>
      <c r="E654" s="10"/>
      <c r="O654" s="10"/>
      <c r="V654" s="10"/>
      <c r="W654" s="6"/>
    </row>
    <row r="655" spans="1:23" x14ac:dyDescent="0.2">
      <c r="A655" s="27"/>
      <c r="B655" s="1"/>
      <c r="D655" s="11"/>
      <c r="E655" s="10"/>
      <c r="O655" s="10"/>
      <c r="V655" s="10"/>
      <c r="W655" s="6"/>
    </row>
    <row r="656" spans="1:23" x14ac:dyDescent="0.2">
      <c r="A656" s="27"/>
      <c r="B656" s="25"/>
      <c r="D656" s="11"/>
      <c r="E656" s="10"/>
      <c r="O656" s="10"/>
      <c r="V656" s="10"/>
      <c r="W656" s="6"/>
    </row>
    <row r="657" spans="1:23" x14ac:dyDescent="0.2">
      <c r="A657" s="27"/>
      <c r="B657" s="1"/>
      <c r="D657" s="11"/>
      <c r="E657" s="10"/>
      <c r="O657" s="10"/>
      <c r="V657" s="10"/>
      <c r="W657" s="6"/>
    </row>
    <row r="658" spans="1:23" x14ac:dyDescent="0.2">
      <c r="A658" s="27"/>
      <c r="B658" s="25"/>
      <c r="D658" s="11"/>
      <c r="E658" s="10"/>
      <c r="O658" s="10"/>
      <c r="V658" s="10"/>
      <c r="W658" s="6"/>
    </row>
    <row r="659" spans="1:23" x14ac:dyDescent="0.2">
      <c r="A659" s="27"/>
      <c r="B659" s="25"/>
      <c r="D659" s="11"/>
      <c r="E659" s="10"/>
      <c r="O659" s="10"/>
      <c r="V659" s="10"/>
      <c r="W659" s="6"/>
    </row>
    <row r="660" spans="1:23" x14ac:dyDescent="0.2">
      <c r="A660" s="27"/>
      <c r="B660" s="25"/>
      <c r="D660" s="11"/>
      <c r="E660" s="10"/>
      <c r="O660" s="10"/>
      <c r="V660" s="10"/>
      <c r="W660" s="6"/>
    </row>
    <row r="661" spans="1:23" x14ac:dyDescent="0.2">
      <c r="A661" s="27"/>
      <c r="B661" s="25"/>
      <c r="D661" s="11"/>
      <c r="E661" s="10"/>
      <c r="O661" s="10"/>
      <c r="V661" s="10"/>
      <c r="W661" s="6"/>
    </row>
    <row r="662" spans="1:23" x14ac:dyDescent="0.2">
      <c r="A662" s="27"/>
      <c r="B662" s="25"/>
      <c r="D662" s="11"/>
      <c r="E662" s="10"/>
      <c r="O662" s="10"/>
      <c r="V662" s="10"/>
      <c r="W662" s="6"/>
    </row>
    <row r="663" spans="1:23" x14ac:dyDescent="0.2">
      <c r="A663" s="27"/>
      <c r="B663" s="25"/>
      <c r="D663" s="11"/>
      <c r="E663" s="10"/>
      <c r="O663" s="10"/>
      <c r="V663" s="10"/>
      <c r="W663" s="6"/>
    </row>
    <row r="664" spans="1:23" x14ac:dyDescent="0.2">
      <c r="A664" s="27"/>
      <c r="B664" s="25"/>
      <c r="D664" s="11"/>
      <c r="E664" s="10"/>
      <c r="O664" s="10"/>
      <c r="V664" s="10"/>
      <c r="W664" s="6"/>
    </row>
    <row r="665" spans="1:23" x14ac:dyDescent="0.2">
      <c r="A665" s="27"/>
      <c r="B665" s="25"/>
      <c r="D665" s="11"/>
      <c r="E665" s="10"/>
      <c r="O665" s="10"/>
      <c r="V665" s="10"/>
      <c r="W665" s="6"/>
    </row>
    <row r="666" spans="1:23" x14ac:dyDescent="0.2">
      <c r="A666" s="27"/>
      <c r="B666" s="25"/>
      <c r="D666" s="11"/>
      <c r="E666" s="10"/>
      <c r="O666" s="10"/>
      <c r="V666" s="10"/>
      <c r="W666" s="6"/>
    </row>
    <row r="667" spans="1:23" x14ac:dyDescent="0.2">
      <c r="A667" s="27"/>
      <c r="B667" s="25"/>
      <c r="D667" s="11"/>
      <c r="E667" s="10"/>
      <c r="O667" s="10"/>
      <c r="V667" s="10"/>
      <c r="W667" s="6"/>
    </row>
    <row r="668" spans="1:23" x14ac:dyDescent="0.2">
      <c r="A668" s="27"/>
      <c r="B668" s="25"/>
      <c r="D668" s="11"/>
      <c r="E668" s="10"/>
      <c r="O668" s="10"/>
      <c r="V668" s="10"/>
      <c r="W668" s="6"/>
    </row>
    <row r="669" spans="1:23" x14ac:dyDescent="0.2">
      <c r="A669" s="27"/>
      <c r="B669" s="25"/>
      <c r="D669" s="11"/>
      <c r="E669" s="10"/>
      <c r="O669" s="10"/>
      <c r="V669" s="10"/>
      <c r="W669" s="6"/>
    </row>
    <row r="670" spans="1:23" x14ac:dyDescent="0.2">
      <c r="A670" s="27"/>
      <c r="B670" s="25"/>
      <c r="D670" s="11"/>
      <c r="E670" s="10"/>
      <c r="O670" s="10"/>
      <c r="V670" s="10"/>
      <c r="W670" s="6"/>
    </row>
    <row r="671" spans="1:23" x14ac:dyDescent="0.2">
      <c r="A671" s="27"/>
      <c r="B671" s="25"/>
      <c r="D671" s="11"/>
      <c r="E671" s="10"/>
      <c r="O671" s="10"/>
      <c r="V671" s="10"/>
      <c r="W671" s="6"/>
    </row>
    <row r="672" spans="1:23" x14ac:dyDescent="0.2">
      <c r="A672" s="27"/>
      <c r="B672" s="25"/>
      <c r="D672" s="11"/>
      <c r="E672" s="10"/>
      <c r="O672" s="10"/>
      <c r="V672" s="10"/>
      <c r="W672" s="6"/>
    </row>
    <row r="673" spans="1:23" x14ac:dyDescent="0.2">
      <c r="A673" s="27"/>
      <c r="B673" s="25"/>
      <c r="D673" s="11"/>
      <c r="E673" s="10"/>
      <c r="O673" s="10"/>
      <c r="V673" s="10"/>
      <c r="W673" s="6"/>
    </row>
    <row r="674" spans="1:23" x14ac:dyDescent="0.2">
      <c r="A674" s="27"/>
      <c r="B674" s="25"/>
      <c r="D674" s="11"/>
      <c r="E674" s="10"/>
      <c r="O674" s="10"/>
      <c r="V674" s="10"/>
      <c r="W674" s="6"/>
    </row>
    <row r="675" spans="1:23" x14ac:dyDescent="0.2">
      <c r="A675" s="27"/>
      <c r="B675" s="1"/>
      <c r="D675" s="11"/>
      <c r="E675" s="10"/>
      <c r="O675" s="10"/>
      <c r="V675" s="10"/>
      <c r="W675" s="6"/>
    </row>
    <row r="676" spans="1:23" x14ac:dyDescent="0.2">
      <c r="A676" s="27"/>
      <c r="B676" s="1"/>
      <c r="D676" s="11"/>
      <c r="E676" s="10"/>
      <c r="O676" s="10"/>
      <c r="V676" s="10"/>
      <c r="W676" s="6"/>
    </row>
    <row r="677" spans="1:23" x14ac:dyDescent="0.2">
      <c r="A677" s="27"/>
      <c r="B677" s="25"/>
      <c r="D677" s="11"/>
      <c r="E677" s="10"/>
      <c r="O677" s="10"/>
      <c r="V677" s="10"/>
      <c r="W677" s="6"/>
    </row>
    <row r="678" spans="1:23" x14ac:dyDescent="0.2">
      <c r="A678" s="27"/>
      <c r="B678" s="25"/>
      <c r="D678" s="11"/>
      <c r="E678" s="10"/>
      <c r="O678" s="10"/>
      <c r="V678" s="10"/>
    </row>
    <row r="679" spans="1:23" x14ac:dyDescent="0.2">
      <c r="A679" s="27"/>
      <c r="B679" s="25"/>
      <c r="D679" s="11"/>
      <c r="E679" s="10"/>
      <c r="O679" s="10"/>
      <c r="V679" s="10"/>
      <c r="W679" s="6"/>
    </row>
    <row r="680" spans="1:23" x14ac:dyDescent="0.2">
      <c r="A680" s="27"/>
      <c r="B680" s="25"/>
      <c r="D680" s="11"/>
      <c r="E680" s="10"/>
      <c r="O680" s="10"/>
      <c r="V680" s="10"/>
      <c r="W680" s="6"/>
    </row>
    <row r="681" spans="1:23" x14ac:dyDescent="0.2">
      <c r="A681" s="27"/>
      <c r="B681" s="25"/>
      <c r="D681" s="11"/>
      <c r="E681" s="10"/>
      <c r="O681" s="10"/>
      <c r="V681" s="10"/>
      <c r="W681" s="6"/>
    </row>
    <row r="682" spans="1:23" x14ac:dyDescent="0.2">
      <c r="A682" s="27"/>
      <c r="B682" s="25"/>
      <c r="D682" s="11"/>
      <c r="E682" s="10"/>
      <c r="O682" s="10"/>
      <c r="V682" s="10"/>
      <c r="W682" s="6"/>
    </row>
    <row r="683" spans="1:23" x14ac:dyDescent="0.2">
      <c r="A683" s="27"/>
      <c r="B683" s="25"/>
      <c r="D683" s="11"/>
      <c r="E683" s="10"/>
      <c r="O683" s="10"/>
      <c r="V683" s="10"/>
      <c r="W683" s="6"/>
    </row>
    <row r="684" spans="1:23" x14ac:dyDescent="0.2">
      <c r="A684" s="27"/>
      <c r="B684" s="25"/>
      <c r="D684" s="11"/>
      <c r="E684" s="10"/>
      <c r="O684" s="10"/>
      <c r="V684" s="10"/>
      <c r="W684" s="6"/>
    </row>
    <row r="685" spans="1:23" x14ac:dyDescent="0.2">
      <c r="A685" s="27"/>
      <c r="B685" s="25"/>
      <c r="D685" s="11"/>
      <c r="E685" s="10"/>
      <c r="O685" s="10"/>
      <c r="V685" s="10"/>
      <c r="W685" s="6"/>
    </row>
    <row r="686" spans="1:23" x14ac:dyDescent="0.2">
      <c r="A686" s="27"/>
      <c r="B686" s="25"/>
      <c r="D686" s="11"/>
      <c r="E686" s="10"/>
      <c r="O686" s="10"/>
      <c r="V686" s="10"/>
      <c r="W686" s="6"/>
    </row>
    <row r="687" spans="1:23" x14ac:dyDescent="0.2">
      <c r="A687" s="27"/>
      <c r="B687" s="25"/>
      <c r="D687" s="11"/>
      <c r="E687" s="10"/>
      <c r="O687" s="10"/>
      <c r="V687" s="10"/>
      <c r="W687" s="6"/>
    </row>
    <row r="688" spans="1:23" x14ac:dyDescent="0.2">
      <c r="A688" s="27"/>
      <c r="B688" s="25"/>
      <c r="D688" s="11"/>
      <c r="E688" s="10"/>
      <c r="O688" s="10"/>
      <c r="V688" s="10"/>
      <c r="W688" s="6"/>
    </row>
    <row r="689" spans="1:23" x14ac:dyDescent="0.2">
      <c r="A689" s="27"/>
      <c r="B689" s="25"/>
      <c r="D689" s="11"/>
      <c r="E689" s="10"/>
      <c r="O689" s="10"/>
      <c r="V689" s="10"/>
      <c r="W689" s="6"/>
    </row>
    <row r="690" spans="1:23" x14ac:dyDescent="0.2">
      <c r="A690" s="27"/>
      <c r="B690" s="25"/>
      <c r="D690" s="11"/>
      <c r="E690" s="10"/>
      <c r="O690" s="10"/>
      <c r="V690" s="10"/>
      <c r="W690" s="6"/>
    </row>
    <row r="691" spans="1:23" x14ac:dyDescent="0.2">
      <c r="A691" s="27"/>
      <c r="B691" s="1"/>
      <c r="D691" s="11"/>
      <c r="E691" s="10"/>
      <c r="O691" s="10"/>
      <c r="V691" s="10"/>
      <c r="W691" s="6"/>
    </row>
    <row r="692" spans="1:23" x14ac:dyDescent="0.2">
      <c r="A692" s="27"/>
      <c r="B692" s="25"/>
      <c r="D692" s="11"/>
      <c r="E692" s="10"/>
      <c r="O692" s="10"/>
      <c r="V692" s="10"/>
      <c r="W692" s="6"/>
    </row>
    <row r="693" spans="1:23" x14ac:dyDescent="0.2">
      <c r="A693" s="27"/>
      <c r="B693" s="1"/>
      <c r="D693" s="11"/>
      <c r="E693" s="10"/>
      <c r="O693" s="10"/>
      <c r="V693" s="10"/>
      <c r="W693" s="6"/>
    </row>
    <row r="694" spans="1:23" x14ac:dyDescent="0.2">
      <c r="A694" s="27"/>
      <c r="B694" s="25"/>
      <c r="D694" s="11"/>
      <c r="E694" s="10"/>
      <c r="O694" s="10"/>
      <c r="V694" s="10"/>
      <c r="W694" s="6"/>
    </row>
    <row r="695" spans="1:23" x14ac:dyDescent="0.2">
      <c r="A695" s="27"/>
      <c r="B695" s="25"/>
      <c r="D695" s="11"/>
      <c r="E695" s="10"/>
      <c r="O695" s="10"/>
      <c r="V695" s="10"/>
      <c r="W695" s="6"/>
    </row>
    <row r="696" spans="1:23" x14ac:dyDescent="0.2">
      <c r="A696" s="27"/>
      <c r="B696" s="1"/>
      <c r="D696" s="11"/>
      <c r="E696" s="10"/>
      <c r="O696" s="10"/>
      <c r="V696" s="10"/>
      <c r="W696" s="6"/>
    </row>
    <row r="697" spans="1:23" x14ac:dyDescent="0.2">
      <c r="A697" s="27"/>
      <c r="B697" s="25"/>
      <c r="D697" s="11"/>
      <c r="E697" s="10"/>
      <c r="O697" s="10"/>
      <c r="V697" s="10"/>
      <c r="W697" s="6"/>
    </row>
    <row r="698" spans="1:23" x14ac:dyDescent="0.2">
      <c r="A698" s="27"/>
      <c r="B698" s="1"/>
      <c r="D698" s="11"/>
      <c r="E698" s="10"/>
      <c r="O698" s="10"/>
      <c r="V698" s="10"/>
      <c r="W698" s="6"/>
    </row>
    <row r="699" spans="1:23" x14ac:dyDescent="0.2">
      <c r="A699" s="27"/>
      <c r="B699" s="25"/>
      <c r="D699" s="11"/>
      <c r="E699" s="10"/>
      <c r="O699" s="10"/>
      <c r="V699" s="10"/>
      <c r="W699" s="6"/>
    </row>
    <row r="700" spans="1:23" x14ac:dyDescent="0.2">
      <c r="A700" s="27"/>
      <c r="B700" s="25"/>
      <c r="D700" s="11"/>
      <c r="E700" s="10"/>
      <c r="O700" s="10"/>
      <c r="V700" s="10"/>
      <c r="W700" s="6"/>
    </row>
    <row r="701" spans="1:23" x14ac:dyDescent="0.2">
      <c r="A701" s="27"/>
      <c r="B701" s="25"/>
      <c r="D701" s="11"/>
      <c r="E701" s="10"/>
      <c r="O701" s="10"/>
      <c r="V701" s="10"/>
      <c r="W701" s="6"/>
    </row>
    <row r="702" spans="1:23" x14ac:dyDescent="0.2">
      <c r="A702" s="27"/>
      <c r="B702" s="25"/>
      <c r="D702" s="11"/>
      <c r="E702" s="10"/>
      <c r="O702" s="10"/>
      <c r="V702" s="10"/>
      <c r="W702" s="6"/>
    </row>
    <row r="703" spans="1:23" x14ac:dyDescent="0.2">
      <c r="A703" s="27"/>
      <c r="B703" s="25"/>
      <c r="D703" s="11"/>
      <c r="E703" s="10"/>
      <c r="O703" s="10"/>
      <c r="V703" s="10"/>
      <c r="W703" s="6"/>
    </row>
    <row r="704" spans="1:23" x14ac:dyDescent="0.2">
      <c r="A704" s="27"/>
      <c r="B704" s="25"/>
      <c r="D704" s="11"/>
      <c r="E704" s="10"/>
      <c r="O704" s="10"/>
      <c r="V704" s="10"/>
      <c r="W704" s="6"/>
    </row>
    <row r="705" spans="1:23" x14ac:dyDescent="0.2">
      <c r="A705" s="27"/>
      <c r="B705" s="25"/>
      <c r="D705" s="11"/>
      <c r="E705" s="10"/>
      <c r="O705" s="10"/>
      <c r="V705" s="10"/>
      <c r="W705" s="6"/>
    </row>
    <row r="706" spans="1:23" x14ac:dyDescent="0.2">
      <c r="A706" s="27"/>
      <c r="B706" s="25"/>
      <c r="D706" s="11"/>
      <c r="E706" s="10"/>
      <c r="O706" s="10"/>
      <c r="V706" s="10"/>
      <c r="W706" s="6"/>
    </row>
    <row r="707" spans="1:23" x14ac:dyDescent="0.2">
      <c r="A707" s="27"/>
      <c r="B707" s="25"/>
      <c r="D707" s="11"/>
      <c r="E707" s="10"/>
      <c r="O707" s="10"/>
      <c r="V707" s="10"/>
      <c r="W707" s="6"/>
    </row>
    <row r="708" spans="1:23" x14ac:dyDescent="0.2">
      <c r="A708" s="27"/>
      <c r="B708" s="25"/>
      <c r="D708" s="11"/>
      <c r="E708" s="10"/>
      <c r="O708" s="10"/>
      <c r="V708" s="10"/>
      <c r="W708" s="6"/>
    </row>
    <row r="709" spans="1:23" x14ac:dyDescent="0.2">
      <c r="A709" s="27"/>
      <c r="B709" s="25"/>
      <c r="D709" s="11"/>
      <c r="E709" s="10"/>
      <c r="O709" s="10"/>
      <c r="V709" s="10"/>
      <c r="W709" s="6"/>
    </row>
    <row r="710" spans="1:23" x14ac:dyDescent="0.2">
      <c r="A710" s="27"/>
      <c r="B710" s="25"/>
      <c r="D710" s="11"/>
      <c r="E710" s="10"/>
      <c r="O710" s="10"/>
      <c r="V710" s="10"/>
      <c r="W710" s="6"/>
    </row>
    <row r="711" spans="1:23" x14ac:dyDescent="0.2">
      <c r="A711" s="27"/>
      <c r="B711" s="25"/>
      <c r="D711" s="11"/>
      <c r="E711" s="10"/>
      <c r="O711" s="10"/>
      <c r="V711" s="10"/>
      <c r="W711" s="6"/>
    </row>
    <row r="712" spans="1:23" x14ac:dyDescent="0.2">
      <c r="A712" s="27"/>
      <c r="B712" s="25"/>
      <c r="D712" s="11"/>
      <c r="E712" s="10"/>
      <c r="O712" s="10"/>
      <c r="V712" s="10"/>
      <c r="W712" s="6"/>
    </row>
    <row r="713" spans="1:23" x14ac:dyDescent="0.2">
      <c r="A713" s="27"/>
      <c r="B713" s="25"/>
      <c r="D713" s="11"/>
      <c r="E713" s="10"/>
      <c r="O713" s="10"/>
      <c r="V713" s="10"/>
      <c r="W713" s="6"/>
    </row>
    <row r="714" spans="1:23" x14ac:dyDescent="0.2">
      <c r="A714" s="27"/>
      <c r="B714" s="25"/>
      <c r="D714" s="11"/>
      <c r="E714" s="10"/>
      <c r="O714" s="10"/>
      <c r="V714" s="10"/>
      <c r="W714" s="6"/>
    </row>
    <row r="715" spans="1:23" x14ac:dyDescent="0.2">
      <c r="A715" s="27"/>
      <c r="B715" s="25"/>
      <c r="D715" s="11"/>
      <c r="E715" s="10"/>
      <c r="O715" s="10"/>
      <c r="V715" s="10"/>
      <c r="W715" s="6"/>
    </row>
    <row r="716" spans="1:23" x14ac:dyDescent="0.2">
      <c r="A716" s="27"/>
      <c r="B716" s="1"/>
      <c r="D716" s="11"/>
      <c r="E716" s="10"/>
      <c r="O716" s="10"/>
      <c r="V716" s="10"/>
      <c r="W716" s="6"/>
    </row>
    <row r="717" spans="1:23" x14ac:dyDescent="0.2">
      <c r="A717" s="27"/>
      <c r="B717" s="25"/>
      <c r="D717" s="11"/>
      <c r="E717" s="10"/>
      <c r="O717" s="10"/>
      <c r="V717" s="10"/>
    </row>
    <row r="718" spans="1:23" x14ac:dyDescent="0.2">
      <c r="A718" s="27"/>
      <c r="B718" s="1"/>
      <c r="D718" s="11"/>
      <c r="E718" s="10"/>
      <c r="O718" s="10"/>
      <c r="V718" s="10"/>
      <c r="W718" s="6"/>
    </row>
    <row r="719" spans="1:23" x14ac:dyDescent="0.2">
      <c r="A719" s="27"/>
      <c r="B719" s="25"/>
      <c r="D719" s="11"/>
      <c r="E719" s="10"/>
      <c r="O719" s="10"/>
      <c r="V719" s="10"/>
      <c r="W719" s="6"/>
    </row>
    <row r="720" spans="1:23" x14ac:dyDescent="0.2">
      <c r="A720" s="27"/>
      <c r="B720" s="1"/>
      <c r="D720" s="11"/>
      <c r="E720" s="10"/>
      <c r="O720" s="10"/>
      <c r="V720" s="10"/>
      <c r="W720" s="6"/>
    </row>
    <row r="721" spans="1:23" x14ac:dyDescent="0.2">
      <c r="A721" s="27"/>
      <c r="B721" s="25"/>
      <c r="D721" s="11"/>
      <c r="E721" s="10"/>
      <c r="O721" s="10"/>
      <c r="V721" s="10"/>
      <c r="W721" s="6"/>
    </row>
    <row r="722" spans="1:23" x14ac:dyDescent="0.2">
      <c r="A722" s="27"/>
      <c r="B722" s="25"/>
      <c r="D722" s="11"/>
      <c r="E722" s="10"/>
      <c r="O722" s="10"/>
      <c r="V722" s="10"/>
      <c r="W722" s="6"/>
    </row>
    <row r="723" spans="1:23" x14ac:dyDescent="0.2">
      <c r="A723" s="27"/>
      <c r="B723" s="25"/>
      <c r="D723" s="11"/>
      <c r="E723" s="10"/>
      <c r="O723" s="10"/>
      <c r="V723" s="10"/>
      <c r="W723" s="6"/>
    </row>
    <row r="724" spans="1:23" x14ac:dyDescent="0.2">
      <c r="A724" s="27"/>
      <c r="B724" s="25"/>
      <c r="D724" s="11"/>
      <c r="E724" s="10"/>
      <c r="O724" s="10"/>
      <c r="V724" s="10"/>
      <c r="W724" s="6"/>
    </row>
    <row r="725" spans="1:23" x14ac:dyDescent="0.2">
      <c r="A725" s="27"/>
      <c r="B725" s="25"/>
      <c r="D725" s="11"/>
      <c r="E725" s="10"/>
      <c r="O725" s="10"/>
      <c r="V725" s="10"/>
      <c r="W725" s="6"/>
    </row>
    <row r="726" spans="1:23" x14ac:dyDescent="0.2">
      <c r="A726" s="27"/>
      <c r="B726" s="25"/>
      <c r="D726" s="11"/>
      <c r="E726" s="10"/>
      <c r="O726" s="10"/>
      <c r="V726" s="10"/>
      <c r="W726" s="6"/>
    </row>
    <row r="727" spans="1:23" x14ac:dyDescent="0.2">
      <c r="A727" s="27"/>
      <c r="B727" s="25"/>
      <c r="D727" s="11"/>
      <c r="E727" s="10"/>
      <c r="O727" s="10"/>
      <c r="V727" s="10"/>
      <c r="W727" s="6"/>
    </row>
    <row r="728" spans="1:23" x14ac:dyDescent="0.2">
      <c r="A728" s="27"/>
      <c r="B728" s="25"/>
      <c r="D728" s="11"/>
      <c r="E728" s="10"/>
      <c r="O728" s="10"/>
      <c r="V728" s="10"/>
      <c r="W728" s="6"/>
    </row>
    <row r="729" spans="1:23" x14ac:dyDescent="0.2">
      <c r="A729" s="27"/>
      <c r="B729" s="25"/>
      <c r="D729" s="11"/>
      <c r="E729" s="10"/>
      <c r="O729" s="10"/>
      <c r="V729" s="10"/>
      <c r="W729" s="6"/>
    </row>
    <row r="730" spans="1:23" x14ac:dyDescent="0.2">
      <c r="A730" s="27"/>
      <c r="B730" s="25"/>
      <c r="D730" s="11"/>
      <c r="E730" s="10"/>
      <c r="O730" s="10"/>
      <c r="V730" s="10"/>
      <c r="W730" s="6"/>
    </row>
    <row r="731" spans="1:23" x14ac:dyDescent="0.2">
      <c r="A731" s="27"/>
      <c r="B731" s="25"/>
      <c r="D731" s="11"/>
      <c r="E731" s="10"/>
      <c r="O731" s="10"/>
      <c r="V731" s="10"/>
      <c r="W731" s="6"/>
    </row>
    <row r="732" spans="1:23" x14ac:dyDescent="0.2">
      <c r="A732" s="27"/>
      <c r="B732" s="25"/>
      <c r="D732" s="11"/>
      <c r="E732" s="10"/>
      <c r="O732" s="10"/>
      <c r="V732" s="10"/>
      <c r="W732" s="6"/>
    </row>
    <row r="733" spans="1:23" x14ac:dyDescent="0.2">
      <c r="A733" s="27"/>
      <c r="B733" s="25"/>
      <c r="D733" s="11"/>
      <c r="E733" s="10"/>
      <c r="O733" s="10"/>
      <c r="V733" s="10"/>
      <c r="W733" s="6"/>
    </row>
    <row r="734" spans="1:23" x14ac:dyDescent="0.2">
      <c r="A734" s="27"/>
      <c r="B734" s="25"/>
      <c r="D734" s="11"/>
      <c r="E734" s="10"/>
      <c r="O734" s="10"/>
      <c r="V734" s="10"/>
      <c r="W734" s="6"/>
    </row>
    <row r="735" spans="1:23" x14ac:dyDescent="0.2">
      <c r="A735" s="27"/>
      <c r="B735" s="25"/>
      <c r="D735" s="11"/>
      <c r="E735" s="10"/>
      <c r="O735" s="10"/>
      <c r="V735" s="10"/>
      <c r="W735" s="6"/>
    </row>
    <row r="736" spans="1:23" x14ac:dyDescent="0.2">
      <c r="A736" s="27"/>
      <c r="B736" s="1"/>
      <c r="D736" s="11"/>
      <c r="E736" s="10"/>
      <c r="O736" s="10"/>
      <c r="V736" s="10"/>
      <c r="W736" s="6"/>
    </row>
    <row r="737" spans="1:23" x14ac:dyDescent="0.2">
      <c r="A737" s="27"/>
      <c r="B737" s="25"/>
      <c r="D737" s="11"/>
      <c r="E737" s="10"/>
      <c r="O737" s="10"/>
      <c r="V737" s="10"/>
      <c r="W737" s="6"/>
    </row>
    <row r="738" spans="1:23" x14ac:dyDescent="0.2">
      <c r="A738" s="27"/>
      <c r="B738" s="25"/>
      <c r="D738" s="11"/>
      <c r="E738" s="10"/>
      <c r="O738" s="10"/>
      <c r="V738" s="10"/>
      <c r="W738" s="6"/>
    </row>
    <row r="739" spans="1:23" x14ac:dyDescent="0.2">
      <c r="A739" s="27"/>
      <c r="B739" s="25"/>
      <c r="D739" s="11"/>
      <c r="E739" s="10"/>
      <c r="O739" s="10"/>
      <c r="V739" s="10"/>
      <c r="W739" s="6"/>
    </row>
    <row r="740" spans="1:23" x14ac:dyDescent="0.2">
      <c r="A740" s="27"/>
      <c r="B740" s="25"/>
      <c r="D740" s="11"/>
      <c r="E740" s="10"/>
      <c r="O740" s="10"/>
      <c r="V740" s="10"/>
      <c r="W740" s="6"/>
    </row>
    <row r="741" spans="1:23" x14ac:dyDescent="0.2">
      <c r="A741" s="27"/>
      <c r="B741" s="25"/>
      <c r="D741" s="11"/>
      <c r="E741" s="10"/>
      <c r="O741" s="10"/>
      <c r="V741" s="10"/>
      <c r="W741" s="6"/>
    </row>
    <row r="742" spans="1:23" x14ac:dyDescent="0.2">
      <c r="A742" s="27"/>
      <c r="B742" s="1"/>
      <c r="D742" s="11"/>
      <c r="E742" s="10"/>
      <c r="O742" s="10"/>
      <c r="V742" s="10"/>
      <c r="W742" s="6"/>
    </row>
    <row r="743" spans="1:23" x14ac:dyDescent="0.2">
      <c r="A743" s="27"/>
      <c r="B743" s="25"/>
      <c r="D743" s="11"/>
      <c r="E743" s="10"/>
      <c r="O743" s="10"/>
      <c r="V743" s="10"/>
      <c r="W743" s="6"/>
    </row>
    <row r="744" spans="1:23" x14ac:dyDescent="0.2">
      <c r="A744" s="27"/>
      <c r="B744" s="25"/>
      <c r="D744" s="11"/>
      <c r="E744" s="10"/>
      <c r="O744" s="10"/>
      <c r="V744" s="10"/>
      <c r="W744" s="6"/>
    </row>
    <row r="745" spans="1:23" x14ac:dyDescent="0.2">
      <c r="A745" s="27"/>
      <c r="B745" s="25"/>
      <c r="D745" s="11"/>
      <c r="E745" s="10"/>
      <c r="O745" s="10"/>
      <c r="V745" s="10"/>
      <c r="W745" s="6"/>
    </row>
    <row r="746" spans="1:23" x14ac:dyDescent="0.2">
      <c r="A746" s="27"/>
      <c r="B746" s="25"/>
      <c r="D746" s="11"/>
      <c r="E746" s="10"/>
      <c r="O746" s="10"/>
      <c r="V746" s="10"/>
      <c r="W746" s="6"/>
    </row>
    <row r="747" spans="1:23" x14ac:dyDescent="0.2">
      <c r="A747" s="27"/>
      <c r="B747" s="25"/>
      <c r="D747" s="11"/>
      <c r="E747" s="10"/>
      <c r="O747" s="10"/>
      <c r="V747" s="10"/>
      <c r="W747" s="6"/>
    </row>
    <row r="748" spans="1:23" x14ac:dyDescent="0.2">
      <c r="A748" s="27"/>
      <c r="B748" s="25"/>
      <c r="D748" s="11"/>
      <c r="E748" s="10"/>
      <c r="O748" s="10"/>
      <c r="V748" s="10"/>
      <c r="W748" s="6"/>
    </row>
    <row r="749" spans="1:23" x14ac:dyDescent="0.2">
      <c r="A749" s="27"/>
      <c r="B749" s="1"/>
      <c r="D749" s="11"/>
      <c r="E749" s="10"/>
      <c r="O749" s="10"/>
      <c r="V749" s="10"/>
      <c r="W749" s="6"/>
    </row>
    <row r="750" spans="1:23" x14ac:dyDescent="0.2">
      <c r="A750" s="27"/>
      <c r="B750" s="25"/>
      <c r="D750" s="11"/>
      <c r="E750" s="10"/>
      <c r="O750" s="10"/>
      <c r="V750" s="10"/>
      <c r="W750" s="6"/>
    </row>
    <row r="751" spans="1:23" x14ac:dyDescent="0.2">
      <c r="A751" s="27"/>
      <c r="B751" s="25"/>
      <c r="D751" s="11"/>
      <c r="E751" s="10"/>
      <c r="O751" s="10"/>
      <c r="V751" s="10"/>
      <c r="W751" s="6"/>
    </row>
    <row r="752" spans="1:23" x14ac:dyDescent="0.2">
      <c r="A752" s="27"/>
      <c r="B752" s="25"/>
      <c r="D752" s="11"/>
      <c r="E752" s="10"/>
      <c r="O752" s="10"/>
      <c r="V752" s="10"/>
      <c r="W752" s="6"/>
    </row>
    <row r="753" spans="1:23" x14ac:dyDescent="0.2">
      <c r="A753" s="27"/>
      <c r="B753" s="25"/>
      <c r="D753" s="11"/>
      <c r="E753" s="10"/>
      <c r="O753" s="10"/>
      <c r="V753" s="10"/>
      <c r="W753" s="6"/>
    </row>
    <row r="754" spans="1:23" x14ac:dyDescent="0.2">
      <c r="A754" s="27"/>
      <c r="B754" s="25"/>
      <c r="D754" s="11"/>
      <c r="E754" s="10"/>
      <c r="O754" s="10"/>
      <c r="V754" s="10"/>
      <c r="W754" s="6"/>
    </row>
    <row r="755" spans="1:23" x14ac:dyDescent="0.2">
      <c r="A755" s="27"/>
      <c r="B755" s="25"/>
      <c r="D755" s="11"/>
      <c r="E755" s="10"/>
      <c r="O755" s="10"/>
      <c r="V755" s="10"/>
      <c r="W755" s="6"/>
    </row>
    <row r="756" spans="1:23" x14ac:dyDescent="0.2">
      <c r="A756" s="27"/>
      <c r="B756" s="25"/>
      <c r="D756" s="11"/>
      <c r="E756" s="10"/>
      <c r="O756" s="10"/>
      <c r="V756" s="10"/>
      <c r="W756" s="6"/>
    </row>
    <row r="757" spans="1:23" x14ac:dyDescent="0.2">
      <c r="A757" s="27"/>
      <c r="B757" s="25"/>
      <c r="D757" s="11"/>
      <c r="E757" s="10"/>
      <c r="O757" s="10"/>
      <c r="V757" s="10"/>
      <c r="W757" s="6"/>
    </row>
    <row r="758" spans="1:23" x14ac:dyDescent="0.2">
      <c r="A758" s="27"/>
      <c r="B758" s="25"/>
      <c r="D758" s="11"/>
      <c r="E758" s="10"/>
      <c r="O758" s="10"/>
      <c r="V758" s="10"/>
      <c r="W758" s="6"/>
    </row>
    <row r="759" spans="1:23" x14ac:dyDescent="0.2">
      <c r="A759" s="27"/>
      <c r="B759" s="1"/>
      <c r="D759" s="11"/>
      <c r="E759" s="10"/>
      <c r="O759" s="10"/>
      <c r="V759" s="10"/>
      <c r="W759" s="6"/>
    </row>
    <row r="760" spans="1:23" x14ac:dyDescent="0.2">
      <c r="A760" s="27"/>
      <c r="B760" s="25"/>
      <c r="D760" s="11"/>
      <c r="E760" s="10"/>
      <c r="O760" s="10"/>
      <c r="V760" s="10"/>
      <c r="W760" s="6"/>
    </row>
    <row r="761" spans="1:23" x14ac:dyDescent="0.2">
      <c r="A761" s="27"/>
      <c r="B761" s="25"/>
      <c r="D761" s="11"/>
      <c r="E761" s="10"/>
      <c r="O761" s="10"/>
      <c r="V761" s="10"/>
      <c r="W761" s="6"/>
    </row>
    <row r="762" spans="1:23" x14ac:dyDescent="0.2">
      <c r="A762" s="27"/>
      <c r="B762" s="25"/>
      <c r="D762" s="11"/>
      <c r="E762" s="10"/>
      <c r="O762" s="10"/>
      <c r="V762" s="10"/>
      <c r="W762" s="6"/>
    </row>
    <row r="763" spans="1:23" x14ac:dyDescent="0.2">
      <c r="A763" s="27"/>
      <c r="B763" s="25"/>
      <c r="D763" s="11"/>
      <c r="E763" s="10"/>
      <c r="O763" s="10"/>
      <c r="V763" s="10"/>
      <c r="W763" s="6"/>
    </row>
    <row r="764" spans="1:23" x14ac:dyDescent="0.2">
      <c r="A764" s="27"/>
      <c r="B764" s="25"/>
      <c r="D764" s="11"/>
      <c r="E764" s="10"/>
      <c r="O764" s="10"/>
      <c r="V764" s="10"/>
      <c r="W764" s="6"/>
    </row>
    <row r="765" spans="1:23" x14ac:dyDescent="0.2">
      <c r="A765" s="27"/>
      <c r="B765" s="25"/>
      <c r="D765" s="11"/>
      <c r="E765" s="10"/>
      <c r="O765" s="10"/>
      <c r="V765" s="10"/>
      <c r="W765" s="6"/>
    </row>
    <row r="766" spans="1:23" x14ac:dyDescent="0.2">
      <c r="A766" s="27"/>
      <c r="B766" s="1"/>
      <c r="D766" s="11"/>
      <c r="E766" s="10"/>
      <c r="O766" s="10"/>
      <c r="V766" s="10"/>
      <c r="W766" s="6"/>
    </row>
    <row r="767" spans="1:23" x14ac:dyDescent="0.2">
      <c r="A767" s="27"/>
      <c r="B767" s="25"/>
      <c r="D767" s="11"/>
      <c r="E767" s="10"/>
      <c r="O767" s="10"/>
      <c r="V767" s="10"/>
      <c r="W767" s="6"/>
    </row>
    <row r="768" spans="1:23" x14ac:dyDescent="0.2">
      <c r="A768" s="27"/>
      <c r="B768" s="25"/>
      <c r="D768" s="11"/>
      <c r="E768" s="10"/>
      <c r="O768" s="10"/>
      <c r="V768" s="10"/>
      <c r="W768" s="6"/>
    </row>
    <row r="769" spans="1:23" x14ac:dyDescent="0.2">
      <c r="A769" s="27"/>
      <c r="B769" s="25"/>
      <c r="D769" s="11"/>
      <c r="E769" s="10"/>
      <c r="O769" s="10"/>
      <c r="V769" s="10"/>
      <c r="W769" s="6"/>
    </row>
    <row r="770" spans="1:23" x14ac:dyDescent="0.2">
      <c r="A770" s="27"/>
      <c r="B770" s="1"/>
      <c r="D770" s="11"/>
      <c r="E770" s="10"/>
      <c r="O770" s="10"/>
      <c r="V770" s="10"/>
      <c r="W770" s="6"/>
    </row>
    <row r="771" spans="1:23" x14ac:dyDescent="0.2">
      <c r="A771" s="27"/>
      <c r="B771" s="25"/>
      <c r="D771" s="11"/>
      <c r="E771" s="10"/>
      <c r="O771" s="10"/>
      <c r="V771" s="10"/>
      <c r="W771" s="6"/>
    </row>
    <row r="772" spans="1:23" x14ac:dyDescent="0.2">
      <c r="A772" s="27"/>
      <c r="B772" s="25"/>
      <c r="D772" s="11"/>
      <c r="E772" s="10"/>
      <c r="O772" s="10"/>
      <c r="V772" s="10"/>
      <c r="W772" s="6"/>
    </row>
    <row r="773" spans="1:23" x14ac:dyDescent="0.2">
      <c r="A773" s="27"/>
      <c r="B773" s="25"/>
      <c r="D773" s="11"/>
      <c r="E773" s="10"/>
      <c r="O773" s="10"/>
      <c r="V773" s="10"/>
      <c r="W773" s="6"/>
    </row>
    <row r="774" spans="1:23" x14ac:dyDescent="0.2">
      <c r="A774" s="27"/>
      <c r="B774" s="25"/>
      <c r="D774" s="11"/>
      <c r="E774" s="10"/>
      <c r="O774" s="10"/>
      <c r="V774" s="10"/>
      <c r="W774" s="6"/>
    </row>
    <row r="775" spans="1:23" x14ac:dyDescent="0.2">
      <c r="A775" s="27"/>
      <c r="B775" s="25"/>
      <c r="D775" s="11"/>
      <c r="E775" s="10"/>
      <c r="O775" s="10"/>
      <c r="V775" s="10"/>
      <c r="W775" s="6"/>
    </row>
    <row r="776" spans="1:23" x14ac:dyDescent="0.2">
      <c r="A776" s="27"/>
      <c r="B776" s="25"/>
      <c r="D776" s="11"/>
      <c r="E776" s="10"/>
      <c r="O776" s="10"/>
      <c r="V776" s="10"/>
      <c r="W776" s="6"/>
    </row>
    <row r="777" spans="1:23" x14ac:dyDescent="0.2">
      <c r="A777" s="27"/>
      <c r="B777" s="25"/>
      <c r="D777" s="11"/>
      <c r="E777" s="10"/>
      <c r="O777" s="10"/>
      <c r="V777" s="10"/>
      <c r="W777" s="6"/>
    </row>
    <row r="778" spans="1:23" x14ac:dyDescent="0.2">
      <c r="A778" s="27"/>
      <c r="B778" s="25"/>
      <c r="D778" s="11"/>
      <c r="E778" s="10"/>
      <c r="O778" s="10"/>
      <c r="V778" s="10"/>
      <c r="W778" s="6"/>
    </row>
    <row r="779" spans="1:23" x14ac:dyDescent="0.2">
      <c r="A779" s="27"/>
      <c r="B779" s="25"/>
      <c r="D779" s="11"/>
      <c r="E779" s="10"/>
      <c r="O779" s="10"/>
      <c r="V779" s="10"/>
      <c r="W779" s="6"/>
    </row>
    <row r="780" spans="1:23" x14ac:dyDescent="0.2">
      <c r="A780" s="27"/>
      <c r="B780" s="25"/>
      <c r="D780" s="11"/>
      <c r="E780" s="10"/>
      <c r="O780" s="10"/>
      <c r="V780" s="10"/>
      <c r="W780" s="6"/>
    </row>
    <row r="781" spans="1:23" x14ac:dyDescent="0.2">
      <c r="A781" s="27"/>
      <c r="B781" s="25"/>
      <c r="D781" s="11"/>
      <c r="E781" s="10"/>
      <c r="O781" s="10"/>
      <c r="V781" s="10"/>
      <c r="W781" s="6"/>
    </row>
    <row r="782" spans="1:23" x14ac:dyDescent="0.2">
      <c r="A782" s="27"/>
      <c r="B782" s="25"/>
      <c r="D782" s="11"/>
      <c r="E782" s="10"/>
      <c r="O782" s="10"/>
      <c r="V782" s="10"/>
      <c r="W782" s="6"/>
    </row>
    <row r="783" spans="1:23" x14ac:dyDescent="0.2">
      <c r="A783" s="27"/>
      <c r="B783" s="25"/>
      <c r="D783" s="11"/>
      <c r="E783" s="10"/>
      <c r="O783" s="10"/>
      <c r="V783" s="10"/>
      <c r="W783" s="6"/>
    </row>
    <row r="784" spans="1:23" x14ac:dyDescent="0.2">
      <c r="A784" s="27"/>
      <c r="B784" s="25"/>
      <c r="D784" s="11"/>
      <c r="E784" s="10"/>
      <c r="O784" s="10"/>
      <c r="V784" s="10"/>
      <c r="W784" s="6"/>
    </row>
    <row r="785" spans="1:23" x14ac:dyDescent="0.2">
      <c r="A785" s="27"/>
      <c r="B785" s="25"/>
      <c r="D785" s="11"/>
      <c r="E785" s="10"/>
      <c r="O785" s="10"/>
      <c r="V785" s="10"/>
      <c r="W785" s="6"/>
    </row>
    <row r="786" spans="1:23" x14ac:dyDescent="0.2">
      <c r="A786" s="27"/>
      <c r="B786" s="25"/>
      <c r="D786" s="11"/>
      <c r="E786" s="10"/>
      <c r="O786" s="10"/>
      <c r="V786" s="10"/>
      <c r="W786" s="6"/>
    </row>
    <row r="787" spans="1:23" x14ac:dyDescent="0.2">
      <c r="A787" s="27"/>
      <c r="B787" s="1"/>
      <c r="D787" s="11"/>
      <c r="E787" s="10"/>
      <c r="O787" s="10"/>
      <c r="V787" s="10"/>
      <c r="W787" s="6"/>
    </row>
    <row r="788" spans="1:23" x14ac:dyDescent="0.2">
      <c r="A788" s="27"/>
      <c r="B788" s="25"/>
      <c r="D788" s="11"/>
      <c r="E788" s="10"/>
      <c r="O788" s="10"/>
      <c r="V788" s="10"/>
      <c r="W788" s="6"/>
    </row>
    <row r="789" spans="1:23" x14ac:dyDescent="0.2">
      <c r="A789" s="27"/>
      <c r="B789" s="25"/>
      <c r="D789" s="11"/>
      <c r="E789" s="10"/>
      <c r="O789" s="10"/>
      <c r="V789" s="10"/>
      <c r="W789" s="6"/>
    </row>
    <row r="790" spans="1:23" x14ac:dyDescent="0.2">
      <c r="A790" s="27"/>
      <c r="B790" s="25"/>
      <c r="D790" s="11"/>
      <c r="E790" s="10"/>
      <c r="O790" s="10"/>
      <c r="V790" s="10"/>
      <c r="W790" s="6"/>
    </row>
    <row r="791" spans="1:23" x14ac:dyDescent="0.2">
      <c r="A791" s="27"/>
      <c r="B791" s="25"/>
      <c r="D791" s="11"/>
      <c r="E791" s="10"/>
      <c r="O791" s="10"/>
      <c r="V791" s="10"/>
      <c r="W791" s="6"/>
    </row>
    <row r="792" spans="1:23" x14ac:dyDescent="0.2">
      <c r="A792" s="27"/>
      <c r="B792" s="25"/>
      <c r="D792" s="11"/>
      <c r="E792" s="10"/>
      <c r="O792" s="10"/>
      <c r="V792" s="10"/>
      <c r="W792" s="6"/>
    </row>
    <row r="793" spans="1:23" x14ac:dyDescent="0.2">
      <c r="A793" s="27"/>
      <c r="B793" s="1"/>
      <c r="D793" s="11"/>
      <c r="E793" s="10"/>
      <c r="O793" s="10"/>
      <c r="V793" s="10"/>
      <c r="W793" s="6"/>
    </row>
    <row r="794" spans="1:23" x14ac:dyDescent="0.2">
      <c r="A794" s="27"/>
      <c r="B794" s="25"/>
      <c r="D794" s="11"/>
      <c r="E794" s="10"/>
      <c r="O794" s="10"/>
      <c r="V794" s="10"/>
      <c r="W794" s="6"/>
    </row>
    <row r="795" spans="1:23" x14ac:dyDescent="0.2">
      <c r="A795" s="27"/>
      <c r="B795" s="25"/>
      <c r="D795" s="11"/>
      <c r="E795" s="10"/>
      <c r="O795" s="10"/>
      <c r="V795" s="10"/>
      <c r="W795" s="6"/>
    </row>
    <row r="796" spans="1:23" x14ac:dyDescent="0.2">
      <c r="A796" s="27"/>
      <c r="B796" s="25"/>
      <c r="D796" s="11"/>
      <c r="E796" s="10"/>
      <c r="O796" s="10"/>
      <c r="V796" s="10"/>
      <c r="W796" s="6"/>
    </row>
    <row r="797" spans="1:23" x14ac:dyDescent="0.2">
      <c r="A797" s="27"/>
      <c r="B797" s="25"/>
      <c r="D797" s="11"/>
      <c r="E797" s="10"/>
      <c r="O797" s="10"/>
      <c r="V797" s="10"/>
      <c r="W797" s="6"/>
    </row>
    <row r="798" spans="1:23" x14ac:dyDescent="0.2">
      <c r="A798" s="27"/>
      <c r="B798" s="1"/>
      <c r="D798" s="11"/>
      <c r="E798" s="10"/>
      <c r="O798" s="10"/>
      <c r="V798" s="10"/>
      <c r="W798" s="6"/>
    </row>
    <row r="799" spans="1:23" x14ac:dyDescent="0.2">
      <c r="A799" s="27"/>
      <c r="B799" s="25"/>
      <c r="D799" s="11"/>
      <c r="E799" s="10"/>
      <c r="O799" s="10"/>
      <c r="V799" s="10"/>
      <c r="W799" s="6"/>
    </row>
    <row r="800" spans="1:23" x14ac:dyDescent="0.2">
      <c r="A800" s="27"/>
      <c r="B800" s="25"/>
      <c r="D800" s="11"/>
      <c r="E800" s="10"/>
      <c r="O800" s="10"/>
      <c r="V800" s="10"/>
      <c r="W800" s="6"/>
    </row>
    <row r="801" spans="1:23" x14ac:dyDescent="0.2">
      <c r="A801" s="27"/>
      <c r="B801" s="1"/>
      <c r="D801" s="11"/>
      <c r="E801" s="10"/>
      <c r="O801" s="10"/>
      <c r="V801" s="10"/>
      <c r="W801" s="6"/>
    </row>
    <row r="802" spans="1:23" x14ac:dyDescent="0.2">
      <c r="A802" s="27"/>
      <c r="B802" s="25"/>
      <c r="D802" s="11"/>
      <c r="E802" s="10"/>
      <c r="O802" s="10"/>
      <c r="V802" s="10"/>
      <c r="W802" s="6"/>
    </row>
    <row r="803" spans="1:23" x14ac:dyDescent="0.2">
      <c r="A803" s="27"/>
      <c r="B803" s="25"/>
      <c r="D803" s="11"/>
      <c r="E803" s="10"/>
      <c r="O803" s="10"/>
      <c r="V803" s="10"/>
      <c r="W803" s="6"/>
    </row>
    <row r="804" spans="1:23" x14ac:dyDescent="0.2">
      <c r="A804" s="27"/>
      <c r="B804" s="25"/>
      <c r="D804" s="11"/>
      <c r="E804" s="10"/>
      <c r="O804" s="10"/>
      <c r="V804" s="10"/>
      <c r="W804" s="6"/>
    </row>
    <row r="805" spans="1:23" x14ac:dyDescent="0.2">
      <c r="A805" s="27"/>
      <c r="B805" s="25"/>
      <c r="D805" s="11"/>
      <c r="E805" s="10"/>
      <c r="O805" s="10"/>
      <c r="V805" s="10"/>
      <c r="W805" s="6"/>
    </row>
    <row r="806" spans="1:23" x14ac:dyDescent="0.2">
      <c r="A806" s="27"/>
      <c r="B806" s="25"/>
      <c r="D806" s="11"/>
      <c r="E806" s="10"/>
      <c r="O806" s="10"/>
      <c r="V806" s="10"/>
      <c r="W806" s="6"/>
    </row>
    <row r="807" spans="1:23" x14ac:dyDescent="0.2">
      <c r="A807" s="27"/>
      <c r="B807" s="25"/>
      <c r="D807" s="11"/>
      <c r="E807" s="10"/>
      <c r="O807" s="10"/>
      <c r="V807" s="10"/>
      <c r="W807" s="6"/>
    </row>
    <row r="808" spans="1:23" x14ac:dyDescent="0.2">
      <c r="A808" s="27"/>
      <c r="B808" s="25"/>
      <c r="D808" s="11"/>
      <c r="E808" s="10"/>
      <c r="O808" s="10"/>
      <c r="V808" s="10"/>
      <c r="W808" s="6"/>
    </row>
    <row r="809" spans="1:23" x14ac:dyDescent="0.2">
      <c r="A809" s="27"/>
      <c r="B809" s="25"/>
      <c r="D809" s="11"/>
      <c r="E809" s="10"/>
      <c r="O809" s="10"/>
      <c r="V809" s="10"/>
      <c r="W809" s="6"/>
    </row>
    <row r="810" spans="1:23" x14ac:dyDescent="0.2">
      <c r="A810" s="27"/>
      <c r="B810" s="25"/>
      <c r="D810" s="11"/>
      <c r="E810" s="10"/>
      <c r="O810" s="10"/>
      <c r="V810" s="10"/>
      <c r="W810" s="6"/>
    </row>
    <row r="811" spans="1:23" x14ac:dyDescent="0.2">
      <c r="A811" s="27"/>
      <c r="B811" s="25"/>
      <c r="D811" s="11"/>
      <c r="E811" s="10"/>
      <c r="O811" s="10"/>
      <c r="V811" s="10"/>
      <c r="W811" s="6"/>
    </row>
    <row r="812" spans="1:23" x14ac:dyDescent="0.2">
      <c r="A812" s="27"/>
      <c r="B812" s="25"/>
      <c r="D812" s="11"/>
      <c r="E812" s="10"/>
      <c r="O812" s="10"/>
      <c r="V812" s="10"/>
      <c r="W812" s="6"/>
    </row>
    <row r="813" spans="1:23" x14ac:dyDescent="0.2">
      <c r="A813" s="27"/>
      <c r="B813" s="25"/>
      <c r="D813" s="11"/>
      <c r="E813" s="10"/>
      <c r="O813" s="10"/>
      <c r="V813" s="10"/>
      <c r="W813" s="6"/>
    </row>
    <row r="814" spans="1:23" x14ac:dyDescent="0.2">
      <c r="A814" s="27"/>
      <c r="B814" s="25"/>
      <c r="D814" s="11"/>
      <c r="E814" s="10"/>
      <c r="O814" s="10"/>
      <c r="V814" s="10"/>
      <c r="W814" s="6"/>
    </row>
    <row r="815" spans="1:23" x14ac:dyDescent="0.2">
      <c r="A815" s="27"/>
      <c r="B815" s="25"/>
      <c r="D815" s="11"/>
      <c r="E815" s="10"/>
      <c r="O815" s="10"/>
      <c r="V815" s="10"/>
      <c r="W815" s="6"/>
    </row>
    <row r="816" spans="1:23" x14ac:dyDescent="0.2">
      <c r="A816" s="27"/>
      <c r="B816" s="25"/>
      <c r="D816" s="11"/>
      <c r="E816" s="10"/>
      <c r="O816" s="10"/>
      <c r="V816" s="10"/>
      <c r="W816" s="6"/>
    </row>
    <row r="817" spans="1:23" x14ac:dyDescent="0.2">
      <c r="A817" s="27"/>
      <c r="B817" s="25"/>
      <c r="D817" s="11"/>
      <c r="E817" s="10"/>
      <c r="O817" s="10"/>
      <c r="V817" s="10"/>
      <c r="W817" s="6"/>
    </row>
    <row r="818" spans="1:23" x14ac:dyDescent="0.2">
      <c r="A818" s="27"/>
      <c r="B818" s="25"/>
      <c r="D818" s="11"/>
      <c r="E818" s="10"/>
      <c r="O818" s="10"/>
      <c r="V818" s="10"/>
      <c r="W818" s="6"/>
    </row>
    <row r="819" spans="1:23" x14ac:dyDescent="0.2">
      <c r="A819" s="27"/>
      <c r="B819" s="25"/>
      <c r="D819" s="11"/>
      <c r="E819" s="10"/>
      <c r="O819" s="10"/>
      <c r="V819" s="10"/>
      <c r="W819" s="6"/>
    </row>
    <row r="820" spans="1:23" x14ac:dyDescent="0.2">
      <c r="A820" s="27"/>
      <c r="B820" s="25"/>
      <c r="D820" s="11"/>
      <c r="E820" s="10"/>
      <c r="O820" s="10"/>
      <c r="V820" s="10"/>
      <c r="W820" s="6"/>
    </row>
    <row r="821" spans="1:23" x14ac:dyDescent="0.2">
      <c r="A821" s="27"/>
      <c r="B821" s="25"/>
      <c r="D821" s="11"/>
      <c r="E821" s="10"/>
      <c r="O821" s="10"/>
      <c r="V821" s="10"/>
      <c r="W821" s="6"/>
    </row>
    <row r="822" spans="1:23" x14ac:dyDescent="0.2">
      <c r="A822" s="27"/>
      <c r="B822" s="25"/>
      <c r="D822" s="11"/>
      <c r="E822" s="10"/>
      <c r="O822" s="10"/>
      <c r="V822" s="10"/>
      <c r="W822" s="6"/>
    </row>
    <row r="823" spans="1:23" x14ac:dyDescent="0.2">
      <c r="A823" s="27"/>
      <c r="B823" s="25"/>
      <c r="D823" s="11"/>
      <c r="E823" s="10"/>
      <c r="O823" s="10"/>
      <c r="V823" s="10"/>
      <c r="W823" s="6"/>
    </row>
    <row r="824" spans="1:23" x14ac:dyDescent="0.2">
      <c r="A824" s="27"/>
      <c r="B824" s="25"/>
      <c r="D824" s="11"/>
      <c r="E824" s="10"/>
      <c r="O824" s="10"/>
      <c r="V824" s="10"/>
      <c r="W824" s="6"/>
    </row>
    <row r="825" spans="1:23" x14ac:dyDescent="0.2">
      <c r="A825" s="27"/>
      <c r="B825" s="25"/>
      <c r="D825" s="11"/>
      <c r="E825" s="10"/>
      <c r="O825" s="10"/>
      <c r="V825" s="10"/>
      <c r="W825" s="6"/>
    </row>
    <row r="826" spans="1:23" x14ac:dyDescent="0.2">
      <c r="A826" s="27"/>
      <c r="B826" s="25"/>
      <c r="D826" s="11"/>
      <c r="E826" s="10"/>
      <c r="O826" s="10"/>
      <c r="V826" s="10"/>
      <c r="W826" s="6"/>
    </row>
    <row r="827" spans="1:23" x14ac:dyDescent="0.2">
      <c r="A827" s="27"/>
      <c r="B827" s="25"/>
      <c r="D827" s="11"/>
      <c r="E827" s="10"/>
      <c r="O827" s="10"/>
      <c r="V827" s="10"/>
      <c r="W827" s="6"/>
    </row>
    <row r="828" spans="1:23" x14ac:dyDescent="0.2">
      <c r="A828" s="27"/>
      <c r="B828" s="25"/>
      <c r="D828" s="11"/>
      <c r="E828" s="10"/>
      <c r="O828" s="10"/>
      <c r="V828" s="10"/>
      <c r="W828" s="6"/>
    </row>
    <row r="829" spans="1:23" x14ac:dyDescent="0.2">
      <c r="A829" s="27"/>
      <c r="B829" s="25"/>
      <c r="D829" s="11"/>
      <c r="E829" s="10"/>
      <c r="O829" s="10"/>
      <c r="V829" s="10"/>
      <c r="W829" s="6"/>
    </row>
    <row r="830" spans="1:23" x14ac:dyDescent="0.2">
      <c r="A830" s="27"/>
      <c r="B830" s="25"/>
      <c r="D830" s="11"/>
      <c r="E830" s="10"/>
      <c r="O830" s="10"/>
      <c r="V830" s="10"/>
      <c r="W830" s="6"/>
    </row>
    <row r="831" spans="1:23" x14ac:dyDescent="0.2">
      <c r="A831" s="27"/>
      <c r="B831" s="1"/>
      <c r="D831" s="11"/>
      <c r="E831" s="10"/>
      <c r="O831" s="10"/>
      <c r="V831" s="10"/>
      <c r="W831" s="6"/>
    </row>
    <row r="832" spans="1:23" x14ac:dyDescent="0.2">
      <c r="A832" s="27"/>
      <c r="B832" s="25"/>
      <c r="D832" s="11"/>
      <c r="E832" s="10"/>
      <c r="O832" s="10"/>
      <c r="V832" s="10"/>
      <c r="W832" s="6"/>
    </row>
    <row r="833" spans="1:23" x14ac:dyDescent="0.2">
      <c r="A833" s="27"/>
      <c r="B833" s="25"/>
      <c r="D833" s="11"/>
      <c r="E833" s="10"/>
      <c r="O833" s="10"/>
      <c r="V833" s="10"/>
      <c r="W833" s="6"/>
    </row>
    <row r="834" spans="1:23" x14ac:dyDescent="0.2">
      <c r="A834" s="27"/>
      <c r="B834" s="25"/>
      <c r="D834" s="11"/>
      <c r="E834" s="10"/>
      <c r="O834" s="10"/>
      <c r="V834" s="10"/>
      <c r="W834" s="6"/>
    </row>
    <row r="835" spans="1:23" x14ac:dyDescent="0.2">
      <c r="A835" s="27"/>
      <c r="B835" s="25"/>
      <c r="D835" s="11"/>
      <c r="E835" s="10"/>
      <c r="O835" s="10"/>
      <c r="V835" s="10"/>
      <c r="W835" s="6"/>
    </row>
    <row r="836" spans="1:23" x14ac:dyDescent="0.2">
      <c r="A836" s="27"/>
      <c r="B836" s="25"/>
      <c r="D836" s="11"/>
      <c r="E836" s="10"/>
      <c r="O836" s="10"/>
      <c r="V836" s="10"/>
      <c r="W836" s="6"/>
    </row>
    <row r="837" spans="1:23" x14ac:dyDescent="0.2">
      <c r="A837" s="27"/>
      <c r="B837" s="25"/>
      <c r="D837" s="11"/>
      <c r="E837" s="10"/>
      <c r="O837" s="10"/>
      <c r="V837" s="10"/>
      <c r="W837" s="6"/>
    </row>
    <row r="838" spans="1:23" x14ac:dyDescent="0.2">
      <c r="A838" s="27"/>
      <c r="B838" s="25"/>
      <c r="D838" s="11"/>
      <c r="E838" s="10"/>
      <c r="O838" s="10"/>
      <c r="V838" s="10"/>
      <c r="W838" s="6"/>
    </row>
    <row r="839" spans="1:23" x14ac:dyDescent="0.2">
      <c r="A839" s="27"/>
      <c r="B839" s="25"/>
      <c r="D839" s="11"/>
      <c r="E839" s="10"/>
      <c r="O839" s="10"/>
      <c r="V839" s="10"/>
      <c r="W839" s="6"/>
    </row>
    <row r="840" spans="1:23" x14ac:dyDescent="0.2">
      <c r="A840" s="27"/>
      <c r="B840" s="1"/>
      <c r="D840" s="11"/>
      <c r="E840" s="10"/>
      <c r="O840" s="10"/>
      <c r="V840" s="10"/>
      <c r="W840" s="6"/>
    </row>
    <row r="841" spans="1:23" x14ac:dyDescent="0.2">
      <c r="A841" s="27"/>
      <c r="B841" s="1"/>
      <c r="D841" s="11"/>
      <c r="E841" s="10"/>
      <c r="O841" s="10"/>
      <c r="V841" s="10"/>
      <c r="W841" s="6"/>
    </row>
    <row r="842" spans="1:23" x14ac:dyDescent="0.2">
      <c r="A842" s="27"/>
      <c r="B842" s="25"/>
      <c r="D842" s="11"/>
      <c r="E842" s="10"/>
      <c r="O842" s="10"/>
      <c r="V842" s="10"/>
      <c r="W842" s="6"/>
    </row>
    <row r="843" spans="1:23" x14ac:dyDescent="0.2">
      <c r="A843" s="27"/>
      <c r="B843" s="25"/>
      <c r="D843" s="11"/>
      <c r="E843" s="10"/>
      <c r="O843" s="10"/>
      <c r="V843" s="10"/>
      <c r="W843" s="6"/>
    </row>
    <row r="844" spans="1:23" x14ac:dyDescent="0.2">
      <c r="A844" s="27"/>
      <c r="B844" s="25"/>
      <c r="D844" s="11"/>
      <c r="E844" s="10"/>
      <c r="O844" s="10"/>
      <c r="V844" s="10"/>
      <c r="W844" s="6"/>
    </row>
    <row r="845" spans="1:23" x14ac:dyDescent="0.2">
      <c r="A845" s="27"/>
      <c r="B845" s="25"/>
      <c r="D845" s="11"/>
      <c r="E845" s="10"/>
      <c r="O845" s="10"/>
      <c r="V845" s="10"/>
      <c r="W845" s="6"/>
    </row>
    <row r="846" spans="1:23" x14ac:dyDescent="0.2">
      <c r="A846" s="27"/>
      <c r="B846" s="25"/>
      <c r="D846" s="11"/>
      <c r="E846" s="10"/>
      <c r="O846" s="10"/>
      <c r="V846" s="10"/>
      <c r="W846" s="6"/>
    </row>
    <row r="847" spans="1:23" x14ac:dyDescent="0.2">
      <c r="A847" s="27"/>
      <c r="B847" s="25"/>
      <c r="D847" s="11"/>
      <c r="E847" s="10"/>
      <c r="O847" s="10"/>
      <c r="V847" s="10"/>
      <c r="W847" s="6"/>
    </row>
    <row r="848" spans="1:23" x14ac:dyDescent="0.2">
      <c r="A848" s="27"/>
      <c r="B848" s="25"/>
      <c r="D848" s="11"/>
      <c r="E848" s="10"/>
      <c r="O848" s="10"/>
      <c r="V848" s="10"/>
      <c r="W848" s="6"/>
    </row>
    <row r="849" spans="1:23" x14ac:dyDescent="0.2">
      <c r="A849" s="27"/>
      <c r="B849" s="1"/>
      <c r="D849" s="11"/>
      <c r="E849" s="10"/>
      <c r="O849" s="10"/>
      <c r="V849" s="10"/>
      <c r="W849" s="6"/>
    </row>
    <row r="850" spans="1:23" x14ac:dyDescent="0.2">
      <c r="A850" s="27"/>
      <c r="B850" s="25"/>
      <c r="D850" s="11"/>
      <c r="E850" s="10"/>
      <c r="O850" s="10"/>
      <c r="V850" s="10"/>
      <c r="W850" s="6"/>
    </row>
    <row r="851" spans="1:23" x14ac:dyDescent="0.2">
      <c r="A851" s="27"/>
      <c r="B851" s="25"/>
      <c r="D851" s="11"/>
      <c r="E851" s="10"/>
      <c r="O851" s="10"/>
      <c r="V851" s="10"/>
      <c r="W851" s="6"/>
    </row>
    <row r="852" spans="1:23" x14ac:dyDescent="0.2">
      <c r="A852" s="27"/>
      <c r="B852" s="25"/>
      <c r="D852" s="11"/>
      <c r="E852" s="10"/>
      <c r="O852" s="10"/>
      <c r="V852" s="10"/>
      <c r="W852" s="6"/>
    </row>
    <row r="853" spans="1:23" x14ac:dyDescent="0.2">
      <c r="A853" s="27"/>
      <c r="B853" s="25"/>
      <c r="D853" s="11"/>
      <c r="E853" s="10"/>
      <c r="O853" s="10"/>
      <c r="V853" s="10"/>
      <c r="W853" s="6"/>
    </row>
    <row r="854" spans="1:23" x14ac:dyDescent="0.2">
      <c r="A854" s="27"/>
      <c r="B854" s="25"/>
      <c r="D854" s="11"/>
      <c r="E854" s="10"/>
      <c r="O854" s="10"/>
      <c r="V854" s="10"/>
      <c r="W854" s="6"/>
    </row>
    <row r="855" spans="1:23" x14ac:dyDescent="0.2">
      <c r="A855" s="27"/>
      <c r="B855" s="25"/>
      <c r="D855" s="11"/>
      <c r="E855" s="10"/>
      <c r="O855" s="10"/>
      <c r="V855" s="10"/>
      <c r="W855" s="6"/>
    </row>
    <row r="856" spans="1:23" x14ac:dyDescent="0.2">
      <c r="A856" s="27"/>
      <c r="B856" s="25"/>
      <c r="D856" s="11"/>
      <c r="E856" s="10"/>
      <c r="O856" s="10"/>
      <c r="V856" s="10"/>
      <c r="W856" s="6"/>
    </row>
    <row r="857" spans="1:23" x14ac:dyDescent="0.2">
      <c r="A857" s="27"/>
      <c r="B857" s="25"/>
      <c r="D857" s="11"/>
      <c r="E857" s="10"/>
      <c r="O857" s="10"/>
      <c r="V857" s="10"/>
      <c r="W857" s="6"/>
    </row>
    <row r="858" spans="1:23" x14ac:dyDescent="0.2">
      <c r="A858" s="27"/>
      <c r="B858" s="25"/>
      <c r="D858" s="11"/>
      <c r="E858" s="10"/>
      <c r="O858" s="10"/>
      <c r="V858" s="10"/>
      <c r="W858" s="6"/>
    </row>
    <row r="859" spans="1:23" x14ac:dyDescent="0.2">
      <c r="A859" s="27"/>
      <c r="B859" s="25"/>
      <c r="D859" s="11"/>
      <c r="E859" s="10"/>
      <c r="O859" s="10"/>
      <c r="V859" s="10"/>
      <c r="W859" s="6"/>
    </row>
    <row r="860" spans="1:23" x14ac:dyDescent="0.2">
      <c r="A860" s="27"/>
      <c r="B860" s="25"/>
      <c r="D860" s="11"/>
      <c r="E860" s="10"/>
      <c r="O860" s="10"/>
      <c r="V860" s="10"/>
      <c r="W860" s="6"/>
    </row>
    <row r="861" spans="1:23" x14ac:dyDescent="0.2">
      <c r="A861" s="27"/>
      <c r="B861" s="1"/>
      <c r="D861" s="11"/>
      <c r="E861" s="10"/>
      <c r="O861" s="10"/>
      <c r="V861" s="10"/>
      <c r="W861" s="6"/>
    </row>
    <row r="862" spans="1:23" x14ac:dyDescent="0.2">
      <c r="A862" s="27"/>
      <c r="B862" s="25"/>
      <c r="D862" s="11"/>
      <c r="E862" s="10"/>
      <c r="O862" s="10"/>
      <c r="V862" s="10"/>
      <c r="W862" s="6"/>
    </row>
    <row r="863" spans="1:23" x14ac:dyDescent="0.2">
      <c r="A863" s="27"/>
      <c r="B863" s="25"/>
      <c r="D863" s="11"/>
      <c r="E863" s="10"/>
      <c r="O863" s="10"/>
      <c r="V863" s="10"/>
      <c r="W863" s="6"/>
    </row>
    <row r="864" spans="1:23" x14ac:dyDescent="0.2">
      <c r="A864" s="27"/>
      <c r="B864" s="1"/>
      <c r="D864" s="11"/>
      <c r="E864" s="10"/>
      <c r="O864" s="10"/>
      <c r="V864" s="10"/>
      <c r="W864" s="6"/>
    </row>
    <row r="865" spans="1:23" x14ac:dyDescent="0.2">
      <c r="A865" s="27"/>
      <c r="B865" s="25"/>
      <c r="D865" s="11"/>
      <c r="E865" s="10"/>
      <c r="O865" s="10"/>
      <c r="V865" s="10"/>
      <c r="W865" s="6"/>
    </row>
    <row r="866" spans="1:23" x14ac:dyDescent="0.2">
      <c r="A866" s="27"/>
      <c r="B866" s="25"/>
      <c r="D866" s="11"/>
      <c r="E866" s="10"/>
      <c r="O866" s="10"/>
      <c r="V866" s="10"/>
      <c r="W866" s="6"/>
    </row>
    <row r="867" spans="1:23" x14ac:dyDescent="0.2">
      <c r="A867" s="27"/>
      <c r="B867" s="25"/>
      <c r="D867" s="11"/>
      <c r="E867" s="10"/>
      <c r="O867" s="10"/>
      <c r="V867" s="10"/>
      <c r="W867" s="6"/>
    </row>
    <row r="868" spans="1:23" x14ac:dyDescent="0.2">
      <c r="A868" s="27"/>
      <c r="B868" s="25"/>
      <c r="D868" s="11"/>
      <c r="E868" s="10"/>
      <c r="O868" s="10"/>
      <c r="V868" s="10"/>
      <c r="W868" s="6"/>
    </row>
    <row r="869" spans="1:23" x14ac:dyDescent="0.2">
      <c r="A869" s="27"/>
      <c r="B869" s="25"/>
      <c r="D869" s="11"/>
      <c r="E869" s="10"/>
      <c r="O869" s="10"/>
      <c r="V869" s="10"/>
      <c r="W869" s="6"/>
    </row>
    <row r="870" spans="1:23" x14ac:dyDescent="0.2">
      <c r="A870" s="27"/>
      <c r="B870" s="25"/>
      <c r="D870" s="11"/>
      <c r="E870" s="10"/>
      <c r="O870" s="10"/>
      <c r="V870" s="10"/>
      <c r="W870" s="6"/>
    </row>
    <row r="871" spans="1:23" x14ac:dyDescent="0.2">
      <c r="A871" s="27"/>
      <c r="B871" s="25"/>
      <c r="D871" s="11"/>
      <c r="E871" s="10"/>
      <c r="O871" s="10"/>
      <c r="V871" s="10"/>
      <c r="W871" s="6"/>
    </row>
    <row r="872" spans="1:23" x14ac:dyDescent="0.2">
      <c r="A872" s="27"/>
      <c r="B872" s="25"/>
      <c r="D872" s="11"/>
      <c r="E872" s="10"/>
      <c r="O872" s="10"/>
      <c r="V872" s="10"/>
      <c r="W872" s="6"/>
    </row>
    <row r="873" spans="1:23" x14ac:dyDescent="0.2">
      <c r="A873" s="27"/>
      <c r="B873" s="25"/>
      <c r="D873" s="11"/>
      <c r="E873" s="10"/>
      <c r="O873" s="10"/>
      <c r="V873" s="10"/>
      <c r="W873" s="6"/>
    </row>
    <row r="874" spans="1:23" x14ac:dyDescent="0.2">
      <c r="A874" s="27"/>
      <c r="B874" s="25"/>
      <c r="D874" s="11"/>
      <c r="E874" s="10"/>
      <c r="O874" s="10"/>
      <c r="V874" s="10"/>
      <c r="W874" s="6"/>
    </row>
    <row r="875" spans="1:23" x14ac:dyDescent="0.2">
      <c r="A875" s="27"/>
      <c r="B875" s="25"/>
      <c r="D875" s="11"/>
      <c r="E875" s="10"/>
      <c r="O875" s="10"/>
      <c r="V875" s="10"/>
      <c r="W875" s="6"/>
    </row>
    <row r="876" spans="1:23" x14ac:dyDescent="0.2">
      <c r="A876" s="27"/>
      <c r="B876" s="25"/>
      <c r="D876" s="11"/>
      <c r="E876" s="10"/>
      <c r="O876" s="10"/>
      <c r="V876" s="10"/>
      <c r="W876" s="6"/>
    </row>
    <row r="877" spans="1:23" x14ac:dyDescent="0.2">
      <c r="A877" s="27"/>
      <c r="B877" s="1"/>
      <c r="D877" s="11"/>
      <c r="E877" s="10"/>
      <c r="O877" s="10"/>
      <c r="V877" s="10"/>
      <c r="W877" s="6"/>
    </row>
    <row r="878" spans="1:23" x14ac:dyDescent="0.2">
      <c r="A878" s="27"/>
      <c r="B878" s="25"/>
      <c r="D878" s="11"/>
      <c r="E878" s="10"/>
      <c r="O878" s="10"/>
      <c r="V878" s="10"/>
      <c r="W878" s="6"/>
    </row>
    <row r="879" spans="1:23" x14ac:dyDescent="0.2">
      <c r="A879" s="27"/>
      <c r="B879" s="25"/>
      <c r="D879" s="11"/>
      <c r="E879" s="10"/>
      <c r="O879" s="10"/>
      <c r="V879" s="10"/>
      <c r="W879" s="6"/>
    </row>
    <row r="880" spans="1:23" x14ac:dyDescent="0.2">
      <c r="A880" s="27"/>
      <c r="B880" s="25"/>
      <c r="D880" s="11"/>
      <c r="E880" s="10"/>
      <c r="O880" s="10"/>
      <c r="V880" s="10"/>
      <c r="W880" s="6"/>
    </row>
    <row r="881" spans="1:23" x14ac:dyDescent="0.2">
      <c r="A881" s="27"/>
      <c r="B881" s="25"/>
      <c r="D881" s="11"/>
      <c r="E881" s="10"/>
      <c r="O881" s="10"/>
      <c r="V881" s="10"/>
      <c r="W881" s="6"/>
    </row>
    <row r="882" spans="1:23" x14ac:dyDescent="0.2">
      <c r="A882" s="27"/>
      <c r="B882" s="25"/>
      <c r="D882" s="11"/>
      <c r="E882" s="10"/>
      <c r="O882" s="10"/>
      <c r="V882" s="10"/>
      <c r="W882" s="6"/>
    </row>
    <row r="883" spans="1:23" x14ac:dyDescent="0.2">
      <c r="A883" s="27"/>
      <c r="B883" s="25"/>
      <c r="D883" s="11"/>
      <c r="E883" s="10"/>
      <c r="O883" s="10"/>
      <c r="V883" s="10"/>
      <c r="W883" s="6"/>
    </row>
    <row r="884" spans="1:23" x14ac:dyDescent="0.2">
      <c r="A884" s="27"/>
      <c r="B884" s="25"/>
      <c r="D884" s="11"/>
      <c r="E884" s="10"/>
      <c r="O884" s="10"/>
      <c r="V884" s="10"/>
      <c r="W884" s="6"/>
    </row>
    <row r="885" spans="1:23" x14ac:dyDescent="0.2">
      <c r="A885" s="27"/>
      <c r="B885" s="1"/>
      <c r="D885" s="11"/>
      <c r="E885" s="10"/>
      <c r="O885" s="10"/>
      <c r="V885" s="10"/>
      <c r="W885" s="6"/>
    </row>
    <row r="886" spans="1:23" x14ac:dyDescent="0.2">
      <c r="A886" s="27"/>
      <c r="B886" s="25"/>
      <c r="D886" s="11"/>
      <c r="E886" s="10"/>
      <c r="O886" s="10"/>
      <c r="V886" s="10"/>
      <c r="W886" s="6"/>
    </row>
    <row r="887" spans="1:23" x14ac:dyDescent="0.2">
      <c r="A887" s="27"/>
      <c r="B887" s="25"/>
      <c r="D887" s="11"/>
      <c r="E887" s="10"/>
      <c r="O887" s="10"/>
      <c r="V887" s="10"/>
      <c r="W887" s="6"/>
    </row>
    <row r="888" spans="1:23" x14ac:dyDescent="0.2">
      <c r="A888" s="27"/>
      <c r="B888" s="25"/>
      <c r="D888" s="11"/>
      <c r="E888" s="10"/>
      <c r="O888" s="10"/>
      <c r="V888" s="10"/>
      <c r="W888" s="6"/>
    </row>
    <row r="889" spans="1:23" x14ac:dyDescent="0.2">
      <c r="A889" s="27"/>
      <c r="B889" s="25"/>
      <c r="D889" s="11"/>
      <c r="E889" s="10"/>
      <c r="O889" s="10"/>
      <c r="V889" s="10"/>
      <c r="W889" s="6"/>
    </row>
    <row r="890" spans="1:23" x14ac:dyDescent="0.2">
      <c r="A890" s="27"/>
      <c r="B890" s="25"/>
      <c r="D890" s="11"/>
      <c r="E890" s="10"/>
      <c r="O890" s="10"/>
      <c r="V890" s="10"/>
      <c r="W890" s="6"/>
    </row>
    <row r="891" spans="1:23" x14ac:dyDescent="0.2">
      <c r="A891" s="27"/>
      <c r="B891" s="25"/>
      <c r="D891" s="11"/>
      <c r="E891" s="10"/>
      <c r="O891" s="10"/>
      <c r="V891" s="10"/>
      <c r="W891" s="6"/>
    </row>
    <row r="892" spans="1:23" x14ac:dyDescent="0.2">
      <c r="A892" s="27"/>
      <c r="B892" s="25"/>
      <c r="D892" s="11"/>
      <c r="E892" s="10"/>
      <c r="O892" s="10"/>
      <c r="V892" s="10"/>
      <c r="W892" s="6"/>
    </row>
    <row r="893" spans="1:23" x14ac:dyDescent="0.2">
      <c r="A893" s="27"/>
      <c r="B893" s="25"/>
      <c r="D893" s="11"/>
      <c r="E893" s="10"/>
      <c r="O893" s="10"/>
      <c r="V893" s="10"/>
      <c r="W893" s="6"/>
    </row>
    <row r="894" spans="1:23" x14ac:dyDescent="0.2">
      <c r="A894" s="27"/>
      <c r="B894" s="25"/>
      <c r="D894" s="11"/>
      <c r="E894" s="10"/>
      <c r="O894" s="10"/>
      <c r="V894" s="10"/>
      <c r="W894" s="6"/>
    </row>
    <row r="895" spans="1:23" x14ac:dyDescent="0.2">
      <c r="A895" s="27"/>
      <c r="B895" s="25"/>
      <c r="D895" s="11"/>
      <c r="E895" s="10"/>
      <c r="O895" s="10"/>
      <c r="V895" s="10"/>
      <c r="W895" s="6"/>
    </row>
    <row r="896" spans="1:23" x14ac:dyDescent="0.2">
      <c r="A896" s="27"/>
      <c r="B896" s="25"/>
      <c r="D896" s="11"/>
      <c r="E896" s="10"/>
      <c r="O896" s="10"/>
      <c r="V896" s="10"/>
      <c r="W896" s="6"/>
    </row>
    <row r="897" spans="1:23" x14ac:dyDescent="0.2">
      <c r="A897" s="27"/>
      <c r="B897" s="25"/>
      <c r="D897" s="11"/>
      <c r="E897" s="10"/>
      <c r="O897" s="10"/>
      <c r="V897" s="10"/>
      <c r="W897" s="6"/>
    </row>
    <row r="898" spans="1:23" x14ac:dyDescent="0.2">
      <c r="A898" s="27"/>
      <c r="B898" s="25"/>
      <c r="D898" s="11"/>
      <c r="E898" s="10"/>
      <c r="O898" s="10"/>
      <c r="V898" s="10"/>
      <c r="W898" s="6"/>
    </row>
    <row r="899" spans="1:23" x14ac:dyDescent="0.2">
      <c r="A899" s="27"/>
      <c r="B899" s="1"/>
      <c r="D899" s="11"/>
      <c r="E899" s="10"/>
      <c r="O899" s="10"/>
      <c r="V899" s="10"/>
      <c r="W899" s="6"/>
    </row>
    <row r="900" spans="1:23" x14ac:dyDescent="0.2">
      <c r="A900" s="27"/>
      <c r="B900" s="25"/>
      <c r="D900" s="11"/>
      <c r="E900" s="10"/>
      <c r="O900" s="10"/>
      <c r="V900" s="10"/>
      <c r="W900" s="6"/>
    </row>
    <row r="901" spans="1:23" x14ac:dyDescent="0.2">
      <c r="A901" s="27"/>
      <c r="B901" s="1"/>
      <c r="D901" s="11"/>
      <c r="E901" s="10"/>
      <c r="O901" s="10"/>
      <c r="V901" s="10"/>
      <c r="W901" s="6"/>
    </row>
    <row r="902" spans="1:23" x14ac:dyDescent="0.2">
      <c r="A902" s="27"/>
      <c r="B902" s="1"/>
      <c r="D902" s="11"/>
      <c r="E902" s="10"/>
      <c r="O902" s="10"/>
      <c r="V902" s="10"/>
      <c r="W902" s="6"/>
    </row>
    <row r="903" spans="1:23" x14ac:dyDescent="0.2">
      <c r="A903" s="27"/>
      <c r="B903" s="25"/>
      <c r="D903" s="11"/>
      <c r="E903" s="10"/>
      <c r="O903" s="10"/>
      <c r="V903" s="10"/>
      <c r="W903" s="6"/>
    </row>
    <row r="904" spans="1:23" x14ac:dyDescent="0.2">
      <c r="A904" s="27"/>
      <c r="B904" s="25"/>
      <c r="D904" s="11"/>
      <c r="E904" s="10"/>
      <c r="O904" s="10"/>
      <c r="V904" s="10"/>
      <c r="W904" s="6"/>
    </row>
    <row r="905" spans="1:23" x14ac:dyDescent="0.2">
      <c r="A905" s="27"/>
      <c r="B905" s="25"/>
      <c r="D905" s="11"/>
      <c r="E905" s="10"/>
      <c r="O905" s="10"/>
      <c r="V905" s="10"/>
      <c r="W905" s="6"/>
    </row>
    <row r="906" spans="1:23" x14ac:dyDescent="0.2">
      <c r="A906" s="27"/>
      <c r="B906" s="1"/>
      <c r="D906" s="11"/>
      <c r="E906" s="10"/>
      <c r="O906" s="10"/>
      <c r="V906" s="10"/>
      <c r="W906" s="6"/>
    </row>
    <row r="907" spans="1:23" x14ac:dyDescent="0.2">
      <c r="A907" s="27"/>
      <c r="B907" s="25"/>
      <c r="D907" s="11"/>
      <c r="E907" s="10"/>
      <c r="O907" s="10"/>
      <c r="V907" s="10"/>
      <c r="W907" s="6"/>
    </row>
    <row r="908" spans="1:23" x14ac:dyDescent="0.2">
      <c r="A908" s="27"/>
      <c r="B908" s="1"/>
      <c r="D908" s="11"/>
      <c r="E908" s="10"/>
      <c r="O908" s="10"/>
      <c r="V908" s="10"/>
      <c r="W908" s="6"/>
    </row>
    <row r="909" spans="1:23" x14ac:dyDescent="0.2">
      <c r="A909" s="27"/>
      <c r="B909" s="25"/>
      <c r="D909" s="11"/>
      <c r="E909" s="10"/>
      <c r="O909" s="10"/>
      <c r="V909" s="10"/>
      <c r="W909" s="6"/>
    </row>
    <row r="910" spans="1:23" x14ac:dyDescent="0.2">
      <c r="A910" s="27"/>
      <c r="B910" s="25"/>
      <c r="D910" s="11"/>
      <c r="E910" s="10"/>
      <c r="O910" s="10"/>
      <c r="V910" s="10"/>
      <c r="W910" s="6"/>
    </row>
    <row r="911" spans="1:23" x14ac:dyDescent="0.2">
      <c r="A911" s="27"/>
      <c r="B911" s="25"/>
      <c r="D911" s="11"/>
      <c r="E911" s="10"/>
      <c r="O911" s="10"/>
      <c r="V911" s="10"/>
      <c r="W911" s="6"/>
    </row>
    <row r="912" spans="1:23" x14ac:dyDescent="0.2">
      <c r="A912" s="27"/>
      <c r="B912" s="25"/>
      <c r="D912" s="11"/>
      <c r="E912" s="10"/>
      <c r="O912" s="10"/>
      <c r="V912" s="10"/>
      <c r="W912" s="6"/>
    </row>
    <row r="913" spans="1:23" x14ac:dyDescent="0.2">
      <c r="A913" s="27"/>
      <c r="B913" s="1"/>
      <c r="D913" s="11"/>
      <c r="E913" s="10"/>
      <c r="O913" s="10"/>
      <c r="V913" s="10"/>
      <c r="W913" s="6"/>
    </row>
    <row r="914" spans="1:23" x14ac:dyDescent="0.2">
      <c r="A914" s="27"/>
      <c r="B914" s="25"/>
      <c r="D914" s="11"/>
      <c r="E914" s="10"/>
      <c r="O914" s="10"/>
      <c r="V914" s="10"/>
      <c r="W914" s="6"/>
    </row>
    <row r="915" spans="1:23" x14ac:dyDescent="0.2">
      <c r="A915" s="27"/>
      <c r="B915" s="1"/>
      <c r="D915" s="11"/>
      <c r="E915" s="10"/>
      <c r="O915" s="10"/>
      <c r="V915" s="10"/>
      <c r="W915" s="6"/>
    </row>
    <row r="916" spans="1:23" x14ac:dyDescent="0.2">
      <c r="A916" s="27"/>
      <c r="B916" s="25"/>
      <c r="D916" s="11"/>
      <c r="E916" s="10"/>
      <c r="O916" s="10"/>
      <c r="V916" s="10"/>
      <c r="W916" s="6"/>
    </row>
    <row r="917" spans="1:23" x14ac:dyDescent="0.2">
      <c r="A917" s="27"/>
      <c r="B917" s="25"/>
      <c r="D917" s="11"/>
      <c r="E917" s="10"/>
      <c r="O917" s="10"/>
      <c r="V917" s="10"/>
      <c r="W917" s="6"/>
    </row>
    <row r="918" spans="1:23" x14ac:dyDescent="0.2">
      <c r="A918" s="27"/>
      <c r="B918" s="25"/>
      <c r="D918" s="11"/>
      <c r="E918" s="10"/>
      <c r="O918" s="10"/>
      <c r="V918" s="10"/>
      <c r="W918" s="6"/>
    </row>
    <row r="919" spans="1:23" x14ac:dyDescent="0.2">
      <c r="A919" s="27"/>
      <c r="B919" s="25"/>
      <c r="D919" s="11"/>
      <c r="E919" s="10"/>
      <c r="O919" s="10"/>
      <c r="V919" s="10"/>
      <c r="W919" s="6"/>
    </row>
    <row r="920" spans="1:23" x14ac:dyDescent="0.2">
      <c r="A920" s="27"/>
      <c r="B920" s="25"/>
      <c r="D920" s="11"/>
      <c r="E920" s="10"/>
      <c r="O920" s="10"/>
      <c r="V920" s="10"/>
      <c r="W920" s="6"/>
    </row>
    <row r="921" spans="1:23" x14ac:dyDescent="0.2">
      <c r="A921" s="27"/>
      <c r="B921" s="25"/>
      <c r="D921" s="11"/>
      <c r="E921" s="10"/>
      <c r="O921" s="10"/>
      <c r="V921" s="10"/>
      <c r="W921" s="6"/>
    </row>
    <row r="922" spans="1:23" x14ac:dyDescent="0.2">
      <c r="A922" s="27"/>
      <c r="B922" s="25"/>
      <c r="D922" s="11"/>
      <c r="E922" s="10"/>
      <c r="O922" s="10"/>
      <c r="V922" s="10"/>
      <c r="W922" s="6"/>
    </row>
    <row r="923" spans="1:23" x14ac:dyDescent="0.2">
      <c r="A923" s="27"/>
      <c r="B923" s="25"/>
      <c r="D923" s="11"/>
      <c r="E923" s="10"/>
      <c r="O923" s="10"/>
      <c r="V923" s="10"/>
      <c r="W923" s="6"/>
    </row>
    <row r="924" spans="1:23" x14ac:dyDescent="0.2">
      <c r="A924" s="27"/>
      <c r="B924" s="25"/>
      <c r="D924" s="11"/>
      <c r="E924" s="10"/>
      <c r="O924" s="10"/>
      <c r="V924" s="10"/>
      <c r="W924" s="6"/>
    </row>
    <row r="925" spans="1:23" x14ac:dyDescent="0.2">
      <c r="A925" s="27"/>
      <c r="B925" s="25"/>
      <c r="D925" s="11"/>
      <c r="E925" s="10"/>
      <c r="O925" s="10"/>
      <c r="V925" s="10"/>
      <c r="W925" s="6"/>
    </row>
    <row r="926" spans="1:23" x14ac:dyDescent="0.2">
      <c r="A926" s="27"/>
      <c r="B926" s="25"/>
      <c r="D926" s="11"/>
      <c r="E926" s="10"/>
      <c r="O926" s="10"/>
      <c r="V926" s="10"/>
      <c r="W926" s="6"/>
    </row>
    <row r="927" spans="1:23" x14ac:dyDescent="0.2">
      <c r="A927" s="27"/>
      <c r="B927" s="25"/>
      <c r="D927" s="11"/>
      <c r="E927" s="10"/>
      <c r="O927" s="10"/>
      <c r="V927" s="10"/>
      <c r="W927" s="6"/>
    </row>
    <row r="928" spans="1:23" x14ac:dyDescent="0.2">
      <c r="A928" s="27"/>
      <c r="B928" s="25"/>
      <c r="D928" s="11"/>
      <c r="E928" s="10"/>
      <c r="O928" s="10"/>
      <c r="V928" s="10"/>
      <c r="W928" s="6"/>
    </row>
    <row r="929" spans="1:23" x14ac:dyDescent="0.2">
      <c r="A929" s="27"/>
      <c r="B929" s="25"/>
      <c r="D929" s="11"/>
      <c r="E929" s="10"/>
      <c r="O929" s="10"/>
      <c r="V929" s="10"/>
      <c r="W929" s="6"/>
    </row>
    <row r="930" spans="1:23" x14ac:dyDescent="0.2">
      <c r="A930" s="27"/>
      <c r="B930" s="25"/>
      <c r="D930" s="11"/>
      <c r="E930" s="10"/>
      <c r="O930" s="10"/>
      <c r="V930" s="10"/>
      <c r="W930" s="6"/>
    </row>
    <row r="931" spans="1:23" x14ac:dyDescent="0.2">
      <c r="A931" s="27"/>
      <c r="B931" s="25"/>
      <c r="D931" s="11"/>
      <c r="E931" s="10"/>
      <c r="O931" s="10"/>
      <c r="V931" s="10"/>
      <c r="W931" s="6"/>
    </row>
    <row r="932" spans="1:23" x14ac:dyDescent="0.2">
      <c r="A932" s="27"/>
      <c r="B932" s="25"/>
      <c r="D932" s="11"/>
      <c r="E932" s="10"/>
      <c r="O932" s="10"/>
      <c r="V932" s="10"/>
      <c r="W932" s="6"/>
    </row>
    <row r="933" spans="1:23" x14ac:dyDescent="0.2">
      <c r="A933" s="27"/>
      <c r="B933" s="25"/>
      <c r="D933" s="11"/>
      <c r="E933" s="10"/>
      <c r="O933" s="10"/>
      <c r="V933" s="10"/>
      <c r="W933" s="6"/>
    </row>
    <row r="934" spans="1:23" x14ac:dyDescent="0.2">
      <c r="A934" s="27"/>
      <c r="B934" s="25"/>
      <c r="D934" s="11"/>
      <c r="E934" s="10"/>
      <c r="O934" s="10"/>
      <c r="V934" s="10"/>
      <c r="W934" s="6"/>
    </row>
    <row r="935" spans="1:23" x14ac:dyDescent="0.2">
      <c r="A935" s="27"/>
      <c r="B935" s="1"/>
      <c r="D935" s="11"/>
      <c r="E935" s="10"/>
      <c r="O935" s="10"/>
      <c r="V935" s="10"/>
      <c r="W935" s="6"/>
    </row>
    <row r="936" spans="1:23" x14ac:dyDescent="0.2">
      <c r="A936" s="27"/>
      <c r="B936" s="1"/>
      <c r="D936" s="11"/>
      <c r="E936" s="10"/>
      <c r="O936" s="10"/>
      <c r="V936" s="10"/>
      <c r="W936" s="6"/>
    </row>
    <row r="937" spans="1:23" x14ac:dyDescent="0.2">
      <c r="A937" s="27"/>
      <c r="B937" s="25"/>
      <c r="D937" s="11"/>
      <c r="E937" s="10"/>
      <c r="O937" s="10"/>
      <c r="V937" s="10"/>
      <c r="W937" s="6"/>
    </row>
    <row r="938" spans="1:23" x14ac:dyDescent="0.2">
      <c r="A938" s="27"/>
      <c r="B938" s="25"/>
      <c r="D938" s="11"/>
      <c r="E938" s="10"/>
      <c r="O938" s="10"/>
      <c r="V938" s="10"/>
      <c r="W938" s="6"/>
    </row>
    <row r="939" spans="1:23" x14ac:dyDescent="0.2">
      <c r="A939" s="27"/>
      <c r="B939" s="25"/>
      <c r="D939" s="11"/>
      <c r="E939" s="10"/>
      <c r="O939" s="10"/>
      <c r="V939" s="10"/>
      <c r="W939" s="6"/>
    </row>
    <row r="940" spans="1:23" x14ac:dyDescent="0.2">
      <c r="A940" s="27"/>
      <c r="B940" s="25"/>
      <c r="D940" s="11"/>
      <c r="E940" s="10"/>
      <c r="O940" s="10"/>
      <c r="V940" s="10"/>
      <c r="W940" s="6"/>
    </row>
    <row r="941" spans="1:23" x14ac:dyDescent="0.2">
      <c r="A941" s="27"/>
      <c r="B941" s="1"/>
      <c r="D941" s="11"/>
      <c r="E941" s="10"/>
      <c r="O941" s="10"/>
      <c r="V941" s="10"/>
      <c r="W941" s="6"/>
    </row>
    <row r="942" spans="1:23" x14ac:dyDescent="0.2">
      <c r="A942" s="27"/>
      <c r="B942" s="25"/>
      <c r="D942" s="11"/>
      <c r="E942" s="10"/>
      <c r="O942" s="10"/>
      <c r="V942" s="10"/>
      <c r="W942" s="6"/>
    </row>
    <row r="943" spans="1:23" x14ac:dyDescent="0.2">
      <c r="A943" s="27"/>
      <c r="B943" s="25"/>
      <c r="D943" s="11"/>
      <c r="E943" s="10"/>
      <c r="O943" s="10"/>
      <c r="V943" s="10"/>
      <c r="W943" s="6"/>
    </row>
    <row r="944" spans="1:23" x14ac:dyDescent="0.2">
      <c r="A944" s="27"/>
      <c r="B944" s="25"/>
      <c r="D944" s="11"/>
      <c r="E944" s="10"/>
      <c r="O944" s="10"/>
      <c r="V944" s="10"/>
      <c r="W944" s="6"/>
    </row>
    <row r="945" spans="1:23" x14ac:dyDescent="0.2">
      <c r="A945" s="27"/>
      <c r="B945" s="25"/>
      <c r="D945" s="11"/>
      <c r="E945" s="10"/>
      <c r="O945" s="10"/>
      <c r="V945" s="10"/>
      <c r="W945" s="6"/>
    </row>
    <row r="946" spans="1:23" x14ac:dyDescent="0.2">
      <c r="A946" s="27"/>
      <c r="B946" s="1"/>
      <c r="D946" s="11"/>
      <c r="E946" s="10"/>
      <c r="O946" s="10"/>
      <c r="V946" s="10"/>
      <c r="W946" s="6"/>
    </row>
    <row r="947" spans="1:23" x14ac:dyDescent="0.2">
      <c r="A947" s="27"/>
      <c r="B947" s="25"/>
      <c r="D947" s="11"/>
      <c r="E947" s="10"/>
      <c r="O947" s="10"/>
      <c r="V947" s="10"/>
      <c r="W947" s="6"/>
    </row>
    <row r="948" spans="1:23" x14ac:dyDescent="0.2">
      <c r="A948" s="27"/>
      <c r="B948" s="25"/>
      <c r="D948" s="11"/>
      <c r="E948" s="10"/>
      <c r="O948" s="10"/>
      <c r="V948" s="10"/>
      <c r="W948" s="6"/>
    </row>
    <row r="949" spans="1:23" x14ac:dyDescent="0.2">
      <c r="A949" s="27"/>
      <c r="B949" s="25"/>
      <c r="D949" s="11"/>
      <c r="E949" s="10"/>
      <c r="O949" s="10"/>
      <c r="V949" s="10"/>
      <c r="W949" s="6"/>
    </row>
    <row r="950" spans="1:23" x14ac:dyDescent="0.2">
      <c r="A950" s="27"/>
      <c r="B950" s="25"/>
      <c r="D950" s="11"/>
      <c r="E950" s="10"/>
      <c r="O950" s="10"/>
      <c r="V950" s="10"/>
      <c r="W950" s="6"/>
    </row>
    <row r="951" spans="1:23" x14ac:dyDescent="0.2">
      <c r="A951" s="27"/>
      <c r="B951" s="25"/>
      <c r="D951" s="11"/>
      <c r="E951" s="10"/>
      <c r="O951" s="10"/>
      <c r="V951" s="10"/>
      <c r="W951" s="6"/>
    </row>
    <row r="952" spans="1:23" x14ac:dyDescent="0.2">
      <c r="A952" s="27"/>
      <c r="B952" s="25"/>
      <c r="D952" s="11"/>
      <c r="E952" s="10"/>
      <c r="O952" s="10"/>
      <c r="V952" s="10"/>
      <c r="W952" s="6"/>
    </row>
    <row r="953" spans="1:23" x14ac:dyDescent="0.2">
      <c r="A953" s="27"/>
      <c r="B953" s="25"/>
      <c r="D953" s="11"/>
      <c r="E953" s="10"/>
      <c r="O953" s="10"/>
      <c r="V953" s="10"/>
      <c r="W953" s="6"/>
    </row>
    <row r="954" spans="1:23" x14ac:dyDescent="0.2">
      <c r="A954" s="27"/>
      <c r="B954" s="25"/>
      <c r="D954" s="11"/>
      <c r="E954" s="10"/>
      <c r="O954" s="10"/>
      <c r="V954" s="10"/>
      <c r="W954" s="6"/>
    </row>
    <row r="955" spans="1:23" x14ac:dyDescent="0.2">
      <c r="A955" s="27"/>
      <c r="B955" s="25"/>
      <c r="D955" s="11"/>
      <c r="E955" s="10"/>
      <c r="O955" s="10"/>
      <c r="V955" s="10"/>
      <c r="W955" s="6"/>
    </row>
    <row r="956" spans="1:23" x14ac:dyDescent="0.2">
      <c r="A956" s="27"/>
      <c r="B956" s="25"/>
      <c r="D956" s="11"/>
      <c r="E956" s="10"/>
      <c r="O956" s="10"/>
      <c r="V956" s="10"/>
      <c r="W956" s="6"/>
    </row>
    <row r="957" spans="1:23" x14ac:dyDescent="0.2">
      <c r="A957" s="27"/>
      <c r="B957" s="1"/>
      <c r="D957" s="11"/>
      <c r="E957" s="10"/>
      <c r="O957" s="10"/>
      <c r="V957" s="10"/>
      <c r="W957" s="6"/>
    </row>
    <row r="958" spans="1:23" x14ac:dyDescent="0.2">
      <c r="A958" s="27"/>
      <c r="B958" s="25"/>
      <c r="D958" s="11"/>
      <c r="E958" s="10"/>
      <c r="O958" s="10"/>
      <c r="V958" s="10"/>
      <c r="W958" s="6"/>
    </row>
    <row r="959" spans="1:23" x14ac:dyDescent="0.2">
      <c r="A959" s="27"/>
      <c r="B959" s="1"/>
      <c r="D959" s="11"/>
      <c r="E959" s="10"/>
      <c r="O959" s="10"/>
      <c r="V959" s="10"/>
      <c r="W959" s="6"/>
    </row>
    <row r="960" spans="1:23" x14ac:dyDescent="0.2">
      <c r="A960" s="27"/>
      <c r="B960" s="25"/>
      <c r="D960" s="11"/>
      <c r="E960" s="10"/>
      <c r="O960" s="10"/>
      <c r="V960" s="10"/>
      <c r="W960" s="6"/>
    </row>
    <row r="961" spans="1:23" x14ac:dyDescent="0.2">
      <c r="A961" s="27"/>
      <c r="B961" s="25"/>
      <c r="D961" s="11"/>
      <c r="E961" s="10"/>
      <c r="O961" s="10"/>
      <c r="V961" s="10"/>
      <c r="W961" s="6"/>
    </row>
    <row r="962" spans="1:23" x14ac:dyDescent="0.2">
      <c r="A962" s="27"/>
      <c r="B962" s="1"/>
      <c r="D962" s="11"/>
      <c r="E962" s="10"/>
      <c r="O962" s="10"/>
      <c r="V962" s="10"/>
      <c r="W962" s="6"/>
    </row>
    <row r="963" spans="1:23" x14ac:dyDescent="0.2">
      <c r="A963" s="27"/>
      <c r="B963" s="25"/>
      <c r="D963" s="11"/>
      <c r="E963" s="10"/>
      <c r="O963" s="10"/>
      <c r="V963" s="10"/>
      <c r="W963" s="6"/>
    </row>
    <row r="964" spans="1:23" x14ac:dyDescent="0.2">
      <c r="A964" s="27"/>
      <c r="B964" s="25"/>
      <c r="D964" s="11"/>
      <c r="E964" s="10"/>
      <c r="O964" s="10"/>
      <c r="V964" s="10"/>
      <c r="W964" s="6"/>
    </row>
    <row r="965" spans="1:23" x14ac:dyDescent="0.2">
      <c r="A965" s="27"/>
      <c r="B965" s="1"/>
      <c r="D965" s="11"/>
      <c r="E965" s="10"/>
      <c r="O965" s="10"/>
      <c r="V965" s="10"/>
      <c r="W965" s="6"/>
    </row>
    <row r="966" spans="1:23" x14ac:dyDescent="0.2">
      <c r="A966" s="27"/>
      <c r="B966" s="25"/>
      <c r="D966" s="11"/>
      <c r="E966" s="10"/>
      <c r="O966" s="10"/>
      <c r="V966" s="10"/>
      <c r="W966" s="6"/>
    </row>
    <row r="967" spans="1:23" x14ac:dyDescent="0.2">
      <c r="A967" s="27"/>
      <c r="B967" s="25"/>
      <c r="D967" s="11"/>
      <c r="E967" s="10"/>
      <c r="O967" s="10"/>
      <c r="V967" s="10"/>
      <c r="W967" s="6"/>
    </row>
    <row r="968" spans="1:23" x14ac:dyDescent="0.2">
      <c r="A968" s="27"/>
      <c r="B968" s="25"/>
      <c r="D968" s="11"/>
      <c r="E968" s="10"/>
      <c r="O968" s="10"/>
      <c r="V968" s="10"/>
      <c r="W968" s="6"/>
    </row>
    <row r="969" spans="1:23" x14ac:dyDescent="0.2">
      <c r="A969" s="27"/>
      <c r="B969" s="25"/>
      <c r="D969" s="11"/>
      <c r="E969" s="10"/>
      <c r="O969" s="10"/>
      <c r="V969" s="10"/>
      <c r="W969" s="6"/>
    </row>
    <row r="970" spans="1:23" x14ac:dyDescent="0.2">
      <c r="A970" s="27"/>
      <c r="B970" s="25"/>
      <c r="D970" s="11"/>
      <c r="E970" s="10"/>
      <c r="O970" s="10"/>
      <c r="V970" s="10"/>
      <c r="W970" s="6"/>
    </row>
    <row r="971" spans="1:23" x14ac:dyDescent="0.2">
      <c r="A971" s="27"/>
      <c r="B971" s="25"/>
      <c r="D971" s="11"/>
      <c r="E971" s="10"/>
      <c r="O971" s="10"/>
      <c r="V971" s="10"/>
      <c r="W971" s="6"/>
    </row>
    <row r="972" spans="1:23" x14ac:dyDescent="0.2">
      <c r="A972" s="27"/>
      <c r="B972" s="25"/>
      <c r="D972" s="11"/>
      <c r="E972" s="10"/>
      <c r="O972" s="10"/>
      <c r="V972" s="10"/>
      <c r="W972" s="6"/>
    </row>
    <row r="973" spans="1:23" x14ac:dyDescent="0.2">
      <c r="A973" s="27"/>
      <c r="B973" s="1"/>
      <c r="D973" s="11"/>
      <c r="E973" s="10"/>
      <c r="O973" s="10"/>
      <c r="V973" s="10"/>
      <c r="W973" s="6"/>
    </row>
    <row r="974" spans="1:23" x14ac:dyDescent="0.2">
      <c r="A974" s="27"/>
      <c r="B974" s="1"/>
      <c r="D974" s="11"/>
      <c r="E974" s="10"/>
      <c r="O974" s="10"/>
      <c r="V974" s="10"/>
      <c r="W974" s="6"/>
    </row>
    <row r="975" spans="1:23" x14ac:dyDescent="0.2">
      <c r="A975" s="27"/>
      <c r="B975" s="25"/>
      <c r="D975" s="11"/>
      <c r="E975" s="10"/>
      <c r="O975" s="10"/>
      <c r="V975" s="10"/>
      <c r="W975" s="6"/>
    </row>
    <row r="976" spans="1:23" x14ac:dyDescent="0.2">
      <c r="A976" s="27"/>
      <c r="B976" s="1"/>
      <c r="D976" s="11"/>
      <c r="E976" s="10"/>
      <c r="O976" s="10"/>
      <c r="V976" s="10"/>
      <c r="W976" s="6"/>
    </row>
    <row r="977" spans="1:23" x14ac:dyDescent="0.2">
      <c r="A977" s="27"/>
      <c r="B977" s="25"/>
      <c r="D977" s="11"/>
      <c r="E977" s="10"/>
      <c r="O977" s="10"/>
      <c r="V977" s="10"/>
      <c r="W977" s="6"/>
    </row>
    <row r="978" spans="1:23" x14ac:dyDescent="0.2">
      <c r="A978" s="27"/>
      <c r="B978" s="1"/>
      <c r="D978" s="11"/>
      <c r="E978" s="10"/>
      <c r="O978" s="10"/>
      <c r="V978" s="10"/>
      <c r="W978" s="6"/>
    </row>
    <row r="979" spans="1:23" x14ac:dyDescent="0.2">
      <c r="A979" s="27"/>
      <c r="B979" s="25"/>
      <c r="D979" s="11"/>
      <c r="E979" s="10"/>
      <c r="O979" s="10"/>
      <c r="V979" s="10"/>
      <c r="W979" s="6"/>
    </row>
    <row r="980" spans="1:23" x14ac:dyDescent="0.2">
      <c r="A980" s="27"/>
      <c r="B980" s="25"/>
      <c r="D980" s="11"/>
      <c r="E980" s="10"/>
      <c r="O980" s="10"/>
      <c r="V980" s="10"/>
      <c r="W980" s="6"/>
    </row>
    <row r="981" spans="1:23" x14ac:dyDescent="0.2">
      <c r="A981" s="27"/>
      <c r="B981" s="1"/>
      <c r="D981" s="11"/>
      <c r="E981" s="10"/>
      <c r="O981" s="10"/>
      <c r="V981" s="10"/>
      <c r="W981" s="6"/>
    </row>
    <row r="982" spans="1:23" x14ac:dyDescent="0.2">
      <c r="A982" s="27"/>
      <c r="B982" s="25"/>
      <c r="D982" s="11"/>
      <c r="E982" s="10"/>
      <c r="O982" s="10"/>
      <c r="V982" s="10"/>
      <c r="W982" s="6"/>
    </row>
    <row r="983" spans="1:23" x14ac:dyDescent="0.2">
      <c r="A983" s="27"/>
      <c r="B983" s="25"/>
      <c r="D983" s="11"/>
      <c r="E983" s="10"/>
      <c r="O983" s="10"/>
      <c r="V983" s="10"/>
      <c r="W983" s="6"/>
    </row>
    <row r="984" spans="1:23" x14ac:dyDescent="0.2">
      <c r="A984" s="27"/>
      <c r="B984" s="25"/>
      <c r="D984" s="11"/>
      <c r="E984" s="10"/>
      <c r="O984" s="10"/>
      <c r="V984" s="10"/>
      <c r="W984" s="6"/>
    </row>
    <row r="985" spans="1:23" x14ac:dyDescent="0.2">
      <c r="A985" s="27"/>
      <c r="B985" s="1"/>
      <c r="D985" s="11"/>
      <c r="E985" s="10"/>
      <c r="O985" s="10"/>
      <c r="V985" s="10"/>
      <c r="W985" s="6"/>
    </row>
    <row r="986" spans="1:23" x14ac:dyDescent="0.2">
      <c r="A986" s="27"/>
      <c r="B986" s="25"/>
      <c r="D986" s="11"/>
      <c r="E986" s="10"/>
      <c r="O986" s="10"/>
      <c r="V986" s="10"/>
      <c r="W986" s="6"/>
    </row>
    <row r="987" spans="1:23" x14ac:dyDescent="0.2">
      <c r="A987" s="27"/>
      <c r="B987" s="25"/>
      <c r="D987" s="11"/>
      <c r="E987" s="10"/>
      <c r="O987" s="10"/>
      <c r="V987" s="10"/>
      <c r="W987" s="6"/>
    </row>
    <row r="988" spans="1:23" x14ac:dyDescent="0.2">
      <c r="A988" s="27"/>
      <c r="B988" s="25"/>
      <c r="D988" s="11"/>
      <c r="E988" s="10"/>
      <c r="O988" s="10"/>
      <c r="V988" s="10"/>
      <c r="W988" s="6"/>
    </row>
    <row r="989" spans="1:23" x14ac:dyDescent="0.2">
      <c r="A989" s="27"/>
      <c r="B989" s="25"/>
      <c r="D989" s="11"/>
      <c r="E989" s="10"/>
      <c r="O989" s="10"/>
      <c r="V989" s="10"/>
      <c r="W989" s="6"/>
    </row>
    <row r="990" spans="1:23" x14ac:dyDescent="0.2">
      <c r="A990" s="27"/>
      <c r="B990" s="25"/>
      <c r="D990" s="11"/>
      <c r="E990" s="10"/>
      <c r="O990" s="10"/>
      <c r="V990" s="10"/>
      <c r="W990" s="6"/>
    </row>
    <row r="991" spans="1:23" x14ac:dyDescent="0.2">
      <c r="A991" s="27"/>
      <c r="B991" s="25"/>
      <c r="D991" s="11"/>
      <c r="E991" s="10"/>
      <c r="O991" s="10"/>
      <c r="V991" s="10"/>
      <c r="W991" s="6"/>
    </row>
    <row r="992" spans="1:23" x14ac:dyDescent="0.2">
      <c r="A992" s="27"/>
      <c r="B992" s="25"/>
      <c r="D992" s="11"/>
      <c r="E992" s="10"/>
      <c r="O992" s="10"/>
      <c r="V992" s="10"/>
      <c r="W992" s="6"/>
    </row>
    <row r="993" spans="1:23" x14ac:dyDescent="0.2">
      <c r="A993" s="27"/>
      <c r="B993" s="25"/>
      <c r="D993" s="11"/>
      <c r="E993" s="10"/>
      <c r="O993" s="10"/>
      <c r="V993" s="10"/>
      <c r="W993" s="6"/>
    </row>
    <row r="994" spans="1:23" x14ac:dyDescent="0.2">
      <c r="A994" s="27"/>
      <c r="B994" s="25"/>
      <c r="D994" s="11"/>
      <c r="E994" s="10"/>
      <c r="O994" s="10"/>
      <c r="V994" s="10"/>
      <c r="W994" s="6"/>
    </row>
    <row r="995" spans="1:23" x14ac:dyDescent="0.2">
      <c r="A995" s="27"/>
      <c r="B995" s="25"/>
      <c r="D995" s="11"/>
      <c r="E995" s="10"/>
      <c r="O995" s="10"/>
      <c r="V995" s="10"/>
      <c r="W995" s="6"/>
    </row>
    <row r="996" spans="1:23" x14ac:dyDescent="0.2">
      <c r="A996" s="27"/>
      <c r="B996" s="25"/>
      <c r="D996" s="11"/>
      <c r="E996" s="10"/>
      <c r="O996" s="10"/>
      <c r="V996" s="10"/>
      <c r="W996" s="6"/>
    </row>
    <row r="997" spans="1:23" x14ac:dyDescent="0.2">
      <c r="A997" s="27"/>
      <c r="B997" s="25"/>
      <c r="D997" s="11"/>
      <c r="E997" s="10"/>
      <c r="O997" s="10"/>
      <c r="V997" s="10"/>
      <c r="W997" s="6"/>
    </row>
    <row r="998" spans="1:23" x14ac:dyDescent="0.2">
      <c r="A998" s="27"/>
      <c r="B998" s="25"/>
      <c r="D998" s="11"/>
      <c r="E998" s="10"/>
      <c r="O998" s="10"/>
      <c r="V998" s="10"/>
      <c r="W998" s="6"/>
    </row>
    <row r="999" spans="1:23" x14ac:dyDescent="0.2">
      <c r="A999" s="27"/>
      <c r="B999" s="25"/>
      <c r="D999" s="11"/>
      <c r="E999" s="10"/>
      <c r="O999" s="10"/>
      <c r="V999" s="10"/>
      <c r="W999" s="6"/>
    </row>
    <row r="1000" spans="1:23" x14ac:dyDescent="0.2">
      <c r="A1000" s="27"/>
      <c r="B1000" s="25"/>
      <c r="D1000" s="11"/>
      <c r="E1000" s="10"/>
      <c r="O1000" s="10"/>
      <c r="V1000" s="10"/>
      <c r="W1000" s="6"/>
    </row>
    <row r="1001" spans="1:23" x14ac:dyDescent="0.2">
      <c r="A1001" s="27"/>
      <c r="B1001" s="1"/>
      <c r="D1001" s="11"/>
      <c r="E1001" s="10"/>
      <c r="O1001" s="10"/>
      <c r="V1001" s="10"/>
      <c r="W1001" s="6"/>
    </row>
    <row r="1002" spans="1:23" x14ac:dyDescent="0.2">
      <c r="A1002" s="27"/>
      <c r="B1002" s="25"/>
      <c r="D1002" s="11"/>
      <c r="E1002" s="10"/>
      <c r="O1002" s="10"/>
      <c r="V1002" s="10"/>
      <c r="W1002" s="6"/>
    </row>
    <row r="1003" spans="1:23" x14ac:dyDescent="0.2">
      <c r="A1003" s="27"/>
      <c r="B1003" s="1"/>
      <c r="D1003" s="11"/>
      <c r="E1003" s="10"/>
      <c r="O1003" s="10"/>
      <c r="V1003" s="10"/>
      <c r="W1003" s="6"/>
    </row>
    <row r="1004" spans="1:23" x14ac:dyDescent="0.2">
      <c r="A1004" s="27"/>
      <c r="B1004" s="25"/>
      <c r="D1004" s="11"/>
      <c r="E1004" s="10"/>
      <c r="O1004" s="10"/>
      <c r="V1004" s="10"/>
      <c r="W1004" s="6"/>
    </row>
    <row r="1005" spans="1:23" x14ac:dyDescent="0.2">
      <c r="A1005" s="27"/>
      <c r="B1005" s="25"/>
      <c r="D1005" s="11"/>
      <c r="E1005" s="10"/>
      <c r="O1005" s="10"/>
      <c r="V1005" s="10"/>
      <c r="W1005" s="6"/>
    </row>
    <row r="1006" spans="1:23" x14ac:dyDescent="0.2">
      <c r="A1006" s="27"/>
      <c r="B1006" s="1"/>
      <c r="D1006" s="11"/>
      <c r="E1006" s="10"/>
      <c r="O1006" s="10"/>
      <c r="V1006" s="10"/>
      <c r="W1006" s="6"/>
    </row>
    <row r="1007" spans="1:23" x14ac:dyDescent="0.2">
      <c r="A1007" s="27"/>
      <c r="B1007" s="25"/>
      <c r="D1007" s="11"/>
      <c r="E1007" s="10"/>
      <c r="O1007" s="10"/>
      <c r="V1007" s="10"/>
      <c r="W1007" s="6"/>
    </row>
    <row r="1008" spans="1:23" x14ac:dyDescent="0.2">
      <c r="A1008" s="27"/>
      <c r="B1008" s="25"/>
      <c r="D1008" s="11"/>
      <c r="E1008" s="10"/>
      <c r="O1008" s="10"/>
      <c r="V1008" s="10"/>
      <c r="W1008" s="6"/>
    </row>
    <row r="1009" spans="1:23" x14ac:dyDescent="0.2">
      <c r="A1009" s="27"/>
      <c r="B1009" s="25"/>
      <c r="D1009" s="11"/>
      <c r="E1009" s="10"/>
      <c r="O1009" s="10"/>
      <c r="V1009" s="10"/>
      <c r="W1009" s="6"/>
    </row>
    <row r="1010" spans="1:23" x14ac:dyDescent="0.2">
      <c r="A1010" s="27"/>
      <c r="B1010" s="25"/>
      <c r="D1010" s="11"/>
      <c r="E1010" s="10"/>
      <c r="O1010" s="10"/>
      <c r="V1010" s="10"/>
      <c r="W1010" s="6"/>
    </row>
    <row r="1011" spans="1:23" x14ac:dyDescent="0.2">
      <c r="A1011" s="27"/>
      <c r="B1011" s="25"/>
      <c r="D1011" s="11"/>
      <c r="E1011" s="10"/>
      <c r="O1011" s="10"/>
      <c r="V1011" s="10"/>
      <c r="W1011" s="6"/>
    </row>
    <row r="1012" spans="1:23" x14ac:dyDescent="0.2">
      <c r="A1012" s="27"/>
      <c r="B1012" s="25"/>
      <c r="D1012" s="11"/>
      <c r="E1012" s="10"/>
      <c r="O1012" s="10"/>
      <c r="V1012" s="10"/>
      <c r="W1012" s="6"/>
    </row>
    <row r="1013" spans="1:23" x14ac:dyDescent="0.2">
      <c r="A1013" s="27"/>
      <c r="B1013" s="25"/>
      <c r="D1013" s="11"/>
      <c r="E1013" s="10"/>
      <c r="O1013" s="10"/>
      <c r="V1013" s="10"/>
      <c r="W1013" s="6"/>
    </row>
    <row r="1014" spans="1:23" x14ac:dyDescent="0.2">
      <c r="A1014" s="27"/>
      <c r="B1014" s="25"/>
      <c r="D1014" s="11"/>
      <c r="E1014" s="10"/>
      <c r="O1014" s="10"/>
      <c r="V1014" s="10"/>
      <c r="W1014" s="6"/>
    </row>
    <row r="1015" spans="1:23" x14ac:dyDescent="0.2">
      <c r="A1015" s="27"/>
      <c r="B1015" s="25"/>
      <c r="D1015" s="11"/>
      <c r="E1015" s="10"/>
      <c r="O1015" s="10"/>
      <c r="V1015" s="10"/>
      <c r="W1015" s="6"/>
    </row>
    <row r="1016" spans="1:23" x14ac:dyDescent="0.2">
      <c r="A1016" s="27"/>
      <c r="B1016" s="25"/>
      <c r="D1016" s="11"/>
      <c r="E1016" s="10"/>
      <c r="O1016" s="10"/>
      <c r="V1016" s="10"/>
      <c r="W1016" s="6"/>
    </row>
    <row r="1017" spans="1:23" x14ac:dyDescent="0.2">
      <c r="A1017" s="27"/>
      <c r="B1017" s="25"/>
      <c r="D1017" s="11"/>
      <c r="E1017" s="10"/>
      <c r="O1017" s="10"/>
      <c r="V1017" s="10"/>
      <c r="W1017" s="6"/>
    </row>
    <row r="1018" spans="1:23" x14ac:dyDescent="0.2">
      <c r="A1018" s="27"/>
      <c r="B1018" s="25"/>
      <c r="D1018" s="11"/>
      <c r="E1018" s="10"/>
      <c r="O1018" s="10"/>
      <c r="V1018" s="10"/>
      <c r="W1018" s="6"/>
    </row>
    <row r="1019" spans="1:23" x14ac:dyDescent="0.2">
      <c r="A1019" s="27"/>
      <c r="B1019" s="25"/>
      <c r="D1019" s="11"/>
      <c r="E1019" s="10"/>
      <c r="O1019" s="10"/>
      <c r="V1019" s="10"/>
      <c r="W1019" s="6"/>
    </row>
    <row r="1020" spans="1:23" x14ac:dyDescent="0.2">
      <c r="A1020" s="27"/>
      <c r="B1020" s="25"/>
      <c r="D1020" s="11"/>
      <c r="E1020" s="10"/>
      <c r="O1020" s="10"/>
      <c r="V1020" s="10"/>
      <c r="W1020" s="6"/>
    </row>
    <row r="1021" spans="1:23" x14ac:dyDescent="0.2">
      <c r="A1021" s="27"/>
      <c r="B1021" s="25"/>
      <c r="D1021" s="11"/>
      <c r="E1021" s="10"/>
      <c r="O1021" s="10"/>
      <c r="V1021" s="10"/>
      <c r="W1021" s="6"/>
    </row>
    <row r="1022" spans="1:23" x14ac:dyDescent="0.2">
      <c r="A1022" s="27"/>
      <c r="B1022" s="25"/>
      <c r="D1022" s="11"/>
      <c r="E1022" s="10"/>
      <c r="O1022" s="10"/>
      <c r="V1022" s="10"/>
      <c r="W1022" s="6"/>
    </row>
    <row r="1023" spans="1:23" x14ac:dyDescent="0.2">
      <c r="A1023" s="27"/>
      <c r="B1023" s="1"/>
      <c r="D1023" s="11"/>
      <c r="E1023" s="10"/>
      <c r="O1023" s="10"/>
      <c r="V1023" s="10"/>
      <c r="W1023" s="6"/>
    </row>
    <row r="1024" spans="1:23" x14ac:dyDescent="0.2">
      <c r="A1024" s="27"/>
      <c r="B1024" s="25"/>
      <c r="D1024" s="11"/>
      <c r="E1024" s="10"/>
      <c r="O1024" s="10"/>
      <c r="V1024" s="10"/>
      <c r="W1024" s="6"/>
    </row>
    <row r="1025" spans="1:23" x14ac:dyDescent="0.2">
      <c r="A1025" s="27"/>
      <c r="B1025" s="25"/>
      <c r="D1025" s="11"/>
      <c r="E1025" s="10"/>
      <c r="O1025" s="10"/>
      <c r="V1025" s="10"/>
      <c r="W1025" s="6"/>
    </row>
    <row r="1026" spans="1:23" x14ac:dyDescent="0.2">
      <c r="A1026" s="27"/>
      <c r="B1026" s="25"/>
      <c r="D1026" s="11"/>
      <c r="E1026" s="10"/>
      <c r="O1026" s="10"/>
      <c r="V1026" s="10"/>
      <c r="W1026" s="6"/>
    </row>
    <row r="1027" spans="1:23" x14ac:dyDescent="0.2">
      <c r="A1027" s="27"/>
      <c r="B1027" s="25"/>
      <c r="D1027" s="11"/>
      <c r="E1027" s="10"/>
      <c r="O1027" s="10"/>
      <c r="V1027" s="10"/>
      <c r="W1027" s="6"/>
    </row>
    <row r="1028" spans="1:23" x14ac:dyDescent="0.2">
      <c r="A1028" s="27"/>
      <c r="B1028" s="25"/>
      <c r="D1028" s="11"/>
      <c r="E1028" s="10"/>
      <c r="O1028" s="10"/>
      <c r="V1028" s="10"/>
      <c r="W1028" s="6"/>
    </row>
    <row r="1029" spans="1:23" x14ac:dyDescent="0.2">
      <c r="A1029" s="27"/>
      <c r="B1029" s="25"/>
      <c r="D1029" s="11"/>
      <c r="E1029" s="10"/>
      <c r="O1029" s="10"/>
      <c r="V1029" s="10"/>
      <c r="W1029" s="6"/>
    </row>
    <row r="1030" spans="1:23" x14ac:dyDescent="0.2">
      <c r="A1030" s="27"/>
      <c r="B1030" s="25"/>
      <c r="D1030" s="11"/>
      <c r="E1030" s="10"/>
      <c r="O1030" s="10"/>
      <c r="V1030" s="10"/>
      <c r="W1030" s="6"/>
    </row>
    <row r="1031" spans="1:23" x14ac:dyDescent="0.2">
      <c r="A1031" s="27"/>
      <c r="B1031" s="25"/>
      <c r="D1031" s="11"/>
      <c r="E1031" s="10"/>
      <c r="O1031" s="10"/>
      <c r="V1031" s="10"/>
      <c r="W1031" s="6"/>
    </row>
    <row r="1032" spans="1:23" x14ac:dyDescent="0.2">
      <c r="A1032" s="27"/>
      <c r="B1032" s="1"/>
      <c r="D1032" s="11"/>
      <c r="E1032" s="10"/>
      <c r="O1032" s="10"/>
      <c r="V1032" s="10"/>
      <c r="W1032" s="6"/>
    </row>
    <row r="1033" spans="1:23" x14ac:dyDescent="0.2">
      <c r="A1033" s="27"/>
      <c r="B1033" s="25"/>
      <c r="D1033" s="11"/>
      <c r="E1033" s="10"/>
      <c r="O1033" s="10"/>
      <c r="V1033" s="10"/>
      <c r="W1033" s="6"/>
    </row>
    <row r="1034" spans="1:23" x14ac:dyDescent="0.2">
      <c r="A1034" s="27"/>
      <c r="B1034" s="25"/>
      <c r="D1034" s="11"/>
      <c r="E1034" s="10"/>
      <c r="O1034" s="10"/>
      <c r="V1034" s="10"/>
      <c r="W1034" s="6"/>
    </row>
    <row r="1035" spans="1:23" x14ac:dyDescent="0.2">
      <c r="A1035" s="27"/>
      <c r="B1035" s="1"/>
      <c r="D1035" s="11"/>
      <c r="E1035" s="10"/>
      <c r="O1035" s="10"/>
      <c r="V1035" s="10"/>
      <c r="W1035" s="6"/>
    </row>
    <row r="1036" spans="1:23" x14ac:dyDescent="0.2">
      <c r="A1036" s="27"/>
      <c r="B1036" s="25"/>
      <c r="D1036" s="11"/>
      <c r="E1036" s="10"/>
      <c r="O1036" s="10"/>
      <c r="V1036" s="10"/>
      <c r="W1036" s="6"/>
    </row>
    <row r="1037" spans="1:23" x14ac:dyDescent="0.2">
      <c r="A1037" s="27"/>
      <c r="B1037" s="1"/>
      <c r="D1037" s="11"/>
      <c r="E1037" s="10"/>
      <c r="O1037" s="10"/>
      <c r="V1037" s="10"/>
      <c r="W1037" s="6"/>
    </row>
    <row r="1038" spans="1:23" x14ac:dyDescent="0.2">
      <c r="A1038" s="27"/>
      <c r="B1038" s="25"/>
      <c r="D1038" s="11"/>
      <c r="E1038" s="10"/>
      <c r="O1038" s="10"/>
      <c r="V1038" s="10"/>
      <c r="W1038" s="6"/>
    </row>
    <row r="1039" spans="1:23" x14ac:dyDescent="0.2">
      <c r="A1039" s="27"/>
      <c r="B1039" s="25"/>
      <c r="D1039" s="11"/>
      <c r="E1039" s="10"/>
      <c r="O1039" s="10"/>
      <c r="V1039" s="10"/>
      <c r="W1039" s="6"/>
    </row>
    <row r="1040" spans="1:23" x14ac:dyDescent="0.2">
      <c r="A1040" s="27"/>
      <c r="B1040" s="25"/>
      <c r="D1040" s="11"/>
      <c r="E1040" s="10"/>
      <c r="O1040" s="10"/>
      <c r="V1040" s="10"/>
      <c r="W1040" s="6"/>
    </row>
    <row r="1041" spans="1:23" x14ac:dyDescent="0.2">
      <c r="A1041" s="27"/>
      <c r="B1041" s="25"/>
      <c r="D1041" s="11"/>
      <c r="E1041" s="10"/>
      <c r="O1041" s="10"/>
      <c r="V1041" s="10"/>
      <c r="W1041" s="6"/>
    </row>
    <row r="1042" spans="1:23" x14ac:dyDescent="0.2">
      <c r="A1042" s="27"/>
      <c r="B1042" s="1"/>
      <c r="D1042" s="11"/>
      <c r="E1042" s="10"/>
      <c r="O1042" s="10"/>
      <c r="V1042" s="10"/>
      <c r="W1042" s="6"/>
    </row>
    <row r="1043" spans="1:23" x14ac:dyDescent="0.2">
      <c r="A1043" s="27"/>
      <c r="B1043" s="25"/>
      <c r="D1043" s="11"/>
      <c r="E1043" s="10"/>
      <c r="O1043" s="10"/>
      <c r="V1043" s="10"/>
      <c r="W1043" s="6"/>
    </row>
    <row r="1044" spans="1:23" x14ac:dyDescent="0.2">
      <c r="A1044" s="27"/>
      <c r="B1044" s="25"/>
      <c r="D1044" s="11"/>
      <c r="E1044" s="10"/>
      <c r="O1044" s="10"/>
      <c r="V1044" s="10"/>
      <c r="W1044" s="6"/>
    </row>
    <row r="1045" spans="1:23" x14ac:dyDescent="0.2">
      <c r="A1045" s="27"/>
      <c r="B1045" s="25"/>
      <c r="D1045" s="11"/>
      <c r="E1045" s="10"/>
      <c r="O1045" s="10"/>
      <c r="V1045" s="10"/>
      <c r="W1045" s="6"/>
    </row>
    <row r="1046" spans="1:23" x14ac:dyDescent="0.2">
      <c r="A1046" s="27"/>
      <c r="B1046" s="25"/>
      <c r="D1046" s="11"/>
      <c r="E1046" s="10"/>
      <c r="O1046" s="10"/>
      <c r="V1046" s="10"/>
      <c r="W1046" s="6"/>
    </row>
    <row r="1047" spans="1:23" x14ac:dyDescent="0.2">
      <c r="A1047" s="27"/>
      <c r="B1047" s="25"/>
      <c r="D1047" s="11"/>
      <c r="E1047" s="10"/>
      <c r="O1047" s="10"/>
      <c r="V1047" s="10"/>
      <c r="W1047" s="6"/>
    </row>
    <row r="1048" spans="1:23" x14ac:dyDescent="0.2">
      <c r="A1048" s="27"/>
      <c r="B1048" s="25"/>
      <c r="D1048" s="11"/>
      <c r="E1048" s="10"/>
      <c r="O1048" s="10"/>
      <c r="V1048" s="10"/>
      <c r="W1048" s="6"/>
    </row>
    <row r="1049" spans="1:23" x14ac:dyDescent="0.2">
      <c r="A1049" s="27"/>
      <c r="B1049" s="1"/>
      <c r="D1049" s="11"/>
      <c r="E1049" s="10"/>
      <c r="O1049" s="10"/>
      <c r="V1049" s="10"/>
      <c r="W1049" s="6"/>
    </row>
    <row r="1050" spans="1:23" x14ac:dyDescent="0.2">
      <c r="A1050" s="27"/>
      <c r="B1050" s="25"/>
      <c r="D1050" s="11"/>
      <c r="E1050" s="10"/>
      <c r="O1050" s="10"/>
      <c r="V1050" s="10"/>
      <c r="W1050" s="6"/>
    </row>
    <row r="1051" spans="1:23" x14ac:dyDescent="0.2">
      <c r="A1051" s="27"/>
      <c r="B1051" s="25"/>
      <c r="D1051" s="11"/>
      <c r="E1051" s="10"/>
      <c r="O1051" s="10"/>
      <c r="V1051" s="10"/>
      <c r="W1051" s="6"/>
    </row>
    <row r="1052" spans="1:23" x14ac:dyDescent="0.2">
      <c r="A1052" s="27"/>
      <c r="B1052" s="25"/>
      <c r="D1052" s="11"/>
      <c r="E1052" s="10"/>
      <c r="O1052" s="10"/>
      <c r="V1052" s="10"/>
      <c r="W1052" s="6"/>
    </row>
    <row r="1053" spans="1:23" x14ac:dyDescent="0.2">
      <c r="A1053" s="27"/>
      <c r="B1053" s="25"/>
      <c r="D1053" s="11"/>
      <c r="E1053" s="10"/>
      <c r="O1053" s="10"/>
      <c r="V1053" s="10"/>
      <c r="W1053" s="6"/>
    </row>
    <row r="1054" spans="1:23" x14ac:dyDescent="0.2">
      <c r="A1054" s="27"/>
      <c r="B1054" s="25"/>
      <c r="D1054" s="11"/>
      <c r="E1054" s="10"/>
      <c r="O1054" s="10"/>
      <c r="V1054" s="10"/>
      <c r="W1054" s="6"/>
    </row>
    <row r="1055" spans="1:23" x14ac:dyDescent="0.2">
      <c r="A1055" s="27"/>
      <c r="B1055" s="25"/>
      <c r="D1055" s="11"/>
      <c r="E1055" s="10"/>
      <c r="O1055" s="10"/>
      <c r="V1055" s="10"/>
      <c r="W1055" s="6"/>
    </row>
    <row r="1056" spans="1:23" x14ac:dyDescent="0.2">
      <c r="A1056" s="27"/>
      <c r="B1056" s="25"/>
      <c r="D1056" s="11"/>
      <c r="E1056" s="10"/>
      <c r="O1056" s="10"/>
      <c r="V1056" s="10"/>
      <c r="W1056" s="6"/>
    </row>
    <row r="1057" spans="1:23" x14ac:dyDescent="0.2">
      <c r="A1057" s="27"/>
      <c r="B1057" s="25"/>
      <c r="D1057" s="11"/>
      <c r="E1057" s="10"/>
      <c r="O1057" s="10"/>
      <c r="V1057" s="10"/>
      <c r="W1057" s="6"/>
    </row>
    <row r="1058" spans="1:23" x14ac:dyDescent="0.2">
      <c r="A1058" s="27"/>
      <c r="B1058" s="1"/>
      <c r="D1058" s="11"/>
      <c r="E1058" s="10"/>
      <c r="O1058" s="10"/>
      <c r="V1058" s="10"/>
      <c r="W1058" s="6"/>
    </row>
    <row r="1059" spans="1:23" x14ac:dyDescent="0.2">
      <c r="A1059" s="27"/>
      <c r="B1059" s="25"/>
      <c r="D1059" s="11"/>
      <c r="E1059" s="10"/>
      <c r="O1059" s="10"/>
      <c r="V1059" s="10"/>
      <c r="W1059" s="6"/>
    </row>
    <row r="1060" spans="1:23" x14ac:dyDescent="0.2">
      <c r="A1060" s="27"/>
      <c r="B1060" s="25"/>
      <c r="D1060" s="11"/>
      <c r="E1060" s="10"/>
      <c r="O1060" s="10"/>
      <c r="V1060" s="10"/>
      <c r="W1060" s="6"/>
    </row>
    <row r="1061" spans="1:23" x14ac:dyDescent="0.2">
      <c r="A1061" s="27"/>
      <c r="B1061" s="25"/>
      <c r="D1061" s="11"/>
      <c r="E1061" s="10"/>
      <c r="O1061" s="10"/>
      <c r="V1061" s="10"/>
      <c r="W1061" s="6"/>
    </row>
    <row r="1062" spans="1:23" x14ac:dyDescent="0.2">
      <c r="A1062" s="27"/>
      <c r="B1062" s="1"/>
      <c r="D1062" s="11"/>
      <c r="E1062" s="10"/>
      <c r="O1062" s="10"/>
      <c r="V1062" s="10"/>
      <c r="W1062" s="6"/>
    </row>
    <row r="1063" spans="1:23" x14ac:dyDescent="0.2">
      <c r="A1063" s="27"/>
      <c r="B1063" s="25"/>
      <c r="D1063" s="11"/>
      <c r="E1063" s="10"/>
      <c r="O1063" s="10"/>
      <c r="V1063" s="10"/>
      <c r="W1063" s="6"/>
    </row>
    <row r="1064" spans="1:23" x14ac:dyDescent="0.2">
      <c r="A1064" s="27"/>
      <c r="B1064" s="25"/>
      <c r="D1064" s="11"/>
      <c r="E1064" s="10"/>
      <c r="O1064" s="10"/>
      <c r="V1064" s="10"/>
      <c r="W1064" s="6"/>
    </row>
    <row r="1065" spans="1:23" x14ac:dyDescent="0.2">
      <c r="A1065" s="27"/>
      <c r="B1065" s="1"/>
      <c r="D1065" s="11"/>
      <c r="E1065" s="10"/>
      <c r="O1065" s="10"/>
      <c r="V1065" s="10"/>
      <c r="W1065" s="6"/>
    </row>
    <row r="1066" spans="1:23" x14ac:dyDescent="0.2">
      <c r="A1066" s="27"/>
      <c r="B1066" s="25"/>
      <c r="D1066" s="11"/>
      <c r="E1066" s="10"/>
      <c r="O1066" s="10"/>
      <c r="V1066" s="10"/>
      <c r="W1066" s="6"/>
    </row>
    <row r="1067" spans="1:23" x14ac:dyDescent="0.2">
      <c r="A1067" s="27"/>
      <c r="B1067" s="25"/>
      <c r="D1067" s="11"/>
      <c r="E1067" s="10"/>
      <c r="O1067" s="10"/>
      <c r="V1067" s="10"/>
      <c r="W1067" s="6"/>
    </row>
    <row r="1068" spans="1:23" x14ac:dyDescent="0.2">
      <c r="A1068" s="27"/>
      <c r="B1068" s="25"/>
      <c r="D1068" s="11"/>
      <c r="E1068" s="10"/>
      <c r="O1068" s="10"/>
      <c r="V1068" s="10"/>
      <c r="W1068" s="6"/>
    </row>
    <row r="1069" spans="1:23" x14ac:dyDescent="0.2">
      <c r="A1069" s="27"/>
      <c r="B1069" s="25"/>
      <c r="D1069" s="11"/>
      <c r="E1069" s="10"/>
      <c r="O1069" s="10"/>
      <c r="V1069" s="10"/>
      <c r="W1069" s="6"/>
    </row>
    <row r="1070" spans="1:23" x14ac:dyDescent="0.2">
      <c r="A1070" s="27"/>
      <c r="B1070" s="25"/>
      <c r="D1070" s="11"/>
      <c r="E1070" s="10"/>
      <c r="O1070" s="10"/>
      <c r="V1070" s="10"/>
      <c r="W1070" s="6"/>
    </row>
    <row r="1071" spans="1:23" x14ac:dyDescent="0.2">
      <c r="A1071" s="27"/>
      <c r="B1071" s="25"/>
      <c r="D1071" s="11"/>
      <c r="E1071" s="10"/>
      <c r="O1071" s="10"/>
      <c r="V1071" s="10"/>
      <c r="W1071" s="6"/>
    </row>
    <row r="1072" spans="1:23" x14ac:dyDescent="0.2">
      <c r="A1072" s="27"/>
      <c r="B1072" s="25"/>
      <c r="D1072" s="11"/>
      <c r="E1072" s="10"/>
      <c r="O1072" s="10"/>
      <c r="V1072" s="10"/>
      <c r="W1072" s="6"/>
    </row>
    <row r="1073" spans="1:23" x14ac:dyDescent="0.2">
      <c r="A1073" s="27"/>
      <c r="B1073" s="1"/>
      <c r="D1073" s="11"/>
      <c r="E1073" s="10"/>
      <c r="O1073" s="10"/>
      <c r="V1073" s="10"/>
      <c r="W1073" s="6"/>
    </row>
    <row r="1074" spans="1:23" x14ac:dyDescent="0.2">
      <c r="A1074" s="27"/>
      <c r="B1074" s="25"/>
      <c r="D1074" s="11"/>
      <c r="E1074" s="10"/>
      <c r="O1074" s="10"/>
      <c r="V1074" s="10"/>
      <c r="W1074" s="6"/>
    </row>
    <row r="1075" spans="1:23" x14ac:dyDescent="0.2">
      <c r="A1075" s="27"/>
      <c r="B1075" s="25"/>
      <c r="D1075" s="11"/>
      <c r="E1075" s="10"/>
      <c r="O1075" s="10"/>
      <c r="V1075" s="10"/>
      <c r="W1075" s="6"/>
    </row>
    <row r="1076" spans="1:23" x14ac:dyDescent="0.2">
      <c r="A1076" s="27"/>
      <c r="B1076" s="1"/>
      <c r="D1076" s="11"/>
      <c r="E1076" s="10"/>
      <c r="O1076" s="10"/>
      <c r="V1076" s="10"/>
      <c r="W1076" s="6"/>
    </row>
    <row r="1077" spans="1:23" x14ac:dyDescent="0.2">
      <c r="A1077" s="27"/>
      <c r="B1077" s="25"/>
      <c r="D1077" s="11"/>
      <c r="E1077" s="10"/>
      <c r="O1077" s="10"/>
      <c r="V1077" s="10"/>
      <c r="W1077" s="6"/>
    </row>
    <row r="1078" spans="1:23" x14ac:dyDescent="0.2">
      <c r="A1078" s="27"/>
      <c r="B1078" s="25"/>
      <c r="D1078" s="11"/>
      <c r="E1078" s="10"/>
      <c r="O1078" s="10"/>
      <c r="V1078" s="10"/>
      <c r="W1078" s="6"/>
    </row>
    <row r="1079" spans="1:23" x14ac:dyDescent="0.2">
      <c r="A1079" s="27"/>
      <c r="B1079" s="25"/>
      <c r="D1079" s="11"/>
      <c r="E1079" s="10"/>
      <c r="O1079" s="10"/>
      <c r="V1079" s="10"/>
      <c r="W1079" s="6"/>
    </row>
    <row r="1080" spans="1:23" x14ac:dyDescent="0.2">
      <c r="A1080" s="27"/>
      <c r="B1080" s="25"/>
      <c r="D1080" s="11"/>
      <c r="E1080" s="10"/>
      <c r="O1080" s="10"/>
      <c r="V1080" s="10"/>
      <c r="W1080" s="6"/>
    </row>
    <row r="1081" spans="1:23" x14ac:dyDescent="0.2">
      <c r="A1081" s="27"/>
      <c r="B1081" s="25"/>
      <c r="D1081" s="11"/>
      <c r="E1081" s="10"/>
      <c r="O1081" s="10"/>
      <c r="V1081" s="10"/>
      <c r="W1081" s="6"/>
    </row>
    <row r="1082" spans="1:23" x14ac:dyDescent="0.2">
      <c r="A1082" s="27"/>
      <c r="B1082" s="25"/>
      <c r="D1082" s="11"/>
      <c r="E1082" s="10"/>
      <c r="O1082" s="10"/>
      <c r="V1082" s="10"/>
      <c r="W1082" s="6"/>
    </row>
    <row r="1083" spans="1:23" x14ac:dyDescent="0.2">
      <c r="A1083" s="27"/>
      <c r="B1083" s="1"/>
      <c r="D1083" s="11"/>
      <c r="E1083" s="10"/>
      <c r="O1083" s="10"/>
      <c r="V1083" s="10"/>
      <c r="W1083" s="6"/>
    </row>
    <row r="1084" spans="1:23" x14ac:dyDescent="0.2">
      <c r="A1084" s="27"/>
      <c r="B1084" s="25"/>
      <c r="D1084" s="11"/>
      <c r="E1084" s="10"/>
      <c r="O1084" s="10"/>
      <c r="V1084" s="10"/>
      <c r="W1084" s="6"/>
    </row>
    <row r="1085" spans="1:23" x14ac:dyDescent="0.2">
      <c r="A1085" s="27"/>
      <c r="B1085" s="25"/>
      <c r="D1085" s="11"/>
      <c r="E1085" s="10"/>
      <c r="O1085" s="10"/>
      <c r="V1085" s="10"/>
      <c r="W1085" s="6"/>
    </row>
    <row r="1086" spans="1:23" x14ac:dyDescent="0.2">
      <c r="A1086" s="27"/>
      <c r="B1086" s="25"/>
      <c r="D1086" s="11"/>
      <c r="E1086" s="10"/>
      <c r="O1086" s="10"/>
      <c r="V1086" s="10"/>
      <c r="W1086" s="6"/>
    </row>
    <row r="1087" spans="1:23" x14ac:dyDescent="0.2">
      <c r="A1087" s="27"/>
      <c r="B1087" s="25"/>
      <c r="D1087" s="11"/>
      <c r="E1087" s="10"/>
      <c r="O1087" s="10"/>
      <c r="V1087" s="10"/>
      <c r="W1087" s="6"/>
    </row>
    <row r="1088" spans="1:23" x14ac:dyDescent="0.2">
      <c r="A1088" s="27"/>
      <c r="B1088" s="25"/>
      <c r="D1088" s="11"/>
      <c r="E1088" s="10"/>
      <c r="O1088" s="10"/>
      <c r="V1088" s="10"/>
      <c r="W1088" s="6"/>
    </row>
    <row r="1089" spans="1:23" x14ac:dyDescent="0.2">
      <c r="A1089" s="27"/>
      <c r="B1089" s="25"/>
      <c r="D1089" s="11"/>
      <c r="E1089" s="10"/>
      <c r="O1089" s="10"/>
      <c r="V1089" s="10"/>
      <c r="W1089" s="6"/>
    </row>
    <row r="1090" spans="1:23" x14ac:dyDescent="0.2">
      <c r="A1090" s="27"/>
      <c r="B1090" s="1"/>
      <c r="D1090" s="11"/>
      <c r="E1090" s="10"/>
      <c r="O1090" s="10"/>
      <c r="V1090" s="10"/>
      <c r="W1090" s="6"/>
    </row>
    <row r="1091" spans="1:23" x14ac:dyDescent="0.2">
      <c r="A1091" s="27"/>
      <c r="B1091" s="25"/>
      <c r="D1091" s="11"/>
      <c r="E1091" s="10"/>
      <c r="O1091" s="10"/>
      <c r="V1091" s="10"/>
      <c r="W1091" s="6"/>
    </row>
    <row r="1092" spans="1:23" x14ac:dyDescent="0.2">
      <c r="A1092" s="27"/>
      <c r="B1092" s="25"/>
      <c r="D1092" s="11"/>
      <c r="E1092" s="10"/>
      <c r="O1092" s="10"/>
      <c r="V1092" s="10"/>
      <c r="W1092" s="6"/>
    </row>
    <row r="1093" spans="1:23" x14ac:dyDescent="0.2">
      <c r="A1093" s="27"/>
      <c r="B1093" s="1"/>
      <c r="D1093" s="11"/>
      <c r="E1093" s="10"/>
      <c r="O1093" s="10"/>
      <c r="V1093" s="10"/>
      <c r="W1093" s="6"/>
    </row>
    <row r="1094" spans="1:23" x14ac:dyDescent="0.2">
      <c r="A1094" s="27"/>
      <c r="B1094" s="25"/>
      <c r="D1094" s="11"/>
      <c r="E1094" s="10"/>
      <c r="O1094" s="10"/>
      <c r="V1094" s="10"/>
      <c r="W1094" s="6"/>
    </row>
    <row r="1095" spans="1:23" x14ac:dyDescent="0.2">
      <c r="A1095" s="27"/>
      <c r="B1095" s="25"/>
      <c r="D1095" s="11"/>
      <c r="E1095" s="10"/>
      <c r="O1095" s="10"/>
      <c r="V1095" s="10"/>
      <c r="W1095" s="6"/>
    </row>
    <row r="1096" spans="1:23" x14ac:dyDescent="0.2">
      <c r="A1096" s="27"/>
      <c r="B1096" s="25"/>
      <c r="D1096" s="11"/>
      <c r="E1096" s="10"/>
      <c r="O1096" s="10"/>
      <c r="V1096" s="10"/>
      <c r="W1096" s="6"/>
    </row>
    <row r="1097" spans="1:23" x14ac:dyDescent="0.2">
      <c r="A1097" s="27"/>
      <c r="B1097" s="25"/>
      <c r="D1097" s="11"/>
      <c r="E1097" s="10"/>
      <c r="O1097" s="10"/>
      <c r="V1097" s="10"/>
      <c r="W1097" s="6"/>
    </row>
    <row r="1098" spans="1:23" x14ac:dyDescent="0.2">
      <c r="A1098" s="27"/>
      <c r="B1098" s="25"/>
      <c r="D1098" s="11"/>
      <c r="E1098" s="10"/>
      <c r="O1098" s="10"/>
      <c r="V1098" s="10"/>
      <c r="W1098" s="6"/>
    </row>
    <row r="1099" spans="1:23" x14ac:dyDescent="0.2">
      <c r="A1099" s="27"/>
      <c r="B1099" s="25"/>
      <c r="D1099" s="11"/>
      <c r="E1099" s="10"/>
      <c r="O1099" s="10"/>
      <c r="V1099" s="10"/>
      <c r="W1099" s="6"/>
    </row>
    <row r="1100" spans="1:23" x14ac:dyDescent="0.2">
      <c r="A1100" s="27"/>
      <c r="B1100" s="25"/>
      <c r="D1100" s="11"/>
      <c r="E1100" s="10"/>
      <c r="O1100" s="10"/>
      <c r="V1100" s="10"/>
      <c r="W1100" s="6"/>
    </row>
    <row r="1101" spans="1:23" x14ac:dyDescent="0.2">
      <c r="A1101" s="27"/>
      <c r="B1101" s="1"/>
      <c r="D1101" s="11"/>
      <c r="E1101" s="10"/>
      <c r="O1101" s="10"/>
      <c r="V1101" s="10"/>
      <c r="W1101" s="6"/>
    </row>
    <row r="1102" spans="1:23" x14ac:dyDescent="0.2">
      <c r="A1102" s="27"/>
      <c r="B1102" s="25"/>
      <c r="D1102" s="11"/>
      <c r="E1102" s="10"/>
      <c r="O1102" s="10"/>
      <c r="V1102" s="10"/>
      <c r="W1102" s="6"/>
    </row>
    <row r="1103" spans="1:23" x14ac:dyDescent="0.2">
      <c r="A1103" s="27"/>
      <c r="B1103" s="25"/>
      <c r="D1103" s="11"/>
      <c r="E1103" s="10"/>
      <c r="O1103" s="10"/>
      <c r="V1103" s="10"/>
      <c r="W1103" s="6"/>
    </row>
    <row r="1104" spans="1:23" x14ac:dyDescent="0.2">
      <c r="A1104" s="27"/>
      <c r="B1104" s="25"/>
      <c r="D1104" s="11"/>
      <c r="E1104" s="10"/>
      <c r="O1104" s="10"/>
      <c r="V1104" s="10"/>
      <c r="W1104" s="6"/>
    </row>
    <row r="1105" spans="1:23" x14ac:dyDescent="0.2">
      <c r="A1105" s="27"/>
      <c r="B1105" s="25"/>
      <c r="D1105" s="11"/>
      <c r="E1105" s="10"/>
      <c r="O1105" s="10"/>
      <c r="V1105" s="10"/>
      <c r="W1105" s="6"/>
    </row>
    <row r="1106" spans="1:23" x14ac:dyDescent="0.2">
      <c r="A1106" s="27"/>
      <c r="B1106" s="25"/>
      <c r="D1106" s="11"/>
      <c r="E1106" s="10"/>
      <c r="O1106" s="10"/>
      <c r="V1106" s="10"/>
      <c r="W1106" s="6"/>
    </row>
    <row r="1107" spans="1:23" x14ac:dyDescent="0.2">
      <c r="A1107" s="27"/>
      <c r="B1107" s="25"/>
      <c r="D1107" s="11"/>
      <c r="E1107" s="10"/>
      <c r="O1107" s="10"/>
      <c r="V1107" s="10"/>
      <c r="W1107" s="6"/>
    </row>
    <row r="1108" spans="1:23" x14ac:dyDescent="0.2">
      <c r="A1108" s="27"/>
      <c r="B1108" s="25"/>
      <c r="D1108" s="11"/>
      <c r="E1108" s="10"/>
      <c r="O1108" s="10"/>
      <c r="V1108" s="10"/>
      <c r="W1108" s="6"/>
    </row>
    <row r="1109" spans="1:23" x14ac:dyDescent="0.2">
      <c r="A1109" s="27"/>
      <c r="B1109" s="25"/>
      <c r="D1109" s="11"/>
      <c r="E1109" s="10"/>
      <c r="O1109" s="10"/>
      <c r="V1109" s="10"/>
      <c r="W1109" s="6"/>
    </row>
    <row r="1110" spans="1:23" x14ac:dyDescent="0.2">
      <c r="A1110" s="27"/>
      <c r="B1110" s="25"/>
      <c r="D1110" s="11"/>
      <c r="E1110" s="10"/>
      <c r="O1110" s="10"/>
      <c r="V1110" s="10"/>
      <c r="W1110" s="6"/>
    </row>
    <row r="1111" spans="1:23" x14ac:dyDescent="0.2">
      <c r="A1111" s="27"/>
      <c r="B1111" s="25"/>
      <c r="D1111" s="11"/>
      <c r="E1111" s="10"/>
      <c r="O1111" s="10"/>
      <c r="V1111" s="10"/>
      <c r="W1111" s="6"/>
    </row>
    <row r="1112" spans="1:23" x14ac:dyDescent="0.2">
      <c r="A1112" s="27"/>
      <c r="B1112" s="25"/>
      <c r="D1112" s="11"/>
      <c r="E1112" s="10"/>
      <c r="O1112" s="10"/>
      <c r="V1112" s="10"/>
      <c r="W1112" s="6"/>
    </row>
    <row r="1113" spans="1:23" x14ac:dyDescent="0.2">
      <c r="A1113" s="27"/>
      <c r="B1113" s="25"/>
      <c r="D1113" s="11"/>
      <c r="E1113" s="10"/>
      <c r="O1113" s="10"/>
      <c r="V1113" s="10"/>
      <c r="W1113" s="6"/>
    </row>
    <row r="1114" spans="1:23" x14ac:dyDescent="0.2">
      <c r="A1114" s="27"/>
      <c r="B1114" s="25"/>
      <c r="D1114" s="11"/>
      <c r="E1114" s="10"/>
      <c r="O1114" s="10"/>
      <c r="V1114" s="10"/>
      <c r="W1114" s="6"/>
    </row>
    <row r="1115" spans="1:23" x14ac:dyDescent="0.2">
      <c r="A1115" s="27"/>
      <c r="B1115" s="25"/>
      <c r="D1115" s="11"/>
      <c r="E1115" s="10"/>
      <c r="O1115" s="10"/>
      <c r="V1115" s="10"/>
      <c r="W1115" s="6"/>
    </row>
    <row r="1116" spans="1:23" x14ac:dyDescent="0.2">
      <c r="A1116" s="27"/>
      <c r="B1116" s="25"/>
      <c r="D1116" s="11"/>
      <c r="E1116" s="10"/>
      <c r="O1116" s="10"/>
      <c r="V1116" s="10"/>
      <c r="W1116" s="6"/>
    </row>
    <row r="1117" spans="1:23" x14ac:dyDescent="0.2">
      <c r="A1117" s="27"/>
      <c r="B1117" s="1"/>
      <c r="D1117" s="11"/>
      <c r="E1117" s="10"/>
      <c r="O1117" s="10"/>
      <c r="V1117" s="10"/>
      <c r="W1117" s="6"/>
    </row>
    <row r="1118" spans="1:23" x14ac:dyDescent="0.2">
      <c r="A1118" s="27"/>
      <c r="B1118" s="1"/>
      <c r="D1118" s="11"/>
      <c r="E1118" s="10"/>
      <c r="O1118" s="10"/>
      <c r="V1118" s="10"/>
      <c r="W1118" s="6"/>
    </row>
    <row r="1119" spans="1:23" x14ac:dyDescent="0.2">
      <c r="A1119" s="27"/>
      <c r="B1119" s="1"/>
      <c r="D1119" s="11"/>
      <c r="E1119" s="10"/>
      <c r="O1119" s="10"/>
      <c r="V1119" s="10"/>
      <c r="W1119" s="6"/>
    </row>
    <row r="1120" spans="1:23" x14ac:dyDescent="0.2">
      <c r="A1120" s="27"/>
      <c r="B1120" s="1"/>
      <c r="D1120" s="11"/>
      <c r="E1120" s="10"/>
      <c r="O1120" s="10"/>
      <c r="V1120" s="10"/>
      <c r="W1120" s="6"/>
    </row>
    <row r="1121" spans="1:23" x14ac:dyDescent="0.2">
      <c r="A1121" s="27"/>
      <c r="B1121" s="25"/>
      <c r="D1121" s="11"/>
      <c r="E1121" s="10"/>
      <c r="O1121" s="10"/>
      <c r="V1121" s="10"/>
      <c r="W1121" s="6"/>
    </row>
    <row r="1122" spans="1:23" x14ac:dyDescent="0.2">
      <c r="A1122" s="27"/>
      <c r="B1122" s="25"/>
      <c r="D1122" s="11"/>
      <c r="E1122" s="10"/>
      <c r="O1122" s="10"/>
      <c r="V1122" s="10"/>
      <c r="W1122" s="6"/>
    </row>
    <row r="1123" spans="1:23" x14ac:dyDescent="0.2">
      <c r="A1123" s="27"/>
      <c r="B1123" s="25"/>
      <c r="D1123" s="11"/>
      <c r="E1123" s="10"/>
      <c r="O1123" s="10"/>
      <c r="V1123" s="10"/>
      <c r="W1123" s="6"/>
    </row>
    <row r="1124" spans="1:23" x14ac:dyDescent="0.2">
      <c r="A1124" s="27"/>
      <c r="B1124" s="25"/>
      <c r="D1124" s="11"/>
      <c r="E1124" s="10"/>
      <c r="O1124" s="10"/>
      <c r="V1124" s="10"/>
      <c r="W1124" s="6"/>
    </row>
    <row r="1125" spans="1:23" x14ac:dyDescent="0.2">
      <c r="A1125" s="27"/>
      <c r="B1125" s="25"/>
      <c r="D1125" s="11"/>
      <c r="E1125" s="10"/>
      <c r="O1125" s="10"/>
      <c r="V1125" s="10"/>
      <c r="W1125" s="6"/>
    </row>
    <row r="1126" spans="1:23" x14ac:dyDescent="0.2">
      <c r="A1126" s="27"/>
      <c r="B1126" s="25"/>
      <c r="D1126" s="11"/>
      <c r="E1126" s="10"/>
      <c r="O1126" s="10"/>
      <c r="V1126" s="10"/>
      <c r="W1126" s="6"/>
    </row>
    <row r="1127" spans="1:23" x14ac:dyDescent="0.2">
      <c r="A1127" s="27"/>
      <c r="B1127" s="25"/>
      <c r="D1127" s="11"/>
      <c r="E1127" s="10"/>
      <c r="O1127" s="10"/>
      <c r="V1127" s="10"/>
      <c r="W1127" s="6"/>
    </row>
    <row r="1128" spans="1:23" x14ac:dyDescent="0.2">
      <c r="A1128" s="27"/>
      <c r="B1128" s="25"/>
      <c r="D1128" s="11"/>
      <c r="E1128" s="10"/>
      <c r="O1128" s="10"/>
      <c r="V1128" s="10"/>
      <c r="W1128" s="6"/>
    </row>
    <row r="1129" spans="1:23" x14ac:dyDescent="0.2">
      <c r="A1129" s="27"/>
      <c r="B1129" s="1"/>
      <c r="D1129" s="11"/>
      <c r="E1129" s="10"/>
      <c r="O1129" s="10"/>
      <c r="V1129" s="10"/>
      <c r="W1129" s="6"/>
    </row>
    <row r="1130" spans="1:23" x14ac:dyDescent="0.2">
      <c r="A1130" s="27"/>
      <c r="B1130" s="25"/>
      <c r="D1130" s="11"/>
      <c r="E1130" s="10"/>
      <c r="O1130" s="10"/>
      <c r="V1130" s="10"/>
      <c r="W1130" s="6"/>
    </row>
    <row r="1131" spans="1:23" x14ac:dyDescent="0.2">
      <c r="A1131" s="27"/>
      <c r="B1131" s="1"/>
      <c r="D1131" s="11"/>
      <c r="E1131" s="10"/>
      <c r="O1131" s="10"/>
      <c r="V1131" s="10"/>
      <c r="W1131" s="6"/>
    </row>
    <row r="1132" spans="1:23" x14ac:dyDescent="0.2">
      <c r="A1132" s="27"/>
      <c r="B1132" s="1"/>
      <c r="D1132" s="11"/>
      <c r="E1132" s="10"/>
      <c r="O1132" s="10"/>
      <c r="V1132" s="10"/>
      <c r="W1132" s="6"/>
    </row>
    <row r="1133" spans="1:23" x14ac:dyDescent="0.2">
      <c r="A1133" s="27"/>
      <c r="B1133" s="25"/>
      <c r="D1133" s="11"/>
      <c r="E1133" s="10"/>
      <c r="O1133" s="10"/>
      <c r="V1133" s="10"/>
      <c r="W1133" s="6"/>
    </row>
    <row r="1134" spans="1:23" x14ac:dyDescent="0.2">
      <c r="A1134" s="27"/>
      <c r="B1134" s="25"/>
      <c r="D1134" s="11"/>
      <c r="E1134" s="10"/>
      <c r="O1134" s="10"/>
      <c r="V1134" s="10"/>
      <c r="W1134" s="6"/>
    </row>
    <row r="1135" spans="1:23" x14ac:dyDescent="0.2">
      <c r="A1135" s="27"/>
      <c r="B1135" s="25"/>
      <c r="D1135" s="11"/>
      <c r="E1135" s="10"/>
      <c r="O1135" s="10"/>
      <c r="V1135" s="10"/>
      <c r="W1135" s="6"/>
    </row>
    <row r="1136" spans="1:23" x14ac:dyDescent="0.2">
      <c r="A1136" s="27"/>
      <c r="B1136" s="25"/>
      <c r="D1136" s="11"/>
      <c r="E1136" s="10"/>
      <c r="O1136" s="10"/>
      <c r="V1136" s="10"/>
      <c r="W1136" s="6"/>
    </row>
    <row r="1137" spans="1:23" x14ac:dyDescent="0.2">
      <c r="A1137" s="27"/>
      <c r="B1137" s="25"/>
      <c r="D1137" s="11"/>
      <c r="E1137" s="10"/>
      <c r="O1137" s="10"/>
      <c r="V1137" s="10"/>
      <c r="W1137" s="6"/>
    </row>
    <row r="1138" spans="1:23" x14ac:dyDescent="0.2">
      <c r="A1138" s="27"/>
      <c r="B1138" s="25"/>
      <c r="D1138" s="11"/>
      <c r="E1138" s="10"/>
      <c r="O1138" s="10"/>
      <c r="V1138" s="10"/>
      <c r="W1138" s="6"/>
    </row>
    <row r="1139" spans="1:23" x14ac:dyDescent="0.2">
      <c r="A1139" s="27"/>
      <c r="B1139" s="25"/>
      <c r="D1139" s="11"/>
      <c r="E1139" s="10"/>
      <c r="O1139" s="10"/>
      <c r="V1139" s="10"/>
      <c r="W1139" s="6"/>
    </row>
    <row r="1140" spans="1:23" x14ac:dyDescent="0.2">
      <c r="A1140" s="27"/>
      <c r="B1140" s="25"/>
      <c r="D1140" s="11"/>
      <c r="E1140" s="10"/>
      <c r="O1140" s="10"/>
      <c r="V1140" s="10"/>
      <c r="W1140" s="6"/>
    </row>
    <row r="1141" spans="1:23" x14ac:dyDescent="0.2">
      <c r="A1141" s="27"/>
      <c r="B1141" s="1"/>
      <c r="D1141" s="11"/>
      <c r="E1141" s="10"/>
      <c r="O1141" s="10"/>
      <c r="V1141" s="10"/>
      <c r="W1141" s="6"/>
    </row>
    <row r="1142" spans="1:23" x14ac:dyDescent="0.2">
      <c r="A1142" s="27"/>
      <c r="B1142" s="1"/>
      <c r="D1142" s="11"/>
      <c r="E1142" s="10"/>
      <c r="O1142" s="10"/>
      <c r="V1142" s="10"/>
      <c r="W1142" s="6"/>
    </row>
    <row r="1143" spans="1:23" x14ac:dyDescent="0.2">
      <c r="A1143" s="27"/>
      <c r="B1143" s="25"/>
      <c r="D1143" s="11"/>
      <c r="E1143" s="10"/>
      <c r="O1143" s="10"/>
      <c r="V1143" s="10"/>
      <c r="W1143" s="6"/>
    </row>
    <row r="1144" spans="1:23" x14ac:dyDescent="0.2">
      <c r="A1144" s="27"/>
      <c r="B1144" s="25"/>
      <c r="D1144" s="11"/>
      <c r="E1144" s="10"/>
      <c r="O1144" s="10"/>
      <c r="V1144" s="10"/>
      <c r="W1144" s="6"/>
    </row>
    <row r="1145" spans="1:23" x14ac:dyDescent="0.2">
      <c r="A1145" s="27"/>
      <c r="B1145" s="25"/>
      <c r="D1145" s="11"/>
      <c r="E1145" s="10"/>
      <c r="O1145" s="10"/>
      <c r="V1145" s="10"/>
      <c r="W1145" s="6"/>
    </row>
    <row r="1146" spans="1:23" x14ac:dyDescent="0.2">
      <c r="A1146" s="27"/>
      <c r="B1146" s="25"/>
      <c r="D1146" s="11"/>
      <c r="E1146" s="10"/>
      <c r="O1146" s="10"/>
      <c r="V1146" s="10"/>
      <c r="W1146" s="6"/>
    </row>
    <row r="1147" spans="1:23" x14ac:dyDescent="0.2">
      <c r="A1147" s="27"/>
      <c r="B1147" s="25"/>
      <c r="D1147" s="11"/>
      <c r="E1147" s="10"/>
      <c r="O1147" s="10"/>
      <c r="V1147" s="10"/>
      <c r="W1147" s="6"/>
    </row>
    <row r="1148" spans="1:23" x14ac:dyDescent="0.2">
      <c r="A1148" s="27"/>
      <c r="B1148" s="25"/>
      <c r="D1148" s="11"/>
      <c r="E1148" s="10"/>
      <c r="O1148" s="10"/>
      <c r="V1148" s="10"/>
      <c r="W1148" s="6"/>
    </row>
    <row r="1149" spans="1:23" x14ac:dyDescent="0.2">
      <c r="A1149" s="27"/>
      <c r="B1149" s="25"/>
      <c r="D1149" s="11"/>
      <c r="E1149" s="10"/>
      <c r="O1149" s="10"/>
      <c r="V1149" s="10"/>
      <c r="W1149" s="6"/>
    </row>
    <row r="1150" spans="1:23" x14ac:dyDescent="0.2">
      <c r="A1150" s="27"/>
      <c r="B1150" s="25"/>
      <c r="D1150" s="11"/>
      <c r="E1150" s="10"/>
      <c r="O1150" s="10"/>
      <c r="V1150" s="10"/>
      <c r="W1150" s="6"/>
    </row>
    <row r="1151" spans="1:23" x14ac:dyDescent="0.2">
      <c r="A1151" s="27"/>
      <c r="B1151" s="25"/>
      <c r="D1151" s="11"/>
      <c r="E1151" s="10"/>
      <c r="O1151" s="10"/>
      <c r="V1151" s="10"/>
      <c r="W1151" s="6"/>
    </row>
    <row r="1152" spans="1:23" x14ac:dyDescent="0.2">
      <c r="A1152" s="27"/>
      <c r="B1152" s="25"/>
      <c r="D1152" s="11"/>
      <c r="E1152" s="10"/>
      <c r="O1152" s="10"/>
      <c r="V1152" s="10"/>
    </row>
    <row r="1153" spans="1:23" x14ac:dyDescent="0.2">
      <c r="A1153" s="27"/>
      <c r="B1153" s="25"/>
      <c r="D1153" s="11"/>
      <c r="E1153" s="10"/>
      <c r="O1153" s="10"/>
      <c r="V1153" s="10"/>
      <c r="W1153" s="6"/>
    </row>
    <row r="1154" spans="1:23" x14ac:dyDescent="0.2">
      <c r="A1154" s="27"/>
      <c r="B1154" s="1"/>
      <c r="D1154" s="11"/>
      <c r="E1154" s="10"/>
      <c r="O1154" s="10"/>
      <c r="V1154" s="10"/>
      <c r="W1154" s="6"/>
    </row>
    <row r="1155" spans="1:23" x14ac:dyDescent="0.2">
      <c r="A1155" s="27"/>
      <c r="B1155" s="25"/>
      <c r="D1155" s="11"/>
      <c r="E1155" s="10"/>
      <c r="O1155" s="10"/>
      <c r="V1155" s="10"/>
      <c r="W1155" s="6"/>
    </row>
    <row r="1156" spans="1:23" x14ac:dyDescent="0.2">
      <c r="A1156" s="27"/>
      <c r="B1156" s="25"/>
      <c r="D1156" s="11"/>
      <c r="E1156" s="10"/>
      <c r="O1156" s="10"/>
      <c r="V1156" s="10"/>
      <c r="W1156" s="6"/>
    </row>
    <row r="1157" spans="1:23" x14ac:dyDescent="0.2">
      <c r="A1157" s="27"/>
      <c r="B1157" s="25"/>
      <c r="D1157" s="11"/>
      <c r="E1157" s="10"/>
      <c r="O1157" s="10"/>
      <c r="V1157" s="10"/>
      <c r="W1157" s="6"/>
    </row>
    <row r="1158" spans="1:23" x14ac:dyDescent="0.2">
      <c r="A1158" s="27"/>
      <c r="B1158" s="25"/>
      <c r="D1158" s="11"/>
      <c r="E1158" s="10"/>
      <c r="O1158" s="10"/>
      <c r="V1158" s="10"/>
      <c r="W1158" s="6"/>
    </row>
    <row r="1159" spans="1:23" x14ac:dyDescent="0.2">
      <c r="A1159" s="27"/>
      <c r="B1159" s="25"/>
      <c r="D1159" s="11"/>
      <c r="E1159" s="10"/>
      <c r="O1159" s="10"/>
      <c r="V1159" s="10"/>
      <c r="W1159" s="6"/>
    </row>
    <row r="1160" spans="1:23" x14ac:dyDescent="0.2">
      <c r="A1160" s="27"/>
      <c r="B1160" s="25"/>
      <c r="D1160" s="11"/>
      <c r="E1160" s="10"/>
      <c r="O1160" s="10"/>
      <c r="V1160" s="10"/>
      <c r="W1160" s="6"/>
    </row>
    <row r="1161" spans="1:23" x14ac:dyDescent="0.2">
      <c r="A1161" s="27"/>
      <c r="B1161" s="25"/>
      <c r="D1161" s="11"/>
      <c r="E1161" s="10"/>
      <c r="O1161" s="10"/>
      <c r="V1161" s="10"/>
      <c r="W1161" s="6"/>
    </row>
    <row r="1162" spans="1:23" x14ac:dyDescent="0.2">
      <c r="A1162" s="27"/>
      <c r="B1162" s="25"/>
      <c r="D1162" s="11"/>
      <c r="E1162" s="10"/>
      <c r="O1162" s="10"/>
      <c r="V1162" s="10"/>
      <c r="W1162" s="6"/>
    </row>
    <row r="1163" spans="1:23" x14ac:dyDescent="0.2">
      <c r="A1163" s="27"/>
      <c r="B1163" s="25"/>
      <c r="D1163" s="11"/>
      <c r="E1163" s="10"/>
      <c r="O1163" s="10"/>
      <c r="V1163" s="10"/>
      <c r="W1163" s="6"/>
    </row>
    <row r="1164" spans="1:23" x14ac:dyDescent="0.2">
      <c r="A1164" s="27"/>
      <c r="B1164" s="25"/>
      <c r="D1164" s="11"/>
      <c r="E1164" s="10"/>
      <c r="O1164" s="10"/>
      <c r="V1164" s="10"/>
      <c r="W1164" s="6"/>
    </row>
    <row r="1165" spans="1:23" x14ac:dyDescent="0.2">
      <c r="A1165" s="27"/>
      <c r="B1165" s="25"/>
      <c r="D1165" s="11"/>
      <c r="E1165" s="10"/>
      <c r="O1165" s="10"/>
      <c r="V1165" s="10"/>
      <c r="W1165" s="6"/>
    </row>
    <row r="1166" spans="1:23" x14ac:dyDescent="0.2">
      <c r="A1166" s="27"/>
      <c r="B1166" s="25"/>
      <c r="D1166" s="11"/>
      <c r="E1166" s="10"/>
      <c r="O1166" s="10"/>
      <c r="V1166" s="10"/>
      <c r="W1166" s="6"/>
    </row>
    <row r="1167" spans="1:23" x14ac:dyDescent="0.2">
      <c r="A1167" s="27"/>
      <c r="B1167" s="25"/>
      <c r="D1167" s="11"/>
      <c r="E1167" s="10"/>
      <c r="O1167" s="10"/>
      <c r="V1167" s="10"/>
      <c r="W1167" s="6"/>
    </row>
    <row r="1168" spans="1:23" x14ac:dyDescent="0.2">
      <c r="A1168" s="27"/>
      <c r="B1168" s="25"/>
      <c r="D1168" s="11"/>
      <c r="E1168" s="10"/>
      <c r="O1168" s="10"/>
      <c r="V1168" s="10"/>
      <c r="W1168" s="6"/>
    </row>
    <row r="1169" spans="1:23" x14ac:dyDescent="0.2">
      <c r="A1169" s="27"/>
      <c r="B1169" s="25"/>
      <c r="D1169" s="11"/>
      <c r="E1169" s="10"/>
      <c r="O1169" s="10"/>
      <c r="V1169" s="10"/>
      <c r="W1169" s="6"/>
    </row>
    <row r="1170" spans="1:23" x14ac:dyDescent="0.2">
      <c r="A1170" s="27"/>
      <c r="B1170" s="25"/>
      <c r="D1170" s="11"/>
      <c r="E1170" s="10"/>
      <c r="O1170" s="10"/>
      <c r="V1170" s="10"/>
      <c r="W1170" s="6"/>
    </row>
    <row r="1171" spans="1:23" x14ac:dyDescent="0.2">
      <c r="A1171" s="27"/>
      <c r="B1171" s="25"/>
      <c r="D1171" s="11"/>
      <c r="E1171" s="10"/>
      <c r="O1171" s="10"/>
      <c r="V1171" s="10"/>
    </row>
    <row r="1172" spans="1:23" x14ac:dyDescent="0.2">
      <c r="A1172" s="27"/>
      <c r="B1172" s="1"/>
      <c r="D1172" s="11"/>
      <c r="E1172" s="10"/>
      <c r="O1172" s="10"/>
      <c r="V1172" s="10"/>
      <c r="W1172" s="6"/>
    </row>
    <row r="1173" spans="1:23" x14ac:dyDescent="0.2">
      <c r="A1173" s="27"/>
      <c r="B1173" s="25"/>
      <c r="D1173" s="11"/>
      <c r="E1173" s="10"/>
      <c r="O1173" s="10"/>
      <c r="V1173" s="10"/>
      <c r="W1173" s="6"/>
    </row>
    <row r="1174" spans="1:23" x14ac:dyDescent="0.2">
      <c r="A1174" s="27"/>
      <c r="B1174" s="25"/>
      <c r="D1174" s="11"/>
      <c r="E1174" s="10"/>
      <c r="O1174" s="10"/>
      <c r="V1174" s="10"/>
      <c r="W1174" s="6"/>
    </row>
    <row r="1175" spans="1:23" x14ac:dyDescent="0.2">
      <c r="A1175" s="27"/>
      <c r="B1175" s="25"/>
      <c r="D1175" s="11"/>
      <c r="E1175" s="10"/>
      <c r="O1175" s="10"/>
      <c r="V1175" s="10"/>
      <c r="W1175" s="6"/>
    </row>
    <row r="1176" spans="1:23" x14ac:dyDescent="0.2">
      <c r="A1176" s="27"/>
      <c r="B1176" s="25"/>
      <c r="D1176" s="11"/>
      <c r="E1176" s="10"/>
      <c r="O1176" s="10"/>
      <c r="V1176" s="10"/>
      <c r="W1176" s="6"/>
    </row>
    <row r="1177" spans="1:23" x14ac:dyDescent="0.2">
      <c r="A1177" s="27"/>
      <c r="B1177" s="25"/>
      <c r="D1177" s="11"/>
      <c r="E1177" s="10"/>
      <c r="O1177" s="10"/>
      <c r="V1177" s="10"/>
      <c r="W1177" s="6"/>
    </row>
    <row r="1178" spans="1:23" x14ac:dyDescent="0.2">
      <c r="A1178" s="27"/>
      <c r="B1178" s="25"/>
      <c r="D1178" s="11"/>
      <c r="E1178" s="10"/>
      <c r="O1178" s="10"/>
      <c r="V1178" s="10"/>
      <c r="W1178" s="6"/>
    </row>
    <row r="1179" spans="1:23" x14ac:dyDescent="0.2">
      <c r="A1179" s="27"/>
      <c r="B1179" s="25"/>
      <c r="D1179" s="11"/>
      <c r="E1179" s="10"/>
      <c r="O1179" s="10"/>
      <c r="V1179" s="10"/>
      <c r="W1179" s="6"/>
    </row>
    <row r="1180" spans="1:23" x14ac:dyDescent="0.2">
      <c r="A1180" s="27"/>
      <c r="B1180" s="25"/>
      <c r="D1180" s="11"/>
      <c r="E1180" s="10"/>
      <c r="O1180" s="10"/>
      <c r="V1180" s="10"/>
      <c r="W1180" s="6"/>
    </row>
    <row r="1181" spans="1:23" x14ac:dyDescent="0.2">
      <c r="A1181" s="27"/>
      <c r="B1181" s="1"/>
      <c r="D1181" s="11"/>
      <c r="E1181" s="10"/>
      <c r="O1181" s="10"/>
      <c r="V1181" s="10"/>
      <c r="W1181" s="6"/>
    </row>
    <row r="1182" spans="1:23" x14ac:dyDescent="0.2">
      <c r="A1182" s="27"/>
      <c r="B1182" s="25"/>
      <c r="D1182" s="11"/>
      <c r="E1182" s="10"/>
      <c r="O1182" s="10"/>
      <c r="V1182" s="10"/>
      <c r="W1182" s="6"/>
    </row>
    <row r="1183" spans="1:23" x14ac:dyDescent="0.2">
      <c r="A1183" s="27"/>
      <c r="B1183" s="25"/>
      <c r="D1183" s="11"/>
      <c r="E1183" s="10"/>
      <c r="O1183" s="10"/>
      <c r="V1183" s="10"/>
      <c r="W1183" s="6"/>
    </row>
    <row r="1184" spans="1:23" x14ac:dyDescent="0.2">
      <c r="A1184" s="27"/>
      <c r="B1184" s="1"/>
      <c r="D1184" s="11"/>
      <c r="E1184" s="10"/>
      <c r="O1184" s="10"/>
      <c r="V1184" s="10"/>
      <c r="W1184" s="6"/>
    </row>
    <row r="1185" spans="1:23" x14ac:dyDescent="0.2">
      <c r="A1185" s="27"/>
      <c r="B1185" s="25"/>
      <c r="D1185" s="11"/>
      <c r="E1185" s="10"/>
      <c r="O1185" s="10"/>
      <c r="V1185" s="10"/>
      <c r="W1185" s="6"/>
    </row>
    <row r="1186" spans="1:23" x14ac:dyDescent="0.2">
      <c r="A1186" s="27"/>
      <c r="B1186" s="25"/>
      <c r="D1186" s="11"/>
      <c r="E1186" s="10"/>
      <c r="O1186" s="10"/>
      <c r="V1186" s="10"/>
      <c r="W1186" s="6"/>
    </row>
    <row r="1187" spans="1:23" x14ac:dyDescent="0.2">
      <c r="A1187" s="27"/>
      <c r="B1187" s="25"/>
      <c r="D1187" s="11"/>
      <c r="E1187" s="10"/>
      <c r="O1187" s="10"/>
      <c r="V1187" s="10"/>
      <c r="W1187" s="6"/>
    </row>
    <row r="1188" spans="1:23" x14ac:dyDescent="0.2">
      <c r="A1188" s="27"/>
      <c r="B1188" s="25"/>
      <c r="D1188" s="11"/>
      <c r="E1188" s="10"/>
      <c r="O1188" s="10"/>
      <c r="V1188" s="10"/>
      <c r="W1188" s="6"/>
    </row>
    <row r="1189" spans="1:23" x14ac:dyDescent="0.2">
      <c r="A1189" s="27"/>
      <c r="B1189" s="25"/>
      <c r="D1189" s="11"/>
      <c r="E1189" s="10"/>
      <c r="O1189" s="10"/>
      <c r="V1189" s="10"/>
      <c r="W1189" s="6"/>
    </row>
    <row r="1190" spans="1:23" x14ac:dyDescent="0.2">
      <c r="A1190" s="27"/>
      <c r="B1190" s="25"/>
      <c r="D1190" s="11"/>
      <c r="E1190" s="10"/>
      <c r="O1190" s="10"/>
      <c r="V1190" s="10"/>
      <c r="W1190" s="6"/>
    </row>
    <row r="1191" spans="1:23" x14ac:dyDescent="0.2">
      <c r="A1191" s="27"/>
      <c r="B1191" s="25"/>
      <c r="D1191" s="11"/>
      <c r="E1191" s="10"/>
      <c r="O1191" s="10"/>
      <c r="V1191" s="10"/>
      <c r="W1191" s="6"/>
    </row>
    <row r="1192" spans="1:23" x14ac:dyDescent="0.2">
      <c r="A1192" s="27"/>
      <c r="B1192" s="25"/>
      <c r="D1192" s="11"/>
      <c r="E1192" s="10"/>
      <c r="O1192" s="10"/>
      <c r="V1192" s="10"/>
      <c r="W1192" s="6"/>
    </row>
    <row r="1193" spans="1:23" x14ac:dyDescent="0.2">
      <c r="A1193" s="27"/>
      <c r="B1193" s="25"/>
      <c r="D1193" s="11"/>
      <c r="E1193" s="10"/>
      <c r="O1193" s="10"/>
      <c r="V1193" s="10"/>
      <c r="W1193" s="6"/>
    </row>
    <row r="1194" spans="1:23" x14ac:dyDescent="0.2">
      <c r="A1194" s="27"/>
      <c r="B1194" s="25"/>
      <c r="D1194" s="11"/>
      <c r="E1194" s="10"/>
      <c r="O1194" s="10"/>
      <c r="V1194" s="10"/>
      <c r="W1194" s="6"/>
    </row>
    <row r="1195" spans="1:23" x14ac:dyDescent="0.2">
      <c r="A1195" s="27"/>
      <c r="B1195" s="25"/>
      <c r="D1195" s="11"/>
      <c r="E1195" s="10"/>
      <c r="O1195" s="10"/>
      <c r="V1195" s="10"/>
      <c r="W1195" s="6"/>
    </row>
    <row r="1196" spans="1:23" x14ac:dyDescent="0.2">
      <c r="A1196" s="27"/>
      <c r="B1196" s="1"/>
      <c r="D1196" s="11"/>
      <c r="E1196" s="10"/>
      <c r="O1196" s="10"/>
      <c r="V1196" s="10"/>
      <c r="W1196" s="6"/>
    </row>
    <row r="1197" spans="1:23" x14ac:dyDescent="0.2">
      <c r="A1197" s="27"/>
      <c r="B1197" s="25"/>
      <c r="D1197" s="11"/>
      <c r="E1197" s="10"/>
      <c r="O1197" s="10"/>
      <c r="V1197" s="10"/>
      <c r="W1197" s="6"/>
    </row>
    <row r="1198" spans="1:23" x14ac:dyDescent="0.2">
      <c r="A1198" s="27"/>
      <c r="B1198" s="25"/>
      <c r="D1198" s="11"/>
      <c r="E1198" s="10"/>
      <c r="O1198" s="10"/>
      <c r="V1198" s="10"/>
      <c r="W1198" s="6"/>
    </row>
    <row r="1199" spans="1:23" x14ac:dyDescent="0.2">
      <c r="A1199" s="27"/>
      <c r="B1199" s="25"/>
      <c r="D1199" s="11"/>
      <c r="E1199" s="10"/>
      <c r="O1199" s="10"/>
      <c r="V1199" s="10"/>
      <c r="W1199" s="6"/>
    </row>
    <row r="1200" spans="1:23" x14ac:dyDescent="0.2">
      <c r="A1200" s="27"/>
      <c r="B1200" s="25"/>
      <c r="D1200" s="11"/>
      <c r="E1200" s="10"/>
      <c r="O1200" s="10"/>
      <c r="V1200" s="10"/>
      <c r="W1200" s="6"/>
    </row>
    <row r="1201" spans="1:23" x14ac:dyDescent="0.2">
      <c r="A1201" s="27"/>
      <c r="B1201" s="1"/>
      <c r="D1201" s="11"/>
      <c r="E1201" s="10"/>
      <c r="O1201" s="10"/>
      <c r="V1201" s="10"/>
      <c r="W1201" s="6"/>
    </row>
    <row r="1202" spans="1:23" x14ac:dyDescent="0.2">
      <c r="A1202" s="27"/>
      <c r="B1202" s="1"/>
      <c r="D1202" s="11"/>
      <c r="E1202" s="10"/>
      <c r="O1202" s="10"/>
      <c r="V1202" s="10"/>
      <c r="W1202" s="6"/>
    </row>
    <row r="1203" spans="1:23" x14ac:dyDescent="0.2">
      <c r="A1203" s="27"/>
      <c r="B1203" s="25"/>
      <c r="D1203" s="11"/>
      <c r="E1203" s="10"/>
      <c r="O1203" s="10"/>
      <c r="V1203" s="10"/>
      <c r="W1203" s="6"/>
    </row>
    <row r="1204" spans="1:23" x14ac:dyDescent="0.2">
      <c r="A1204" s="27"/>
      <c r="B1204" s="25"/>
      <c r="D1204" s="11"/>
      <c r="E1204" s="10"/>
      <c r="O1204" s="10"/>
      <c r="V1204" s="10"/>
      <c r="W1204" s="6"/>
    </row>
    <row r="1205" spans="1:23" x14ac:dyDescent="0.2">
      <c r="A1205" s="27"/>
      <c r="B1205" s="25"/>
      <c r="D1205" s="11"/>
      <c r="E1205" s="10"/>
      <c r="O1205" s="10"/>
      <c r="V1205" s="10"/>
      <c r="W1205" s="6"/>
    </row>
    <row r="1206" spans="1:23" x14ac:dyDescent="0.2">
      <c r="A1206" s="27"/>
      <c r="B1206" s="25"/>
      <c r="D1206" s="11"/>
      <c r="E1206" s="10"/>
      <c r="O1206" s="10"/>
      <c r="V1206" s="10"/>
      <c r="W1206" s="6"/>
    </row>
    <row r="1207" spans="1:23" x14ac:dyDescent="0.2">
      <c r="A1207" s="27"/>
      <c r="B1207" s="1"/>
      <c r="D1207" s="11"/>
      <c r="E1207" s="10"/>
      <c r="O1207" s="10"/>
      <c r="V1207" s="10"/>
      <c r="W1207" s="6"/>
    </row>
    <row r="1208" spans="1:23" x14ac:dyDescent="0.2">
      <c r="A1208" s="27"/>
      <c r="B1208" s="25"/>
      <c r="D1208" s="11"/>
      <c r="E1208" s="10"/>
      <c r="O1208" s="10"/>
      <c r="V1208" s="10"/>
      <c r="W1208" s="6"/>
    </row>
    <row r="1209" spans="1:23" x14ac:dyDescent="0.2">
      <c r="A1209" s="27"/>
      <c r="B1209" s="1"/>
      <c r="D1209" s="11"/>
      <c r="E1209" s="10"/>
      <c r="O1209" s="10"/>
      <c r="V1209" s="10"/>
    </row>
    <row r="1210" spans="1:23" x14ac:dyDescent="0.2">
      <c r="A1210" s="27"/>
      <c r="B1210" s="1"/>
      <c r="D1210" s="11"/>
      <c r="E1210" s="10"/>
      <c r="O1210" s="10"/>
      <c r="V1210" s="10"/>
      <c r="W1210" s="6"/>
    </row>
    <row r="1211" spans="1:23" x14ac:dyDescent="0.2">
      <c r="A1211" s="27"/>
      <c r="B1211" s="1"/>
      <c r="D1211" s="11"/>
      <c r="E1211" s="10"/>
      <c r="O1211" s="10"/>
      <c r="V1211" s="10"/>
      <c r="W1211" s="6"/>
    </row>
    <row r="1212" spans="1:23" x14ac:dyDescent="0.2">
      <c r="A1212" s="27"/>
      <c r="B1212" s="25"/>
      <c r="D1212" s="11"/>
      <c r="E1212" s="10"/>
      <c r="O1212" s="10"/>
      <c r="V1212" s="10"/>
      <c r="W1212" s="6"/>
    </row>
    <row r="1213" spans="1:23" x14ac:dyDescent="0.2">
      <c r="A1213" s="27"/>
      <c r="B1213" s="25"/>
      <c r="D1213" s="11"/>
      <c r="E1213" s="10"/>
      <c r="O1213" s="10"/>
      <c r="V1213" s="10"/>
      <c r="W1213" s="6"/>
    </row>
    <row r="1214" spans="1:23" x14ac:dyDescent="0.2">
      <c r="A1214" s="27"/>
      <c r="B1214" s="25"/>
      <c r="D1214" s="11"/>
      <c r="E1214" s="10"/>
      <c r="O1214" s="10"/>
      <c r="V1214" s="10"/>
      <c r="W1214" s="6"/>
    </row>
    <row r="1215" spans="1:23" x14ac:dyDescent="0.2">
      <c r="A1215" s="27"/>
      <c r="B1215" s="25"/>
      <c r="D1215" s="11"/>
      <c r="E1215" s="10"/>
      <c r="O1215" s="10"/>
      <c r="V1215" s="10"/>
      <c r="W1215" s="6"/>
    </row>
    <row r="1216" spans="1:23" x14ac:dyDescent="0.2">
      <c r="A1216" s="27"/>
      <c r="B1216" s="1"/>
      <c r="D1216" s="11"/>
      <c r="E1216" s="10"/>
      <c r="O1216" s="10"/>
      <c r="V1216" s="10"/>
      <c r="W1216" s="6"/>
    </row>
    <row r="1217" spans="1:23" x14ac:dyDescent="0.2">
      <c r="A1217" s="27"/>
      <c r="B1217" s="25"/>
      <c r="D1217" s="11"/>
      <c r="E1217" s="10"/>
      <c r="O1217" s="10"/>
      <c r="V1217" s="10"/>
      <c r="W1217" s="6"/>
    </row>
    <row r="1218" spans="1:23" x14ac:dyDescent="0.2">
      <c r="A1218" s="27"/>
      <c r="B1218" s="25"/>
      <c r="D1218" s="11"/>
      <c r="E1218" s="10"/>
      <c r="O1218" s="10"/>
      <c r="V1218" s="10"/>
      <c r="W1218" s="6"/>
    </row>
    <row r="1219" spans="1:23" x14ac:dyDescent="0.2">
      <c r="A1219" s="27"/>
      <c r="B1219" s="25"/>
      <c r="D1219" s="11"/>
      <c r="E1219" s="10"/>
      <c r="O1219" s="10"/>
      <c r="V1219" s="10"/>
      <c r="W1219" s="6"/>
    </row>
    <row r="1220" spans="1:23" x14ac:dyDescent="0.2">
      <c r="A1220" s="27"/>
      <c r="B1220" s="1"/>
      <c r="D1220" s="11"/>
      <c r="E1220" s="10"/>
      <c r="O1220" s="10"/>
      <c r="V1220" s="10"/>
      <c r="W1220" s="6"/>
    </row>
    <row r="1221" spans="1:23" x14ac:dyDescent="0.2">
      <c r="A1221" s="27"/>
      <c r="B1221" s="25"/>
      <c r="D1221" s="11"/>
      <c r="E1221" s="10"/>
      <c r="O1221" s="10"/>
      <c r="V1221" s="10"/>
      <c r="W1221" s="6"/>
    </row>
    <row r="1222" spans="1:23" x14ac:dyDescent="0.2">
      <c r="A1222" s="27"/>
      <c r="B1222" s="1"/>
      <c r="D1222" s="11"/>
      <c r="E1222" s="10"/>
      <c r="O1222" s="10"/>
      <c r="V1222" s="10"/>
      <c r="W1222" s="6"/>
    </row>
    <row r="1223" spans="1:23" x14ac:dyDescent="0.2">
      <c r="A1223" s="27"/>
      <c r="B1223" s="1"/>
      <c r="D1223" s="11"/>
      <c r="E1223" s="10"/>
      <c r="O1223" s="10"/>
      <c r="V1223" s="10"/>
      <c r="W1223" s="6"/>
    </row>
    <row r="1224" spans="1:23" x14ac:dyDescent="0.2">
      <c r="A1224" s="27"/>
      <c r="B1224" s="25"/>
      <c r="D1224" s="11"/>
      <c r="E1224" s="10"/>
      <c r="O1224" s="10"/>
      <c r="V1224" s="10"/>
      <c r="W1224" s="6"/>
    </row>
    <row r="1225" spans="1:23" x14ac:dyDescent="0.2">
      <c r="A1225" s="27"/>
      <c r="B1225" s="25"/>
      <c r="D1225" s="11"/>
      <c r="E1225" s="10"/>
      <c r="O1225" s="10"/>
      <c r="V1225" s="10"/>
      <c r="W1225" s="6"/>
    </row>
    <row r="1226" spans="1:23" x14ac:dyDescent="0.2">
      <c r="A1226" s="27"/>
      <c r="B1226" s="25"/>
      <c r="D1226" s="11"/>
      <c r="E1226" s="10"/>
      <c r="O1226" s="10"/>
      <c r="V1226" s="10"/>
      <c r="W1226" s="6"/>
    </row>
    <row r="1227" spans="1:23" x14ac:dyDescent="0.2">
      <c r="A1227" s="27"/>
      <c r="B1227" s="25"/>
      <c r="D1227" s="11"/>
      <c r="E1227" s="10"/>
      <c r="O1227" s="10"/>
      <c r="V1227" s="10"/>
      <c r="W1227" s="6"/>
    </row>
    <row r="1228" spans="1:23" x14ac:dyDescent="0.2">
      <c r="A1228" s="27"/>
      <c r="B1228" s="25"/>
      <c r="D1228" s="11"/>
      <c r="E1228" s="10"/>
      <c r="O1228" s="10"/>
      <c r="V1228" s="10"/>
      <c r="W1228" s="6"/>
    </row>
    <row r="1229" spans="1:23" x14ac:dyDescent="0.2">
      <c r="A1229" s="27"/>
      <c r="B1229" s="25"/>
      <c r="D1229" s="11"/>
      <c r="E1229" s="10"/>
      <c r="O1229" s="10"/>
      <c r="V1229" s="10"/>
      <c r="W1229" s="6"/>
    </row>
    <row r="1230" spans="1:23" x14ac:dyDescent="0.2">
      <c r="A1230" s="27"/>
      <c r="B1230" s="1"/>
      <c r="D1230" s="11"/>
      <c r="E1230" s="10"/>
      <c r="O1230" s="10"/>
      <c r="V1230" s="10"/>
      <c r="W1230" s="6"/>
    </row>
    <row r="1231" spans="1:23" x14ac:dyDescent="0.2">
      <c r="A1231" s="27"/>
      <c r="B1231" s="25"/>
      <c r="D1231" s="11"/>
      <c r="E1231" s="10"/>
      <c r="O1231" s="10"/>
      <c r="V1231" s="10"/>
      <c r="W1231" s="6"/>
    </row>
    <row r="1232" spans="1:23" x14ac:dyDescent="0.2">
      <c r="A1232" s="27"/>
      <c r="B1232" s="25"/>
      <c r="D1232" s="11"/>
      <c r="E1232" s="10"/>
      <c r="O1232" s="10"/>
      <c r="V1232" s="10"/>
      <c r="W1232" s="6"/>
    </row>
    <row r="1233" spans="1:23" x14ac:dyDescent="0.2">
      <c r="A1233" s="27"/>
      <c r="B1233" s="25"/>
      <c r="D1233" s="11"/>
      <c r="E1233" s="10"/>
      <c r="O1233" s="10"/>
      <c r="V1233" s="10"/>
      <c r="W1233" s="6"/>
    </row>
    <row r="1234" spans="1:23" x14ac:dyDescent="0.2">
      <c r="A1234" s="27"/>
      <c r="B1234" s="25"/>
      <c r="D1234" s="11"/>
      <c r="E1234" s="10"/>
      <c r="O1234" s="10"/>
      <c r="V1234" s="10"/>
      <c r="W1234" s="6"/>
    </row>
    <row r="1235" spans="1:23" x14ac:dyDescent="0.2">
      <c r="A1235" s="27"/>
      <c r="B1235" s="25"/>
      <c r="D1235" s="11"/>
      <c r="E1235" s="10"/>
      <c r="O1235" s="10"/>
      <c r="V1235" s="10"/>
      <c r="W1235" s="6"/>
    </row>
    <row r="1236" spans="1:23" x14ac:dyDescent="0.2">
      <c r="A1236" s="27"/>
      <c r="B1236" s="25"/>
      <c r="D1236" s="11"/>
      <c r="E1236" s="10"/>
      <c r="O1236" s="10"/>
      <c r="V1236" s="10"/>
      <c r="W1236" s="6"/>
    </row>
    <row r="1237" spans="1:23" x14ac:dyDescent="0.2">
      <c r="A1237" s="27"/>
      <c r="B1237" s="25"/>
      <c r="D1237" s="11"/>
      <c r="E1237" s="10"/>
      <c r="O1237" s="10"/>
      <c r="V1237" s="10"/>
      <c r="W1237" s="6"/>
    </row>
    <row r="1238" spans="1:23" x14ac:dyDescent="0.2">
      <c r="A1238" s="27"/>
      <c r="B1238" s="25"/>
      <c r="D1238" s="11"/>
      <c r="E1238" s="10"/>
      <c r="O1238" s="10"/>
      <c r="V1238" s="10"/>
      <c r="W1238" s="6"/>
    </row>
    <row r="1239" spans="1:23" x14ac:dyDescent="0.2">
      <c r="A1239" s="27"/>
      <c r="B1239" s="25"/>
      <c r="D1239" s="11"/>
      <c r="E1239" s="10"/>
      <c r="O1239" s="10"/>
      <c r="V1239" s="10"/>
      <c r="W1239" s="6"/>
    </row>
    <row r="1240" spans="1:23" x14ac:dyDescent="0.2">
      <c r="A1240" s="27"/>
      <c r="B1240" s="25"/>
      <c r="D1240" s="11"/>
      <c r="E1240" s="10"/>
      <c r="O1240" s="10"/>
      <c r="V1240" s="10"/>
      <c r="W1240" s="6"/>
    </row>
    <row r="1241" spans="1:23" x14ac:dyDescent="0.2">
      <c r="A1241" s="27"/>
      <c r="B1241" s="25"/>
      <c r="D1241" s="11"/>
      <c r="E1241" s="10"/>
      <c r="O1241" s="10"/>
      <c r="V1241" s="10"/>
      <c r="W1241" s="6"/>
    </row>
    <row r="1242" spans="1:23" x14ac:dyDescent="0.2">
      <c r="A1242" s="27"/>
      <c r="B1242" s="25"/>
      <c r="D1242" s="11"/>
      <c r="E1242" s="10"/>
      <c r="O1242" s="10"/>
      <c r="V1242" s="10"/>
      <c r="W1242" s="6"/>
    </row>
    <row r="1243" spans="1:23" x14ac:dyDescent="0.2">
      <c r="A1243" s="27"/>
      <c r="B1243" s="25"/>
      <c r="D1243" s="11"/>
      <c r="E1243" s="10"/>
      <c r="O1243" s="10"/>
      <c r="V1243" s="10"/>
      <c r="W1243" s="6"/>
    </row>
    <row r="1244" spans="1:23" x14ac:dyDescent="0.2">
      <c r="A1244" s="27"/>
      <c r="B1244" s="1"/>
      <c r="D1244" s="11"/>
      <c r="E1244" s="10"/>
      <c r="O1244" s="10"/>
      <c r="V1244" s="10"/>
      <c r="W1244" s="6"/>
    </row>
    <row r="1245" spans="1:23" x14ac:dyDescent="0.2">
      <c r="A1245" s="27"/>
      <c r="B1245" s="25"/>
      <c r="D1245" s="11"/>
      <c r="E1245" s="10"/>
      <c r="O1245" s="10"/>
      <c r="V1245" s="10"/>
      <c r="W1245" s="6"/>
    </row>
    <row r="1246" spans="1:23" x14ac:dyDescent="0.2">
      <c r="A1246" s="27"/>
      <c r="B1246" s="25"/>
      <c r="D1246" s="11"/>
      <c r="E1246" s="10"/>
      <c r="O1246" s="10"/>
      <c r="V1246" s="10"/>
      <c r="W1246" s="6"/>
    </row>
    <row r="1247" spans="1:23" x14ac:dyDescent="0.2">
      <c r="A1247" s="27"/>
      <c r="B1247" s="25"/>
      <c r="D1247" s="11"/>
      <c r="E1247" s="10"/>
      <c r="O1247" s="10"/>
      <c r="V1247" s="10"/>
      <c r="W1247" s="6"/>
    </row>
    <row r="1248" spans="1:23" x14ac:dyDescent="0.2">
      <c r="A1248" s="27"/>
      <c r="B1248" s="25"/>
      <c r="D1248" s="11"/>
      <c r="E1248" s="10"/>
      <c r="O1248" s="10"/>
      <c r="V1248" s="10"/>
      <c r="W1248" s="6"/>
    </row>
    <row r="1249" spans="1:23" x14ac:dyDescent="0.2">
      <c r="A1249" s="27"/>
      <c r="B1249" s="25"/>
      <c r="D1249" s="11"/>
      <c r="E1249" s="10"/>
      <c r="O1249" s="10"/>
      <c r="V1249" s="10"/>
      <c r="W1249" s="6"/>
    </row>
    <row r="1250" spans="1:23" x14ac:dyDescent="0.2">
      <c r="A1250" s="27"/>
      <c r="B1250" s="25"/>
      <c r="D1250" s="11"/>
      <c r="E1250" s="10"/>
      <c r="O1250" s="10"/>
      <c r="V1250" s="10"/>
      <c r="W1250" s="6"/>
    </row>
    <row r="1251" spans="1:23" x14ac:dyDescent="0.2">
      <c r="A1251" s="27"/>
      <c r="B1251" s="25"/>
      <c r="D1251" s="11"/>
      <c r="E1251" s="10"/>
      <c r="O1251" s="10"/>
      <c r="V1251" s="10"/>
      <c r="W1251" s="6"/>
    </row>
    <row r="1252" spans="1:23" x14ac:dyDescent="0.2">
      <c r="A1252" s="27"/>
      <c r="B1252" s="1"/>
      <c r="D1252" s="11"/>
      <c r="E1252" s="10"/>
      <c r="O1252" s="10"/>
      <c r="V1252" s="10"/>
      <c r="W1252" s="6"/>
    </row>
    <row r="1253" spans="1:23" x14ac:dyDescent="0.2">
      <c r="A1253" s="27"/>
      <c r="B1253" s="1"/>
      <c r="D1253" s="11"/>
      <c r="E1253" s="10"/>
      <c r="O1253" s="10"/>
      <c r="V1253" s="10"/>
      <c r="W1253" s="6"/>
    </row>
    <row r="1254" spans="1:23" x14ac:dyDescent="0.2">
      <c r="A1254" s="27"/>
      <c r="B1254" s="25"/>
      <c r="D1254" s="11"/>
      <c r="E1254" s="10"/>
      <c r="O1254" s="10"/>
      <c r="V1254" s="10"/>
      <c r="W1254" s="6"/>
    </row>
    <row r="1255" spans="1:23" x14ac:dyDescent="0.2">
      <c r="A1255" s="27"/>
      <c r="B1255" s="25"/>
      <c r="D1255" s="11"/>
      <c r="E1255" s="10"/>
      <c r="O1255" s="10"/>
      <c r="V1255" s="10"/>
      <c r="W1255" s="6"/>
    </row>
    <row r="1256" spans="1:23" x14ac:dyDescent="0.2">
      <c r="A1256" s="27"/>
      <c r="B1256" s="25"/>
      <c r="D1256" s="11"/>
      <c r="E1256" s="10"/>
      <c r="O1256" s="10"/>
      <c r="V1256" s="10"/>
      <c r="W1256" s="6"/>
    </row>
    <row r="1257" spans="1:23" x14ac:dyDescent="0.2">
      <c r="A1257" s="27"/>
      <c r="B1257" s="25"/>
      <c r="D1257" s="11"/>
      <c r="E1257" s="10"/>
      <c r="O1257" s="10"/>
      <c r="V1257" s="10"/>
      <c r="W1257" s="6"/>
    </row>
    <row r="1258" spans="1:23" x14ac:dyDescent="0.2">
      <c r="A1258" s="27"/>
      <c r="B1258" s="25"/>
      <c r="D1258" s="11"/>
      <c r="E1258" s="10"/>
      <c r="O1258" s="10"/>
      <c r="V1258" s="10"/>
      <c r="W1258" s="6"/>
    </row>
    <row r="1259" spans="1:23" x14ac:dyDescent="0.2">
      <c r="A1259" s="27"/>
      <c r="B1259" s="25"/>
      <c r="D1259" s="11"/>
      <c r="E1259" s="10"/>
      <c r="O1259" s="10"/>
      <c r="V1259" s="10"/>
      <c r="W1259" s="6"/>
    </row>
    <row r="1260" spans="1:23" x14ac:dyDescent="0.2">
      <c r="A1260" s="27"/>
      <c r="B1260" s="25"/>
      <c r="D1260" s="11"/>
      <c r="E1260" s="10"/>
      <c r="O1260" s="10"/>
      <c r="V1260" s="10"/>
      <c r="W1260" s="6"/>
    </row>
    <row r="1261" spans="1:23" x14ac:dyDescent="0.2">
      <c r="A1261" s="27"/>
      <c r="B1261" s="25"/>
      <c r="D1261" s="11"/>
      <c r="E1261" s="10"/>
      <c r="O1261" s="10"/>
      <c r="V1261" s="10"/>
      <c r="W1261" s="6"/>
    </row>
    <row r="1262" spans="1:23" x14ac:dyDescent="0.2">
      <c r="A1262" s="27"/>
      <c r="B1262" s="1"/>
      <c r="D1262" s="11"/>
      <c r="E1262" s="10"/>
      <c r="O1262" s="10"/>
      <c r="V1262" s="10"/>
      <c r="W1262" s="6"/>
    </row>
    <row r="1263" spans="1:23" x14ac:dyDescent="0.2">
      <c r="A1263" s="27"/>
      <c r="B1263" s="25"/>
      <c r="D1263" s="11"/>
      <c r="E1263" s="10"/>
      <c r="O1263" s="10"/>
      <c r="V1263" s="10"/>
      <c r="W1263" s="6"/>
    </row>
    <row r="1264" spans="1:23" x14ac:dyDescent="0.2">
      <c r="A1264" s="27"/>
      <c r="B1264" s="25"/>
      <c r="D1264" s="11"/>
      <c r="E1264" s="10"/>
      <c r="O1264" s="10"/>
      <c r="V1264" s="10"/>
      <c r="W1264" s="6"/>
    </row>
    <row r="1265" spans="1:23" x14ac:dyDescent="0.2">
      <c r="A1265" s="27"/>
      <c r="B1265" s="1"/>
      <c r="D1265" s="11"/>
      <c r="E1265" s="10"/>
      <c r="O1265" s="10"/>
      <c r="V1265" s="10"/>
      <c r="W1265" s="6"/>
    </row>
    <row r="1266" spans="1:23" x14ac:dyDescent="0.2">
      <c r="A1266" s="27"/>
      <c r="B1266" s="25"/>
      <c r="D1266" s="11"/>
      <c r="E1266" s="10"/>
      <c r="O1266" s="10"/>
      <c r="V1266" s="10"/>
      <c r="W1266" s="6"/>
    </row>
    <row r="1267" spans="1:23" x14ac:dyDescent="0.2">
      <c r="A1267" s="27"/>
      <c r="B1267" s="25"/>
      <c r="D1267" s="11"/>
      <c r="E1267" s="10"/>
      <c r="O1267" s="10"/>
      <c r="V1267" s="10"/>
      <c r="W1267" s="6"/>
    </row>
    <row r="1268" spans="1:23" x14ac:dyDescent="0.2">
      <c r="A1268" s="27"/>
      <c r="B1268" s="25"/>
      <c r="D1268" s="11"/>
      <c r="E1268" s="10"/>
      <c r="O1268" s="10"/>
      <c r="V1268" s="10"/>
      <c r="W1268" s="6"/>
    </row>
    <row r="1269" spans="1:23" x14ac:dyDescent="0.2">
      <c r="A1269" s="27"/>
      <c r="B1269" s="25"/>
      <c r="D1269" s="11"/>
      <c r="E1269" s="10"/>
      <c r="O1269" s="10"/>
      <c r="V1269" s="10"/>
      <c r="W1269" s="6"/>
    </row>
    <row r="1270" spans="1:23" x14ac:dyDescent="0.2">
      <c r="A1270" s="27"/>
      <c r="B1270" s="25"/>
      <c r="D1270" s="11"/>
      <c r="E1270" s="10"/>
      <c r="O1270" s="10"/>
      <c r="V1270" s="10"/>
      <c r="W1270" s="6"/>
    </row>
    <row r="1271" spans="1:23" x14ac:dyDescent="0.2">
      <c r="A1271" s="27"/>
      <c r="B1271" s="25"/>
      <c r="D1271" s="11"/>
      <c r="E1271" s="10"/>
      <c r="O1271" s="10"/>
      <c r="V1271" s="10"/>
      <c r="W1271" s="6"/>
    </row>
    <row r="1272" spans="1:23" x14ac:dyDescent="0.2">
      <c r="A1272" s="27"/>
      <c r="B1272" s="25"/>
      <c r="D1272" s="11"/>
      <c r="E1272" s="10"/>
      <c r="O1272" s="10"/>
      <c r="V1272" s="10"/>
      <c r="W1272" s="6"/>
    </row>
    <row r="1273" spans="1:23" x14ac:dyDescent="0.2">
      <c r="A1273" s="27"/>
      <c r="B1273" s="25"/>
      <c r="D1273" s="11"/>
      <c r="E1273" s="10"/>
      <c r="O1273" s="10"/>
      <c r="V1273" s="10"/>
      <c r="W1273" s="6"/>
    </row>
    <row r="1274" spans="1:23" x14ac:dyDescent="0.2">
      <c r="A1274" s="27"/>
      <c r="B1274" s="25"/>
      <c r="D1274" s="11"/>
      <c r="E1274" s="10"/>
      <c r="O1274" s="10"/>
      <c r="V1274" s="10"/>
      <c r="W1274" s="6"/>
    </row>
    <row r="1275" spans="1:23" x14ac:dyDescent="0.2">
      <c r="A1275" s="27"/>
      <c r="B1275" s="25"/>
      <c r="D1275" s="11"/>
      <c r="E1275" s="10"/>
      <c r="O1275" s="10"/>
      <c r="V1275" s="10"/>
      <c r="W1275" s="6"/>
    </row>
    <row r="1276" spans="1:23" x14ac:dyDescent="0.2">
      <c r="A1276" s="27"/>
      <c r="B1276" s="25"/>
      <c r="D1276" s="11"/>
      <c r="E1276" s="10"/>
      <c r="O1276" s="10"/>
      <c r="V1276" s="10"/>
      <c r="W1276" s="6"/>
    </row>
    <row r="1277" spans="1:23" x14ac:dyDescent="0.2">
      <c r="A1277" s="27"/>
      <c r="B1277" s="25"/>
      <c r="D1277" s="11"/>
      <c r="E1277" s="10"/>
      <c r="O1277" s="10"/>
      <c r="V1277" s="10"/>
      <c r="W1277" s="6"/>
    </row>
    <row r="1278" spans="1:23" x14ac:dyDescent="0.2">
      <c r="A1278" s="27"/>
      <c r="B1278" s="25"/>
      <c r="D1278" s="11"/>
      <c r="E1278" s="10"/>
      <c r="O1278" s="10"/>
      <c r="V1278" s="10"/>
      <c r="W1278" s="6"/>
    </row>
    <row r="1279" spans="1:23" x14ac:dyDescent="0.2">
      <c r="A1279" s="27"/>
      <c r="B1279" s="25"/>
      <c r="D1279" s="11"/>
      <c r="E1279" s="10"/>
      <c r="O1279" s="10"/>
      <c r="V1279" s="10"/>
      <c r="W1279" s="6"/>
    </row>
    <row r="1280" spans="1:23" x14ac:dyDescent="0.2">
      <c r="A1280" s="27"/>
      <c r="B1280" s="1"/>
      <c r="D1280" s="11"/>
      <c r="E1280" s="10"/>
      <c r="O1280" s="10"/>
      <c r="V1280" s="10"/>
      <c r="W1280" s="6"/>
    </row>
    <row r="1281" spans="1:23" x14ac:dyDescent="0.2">
      <c r="A1281" s="27"/>
      <c r="B1281" s="25"/>
      <c r="D1281" s="11"/>
      <c r="E1281" s="10"/>
      <c r="O1281" s="10"/>
      <c r="V1281" s="10"/>
      <c r="W1281" s="6"/>
    </row>
    <row r="1282" spans="1:23" x14ac:dyDescent="0.2">
      <c r="A1282" s="27"/>
      <c r="B1282" s="1"/>
      <c r="D1282" s="11"/>
      <c r="E1282" s="10"/>
      <c r="O1282" s="10"/>
      <c r="V1282" s="10"/>
      <c r="W1282" s="6"/>
    </row>
    <row r="1283" spans="1:23" x14ac:dyDescent="0.2">
      <c r="A1283" s="27"/>
      <c r="B1283" s="1"/>
      <c r="D1283" s="11"/>
      <c r="E1283" s="10"/>
      <c r="O1283" s="10"/>
      <c r="V1283" s="10"/>
      <c r="W1283" s="6"/>
    </row>
    <row r="1284" spans="1:23" x14ac:dyDescent="0.2">
      <c r="A1284" s="27"/>
      <c r="B1284" s="25"/>
      <c r="D1284" s="11"/>
      <c r="E1284" s="10"/>
      <c r="O1284" s="10"/>
      <c r="V1284" s="10"/>
      <c r="W1284" s="6"/>
    </row>
    <row r="1285" spans="1:23" x14ac:dyDescent="0.2">
      <c r="A1285" s="27"/>
      <c r="B1285" s="25"/>
      <c r="D1285" s="11"/>
      <c r="E1285" s="10"/>
      <c r="O1285" s="10"/>
      <c r="V1285" s="10"/>
      <c r="W1285" s="6"/>
    </row>
    <row r="1286" spans="1:23" x14ac:dyDescent="0.2">
      <c r="A1286" s="27"/>
      <c r="B1286" s="25"/>
      <c r="D1286" s="11"/>
      <c r="E1286" s="10"/>
      <c r="O1286" s="10"/>
      <c r="V1286" s="10"/>
      <c r="W1286" s="6"/>
    </row>
    <row r="1287" spans="1:23" x14ac:dyDescent="0.2">
      <c r="A1287" s="27"/>
      <c r="B1287" s="25"/>
      <c r="D1287" s="11"/>
      <c r="E1287" s="10"/>
      <c r="O1287" s="10"/>
      <c r="V1287" s="10"/>
      <c r="W1287" s="6"/>
    </row>
    <row r="1288" spans="1:23" x14ac:dyDescent="0.2">
      <c r="A1288" s="27"/>
      <c r="B1288" s="1"/>
      <c r="D1288" s="11"/>
      <c r="E1288" s="10"/>
      <c r="O1288" s="10"/>
      <c r="V1288" s="10"/>
      <c r="W1288" s="6"/>
    </row>
    <row r="1289" spans="1:23" x14ac:dyDescent="0.2">
      <c r="A1289" s="27"/>
      <c r="B1289" s="25"/>
      <c r="D1289" s="11"/>
      <c r="E1289" s="10"/>
      <c r="O1289" s="10"/>
      <c r="V1289" s="10"/>
      <c r="W1289" s="6"/>
    </row>
    <row r="1290" spans="1:23" x14ac:dyDescent="0.2">
      <c r="A1290" s="27"/>
      <c r="B1290" s="25"/>
      <c r="D1290" s="11"/>
      <c r="E1290" s="10"/>
      <c r="O1290" s="10"/>
      <c r="V1290" s="10"/>
      <c r="W1290" s="6"/>
    </row>
    <row r="1291" spans="1:23" x14ac:dyDescent="0.2">
      <c r="A1291" s="27"/>
      <c r="B1291" s="25"/>
      <c r="D1291" s="11"/>
      <c r="E1291" s="10"/>
      <c r="O1291" s="10"/>
      <c r="V1291" s="10"/>
      <c r="W1291" s="6"/>
    </row>
    <row r="1292" spans="1:23" x14ac:dyDescent="0.2">
      <c r="A1292" s="27"/>
      <c r="B1292" s="1"/>
      <c r="D1292" s="11"/>
      <c r="E1292" s="10"/>
      <c r="O1292" s="10"/>
      <c r="V1292" s="10"/>
      <c r="W1292" s="6"/>
    </row>
    <row r="1293" spans="1:23" x14ac:dyDescent="0.2">
      <c r="A1293" s="27"/>
      <c r="B1293" s="25"/>
      <c r="D1293" s="11"/>
      <c r="E1293" s="10"/>
      <c r="O1293" s="10"/>
      <c r="V1293" s="10"/>
      <c r="W1293" s="6"/>
    </row>
    <row r="1294" spans="1:23" x14ac:dyDescent="0.2">
      <c r="A1294" s="27"/>
      <c r="B1294" s="25"/>
      <c r="D1294" s="11"/>
      <c r="E1294" s="10"/>
      <c r="O1294" s="10"/>
      <c r="V1294" s="10"/>
      <c r="W1294" s="6"/>
    </row>
    <row r="1295" spans="1:23" x14ac:dyDescent="0.2">
      <c r="A1295" s="27"/>
      <c r="B1295" s="25"/>
      <c r="D1295" s="11"/>
      <c r="E1295" s="10"/>
      <c r="O1295" s="10"/>
      <c r="V1295" s="10"/>
      <c r="W1295" s="6"/>
    </row>
    <row r="1296" spans="1:23" x14ac:dyDescent="0.2">
      <c r="A1296" s="27"/>
      <c r="B1296" s="25"/>
      <c r="D1296" s="11"/>
      <c r="E1296" s="10"/>
      <c r="O1296" s="10"/>
      <c r="V1296" s="10"/>
      <c r="W1296" s="6"/>
    </row>
    <row r="1297" spans="1:23" x14ac:dyDescent="0.2">
      <c r="A1297" s="27"/>
      <c r="B1297" s="25"/>
      <c r="D1297" s="11"/>
      <c r="E1297" s="10"/>
      <c r="O1297" s="10"/>
      <c r="V1297" s="10"/>
      <c r="W1297" s="6"/>
    </row>
    <row r="1298" spans="1:23" x14ac:dyDescent="0.2">
      <c r="A1298" s="27"/>
      <c r="B1298" s="25"/>
      <c r="D1298" s="11"/>
      <c r="E1298" s="10"/>
      <c r="O1298" s="10"/>
      <c r="V1298" s="10"/>
      <c r="W1298" s="6"/>
    </row>
    <row r="1299" spans="1:23" x14ac:dyDescent="0.2">
      <c r="A1299" s="27"/>
      <c r="B1299" s="25"/>
      <c r="D1299" s="11"/>
      <c r="E1299" s="10"/>
      <c r="O1299" s="10"/>
      <c r="V1299" s="10"/>
      <c r="W1299" s="6"/>
    </row>
    <row r="1300" spans="1:23" x14ac:dyDescent="0.2">
      <c r="A1300" s="27"/>
      <c r="B1300" s="25"/>
      <c r="D1300" s="11"/>
      <c r="E1300" s="10"/>
      <c r="O1300" s="10"/>
      <c r="V1300" s="10"/>
      <c r="W1300" s="6"/>
    </row>
    <row r="1301" spans="1:23" x14ac:dyDescent="0.2">
      <c r="A1301" s="27"/>
      <c r="B1301" s="25"/>
      <c r="D1301" s="11"/>
      <c r="E1301" s="10"/>
      <c r="O1301" s="10"/>
      <c r="V1301" s="10"/>
      <c r="W1301" s="6"/>
    </row>
    <row r="1302" spans="1:23" x14ac:dyDescent="0.2">
      <c r="A1302" s="27"/>
      <c r="B1302" s="25"/>
      <c r="D1302" s="11"/>
      <c r="E1302" s="10"/>
      <c r="O1302" s="10"/>
      <c r="V1302" s="10"/>
      <c r="W1302" s="6"/>
    </row>
    <row r="1303" spans="1:23" x14ac:dyDescent="0.2">
      <c r="A1303" s="27"/>
      <c r="B1303" s="25"/>
      <c r="D1303" s="11"/>
      <c r="E1303" s="10"/>
      <c r="O1303" s="10"/>
      <c r="V1303" s="10"/>
      <c r="W1303" s="6"/>
    </row>
    <row r="1304" spans="1:23" x14ac:dyDescent="0.2">
      <c r="A1304" s="27"/>
      <c r="B1304" s="1"/>
      <c r="D1304" s="11"/>
      <c r="E1304" s="10"/>
      <c r="O1304" s="10"/>
      <c r="V1304" s="10"/>
      <c r="W1304" s="6"/>
    </row>
    <row r="1305" spans="1:23" x14ac:dyDescent="0.2">
      <c r="A1305" s="27"/>
      <c r="B1305" s="25"/>
      <c r="D1305" s="11"/>
      <c r="E1305" s="10"/>
      <c r="O1305" s="10"/>
      <c r="V1305" s="10"/>
      <c r="W1305" s="6"/>
    </row>
    <row r="1306" spans="1:23" x14ac:dyDescent="0.2">
      <c r="A1306" s="27"/>
      <c r="B1306" s="1"/>
      <c r="D1306" s="11"/>
      <c r="E1306" s="10"/>
      <c r="O1306" s="10"/>
      <c r="V1306" s="10"/>
      <c r="W1306" s="6"/>
    </row>
    <row r="1307" spans="1:23" x14ac:dyDescent="0.2">
      <c r="A1307" s="27"/>
      <c r="B1307" s="25"/>
      <c r="D1307" s="11"/>
      <c r="E1307" s="10"/>
      <c r="O1307" s="10"/>
      <c r="V1307" s="10"/>
      <c r="W1307" s="6"/>
    </row>
    <row r="1308" spans="1:23" x14ac:dyDescent="0.2">
      <c r="A1308" s="27"/>
      <c r="B1308" s="25"/>
      <c r="D1308" s="11"/>
      <c r="E1308" s="10"/>
      <c r="O1308" s="10"/>
      <c r="V1308" s="10"/>
      <c r="W1308" s="6"/>
    </row>
    <row r="1309" spans="1:23" x14ac:dyDescent="0.2">
      <c r="A1309" s="27"/>
      <c r="B1309" s="25"/>
      <c r="D1309" s="11"/>
      <c r="E1309" s="10"/>
      <c r="O1309" s="10"/>
      <c r="V1309" s="10"/>
      <c r="W1309" s="6"/>
    </row>
    <row r="1310" spans="1:23" x14ac:dyDescent="0.2">
      <c r="A1310" s="27"/>
      <c r="B1310" s="25"/>
      <c r="D1310" s="11"/>
      <c r="E1310" s="10"/>
      <c r="O1310" s="10"/>
      <c r="V1310" s="10"/>
      <c r="W1310" s="6"/>
    </row>
    <row r="1311" spans="1:23" x14ac:dyDescent="0.2">
      <c r="A1311" s="27"/>
      <c r="B1311" s="25"/>
      <c r="D1311" s="11"/>
      <c r="E1311" s="10"/>
      <c r="O1311" s="10"/>
      <c r="V1311" s="10"/>
      <c r="W1311" s="6"/>
    </row>
    <row r="1312" spans="1:23" x14ac:dyDescent="0.2">
      <c r="A1312" s="27"/>
      <c r="B1312" s="25"/>
      <c r="D1312" s="11"/>
      <c r="E1312" s="10"/>
      <c r="O1312" s="10"/>
      <c r="V1312" s="10"/>
      <c r="W1312" s="6"/>
    </row>
    <row r="1313" spans="1:23" x14ac:dyDescent="0.2">
      <c r="A1313" s="27"/>
      <c r="B1313" s="1"/>
      <c r="D1313" s="11"/>
      <c r="E1313" s="10"/>
      <c r="O1313" s="10"/>
      <c r="V1313" s="10"/>
      <c r="W1313" s="6"/>
    </row>
    <row r="1314" spans="1:23" x14ac:dyDescent="0.2">
      <c r="A1314" s="27"/>
      <c r="B1314" s="25"/>
      <c r="D1314" s="11"/>
      <c r="E1314" s="10"/>
      <c r="O1314" s="10"/>
      <c r="V1314" s="10"/>
      <c r="W1314" s="6"/>
    </row>
    <row r="1315" spans="1:23" x14ac:dyDescent="0.2">
      <c r="A1315" s="27"/>
      <c r="B1315" s="25"/>
      <c r="D1315" s="11"/>
      <c r="E1315" s="10"/>
      <c r="O1315" s="10"/>
      <c r="V1315" s="10"/>
      <c r="W1315" s="6"/>
    </row>
    <row r="1316" spans="1:23" x14ac:dyDescent="0.2">
      <c r="A1316" s="27"/>
      <c r="B1316" s="1"/>
      <c r="D1316" s="11"/>
      <c r="E1316" s="10"/>
      <c r="O1316" s="10"/>
      <c r="V1316" s="10"/>
      <c r="W1316" s="6"/>
    </row>
    <row r="1317" spans="1:23" x14ac:dyDescent="0.2">
      <c r="A1317" s="27"/>
      <c r="B1317" s="25"/>
      <c r="D1317" s="11"/>
      <c r="E1317" s="10"/>
      <c r="O1317" s="10"/>
      <c r="V1317" s="10"/>
      <c r="W1317" s="6"/>
    </row>
    <row r="1318" spans="1:23" x14ac:dyDescent="0.2">
      <c r="A1318" s="27"/>
      <c r="B1318" s="25"/>
      <c r="D1318" s="11"/>
      <c r="E1318" s="10"/>
      <c r="O1318" s="10"/>
      <c r="V1318" s="10"/>
      <c r="W1318" s="6"/>
    </row>
    <row r="1319" spans="1:23" x14ac:dyDescent="0.2">
      <c r="A1319" s="27"/>
      <c r="B1319" s="25"/>
      <c r="D1319" s="11"/>
      <c r="E1319" s="10"/>
      <c r="O1319" s="10"/>
      <c r="V1319" s="10"/>
      <c r="W1319" s="6"/>
    </row>
    <row r="1320" spans="1:23" x14ac:dyDescent="0.2">
      <c r="A1320" s="27"/>
      <c r="B1320" s="25"/>
      <c r="D1320" s="11"/>
      <c r="E1320" s="10"/>
      <c r="O1320" s="10"/>
      <c r="V1320" s="10"/>
      <c r="W1320" s="6"/>
    </row>
    <row r="1321" spans="1:23" x14ac:dyDescent="0.2">
      <c r="A1321" s="27"/>
      <c r="B1321" s="25"/>
      <c r="D1321" s="11"/>
      <c r="E1321" s="10"/>
      <c r="O1321" s="10"/>
      <c r="V1321" s="10"/>
      <c r="W1321" s="6"/>
    </row>
    <row r="1322" spans="1:23" x14ac:dyDescent="0.2">
      <c r="A1322" s="27"/>
      <c r="B1322" s="1"/>
      <c r="D1322" s="11"/>
      <c r="E1322" s="10"/>
      <c r="O1322" s="10"/>
      <c r="V1322" s="10"/>
      <c r="W1322" s="6"/>
    </row>
    <row r="1323" spans="1:23" x14ac:dyDescent="0.2">
      <c r="A1323" s="27"/>
      <c r="B1323" s="25"/>
      <c r="D1323" s="11"/>
      <c r="E1323" s="10"/>
      <c r="O1323" s="10"/>
      <c r="V1323" s="10"/>
      <c r="W1323" s="6"/>
    </row>
    <row r="1324" spans="1:23" x14ac:dyDescent="0.2">
      <c r="A1324" s="27"/>
      <c r="B1324" s="25"/>
      <c r="D1324" s="11"/>
      <c r="E1324" s="10"/>
      <c r="O1324" s="10"/>
      <c r="V1324" s="10"/>
      <c r="W1324" s="6"/>
    </row>
    <row r="1325" spans="1:23" x14ac:dyDescent="0.2">
      <c r="A1325" s="27"/>
      <c r="B1325" s="25"/>
      <c r="D1325" s="11"/>
      <c r="E1325" s="10"/>
      <c r="O1325" s="10"/>
      <c r="V1325" s="10"/>
      <c r="W1325" s="6"/>
    </row>
    <row r="1326" spans="1:23" x14ac:dyDescent="0.2">
      <c r="A1326" s="27"/>
      <c r="B1326" s="25"/>
      <c r="D1326" s="11"/>
      <c r="E1326" s="10"/>
      <c r="O1326" s="10"/>
      <c r="V1326" s="10"/>
      <c r="W1326" s="6"/>
    </row>
    <row r="1327" spans="1:23" x14ac:dyDescent="0.2">
      <c r="A1327" s="27"/>
      <c r="B1327" s="1"/>
      <c r="D1327" s="11"/>
      <c r="E1327" s="10"/>
      <c r="O1327" s="10"/>
      <c r="V1327" s="10"/>
      <c r="W1327" s="6"/>
    </row>
    <row r="1328" spans="1:23" x14ac:dyDescent="0.2">
      <c r="A1328" s="27"/>
      <c r="B1328" s="25"/>
      <c r="D1328" s="11"/>
      <c r="E1328" s="10"/>
      <c r="O1328" s="10"/>
      <c r="V1328" s="10"/>
      <c r="W1328" s="6"/>
    </row>
    <row r="1329" spans="1:23" x14ac:dyDescent="0.2">
      <c r="A1329" s="27"/>
      <c r="B1329" s="25"/>
      <c r="D1329" s="11"/>
      <c r="E1329" s="10"/>
      <c r="O1329" s="10"/>
      <c r="V1329" s="10"/>
      <c r="W1329" s="6"/>
    </row>
    <row r="1330" spans="1:23" x14ac:dyDescent="0.2">
      <c r="A1330" s="27"/>
      <c r="B1330" s="25"/>
      <c r="D1330" s="11"/>
      <c r="E1330" s="10"/>
      <c r="O1330" s="10"/>
      <c r="V1330" s="10"/>
      <c r="W1330" s="6"/>
    </row>
    <row r="1331" spans="1:23" x14ac:dyDescent="0.2">
      <c r="A1331" s="27"/>
      <c r="B1331" s="25"/>
      <c r="D1331" s="11"/>
      <c r="E1331" s="10"/>
      <c r="O1331" s="10"/>
      <c r="V1331" s="10"/>
      <c r="W1331" s="6"/>
    </row>
    <row r="1332" spans="1:23" x14ac:dyDescent="0.2">
      <c r="A1332" s="27"/>
      <c r="B1332" s="25"/>
      <c r="D1332" s="11"/>
      <c r="E1332" s="10"/>
      <c r="O1332" s="10"/>
      <c r="V1332" s="10"/>
      <c r="W1332" s="6"/>
    </row>
    <row r="1333" spans="1:23" x14ac:dyDescent="0.2">
      <c r="A1333" s="27"/>
      <c r="B1333" s="1"/>
      <c r="D1333" s="11"/>
      <c r="E1333" s="10"/>
      <c r="O1333" s="10"/>
      <c r="V1333" s="10"/>
      <c r="W1333" s="6"/>
    </row>
    <row r="1334" spans="1:23" x14ac:dyDescent="0.2">
      <c r="A1334" s="27"/>
      <c r="B1334" s="25"/>
      <c r="D1334" s="11"/>
      <c r="E1334" s="10"/>
      <c r="O1334" s="10"/>
      <c r="V1334" s="10"/>
      <c r="W1334" s="6"/>
    </row>
    <row r="1335" spans="1:23" x14ac:dyDescent="0.2">
      <c r="A1335" s="27"/>
      <c r="B1335" s="25"/>
      <c r="D1335" s="11"/>
      <c r="E1335" s="10"/>
      <c r="O1335" s="10"/>
      <c r="V1335" s="10"/>
      <c r="W1335" s="6"/>
    </row>
    <row r="1336" spans="1:23" x14ac:dyDescent="0.2">
      <c r="A1336" s="27"/>
      <c r="B1336" s="25"/>
      <c r="D1336" s="11"/>
      <c r="E1336" s="10"/>
      <c r="O1336" s="10"/>
      <c r="V1336" s="10"/>
      <c r="W1336" s="6"/>
    </row>
    <row r="1337" spans="1:23" x14ac:dyDescent="0.2">
      <c r="A1337" s="27"/>
      <c r="B1337" s="25"/>
      <c r="D1337" s="11"/>
      <c r="E1337" s="10"/>
      <c r="O1337" s="10"/>
      <c r="V1337" s="10"/>
      <c r="W1337" s="6"/>
    </row>
    <row r="1338" spans="1:23" x14ac:dyDescent="0.2">
      <c r="A1338" s="27"/>
      <c r="B1338" s="25"/>
      <c r="D1338" s="11"/>
      <c r="E1338" s="10"/>
      <c r="O1338" s="10"/>
      <c r="V1338" s="10"/>
      <c r="W1338" s="6"/>
    </row>
    <row r="1339" spans="1:23" x14ac:dyDescent="0.2">
      <c r="A1339" s="27"/>
      <c r="B1339" s="25"/>
      <c r="D1339" s="11"/>
      <c r="E1339" s="10"/>
      <c r="O1339" s="10"/>
      <c r="V1339" s="10"/>
      <c r="W1339" s="6"/>
    </row>
    <row r="1340" spans="1:23" x14ac:dyDescent="0.2">
      <c r="A1340" s="27"/>
      <c r="B1340" s="25"/>
      <c r="D1340" s="11"/>
      <c r="E1340" s="10"/>
      <c r="O1340" s="10"/>
      <c r="V1340" s="10"/>
      <c r="W1340" s="6"/>
    </row>
    <row r="1341" spans="1:23" x14ac:dyDescent="0.2">
      <c r="A1341" s="27"/>
      <c r="B1341" s="25"/>
      <c r="D1341" s="11"/>
      <c r="E1341" s="10"/>
      <c r="O1341" s="10"/>
      <c r="V1341" s="10"/>
      <c r="W1341" s="6"/>
    </row>
    <row r="1342" spans="1:23" x14ac:dyDescent="0.2">
      <c r="A1342" s="27"/>
      <c r="B1342" s="25"/>
      <c r="D1342" s="11"/>
      <c r="E1342" s="10"/>
      <c r="O1342" s="10"/>
      <c r="V1342" s="10"/>
      <c r="W1342" s="6"/>
    </row>
    <row r="1343" spans="1:23" x14ac:dyDescent="0.2">
      <c r="A1343" s="27"/>
      <c r="B1343" s="25"/>
      <c r="D1343" s="11"/>
      <c r="E1343" s="10"/>
      <c r="O1343" s="10"/>
      <c r="V1343" s="10"/>
      <c r="W1343" s="6"/>
    </row>
    <row r="1344" spans="1:23" x14ac:dyDescent="0.2">
      <c r="A1344" s="27"/>
      <c r="B1344" s="25"/>
      <c r="D1344" s="11"/>
      <c r="E1344" s="10"/>
      <c r="O1344" s="10"/>
      <c r="V1344" s="10"/>
      <c r="W1344" s="6"/>
    </row>
    <row r="1345" spans="1:23" x14ac:dyDescent="0.2">
      <c r="A1345" s="27"/>
      <c r="B1345" s="1"/>
      <c r="D1345" s="11"/>
      <c r="E1345" s="10"/>
      <c r="O1345" s="10"/>
      <c r="V1345" s="10"/>
      <c r="W1345" s="6"/>
    </row>
    <row r="1346" spans="1:23" x14ac:dyDescent="0.2">
      <c r="A1346" s="27"/>
      <c r="B1346" s="1"/>
      <c r="D1346" s="11"/>
      <c r="E1346" s="10"/>
      <c r="O1346" s="10"/>
      <c r="V1346" s="10"/>
      <c r="W1346" s="6"/>
    </row>
    <row r="1347" spans="1:23" x14ac:dyDescent="0.2">
      <c r="A1347" s="27"/>
      <c r="B1347" s="1"/>
      <c r="D1347" s="11"/>
      <c r="E1347" s="10"/>
      <c r="O1347" s="10"/>
      <c r="V1347" s="10"/>
      <c r="W1347" s="6"/>
    </row>
    <row r="1348" spans="1:23" x14ac:dyDescent="0.2">
      <c r="A1348" s="27"/>
      <c r="B1348" s="25"/>
      <c r="D1348" s="11"/>
      <c r="E1348" s="10"/>
      <c r="O1348" s="10"/>
      <c r="V1348" s="10"/>
      <c r="W1348" s="6"/>
    </row>
    <row r="1349" spans="1:23" x14ac:dyDescent="0.2">
      <c r="A1349" s="27"/>
      <c r="B1349" s="25"/>
      <c r="D1349" s="11"/>
      <c r="E1349" s="10"/>
      <c r="O1349" s="10"/>
      <c r="V1349" s="10"/>
      <c r="W1349" s="6"/>
    </row>
    <row r="1350" spans="1:23" x14ac:dyDescent="0.2">
      <c r="A1350" s="27"/>
      <c r="B1350" s="25"/>
      <c r="D1350" s="11"/>
      <c r="E1350" s="10"/>
      <c r="O1350" s="10"/>
      <c r="V1350" s="10"/>
      <c r="W1350" s="6"/>
    </row>
    <row r="1351" spans="1:23" x14ac:dyDescent="0.2">
      <c r="A1351" s="27"/>
      <c r="B1351" s="25"/>
      <c r="D1351" s="11"/>
      <c r="E1351" s="10"/>
      <c r="O1351" s="10"/>
      <c r="V1351" s="10"/>
      <c r="W1351" s="6"/>
    </row>
    <row r="1352" spans="1:23" x14ac:dyDescent="0.2">
      <c r="A1352" s="27"/>
      <c r="B1352" s="25"/>
      <c r="D1352" s="11"/>
      <c r="E1352" s="10"/>
      <c r="O1352" s="10"/>
      <c r="V1352" s="10"/>
      <c r="W1352" s="6"/>
    </row>
    <row r="1353" spans="1:23" x14ac:dyDescent="0.2">
      <c r="A1353" s="27"/>
      <c r="B1353" s="25"/>
      <c r="D1353" s="11"/>
      <c r="E1353" s="10"/>
      <c r="O1353" s="10"/>
      <c r="V1353" s="10"/>
    </row>
    <row r="1354" spans="1:23" x14ac:dyDescent="0.2">
      <c r="A1354" s="27"/>
      <c r="B1354" s="25"/>
      <c r="D1354" s="11"/>
      <c r="E1354" s="10"/>
      <c r="O1354" s="10"/>
      <c r="V1354" s="10"/>
      <c r="W1354" s="6"/>
    </row>
    <row r="1355" spans="1:23" x14ac:dyDescent="0.2">
      <c r="A1355" s="27"/>
      <c r="B1355" s="25"/>
      <c r="D1355" s="11"/>
      <c r="E1355" s="10"/>
      <c r="O1355" s="10"/>
      <c r="V1355" s="10"/>
      <c r="W1355" s="6"/>
    </row>
    <row r="1356" spans="1:23" x14ac:dyDescent="0.2">
      <c r="A1356" s="27"/>
      <c r="B1356" s="25"/>
      <c r="D1356" s="11"/>
      <c r="E1356" s="10"/>
      <c r="O1356" s="10"/>
      <c r="V1356" s="10"/>
      <c r="W1356" s="6"/>
    </row>
    <row r="1357" spans="1:23" x14ac:dyDescent="0.2">
      <c r="A1357" s="27"/>
      <c r="B1357" s="25"/>
      <c r="D1357" s="11"/>
      <c r="E1357" s="10"/>
      <c r="O1357" s="10"/>
      <c r="V1357" s="10"/>
      <c r="W1357" s="6"/>
    </row>
    <row r="1358" spans="1:23" x14ac:dyDescent="0.2">
      <c r="A1358" s="27"/>
      <c r="B1358" s="1"/>
      <c r="D1358" s="11"/>
      <c r="E1358" s="10"/>
      <c r="O1358" s="10"/>
      <c r="V1358" s="10"/>
      <c r="W1358" s="6"/>
    </row>
    <row r="1359" spans="1:23" x14ac:dyDescent="0.2">
      <c r="A1359" s="27"/>
      <c r="B1359" s="1"/>
      <c r="D1359" s="11"/>
      <c r="E1359" s="10"/>
      <c r="O1359" s="10"/>
      <c r="V1359" s="10"/>
      <c r="W1359" s="6"/>
    </row>
    <row r="1360" spans="1:23" x14ac:dyDescent="0.2">
      <c r="A1360" s="27"/>
      <c r="B1360" s="1"/>
      <c r="D1360" s="11"/>
      <c r="E1360" s="10"/>
      <c r="O1360" s="10"/>
      <c r="V1360" s="10"/>
      <c r="W1360" s="6"/>
    </row>
    <row r="1361" spans="1:23" x14ac:dyDescent="0.2">
      <c r="A1361" s="27"/>
      <c r="B1361" s="25"/>
      <c r="D1361" s="11"/>
      <c r="E1361" s="10"/>
      <c r="O1361" s="10"/>
      <c r="V1361" s="10"/>
      <c r="W1361" s="6"/>
    </row>
    <row r="1362" spans="1:23" x14ac:dyDescent="0.2">
      <c r="A1362" s="27"/>
      <c r="B1362" s="25"/>
      <c r="D1362" s="11"/>
      <c r="E1362" s="10"/>
      <c r="O1362" s="10"/>
      <c r="V1362" s="10"/>
      <c r="W1362" s="6"/>
    </row>
    <row r="1363" spans="1:23" x14ac:dyDescent="0.2">
      <c r="A1363" s="27"/>
      <c r="B1363" s="25"/>
      <c r="D1363" s="11"/>
      <c r="E1363" s="10"/>
      <c r="O1363" s="10"/>
      <c r="V1363" s="10"/>
      <c r="W1363" s="6"/>
    </row>
    <row r="1364" spans="1:23" x14ac:dyDescent="0.2">
      <c r="A1364" s="27"/>
      <c r="B1364" s="25"/>
      <c r="D1364" s="11"/>
      <c r="E1364" s="10"/>
      <c r="O1364" s="10"/>
      <c r="V1364" s="10"/>
      <c r="W1364" s="6"/>
    </row>
    <row r="1365" spans="1:23" x14ac:dyDescent="0.2">
      <c r="A1365" s="27"/>
      <c r="B1365" s="25"/>
      <c r="D1365" s="11"/>
      <c r="E1365" s="10"/>
      <c r="O1365" s="10"/>
      <c r="V1365" s="10"/>
      <c r="W1365" s="6"/>
    </row>
    <row r="1366" spans="1:23" x14ac:dyDescent="0.2">
      <c r="A1366" s="27"/>
      <c r="B1366" s="25"/>
      <c r="D1366" s="11"/>
      <c r="E1366" s="10"/>
      <c r="O1366" s="10"/>
      <c r="V1366" s="10"/>
      <c r="W1366" s="6"/>
    </row>
    <row r="1367" spans="1:23" x14ac:dyDescent="0.2">
      <c r="A1367" s="27"/>
      <c r="B1367" s="25"/>
      <c r="D1367" s="11"/>
      <c r="E1367" s="10"/>
      <c r="O1367" s="10"/>
      <c r="V1367" s="10"/>
      <c r="W1367" s="6"/>
    </row>
    <row r="1368" spans="1:23" x14ac:dyDescent="0.2">
      <c r="A1368" s="27"/>
      <c r="B1368" s="1"/>
      <c r="D1368" s="11"/>
      <c r="E1368" s="10"/>
      <c r="O1368" s="10"/>
      <c r="V1368" s="10"/>
      <c r="W1368" s="6"/>
    </row>
    <row r="1369" spans="1:23" x14ac:dyDescent="0.2">
      <c r="A1369" s="27"/>
      <c r="B1369" s="25"/>
      <c r="D1369" s="11"/>
      <c r="E1369" s="10"/>
      <c r="O1369" s="10"/>
      <c r="V1369" s="10"/>
      <c r="W1369" s="6"/>
    </row>
    <row r="1370" spans="1:23" x14ac:dyDescent="0.2">
      <c r="A1370" s="27"/>
      <c r="B1370" s="25"/>
      <c r="D1370" s="11"/>
      <c r="E1370" s="10"/>
      <c r="O1370" s="10"/>
      <c r="V1370" s="10"/>
      <c r="W1370" s="6"/>
    </row>
    <row r="1371" spans="1:23" x14ac:dyDescent="0.2">
      <c r="A1371" s="27"/>
      <c r="B1371" s="25"/>
      <c r="D1371" s="11"/>
      <c r="E1371" s="10"/>
      <c r="O1371" s="10"/>
      <c r="V1371" s="10"/>
      <c r="W1371" s="6"/>
    </row>
    <row r="1372" spans="1:23" x14ac:dyDescent="0.2">
      <c r="A1372" s="27"/>
      <c r="B1372" s="25"/>
      <c r="D1372" s="11"/>
      <c r="E1372" s="10"/>
      <c r="O1372" s="10"/>
      <c r="V1372" s="10"/>
      <c r="W1372" s="6"/>
    </row>
    <row r="1373" spans="1:23" x14ac:dyDescent="0.2">
      <c r="A1373" s="27"/>
      <c r="B1373" s="25"/>
      <c r="D1373" s="11"/>
      <c r="E1373" s="10"/>
      <c r="O1373" s="10"/>
      <c r="V1373" s="10"/>
      <c r="W1373" s="6"/>
    </row>
    <row r="1374" spans="1:23" x14ac:dyDescent="0.2">
      <c r="A1374" s="27"/>
      <c r="B1374" s="25"/>
      <c r="D1374" s="11"/>
      <c r="E1374" s="10"/>
      <c r="O1374" s="10"/>
      <c r="V1374" s="10"/>
      <c r="W1374" s="6"/>
    </row>
    <row r="1375" spans="1:23" x14ac:dyDescent="0.2">
      <c r="A1375" s="27"/>
      <c r="B1375" s="25"/>
      <c r="D1375" s="11"/>
      <c r="E1375" s="10"/>
      <c r="O1375" s="10"/>
      <c r="V1375" s="10"/>
      <c r="W1375" s="6"/>
    </row>
    <row r="1376" spans="1:23" x14ac:dyDescent="0.2">
      <c r="A1376" s="27"/>
      <c r="B1376" s="1"/>
      <c r="D1376" s="11"/>
      <c r="E1376" s="10"/>
      <c r="O1376" s="10"/>
      <c r="V1376" s="10"/>
      <c r="W1376" s="6"/>
    </row>
    <row r="1377" spans="1:23" x14ac:dyDescent="0.2">
      <c r="A1377" s="27"/>
      <c r="B1377" s="25"/>
      <c r="D1377" s="11"/>
      <c r="E1377" s="10"/>
      <c r="O1377" s="10"/>
      <c r="V1377" s="10"/>
      <c r="W1377" s="6"/>
    </row>
    <row r="1378" spans="1:23" x14ac:dyDescent="0.2">
      <c r="A1378" s="27"/>
      <c r="B1378" s="1"/>
      <c r="D1378" s="11"/>
      <c r="E1378" s="10"/>
      <c r="O1378" s="10"/>
      <c r="V1378" s="10"/>
      <c r="W1378" s="6"/>
    </row>
    <row r="1379" spans="1:23" x14ac:dyDescent="0.2">
      <c r="A1379" s="27"/>
      <c r="B1379" s="25"/>
      <c r="D1379" s="11"/>
      <c r="E1379" s="10"/>
      <c r="O1379" s="10"/>
      <c r="V1379" s="10"/>
      <c r="W1379" s="6"/>
    </row>
    <row r="1380" spans="1:23" x14ac:dyDescent="0.2">
      <c r="A1380" s="27"/>
      <c r="B1380" s="1"/>
      <c r="D1380" s="11"/>
      <c r="E1380" s="10"/>
      <c r="O1380" s="10"/>
      <c r="V1380" s="10"/>
      <c r="W1380" s="6"/>
    </row>
    <row r="1381" spans="1:23" x14ac:dyDescent="0.2">
      <c r="A1381" s="27"/>
      <c r="B1381" s="25"/>
      <c r="D1381" s="11"/>
      <c r="E1381" s="10"/>
      <c r="O1381" s="10"/>
      <c r="V1381" s="10"/>
      <c r="W1381" s="6"/>
    </row>
    <row r="1382" spans="1:23" x14ac:dyDescent="0.2">
      <c r="A1382" s="27"/>
      <c r="B1382" s="25"/>
      <c r="D1382" s="11"/>
      <c r="E1382" s="10"/>
      <c r="O1382" s="10"/>
      <c r="V1382" s="10"/>
      <c r="W1382" s="6"/>
    </row>
    <row r="1383" spans="1:23" x14ac:dyDescent="0.2">
      <c r="A1383" s="27"/>
      <c r="B1383" s="25"/>
      <c r="D1383" s="11"/>
      <c r="E1383" s="10"/>
      <c r="O1383" s="10"/>
      <c r="V1383" s="10"/>
      <c r="W1383" s="6"/>
    </row>
    <row r="1384" spans="1:23" x14ac:dyDescent="0.2">
      <c r="A1384" s="27"/>
      <c r="B1384" s="25"/>
      <c r="D1384" s="11"/>
      <c r="E1384" s="10"/>
      <c r="O1384" s="10"/>
      <c r="V1384" s="10"/>
      <c r="W1384" s="6"/>
    </row>
    <row r="1385" spans="1:23" x14ac:dyDescent="0.2">
      <c r="A1385" s="27"/>
      <c r="B1385" s="1"/>
      <c r="D1385" s="11"/>
      <c r="E1385" s="10"/>
      <c r="O1385" s="10"/>
      <c r="V1385" s="10"/>
      <c r="W1385" s="6"/>
    </row>
    <row r="1386" spans="1:23" x14ac:dyDescent="0.2">
      <c r="A1386" s="27"/>
      <c r="B1386" s="25"/>
      <c r="D1386" s="11"/>
      <c r="E1386" s="10"/>
      <c r="O1386" s="10"/>
      <c r="V1386" s="10"/>
      <c r="W1386" s="6"/>
    </row>
    <row r="1387" spans="1:23" x14ac:dyDescent="0.2">
      <c r="A1387" s="27"/>
      <c r="B1387" s="25"/>
      <c r="D1387" s="11"/>
      <c r="E1387" s="10"/>
      <c r="O1387" s="10"/>
      <c r="V1387" s="10"/>
      <c r="W1387" s="6"/>
    </row>
    <row r="1388" spans="1:23" x14ac:dyDescent="0.2">
      <c r="A1388" s="27"/>
      <c r="B1388" s="25"/>
      <c r="D1388" s="11"/>
      <c r="E1388" s="10"/>
      <c r="O1388" s="10"/>
      <c r="V1388" s="10"/>
      <c r="W1388" s="6"/>
    </row>
    <row r="1389" spans="1:23" x14ac:dyDescent="0.2">
      <c r="A1389" s="27"/>
      <c r="B1389" s="25"/>
      <c r="D1389" s="11"/>
      <c r="E1389" s="10"/>
      <c r="O1389" s="10"/>
      <c r="V1389" s="10"/>
      <c r="W1389" s="6"/>
    </row>
    <row r="1390" spans="1:23" x14ac:dyDescent="0.2">
      <c r="A1390" s="27"/>
      <c r="B1390" s="25"/>
      <c r="D1390" s="11"/>
      <c r="E1390" s="10"/>
      <c r="O1390" s="10"/>
      <c r="V1390" s="10"/>
      <c r="W1390" s="6"/>
    </row>
    <row r="1391" spans="1:23" x14ac:dyDescent="0.2">
      <c r="A1391" s="27"/>
      <c r="B1391" s="25"/>
      <c r="D1391" s="11"/>
      <c r="E1391" s="10"/>
      <c r="O1391" s="10"/>
      <c r="V1391" s="10"/>
      <c r="W1391" s="6"/>
    </row>
    <row r="1392" spans="1:23" x14ac:dyDescent="0.2">
      <c r="A1392" s="27"/>
      <c r="B1392" s="25"/>
      <c r="D1392" s="11"/>
      <c r="E1392" s="10"/>
      <c r="O1392" s="10"/>
      <c r="V1392" s="10"/>
      <c r="W1392" s="6"/>
    </row>
    <row r="1393" spans="1:23" x14ac:dyDescent="0.2">
      <c r="A1393" s="27"/>
      <c r="B1393" s="1"/>
      <c r="D1393" s="11"/>
      <c r="E1393" s="10"/>
      <c r="O1393" s="10"/>
      <c r="V1393" s="10"/>
      <c r="W1393" s="6"/>
    </row>
    <row r="1394" spans="1:23" x14ac:dyDescent="0.2">
      <c r="A1394" s="27"/>
      <c r="B1394" s="25"/>
      <c r="D1394" s="11"/>
      <c r="E1394" s="10"/>
      <c r="O1394" s="10"/>
      <c r="V1394" s="10"/>
      <c r="W1394" s="6"/>
    </row>
    <row r="1395" spans="1:23" x14ac:dyDescent="0.2">
      <c r="A1395" s="27"/>
      <c r="B1395" s="1"/>
      <c r="D1395" s="11"/>
      <c r="E1395" s="10"/>
      <c r="O1395" s="10"/>
      <c r="V1395" s="10"/>
      <c r="W1395" s="6"/>
    </row>
    <row r="1396" spans="1:23" x14ac:dyDescent="0.2">
      <c r="A1396" s="27"/>
      <c r="B1396" s="25"/>
      <c r="D1396" s="11"/>
      <c r="E1396" s="10"/>
      <c r="O1396" s="10"/>
      <c r="V1396" s="10"/>
      <c r="W1396" s="6"/>
    </row>
    <row r="1397" spans="1:23" x14ac:dyDescent="0.2">
      <c r="A1397" s="27"/>
      <c r="B1397" s="1"/>
      <c r="D1397" s="11"/>
      <c r="E1397" s="10"/>
      <c r="O1397" s="10"/>
      <c r="V1397" s="10"/>
      <c r="W1397" s="6"/>
    </row>
    <row r="1398" spans="1:23" x14ac:dyDescent="0.2">
      <c r="A1398" s="27"/>
      <c r="B1398" s="25"/>
      <c r="D1398" s="11"/>
      <c r="E1398" s="10"/>
      <c r="O1398" s="10"/>
      <c r="V1398" s="10"/>
      <c r="W1398" s="6"/>
    </row>
    <row r="1399" spans="1:23" x14ac:dyDescent="0.2">
      <c r="A1399" s="27"/>
      <c r="B1399" s="25"/>
      <c r="D1399" s="11"/>
      <c r="E1399" s="10"/>
      <c r="O1399" s="10"/>
      <c r="V1399" s="10"/>
      <c r="W1399" s="6"/>
    </row>
    <row r="1400" spans="1:23" x14ac:dyDescent="0.2">
      <c r="A1400" s="27"/>
      <c r="B1400" s="25"/>
      <c r="D1400" s="11"/>
      <c r="E1400" s="10"/>
      <c r="O1400" s="10"/>
      <c r="V1400" s="10"/>
      <c r="W1400" s="6"/>
    </row>
    <row r="1401" spans="1:23" x14ac:dyDescent="0.2">
      <c r="A1401" s="27"/>
      <c r="B1401" s="25"/>
      <c r="D1401" s="11"/>
      <c r="E1401" s="10"/>
      <c r="O1401" s="10"/>
      <c r="V1401" s="10"/>
      <c r="W1401" s="6"/>
    </row>
    <row r="1402" spans="1:23" x14ac:dyDescent="0.2">
      <c r="A1402" s="27"/>
      <c r="B1402" s="25"/>
      <c r="D1402" s="11"/>
      <c r="E1402" s="10"/>
      <c r="O1402" s="10"/>
      <c r="V1402" s="10"/>
      <c r="W1402" s="6"/>
    </row>
    <row r="1403" spans="1:23" x14ac:dyDescent="0.2">
      <c r="A1403" s="27"/>
      <c r="B1403" s="25"/>
      <c r="D1403" s="11"/>
      <c r="E1403" s="10"/>
      <c r="O1403" s="10"/>
      <c r="V1403" s="10"/>
      <c r="W1403" s="6"/>
    </row>
    <row r="1404" spans="1:23" x14ac:dyDescent="0.2">
      <c r="A1404" s="27"/>
      <c r="B1404" s="25"/>
      <c r="D1404" s="11"/>
      <c r="E1404" s="10"/>
      <c r="O1404" s="10"/>
      <c r="V1404" s="10"/>
      <c r="W1404" s="6"/>
    </row>
    <row r="1405" spans="1:23" x14ac:dyDescent="0.2">
      <c r="A1405" s="27"/>
      <c r="B1405" s="25"/>
      <c r="D1405" s="11"/>
      <c r="E1405" s="10"/>
      <c r="O1405" s="10"/>
      <c r="V1405" s="10"/>
      <c r="W1405" s="6"/>
    </row>
    <row r="1406" spans="1:23" x14ac:dyDescent="0.2">
      <c r="A1406" s="27"/>
      <c r="B1406" s="25"/>
      <c r="D1406" s="11"/>
      <c r="E1406" s="10"/>
      <c r="O1406" s="10"/>
      <c r="V1406" s="10"/>
      <c r="W1406" s="6"/>
    </row>
    <row r="1407" spans="1:23" x14ac:dyDescent="0.2">
      <c r="A1407" s="27"/>
      <c r="B1407" s="25"/>
      <c r="D1407" s="11"/>
      <c r="E1407" s="10"/>
      <c r="O1407" s="10"/>
      <c r="V1407" s="10"/>
      <c r="W1407" s="6"/>
    </row>
    <row r="1408" spans="1:23" x14ac:dyDescent="0.2">
      <c r="A1408" s="27"/>
      <c r="B1408" s="25"/>
      <c r="D1408" s="11"/>
      <c r="E1408" s="10"/>
      <c r="O1408" s="10"/>
      <c r="V1408" s="10"/>
      <c r="W1408" s="6"/>
    </row>
    <row r="1409" spans="1:23" x14ac:dyDescent="0.2">
      <c r="A1409" s="27"/>
      <c r="B1409" s="25"/>
      <c r="D1409" s="11"/>
      <c r="E1409" s="10"/>
      <c r="O1409" s="10"/>
      <c r="V1409" s="10"/>
      <c r="W1409" s="6"/>
    </row>
    <row r="1410" spans="1:23" x14ac:dyDescent="0.2">
      <c r="A1410" s="27"/>
      <c r="B1410" s="25"/>
      <c r="D1410" s="11"/>
      <c r="E1410" s="10"/>
      <c r="O1410" s="10"/>
      <c r="V1410" s="10"/>
      <c r="W1410" s="6"/>
    </row>
    <row r="1411" spans="1:23" x14ac:dyDescent="0.2">
      <c r="A1411" s="27"/>
      <c r="B1411" s="25"/>
      <c r="D1411" s="11"/>
      <c r="E1411" s="10"/>
      <c r="O1411" s="10"/>
      <c r="V1411" s="10"/>
      <c r="W1411" s="6"/>
    </row>
    <row r="1412" spans="1:23" x14ac:dyDescent="0.2">
      <c r="A1412" s="27"/>
      <c r="B1412" s="25"/>
      <c r="D1412" s="11"/>
      <c r="E1412" s="10"/>
      <c r="O1412" s="10"/>
      <c r="V1412" s="10"/>
      <c r="W1412" s="6"/>
    </row>
    <row r="1413" spans="1:23" x14ac:dyDescent="0.2">
      <c r="A1413" s="27"/>
      <c r="B1413" s="1"/>
      <c r="D1413" s="11"/>
      <c r="E1413" s="10"/>
      <c r="O1413" s="10"/>
      <c r="V1413" s="10"/>
      <c r="W1413" s="6"/>
    </row>
    <row r="1414" spans="1:23" x14ac:dyDescent="0.2">
      <c r="A1414" s="27"/>
      <c r="B1414" s="25"/>
      <c r="D1414" s="11"/>
      <c r="E1414" s="10"/>
      <c r="O1414" s="10"/>
      <c r="V1414" s="10"/>
      <c r="W1414" s="6"/>
    </row>
    <row r="1415" spans="1:23" x14ac:dyDescent="0.2">
      <c r="A1415" s="27"/>
      <c r="B1415" s="25"/>
      <c r="D1415" s="11"/>
      <c r="E1415" s="10"/>
      <c r="O1415" s="10"/>
      <c r="V1415" s="10"/>
      <c r="W1415" s="6"/>
    </row>
    <row r="1416" spans="1:23" x14ac:dyDescent="0.2">
      <c r="A1416" s="27"/>
      <c r="B1416" s="25"/>
      <c r="D1416" s="11"/>
      <c r="E1416" s="10"/>
      <c r="O1416" s="10"/>
      <c r="V1416" s="10"/>
      <c r="W1416" s="6"/>
    </row>
    <row r="1417" spans="1:23" x14ac:dyDescent="0.2">
      <c r="A1417" s="27"/>
      <c r="B1417" s="25"/>
      <c r="D1417" s="11"/>
      <c r="E1417" s="10"/>
      <c r="O1417" s="10"/>
      <c r="V1417" s="10"/>
      <c r="W1417" s="6"/>
    </row>
    <row r="1418" spans="1:23" x14ac:dyDescent="0.2">
      <c r="A1418" s="27"/>
      <c r="B1418" s="1"/>
      <c r="D1418" s="11"/>
      <c r="E1418" s="10"/>
      <c r="O1418" s="10"/>
      <c r="V1418" s="10"/>
      <c r="W1418" s="6"/>
    </row>
    <row r="1419" spans="1:23" x14ac:dyDescent="0.2">
      <c r="A1419" s="27"/>
      <c r="B1419" s="25"/>
      <c r="D1419" s="11"/>
      <c r="E1419" s="10"/>
      <c r="O1419" s="10"/>
      <c r="V1419" s="10"/>
      <c r="W1419" s="6"/>
    </row>
    <row r="1420" spans="1:23" x14ac:dyDescent="0.2">
      <c r="A1420" s="27"/>
      <c r="B1420" s="25"/>
      <c r="D1420" s="11"/>
      <c r="E1420" s="10"/>
      <c r="O1420" s="10"/>
      <c r="V1420" s="10"/>
      <c r="W1420" s="6"/>
    </row>
    <row r="1421" spans="1:23" x14ac:dyDescent="0.2">
      <c r="A1421" s="27"/>
      <c r="B1421" s="25"/>
      <c r="D1421" s="11"/>
      <c r="E1421" s="10"/>
      <c r="O1421" s="10"/>
      <c r="V1421" s="10"/>
      <c r="W1421" s="6"/>
    </row>
    <row r="1422" spans="1:23" x14ac:dyDescent="0.2">
      <c r="A1422" s="27"/>
      <c r="B1422" s="25"/>
      <c r="D1422" s="11"/>
      <c r="E1422" s="10"/>
      <c r="O1422" s="10"/>
      <c r="V1422" s="10"/>
      <c r="W1422" s="6"/>
    </row>
    <row r="1423" spans="1:23" x14ac:dyDescent="0.2">
      <c r="A1423" s="27"/>
      <c r="B1423" s="25"/>
      <c r="D1423" s="11"/>
      <c r="E1423" s="10"/>
      <c r="O1423" s="10"/>
      <c r="V1423" s="10"/>
      <c r="W1423" s="6"/>
    </row>
    <row r="1424" spans="1:23" x14ac:dyDescent="0.2">
      <c r="A1424" s="27"/>
      <c r="B1424" s="25"/>
      <c r="D1424" s="11"/>
      <c r="E1424" s="10"/>
      <c r="O1424" s="10"/>
      <c r="V1424" s="10"/>
      <c r="W1424" s="6"/>
    </row>
    <row r="1425" spans="1:23" x14ac:dyDescent="0.2">
      <c r="A1425" s="27"/>
      <c r="B1425" s="25"/>
      <c r="D1425" s="11"/>
      <c r="E1425" s="10"/>
      <c r="O1425" s="10"/>
      <c r="V1425" s="10"/>
      <c r="W1425" s="6"/>
    </row>
    <row r="1426" spans="1:23" x14ac:dyDescent="0.2">
      <c r="A1426" s="27"/>
      <c r="B1426" s="25"/>
      <c r="D1426" s="11"/>
      <c r="E1426" s="10"/>
      <c r="O1426" s="10"/>
      <c r="V1426" s="10"/>
      <c r="W1426" s="6"/>
    </row>
    <row r="1427" spans="1:23" x14ac:dyDescent="0.2">
      <c r="A1427" s="27"/>
      <c r="B1427" s="25"/>
      <c r="D1427" s="11"/>
      <c r="E1427" s="10"/>
      <c r="O1427" s="10"/>
      <c r="V1427" s="10"/>
      <c r="W1427" s="6"/>
    </row>
    <row r="1428" spans="1:23" x14ac:dyDescent="0.2">
      <c r="A1428" s="27"/>
      <c r="B1428" s="25"/>
      <c r="D1428" s="11"/>
      <c r="E1428" s="10"/>
      <c r="O1428" s="10"/>
      <c r="V1428" s="10"/>
      <c r="W1428" s="6"/>
    </row>
    <row r="1429" spans="1:23" x14ac:dyDescent="0.2">
      <c r="A1429" s="27"/>
      <c r="B1429" s="25"/>
      <c r="D1429" s="11"/>
      <c r="E1429" s="10"/>
      <c r="O1429" s="10"/>
      <c r="V1429" s="10"/>
      <c r="W1429" s="6"/>
    </row>
    <row r="1430" spans="1:23" x14ac:dyDescent="0.2">
      <c r="A1430" s="27"/>
      <c r="B1430" s="25"/>
      <c r="D1430" s="11"/>
      <c r="E1430" s="10"/>
      <c r="O1430" s="10"/>
      <c r="V1430" s="10"/>
      <c r="W1430" s="6"/>
    </row>
    <row r="1431" spans="1:23" x14ac:dyDescent="0.2">
      <c r="A1431" s="27"/>
      <c r="B1431" s="25"/>
      <c r="D1431" s="11"/>
      <c r="E1431" s="10"/>
      <c r="O1431" s="10"/>
      <c r="V1431" s="10"/>
      <c r="W1431" s="6"/>
    </row>
    <row r="1432" spans="1:23" x14ac:dyDescent="0.2">
      <c r="A1432" s="27"/>
      <c r="B1432" s="1"/>
      <c r="D1432" s="11"/>
      <c r="E1432" s="10"/>
      <c r="O1432" s="10"/>
      <c r="V1432" s="10"/>
      <c r="W1432" s="6"/>
    </row>
    <row r="1433" spans="1:23" x14ac:dyDescent="0.2">
      <c r="A1433" s="27"/>
      <c r="B1433" s="25"/>
      <c r="D1433" s="11"/>
      <c r="E1433" s="10"/>
      <c r="O1433" s="10"/>
      <c r="V1433" s="10"/>
      <c r="W1433" s="6"/>
    </row>
    <row r="1434" spans="1:23" x14ac:dyDescent="0.2">
      <c r="A1434" s="27"/>
      <c r="B1434" s="25"/>
      <c r="D1434" s="11"/>
      <c r="E1434" s="10"/>
      <c r="O1434" s="10"/>
      <c r="V1434" s="10"/>
      <c r="W1434" s="6"/>
    </row>
    <row r="1435" spans="1:23" x14ac:dyDescent="0.2">
      <c r="A1435" s="27"/>
      <c r="B1435" s="25"/>
      <c r="D1435" s="11"/>
      <c r="E1435" s="10"/>
      <c r="O1435" s="10"/>
      <c r="V1435" s="10"/>
      <c r="W1435" s="6"/>
    </row>
    <row r="1436" spans="1:23" x14ac:dyDescent="0.2">
      <c r="A1436" s="27"/>
      <c r="B1436" s="25"/>
      <c r="D1436" s="11"/>
      <c r="E1436" s="10"/>
      <c r="O1436" s="10"/>
      <c r="V1436" s="10"/>
      <c r="W1436" s="6"/>
    </row>
    <row r="1437" spans="1:23" x14ac:dyDescent="0.2">
      <c r="A1437" s="27"/>
      <c r="B1437" s="25"/>
      <c r="D1437" s="11"/>
      <c r="E1437" s="10"/>
      <c r="O1437" s="10"/>
      <c r="V1437" s="10"/>
    </row>
    <row r="1438" spans="1:23" x14ac:dyDescent="0.2">
      <c r="A1438" s="27"/>
      <c r="B1438" s="25"/>
      <c r="D1438" s="11"/>
      <c r="E1438" s="10"/>
      <c r="O1438" s="10"/>
      <c r="V1438" s="10"/>
      <c r="W1438" s="29"/>
    </row>
    <row r="1439" spans="1:23" x14ac:dyDescent="0.2">
      <c r="A1439" s="27"/>
      <c r="B1439" s="25"/>
      <c r="D1439" s="11"/>
      <c r="E1439" s="10"/>
      <c r="O1439" s="10"/>
      <c r="V1439" s="10"/>
      <c r="W1439" s="6"/>
    </row>
    <row r="1440" spans="1:23" x14ac:dyDescent="0.2">
      <c r="A1440" s="27"/>
      <c r="B1440" s="25"/>
      <c r="D1440" s="11"/>
      <c r="E1440" s="10"/>
      <c r="O1440" s="10"/>
      <c r="V1440" s="10"/>
      <c r="W1440" s="6"/>
    </row>
    <row r="1441" spans="1:23" x14ac:dyDescent="0.2">
      <c r="A1441" s="27"/>
      <c r="B1441" s="25"/>
      <c r="D1441" s="11"/>
      <c r="E1441" s="10"/>
      <c r="O1441" s="10"/>
      <c r="V1441" s="10"/>
      <c r="W1441" s="6"/>
    </row>
    <row r="1442" spans="1:23" x14ac:dyDescent="0.2">
      <c r="A1442" s="27"/>
      <c r="B1442" s="25"/>
      <c r="D1442" s="11"/>
      <c r="E1442" s="10"/>
      <c r="O1442" s="10"/>
      <c r="V1442" s="10"/>
      <c r="W1442" s="6"/>
    </row>
    <row r="1443" spans="1:23" x14ac:dyDescent="0.2">
      <c r="A1443" s="27"/>
      <c r="B1443" s="25"/>
      <c r="D1443" s="11"/>
      <c r="E1443" s="10"/>
      <c r="O1443" s="10"/>
      <c r="V1443" s="10"/>
      <c r="W1443" s="6"/>
    </row>
    <row r="1444" spans="1:23" x14ac:dyDescent="0.2">
      <c r="A1444" s="27"/>
      <c r="B1444" s="25"/>
      <c r="D1444" s="11"/>
      <c r="E1444" s="10"/>
      <c r="O1444" s="10"/>
      <c r="V1444" s="10"/>
      <c r="W1444" s="6"/>
    </row>
    <row r="1445" spans="1:23" x14ac:dyDescent="0.2">
      <c r="A1445" s="27"/>
      <c r="B1445" s="25"/>
      <c r="D1445" s="11"/>
      <c r="E1445" s="10"/>
      <c r="O1445" s="10"/>
      <c r="V1445" s="10"/>
      <c r="W1445" s="6"/>
    </row>
    <row r="1446" spans="1:23" x14ac:dyDescent="0.2">
      <c r="A1446" s="27"/>
      <c r="B1446" s="1"/>
      <c r="D1446" s="11"/>
      <c r="E1446" s="10"/>
      <c r="O1446" s="10"/>
      <c r="V1446" s="10"/>
      <c r="W1446" s="6"/>
    </row>
    <row r="1447" spans="1:23" x14ac:dyDescent="0.2">
      <c r="A1447" s="27"/>
      <c r="B1447" s="25"/>
      <c r="D1447" s="11"/>
      <c r="E1447" s="10"/>
      <c r="O1447" s="10"/>
      <c r="V1447" s="10"/>
      <c r="W1447" s="6"/>
    </row>
    <row r="1448" spans="1:23" x14ac:dyDescent="0.2">
      <c r="A1448" s="27"/>
      <c r="B1448" s="25"/>
      <c r="D1448" s="11"/>
      <c r="E1448" s="10"/>
      <c r="O1448" s="10"/>
      <c r="V1448" s="10"/>
      <c r="W1448" s="6"/>
    </row>
    <row r="1449" spans="1:23" x14ac:dyDescent="0.2">
      <c r="A1449" s="27"/>
      <c r="B1449" s="25"/>
      <c r="D1449" s="11"/>
      <c r="E1449" s="10"/>
      <c r="O1449" s="10"/>
      <c r="V1449" s="10"/>
      <c r="W1449" s="6"/>
    </row>
    <row r="1450" spans="1:23" x14ac:dyDescent="0.2">
      <c r="A1450" s="27"/>
      <c r="B1450" s="1"/>
      <c r="D1450" s="11"/>
      <c r="E1450" s="10"/>
      <c r="O1450" s="10"/>
      <c r="V1450" s="10"/>
      <c r="W1450" s="6"/>
    </row>
    <row r="1451" spans="1:23" x14ac:dyDescent="0.2">
      <c r="A1451" s="27"/>
      <c r="B1451" s="25"/>
      <c r="D1451" s="11"/>
      <c r="E1451" s="10"/>
      <c r="O1451" s="10"/>
      <c r="V1451" s="10"/>
      <c r="W1451" s="6"/>
    </row>
    <row r="1452" spans="1:23" x14ac:dyDescent="0.2">
      <c r="A1452" s="27"/>
      <c r="B1452" s="25"/>
      <c r="D1452" s="11"/>
      <c r="E1452" s="10"/>
      <c r="O1452" s="10"/>
      <c r="V1452" s="10"/>
      <c r="W1452" s="6"/>
    </row>
    <row r="1453" spans="1:23" x14ac:dyDescent="0.2">
      <c r="A1453" s="27"/>
      <c r="B1453" s="25"/>
      <c r="D1453" s="11"/>
      <c r="E1453" s="10"/>
      <c r="O1453" s="10"/>
      <c r="V1453" s="10"/>
      <c r="W1453" s="6"/>
    </row>
    <row r="1454" spans="1:23" x14ac:dyDescent="0.2">
      <c r="A1454" s="27"/>
      <c r="B1454" s="25"/>
      <c r="D1454" s="11"/>
      <c r="E1454" s="10"/>
      <c r="O1454" s="10"/>
      <c r="V1454" s="10"/>
      <c r="W1454" s="6"/>
    </row>
    <row r="1455" spans="1:23" x14ac:dyDescent="0.2">
      <c r="A1455" s="27"/>
      <c r="B1455" s="25"/>
      <c r="D1455" s="11"/>
      <c r="E1455" s="10"/>
      <c r="O1455" s="10"/>
      <c r="V1455" s="10"/>
      <c r="W1455" s="6"/>
    </row>
    <row r="1456" spans="1:23" x14ac:dyDescent="0.2">
      <c r="A1456" s="27"/>
      <c r="B1456" s="25"/>
      <c r="D1456" s="11"/>
      <c r="E1456" s="10"/>
      <c r="O1456" s="10"/>
      <c r="V1456" s="10"/>
      <c r="W1456" s="6"/>
    </row>
    <row r="1457" spans="1:23" x14ac:dyDescent="0.2">
      <c r="A1457" s="27"/>
      <c r="B1457" s="25"/>
      <c r="D1457" s="11"/>
      <c r="E1457" s="10"/>
      <c r="O1457" s="10"/>
      <c r="V1457" s="10"/>
      <c r="W1457" s="6"/>
    </row>
    <row r="1458" spans="1:23" x14ac:dyDescent="0.2">
      <c r="A1458" s="27"/>
      <c r="B1458" s="25"/>
      <c r="D1458" s="11"/>
      <c r="E1458" s="10"/>
      <c r="O1458" s="10"/>
      <c r="V1458" s="10"/>
      <c r="W1458" s="6"/>
    </row>
    <row r="1459" spans="1:23" x14ac:dyDescent="0.2">
      <c r="A1459" s="27"/>
      <c r="B1459" s="25"/>
      <c r="D1459" s="11"/>
      <c r="E1459" s="10"/>
      <c r="O1459" s="10"/>
      <c r="V1459" s="10"/>
      <c r="W1459" s="6"/>
    </row>
    <row r="1460" spans="1:23" x14ac:dyDescent="0.2">
      <c r="A1460" s="27"/>
      <c r="B1460" s="25"/>
      <c r="D1460" s="11"/>
      <c r="E1460" s="10"/>
      <c r="O1460" s="10"/>
      <c r="V1460" s="10"/>
      <c r="W1460" s="6"/>
    </row>
    <row r="1461" spans="1:23" x14ac:dyDescent="0.2">
      <c r="A1461" s="27"/>
      <c r="B1461" s="25"/>
      <c r="D1461" s="11"/>
      <c r="E1461" s="10"/>
      <c r="O1461" s="10"/>
      <c r="V1461" s="10"/>
      <c r="W1461" s="6"/>
    </row>
    <row r="1462" spans="1:23" x14ac:dyDescent="0.2">
      <c r="A1462" s="27"/>
      <c r="B1462" s="25"/>
      <c r="D1462" s="11"/>
      <c r="E1462" s="10"/>
      <c r="O1462" s="10"/>
      <c r="V1462" s="10"/>
      <c r="W1462" s="6"/>
    </row>
    <row r="1463" spans="1:23" x14ac:dyDescent="0.2">
      <c r="A1463" s="27"/>
      <c r="B1463" s="25"/>
      <c r="D1463" s="11"/>
      <c r="E1463" s="10"/>
      <c r="O1463" s="10"/>
      <c r="V1463" s="10"/>
      <c r="W1463" s="6"/>
    </row>
    <row r="1464" spans="1:23" x14ac:dyDescent="0.2">
      <c r="A1464" s="27"/>
      <c r="B1464" s="25"/>
      <c r="D1464" s="11"/>
      <c r="E1464" s="10"/>
      <c r="O1464" s="10"/>
      <c r="V1464" s="10"/>
      <c r="W1464" s="6"/>
    </row>
    <row r="1465" spans="1:23" x14ac:dyDescent="0.2">
      <c r="A1465" s="27"/>
      <c r="B1465" s="25"/>
      <c r="D1465" s="11"/>
      <c r="E1465" s="10"/>
      <c r="O1465" s="10"/>
      <c r="V1465" s="10"/>
      <c r="W1465" s="6"/>
    </row>
    <row r="1466" spans="1:23" x14ac:dyDescent="0.2">
      <c r="A1466" s="27"/>
      <c r="B1466" s="25"/>
      <c r="D1466" s="11"/>
      <c r="E1466" s="10"/>
      <c r="O1466" s="10"/>
      <c r="V1466" s="10"/>
      <c r="W1466" s="6"/>
    </row>
    <row r="1467" spans="1:23" x14ac:dyDescent="0.2">
      <c r="A1467" s="27"/>
      <c r="B1467" s="25"/>
      <c r="D1467" s="11"/>
      <c r="E1467" s="10"/>
      <c r="O1467" s="10"/>
      <c r="V1467" s="10"/>
      <c r="W1467" s="6"/>
    </row>
    <row r="1468" spans="1:23" x14ac:dyDescent="0.2">
      <c r="A1468" s="27"/>
      <c r="B1468" s="25"/>
      <c r="D1468" s="11"/>
      <c r="E1468" s="10"/>
      <c r="O1468" s="10"/>
      <c r="V1468" s="10"/>
      <c r="W1468" s="6"/>
    </row>
    <row r="1469" spans="1:23" x14ac:dyDescent="0.2">
      <c r="A1469" s="27"/>
      <c r="B1469" s="25"/>
      <c r="D1469" s="11"/>
      <c r="E1469" s="10"/>
      <c r="O1469" s="10"/>
      <c r="V1469" s="10"/>
      <c r="W1469" s="6"/>
    </row>
    <row r="1470" spans="1:23" x14ac:dyDescent="0.2">
      <c r="A1470" s="27"/>
      <c r="B1470" s="25"/>
      <c r="D1470" s="11"/>
      <c r="E1470" s="10"/>
      <c r="O1470" s="10"/>
      <c r="V1470" s="10"/>
      <c r="W1470" s="6"/>
    </row>
    <row r="1471" spans="1:23" x14ac:dyDescent="0.2">
      <c r="A1471" s="27"/>
      <c r="B1471" s="25"/>
      <c r="D1471" s="11"/>
      <c r="E1471" s="10"/>
      <c r="O1471" s="10"/>
      <c r="V1471" s="10"/>
      <c r="W1471" s="6"/>
    </row>
    <row r="1472" spans="1:23" x14ac:dyDescent="0.2">
      <c r="A1472" s="27"/>
      <c r="B1472" s="25"/>
      <c r="D1472" s="11"/>
      <c r="E1472" s="10"/>
      <c r="O1472" s="10"/>
      <c r="V1472" s="10"/>
      <c r="W1472" s="6"/>
    </row>
    <row r="1473" spans="1:23" x14ac:dyDescent="0.2">
      <c r="A1473" s="27"/>
      <c r="B1473" s="1"/>
      <c r="D1473" s="11"/>
      <c r="E1473" s="10"/>
      <c r="O1473" s="10"/>
      <c r="V1473" s="10"/>
      <c r="W1473" s="6"/>
    </row>
    <row r="1474" spans="1:23" x14ac:dyDescent="0.2">
      <c r="A1474" s="27"/>
      <c r="B1474" s="25"/>
      <c r="D1474" s="11"/>
      <c r="E1474" s="10"/>
      <c r="O1474" s="10"/>
      <c r="V1474" s="10"/>
      <c r="W1474" s="6"/>
    </row>
    <row r="1475" spans="1:23" x14ac:dyDescent="0.2">
      <c r="A1475" s="27"/>
      <c r="B1475" s="25"/>
      <c r="D1475" s="11"/>
      <c r="E1475" s="10"/>
      <c r="O1475" s="10"/>
      <c r="V1475" s="10"/>
      <c r="W1475" s="6"/>
    </row>
    <row r="1476" spans="1:23" x14ac:dyDescent="0.2">
      <c r="A1476" s="27"/>
      <c r="B1476" s="25"/>
      <c r="D1476" s="11"/>
      <c r="E1476" s="10"/>
      <c r="O1476" s="10"/>
      <c r="V1476" s="10"/>
      <c r="W1476" s="6"/>
    </row>
    <row r="1477" spans="1:23" x14ac:dyDescent="0.2">
      <c r="A1477" s="27"/>
      <c r="B1477" s="25"/>
      <c r="D1477" s="11"/>
      <c r="E1477" s="10"/>
      <c r="O1477" s="10"/>
      <c r="V1477" s="10"/>
      <c r="W1477" s="6"/>
    </row>
    <row r="1478" spans="1:23" x14ac:dyDescent="0.2">
      <c r="A1478" s="27"/>
      <c r="B1478" s="25"/>
      <c r="D1478" s="11"/>
      <c r="E1478" s="10"/>
      <c r="O1478" s="10"/>
      <c r="V1478" s="10"/>
      <c r="W1478" s="6"/>
    </row>
    <row r="1479" spans="1:23" x14ac:dyDescent="0.2">
      <c r="A1479" s="27"/>
      <c r="B1479" s="25"/>
      <c r="D1479" s="11"/>
      <c r="E1479" s="10"/>
      <c r="O1479" s="10"/>
      <c r="V1479" s="10"/>
      <c r="W1479" s="6"/>
    </row>
    <row r="1480" spans="1:23" x14ac:dyDescent="0.2">
      <c r="A1480" s="27"/>
      <c r="B1480" s="25"/>
      <c r="D1480" s="11"/>
      <c r="E1480" s="10"/>
      <c r="O1480" s="10"/>
      <c r="V1480" s="10"/>
      <c r="W1480" s="6"/>
    </row>
    <row r="1481" spans="1:23" x14ac:dyDescent="0.2">
      <c r="A1481" s="27"/>
      <c r="B1481" s="25"/>
      <c r="D1481" s="11"/>
      <c r="E1481" s="10"/>
      <c r="O1481" s="10"/>
      <c r="V1481" s="10"/>
      <c r="W1481" s="6"/>
    </row>
    <row r="1482" spans="1:23" x14ac:dyDescent="0.2">
      <c r="A1482" s="27"/>
      <c r="B1482" s="25"/>
      <c r="D1482" s="11"/>
      <c r="E1482" s="10"/>
      <c r="O1482" s="10"/>
      <c r="V1482" s="10"/>
      <c r="W1482" s="6"/>
    </row>
    <row r="1483" spans="1:23" x14ac:dyDescent="0.2">
      <c r="A1483" s="27"/>
      <c r="B1483" s="25"/>
      <c r="D1483" s="11"/>
      <c r="E1483" s="10"/>
      <c r="O1483" s="10"/>
      <c r="V1483" s="10"/>
      <c r="W1483" s="6"/>
    </row>
    <row r="1484" spans="1:23" x14ac:dyDescent="0.2">
      <c r="A1484" s="27"/>
      <c r="B1484" s="25"/>
      <c r="D1484" s="11"/>
      <c r="E1484" s="10"/>
      <c r="O1484" s="10"/>
      <c r="V1484" s="10"/>
      <c r="W1484" s="6"/>
    </row>
    <row r="1485" spans="1:23" x14ac:dyDescent="0.2">
      <c r="A1485" s="27"/>
      <c r="B1485" s="1"/>
      <c r="D1485" s="11"/>
      <c r="E1485" s="10"/>
      <c r="O1485" s="10"/>
      <c r="V1485" s="10"/>
      <c r="W1485" s="6"/>
    </row>
    <row r="1486" spans="1:23" x14ac:dyDescent="0.2">
      <c r="A1486" s="27"/>
      <c r="B1486" s="25"/>
      <c r="D1486" s="11"/>
      <c r="E1486" s="10"/>
      <c r="O1486" s="10"/>
      <c r="V1486" s="10"/>
      <c r="W1486" s="6"/>
    </row>
    <row r="1487" spans="1:23" x14ac:dyDescent="0.2">
      <c r="A1487" s="27"/>
      <c r="B1487" s="25"/>
      <c r="D1487" s="11"/>
      <c r="E1487" s="10"/>
      <c r="O1487" s="10"/>
      <c r="V1487" s="10"/>
      <c r="W1487" s="6"/>
    </row>
    <row r="1488" spans="1:23" x14ac:dyDescent="0.2">
      <c r="A1488" s="27"/>
      <c r="B1488" s="25"/>
      <c r="D1488" s="11"/>
      <c r="E1488" s="10"/>
      <c r="O1488" s="10"/>
      <c r="V1488" s="10"/>
      <c r="W1488" s="6"/>
    </row>
    <row r="1489" spans="1:23" x14ac:dyDescent="0.2">
      <c r="A1489" s="27"/>
      <c r="B1489" s="25"/>
      <c r="D1489" s="11"/>
      <c r="E1489" s="10"/>
      <c r="O1489" s="10"/>
      <c r="V1489" s="10"/>
      <c r="W1489" s="6"/>
    </row>
    <row r="1490" spans="1:23" x14ac:dyDescent="0.2">
      <c r="A1490" s="27"/>
      <c r="B1490" s="25"/>
      <c r="D1490" s="11"/>
      <c r="E1490" s="10"/>
      <c r="O1490" s="10"/>
      <c r="V1490" s="10"/>
      <c r="W1490" s="6"/>
    </row>
    <row r="1491" spans="1:23" x14ac:dyDescent="0.2">
      <c r="A1491" s="27"/>
      <c r="B1491" s="25"/>
      <c r="D1491" s="11"/>
      <c r="E1491" s="10"/>
      <c r="O1491" s="10"/>
      <c r="V1491" s="10"/>
      <c r="W1491" s="6"/>
    </row>
    <row r="1492" spans="1:23" x14ac:dyDescent="0.2">
      <c r="A1492" s="27"/>
      <c r="B1492" s="1"/>
      <c r="D1492" s="11"/>
      <c r="E1492" s="10"/>
      <c r="O1492" s="10"/>
      <c r="V1492" s="10"/>
      <c r="W1492" s="6"/>
    </row>
    <row r="1493" spans="1:23" x14ac:dyDescent="0.2">
      <c r="A1493" s="27"/>
      <c r="B1493" s="25"/>
      <c r="D1493" s="11"/>
      <c r="E1493" s="10"/>
      <c r="O1493" s="10"/>
      <c r="V1493" s="10"/>
      <c r="W1493" s="6"/>
    </row>
    <row r="1494" spans="1:23" x14ac:dyDescent="0.2">
      <c r="A1494" s="27"/>
      <c r="B1494" s="25"/>
      <c r="D1494" s="11"/>
      <c r="E1494" s="10"/>
      <c r="O1494" s="10"/>
      <c r="V1494" s="10"/>
      <c r="W1494" s="6"/>
    </row>
    <row r="1495" spans="1:23" x14ac:dyDescent="0.2">
      <c r="A1495" s="27"/>
      <c r="B1495" s="1"/>
      <c r="D1495" s="11"/>
      <c r="E1495" s="10"/>
      <c r="O1495" s="10"/>
      <c r="V1495" s="10"/>
      <c r="W1495" s="6"/>
    </row>
    <row r="1496" spans="1:23" x14ac:dyDescent="0.2">
      <c r="A1496" s="27"/>
      <c r="B1496" s="25"/>
      <c r="D1496" s="11"/>
      <c r="E1496" s="10"/>
      <c r="O1496" s="10"/>
      <c r="V1496" s="10"/>
      <c r="W1496" s="6"/>
    </row>
    <row r="1497" spans="1:23" x14ac:dyDescent="0.2">
      <c r="A1497" s="27"/>
      <c r="B1497" s="25"/>
      <c r="D1497" s="11"/>
      <c r="E1497" s="10"/>
      <c r="O1497" s="10"/>
      <c r="V1497" s="10"/>
      <c r="W1497" s="6"/>
    </row>
    <row r="1498" spans="1:23" x14ac:dyDescent="0.2">
      <c r="A1498" s="27"/>
      <c r="B1498" s="25"/>
      <c r="D1498" s="11"/>
      <c r="E1498" s="10"/>
      <c r="O1498" s="10"/>
      <c r="V1498" s="10"/>
      <c r="W1498" s="6"/>
    </row>
    <row r="1499" spans="1:23" x14ac:dyDescent="0.2">
      <c r="A1499" s="27"/>
      <c r="B1499" s="25"/>
      <c r="D1499" s="11"/>
      <c r="E1499" s="10"/>
      <c r="O1499" s="10"/>
      <c r="V1499" s="10"/>
      <c r="W1499" s="6"/>
    </row>
    <row r="1500" spans="1:23" x14ac:dyDescent="0.2">
      <c r="A1500" s="27"/>
      <c r="B1500" s="1"/>
      <c r="D1500" s="11"/>
      <c r="E1500" s="10"/>
      <c r="O1500" s="10"/>
      <c r="V1500" s="10"/>
    </row>
    <row r="1501" spans="1:23" x14ac:dyDescent="0.2">
      <c r="A1501" s="27"/>
      <c r="B1501" s="25"/>
      <c r="D1501" s="11"/>
      <c r="E1501" s="10"/>
      <c r="O1501" s="10"/>
      <c r="V1501" s="10"/>
      <c r="W1501" s="6"/>
    </row>
    <row r="1502" spans="1:23" x14ac:dyDescent="0.2">
      <c r="A1502" s="27"/>
      <c r="B1502" s="25"/>
      <c r="D1502" s="11"/>
      <c r="E1502" s="10"/>
      <c r="O1502" s="10"/>
      <c r="V1502" s="10"/>
      <c r="W1502" s="6"/>
    </row>
    <row r="1503" spans="1:23" x14ac:dyDescent="0.2">
      <c r="A1503" s="27"/>
      <c r="B1503" s="25"/>
      <c r="D1503" s="11"/>
      <c r="E1503" s="10"/>
      <c r="O1503" s="10"/>
      <c r="V1503" s="10"/>
      <c r="W1503" s="6"/>
    </row>
    <row r="1504" spans="1:23" x14ac:dyDescent="0.2">
      <c r="A1504" s="27"/>
      <c r="B1504" s="25"/>
      <c r="D1504" s="11"/>
      <c r="E1504" s="10"/>
      <c r="O1504" s="10"/>
      <c r="V1504" s="10"/>
    </row>
    <row r="1505" spans="1:23" x14ac:dyDescent="0.2">
      <c r="A1505" s="27"/>
      <c r="B1505" s="25"/>
      <c r="D1505" s="11"/>
      <c r="E1505" s="10"/>
      <c r="O1505" s="10"/>
      <c r="V1505" s="10"/>
      <c r="W1505" s="6"/>
    </row>
    <row r="1506" spans="1:23" x14ac:dyDescent="0.2">
      <c r="A1506" s="27"/>
      <c r="B1506" s="25"/>
      <c r="D1506" s="11"/>
      <c r="E1506" s="10"/>
      <c r="O1506" s="10"/>
      <c r="V1506" s="10"/>
      <c r="W1506" s="6"/>
    </row>
    <row r="1507" spans="1:23" x14ac:dyDescent="0.2">
      <c r="A1507" s="27"/>
      <c r="B1507" s="25"/>
      <c r="D1507" s="11"/>
      <c r="E1507" s="10"/>
      <c r="O1507" s="10"/>
      <c r="V1507" s="10"/>
      <c r="W1507" s="6"/>
    </row>
    <row r="1508" spans="1:23" x14ac:dyDescent="0.2">
      <c r="A1508" s="27"/>
      <c r="B1508" s="25"/>
      <c r="D1508" s="11"/>
      <c r="E1508" s="10"/>
      <c r="O1508" s="10"/>
      <c r="V1508" s="10"/>
      <c r="W1508" s="6"/>
    </row>
    <row r="1509" spans="1:23" x14ac:dyDescent="0.2">
      <c r="A1509" s="27"/>
      <c r="B1509" s="25"/>
      <c r="D1509" s="11"/>
      <c r="E1509" s="10"/>
      <c r="O1509" s="10"/>
      <c r="V1509" s="10"/>
      <c r="W1509" s="6"/>
    </row>
    <row r="1510" spans="1:23" x14ac:dyDescent="0.2">
      <c r="A1510" s="27"/>
      <c r="B1510" s="25"/>
      <c r="D1510" s="11"/>
      <c r="E1510" s="10"/>
      <c r="O1510" s="10"/>
      <c r="V1510" s="10"/>
      <c r="W1510" s="6"/>
    </row>
    <row r="1511" spans="1:23" x14ac:dyDescent="0.2">
      <c r="A1511" s="27"/>
      <c r="B1511" s="25"/>
      <c r="D1511" s="11"/>
      <c r="E1511" s="10"/>
      <c r="O1511" s="10"/>
      <c r="V1511" s="10"/>
      <c r="W1511" s="6"/>
    </row>
    <row r="1512" spans="1:23" x14ac:dyDescent="0.2">
      <c r="A1512" s="27"/>
      <c r="B1512" s="25"/>
      <c r="D1512" s="11"/>
      <c r="E1512" s="10"/>
      <c r="O1512" s="10"/>
      <c r="V1512" s="10"/>
      <c r="W1512" s="6"/>
    </row>
    <row r="1513" spans="1:23" x14ac:dyDescent="0.2">
      <c r="A1513" s="27"/>
      <c r="B1513" s="25"/>
      <c r="D1513" s="11"/>
      <c r="E1513" s="10"/>
      <c r="O1513" s="10"/>
      <c r="V1513" s="10"/>
      <c r="W1513" s="6"/>
    </row>
    <row r="1514" spans="1:23" x14ac:dyDescent="0.2">
      <c r="A1514" s="27"/>
      <c r="B1514" s="25"/>
      <c r="D1514" s="11"/>
      <c r="E1514" s="10"/>
      <c r="O1514" s="10"/>
      <c r="V1514" s="10"/>
      <c r="W1514" s="6"/>
    </row>
    <row r="1515" spans="1:23" x14ac:dyDescent="0.2">
      <c r="A1515" s="27"/>
      <c r="B1515" s="25"/>
      <c r="D1515" s="11"/>
      <c r="E1515" s="10"/>
      <c r="O1515" s="10"/>
      <c r="V1515" s="10"/>
      <c r="W1515" s="6"/>
    </row>
    <row r="1516" spans="1:23" x14ac:dyDescent="0.2">
      <c r="A1516" s="27"/>
      <c r="B1516" s="1"/>
      <c r="D1516" s="11"/>
      <c r="E1516" s="10"/>
      <c r="O1516" s="10"/>
      <c r="V1516" s="10"/>
      <c r="W1516" s="6"/>
    </row>
    <row r="1517" spans="1:23" x14ac:dyDescent="0.2">
      <c r="A1517" s="27"/>
      <c r="B1517" s="25"/>
      <c r="D1517" s="11"/>
      <c r="E1517" s="10"/>
      <c r="O1517" s="10"/>
      <c r="V1517" s="10"/>
      <c r="W1517" s="6"/>
    </row>
    <row r="1518" spans="1:23" x14ac:dyDescent="0.2">
      <c r="A1518" s="27"/>
      <c r="B1518" s="25"/>
      <c r="D1518" s="11"/>
      <c r="E1518" s="10"/>
      <c r="O1518" s="10"/>
      <c r="V1518" s="10"/>
      <c r="W1518" s="6"/>
    </row>
    <row r="1519" spans="1:23" x14ac:dyDescent="0.2">
      <c r="A1519" s="27"/>
      <c r="B1519" s="1"/>
      <c r="D1519" s="11"/>
      <c r="E1519" s="10"/>
      <c r="O1519" s="10"/>
      <c r="V1519" s="10"/>
      <c r="W1519" s="6"/>
    </row>
    <row r="1520" spans="1:23" x14ac:dyDescent="0.2">
      <c r="A1520" s="27"/>
      <c r="B1520" s="25"/>
      <c r="D1520" s="11"/>
      <c r="E1520" s="10"/>
      <c r="O1520" s="10"/>
      <c r="V1520" s="10"/>
      <c r="W1520" s="6"/>
    </row>
    <row r="1521" spans="1:23" x14ac:dyDescent="0.2">
      <c r="A1521" s="27"/>
      <c r="B1521" s="25"/>
      <c r="D1521" s="11"/>
      <c r="E1521" s="10"/>
      <c r="O1521" s="10"/>
      <c r="V1521" s="10"/>
      <c r="W1521" s="6"/>
    </row>
    <row r="1522" spans="1:23" x14ac:dyDescent="0.2">
      <c r="A1522" s="27"/>
      <c r="B1522" s="25"/>
      <c r="D1522" s="11"/>
      <c r="E1522" s="10"/>
      <c r="O1522" s="10"/>
      <c r="V1522" s="10"/>
      <c r="W1522" s="6"/>
    </row>
    <row r="1523" spans="1:23" x14ac:dyDescent="0.2">
      <c r="A1523" s="27"/>
      <c r="B1523" s="25"/>
      <c r="D1523" s="11"/>
      <c r="E1523" s="10"/>
      <c r="O1523" s="10"/>
      <c r="V1523" s="10"/>
      <c r="W1523" s="6"/>
    </row>
    <row r="1524" spans="1:23" x14ac:dyDescent="0.2">
      <c r="A1524" s="27"/>
      <c r="B1524" s="25"/>
      <c r="D1524" s="11"/>
      <c r="E1524" s="10"/>
      <c r="O1524" s="10"/>
      <c r="V1524" s="10"/>
      <c r="W1524" s="6"/>
    </row>
    <row r="1525" spans="1:23" x14ac:dyDescent="0.2">
      <c r="A1525" s="27"/>
      <c r="B1525" s="25"/>
      <c r="D1525" s="11"/>
      <c r="E1525" s="10"/>
      <c r="O1525" s="10"/>
      <c r="V1525" s="10"/>
      <c r="W1525" s="6"/>
    </row>
    <row r="1526" spans="1:23" x14ac:dyDescent="0.2">
      <c r="A1526" s="27"/>
      <c r="B1526" s="25"/>
      <c r="D1526" s="11"/>
      <c r="E1526" s="10"/>
      <c r="O1526" s="10"/>
      <c r="V1526" s="10"/>
      <c r="W1526" s="6"/>
    </row>
    <row r="1527" spans="1:23" x14ac:dyDescent="0.2">
      <c r="A1527" s="27"/>
      <c r="B1527" s="25"/>
      <c r="D1527" s="11"/>
      <c r="E1527" s="10"/>
      <c r="O1527" s="10"/>
      <c r="V1527" s="10"/>
      <c r="W1527" s="6"/>
    </row>
    <row r="1528" spans="1:23" x14ac:dyDescent="0.2">
      <c r="A1528" s="27"/>
      <c r="B1528" s="25"/>
      <c r="D1528" s="11"/>
      <c r="E1528" s="10"/>
      <c r="O1528" s="10"/>
      <c r="V1528" s="10"/>
      <c r="W1528" s="6"/>
    </row>
    <row r="1529" spans="1:23" x14ac:dyDescent="0.2">
      <c r="A1529" s="27"/>
      <c r="B1529" s="25"/>
      <c r="D1529" s="11"/>
      <c r="E1529" s="10"/>
      <c r="O1529" s="10"/>
      <c r="V1529" s="10"/>
      <c r="W1529" s="6"/>
    </row>
    <row r="1530" spans="1:23" x14ac:dyDescent="0.2">
      <c r="A1530" s="27"/>
      <c r="B1530" s="25"/>
      <c r="D1530" s="11"/>
      <c r="E1530" s="10"/>
      <c r="O1530" s="10"/>
      <c r="V1530" s="10"/>
      <c r="W1530" s="6"/>
    </row>
    <row r="1531" spans="1:23" x14ac:dyDescent="0.2">
      <c r="A1531" s="27"/>
      <c r="B1531" s="25"/>
      <c r="D1531" s="11"/>
      <c r="E1531" s="10"/>
      <c r="O1531" s="10"/>
      <c r="V1531" s="10"/>
      <c r="W1531" s="6"/>
    </row>
    <row r="1532" spans="1:23" x14ac:dyDescent="0.2">
      <c r="A1532" s="27"/>
      <c r="B1532" s="25"/>
      <c r="D1532" s="11"/>
      <c r="E1532" s="10"/>
      <c r="O1532" s="10"/>
      <c r="V1532" s="10"/>
      <c r="W1532" s="6"/>
    </row>
    <row r="1533" spans="1:23" x14ac:dyDescent="0.2">
      <c r="A1533" s="27"/>
      <c r="B1533" s="25"/>
      <c r="D1533" s="11"/>
      <c r="E1533" s="10"/>
      <c r="O1533" s="10"/>
      <c r="V1533" s="10"/>
      <c r="W1533" s="6"/>
    </row>
    <row r="1534" spans="1:23" x14ac:dyDescent="0.2">
      <c r="A1534" s="27"/>
      <c r="B1534" s="25"/>
      <c r="D1534" s="11"/>
      <c r="E1534" s="10"/>
      <c r="O1534" s="10"/>
      <c r="V1534" s="10"/>
      <c r="W1534" s="6"/>
    </row>
    <row r="1535" spans="1:23" x14ac:dyDescent="0.2">
      <c r="A1535" s="27"/>
      <c r="B1535" s="25"/>
      <c r="D1535" s="11"/>
      <c r="E1535" s="10"/>
      <c r="O1535" s="10"/>
      <c r="V1535" s="10"/>
      <c r="W1535" s="6"/>
    </row>
    <row r="1536" spans="1:23" x14ac:dyDescent="0.2">
      <c r="A1536" s="27"/>
      <c r="B1536" s="25"/>
      <c r="D1536" s="11"/>
      <c r="E1536" s="10"/>
      <c r="O1536" s="10"/>
      <c r="V1536" s="10"/>
      <c r="W1536" s="6"/>
    </row>
    <row r="1537" spans="1:23" x14ac:dyDescent="0.2">
      <c r="A1537" s="27"/>
      <c r="B1537" s="25"/>
      <c r="D1537" s="11"/>
      <c r="E1537" s="10"/>
      <c r="O1537" s="10"/>
      <c r="V1537" s="10"/>
      <c r="W1537" s="6"/>
    </row>
    <row r="1538" spans="1:23" x14ac:dyDescent="0.2">
      <c r="A1538" s="27"/>
      <c r="B1538" s="25"/>
      <c r="D1538" s="11"/>
      <c r="E1538" s="10"/>
      <c r="O1538" s="10"/>
      <c r="V1538" s="10"/>
      <c r="W1538" s="6"/>
    </row>
    <row r="1539" spans="1:23" x14ac:dyDescent="0.2">
      <c r="A1539" s="27"/>
      <c r="B1539" s="25"/>
      <c r="D1539" s="11"/>
      <c r="E1539" s="10"/>
      <c r="O1539" s="10"/>
      <c r="V1539" s="10"/>
      <c r="W1539" s="6"/>
    </row>
    <row r="1540" spans="1:23" x14ac:dyDescent="0.2">
      <c r="A1540" s="27"/>
      <c r="B1540" s="25"/>
      <c r="D1540" s="11"/>
      <c r="E1540" s="10"/>
      <c r="O1540" s="10"/>
      <c r="V1540" s="10"/>
      <c r="W1540" s="6"/>
    </row>
    <row r="1541" spans="1:23" x14ac:dyDescent="0.2">
      <c r="A1541" s="27"/>
      <c r="B1541" s="25"/>
      <c r="D1541" s="11"/>
      <c r="E1541" s="10"/>
      <c r="O1541" s="10"/>
      <c r="V1541" s="10"/>
      <c r="W1541" s="6"/>
    </row>
    <row r="1542" spans="1:23" x14ac:dyDescent="0.2">
      <c r="A1542" s="27"/>
      <c r="B1542" s="25"/>
      <c r="D1542" s="11"/>
      <c r="E1542" s="10"/>
      <c r="O1542" s="10"/>
      <c r="V1542" s="10"/>
      <c r="W1542" s="6"/>
    </row>
    <row r="1543" spans="1:23" x14ac:dyDescent="0.2">
      <c r="A1543" s="27"/>
      <c r="B1543" s="1"/>
      <c r="D1543" s="11"/>
      <c r="E1543" s="10"/>
      <c r="O1543" s="10"/>
      <c r="V1543" s="10"/>
      <c r="W1543" s="6"/>
    </row>
    <row r="1544" spans="1:23" x14ac:dyDescent="0.2">
      <c r="A1544" s="27"/>
      <c r="B1544" s="25"/>
      <c r="D1544" s="11"/>
      <c r="E1544" s="10"/>
      <c r="O1544" s="10"/>
      <c r="V1544" s="10"/>
      <c r="W1544" s="6"/>
    </row>
    <row r="1545" spans="1:23" x14ac:dyDescent="0.2">
      <c r="A1545" s="27"/>
      <c r="B1545" s="1"/>
      <c r="D1545" s="11"/>
      <c r="E1545" s="10"/>
      <c r="O1545" s="10"/>
      <c r="V1545" s="10"/>
      <c r="W1545" s="6"/>
    </row>
    <row r="1546" spans="1:23" x14ac:dyDescent="0.2">
      <c r="A1546" s="27"/>
      <c r="B1546" s="25"/>
      <c r="D1546" s="11"/>
      <c r="E1546" s="10"/>
      <c r="O1546" s="10"/>
      <c r="V1546" s="10"/>
      <c r="W1546" s="6"/>
    </row>
    <row r="1547" spans="1:23" x14ac:dyDescent="0.2">
      <c r="A1547" s="27"/>
      <c r="B1547" s="25"/>
      <c r="D1547" s="11"/>
      <c r="E1547" s="10"/>
      <c r="O1547" s="10"/>
      <c r="V1547" s="10"/>
      <c r="W1547" s="6"/>
    </row>
    <row r="1548" spans="1:23" x14ac:dyDescent="0.2">
      <c r="A1548" s="27"/>
      <c r="B1548" s="25"/>
      <c r="D1548" s="11"/>
      <c r="E1548" s="10"/>
      <c r="O1548" s="10"/>
      <c r="V1548" s="10"/>
      <c r="W1548" s="6"/>
    </row>
    <row r="1549" spans="1:23" x14ac:dyDescent="0.2">
      <c r="A1549" s="27"/>
      <c r="B1549" s="1"/>
      <c r="D1549" s="11"/>
      <c r="E1549" s="10"/>
      <c r="O1549" s="10"/>
      <c r="V1549" s="10"/>
      <c r="W1549" s="6"/>
    </row>
    <row r="1550" spans="1:23" x14ac:dyDescent="0.2">
      <c r="A1550" s="27"/>
      <c r="B1550" s="25"/>
      <c r="D1550" s="11"/>
      <c r="E1550" s="10"/>
      <c r="O1550" s="10"/>
      <c r="V1550" s="10"/>
      <c r="W1550" s="6"/>
    </row>
    <row r="1551" spans="1:23" x14ac:dyDescent="0.2">
      <c r="A1551" s="27"/>
      <c r="B1551" s="25"/>
      <c r="D1551" s="11"/>
      <c r="E1551" s="10"/>
      <c r="O1551" s="10"/>
      <c r="V1551" s="10"/>
      <c r="W1551" s="6"/>
    </row>
    <row r="1552" spans="1:23" x14ac:dyDescent="0.2">
      <c r="A1552" s="27"/>
      <c r="B1552" s="25"/>
      <c r="D1552" s="11"/>
      <c r="E1552" s="10"/>
      <c r="O1552" s="10"/>
      <c r="V1552" s="10"/>
      <c r="W1552" s="6"/>
    </row>
    <row r="1553" spans="1:23" x14ac:dyDescent="0.2">
      <c r="A1553" s="27"/>
      <c r="B1553" s="25"/>
      <c r="D1553" s="11"/>
      <c r="E1553" s="10"/>
      <c r="O1553" s="10"/>
      <c r="V1553" s="10"/>
      <c r="W1553" s="6"/>
    </row>
    <row r="1554" spans="1:23" x14ac:dyDescent="0.2">
      <c r="A1554" s="27"/>
      <c r="B1554" s="25"/>
      <c r="D1554" s="11"/>
      <c r="E1554" s="10"/>
      <c r="O1554" s="10"/>
      <c r="V1554" s="10"/>
      <c r="W1554" s="6"/>
    </row>
    <row r="1555" spans="1:23" x14ac:dyDescent="0.2">
      <c r="A1555" s="27"/>
      <c r="B1555" s="25"/>
      <c r="D1555" s="11"/>
      <c r="E1555" s="10"/>
      <c r="O1555" s="10"/>
      <c r="V1555" s="10"/>
      <c r="W1555" s="6"/>
    </row>
    <row r="1556" spans="1:23" x14ac:dyDescent="0.2">
      <c r="A1556" s="27"/>
      <c r="B1556" s="25"/>
      <c r="D1556" s="11"/>
      <c r="E1556" s="10"/>
      <c r="O1556" s="10"/>
      <c r="V1556" s="10"/>
      <c r="W1556" s="6"/>
    </row>
    <row r="1557" spans="1:23" x14ac:dyDescent="0.2">
      <c r="A1557" s="27"/>
      <c r="B1557" s="1"/>
      <c r="D1557" s="11"/>
      <c r="E1557" s="10"/>
      <c r="O1557" s="10"/>
      <c r="V1557" s="10"/>
      <c r="W1557" s="6"/>
    </row>
    <row r="1558" spans="1:23" x14ac:dyDescent="0.2">
      <c r="A1558" s="27"/>
      <c r="B1558" s="25"/>
      <c r="D1558" s="11"/>
      <c r="E1558" s="10"/>
      <c r="O1558" s="10"/>
      <c r="V1558" s="10"/>
      <c r="W1558" s="6"/>
    </row>
    <row r="1559" spans="1:23" x14ac:dyDescent="0.2">
      <c r="A1559" s="27"/>
      <c r="B1559" s="25"/>
      <c r="D1559" s="11"/>
      <c r="E1559" s="10"/>
      <c r="O1559" s="10"/>
      <c r="V1559" s="10"/>
      <c r="W1559" s="6"/>
    </row>
    <row r="1560" spans="1:23" x14ac:dyDescent="0.2">
      <c r="A1560" s="27"/>
      <c r="B1560" s="25"/>
      <c r="D1560" s="11"/>
      <c r="E1560" s="10"/>
      <c r="O1560" s="10"/>
      <c r="V1560" s="10"/>
      <c r="W1560" s="6"/>
    </row>
    <row r="1561" spans="1:23" x14ac:dyDescent="0.2">
      <c r="A1561" s="27"/>
      <c r="B1561" s="1"/>
      <c r="D1561" s="11"/>
      <c r="E1561" s="10"/>
      <c r="O1561" s="10"/>
      <c r="V1561" s="10"/>
      <c r="W1561" s="6"/>
    </row>
    <row r="1562" spans="1:23" x14ac:dyDescent="0.2">
      <c r="A1562" s="27"/>
      <c r="B1562" s="25"/>
      <c r="D1562" s="11"/>
      <c r="E1562" s="10"/>
      <c r="O1562" s="10"/>
      <c r="V1562" s="10"/>
      <c r="W1562" s="6"/>
    </row>
    <row r="1563" spans="1:23" x14ac:dyDescent="0.2">
      <c r="A1563" s="27"/>
      <c r="B1563" s="25"/>
      <c r="D1563" s="11"/>
      <c r="E1563" s="10"/>
      <c r="O1563" s="10"/>
      <c r="V1563" s="10"/>
      <c r="W1563" s="6"/>
    </row>
    <row r="1564" spans="1:23" x14ac:dyDescent="0.2">
      <c r="A1564" s="27"/>
      <c r="B1564" s="25"/>
      <c r="D1564" s="11"/>
      <c r="E1564" s="10"/>
      <c r="O1564" s="10"/>
      <c r="V1564" s="10"/>
      <c r="W1564" s="6"/>
    </row>
    <row r="1565" spans="1:23" x14ac:dyDescent="0.2">
      <c r="A1565" s="27"/>
      <c r="B1565" s="25"/>
      <c r="D1565" s="11"/>
      <c r="E1565" s="10"/>
      <c r="O1565" s="10"/>
      <c r="V1565" s="10"/>
      <c r="W1565" s="6"/>
    </row>
    <row r="1566" spans="1:23" x14ac:dyDescent="0.2">
      <c r="A1566" s="27"/>
      <c r="B1566" s="1"/>
      <c r="D1566" s="11"/>
      <c r="E1566" s="10"/>
      <c r="O1566" s="10"/>
      <c r="V1566" s="10"/>
      <c r="W1566" s="6"/>
    </row>
    <row r="1567" spans="1:23" x14ac:dyDescent="0.2">
      <c r="A1567" s="27"/>
      <c r="B1567" s="25"/>
      <c r="D1567" s="11"/>
      <c r="E1567" s="10"/>
      <c r="O1567" s="10"/>
      <c r="V1567" s="10"/>
      <c r="W1567" s="6"/>
    </row>
    <row r="1568" spans="1:23" x14ac:dyDescent="0.2">
      <c r="A1568" s="27"/>
      <c r="B1568" s="1"/>
      <c r="D1568" s="11"/>
      <c r="E1568" s="10"/>
      <c r="O1568" s="10"/>
      <c r="V1568" s="10"/>
      <c r="W1568" s="6"/>
    </row>
    <row r="1569" spans="1:23" x14ac:dyDescent="0.2">
      <c r="A1569" s="27"/>
      <c r="B1569" s="1"/>
      <c r="D1569" s="11"/>
      <c r="E1569" s="10"/>
      <c r="O1569" s="10"/>
      <c r="V1569" s="10"/>
      <c r="W1569" s="6"/>
    </row>
    <row r="1570" spans="1:23" x14ac:dyDescent="0.2">
      <c r="A1570" s="27"/>
      <c r="B1570" s="25"/>
      <c r="D1570" s="11"/>
      <c r="E1570" s="10"/>
      <c r="O1570" s="10"/>
      <c r="V1570" s="10"/>
      <c r="W1570" s="6"/>
    </row>
    <row r="1571" spans="1:23" x14ac:dyDescent="0.2">
      <c r="A1571" s="27"/>
      <c r="B1571" s="25"/>
      <c r="D1571" s="11"/>
      <c r="E1571" s="10"/>
      <c r="O1571" s="10"/>
      <c r="V1571" s="10"/>
      <c r="W1571" s="6"/>
    </row>
    <row r="1572" spans="1:23" x14ac:dyDescent="0.2">
      <c r="A1572" s="27"/>
      <c r="B1572" s="25"/>
      <c r="D1572" s="11"/>
      <c r="E1572" s="10"/>
      <c r="O1572" s="10"/>
      <c r="V1572" s="10"/>
      <c r="W1572" s="6"/>
    </row>
    <row r="1573" spans="1:23" x14ac:dyDescent="0.2">
      <c r="A1573" s="27"/>
      <c r="B1573" s="1"/>
      <c r="D1573" s="11"/>
      <c r="E1573" s="10"/>
      <c r="O1573" s="10"/>
      <c r="V1573" s="10"/>
      <c r="W1573" s="6"/>
    </row>
    <row r="1574" spans="1:23" x14ac:dyDescent="0.2">
      <c r="A1574" s="27"/>
      <c r="B1574" s="1"/>
      <c r="D1574" s="11"/>
      <c r="E1574" s="10"/>
      <c r="O1574" s="10"/>
      <c r="V1574" s="10"/>
      <c r="W1574" s="6"/>
    </row>
    <row r="1575" spans="1:23" x14ac:dyDescent="0.2">
      <c r="A1575" s="27"/>
      <c r="B1575" s="25"/>
      <c r="D1575" s="11"/>
      <c r="E1575" s="10"/>
      <c r="O1575" s="10"/>
      <c r="V1575" s="10"/>
      <c r="W1575" s="6"/>
    </row>
    <row r="1576" spans="1:23" x14ac:dyDescent="0.2">
      <c r="A1576" s="27"/>
      <c r="B1576" s="25"/>
      <c r="D1576" s="11"/>
      <c r="E1576" s="10"/>
      <c r="O1576" s="10"/>
      <c r="V1576" s="10"/>
      <c r="W1576" s="6"/>
    </row>
    <row r="1577" spans="1:23" x14ac:dyDescent="0.2">
      <c r="A1577" s="27"/>
      <c r="B1577" s="25"/>
      <c r="D1577" s="11"/>
      <c r="E1577" s="10"/>
      <c r="O1577" s="10"/>
      <c r="V1577" s="10"/>
      <c r="W1577" s="6"/>
    </row>
    <row r="1578" spans="1:23" x14ac:dyDescent="0.2">
      <c r="A1578" s="27"/>
      <c r="B1578" s="25"/>
      <c r="D1578" s="11"/>
      <c r="E1578" s="10"/>
      <c r="O1578" s="10"/>
      <c r="V1578" s="10"/>
      <c r="W1578" s="6"/>
    </row>
    <row r="1579" spans="1:23" x14ac:dyDescent="0.2">
      <c r="A1579" s="27"/>
      <c r="B1579" s="25"/>
      <c r="D1579" s="11"/>
      <c r="E1579" s="10"/>
      <c r="O1579" s="10"/>
      <c r="V1579" s="10"/>
      <c r="W1579" s="6"/>
    </row>
    <row r="1580" spans="1:23" x14ac:dyDescent="0.2">
      <c r="A1580" s="27"/>
      <c r="B1580" s="25"/>
      <c r="D1580" s="11"/>
      <c r="E1580" s="10"/>
      <c r="O1580" s="10"/>
      <c r="V1580" s="10"/>
      <c r="W1580" s="6"/>
    </row>
    <row r="1581" spans="1:23" x14ac:dyDescent="0.2">
      <c r="A1581" s="27"/>
      <c r="B1581" s="1"/>
      <c r="D1581" s="11"/>
      <c r="E1581" s="10"/>
      <c r="O1581" s="10"/>
      <c r="V1581" s="10"/>
      <c r="W1581" s="6"/>
    </row>
    <row r="1582" spans="1:23" x14ac:dyDescent="0.2">
      <c r="A1582" s="27"/>
      <c r="B1582" s="25"/>
      <c r="D1582" s="11"/>
      <c r="E1582" s="10"/>
      <c r="O1582" s="10"/>
      <c r="V1582" s="10"/>
      <c r="W1582" s="6"/>
    </row>
    <row r="1583" spans="1:23" x14ac:dyDescent="0.2">
      <c r="A1583" s="27"/>
      <c r="B1583" s="25"/>
      <c r="D1583" s="11"/>
      <c r="E1583" s="10"/>
      <c r="O1583" s="10"/>
      <c r="V1583" s="10"/>
      <c r="W1583" s="6"/>
    </row>
    <row r="1584" spans="1:23" x14ac:dyDescent="0.2">
      <c r="A1584" s="27"/>
      <c r="B1584" s="25"/>
      <c r="D1584" s="11"/>
      <c r="E1584" s="10"/>
      <c r="O1584" s="10"/>
      <c r="V1584" s="10"/>
      <c r="W1584" s="6"/>
    </row>
    <row r="1585" spans="1:23" x14ac:dyDescent="0.2">
      <c r="A1585" s="27"/>
      <c r="B1585" s="25"/>
      <c r="D1585" s="11"/>
      <c r="E1585" s="10"/>
      <c r="O1585" s="10"/>
      <c r="V1585" s="10"/>
      <c r="W1585" s="6"/>
    </row>
    <row r="1586" spans="1:23" x14ac:dyDescent="0.2">
      <c r="A1586" s="27"/>
      <c r="B1586" s="25"/>
      <c r="D1586" s="11"/>
      <c r="E1586" s="10"/>
      <c r="O1586" s="10"/>
      <c r="V1586" s="10"/>
      <c r="W1586" s="6"/>
    </row>
    <row r="1587" spans="1:23" x14ac:dyDescent="0.2">
      <c r="A1587" s="27"/>
      <c r="B1587" s="25"/>
      <c r="D1587" s="11"/>
      <c r="E1587" s="10"/>
      <c r="O1587" s="10"/>
      <c r="V1587" s="10"/>
      <c r="W1587" s="6"/>
    </row>
    <row r="1588" spans="1:23" x14ac:dyDescent="0.2">
      <c r="A1588" s="27"/>
      <c r="B1588" s="25"/>
      <c r="D1588" s="11"/>
      <c r="E1588" s="10"/>
      <c r="O1588" s="10"/>
      <c r="V1588" s="10"/>
      <c r="W1588" s="6"/>
    </row>
    <row r="1589" spans="1:23" x14ac:dyDescent="0.2">
      <c r="A1589" s="27"/>
      <c r="B1589" s="25"/>
      <c r="D1589" s="11"/>
      <c r="E1589" s="10"/>
      <c r="O1589" s="10"/>
      <c r="V1589" s="10"/>
      <c r="W1589" s="6"/>
    </row>
    <row r="1590" spans="1:23" x14ac:dyDescent="0.2">
      <c r="A1590" s="27"/>
      <c r="B1590" s="25"/>
      <c r="D1590" s="11"/>
      <c r="E1590" s="10"/>
      <c r="O1590" s="10"/>
      <c r="V1590" s="10"/>
      <c r="W1590" s="6"/>
    </row>
    <row r="1591" spans="1:23" x14ac:dyDescent="0.2">
      <c r="A1591" s="27"/>
      <c r="B1591" s="1"/>
      <c r="D1591" s="11"/>
      <c r="E1591" s="10"/>
      <c r="O1591" s="10"/>
      <c r="V1591" s="10"/>
      <c r="W1591" s="6"/>
    </row>
    <row r="1592" spans="1:23" x14ac:dyDescent="0.2">
      <c r="A1592" s="27"/>
      <c r="B1592" s="25"/>
      <c r="D1592" s="11"/>
      <c r="E1592" s="10"/>
      <c r="O1592" s="10"/>
      <c r="V1592" s="10"/>
      <c r="W1592" s="6"/>
    </row>
    <row r="1593" spans="1:23" x14ac:dyDescent="0.2">
      <c r="A1593" s="27"/>
      <c r="B1593" s="25"/>
      <c r="D1593" s="11"/>
      <c r="E1593" s="10"/>
      <c r="O1593" s="10"/>
      <c r="V1593" s="10"/>
      <c r="W1593" s="6"/>
    </row>
    <row r="1594" spans="1:23" x14ac:dyDescent="0.2">
      <c r="A1594" s="27"/>
      <c r="B1594" s="25"/>
      <c r="D1594" s="11"/>
      <c r="E1594" s="10"/>
      <c r="O1594" s="10"/>
      <c r="V1594" s="10"/>
      <c r="W1594" s="6"/>
    </row>
    <row r="1595" spans="1:23" x14ac:dyDescent="0.2">
      <c r="A1595" s="27"/>
      <c r="B1595" s="25"/>
      <c r="D1595" s="11"/>
      <c r="E1595" s="10"/>
      <c r="O1595" s="10"/>
      <c r="V1595" s="10"/>
      <c r="W1595" s="6"/>
    </row>
    <row r="1596" spans="1:23" x14ac:dyDescent="0.2">
      <c r="A1596" s="27"/>
      <c r="B1596" s="25"/>
      <c r="D1596" s="11"/>
      <c r="E1596" s="10"/>
      <c r="O1596" s="10"/>
      <c r="V1596" s="10"/>
      <c r="W1596" s="6"/>
    </row>
    <row r="1597" spans="1:23" x14ac:dyDescent="0.2">
      <c r="A1597" s="27"/>
      <c r="B1597" s="25"/>
      <c r="D1597" s="11"/>
      <c r="E1597" s="10"/>
      <c r="O1597" s="10"/>
      <c r="V1597" s="10"/>
      <c r="W1597" s="6"/>
    </row>
    <row r="1598" spans="1:23" x14ac:dyDescent="0.2">
      <c r="A1598" s="27"/>
      <c r="B1598" s="1"/>
      <c r="D1598" s="11"/>
      <c r="E1598" s="10"/>
      <c r="O1598" s="10"/>
      <c r="V1598" s="10"/>
      <c r="W1598" s="6"/>
    </row>
    <row r="1599" spans="1:23" x14ac:dyDescent="0.2">
      <c r="A1599" s="27"/>
      <c r="B1599" s="1"/>
      <c r="D1599" s="11"/>
      <c r="E1599" s="10"/>
      <c r="O1599" s="10"/>
      <c r="V1599" s="10"/>
      <c r="W1599" s="6"/>
    </row>
    <row r="1600" spans="1:23" x14ac:dyDescent="0.2">
      <c r="A1600" s="27"/>
      <c r="B1600" s="25"/>
      <c r="D1600" s="11"/>
      <c r="E1600" s="10"/>
      <c r="O1600" s="10"/>
      <c r="V1600" s="10"/>
      <c r="W1600" s="6"/>
    </row>
    <row r="1601" spans="1:23" x14ac:dyDescent="0.2">
      <c r="A1601" s="27"/>
      <c r="B1601" s="25"/>
      <c r="D1601" s="11"/>
      <c r="E1601" s="10"/>
      <c r="O1601" s="10"/>
      <c r="V1601" s="10"/>
      <c r="W1601" s="6"/>
    </row>
    <row r="1602" spans="1:23" x14ac:dyDescent="0.2">
      <c r="A1602" s="27"/>
      <c r="B1602" s="25"/>
      <c r="D1602" s="11"/>
      <c r="E1602" s="10"/>
      <c r="O1602" s="10"/>
      <c r="V1602" s="10"/>
      <c r="W1602" s="6"/>
    </row>
    <row r="1603" spans="1:23" x14ac:dyDescent="0.2">
      <c r="A1603" s="27"/>
      <c r="B1603" s="25"/>
      <c r="D1603" s="11"/>
      <c r="E1603" s="10"/>
      <c r="O1603" s="10"/>
      <c r="V1603" s="10"/>
      <c r="W1603" s="6"/>
    </row>
    <row r="1604" spans="1:23" x14ac:dyDescent="0.2">
      <c r="A1604" s="27"/>
      <c r="B1604" s="25"/>
      <c r="D1604" s="11"/>
      <c r="E1604" s="10"/>
      <c r="O1604" s="10"/>
      <c r="V1604" s="10"/>
      <c r="W1604" s="6"/>
    </row>
    <row r="1605" spans="1:23" x14ac:dyDescent="0.2">
      <c r="A1605" s="27"/>
      <c r="B1605" s="25"/>
      <c r="D1605" s="11"/>
      <c r="E1605" s="10"/>
      <c r="O1605" s="10"/>
      <c r="V1605" s="10"/>
      <c r="W1605" s="6"/>
    </row>
    <row r="1606" spans="1:23" x14ac:dyDescent="0.2">
      <c r="A1606" s="27"/>
      <c r="B1606" s="25"/>
      <c r="D1606" s="11"/>
      <c r="E1606" s="10"/>
      <c r="O1606" s="10"/>
      <c r="V1606" s="10"/>
      <c r="W1606" s="6"/>
    </row>
    <row r="1607" spans="1:23" x14ac:dyDescent="0.2">
      <c r="A1607" s="27"/>
      <c r="B1607" s="25"/>
      <c r="D1607" s="11"/>
      <c r="E1607" s="10"/>
      <c r="O1607" s="10"/>
      <c r="V1607" s="10"/>
      <c r="W1607" s="6"/>
    </row>
    <row r="1608" spans="1:23" x14ac:dyDescent="0.2">
      <c r="A1608" s="27"/>
      <c r="B1608" s="25"/>
      <c r="D1608" s="11"/>
      <c r="E1608" s="10"/>
      <c r="O1608" s="10"/>
      <c r="V1608" s="10"/>
      <c r="W1608" s="6"/>
    </row>
    <row r="1609" spans="1:23" x14ac:dyDescent="0.2">
      <c r="A1609" s="27"/>
      <c r="B1609" s="25"/>
      <c r="D1609" s="11"/>
      <c r="E1609" s="10"/>
      <c r="O1609" s="10"/>
      <c r="V1609" s="10"/>
      <c r="W1609" s="6"/>
    </row>
    <row r="1610" spans="1:23" x14ac:dyDescent="0.2">
      <c r="A1610" s="27"/>
      <c r="B1610" s="25"/>
      <c r="D1610" s="11"/>
      <c r="E1610" s="10"/>
      <c r="O1610" s="10"/>
      <c r="V1610" s="10"/>
      <c r="W1610" s="6"/>
    </row>
    <row r="1611" spans="1:23" x14ac:dyDescent="0.2">
      <c r="A1611" s="27"/>
      <c r="B1611" s="25"/>
      <c r="D1611" s="11"/>
      <c r="E1611" s="10"/>
      <c r="O1611" s="10"/>
      <c r="V1611" s="10"/>
      <c r="W1611" s="6"/>
    </row>
    <row r="1612" spans="1:23" x14ac:dyDescent="0.2">
      <c r="A1612" s="27"/>
      <c r="B1612" s="25"/>
      <c r="D1612" s="11"/>
      <c r="E1612" s="10"/>
      <c r="O1612" s="10"/>
      <c r="V1612" s="10"/>
      <c r="W1612" s="6"/>
    </row>
    <row r="1613" spans="1:23" x14ac:dyDescent="0.2">
      <c r="A1613" s="27"/>
      <c r="B1613" s="25"/>
      <c r="D1613" s="11"/>
      <c r="E1613" s="10"/>
      <c r="O1613" s="10"/>
      <c r="V1613" s="10"/>
      <c r="W1613" s="6"/>
    </row>
    <row r="1614" spans="1:23" x14ac:dyDescent="0.2">
      <c r="A1614" s="27"/>
      <c r="B1614" s="25"/>
      <c r="D1614" s="11"/>
      <c r="E1614" s="10"/>
      <c r="O1614" s="10"/>
      <c r="V1614" s="10"/>
      <c r="W1614" s="6"/>
    </row>
    <row r="1615" spans="1:23" x14ac:dyDescent="0.2">
      <c r="A1615" s="27"/>
      <c r="B1615" s="25"/>
      <c r="D1615" s="11"/>
      <c r="E1615" s="10"/>
      <c r="O1615" s="10"/>
      <c r="V1615" s="10"/>
      <c r="W1615" s="6"/>
    </row>
    <row r="1616" spans="1:23" x14ac:dyDescent="0.2">
      <c r="A1616" s="27"/>
      <c r="B1616" s="25"/>
      <c r="D1616" s="11"/>
      <c r="E1616" s="10"/>
      <c r="O1616" s="10"/>
      <c r="V1616" s="10"/>
      <c r="W1616" s="6"/>
    </row>
    <row r="1617" spans="1:23" x14ac:dyDescent="0.2">
      <c r="A1617" s="27"/>
      <c r="B1617" s="25"/>
      <c r="D1617" s="11"/>
      <c r="E1617" s="10"/>
      <c r="O1617" s="10"/>
      <c r="V1617" s="10"/>
      <c r="W1617" s="6"/>
    </row>
    <row r="1618" spans="1:23" x14ac:dyDescent="0.2">
      <c r="A1618" s="27"/>
      <c r="B1618" s="25"/>
      <c r="D1618" s="11"/>
      <c r="E1618" s="10"/>
      <c r="O1618" s="10"/>
      <c r="V1618" s="10"/>
      <c r="W1618" s="6"/>
    </row>
    <row r="1619" spans="1:23" x14ac:dyDescent="0.2">
      <c r="A1619" s="27"/>
      <c r="B1619" s="25"/>
      <c r="D1619" s="11"/>
      <c r="E1619" s="10"/>
      <c r="O1619" s="10"/>
      <c r="V1619" s="10"/>
      <c r="W1619" s="6"/>
    </row>
    <row r="1620" spans="1:23" x14ac:dyDescent="0.2">
      <c r="A1620" s="27"/>
      <c r="B1620" s="25"/>
      <c r="D1620" s="11"/>
      <c r="E1620" s="10"/>
      <c r="O1620" s="10"/>
      <c r="V1620" s="10"/>
      <c r="W1620" s="6"/>
    </row>
    <row r="1621" spans="1:23" x14ac:dyDescent="0.2">
      <c r="A1621" s="27"/>
      <c r="B1621" s="25"/>
      <c r="D1621" s="11"/>
      <c r="E1621" s="10"/>
      <c r="O1621" s="10"/>
      <c r="V1621" s="10"/>
      <c r="W1621" s="6"/>
    </row>
    <row r="1622" spans="1:23" x14ac:dyDescent="0.2">
      <c r="A1622" s="27"/>
      <c r="B1622" s="1"/>
      <c r="D1622" s="11"/>
      <c r="E1622" s="10"/>
      <c r="O1622" s="10"/>
      <c r="V1622" s="10"/>
      <c r="W1622" s="6"/>
    </row>
    <row r="1623" spans="1:23" x14ac:dyDescent="0.2">
      <c r="A1623" s="27"/>
      <c r="B1623" s="25"/>
      <c r="D1623" s="11"/>
      <c r="E1623" s="10"/>
      <c r="O1623" s="10"/>
      <c r="V1623" s="10"/>
      <c r="W1623" s="6"/>
    </row>
    <row r="1624" spans="1:23" x14ac:dyDescent="0.2">
      <c r="A1624" s="27"/>
      <c r="B1624" s="25"/>
      <c r="D1624" s="11"/>
      <c r="E1624" s="10"/>
      <c r="O1624" s="10"/>
      <c r="V1624" s="10"/>
      <c r="W1624" s="6"/>
    </row>
    <row r="1625" spans="1:23" x14ac:dyDescent="0.2">
      <c r="A1625" s="27"/>
      <c r="B1625" s="25"/>
      <c r="D1625" s="11"/>
      <c r="E1625" s="10"/>
      <c r="O1625" s="10"/>
      <c r="V1625" s="10"/>
      <c r="W1625" s="6"/>
    </row>
    <row r="1626" spans="1:23" x14ac:dyDescent="0.2">
      <c r="A1626" s="27"/>
      <c r="B1626" s="25"/>
      <c r="D1626" s="11"/>
      <c r="E1626" s="10"/>
      <c r="O1626" s="10"/>
      <c r="V1626" s="10"/>
      <c r="W1626" s="6"/>
    </row>
    <row r="1627" spans="1:23" x14ac:dyDescent="0.2">
      <c r="A1627" s="27"/>
      <c r="B1627" s="25"/>
      <c r="D1627" s="11"/>
      <c r="E1627" s="10"/>
      <c r="O1627" s="10"/>
      <c r="V1627" s="10"/>
      <c r="W1627" s="6"/>
    </row>
    <row r="1628" spans="1:23" x14ac:dyDescent="0.2">
      <c r="A1628" s="27"/>
      <c r="B1628" s="25"/>
      <c r="D1628" s="11"/>
      <c r="E1628" s="10"/>
      <c r="O1628" s="10"/>
      <c r="V1628" s="10"/>
    </row>
    <row r="1629" spans="1:23" x14ac:dyDescent="0.2">
      <c r="A1629" s="27"/>
      <c r="B1629" s="25"/>
      <c r="D1629" s="11"/>
      <c r="E1629" s="10"/>
      <c r="O1629" s="10"/>
      <c r="V1629" s="10"/>
      <c r="W1629" s="6"/>
    </row>
    <row r="1630" spans="1:23" x14ac:dyDescent="0.2">
      <c r="A1630" s="27"/>
      <c r="B1630" s="25"/>
      <c r="D1630" s="11"/>
      <c r="E1630" s="10"/>
      <c r="O1630" s="10"/>
      <c r="V1630" s="10"/>
      <c r="W1630" s="6"/>
    </row>
    <row r="1631" spans="1:23" x14ac:dyDescent="0.2">
      <c r="A1631" s="27"/>
      <c r="B1631" s="25"/>
      <c r="D1631" s="11"/>
      <c r="E1631" s="10"/>
      <c r="O1631" s="10"/>
      <c r="V1631" s="10"/>
      <c r="W1631" s="6"/>
    </row>
    <row r="1632" spans="1:23" x14ac:dyDescent="0.2">
      <c r="A1632" s="27"/>
      <c r="B1632" s="25"/>
      <c r="D1632" s="11"/>
      <c r="E1632" s="10"/>
      <c r="O1632" s="10"/>
      <c r="V1632" s="10"/>
      <c r="W1632" s="6"/>
    </row>
    <row r="1633" spans="1:23" x14ac:dyDescent="0.2">
      <c r="A1633" s="27"/>
      <c r="B1633" s="1"/>
      <c r="D1633" s="11"/>
      <c r="E1633" s="10"/>
      <c r="O1633" s="10"/>
      <c r="V1633" s="10"/>
      <c r="W1633" s="6"/>
    </row>
    <row r="1634" spans="1:23" x14ac:dyDescent="0.2">
      <c r="A1634" s="27"/>
      <c r="B1634" s="25"/>
      <c r="D1634" s="11"/>
      <c r="E1634" s="10"/>
      <c r="O1634" s="10"/>
      <c r="V1634" s="10"/>
      <c r="W1634" s="6"/>
    </row>
    <row r="1635" spans="1:23" x14ac:dyDescent="0.2">
      <c r="A1635" s="27"/>
      <c r="B1635" s="25"/>
      <c r="D1635" s="11"/>
      <c r="E1635" s="10"/>
      <c r="O1635" s="10"/>
      <c r="V1635" s="10"/>
      <c r="W1635" s="6"/>
    </row>
    <row r="1636" spans="1:23" x14ac:dyDescent="0.2">
      <c r="A1636" s="27"/>
      <c r="B1636" s="25"/>
      <c r="D1636" s="11"/>
      <c r="E1636" s="10"/>
      <c r="O1636" s="10"/>
      <c r="V1636" s="10"/>
      <c r="W1636" s="6"/>
    </row>
    <row r="1637" spans="1:23" x14ac:dyDescent="0.2">
      <c r="A1637" s="27"/>
      <c r="B1637" s="25"/>
      <c r="D1637" s="11"/>
      <c r="E1637" s="10"/>
      <c r="O1637" s="10"/>
      <c r="V1637" s="10"/>
      <c r="W1637" s="6"/>
    </row>
    <row r="1638" spans="1:23" x14ac:dyDescent="0.2">
      <c r="A1638" s="27"/>
      <c r="B1638" s="25"/>
      <c r="D1638" s="11"/>
      <c r="E1638" s="10"/>
      <c r="O1638" s="10"/>
      <c r="V1638" s="10"/>
      <c r="W1638" s="6"/>
    </row>
    <row r="1639" spans="1:23" x14ac:dyDescent="0.2">
      <c r="A1639" s="27"/>
      <c r="B1639" s="25"/>
      <c r="D1639" s="11"/>
      <c r="E1639" s="10"/>
      <c r="O1639" s="10"/>
      <c r="V1639" s="10"/>
      <c r="W1639" s="6"/>
    </row>
    <row r="1640" spans="1:23" x14ac:dyDescent="0.2">
      <c r="A1640" s="27"/>
      <c r="B1640" s="25"/>
      <c r="D1640" s="11"/>
      <c r="E1640" s="10"/>
      <c r="O1640" s="10"/>
      <c r="V1640" s="10"/>
      <c r="W1640" s="6"/>
    </row>
    <row r="1641" spans="1:23" x14ac:dyDescent="0.2">
      <c r="A1641" s="27"/>
      <c r="B1641" s="25"/>
      <c r="D1641" s="11"/>
      <c r="E1641" s="10"/>
      <c r="O1641" s="10"/>
      <c r="V1641" s="10"/>
      <c r="W1641" s="6"/>
    </row>
    <row r="1642" spans="1:23" x14ac:dyDescent="0.2">
      <c r="A1642" s="27"/>
      <c r="B1642" s="25"/>
      <c r="D1642" s="11"/>
      <c r="E1642" s="10"/>
      <c r="O1642" s="10"/>
      <c r="V1642" s="10"/>
      <c r="W1642" s="6"/>
    </row>
    <row r="1643" spans="1:23" x14ac:dyDescent="0.2">
      <c r="A1643" s="27"/>
      <c r="B1643" s="25"/>
      <c r="D1643" s="11"/>
      <c r="E1643" s="10"/>
      <c r="O1643" s="10"/>
      <c r="V1643" s="10"/>
      <c r="W1643" s="6"/>
    </row>
    <row r="1644" spans="1:23" x14ac:dyDescent="0.2">
      <c r="A1644" s="27"/>
      <c r="B1644" s="25"/>
      <c r="D1644" s="11"/>
      <c r="E1644" s="10"/>
      <c r="O1644" s="10"/>
      <c r="V1644" s="10"/>
      <c r="W1644" s="6"/>
    </row>
    <row r="1645" spans="1:23" x14ac:dyDescent="0.2">
      <c r="A1645" s="27"/>
      <c r="B1645" s="25"/>
      <c r="D1645" s="11"/>
      <c r="E1645" s="10"/>
      <c r="O1645" s="10"/>
      <c r="V1645" s="10"/>
      <c r="W1645" s="6"/>
    </row>
    <row r="1646" spans="1:23" x14ac:dyDescent="0.2">
      <c r="A1646" s="27"/>
      <c r="B1646" s="25"/>
      <c r="D1646" s="11"/>
      <c r="E1646" s="10"/>
      <c r="O1646" s="10"/>
      <c r="V1646" s="10"/>
      <c r="W1646" s="6"/>
    </row>
    <row r="1647" spans="1:23" x14ac:dyDescent="0.2">
      <c r="A1647" s="27"/>
      <c r="B1647" s="25"/>
      <c r="D1647" s="11"/>
      <c r="E1647" s="10"/>
      <c r="O1647" s="10"/>
      <c r="V1647" s="10"/>
      <c r="W1647" s="6"/>
    </row>
    <row r="1648" spans="1:23" x14ac:dyDescent="0.2">
      <c r="A1648" s="27"/>
      <c r="B1648" s="25"/>
      <c r="D1648" s="11"/>
      <c r="E1648" s="10"/>
      <c r="O1648" s="10"/>
      <c r="V1648" s="10"/>
      <c r="W1648" s="6"/>
    </row>
    <row r="1649" spans="1:23" x14ac:dyDescent="0.2">
      <c r="A1649" s="27"/>
      <c r="B1649" s="25"/>
      <c r="D1649" s="11"/>
      <c r="E1649" s="10"/>
      <c r="O1649" s="10"/>
      <c r="V1649" s="10"/>
      <c r="W1649" s="6"/>
    </row>
    <row r="1650" spans="1:23" x14ac:dyDescent="0.2">
      <c r="A1650" s="27"/>
      <c r="B1650" s="1"/>
      <c r="D1650" s="11"/>
      <c r="E1650" s="10"/>
      <c r="O1650" s="10"/>
      <c r="V1650" s="10"/>
      <c r="W1650" s="6"/>
    </row>
    <row r="1651" spans="1:23" x14ac:dyDescent="0.2">
      <c r="A1651" s="27"/>
      <c r="B1651" s="25"/>
      <c r="D1651" s="11"/>
      <c r="E1651" s="10"/>
      <c r="O1651" s="10"/>
      <c r="V1651" s="10"/>
      <c r="W1651" s="6"/>
    </row>
    <row r="1652" spans="1:23" x14ac:dyDescent="0.2">
      <c r="A1652" s="27"/>
      <c r="B1652" s="25"/>
      <c r="D1652" s="11"/>
      <c r="E1652" s="10"/>
      <c r="O1652" s="10"/>
      <c r="V1652" s="10"/>
      <c r="W1652" s="6"/>
    </row>
    <row r="1653" spans="1:23" x14ac:dyDescent="0.2">
      <c r="A1653" s="27"/>
      <c r="B1653" s="25"/>
      <c r="D1653" s="11"/>
      <c r="E1653" s="10"/>
      <c r="O1653" s="10"/>
      <c r="V1653" s="10"/>
      <c r="W1653" s="6"/>
    </row>
    <row r="1654" spans="1:23" x14ac:dyDescent="0.2">
      <c r="A1654" s="27"/>
      <c r="B1654" s="25"/>
      <c r="D1654" s="11"/>
      <c r="E1654" s="10"/>
      <c r="O1654" s="10"/>
      <c r="V1654" s="10"/>
      <c r="W1654" s="6"/>
    </row>
    <row r="1655" spans="1:23" x14ac:dyDescent="0.2">
      <c r="A1655" s="27"/>
      <c r="B1655" s="25"/>
      <c r="D1655" s="11"/>
      <c r="E1655" s="10"/>
      <c r="O1655" s="10"/>
      <c r="V1655" s="10"/>
      <c r="W1655" s="6"/>
    </row>
    <row r="1656" spans="1:23" x14ac:dyDescent="0.2">
      <c r="A1656" s="27"/>
      <c r="B1656" s="25"/>
      <c r="D1656" s="11"/>
      <c r="E1656" s="10"/>
      <c r="O1656" s="10"/>
      <c r="V1656" s="10"/>
      <c r="W1656" s="6"/>
    </row>
    <row r="1657" spans="1:23" x14ac:dyDescent="0.2">
      <c r="A1657" s="27"/>
      <c r="B1657" s="25"/>
      <c r="D1657" s="11"/>
      <c r="E1657" s="10"/>
      <c r="O1657" s="10"/>
      <c r="V1657" s="10"/>
      <c r="W1657" s="6"/>
    </row>
    <row r="1658" spans="1:23" x14ac:dyDescent="0.2">
      <c r="A1658" s="27"/>
      <c r="B1658" s="25"/>
      <c r="D1658" s="11"/>
      <c r="E1658" s="10"/>
      <c r="O1658" s="10"/>
      <c r="V1658" s="10"/>
      <c r="W1658" s="6"/>
    </row>
    <row r="1659" spans="1:23" x14ac:dyDescent="0.2">
      <c r="A1659" s="27"/>
      <c r="B1659" s="1"/>
      <c r="D1659" s="11"/>
      <c r="E1659" s="10"/>
      <c r="O1659" s="10"/>
      <c r="V1659" s="10"/>
      <c r="W1659" s="6"/>
    </row>
    <row r="1660" spans="1:23" x14ac:dyDescent="0.2">
      <c r="A1660" s="27"/>
      <c r="B1660" s="25"/>
      <c r="D1660" s="11"/>
      <c r="E1660" s="10"/>
      <c r="O1660" s="10"/>
      <c r="V1660" s="10"/>
      <c r="W1660" s="6"/>
    </row>
    <row r="1661" spans="1:23" x14ac:dyDescent="0.2">
      <c r="A1661" s="27"/>
      <c r="B1661" s="1"/>
      <c r="D1661" s="11"/>
      <c r="E1661" s="10"/>
      <c r="O1661" s="10"/>
      <c r="V1661" s="10"/>
      <c r="W1661" s="6"/>
    </row>
    <row r="1662" spans="1:23" x14ac:dyDescent="0.2">
      <c r="A1662" s="27"/>
      <c r="B1662" s="25"/>
      <c r="D1662" s="11"/>
      <c r="E1662" s="10"/>
      <c r="O1662" s="10"/>
      <c r="V1662" s="10"/>
      <c r="W1662" s="6"/>
    </row>
    <row r="1663" spans="1:23" x14ac:dyDescent="0.2">
      <c r="A1663" s="27"/>
      <c r="B1663" s="25"/>
      <c r="D1663" s="11"/>
      <c r="E1663" s="10"/>
      <c r="O1663" s="10"/>
      <c r="V1663" s="10"/>
      <c r="W1663" s="6"/>
    </row>
    <row r="1664" spans="1:23" x14ac:dyDescent="0.2">
      <c r="A1664" s="27"/>
      <c r="B1664" s="25"/>
      <c r="D1664" s="11"/>
      <c r="E1664" s="10"/>
      <c r="O1664" s="10"/>
      <c r="V1664" s="10"/>
      <c r="W1664" s="6"/>
    </row>
    <row r="1665" spans="1:23" x14ac:dyDescent="0.2">
      <c r="A1665" s="27"/>
      <c r="B1665" s="25"/>
      <c r="D1665" s="11"/>
      <c r="E1665" s="10"/>
      <c r="O1665" s="10"/>
      <c r="V1665" s="10"/>
      <c r="W1665" s="6"/>
    </row>
    <row r="1666" spans="1:23" x14ac:dyDescent="0.2">
      <c r="A1666" s="27"/>
      <c r="B1666" s="25"/>
      <c r="D1666" s="11"/>
      <c r="E1666" s="10"/>
      <c r="O1666" s="10"/>
      <c r="V1666" s="10"/>
      <c r="W1666" s="6"/>
    </row>
    <row r="1667" spans="1:23" x14ac:dyDescent="0.2">
      <c r="A1667" s="27"/>
      <c r="B1667" s="25"/>
      <c r="D1667" s="11"/>
      <c r="E1667" s="10"/>
      <c r="O1667" s="10"/>
      <c r="V1667" s="10"/>
      <c r="W1667" s="6"/>
    </row>
    <row r="1668" spans="1:23" x14ac:dyDescent="0.2">
      <c r="A1668" s="27"/>
      <c r="B1668" s="25"/>
      <c r="D1668" s="11"/>
      <c r="E1668" s="10"/>
      <c r="O1668" s="10"/>
      <c r="V1668" s="10"/>
      <c r="W1668" s="6"/>
    </row>
    <row r="1669" spans="1:23" x14ac:dyDescent="0.2">
      <c r="A1669" s="27"/>
      <c r="B1669" s="25"/>
      <c r="D1669" s="11"/>
      <c r="E1669" s="10"/>
      <c r="O1669" s="10"/>
      <c r="V1669" s="10"/>
      <c r="W1669" s="6"/>
    </row>
    <row r="1670" spans="1:23" x14ac:dyDescent="0.2">
      <c r="A1670" s="27"/>
      <c r="B1670" s="25"/>
      <c r="D1670" s="11"/>
      <c r="E1670" s="10"/>
      <c r="O1670" s="10"/>
      <c r="V1670" s="10"/>
      <c r="W1670" s="6"/>
    </row>
    <row r="1671" spans="1:23" x14ac:dyDescent="0.2">
      <c r="A1671" s="27"/>
      <c r="B1671" s="25"/>
      <c r="D1671" s="11"/>
      <c r="E1671" s="10"/>
      <c r="O1671" s="10"/>
      <c r="V1671" s="10"/>
      <c r="W1671" s="6"/>
    </row>
    <row r="1672" spans="1:23" x14ac:dyDescent="0.2">
      <c r="A1672" s="27"/>
      <c r="B1672" s="25"/>
      <c r="D1672" s="11"/>
      <c r="E1672" s="10"/>
      <c r="O1672" s="10"/>
      <c r="V1672" s="10"/>
      <c r="W1672" s="6"/>
    </row>
    <row r="1673" spans="1:23" x14ac:dyDescent="0.2">
      <c r="A1673" s="27"/>
      <c r="B1673" s="25"/>
      <c r="D1673" s="11"/>
      <c r="E1673" s="10"/>
      <c r="O1673" s="10"/>
      <c r="V1673" s="10"/>
      <c r="W1673" s="6"/>
    </row>
    <row r="1674" spans="1:23" x14ac:dyDescent="0.2">
      <c r="A1674" s="27"/>
      <c r="B1674" s="25"/>
      <c r="D1674" s="11"/>
      <c r="E1674" s="10"/>
      <c r="O1674" s="10"/>
      <c r="V1674" s="10"/>
      <c r="W1674" s="6"/>
    </row>
    <row r="1675" spans="1:23" x14ac:dyDescent="0.2">
      <c r="A1675" s="27"/>
      <c r="B1675" s="25"/>
      <c r="D1675" s="11"/>
      <c r="E1675" s="10"/>
      <c r="O1675" s="10"/>
      <c r="V1675" s="10"/>
      <c r="W1675" s="6"/>
    </row>
    <row r="1676" spans="1:23" x14ac:dyDescent="0.2">
      <c r="A1676" s="27"/>
      <c r="B1676" s="25"/>
      <c r="D1676" s="11"/>
      <c r="E1676" s="10"/>
      <c r="O1676" s="10"/>
      <c r="V1676" s="10"/>
      <c r="W1676" s="6"/>
    </row>
    <row r="1677" spans="1:23" x14ac:dyDescent="0.2">
      <c r="A1677" s="27"/>
      <c r="B1677" s="25"/>
      <c r="D1677" s="11"/>
      <c r="E1677" s="10"/>
      <c r="O1677" s="10"/>
      <c r="V1677" s="10"/>
      <c r="W1677" s="6"/>
    </row>
    <row r="1678" spans="1:23" x14ac:dyDescent="0.2">
      <c r="A1678" s="27"/>
      <c r="B1678" s="25"/>
      <c r="D1678" s="11"/>
      <c r="E1678" s="10"/>
      <c r="O1678" s="10"/>
      <c r="V1678" s="10"/>
      <c r="W1678" s="6"/>
    </row>
    <row r="1679" spans="1:23" x14ac:dyDescent="0.2">
      <c r="A1679" s="27"/>
      <c r="B1679" s="25"/>
      <c r="D1679" s="11"/>
      <c r="E1679" s="10"/>
      <c r="O1679" s="10"/>
      <c r="V1679" s="10"/>
      <c r="W1679" s="6"/>
    </row>
    <row r="1680" spans="1:23" x14ac:dyDescent="0.2">
      <c r="A1680" s="27"/>
      <c r="B1680" s="25"/>
      <c r="D1680" s="11"/>
      <c r="E1680" s="10"/>
      <c r="O1680" s="10"/>
      <c r="V1680" s="10"/>
      <c r="W1680" s="6"/>
    </row>
    <row r="1681" spans="1:23" x14ac:dyDescent="0.2">
      <c r="A1681" s="27"/>
      <c r="B1681" s="25"/>
      <c r="D1681" s="11"/>
      <c r="E1681" s="10"/>
      <c r="O1681" s="10"/>
      <c r="V1681" s="10"/>
      <c r="W1681" s="6"/>
    </row>
    <row r="1682" spans="1:23" x14ac:dyDescent="0.2">
      <c r="A1682" s="27"/>
      <c r="B1682" s="25"/>
      <c r="D1682" s="11"/>
      <c r="E1682" s="10"/>
      <c r="O1682" s="10"/>
      <c r="V1682" s="10"/>
      <c r="W1682" s="6"/>
    </row>
    <row r="1683" spans="1:23" x14ac:dyDescent="0.2">
      <c r="A1683" s="27"/>
      <c r="B1683" s="25"/>
      <c r="D1683" s="11"/>
      <c r="E1683" s="10"/>
      <c r="O1683" s="10"/>
      <c r="V1683" s="10"/>
      <c r="W1683" s="6"/>
    </row>
    <row r="1684" spans="1:23" x14ac:dyDescent="0.2">
      <c r="A1684" s="27"/>
      <c r="B1684" s="25"/>
      <c r="D1684" s="11"/>
      <c r="E1684" s="10"/>
      <c r="O1684" s="10"/>
      <c r="V1684" s="10"/>
      <c r="W1684" s="6"/>
    </row>
    <row r="1685" spans="1:23" x14ac:dyDescent="0.2">
      <c r="A1685" s="27"/>
      <c r="B1685" s="25"/>
      <c r="D1685" s="11"/>
      <c r="E1685" s="10"/>
      <c r="O1685" s="10"/>
      <c r="V1685" s="10"/>
      <c r="W1685" s="6"/>
    </row>
    <row r="1686" spans="1:23" x14ac:dyDescent="0.2">
      <c r="A1686" s="27"/>
      <c r="B1686" s="25"/>
      <c r="D1686" s="11"/>
      <c r="E1686" s="10"/>
      <c r="O1686" s="10"/>
      <c r="V1686" s="10"/>
      <c r="W1686" s="6"/>
    </row>
    <row r="1687" spans="1:23" x14ac:dyDescent="0.2">
      <c r="A1687" s="27"/>
      <c r="B1687" s="25"/>
      <c r="D1687" s="11"/>
      <c r="E1687" s="10"/>
      <c r="O1687" s="10"/>
      <c r="V1687" s="10"/>
      <c r="W1687" s="6"/>
    </row>
    <row r="1688" spans="1:23" x14ac:dyDescent="0.2">
      <c r="A1688" s="27"/>
      <c r="B1688" s="25"/>
      <c r="D1688" s="11"/>
      <c r="E1688" s="10"/>
      <c r="O1688" s="10"/>
      <c r="V1688" s="10"/>
      <c r="W1688" s="6"/>
    </row>
    <row r="1689" spans="1:23" x14ac:dyDescent="0.2">
      <c r="A1689" s="27"/>
      <c r="B1689" s="25"/>
      <c r="D1689" s="11"/>
      <c r="E1689" s="10"/>
      <c r="O1689" s="10"/>
      <c r="V1689" s="10"/>
      <c r="W1689" s="6"/>
    </row>
    <row r="1690" spans="1:23" x14ac:dyDescent="0.2">
      <c r="A1690" s="27"/>
      <c r="B1690" s="25"/>
      <c r="D1690" s="11"/>
      <c r="E1690" s="10"/>
      <c r="O1690" s="10"/>
      <c r="V1690" s="10"/>
      <c r="W1690" s="6"/>
    </row>
    <row r="1691" spans="1:23" x14ac:dyDescent="0.2">
      <c r="A1691" s="27"/>
      <c r="B1691" s="25"/>
      <c r="D1691" s="11"/>
      <c r="E1691" s="10"/>
      <c r="O1691" s="10"/>
      <c r="V1691" s="10"/>
      <c r="W1691" s="6"/>
    </row>
    <row r="1692" spans="1:23" x14ac:dyDescent="0.2">
      <c r="A1692" s="27"/>
      <c r="B1692" s="25"/>
      <c r="D1692" s="11"/>
      <c r="E1692" s="10"/>
      <c r="O1692" s="10"/>
      <c r="V1692" s="10"/>
      <c r="W1692" s="6"/>
    </row>
    <row r="1693" spans="1:23" x14ac:dyDescent="0.2">
      <c r="A1693" s="27"/>
      <c r="B1693" s="25"/>
      <c r="D1693" s="11"/>
      <c r="E1693" s="10"/>
      <c r="O1693" s="10"/>
      <c r="V1693" s="10"/>
      <c r="W1693" s="6"/>
    </row>
    <row r="1694" spans="1:23" x14ac:dyDescent="0.2">
      <c r="A1694" s="27"/>
      <c r="B1694" s="25"/>
      <c r="D1694" s="11"/>
      <c r="E1694" s="10"/>
      <c r="O1694" s="10"/>
      <c r="V1694" s="10"/>
      <c r="W1694" s="6"/>
    </row>
    <row r="1695" spans="1:23" x14ac:dyDescent="0.2">
      <c r="A1695" s="27"/>
      <c r="B1695" s="1"/>
      <c r="D1695" s="11"/>
      <c r="E1695" s="10"/>
      <c r="O1695" s="10"/>
      <c r="V1695" s="10"/>
      <c r="W1695" s="6"/>
    </row>
    <row r="1696" spans="1:23" x14ac:dyDescent="0.2">
      <c r="A1696" s="27"/>
      <c r="B1696" s="25"/>
      <c r="D1696" s="11"/>
      <c r="E1696" s="10"/>
      <c r="O1696" s="10"/>
      <c r="V1696" s="10"/>
      <c r="W1696" s="6"/>
    </row>
    <row r="1697" spans="1:23" x14ac:dyDescent="0.2">
      <c r="A1697" s="27"/>
      <c r="B1697" s="25"/>
      <c r="D1697" s="11"/>
      <c r="E1697" s="10"/>
      <c r="O1697" s="10"/>
      <c r="V1697" s="10"/>
      <c r="W1697" s="6"/>
    </row>
    <row r="1698" spans="1:23" x14ac:dyDescent="0.2">
      <c r="A1698" s="27"/>
      <c r="B1698" s="25"/>
      <c r="D1698" s="11"/>
      <c r="E1698" s="10"/>
      <c r="O1698" s="10"/>
      <c r="V1698" s="10"/>
      <c r="W1698" s="6"/>
    </row>
    <row r="1699" spans="1:23" x14ac:dyDescent="0.2">
      <c r="A1699" s="27"/>
      <c r="B1699" s="25"/>
      <c r="D1699" s="11"/>
      <c r="E1699" s="10"/>
      <c r="O1699" s="10"/>
      <c r="V1699" s="10"/>
      <c r="W1699" s="6"/>
    </row>
    <row r="1700" spans="1:23" x14ac:dyDescent="0.2">
      <c r="A1700" s="27"/>
      <c r="B1700" s="25"/>
      <c r="D1700" s="11"/>
      <c r="E1700" s="10"/>
      <c r="O1700" s="10"/>
      <c r="V1700" s="10"/>
      <c r="W1700" s="6"/>
    </row>
    <row r="1701" spans="1:23" x14ac:dyDescent="0.2">
      <c r="A1701" s="27"/>
      <c r="B1701" s="25"/>
      <c r="D1701" s="11"/>
      <c r="E1701" s="10"/>
      <c r="O1701" s="10"/>
      <c r="V1701" s="10"/>
      <c r="W1701" s="6"/>
    </row>
    <row r="1702" spans="1:23" x14ac:dyDescent="0.2">
      <c r="A1702" s="27"/>
      <c r="B1702" s="1"/>
      <c r="D1702" s="11"/>
      <c r="E1702" s="10"/>
      <c r="O1702" s="10"/>
      <c r="V1702" s="10"/>
      <c r="W1702" s="6"/>
    </row>
    <row r="1703" spans="1:23" x14ac:dyDescent="0.2">
      <c r="A1703" s="27"/>
      <c r="B1703" s="25"/>
      <c r="D1703" s="11"/>
      <c r="E1703" s="10"/>
      <c r="O1703" s="10"/>
      <c r="V1703" s="10"/>
      <c r="W1703" s="6"/>
    </row>
    <row r="1704" spans="1:23" x14ac:dyDescent="0.2">
      <c r="A1704" s="27"/>
      <c r="B1704" s="25"/>
      <c r="D1704" s="11"/>
      <c r="E1704" s="10"/>
      <c r="O1704" s="10"/>
      <c r="V1704" s="10"/>
      <c r="W1704" s="6"/>
    </row>
    <row r="1705" spans="1:23" x14ac:dyDescent="0.2">
      <c r="A1705" s="27"/>
      <c r="B1705" s="25"/>
      <c r="D1705" s="11"/>
      <c r="E1705" s="10"/>
      <c r="O1705" s="10"/>
      <c r="V1705" s="10"/>
      <c r="W1705" s="6"/>
    </row>
    <row r="1706" spans="1:23" x14ac:dyDescent="0.2">
      <c r="A1706" s="27"/>
      <c r="B1706" s="25"/>
      <c r="D1706" s="11"/>
      <c r="E1706" s="10"/>
      <c r="O1706" s="10"/>
      <c r="V1706" s="10"/>
      <c r="W1706" s="6"/>
    </row>
    <row r="1707" spans="1:23" x14ac:dyDescent="0.2">
      <c r="A1707" s="27"/>
      <c r="B1707" s="1"/>
      <c r="D1707" s="11"/>
      <c r="E1707" s="10"/>
      <c r="O1707" s="10"/>
      <c r="V1707" s="10"/>
      <c r="W1707" s="6"/>
    </row>
    <row r="1708" spans="1:23" x14ac:dyDescent="0.2">
      <c r="A1708" s="27"/>
      <c r="B1708" s="1"/>
      <c r="D1708" s="11"/>
      <c r="E1708" s="10"/>
      <c r="O1708" s="10"/>
      <c r="V1708" s="10"/>
      <c r="W1708" s="6"/>
    </row>
    <row r="1709" spans="1:23" x14ac:dyDescent="0.2">
      <c r="A1709" s="27"/>
      <c r="B1709" s="25"/>
      <c r="D1709" s="11"/>
      <c r="E1709" s="10"/>
      <c r="O1709" s="10"/>
      <c r="V1709" s="10"/>
      <c r="W1709" s="6"/>
    </row>
    <row r="1710" spans="1:23" x14ac:dyDescent="0.2">
      <c r="A1710" s="27"/>
      <c r="B1710" s="25"/>
      <c r="D1710" s="11"/>
      <c r="E1710" s="10"/>
      <c r="O1710" s="10"/>
      <c r="V1710" s="10"/>
      <c r="W1710" s="6"/>
    </row>
    <row r="1711" spans="1:23" x14ac:dyDescent="0.2">
      <c r="A1711" s="27"/>
      <c r="B1711" s="25"/>
      <c r="D1711" s="11"/>
      <c r="E1711" s="10"/>
      <c r="O1711" s="10"/>
      <c r="V1711" s="10"/>
      <c r="W1711" s="6"/>
    </row>
    <row r="1712" spans="1:23" x14ac:dyDescent="0.2">
      <c r="A1712" s="27"/>
      <c r="B1712" s="1"/>
      <c r="D1712" s="11"/>
      <c r="E1712" s="10"/>
      <c r="O1712" s="10"/>
      <c r="V1712" s="10"/>
      <c r="W1712" s="6"/>
    </row>
    <row r="1713" spans="1:23" x14ac:dyDescent="0.2">
      <c r="A1713" s="27"/>
      <c r="B1713" s="25"/>
      <c r="D1713" s="11"/>
      <c r="E1713" s="10"/>
      <c r="O1713" s="10"/>
      <c r="V1713" s="10"/>
      <c r="W1713" s="6"/>
    </row>
    <row r="1714" spans="1:23" x14ac:dyDescent="0.2">
      <c r="A1714" s="27"/>
      <c r="B1714" s="25"/>
      <c r="D1714" s="11"/>
      <c r="E1714" s="10"/>
      <c r="O1714" s="10"/>
      <c r="V1714" s="10"/>
      <c r="W1714" s="6"/>
    </row>
    <row r="1715" spans="1:23" x14ac:dyDescent="0.2">
      <c r="A1715" s="27"/>
      <c r="B1715" s="25"/>
      <c r="D1715" s="11"/>
      <c r="E1715" s="10"/>
      <c r="O1715" s="10"/>
      <c r="V1715" s="10"/>
      <c r="W1715" s="6"/>
    </row>
    <row r="1716" spans="1:23" x14ac:dyDescent="0.2">
      <c r="A1716" s="27"/>
      <c r="B1716" s="25"/>
      <c r="D1716" s="11"/>
      <c r="E1716" s="10"/>
      <c r="O1716" s="10"/>
      <c r="V1716" s="10"/>
      <c r="W1716" s="6"/>
    </row>
    <row r="1717" spans="1:23" x14ac:dyDescent="0.2">
      <c r="A1717" s="27"/>
      <c r="B1717" s="25"/>
      <c r="D1717" s="11"/>
      <c r="E1717" s="10"/>
      <c r="O1717" s="10"/>
      <c r="V1717" s="10"/>
      <c r="W1717" s="6"/>
    </row>
    <row r="1718" spans="1:23" x14ac:dyDescent="0.2">
      <c r="A1718" s="27"/>
      <c r="B1718" s="25"/>
      <c r="D1718" s="11"/>
      <c r="E1718" s="10"/>
      <c r="O1718" s="10"/>
      <c r="V1718" s="10"/>
      <c r="W1718" s="6"/>
    </row>
    <row r="1719" spans="1:23" x14ac:dyDescent="0.2">
      <c r="A1719" s="27"/>
      <c r="B1719" s="25"/>
      <c r="D1719" s="11"/>
      <c r="E1719" s="10"/>
      <c r="O1719" s="10"/>
      <c r="V1719" s="10"/>
      <c r="W1719" s="6"/>
    </row>
    <row r="1720" spans="1:23" x14ac:dyDescent="0.2">
      <c r="A1720" s="27"/>
      <c r="B1720" s="25"/>
      <c r="D1720" s="11"/>
      <c r="E1720" s="10"/>
      <c r="O1720" s="10"/>
      <c r="V1720" s="10"/>
      <c r="W1720" s="6"/>
    </row>
    <row r="1721" spans="1:23" x14ac:dyDescent="0.2">
      <c r="A1721" s="27"/>
      <c r="B1721" s="25"/>
      <c r="D1721" s="11"/>
      <c r="E1721" s="10"/>
      <c r="O1721" s="10"/>
      <c r="V1721" s="10"/>
      <c r="W1721" s="6"/>
    </row>
    <row r="1722" spans="1:23" x14ac:dyDescent="0.2">
      <c r="A1722" s="27"/>
      <c r="B1722" s="25"/>
      <c r="D1722" s="11"/>
      <c r="E1722" s="10"/>
      <c r="O1722" s="10"/>
      <c r="V1722" s="10"/>
      <c r="W1722" s="6"/>
    </row>
    <row r="1723" spans="1:23" x14ac:dyDescent="0.2">
      <c r="A1723" s="27"/>
      <c r="B1723" s="25"/>
      <c r="D1723" s="11"/>
      <c r="E1723" s="10"/>
      <c r="O1723" s="10"/>
      <c r="V1723" s="10"/>
      <c r="W1723" s="6"/>
    </row>
    <row r="1724" spans="1:23" x14ac:dyDescent="0.2">
      <c r="A1724" s="27"/>
      <c r="B1724" s="25"/>
      <c r="D1724" s="11"/>
      <c r="E1724" s="10"/>
      <c r="O1724" s="10"/>
      <c r="V1724" s="10"/>
      <c r="W1724" s="6"/>
    </row>
    <row r="1725" spans="1:23" x14ac:dyDescent="0.2">
      <c r="A1725" s="27"/>
      <c r="B1725" s="25"/>
      <c r="D1725" s="11"/>
      <c r="E1725" s="10"/>
      <c r="O1725" s="10"/>
      <c r="V1725" s="10"/>
      <c r="W1725" s="6"/>
    </row>
    <row r="1726" spans="1:23" x14ac:dyDescent="0.2">
      <c r="A1726" s="27"/>
      <c r="B1726" s="25"/>
      <c r="D1726" s="11"/>
      <c r="E1726" s="10"/>
      <c r="O1726" s="10"/>
      <c r="V1726" s="10"/>
      <c r="W1726" s="6"/>
    </row>
    <row r="1727" spans="1:23" x14ac:dyDescent="0.2">
      <c r="A1727" s="27"/>
      <c r="B1727" s="25"/>
      <c r="D1727" s="11"/>
      <c r="E1727" s="10"/>
      <c r="O1727" s="10"/>
      <c r="V1727" s="10"/>
      <c r="W1727" s="6"/>
    </row>
    <row r="1728" spans="1:23" x14ac:dyDescent="0.2">
      <c r="A1728" s="27"/>
      <c r="B1728" s="25"/>
      <c r="D1728" s="11"/>
      <c r="E1728" s="10"/>
      <c r="O1728" s="10"/>
      <c r="V1728" s="10"/>
      <c r="W1728" s="6"/>
    </row>
    <row r="1729" spans="1:23" x14ac:dyDescent="0.2">
      <c r="A1729" s="27"/>
      <c r="B1729" s="25"/>
      <c r="D1729" s="11"/>
      <c r="E1729" s="10"/>
      <c r="O1729" s="10"/>
      <c r="V1729" s="10"/>
      <c r="W1729" s="6"/>
    </row>
    <row r="1730" spans="1:23" x14ac:dyDescent="0.2">
      <c r="A1730" s="27"/>
      <c r="B1730" s="25"/>
      <c r="D1730" s="11"/>
      <c r="E1730" s="10"/>
      <c r="O1730" s="10"/>
      <c r="V1730" s="10"/>
      <c r="W1730" s="6"/>
    </row>
    <row r="1731" spans="1:23" x14ac:dyDescent="0.2">
      <c r="A1731" s="27"/>
      <c r="B1731" s="25"/>
      <c r="D1731" s="11"/>
      <c r="E1731" s="10"/>
      <c r="O1731" s="10"/>
      <c r="V1731" s="10"/>
      <c r="W1731" s="6"/>
    </row>
    <row r="1732" spans="1:23" x14ac:dyDescent="0.2">
      <c r="A1732" s="27"/>
      <c r="B1732" s="1"/>
      <c r="D1732" s="11"/>
      <c r="E1732" s="10"/>
      <c r="O1732" s="10"/>
      <c r="V1732" s="10"/>
      <c r="W1732" s="6"/>
    </row>
    <row r="1733" spans="1:23" x14ac:dyDescent="0.2">
      <c r="A1733" s="27"/>
      <c r="B1733" s="25"/>
      <c r="D1733" s="11"/>
      <c r="E1733" s="10"/>
      <c r="O1733" s="10"/>
      <c r="V1733" s="10"/>
      <c r="W1733" s="6"/>
    </row>
    <row r="1734" spans="1:23" x14ac:dyDescent="0.2">
      <c r="A1734" s="27"/>
      <c r="B1734" s="25"/>
      <c r="D1734" s="11"/>
      <c r="E1734" s="10"/>
      <c r="O1734" s="10"/>
      <c r="V1734" s="10"/>
      <c r="W1734" s="6"/>
    </row>
    <row r="1735" spans="1:23" x14ac:dyDescent="0.2">
      <c r="A1735" s="27"/>
      <c r="B1735" s="25"/>
      <c r="D1735" s="11"/>
      <c r="E1735" s="10"/>
      <c r="O1735" s="10"/>
      <c r="V1735" s="10"/>
      <c r="W1735" s="6"/>
    </row>
    <row r="1736" spans="1:23" x14ac:dyDescent="0.2">
      <c r="A1736" s="27"/>
      <c r="B1736" s="25"/>
      <c r="D1736" s="11"/>
      <c r="E1736" s="10"/>
      <c r="O1736" s="10"/>
      <c r="V1736" s="10"/>
      <c r="W1736" s="6"/>
    </row>
    <row r="1737" spans="1:23" x14ac:dyDescent="0.2">
      <c r="A1737" s="27"/>
      <c r="B1737" s="25"/>
      <c r="D1737" s="11"/>
      <c r="E1737" s="10"/>
      <c r="O1737" s="10"/>
      <c r="V1737" s="10"/>
      <c r="W1737" s="6"/>
    </row>
    <row r="1738" spans="1:23" x14ac:dyDescent="0.2">
      <c r="A1738" s="27"/>
      <c r="B1738" s="25"/>
      <c r="D1738" s="11"/>
      <c r="E1738" s="10"/>
      <c r="O1738" s="10"/>
      <c r="V1738" s="10"/>
      <c r="W1738" s="6"/>
    </row>
    <row r="1739" spans="1:23" x14ac:dyDescent="0.2">
      <c r="A1739" s="27"/>
      <c r="B1739" s="25"/>
      <c r="D1739" s="11"/>
      <c r="E1739" s="10"/>
      <c r="O1739" s="10"/>
      <c r="V1739" s="10"/>
      <c r="W1739" s="6"/>
    </row>
    <row r="1740" spans="1:23" x14ac:dyDescent="0.2">
      <c r="A1740" s="27"/>
      <c r="B1740" s="1"/>
      <c r="D1740" s="11"/>
      <c r="E1740" s="10"/>
      <c r="O1740" s="10"/>
      <c r="V1740" s="10"/>
      <c r="W1740" s="6"/>
    </row>
    <row r="1741" spans="1:23" x14ac:dyDescent="0.2">
      <c r="A1741" s="27"/>
      <c r="B1741" s="25"/>
      <c r="D1741" s="11"/>
      <c r="E1741" s="10"/>
      <c r="O1741" s="10"/>
      <c r="V1741" s="10"/>
      <c r="W1741" s="6"/>
    </row>
    <row r="1742" spans="1:23" x14ac:dyDescent="0.2">
      <c r="A1742" s="27"/>
      <c r="B1742" s="25"/>
      <c r="D1742" s="11"/>
      <c r="E1742" s="10"/>
      <c r="O1742" s="10"/>
      <c r="V1742" s="10"/>
      <c r="W1742" s="6"/>
    </row>
    <row r="1743" spans="1:23" x14ac:dyDescent="0.2">
      <c r="A1743" s="27"/>
      <c r="B1743" s="25"/>
      <c r="D1743" s="11"/>
      <c r="E1743" s="10"/>
      <c r="O1743" s="10"/>
      <c r="V1743" s="10"/>
      <c r="W1743" s="6"/>
    </row>
    <row r="1744" spans="1:23" x14ac:dyDescent="0.2">
      <c r="A1744" s="27"/>
      <c r="B1744" s="25"/>
      <c r="D1744" s="11"/>
      <c r="E1744" s="10"/>
      <c r="O1744" s="10"/>
      <c r="V1744" s="10"/>
      <c r="W1744" s="6"/>
    </row>
    <row r="1745" spans="1:23" x14ac:dyDescent="0.2">
      <c r="A1745" s="27"/>
      <c r="B1745" s="25"/>
      <c r="D1745" s="11"/>
      <c r="E1745" s="10"/>
      <c r="O1745" s="10"/>
      <c r="V1745" s="10"/>
      <c r="W1745" s="6"/>
    </row>
    <row r="1746" spans="1:23" x14ac:dyDescent="0.2">
      <c r="A1746" s="27"/>
      <c r="B1746" s="25"/>
      <c r="D1746" s="11"/>
      <c r="E1746" s="10"/>
      <c r="O1746" s="10"/>
      <c r="V1746" s="10"/>
      <c r="W1746" s="6"/>
    </row>
    <row r="1747" spans="1:23" x14ac:dyDescent="0.2">
      <c r="A1747" s="27"/>
      <c r="B1747" s="25"/>
      <c r="D1747" s="11"/>
      <c r="E1747" s="10"/>
      <c r="O1747" s="10"/>
      <c r="V1747" s="10"/>
      <c r="W1747" s="6"/>
    </row>
    <row r="1748" spans="1:23" x14ac:dyDescent="0.2">
      <c r="A1748" s="27"/>
      <c r="B1748" s="25"/>
      <c r="D1748" s="11"/>
      <c r="E1748" s="10"/>
      <c r="O1748" s="10"/>
      <c r="V1748" s="10"/>
      <c r="W1748" s="6"/>
    </row>
    <row r="1749" spans="1:23" x14ac:dyDescent="0.2">
      <c r="A1749" s="27"/>
      <c r="B1749" s="25"/>
      <c r="D1749" s="11"/>
      <c r="E1749" s="10"/>
      <c r="O1749" s="10"/>
      <c r="V1749" s="10"/>
      <c r="W1749" s="6"/>
    </row>
    <row r="1750" spans="1:23" x14ac:dyDescent="0.2">
      <c r="A1750" s="27"/>
      <c r="B1750" s="25"/>
      <c r="D1750" s="11"/>
      <c r="E1750" s="10"/>
      <c r="O1750" s="10"/>
      <c r="V1750" s="10"/>
      <c r="W1750" s="6"/>
    </row>
    <row r="1751" spans="1:23" x14ac:dyDescent="0.2">
      <c r="A1751" s="27"/>
      <c r="B1751" s="1"/>
      <c r="D1751" s="11"/>
      <c r="E1751" s="10"/>
      <c r="O1751" s="10"/>
      <c r="V1751" s="10"/>
      <c r="W1751" s="6"/>
    </row>
    <row r="1752" spans="1:23" x14ac:dyDescent="0.2">
      <c r="A1752" s="27"/>
      <c r="B1752" s="25"/>
      <c r="D1752" s="11"/>
      <c r="E1752" s="10"/>
      <c r="O1752" s="10"/>
      <c r="V1752" s="10"/>
      <c r="W1752" s="6"/>
    </row>
    <row r="1753" spans="1:23" x14ac:dyDescent="0.2">
      <c r="A1753" s="27"/>
      <c r="B1753" s="25"/>
      <c r="D1753" s="11"/>
      <c r="E1753" s="10"/>
      <c r="O1753" s="10"/>
      <c r="V1753" s="10"/>
      <c r="W1753" s="6"/>
    </row>
    <row r="1754" spans="1:23" x14ac:dyDescent="0.2">
      <c r="A1754" s="27"/>
      <c r="B1754" s="25"/>
      <c r="D1754" s="11"/>
      <c r="E1754" s="10"/>
      <c r="O1754" s="10"/>
      <c r="V1754" s="10"/>
      <c r="W1754" s="6"/>
    </row>
    <row r="1755" spans="1:23" x14ac:dyDescent="0.2">
      <c r="A1755" s="27"/>
      <c r="B1755" s="25"/>
      <c r="D1755" s="11"/>
      <c r="E1755" s="10"/>
      <c r="O1755" s="10"/>
      <c r="V1755" s="10"/>
      <c r="W1755" s="6"/>
    </row>
    <row r="1756" spans="1:23" x14ac:dyDescent="0.2">
      <c r="A1756" s="27"/>
      <c r="B1756" s="25"/>
      <c r="D1756" s="11"/>
      <c r="E1756" s="10"/>
      <c r="O1756" s="10"/>
      <c r="V1756" s="10"/>
      <c r="W1756" s="6"/>
    </row>
    <row r="1757" spans="1:23" x14ac:dyDescent="0.2">
      <c r="A1757" s="27"/>
      <c r="B1757" s="1"/>
      <c r="D1757" s="11"/>
      <c r="E1757" s="10"/>
      <c r="O1757" s="10"/>
      <c r="V1757" s="10"/>
      <c r="W1757" s="6"/>
    </row>
    <row r="1758" spans="1:23" x14ac:dyDescent="0.2">
      <c r="A1758" s="27"/>
      <c r="B1758" s="25"/>
      <c r="D1758" s="11"/>
      <c r="E1758" s="10"/>
      <c r="O1758" s="10"/>
      <c r="V1758" s="10"/>
      <c r="W1758" s="6"/>
    </row>
    <row r="1759" spans="1:23" x14ac:dyDescent="0.2">
      <c r="A1759" s="27"/>
      <c r="B1759" s="1"/>
      <c r="D1759" s="11"/>
      <c r="E1759" s="10"/>
      <c r="O1759" s="10"/>
      <c r="V1759" s="10"/>
      <c r="W1759" s="6"/>
    </row>
    <row r="1760" spans="1:23" x14ac:dyDescent="0.2">
      <c r="A1760" s="27"/>
      <c r="B1760" s="25"/>
      <c r="D1760" s="11"/>
      <c r="E1760" s="10"/>
      <c r="O1760" s="10"/>
      <c r="V1760" s="10"/>
      <c r="W1760" s="6"/>
    </row>
    <row r="1761" spans="1:23" x14ac:dyDescent="0.2">
      <c r="A1761" s="27"/>
      <c r="B1761" s="25"/>
      <c r="D1761" s="11"/>
      <c r="E1761" s="10"/>
      <c r="O1761" s="10"/>
      <c r="V1761" s="10"/>
      <c r="W1761" s="6"/>
    </row>
    <row r="1762" spans="1:23" x14ac:dyDescent="0.2">
      <c r="A1762" s="27"/>
      <c r="B1762" s="1"/>
      <c r="D1762" s="11"/>
      <c r="E1762" s="10"/>
      <c r="O1762" s="10"/>
      <c r="V1762" s="10"/>
      <c r="W1762" s="6"/>
    </row>
    <row r="1763" spans="1:23" x14ac:dyDescent="0.2">
      <c r="A1763" s="27"/>
      <c r="B1763" s="25"/>
      <c r="D1763" s="11"/>
      <c r="E1763" s="10"/>
      <c r="O1763" s="10"/>
      <c r="V1763" s="10"/>
      <c r="W1763" s="6"/>
    </row>
    <row r="1764" spans="1:23" x14ac:dyDescent="0.2">
      <c r="A1764" s="27"/>
      <c r="B1764" s="25"/>
      <c r="D1764" s="11"/>
      <c r="E1764" s="10"/>
      <c r="O1764" s="10"/>
      <c r="V1764" s="10"/>
      <c r="W1764" s="6"/>
    </row>
    <row r="1765" spans="1:23" x14ac:dyDescent="0.2">
      <c r="A1765" s="27"/>
      <c r="B1765" s="25"/>
      <c r="D1765" s="11"/>
      <c r="E1765" s="10"/>
      <c r="O1765" s="10"/>
      <c r="V1765" s="10"/>
      <c r="W1765" s="6"/>
    </row>
    <row r="1766" spans="1:23" x14ac:dyDescent="0.2">
      <c r="A1766" s="27"/>
      <c r="B1766" s="25"/>
      <c r="D1766" s="11"/>
      <c r="E1766" s="10"/>
      <c r="O1766" s="10"/>
      <c r="V1766" s="10"/>
      <c r="W1766" s="6"/>
    </row>
    <row r="1767" spans="1:23" x14ac:dyDescent="0.2">
      <c r="A1767" s="27"/>
      <c r="B1767" s="25"/>
      <c r="D1767" s="11"/>
      <c r="E1767" s="10"/>
      <c r="O1767" s="10"/>
      <c r="V1767" s="10"/>
      <c r="W1767" s="6"/>
    </row>
    <row r="1768" spans="1:23" x14ac:dyDescent="0.2">
      <c r="A1768" s="27"/>
      <c r="B1768" s="1"/>
      <c r="D1768" s="11"/>
      <c r="E1768" s="10"/>
      <c r="O1768" s="10"/>
      <c r="V1768" s="10"/>
      <c r="W1768" s="6"/>
    </row>
    <row r="1769" spans="1:23" x14ac:dyDescent="0.2">
      <c r="A1769" s="27"/>
      <c r="B1769" s="25"/>
      <c r="D1769" s="11"/>
      <c r="E1769" s="10"/>
      <c r="O1769" s="10"/>
      <c r="V1769" s="10"/>
      <c r="W1769" s="6"/>
    </row>
    <row r="1770" spans="1:23" x14ac:dyDescent="0.2">
      <c r="A1770" s="27"/>
      <c r="B1770" s="25"/>
      <c r="D1770" s="11"/>
      <c r="E1770" s="10"/>
      <c r="O1770" s="10"/>
      <c r="V1770" s="10"/>
      <c r="W1770" s="6"/>
    </row>
    <row r="1771" spans="1:23" x14ac:dyDescent="0.2">
      <c r="A1771" s="27"/>
      <c r="B1771" s="25"/>
      <c r="D1771" s="11"/>
      <c r="E1771" s="10"/>
      <c r="O1771" s="10"/>
      <c r="V1771" s="10"/>
      <c r="W1771" s="6"/>
    </row>
    <row r="1772" spans="1:23" x14ac:dyDescent="0.2">
      <c r="A1772" s="27"/>
      <c r="B1772" s="1"/>
      <c r="D1772" s="11"/>
      <c r="E1772" s="10"/>
      <c r="O1772" s="10"/>
      <c r="V1772" s="10"/>
      <c r="W1772" s="6"/>
    </row>
    <row r="1773" spans="1:23" x14ac:dyDescent="0.2">
      <c r="A1773" s="27"/>
      <c r="B1773" s="25"/>
      <c r="D1773" s="11"/>
      <c r="E1773" s="10"/>
      <c r="O1773" s="10"/>
      <c r="V1773" s="10"/>
      <c r="W1773" s="6"/>
    </row>
    <row r="1774" spans="1:23" x14ac:dyDescent="0.2">
      <c r="A1774" s="27"/>
      <c r="B1774" s="1"/>
      <c r="D1774" s="11"/>
      <c r="E1774" s="10"/>
      <c r="O1774" s="10"/>
      <c r="V1774" s="10"/>
      <c r="W1774" s="6"/>
    </row>
    <row r="1775" spans="1:23" x14ac:dyDescent="0.2">
      <c r="A1775" s="27"/>
      <c r="B1775" s="25"/>
      <c r="D1775" s="11"/>
      <c r="E1775" s="10"/>
      <c r="O1775" s="10"/>
      <c r="V1775" s="10"/>
      <c r="W1775" s="6"/>
    </row>
    <row r="1776" spans="1:23" x14ac:dyDescent="0.2">
      <c r="A1776" s="27"/>
      <c r="B1776" s="25"/>
      <c r="D1776" s="11"/>
      <c r="E1776" s="10"/>
      <c r="O1776" s="10"/>
      <c r="V1776" s="10"/>
      <c r="W1776" s="6"/>
    </row>
    <row r="1777" spans="1:23" x14ac:dyDescent="0.2">
      <c r="A1777" s="27"/>
      <c r="B1777" s="25"/>
      <c r="D1777" s="11"/>
      <c r="E1777" s="10"/>
      <c r="O1777" s="10"/>
      <c r="V1777" s="10"/>
      <c r="W1777" s="6"/>
    </row>
    <row r="1778" spans="1:23" x14ac:dyDescent="0.2">
      <c r="A1778" s="27"/>
      <c r="B1778" s="25"/>
      <c r="D1778" s="11"/>
      <c r="E1778" s="10"/>
      <c r="O1778" s="10"/>
      <c r="V1778" s="10"/>
      <c r="W1778" s="6"/>
    </row>
    <row r="1779" spans="1:23" x14ac:dyDescent="0.2">
      <c r="A1779" s="27"/>
      <c r="B1779" s="25"/>
      <c r="D1779" s="11"/>
      <c r="E1779" s="10"/>
      <c r="O1779" s="10"/>
      <c r="V1779" s="10"/>
      <c r="W1779" s="6"/>
    </row>
    <row r="1780" spans="1:23" x14ac:dyDescent="0.2">
      <c r="A1780" s="27"/>
      <c r="B1780" s="25"/>
      <c r="D1780" s="11"/>
      <c r="E1780" s="10"/>
      <c r="O1780" s="10"/>
      <c r="V1780" s="10"/>
      <c r="W1780" s="6"/>
    </row>
    <row r="1781" spans="1:23" x14ac:dyDescent="0.2">
      <c r="A1781" s="27"/>
      <c r="B1781" s="25"/>
      <c r="D1781" s="11"/>
      <c r="E1781" s="10"/>
      <c r="O1781" s="10"/>
      <c r="V1781" s="10"/>
      <c r="W1781" s="6"/>
    </row>
    <row r="1782" spans="1:23" x14ac:dyDescent="0.2">
      <c r="A1782" s="27"/>
      <c r="B1782" s="25"/>
      <c r="D1782" s="11"/>
      <c r="E1782" s="10"/>
      <c r="O1782" s="10"/>
      <c r="V1782" s="10"/>
      <c r="W1782" s="6"/>
    </row>
    <row r="1783" spans="1:23" x14ac:dyDescent="0.2">
      <c r="A1783" s="27"/>
      <c r="B1783" s="25"/>
      <c r="D1783" s="11"/>
      <c r="E1783" s="10"/>
      <c r="O1783" s="10"/>
      <c r="V1783" s="10"/>
      <c r="W1783" s="6"/>
    </row>
    <row r="1784" spans="1:23" x14ac:dyDescent="0.2">
      <c r="A1784" s="27"/>
      <c r="B1784" s="25"/>
      <c r="D1784" s="11"/>
      <c r="E1784" s="10"/>
      <c r="O1784" s="10"/>
      <c r="V1784" s="10"/>
      <c r="W1784" s="6"/>
    </row>
    <row r="1785" spans="1:23" x14ac:dyDescent="0.2">
      <c r="A1785" s="27"/>
      <c r="B1785" s="25"/>
      <c r="D1785" s="11"/>
      <c r="E1785" s="10"/>
      <c r="O1785" s="10"/>
      <c r="V1785" s="10"/>
      <c r="W1785" s="6"/>
    </row>
    <row r="1786" spans="1:23" x14ac:dyDescent="0.2">
      <c r="A1786" s="27"/>
      <c r="B1786" s="25"/>
      <c r="D1786" s="11"/>
      <c r="E1786" s="10"/>
      <c r="O1786" s="10"/>
      <c r="V1786" s="10"/>
      <c r="W1786" s="6"/>
    </row>
    <row r="1787" spans="1:23" x14ac:dyDescent="0.2">
      <c r="A1787" s="27"/>
      <c r="B1787" s="25"/>
      <c r="D1787" s="11"/>
      <c r="E1787" s="10"/>
      <c r="O1787" s="10"/>
      <c r="V1787" s="10"/>
      <c r="W1787" s="6"/>
    </row>
    <row r="1788" spans="1:23" x14ac:dyDescent="0.2">
      <c r="A1788" s="27"/>
      <c r="B1788" s="25"/>
      <c r="D1788" s="11"/>
      <c r="E1788" s="10"/>
      <c r="O1788" s="10"/>
      <c r="V1788" s="10"/>
      <c r="W1788" s="6"/>
    </row>
    <row r="1789" spans="1:23" x14ac:dyDescent="0.2">
      <c r="A1789" s="27"/>
      <c r="B1789" s="25"/>
      <c r="D1789" s="11"/>
      <c r="E1789" s="10"/>
      <c r="O1789" s="10"/>
      <c r="V1789" s="10"/>
      <c r="W1789" s="6"/>
    </row>
    <row r="1790" spans="1:23" x14ac:dyDescent="0.2">
      <c r="A1790" s="27"/>
      <c r="B1790" s="25"/>
      <c r="D1790" s="11"/>
      <c r="E1790" s="10"/>
      <c r="O1790" s="10"/>
      <c r="V1790" s="10"/>
      <c r="W1790" s="6"/>
    </row>
    <row r="1791" spans="1:23" x14ac:dyDescent="0.2">
      <c r="A1791" s="27"/>
      <c r="B1791" s="25"/>
      <c r="D1791" s="11"/>
      <c r="E1791" s="10"/>
      <c r="O1791" s="10"/>
      <c r="V1791" s="10"/>
      <c r="W1791" s="6"/>
    </row>
    <row r="1792" spans="1:23" x14ac:dyDescent="0.2">
      <c r="A1792" s="27"/>
      <c r="B1792" s="25"/>
      <c r="D1792" s="11"/>
      <c r="E1792" s="10"/>
      <c r="O1792" s="10"/>
      <c r="V1792" s="10"/>
      <c r="W1792" s="6"/>
    </row>
    <row r="1793" spans="1:23" x14ac:dyDescent="0.2">
      <c r="A1793" s="27"/>
      <c r="B1793" s="25"/>
      <c r="D1793" s="11"/>
      <c r="E1793" s="10"/>
      <c r="O1793" s="10"/>
      <c r="V1793" s="10"/>
      <c r="W1793" s="6"/>
    </row>
    <row r="1794" spans="1:23" x14ac:dyDescent="0.2">
      <c r="A1794" s="27"/>
      <c r="B1794" s="25"/>
      <c r="D1794" s="11"/>
      <c r="E1794" s="10"/>
      <c r="O1794" s="10"/>
      <c r="V1794" s="10"/>
      <c r="W1794" s="6"/>
    </row>
    <row r="1795" spans="1:23" x14ac:dyDescent="0.2">
      <c r="A1795" s="27"/>
      <c r="B1795" s="1"/>
      <c r="D1795" s="11"/>
      <c r="E1795" s="10"/>
      <c r="O1795" s="10"/>
      <c r="V1795" s="10"/>
      <c r="W1795" s="6"/>
    </row>
    <row r="1796" spans="1:23" x14ac:dyDescent="0.2">
      <c r="A1796" s="27"/>
      <c r="B1796" s="1"/>
      <c r="D1796" s="11"/>
      <c r="E1796" s="10"/>
      <c r="O1796" s="10"/>
      <c r="V1796" s="10"/>
      <c r="W1796" s="6"/>
    </row>
    <row r="1797" spans="1:23" x14ac:dyDescent="0.2">
      <c r="A1797" s="27"/>
      <c r="B1797" s="1"/>
      <c r="D1797" s="11"/>
      <c r="E1797" s="10"/>
      <c r="O1797" s="10"/>
      <c r="V1797" s="10"/>
      <c r="W1797" s="6"/>
    </row>
    <row r="1798" spans="1:23" x14ac:dyDescent="0.2">
      <c r="A1798" s="27"/>
      <c r="B1798" s="1"/>
      <c r="D1798" s="11"/>
      <c r="E1798" s="10"/>
      <c r="O1798" s="10"/>
      <c r="V1798" s="10"/>
      <c r="W1798" s="6"/>
    </row>
    <row r="1799" spans="1:23" x14ac:dyDescent="0.2">
      <c r="A1799" s="27"/>
      <c r="B1799" s="25"/>
      <c r="D1799" s="11"/>
      <c r="E1799" s="10"/>
      <c r="O1799" s="10"/>
      <c r="V1799" s="10"/>
      <c r="W1799" s="6"/>
    </row>
    <row r="1800" spans="1:23" x14ac:dyDescent="0.2">
      <c r="A1800" s="27"/>
      <c r="B1800" s="25"/>
      <c r="D1800" s="11"/>
      <c r="E1800" s="10"/>
      <c r="O1800" s="10"/>
      <c r="V1800" s="10"/>
      <c r="W1800" s="6"/>
    </row>
    <row r="1801" spans="1:23" x14ac:dyDescent="0.2">
      <c r="A1801" s="27"/>
      <c r="B1801" s="25"/>
      <c r="D1801" s="11"/>
      <c r="E1801" s="10"/>
      <c r="O1801" s="10"/>
      <c r="V1801" s="10"/>
      <c r="W1801" s="6"/>
    </row>
    <row r="1802" spans="1:23" x14ac:dyDescent="0.2">
      <c r="A1802" s="27"/>
      <c r="B1802" s="1"/>
      <c r="D1802" s="11"/>
      <c r="E1802" s="10"/>
      <c r="O1802" s="10"/>
      <c r="V1802" s="10"/>
      <c r="W1802" s="6"/>
    </row>
    <row r="1803" spans="1:23" x14ac:dyDescent="0.2">
      <c r="A1803" s="27"/>
      <c r="B1803" s="25"/>
      <c r="D1803" s="11"/>
      <c r="E1803" s="10"/>
      <c r="O1803" s="10"/>
      <c r="V1803" s="10"/>
      <c r="W1803" s="6"/>
    </row>
    <row r="1804" spans="1:23" x14ac:dyDescent="0.2">
      <c r="A1804" s="27"/>
      <c r="B1804" s="25"/>
      <c r="D1804" s="11"/>
      <c r="E1804" s="10"/>
      <c r="O1804" s="10"/>
      <c r="V1804" s="10"/>
      <c r="W1804" s="6"/>
    </row>
    <row r="1805" spans="1:23" x14ac:dyDescent="0.2">
      <c r="A1805" s="27"/>
      <c r="B1805" s="25"/>
      <c r="D1805" s="11"/>
      <c r="E1805" s="10"/>
      <c r="O1805" s="10"/>
      <c r="V1805" s="10"/>
      <c r="W1805" s="6"/>
    </row>
    <row r="1806" spans="1:23" x14ac:dyDescent="0.2">
      <c r="A1806" s="27"/>
      <c r="B1806" s="25"/>
      <c r="D1806" s="11"/>
      <c r="E1806" s="10"/>
      <c r="O1806" s="10"/>
      <c r="V1806" s="10"/>
      <c r="W1806" s="6"/>
    </row>
    <row r="1807" spans="1:23" x14ac:dyDescent="0.2">
      <c r="A1807" s="27"/>
      <c r="B1807" s="25"/>
      <c r="D1807" s="11"/>
      <c r="E1807" s="10"/>
      <c r="O1807" s="10"/>
      <c r="V1807" s="10"/>
      <c r="W1807" s="6"/>
    </row>
    <row r="1808" spans="1:23" x14ac:dyDescent="0.2">
      <c r="A1808" s="27"/>
      <c r="B1808" s="25"/>
      <c r="D1808" s="11"/>
      <c r="E1808" s="10"/>
      <c r="O1808" s="10"/>
      <c r="V1808" s="10"/>
      <c r="W1808" s="6"/>
    </row>
    <row r="1809" spans="1:23" x14ac:dyDescent="0.2">
      <c r="A1809" s="27"/>
      <c r="B1809" s="25"/>
      <c r="D1809" s="11"/>
      <c r="E1809" s="10"/>
      <c r="O1809" s="10"/>
      <c r="V1809" s="10"/>
      <c r="W1809" s="6"/>
    </row>
    <row r="1810" spans="1:23" x14ac:dyDescent="0.2">
      <c r="A1810" s="27"/>
      <c r="B1810" s="25"/>
      <c r="D1810" s="11"/>
      <c r="E1810" s="10"/>
      <c r="O1810" s="10"/>
      <c r="V1810" s="10"/>
      <c r="W1810" s="6"/>
    </row>
    <row r="1811" spans="1:23" x14ac:dyDescent="0.2">
      <c r="A1811" s="27"/>
      <c r="B1811" s="25"/>
      <c r="D1811" s="11"/>
      <c r="E1811" s="10"/>
      <c r="O1811" s="10"/>
      <c r="V1811" s="10"/>
      <c r="W1811" s="6"/>
    </row>
    <row r="1812" spans="1:23" x14ac:dyDescent="0.2">
      <c r="A1812" s="27"/>
      <c r="B1812" s="25"/>
      <c r="D1812" s="11"/>
      <c r="E1812" s="10"/>
      <c r="O1812" s="10"/>
      <c r="V1812" s="10"/>
      <c r="W1812" s="6"/>
    </row>
    <row r="1813" spans="1:23" x14ac:dyDescent="0.2">
      <c r="A1813" s="27"/>
      <c r="B1813" s="25"/>
      <c r="D1813" s="11"/>
      <c r="E1813" s="10"/>
      <c r="O1813" s="10"/>
      <c r="V1813" s="10"/>
      <c r="W1813" s="6"/>
    </row>
    <row r="1814" spans="1:23" x14ac:dyDescent="0.2">
      <c r="A1814" s="27"/>
      <c r="B1814" s="25"/>
      <c r="D1814" s="11"/>
      <c r="E1814" s="10"/>
      <c r="O1814" s="10"/>
      <c r="V1814" s="10"/>
      <c r="W1814" s="6"/>
    </row>
    <row r="1815" spans="1:23" x14ac:dyDescent="0.2">
      <c r="A1815" s="27"/>
      <c r="B1815" s="25"/>
      <c r="D1815" s="11"/>
      <c r="E1815" s="10"/>
      <c r="O1815" s="10"/>
      <c r="V1815" s="10"/>
      <c r="W1815" s="6"/>
    </row>
    <row r="1816" spans="1:23" x14ac:dyDescent="0.2">
      <c r="A1816" s="27"/>
      <c r="B1816" s="1"/>
      <c r="D1816" s="11"/>
      <c r="E1816" s="10"/>
      <c r="O1816" s="10"/>
      <c r="V1816" s="10"/>
      <c r="W1816" s="6"/>
    </row>
    <row r="1817" spans="1:23" x14ac:dyDescent="0.2">
      <c r="A1817" s="27"/>
      <c r="B1817" s="1"/>
      <c r="D1817" s="11"/>
      <c r="E1817" s="10"/>
      <c r="O1817" s="10"/>
      <c r="V1817" s="10"/>
      <c r="W1817" s="6"/>
    </row>
    <row r="1818" spans="1:23" x14ac:dyDescent="0.2">
      <c r="A1818" s="27"/>
      <c r="B1818" s="1"/>
      <c r="D1818" s="11"/>
      <c r="E1818" s="10"/>
      <c r="O1818" s="10"/>
      <c r="V1818" s="10"/>
      <c r="W1818" s="6"/>
    </row>
    <row r="1819" spans="1:23" x14ac:dyDescent="0.2">
      <c r="A1819" s="27"/>
      <c r="B1819" s="25"/>
      <c r="D1819" s="11"/>
      <c r="E1819" s="10"/>
      <c r="O1819" s="10"/>
      <c r="V1819" s="10"/>
      <c r="W1819" s="6"/>
    </row>
    <row r="1820" spans="1:23" x14ac:dyDescent="0.2">
      <c r="A1820" s="27"/>
      <c r="B1820" s="25"/>
      <c r="D1820" s="11"/>
      <c r="E1820" s="10"/>
      <c r="O1820" s="10"/>
      <c r="V1820" s="10"/>
      <c r="W1820" s="6"/>
    </row>
    <row r="1821" spans="1:23" x14ac:dyDescent="0.2">
      <c r="A1821" s="27"/>
      <c r="B1821" s="25"/>
      <c r="D1821" s="11"/>
      <c r="E1821" s="10"/>
      <c r="O1821" s="10"/>
      <c r="V1821" s="10"/>
      <c r="W1821" s="6"/>
    </row>
    <row r="1822" spans="1:23" x14ac:dyDescent="0.2">
      <c r="A1822" s="27"/>
      <c r="B1822" s="25"/>
      <c r="D1822" s="11"/>
      <c r="E1822" s="10"/>
      <c r="O1822" s="10"/>
      <c r="V1822" s="10"/>
      <c r="W1822" s="6"/>
    </row>
    <row r="1823" spans="1:23" x14ac:dyDescent="0.2">
      <c r="A1823" s="27"/>
      <c r="B1823" s="25"/>
      <c r="D1823" s="11"/>
      <c r="E1823" s="10"/>
      <c r="O1823" s="10"/>
      <c r="V1823" s="10"/>
      <c r="W1823" s="6"/>
    </row>
    <row r="1824" spans="1:23" x14ac:dyDescent="0.2">
      <c r="A1824" s="27"/>
      <c r="B1824" s="1"/>
      <c r="D1824" s="11"/>
      <c r="E1824" s="10"/>
      <c r="O1824" s="10"/>
      <c r="V1824" s="10"/>
      <c r="W1824" s="6"/>
    </row>
    <row r="1825" spans="1:23" x14ac:dyDescent="0.2">
      <c r="A1825" s="27"/>
      <c r="B1825" s="25"/>
      <c r="D1825" s="11"/>
      <c r="E1825" s="10"/>
      <c r="O1825" s="10"/>
      <c r="V1825" s="10"/>
      <c r="W1825" s="6"/>
    </row>
    <row r="1826" spans="1:23" x14ac:dyDescent="0.2">
      <c r="A1826" s="27"/>
      <c r="B1826" s="25"/>
      <c r="D1826" s="11"/>
      <c r="E1826" s="10"/>
      <c r="O1826" s="10"/>
      <c r="V1826" s="10"/>
      <c r="W1826" s="6"/>
    </row>
    <row r="1827" spans="1:23" x14ac:dyDescent="0.2">
      <c r="A1827" s="27"/>
      <c r="B1827" s="25"/>
      <c r="D1827" s="11"/>
      <c r="E1827" s="10"/>
      <c r="O1827" s="10"/>
      <c r="V1827" s="10"/>
      <c r="W1827" s="6"/>
    </row>
    <row r="1828" spans="1:23" x14ac:dyDescent="0.2">
      <c r="A1828" s="27"/>
      <c r="B1828" s="25"/>
      <c r="D1828" s="11"/>
      <c r="E1828" s="10"/>
      <c r="O1828" s="10"/>
      <c r="V1828" s="10"/>
      <c r="W1828" s="6"/>
    </row>
    <row r="1829" spans="1:23" x14ac:dyDescent="0.2">
      <c r="A1829" s="27"/>
      <c r="B1829" s="25"/>
      <c r="D1829" s="11"/>
      <c r="E1829" s="10"/>
      <c r="O1829" s="10"/>
      <c r="V1829" s="10"/>
      <c r="W1829" s="6"/>
    </row>
    <row r="1830" spans="1:23" x14ac:dyDescent="0.2">
      <c r="A1830" s="27"/>
      <c r="B1830" s="25"/>
      <c r="D1830" s="11"/>
      <c r="E1830" s="10"/>
      <c r="O1830" s="10"/>
      <c r="V1830" s="10"/>
      <c r="W1830" s="6"/>
    </row>
    <row r="1831" spans="1:23" x14ac:dyDescent="0.2">
      <c r="A1831" s="27"/>
      <c r="B1831" s="25"/>
      <c r="D1831" s="11"/>
      <c r="E1831" s="10"/>
      <c r="O1831" s="10"/>
      <c r="V1831" s="10"/>
      <c r="W1831" s="6"/>
    </row>
    <row r="1832" spans="1:23" x14ac:dyDescent="0.2">
      <c r="A1832" s="27"/>
      <c r="B1832" s="1"/>
      <c r="D1832" s="11"/>
      <c r="E1832" s="10"/>
      <c r="O1832" s="10"/>
      <c r="V1832" s="10"/>
      <c r="W1832" s="6"/>
    </row>
    <row r="1833" spans="1:23" x14ac:dyDescent="0.2">
      <c r="A1833" s="27"/>
      <c r="B1833" s="25"/>
      <c r="D1833" s="11"/>
      <c r="E1833" s="10"/>
      <c r="O1833" s="10"/>
      <c r="V1833" s="10"/>
      <c r="W1833" s="6"/>
    </row>
    <row r="1834" spans="1:23" x14ac:dyDescent="0.2">
      <c r="A1834" s="27"/>
      <c r="B1834" s="25"/>
      <c r="D1834" s="11"/>
      <c r="E1834" s="10"/>
      <c r="O1834" s="10"/>
      <c r="V1834" s="10"/>
      <c r="W1834" s="6"/>
    </row>
    <row r="1835" spans="1:23" x14ac:dyDescent="0.2">
      <c r="A1835" s="27"/>
      <c r="B1835" s="25"/>
      <c r="D1835" s="11"/>
      <c r="E1835" s="10"/>
      <c r="O1835" s="10"/>
      <c r="V1835" s="10"/>
      <c r="W1835" s="6"/>
    </row>
    <row r="1836" spans="1:23" x14ac:dyDescent="0.2">
      <c r="A1836" s="27"/>
      <c r="B1836" s="25"/>
      <c r="D1836" s="11"/>
      <c r="E1836" s="10"/>
      <c r="O1836" s="10"/>
      <c r="V1836" s="10"/>
      <c r="W1836" s="6"/>
    </row>
    <row r="1837" spans="1:23" x14ac:dyDescent="0.2">
      <c r="A1837" s="27"/>
      <c r="B1837" s="25"/>
      <c r="D1837" s="11"/>
      <c r="E1837" s="10"/>
      <c r="O1837" s="10"/>
      <c r="V1837" s="10"/>
      <c r="W1837" s="6"/>
    </row>
    <row r="1838" spans="1:23" x14ac:dyDescent="0.2">
      <c r="A1838" s="27"/>
      <c r="B1838" s="25"/>
      <c r="D1838" s="11"/>
      <c r="E1838" s="10"/>
      <c r="O1838" s="10"/>
      <c r="V1838" s="10"/>
      <c r="W1838" s="6"/>
    </row>
    <row r="1839" spans="1:23" x14ac:dyDescent="0.2">
      <c r="A1839" s="27"/>
      <c r="B1839" s="25"/>
      <c r="D1839" s="11"/>
      <c r="E1839" s="10"/>
      <c r="O1839" s="10"/>
      <c r="V1839" s="10"/>
      <c r="W1839" s="6"/>
    </row>
    <row r="1840" spans="1:23" x14ac:dyDescent="0.2">
      <c r="A1840" s="27"/>
      <c r="B1840" s="1"/>
      <c r="D1840" s="11"/>
      <c r="E1840" s="10"/>
      <c r="O1840" s="10"/>
      <c r="V1840" s="10"/>
      <c r="W1840" s="6"/>
    </row>
    <row r="1841" spans="1:23" x14ac:dyDescent="0.2">
      <c r="A1841" s="27"/>
      <c r="B1841" s="25"/>
      <c r="D1841" s="11"/>
      <c r="E1841" s="10"/>
      <c r="O1841" s="10"/>
      <c r="V1841" s="10"/>
      <c r="W1841" s="6"/>
    </row>
    <row r="1842" spans="1:23" x14ac:dyDescent="0.2">
      <c r="A1842" s="27"/>
      <c r="B1842" s="1"/>
      <c r="D1842" s="11"/>
      <c r="E1842" s="10"/>
      <c r="O1842" s="10"/>
      <c r="V1842" s="10"/>
      <c r="W1842" s="6"/>
    </row>
    <row r="1843" spans="1:23" x14ac:dyDescent="0.2">
      <c r="A1843" s="27"/>
      <c r="B1843" s="1"/>
      <c r="D1843" s="11"/>
      <c r="E1843" s="10"/>
      <c r="O1843" s="10"/>
      <c r="V1843" s="10"/>
      <c r="W1843" s="6"/>
    </row>
    <row r="1844" spans="1:23" x14ac:dyDescent="0.2">
      <c r="A1844" s="27"/>
      <c r="B1844" s="25"/>
      <c r="D1844" s="11"/>
      <c r="E1844" s="10"/>
      <c r="O1844" s="10"/>
      <c r="V1844" s="10"/>
    </row>
    <row r="1845" spans="1:23" x14ac:dyDescent="0.2">
      <c r="A1845" s="27"/>
      <c r="B1845" s="25"/>
      <c r="D1845" s="11"/>
      <c r="E1845" s="10"/>
      <c r="O1845" s="10"/>
      <c r="V1845" s="10"/>
      <c r="W1845" s="6"/>
    </row>
    <row r="1846" spans="1:23" x14ac:dyDescent="0.2">
      <c r="A1846" s="27"/>
      <c r="B1846" s="25"/>
      <c r="D1846" s="11"/>
      <c r="E1846" s="10"/>
      <c r="O1846" s="10"/>
      <c r="V1846" s="10"/>
      <c r="W1846" s="6"/>
    </row>
    <row r="1847" spans="1:23" x14ac:dyDescent="0.2">
      <c r="A1847" s="27"/>
      <c r="B1847" s="1"/>
      <c r="D1847" s="11"/>
      <c r="E1847" s="10"/>
      <c r="O1847" s="10"/>
      <c r="V1847" s="10"/>
      <c r="W1847" s="6"/>
    </row>
    <row r="1848" spans="1:23" x14ac:dyDescent="0.2">
      <c r="A1848" s="27"/>
      <c r="B1848" s="1"/>
      <c r="D1848" s="11"/>
      <c r="E1848" s="10"/>
      <c r="O1848" s="10"/>
      <c r="V1848" s="10"/>
      <c r="W1848" s="6"/>
    </row>
    <row r="1849" spans="1:23" x14ac:dyDescent="0.2">
      <c r="A1849" s="27"/>
      <c r="B1849" s="25"/>
      <c r="D1849" s="11"/>
      <c r="E1849" s="10"/>
      <c r="O1849" s="10"/>
      <c r="V1849" s="10"/>
      <c r="W1849" s="6"/>
    </row>
    <row r="1850" spans="1:23" x14ac:dyDescent="0.2">
      <c r="A1850" s="27"/>
      <c r="B1850" s="25"/>
      <c r="D1850" s="11"/>
      <c r="E1850" s="10"/>
      <c r="O1850" s="10"/>
      <c r="V1850" s="10"/>
      <c r="W1850" s="6"/>
    </row>
    <row r="1851" spans="1:23" x14ac:dyDescent="0.2">
      <c r="A1851" s="27"/>
      <c r="B1851" s="25"/>
      <c r="D1851" s="11"/>
      <c r="E1851" s="10"/>
      <c r="O1851" s="10"/>
      <c r="V1851" s="10"/>
      <c r="W1851" s="6"/>
    </row>
    <row r="1852" spans="1:23" x14ac:dyDescent="0.2">
      <c r="A1852" s="27"/>
      <c r="B1852" s="25"/>
      <c r="D1852" s="11"/>
      <c r="E1852" s="10"/>
      <c r="O1852" s="10"/>
      <c r="V1852" s="10"/>
      <c r="W1852" s="6"/>
    </row>
    <row r="1853" spans="1:23" x14ac:dyDescent="0.2">
      <c r="A1853" s="27"/>
      <c r="B1853" s="25"/>
      <c r="D1853" s="11"/>
      <c r="E1853" s="10"/>
      <c r="O1853" s="10"/>
      <c r="V1853" s="10"/>
    </row>
    <row r="1854" spans="1:23" x14ac:dyDescent="0.2">
      <c r="A1854" s="27"/>
      <c r="B1854" s="25"/>
      <c r="D1854" s="11"/>
      <c r="E1854" s="10"/>
      <c r="O1854" s="10"/>
      <c r="V1854" s="10"/>
      <c r="W1854" s="6"/>
    </row>
    <row r="1855" spans="1:23" x14ac:dyDescent="0.2">
      <c r="A1855" s="27"/>
      <c r="B1855" s="25"/>
      <c r="D1855" s="11"/>
      <c r="E1855" s="10"/>
      <c r="O1855" s="10"/>
      <c r="V1855" s="10"/>
      <c r="W1855" s="6"/>
    </row>
    <row r="1856" spans="1:23" x14ac:dyDescent="0.2">
      <c r="A1856" s="27"/>
      <c r="B1856" s="25"/>
      <c r="D1856" s="11"/>
      <c r="E1856" s="10"/>
      <c r="O1856" s="10"/>
      <c r="V1856" s="10"/>
      <c r="W1856" s="6"/>
    </row>
    <row r="1857" spans="1:23" x14ac:dyDescent="0.2">
      <c r="A1857" s="27"/>
      <c r="B1857" s="25"/>
      <c r="D1857" s="11"/>
      <c r="E1857" s="10"/>
      <c r="O1857" s="10"/>
      <c r="V1857" s="10"/>
      <c r="W1857" s="6"/>
    </row>
    <row r="1858" spans="1:23" x14ac:dyDescent="0.2">
      <c r="A1858" s="27"/>
      <c r="B1858" s="25"/>
      <c r="D1858" s="11"/>
      <c r="E1858" s="10"/>
      <c r="O1858" s="10"/>
      <c r="V1858" s="10"/>
      <c r="W1858" s="6"/>
    </row>
    <row r="1859" spans="1:23" x14ac:dyDescent="0.2">
      <c r="A1859" s="27"/>
      <c r="B1859" s="25"/>
      <c r="D1859" s="11"/>
      <c r="E1859" s="10"/>
      <c r="O1859" s="10"/>
      <c r="V1859" s="10"/>
      <c r="W1859" s="6"/>
    </row>
    <row r="1860" spans="1:23" x14ac:dyDescent="0.2">
      <c r="A1860" s="27"/>
      <c r="B1860" s="25"/>
      <c r="D1860" s="11"/>
      <c r="E1860" s="10"/>
      <c r="O1860" s="10"/>
      <c r="V1860" s="10"/>
      <c r="W1860" s="6"/>
    </row>
    <row r="1861" spans="1:23" x14ac:dyDescent="0.2">
      <c r="A1861" s="27"/>
      <c r="B1861" s="25"/>
      <c r="D1861" s="11"/>
      <c r="E1861" s="10"/>
      <c r="O1861" s="10"/>
      <c r="V1861" s="10"/>
      <c r="W1861" s="6"/>
    </row>
    <row r="1862" spans="1:23" x14ac:dyDescent="0.2">
      <c r="A1862" s="27"/>
      <c r="B1862" s="1"/>
      <c r="D1862" s="11"/>
      <c r="E1862" s="10"/>
      <c r="O1862" s="10"/>
      <c r="V1862" s="10"/>
      <c r="W1862" s="6"/>
    </row>
    <row r="1863" spans="1:23" x14ac:dyDescent="0.2">
      <c r="A1863" s="27"/>
      <c r="B1863" s="1"/>
      <c r="D1863" s="11"/>
      <c r="E1863" s="10"/>
      <c r="O1863" s="10"/>
      <c r="V1863" s="10"/>
      <c r="W1863" s="6"/>
    </row>
    <row r="1864" spans="1:23" x14ac:dyDescent="0.2">
      <c r="A1864" s="27"/>
      <c r="B1864" s="25"/>
      <c r="D1864" s="11"/>
      <c r="E1864" s="10"/>
      <c r="O1864" s="10"/>
      <c r="V1864" s="10"/>
      <c r="W1864" s="6"/>
    </row>
    <row r="1865" spans="1:23" x14ac:dyDescent="0.2">
      <c r="A1865" s="27"/>
      <c r="B1865" s="25"/>
      <c r="D1865" s="11"/>
      <c r="E1865" s="10"/>
      <c r="O1865" s="10"/>
      <c r="V1865" s="10"/>
      <c r="W1865" s="6"/>
    </row>
    <row r="1866" spans="1:23" x14ac:dyDescent="0.2">
      <c r="A1866" s="27"/>
      <c r="B1866" s="25"/>
      <c r="D1866" s="11"/>
      <c r="E1866" s="10"/>
      <c r="O1866" s="10"/>
      <c r="V1866" s="10"/>
      <c r="W1866" s="6"/>
    </row>
    <row r="1867" spans="1:23" x14ac:dyDescent="0.2">
      <c r="A1867" s="27"/>
      <c r="B1867" s="1"/>
      <c r="D1867" s="11"/>
      <c r="E1867" s="10"/>
      <c r="O1867" s="10"/>
      <c r="V1867" s="10"/>
      <c r="W1867" s="6"/>
    </row>
    <row r="1868" spans="1:23" x14ac:dyDescent="0.2">
      <c r="A1868" s="27"/>
      <c r="B1868" s="25"/>
      <c r="D1868" s="11"/>
      <c r="E1868" s="10"/>
      <c r="O1868" s="10"/>
      <c r="V1868" s="10"/>
      <c r="W1868" s="6"/>
    </row>
    <row r="1869" spans="1:23" x14ac:dyDescent="0.2">
      <c r="A1869" s="27"/>
      <c r="B1869" s="1"/>
      <c r="D1869" s="11"/>
      <c r="E1869" s="10"/>
      <c r="O1869" s="10"/>
      <c r="V1869" s="10"/>
      <c r="W1869" s="6"/>
    </row>
    <row r="1870" spans="1:23" x14ac:dyDescent="0.2">
      <c r="A1870" s="27"/>
      <c r="B1870" s="25"/>
      <c r="D1870" s="11"/>
      <c r="E1870" s="10"/>
      <c r="O1870" s="10"/>
      <c r="V1870" s="10"/>
      <c r="W1870" s="6"/>
    </row>
    <row r="1871" spans="1:23" x14ac:dyDescent="0.2">
      <c r="A1871" s="27"/>
      <c r="B1871" s="25"/>
      <c r="D1871" s="11"/>
      <c r="E1871" s="10"/>
      <c r="O1871" s="10"/>
      <c r="V1871" s="10"/>
      <c r="W1871" s="6"/>
    </row>
    <row r="1872" spans="1:23" x14ac:dyDescent="0.2">
      <c r="A1872" s="27"/>
      <c r="B1872" s="25"/>
      <c r="D1872" s="11"/>
      <c r="E1872" s="10"/>
      <c r="O1872" s="10"/>
      <c r="V1872" s="10"/>
      <c r="W1872" s="6"/>
    </row>
    <row r="1873" spans="1:23" x14ac:dyDescent="0.2">
      <c r="A1873" s="27"/>
      <c r="B1873" s="25"/>
      <c r="D1873" s="11"/>
      <c r="E1873" s="10"/>
      <c r="O1873" s="10"/>
      <c r="V1873" s="10"/>
      <c r="W1873" s="6"/>
    </row>
    <row r="1874" spans="1:23" x14ac:dyDescent="0.2">
      <c r="A1874" s="27"/>
      <c r="B1874" s="25"/>
      <c r="D1874" s="11"/>
      <c r="E1874" s="10"/>
      <c r="O1874" s="10"/>
      <c r="V1874" s="10"/>
      <c r="W1874" s="6"/>
    </row>
    <row r="1875" spans="1:23" x14ac:dyDescent="0.2">
      <c r="A1875" s="27"/>
      <c r="B1875" s="25"/>
      <c r="D1875" s="11"/>
      <c r="E1875" s="10"/>
      <c r="O1875" s="10"/>
      <c r="V1875" s="10"/>
      <c r="W1875" s="6"/>
    </row>
    <row r="1876" spans="1:23" x14ac:dyDescent="0.2">
      <c r="A1876" s="27"/>
      <c r="B1876" s="1"/>
      <c r="D1876" s="11"/>
      <c r="E1876" s="10"/>
      <c r="O1876" s="10"/>
      <c r="V1876" s="10"/>
      <c r="W1876" s="6"/>
    </row>
    <row r="1877" spans="1:23" x14ac:dyDescent="0.2">
      <c r="A1877" s="27"/>
      <c r="B1877" s="25"/>
      <c r="D1877" s="11"/>
      <c r="E1877" s="10"/>
      <c r="O1877" s="10"/>
      <c r="V1877" s="10"/>
      <c r="W1877" s="6"/>
    </row>
    <row r="1878" spans="1:23" x14ac:dyDescent="0.2">
      <c r="A1878" s="27"/>
      <c r="B1878" s="1"/>
      <c r="D1878" s="11"/>
      <c r="E1878" s="10"/>
      <c r="O1878" s="10"/>
      <c r="V1878" s="10"/>
      <c r="W1878" s="6"/>
    </row>
    <row r="1879" spans="1:23" x14ac:dyDescent="0.2">
      <c r="A1879" s="27"/>
      <c r="B1879" s="25"/>
      <c r="D1879" s="11"/>
      <c r="E1879" s="10"/>
      <c r="O1879" s="10"/>
      <c r="V1879" s="10"/>
      <c r="W1879" s="6"/>
    </row>
    <row r="1880" spans="1:23" x14ac:dyDescent="0.2">
      <c r="A1880" s="27"/>
      <c r="B1880" s="25"/>
      <c r="D1880" s="11"/>
      <c r="E1880" s="10"/>
      <c r="O1880" s="10"/>
      <c r="V1880" s="10"/>
      <c r="W1880" s="6"/>
    </row>
    <row r="1881" spans="1:23" x14ac:dyDescent="0.2">
      <c r="A1881" s="27"/>
      <c r="B1881" s="25"/>
      <c r="D1881" s="11"/>
      <c r="E1881" s="10"/>
      <c r="O1881" s="10"/>
      <c r="V1881" s="10"/>
      <c r="W1881" s="6"/>
    </row>
    <row r="1882" spans="1:23" x14ac:dyDescent="0.2">
      <c r="A1882" s="27"/>
      <c r="B1882" s="25"/>
      <c r="D1882" s="11"/>
      <c r="E1882" s="10"/>
      <c r="O1882" s="10"/>
      <c r="V1882" s="10"/>
      <c r="W1882" s="6"/>
    </row>
    <row r="1883" spans="1:23" x14ac:dyDescent="0.2">
      <c r="A1883" s="27"/>
      <c r="B1883" s="25"/>
      <c r="D1883" s="11"/>
      <c r="E1883" s="10"/>
      <c r="O1883" s="10"/>
      <c r="V1883" s="10"/>
      <c r="W1883" s="6"/>
    </row>
    <row r="1884" spans="1:23" x14ac:dyDescent="0.2">
      <c r="A1884" s="27"/>
      <c r="B1884" s="25"/>
      <c r="D1884" s="11"/>
      <c r="E1884" s="10"/>
      <c r="O1884" s="10"/>
      <c r="V1884" s="10"/>
      <c r="W1884" s="6"/>
    </row>
    <row r="1885" spans="1:23" x14ac:dyDescent="0.2">
      <c r="A1885" s="27"/>
      <c r="B1885" s="25"/>
      <c r="D1885" s="11"/>
      <c r="E1885" s="10"/>
      <c r="O1885" s="10"/>
      <c r="V1885" s="10"/>
      <c r="W1885" s="6"/>
    </row>
    <row r="1886" spans="1:23" x14ac:dyDescent="0.2">
      <c r="A1886" s="27"/>
      <c r="B1886" s="25"/>
      <c r="D1886" s="11"/>
      <c r="E1886" s="10"/>
      <c r="O1886" s="10"/>
      <c r="V1886" s="10"/>
      <c r="W1886" s="6"/>
    </row>
    <row r="1887" spans="1:23" x14ac:dyDescent="0.2">
      <c r="A1887" s="27"/>
      <c r="B1887" s="25"/>
      <c r="D1887" s="11"/>
      <c r="E1887" s="10"/>
      <c r="O1887" s="10"/>
      <c r="V1887" s="10"/>
      <c r="W1887" s="6"/>
    </row>
    <row r="1888" spans="1:23" x14ac:dyDescent="0.2">
      <c r="A1888" s="27"/>
      <c r="B1888" s="25"/>
      <c r="D1888" s="11"/>
      <c r="E1888" s="10"/>
      <c r="O1888" s="10"/>
      <c r="V1888" s="10"/>
      <c r="W1888" s="6"/>
    </row>
    <row r="1889" spans="1:23" x14ac:dyDescent="0.2">
      <c r="A1889" s="27"/>
      <c r="B1889" s="1"/>
      <c r="D1889" s="11"/>
      <c r="E1889" s="10"/>
      <c r="O1889" s="10"/>
      <c r="V1889" s="10"/>
      <c r="W1889" s="6"/>
    </row>
    <row r="1890" spans="1:23" x14ac:dyDescent="0.2">
      <c r="A1890" s="27"/>
      <c r="B1890" s="25"/>
      <c r="D1890" s="11"/>
      <c r="E1890" s="10"/>
      <c r="O1890" s="10"/>
      <c r="V1890" s="10"/>
      <c r="W1890" s="6"/>
    </row>
    <row r="1891" spans="1:23" x14ac:dyDescent="0.2">
      <c r="A1891" s="27"/>
      <c r="B1891" s="25"/>
      <c r="D1891" s="11"/>
      <c r="E1891" s="10"/>
      <c r="O1891" s="10"/>
      <c r="V1891" s="10"/>
      <c r="W1891" s="6"/>
    </row>
    <row r="1892" spans="1:23" x14ac:dyDescent="0.2">
      <c r="A1892" s="27"/>
      <c r="B1892" s="25"/>
      <c r="D1892" s="11"/>
      <c r="E1892" s="10"/>
      <c r="O1892" s="10"/>
      <c r="V1892" s="10"/>
      <c r="W1892" s="6"/>
    </row>
    <row r="1893" spans="1:23" x14ac:dyDescent="0.2">
      <c r="A1893" s="27"/>
      <c r="B1893" s="25"/>
      <c r="D1893" s="11"/>
      <c r="E1893" s="10"/>
      <c r="O1893" s="10"/>
      <c r="V1893" s="10"/>
      <c r="W1893" s="6"/>
    </row>
    <row r="1894" spans="1:23" x14ac:dyDescent="0.2">
      <c r="A1894" s="27"/>
      <c r="B1894" s="25"/>
      <c r="D1894" s="11"/>
      <c r="E1894" s="10"/>
      <c r="O1894" s="10"/>
      <c r="V1894" s="10"/>
      <c r="W1894" s="6"/>
    </row>
    <row r="1895" spans="1:23" x14ac:dyDescent="0.2">
      <c r="A1895" s="27"/>
      <c r="B1895" s="25"/>
      <c r="D1895" s="11"/>
      <c r="E1895" s="10"/>
      <c r="O1895" s="10"/>
      <c r="V1895" s="10"/>
      <c r="W1895" s="6"/>
    </row>
    <row r="1896" spans="1:23" x14ac:dyDescent="0.2">
      <c r="A1896" s="27"/>
      <c r="B1896" s="25"/>
      <c r="D1896" s="11"/>
      <c r="E1896" s="10"/>
      <c r="O1896" s="10"/>
      <c r="V1896" s="10"/>
      <c r="W1896" s="6"/>
    </row>
    <row r="1897" spans="1:23" x14ac:dyDescent="0.2">
      <c r="A1897" s="27"/>
      <c r="B1897" s="25"/>
      <c r="D1897" s="11"/>
      <c r="E1897" s="10"/>
      <c r="O1897" s="10"/>
      <c r="V1897" s="10"/>
      <c r="W1897" s="6"/>
    </row>
    <row r="1898" spans="1:23" x14ac:dyDescent="0.2">
      <c r="A1898" s="27"/>
      <c r="B1898" s="25"/>
      <c r="D1898" s="11"/>
      <c r="E1898" s="10"/>
      <c r="O1898" s="10"/>
      <c r="V1898" s="10"/>
      <c r="W1898" s="6"/>
    </row>
    <row r="1899" spans="1:23" x14ac:dyDescent="0.2">
      <c r="A1899" s="27"/>
      <c r="B1899" s="25"/>
      <c r="D1899" s="11"/>
      <c r="E1899" s="10"/>
      <c r="O1899" s="10"/>
      <c r="V1899" s="10"/>
      <c r="W1899" s="6"/>
    </row>
    <row r="1900" spans="1:23" x14ac:dyDescent="0.2">
      <c r="A1900" s="27"/>
      <c r="B1900" s="25"/>
      <c r="D1900" s="11"/>
      <c r="E1900" s="10"/>
      <c r="O1900" s="10"/>
      <c r="V1900" s="10"/>
      <c r="W1900" s="6"/>
    </row>
    <row r="1901" spans="1:23" x14ac:dyDescent="0.2">
      <c r="A1901" s="27"/>
      <c r="B1901" s="25"/>
      <c r="D1901" s="11"/>
      <c r="E1901" s="10"/>
      <c r="O1901" s="10"/>
      <c r="V1901" s="10"/>
      <c r="W1901" s="6"/>
    </row>
    <row r="1902" spans="1:23" x14ac:dyDescent="0.2">
      <c r="A1902" s="27"/>
      <c r="B1902" s="1"/>
      <c r="D1902" s="11"/>
      <c r="E1902" s="10"/>
      <c r="O1902" s="10"/>
      <c r="V1902" s="10"/>
      <c r="W1902" s="6"/>
    </row>
    <row r="1903" spans="1:23" x14ac:dyDescent="0.2">
      <c r="A1903" s="27"/>
      <c r="B1903" s="25"/>
      <c r="D1903" s="11"/>
      <c r="E1903" s="10"/>
      <c r="O1903" s="10"/>
      <c r="V1903" s="10"/>
      <c r="W1903" s="6"/>
    </row>
    <row r="1904" spans="1:23" x14ac:dyDescent="0.2">
      <c r="A1904" s="27"/>
      <c r="B1904" s="25"/>
      <c r="D1904" s="11"/>
      <c r="E1904" s="10"/>
      <c r="O1904" s="10"/>
      <c r="V1904" s="10"/>
      <c r="W1904" s="6"/>
    </row>
    <row r="1905" spans="1:23" x14ac:dyDescent="0.2">
      <c r="A1905" s="27"/>
      <c r="B1905" s="25"/>
      <c r="D1905" s="11"/>
      <c r="E1905" s="10"/>
      <c r="O1905" s="10"/>
      <c r="V1905" s="10"/>
      <c r="W1905" s="6"/>
    </row>
    <row r="1906" spans="1:23" x14ac:dyDescent="0.2">
      <c r="A1906" s="27"/>
      <c r="B1906" s="25"/>
      <c r="D1906" s="11"/>
      <c r="E1906" s="10"/>
      <c r="O1906" s="10"/>
      <c r="V1906" s="10"/>
      <c r="W1906" s="6"/>
    </row>
    <row r="1907" spans="1:23" x14ac:dyDescent="0.2">
      <c r="A1907" s="27"/>
      <c r="B1907" s="25"/>
      <c r="D1907" s="11"/>
      <c r="E1907" s="10"/>
      <c r="O1907" s="10"/>
      <c r="V1907" s="10"/>
      <c r="W1907" s="6"/>
    </row>
    <row r="1908" spans="1:23" x14ac:dyDescent="0.2">
      <c r="A1908" s="27"/>
      <c r="B1908" s="1"/>
      <c r="D1908" s="11"/>
      <c r="E1908" s="10"/>
      <c r="O1908" s="10"/>
      <c r="V1908" s="10"/>
      <c r="W1908" s="6"/>
    </row>
    <row r="1909" spans="1:23" x14ac:dyDescent="0.2">
      <c r="A1909" s="27"/>
      <c r="B1909" s="25"/>
      <c r="D1909" s="11"/>
      <c r="E1909" s="10"/>
      <c r="O1909" s="10"/>
      <c r="V1909" s="10"/>
      <c r="W1909" s="6"/>
    </row>
    <row r="1910" spans="1:23" x14ac:dyDescent="0.2">
      <c r="A1910" s="27"/>
      <c r="B1910" s="1"/>
      <c r="D1910" s="11"/>
      <c r="E1910" s="10"/>
      <c r="O1910" s="10"/>
      <c r="V1910" s="10"/>
      <c r="W1910" s="6"/>
    </row>
    <row r="1911" spans="1:23" x14ac:dyDescent="0.2">
      <c r="A1911" s="27"/>
      <c r="B1911" s="25"/>
      <c r="D1911" s="11"/>
      <c r="E1911" s="10"/>
      <c r="O1911" s="10"/>
      <c r="V1911" s="10"/>
      <c r="W1911" s="6"/>
    </row>
    <row r="1912" spans="1:23" x14ac:dyDescent="0.2">
      <c r="A1912" s="27"/>
      <c r="B1912" s="25"/>
      <c r="D1912" s="11"/>
      <c r="E1912" s="10"/>
      <c r="O1912" s="10"/>
      <c r="V1912" s="10"/>
      <c r="W1912" s="6"/>
    </row>
    <row r="1913" spans="1:23" x14ac:dyDescent="0.2">
      <c r="A1913" s="27"/>
      <c r="B1913" s="25"/>
      <c r="D1913" s="11"/>
      <c r="E1913" s="10"/>
      <c r="O1913" s="10"/>
      <c r="V1913" s="10"/>
      <c r="W1913" s="6"/>
    </row>
    <row r="1914" spans="1:23" x14ac:dyDescent="0.2">
      <c r="A1914" s="27"/>
      <c r="B1914" s="25"/>
      <c r="D1914" s="11"/>
      <c r="E1914" s="10"/>
      <c r="O1914" s="10"/>
      <c r="V1914" s="10"/>
      <c r="W1914" s="6"/>
    </row>
    <row r="1915" spans="1:23" x14ac:dyDescent="0.2">
      <c r="A1915" s="27"/>
      <c r="B1915" s="25"/>
      <c r="D1915" s="11"/>
      <c r="E1915" s="10"/>
      <c r="O1915" s="10"/>
      <c r="V1915" s="10"/>
      <c r="W1915" s="6"/>
    </row>
    <row r="1916" spans="1:23" x14ac:dyDescent="0.2">
      <c r="A1916" s="27"/>
      <c r="B1916" s="25"/>
      <c r="D1916" s="11"/>
      <c r="E1916" s="10"/>
      <c r="O1916" s="10"/>
      <c r="V1916" s="10"/>
      <c r="W1916" s="6"/>
    </row>
    <row r="1917" spans="1:23" x14ac:dyDescent="0.2">
      <c r="A1917" s="27"/>
      <c r="B1917" s="25"/>
      <c r="D1917" s="11"/>
      <c r="E1917" s="10"/>
      <c r="O1917" s="10"/>
      <c r="V1917" s="10"/>
      <c r="W1917" s="6"/>
    </row>
    <row r="1918" spans="1:23" x14ac:dyDescent="0.2">
      <c r="A1918" s="27"/>
      <c r="B1918" s="25"/>
      <c r="D1918" s="11"/>
      <c r="E1918" s="10"/>
      <c r="O1918" s="10"/>
      <c r="V1918" s="10"/>
      <c r="W1918" s="6"/>
    </row>
    <row r="1919" spans="1:23" x14ac:dyDescent="0.2">
      <c r="A1919" s="27"/>
      <c r="B1919" s="25"/>
      <c r="D1919" s="11"/>
      <c r="E1919" s="10"/>
      <c r="O1919" s="10"/>
      <c r="V1919" s="10"/>
      <c r="W1919" s="6"/>
    </row>
    <row r="1920" spans="1:23" x14ac:dyDescent="0.2">
      <c r="A1920" s="27"/>
      <c r="B1920" s="25"/>
      <c r="D1920" s="11"/>
      <c r="E1920" s="10"/>
      <c r="O1920" s="10"/>
      <c r="V1920" s="10"/>
      <c r="W1920" s="6"/>
    </row>
    <row r="1921" spans="1:23" x14ac:dyDescent="0.2">
      <c r="A1921" s="27"/>
      <c r="B1921" s="25"/>
      <c r="D1921" s="11"/>
      <c r="E1921" s="10"/>
      <c r="O1921" s="10"/>
      <c r="V1921" s="10"/>
      <c r="W1921" s="6"/>
    </row>
    <row r="1922" spans="1:23" x14ac:dyDescent="0.2">
      <c r="A1922" s="27"/>
      <c r="B1922" s="1"/>
      <c r="D1922" s="11"/>
      <c r="E1922" s="10"/>
      <c r="O1922" s="10"/>
      <c r="V1922" s="10"/>
      <c r="W1922" s="6"/>
    </row>
    <row r="1923" spans="1:23" x14ac:dyDescent="0.2">
      <c r="A1923" s="27"/>
      <c r="B1923" s="1"/>
      <c r="D1923" s="11"/>
      <c r="E1923" s="10"/>
      <c r="O1923" s="10"/>
      <c r="V1923" s="10"/>
      <c r="W1923" s="6"/>
    </row>
    <row r="1924" spans="1:23" x14ac:dyDescent="0.2">
      <c r="A1924" s="27"/>
      <c r="B1924" s="25"/>
      <c r="D1924" s="11"/>
      <c r="E1924" s="10"/>
      <c r="O1924" s="10"/>
      <c r="V1924" s="10"/>
      <c r="W1924" s="6"/>
    </row>
    <row r="1925" spans="1:23" x14ac:dyDescent="0.2">
      <c r="A1925" s="27"/>
      <c r="B1925" s="25"/>
      <c r="D1925" s="11"/>
      <c r="E1925" s="10"/>
      <c r="O1925" s="10"/>
      <c r="V1925" s="10"/>
      <c r="W1925" s="6"/>
    </row>
    <row r="1926" spans="1:23" x14ac:dyDescent="0.2">
      <c r="A1926" s="27"/>
      <c r="B1926" s="25"/>
      <c r="D1926" s="11"/>
      <c r="E1926" s="10"/>
      <c r="O1926" s="10"/>
      <c r="V1926" s="10"/>
      <c r="W1926" s="6"/>
    </row>
    <row r="1927" spans="1:23" x14ac:dyDescent="0.2">
      <c r="A1927" s="27"/>
      <c r="B1927" s="25"/>
      <c r="D1927" s="11"/>
      <c r="E1927" s="10"/>
      <c r="O1927" s="10"/>
      <c r="V1927" s="10"/>
      <c r="W1927" s="6"/>
    </row>
    <row r="1928" spans="1:23" x14ac:dyDescent="0.2">
      <c r="A1928" s="27"/>
      <c r="B1928" s="25"/>
      <c r="D1928" s="11"/>
      <c r="E1928" s="10"/>
      <c r="O1928" s="10"/>
      <c r="V1928" s="10"/>
      <c r="W1928" s="6"/>
    </row>
    <row r="1929" spans="1:23" x14ac:dyDescent="0.2">
      <c r="A1929" s="27"/>
      <c r="B1929" s="25"/>
      <c r="D1929" s="11"/>
      <c r="E1929" s="10"/>
      <c r="O1929" s="10"/>
      <c r="V1929" s="10"/>
      <c r="W1929" s="6"/>
    </row>
    <row r="1930" spans="1:23" x14ac:dyDescent="0.2">
      <c r="A1930" s="27"/>
      <c r="B1930" s="25"/>
      <c r="D1930" s="11"/>
      <c r="E1930" s="10"/>
      <c r="O1930" s="10"/>
      <c r="V1930" s="10"/>
      <c r="W1930" s="6"/>
    </row>
    <row r="1931" spans="1:23" x14ac:dyDescent="0.2">
      <c r="A1931" s="27"/>
      <c r="B1931" s="25"/>
      <c r="D1931" s="11"/>
      <c r="E1931" s="10"/>
      <c r="O1931" s="10"/>
      <c r="V1931" s="10"/>
      <c r="W1931" s="6"/>
    </row>
    <row r="1932" spans="1:23" x14ac:dyDescent="0.2">
      <c r="A1932" s="27"/>
      <c r="B1932" s="25"/>
      <c r="D1932" s="11"/>
      <c r="E1932" s="10"/>
      <c r="O1932" s="10"/>
      <c r="V1932" s="10"/>
      <c r="W1932" s="6"/>
    </row>
    <row r="1933" spans="1:23" x14ac:dyDescent="0.2">
      <c r="A1933" s="27"/>
      <c r="B1933" s="25"/>
      <c r="D1933" s="11"/>
      <c r="E1933" s="10"/>
      <c r="O1933" s="10"/>
      <c r="V1933" s="10"/>
      <c r="W1933" s="6"/>
    </row>
    <row r="1934" spans="1:23" x14ac:dyDescent="0.2">
      <c r="A1934" s="27"/>
      <c r="B1934" s="25"/>
      <c r="D1934" s="11"/>
      <c r="E1934" s="10"/>
      <c r="O1934" s="10"/>
      <c r="V1934" s="10"/>
      <c r="W1934" s="6"/>
    </row>
    <row r="1935" spans="1:23" x14ac:dyDescent="0.2">
      <c r="A1935" s="27"/>
      <c r="B1935" s="25"/>
      <c r="D1935" s="11"/>
      <c r="E1935" s="10"/>
      <c r="O1935" s="10"/>
      <c r="V1935" s="10"/>
      <c r="W1935" s="6"/>
    </row>
    <row r="1936" spans="1:23" x14ac:dyDescent="0.2">
      <c r="A1936" s="27"/>
      <c r="B1936" s="1"/>
      <c r="D1936" s="11"/>
      <c r="E1936" s="10"/>
      <c r="O1936" s="10"/>
      <c r="V1936" s="10"/>
      <c r="W1936" s="6"/>
    </row>
    <row r="1937" spans="1:23" x14ac:dyDescent="0.2">
      <c r="A1937" s="27"/>
      <c r="B1937" s="25"/>
      <c r="D1937" s="11"/>
      <c r="E1937" s="10"/>
      <c r="O1937" s="10"/>
      <c r="V1937" s="10"/>
      <c r="W1937" s="6"/>
    </row>
    <row r="1938" spans="1:23" x14ac:dyDescent="0.2">
      <c r="A1938" s="27"/>
      <c r="B1938" s="25"/>
      <c r="D1938" s="11"/>
      <c r="E1938" s="10"/>
      <c r="O1938" s="10"/>
      <c r="V1938" s="10"/>
      <c r="W1938" s="6"/>
    </row>
    <row r="1939" spans="1:23" x14ac:dyDescent="0.2">
      <c r="A1939" s="27"/>
      <c r="B1939" s="25"/>
      <c r="D1939" s="11"/>
      <c r="E1939" s="10"/>
      <c r="O1939" s="10"/>
      <c r="V1939" s="10"/>
      <c r="W1939" s="6"/>
    </row>
    <row r="1940" spans="1:23" x14ac:dyDescent="0.2">
      <c r="A1940" s="27"/>
      <c r="B1940" s="25"/>
      <c r="D1940" s="11"/>
      <c r="E1940" s="10"/>
      <c r="O1940" s="10"/>
      <c r="V1940" s="10"/>
      <c r="W1940" s="6"/>
    </row>
    <row r="1941" spans="1:23" x14ac:dyDescent="0.2">
      <c r="A1941" s="27"/>
      <c r="B1941" s="25"/>
      <c r="D1941" s="11"/>
      <c r="E1941" s="10"/>
      <c r="O1941" s="10"/>
      <c r="V1941" s="10"/>
      <c r="W1941" s="6"/>
    </row>
    <row r="1942" spans="1:23" x14ac:dyDescent="0.2">
      <c r="A1942" s="27"/>
      <c r="B1942" s="1"/>
      <c r="D1942" s="11"/>
      <c r="E1942" s="10"/>
      <c r="O1942" s="10"/>
      <c r="V1942" s="10"/>
      <c r="W1942" s="6"/>
    </row>
    <row r="1943" spans="1:23" x14ac:dyDescent="0.2">
      <c r="A1943" s="27"/>
      <c r="B1943" s="25"/>
      <c r="D1943" s="11"/>
      <c r="E1943" s="10"/>
      <c r="O1943" s="10"/>
      <c r="V1943" s="10"/>
      <c r="W1943" s="6"/>
    </row>
    <row r="1944" spans="1:23" x14ac:dyDescent="0.2">
      <c r="A1944" s="27"/>
      <c r="B1944" s="25"/>
      <c r="D1944" s="11"/>
      <c r="E1944" s="10"/>
      <c r="O1944" s="10"/>
      <c r="V1944" s="10"/>
      <c r="W1944" s="6"/>
    </row>
    <row r="1945" spans="1:23" x14ac:dyDescent="0.2">
      <c r="A1945" s="27"/>
      <c r="B1945" s="25"/>
      <c r="D1945" s="11"/>
      <c r="E1945" s="10"/>
      <c r="O1945" s="10"/>
      <c r="V1945" s="10"/>
      <c r="W1945" s="6"/>
    </row>
    <row r="1946" spans="1:23" x14ac:dyDescent="0.2">
      <c r="A1946" s="27"/>
      <c r="B1946" s="25"/>
      <c r="D1946" s="11"/>
      <c r="E1946" s="10"/>
      <c r="O1946" s="10"/>
      <c r="V1946" s="10"/>
      <c r="W1946" s="6"/>
    </row>
    <row r="1947" spans="1:23" x14ac:dyDescent="0.2">
      <c r="A1947" s="27"/>
      <c r="B1947" s="25"/>
      <c r="D1947" s="11"/>
      <c r="E1947" s="10"/>
      <c r="O1947" s="10"/>
      <c r="V1947" s="10"/>
      <c r="W1947" s="6"/>
    </row>
    <row r="1948" spans="1:23" x14ac:dyDescent="0.2">
      <c r="A1948" s="27"/>
      <c r="B1948" s="25"/>
      <c r="D1948" s="11"/>
      <c r="E1948" s="10"/>
      <c r="O1948" s="10"/>
      <c r="V1948" s="10"/>
      <c r="W1948" s="6"/>
    </row>
    <row r="1949" spans="1:23" x14ac:dyDescent="0.2">
      <c r="A1949" s="27"/>
      <c r="B1949" s="1"/>
      <c r="D1949" s="11"/>
      <c r="E1949" s="10"/>
      <c r="O1949" s="10"/>
      <c r="V1949" s="10"/>
      <c r="W1949" s="6"/>
    </row>
    <row r="1950" spans="1:23" x14ac:dyDescent="0.2">
      <c r="A1950" s="27"/>
      <c r="B1950" s="25"/>
      <c r="D1950" s="11"/>
      <c r="E1950" s="10"/>
      <c r="O1950" s="10"/>
      <c r="V1950" s="10"/>
      <c r="W1950" s="6"/>
    </row>
    <row r="1951" spans="1:23" x14ac:dyDescent="0.2">
      <c r="A1951" s="27"/>
      <c r="B1951" s="25"/>
      <c r="D1951" s="11"/>
      <c r="E1951" s="10"/>
      <c r="O1951" s="10"/>
      <c r="V1951" s="10"/>
      <c r="W1951" s="6"/>
    </row>
    <row r="1952" spans="1:23" x14ac:dyDescent="0.2">
      <c r="A1952" s="27"/>
      <c r="B1952" s="25"/>
      <c r="D1952" s="11"/>
      <c r="E1952" s="10"/>
      <c r="O1952" s="10"/>
      <c r="V1952" s="10"/>
      <c r="W1952" s="6"/>
    </row>
    <row r="1953" spans="1:23" x14ac:dyDescent="0.2">
      <c r="A1953" s="27"/>
      <c r="B1953" s="1"/>
      <c r="D1953" s="11"/>
      <c r="E1953" s="10"/>
      <c r="O1953" s="10"/>
      <c r="V1953" s="10"/>
      <c r="W1953" s="6"/>
    </row>
    <row r="1954" spans="1:23" x14ac:dyDescent="0.2">
      <c r="A1954" s="27"/>
      <c r="B1954" s="25"/>
      <c r="D1954" s="11"/>
      <c r="E1954" s="10"/>
      <c r="O1954" s="10"/>
      <c r="V1954" s="10"/>
      <c r="W1954" s="6"/>
    </row>
    <row r="1955" spans="1:23" x14ac:dyDescent="0.2">
      <c r="A1955" s="27"/>
      <c r="B1955" s="25"/>
      <c r="D1955" s="11"/>
      <c r="E1955" s="10"/>
      <c r="O1955" s="10"/>
      <c r="V1955" s="10"/>
      <c r="W1955" s="6"/>
    </row>
    <row r="1956" spans="1:23" x14ac:dyDescent="0.2">
      <c r="A1956" s="27"/>
      <c r="B1956" s="25"/>
      <c r="D1956" s="11"/>
      <c r="E1956" s="10"/>
      <c r="O1956" s="10"/>
      <c r="V1956" s="10"/>
      <c r="W1956" s="6"/>
    </row>
    <row r="1957" spans="1:23" x14ac:dyDescent="0.2">
      <c r="A1957" s="27"/>
      <c r="B1957" s="25"/>
      <c r="D1957" s="11"/>
      <c r="E1957" s="10"/>
      <c r="O1957" s="10"/>
      <c r="V1957" s="10"/>
      <c r="W1957" s="6"/>
    </row>
    <row r="1958" spans="1:23" x14ac:dyDescent="0.2">
      <c r="A1958" s="27"/>
      <c r="B1958" s="25"/>
      <c r="D1958" s="11"/>
      <c r="E1958" s="10"/>
      <c r="O1958" s="10"/>
      <c r="V1958" s="10"/>
      <c r="W1958" s="6"/>
    </row>
    <row r="1959" spans="1:23" x14ac:dyDescent="0.2">
      <c r="A1959" s="27"/>
      <c r="B1959" s="25"/>
      <c r="D1959" s="11"/>
      <c r="E1959" s="10"/>
      <c r="O1959" s="10"/>
      <c r="V1959" s="10"/>
      <c r="W1959" s="6"/>
    </row>
    <row r="1960" spans="1:23" x14ac:dyDescent="0.2">
      <c r="A1960" s="27"/>
      <c r="B1960" s="25"/>
      <c r="D1960" s="11"/>
      <c r="E1960" s="10"/>
      <c r="O1960" s="10"/>
      <c r="V1960" s="10"/>
      <c r="W1960" s="6"/>
    </row>
    <row r="1961" spans="1:23" x14ac:dyDescent="0.2">
      <c r="A1961" s="27"/>
      <c r="B1961" s="25"/>
      <c r="D1961" s="11"/>
      <c r="E1961" s="10"/>
      <c r="O1961" s="10"/>
      <c r="V1961" s="10"/>
      <c r="W1961" s="6"/>
    </row>
    <row r="1962" spans="1:23" x14ac:dyDescent="0.2">
      <c r="A1962" s="27"/>
      <c r="B1962" s="1"/>
      <c r="D1962" s="11"/>
      <c r="E1962" s="10"/>
      <c r="O1962" s="10"/>
      <c r="V1962" s="10"/>
      <c r="W1962" s="6"/>
    </row>
    <row r="1963" spans="1:23" x14ac:dyDescent="0.2">
      <c r="A1963" s="27"/>
      <c r="B1963" s="25"/>
      <c r="D1963" s="11"/>
      <c r="E1963" s="10"/>
      <c r="O1963" s="10"/>
      <c r="V1963" s="10"/>
      <c r="W1963" s="6"/>
    </row>
    <row r="1964" spans="1:23" x14ac:dyDescent="0.2">
      <c r="A1964" s="27"/>
      <c r="B1964" s="25"/>
      <c r="D1964" s="11"/>
      <c r="E1964" s="10"/>
      <c r="O1964" s="10"/>
      <c r="V1964" s="10"/>
      <c r="W1964" s="6"/>
    </row>
    <row r="1965" spans="1:23" x14ac:dyDescent="0.2">
      <c r="A1965" s="27"/>
      <c r="B1965" s="25"/>
      <c r="D1965" s="11"/>
      <c r="E1965" s="10"/>
      <c r="O1965" s="10"/>
      <c r="V1965" s="10"/>
      <c r="W1965" s="6"/>
    </row>
    <row r="1966" spans="1:23" x14ac:dyDescent="0.2">
      <c r="A1966" s="27"/>
      <c r="B1966" s="25"/>
      <c r="D1966" s="11"/>
      <c r="E1966" s="10"/>
      <c r="O1966" s="10"/>
      <c r="V1966" s="10"/>
      <c r="W1966" s="6"/>
    </row>
    <row r="1967" spans="1:23" x14ac:dyDescent="0.2">
      <c r="A1967" s="27"/>
      <c r="B1967" s="25"/>
      <c r="D1967" s="11"/>
      <c r="E1967" s="10"/>
      <c r="O1967" s="10"/>
      <c r="V1967" s="10"/>
      <c r="W1967" s="6"/>
    </row>
    <row r="1968" spans="1:23" x14ac:dyDescent="0.2">
      <c r="A1968" s="27"/>
      <c r="B1968" s="25"/>
      <c r="D1968" s="11"/>
      <c r="E1968" s="10"/>
      <c r="O1968" s="10"/>
      <c r="V1968" s="10"/>
      <c r="W1968" s="6"/>
    </row>
    <row r="1969" spans="1:23" x14ac:dyDescent="0.2">
      <c r="A1969" s="27"/>
      <c r="B1969" s="1"/>
      <c r="D1969" s="11"/>
      <c r="E1969" s="10"/>
      <c r="O1969" s="10"/>
      <c r="V1969" s="10"/>
      <c r="W1969" s="6"/>
    </row>
    <row r="1970" spans="1:23" x14ac:dyDescent="0.2">
      <c r="A1970" s="27"/>
      <c r="B1970" s="25"/>
      <c r="D1970" s="11"/>
      <c r="E1970" s="10"/>
      <c r="O1970" s="10"/>
      <c r="V1970" s="10"/>
      <c r="W1970" s="6"/>
    </row>
    <row r="1971" spans="1:23" x14ac:dyDescent="0.2">
      <c r="A1971" s="27"/>
      <c r="B1971" s="25"/>
      <c r="D1971" s="11"/>
      <c r="E1971" s="10"/>
      <c r="O1971" s="10"/>
      <c r="V1971" s="10"/>
      <c r="W1971" s="6"/>
    </row>
    <row r="1972" spans="1:23" x14ac:dyDescent="0.2">
      <c r="A1972" s="27"/>
      <c r="B1972" s="25"/>
      <c r="D1972" s="11"/>
      <c r="E1972" s="10"/>
      <c r="O1972" s="10"/>
      <c r="V1972" s="10"/>
      <c r="W1972" s="6"/>
    </row>
    <row r="1973" spans="1:23" x14ac:dyDescent="0.2">
      <c r="A1973" s="27"/>
      <c r="B1973" s="25"/>
      <c r="D1973" s="11"/>
      <c r="E1973" s="10"/>
      <c r="O1973" s="10"/>
      <c r="V1973" s="10"/>
      <c r="W1973" s="6"/>
    </row>
    <row r="1974" spans="1:23" x14ac:dyDescent="0.2">
      <c r="A1974" s="27"/>
      <c r="B1974" s="25"/>
      <c r="D1974" s="11"/>
      <c r="E1974" s="10"/>
      <c r="O1974" s="10"/>
      <c r="V1974" s="10"/>
      <c r="W1974" s="6"/>
    </row>
    <row r="1975" spans="1:23" x14ac:dyDescent="0.2">
      <c r="A1975" s="27"/>
      <c r="B1975" s="25"/>
      <c r="D1975" s="11"/>
      <c r="E1975" s="10"/>
      <c r="O1975" s="10"/>
      <c r="V1975" s="10"/>
      <c r="W1975" s="6"/>
    </row>
    <row r="1976" spans="1:23" x14ac:dyDescent="0.2">
      <c r="A1976" s="27"/>
      <c r="B1976" s="25"/>
      <c r="D1976" s="11"/>
      <c r="E1976" s="10"/>
      <c r="O1976" s="10"/>
      <c r="V1976" s="10"/>
      <c r="W1976" s="6"/>
    </row>
    <row r="1977" spans="1:23" x14ac:dyDescent="0.2">
      <c r="A1977" s="27"/>
      <c r="B1977" s="25"/>
      <c r="D1977" s="11"/>
      <c r="E1977" s="10"/>
      <c r="O1977" s="10"/>
      <c r="V1977" s="10"/>
      <c r="W1977" s="6"/>
    </row>
    <row r="1978" spans="1:23" x14ac:dyDescent="0.2">
      <c r="A1978" s="27"/>
      <c r="B1978" s="25"/>
      <c r="D1978" s="11"/>
      <c r="E1978" s="10"/>
      <c r="O1978" s="10"/>
      <c r="V1978" s="10"/>
      <c r="W1978" s="6"/>
    </row>
    <row r="1979" spans="1:23" x14ac:dyDescent="0.2">
      <c r="A1979" s="27"/>
      <c r="B1979" s="25"/>
      <c r="D1979" s="11"/>
      <c r="E1979" s="10"/>
      <c r="O1979" s="10"/>
      <c r="V1979" s="10"/>
      <c r="W1979" s="6"/>
    </row>
    <row r="1980" spans="1:23" x14ac:dyDescent="0.2">
      <c r="A1980" s="27"/>
      <c r="B1980" s="1"/>
      <c r="D1980" s="11"/>
      <c r="E1980" s="10"/>
      <c r="O1980" s="10"/>
      <c r="V1980" s="10"/>
      <c r="W1980" s="6"/>
    </row>
    <row r="1981" spans="1:23" x14ac:dyDescent="0.2">
      <c r="A1981" s="27"/>
      <c r="B1981" s="25"/>
      <c r="D1981" s="11"/>
      <c r="E1981" s="10"/>
      <c r="O1981" s="10"/>
      <c r="V1981" s="10"/>
      <c r="W1981" s="6"/>
    </row>
    <row r="1982" spans="1:23" x14ac:dyDescent="0.2">
      <c r="A1982" s="27"/>
      <c r="B1982" s="25"/>
      <c r="D1982" s="11"/>
      <c r="E1982" s="10"/>
      <c r="O1982" s="10"/>
      <c r="V1982" s="10"/>
      <c r="W1982" s="6"/>
    </row>
    <row r="1983" spans="1:23" x14ac:dyDescent="0.2">
      <c r="A1983" s="27"/>
      <c r="B1983" s="25"/>
      <c r="D1983" s="11"/>
      <c r="E1983" s="10"/>
      <c r="O1983" s="10"/>
      <c r="V1983" s="10"/>
      <c r="W1983" s="6"/>
    </row>
    <row r="1984" spans="1:23" x14ac:dyDescent="0.2">
      <c r="A1984" s="27"/>
      <c r="B1984" s="25"/>
      <c r="D1984" s="11"/>
      <c r="E1984" s="10"/>
      <c r="O1984" s="10"/>
      <c r="V1984" s="10"/>
      <c r="W1984" s="6"/>
    </row>
    <row r="1985" spans="1:23" x14ac:dyDescent="0.2">
      <c r="A1985" s="27"/>
      <c r="B1985" s="25"/>
      <c r="D1985" s="11"/>
      <c r="E1985" s="10"/>
      <c r="O1985" s="10"/>
      <c r="V1985" s="10"/>
      <c r="W1985" s="6"/>
    </row>
    <row r="1986" spans="1:23" x14ac:dyDescent="0.2">
      <c r="A1986" s="27"/>
      <c r="B1986" s="25"/>
      <c r="D1986" s="11"/>
      <c r="E1986" s="10"/>
      <c r="O1986" s="10"/>
      <c r="V1986" s="10"/>
      <c r="W1986" s="6"/>
    </row>
    <row r="1987" spans="1:23" x14ac:dyDescent="0.2">
      <c r="A1987" s="27"/>
      <c r="B1987" s="25"/>
      <c r="D1987" s="11"/>
      <c r="E1987" s="10"/>
      <c r="O1987" s="10"/>
      <c r="V1987" s="10"/>
      <c r="W1987" s="6"/>
    </row>
    <row r="1988" spans="1:23" x14ac:dyDescent="0.2">
      <c r="A1988" s="27"/>
      <c r="B1988" s="25"/>
      <c r="D1988" s="11"/>
      <c r="E1988" s="10"/>
      <c r="O1988" s="10"/>
      <c r="V1988" s="10"/>
      <c r="W1988" s="6"/>
    </row>
    <row r="1989" spans="1:23" x14ac:dyDescent="0.2">
      <c r="A1989" s="27"/>
      <c r="B1989" s="25"/>
      <c r="D1989" s="11"/>
      <c r="E1989" s="10"/>
      <c r="O1989" s="10"/>
      <c r="V1989" s="10"/>
      <c r="W1989" s="6"/>
    </row>
    <row r="1990" spans="1:23" x14ac:dyDescent="0.2">
      <c r="A1990" s="27"/>
      <c r="B1990" s="25"/>
      <c r="D1990" s="11"/>
      <c r="E1990" s="10"/>
      <c r="O1990" s="10"/>
      <c r="V1990" s="10"/>
      <c r="W1990" s="6"/>
    </row>
    <row r="1991" spans="1:23" x14ac:dyDescent="0.2">
      <c r="A1991" s="27"/>
      <c r="B1991" s="1"/>
      <c r="D1991" s="11"/>
      <c r="E1991" s="10"/>
      <c r="O1991" s="10"/>
      <c r="V1991" s="10"/>
      <c r="W1991" s="6"/>
    </row>
    <row r="1992" spans="1:23" x14ac:dyDescent="0.2">
      <c r="A1992" s="27"/>
      <c r="B1992" s="25"/>
      <c r="D1992" s="11"/>
      <c r="E1992" s="10"/>
      <c r="O1992" s="10"/>
      <c r="V1992" s="10"/>
      <c r="W1992" s="6"/>
    </row>
    <row r="1993" spans="1:23" x14ac:dyDescent="0.2">
      <c r="A1993" s="27"/>
      <c r="B1993" s="1"/>
      <c r="D1993" s="11"/>
      <c r="E1993" s="10"/>
      <c r="O1993" s="10"/>
      <c r="V1993" s="10"/>
      <c r="W1993" s="6"/>
    </row>
    <row r="1994" spans="1:23" x14ac:dyDescent="0.2">
      <c r="A1994" s="27"/>
      <c r="B1994" s="1"/>
      <c r="D1994" s="11"/>
      <c r="E1994" s="10"/>
      <c r="O1994" s="10"/>
      <c r="V1994" s="10"/>
      <c r="W1994" s="6"/>
    </row>
    <row r="1995" spans="1:23" x14ac:dyDescent="0.2">
      <c r="A1995" s="27"/>
      <c r="B1995" s="25"/>
      <c r="D1995" s="11"/>
      <c r="E1995" s="10"/>
      <c r="O1995" s="10"/>
      <c r="V1995" s="10"/>
      <c r="W1995" s="6"/>
    </row>
    <row r="1996" spans="1:23" x14ac:dyDescent="0.2">
      <c r="A1996" s="27"/>
      <c r="B1996" s="25"/>
      <c r="D1996" s="11"/>
      <c r="E1996" s="10"/>
      <c r="O1996" s="10"/>
      <c r="V1996" s="10"/>
      <c r="W1996" s="6"/>
    </row>
    <row r="1997" spans="1:23" x14ac:dyDescent="0.2">
      <c r="A1997" s="27"/>
      <c r="B1997" s="1"/>
      <c r="D1997" s="11"/>
      <c r="E1997" s="10"/>
      <c r="O1997" s="10"/>
      <c r="V1997" s="10"/>
      <c r="W1997" s="6"/>
    </row>
    <row r="1998" spans="1:23" x14ac:dyDescent="0.2">
      <c r="A1998" s="27"/>
      <c r="B1998" s="25"/>
      <c r="D1998" s="11"/>
      <c r="E1998" s="10"/>
      <c r="O1998" s="10"/>
      <c r="V1998" s="10"/>
      <c r="W1998" s="6"/>
    </row>
    <row r="1999" spans="1:23" x14ac:dyDescent="0.2">
      <c r="A1999" s="27"/>
      <c r="B1999" s="25"/>
      <c r="D1999" s="11"/>
      <c r="E1999" s="10"/>
      <c r="O1999" s="10"/>
      <c r="V1999" s="10"/>
    </row>
    <row r="2000" spans="1:23" x14ac:dyDescent="0.2">
      <c r="A2000" s="27"/>
      <c r="B2000" s="25"/>
      <c r="D2000" s="11"/>
      <c r="E2000" s="10"/>
      <c r="O2000" s="10"/>
      <c r="V2000" s="10"/>
      <c r="W2000" s="6"/>
    </row>
    <row r="2001" spans="1:23" x14ac:dyDescent="0.2">
      <c r="A2001" s="27"/>
      <c r="B2001" s="25"/>
      <c r="D2001" s="11"/>
      <c r="E2001" s="10"/>
      <c r="O2001" s="10"/>
      <c r="V2001" s="10"/>
      <c r="W2001" s="6"/>
    </row>
    <row r="2002" spans="1:23" x14ac:dyDescent="0.2">
      <c r="A2002" s="27"/>
      <c r="B2002" s="25"/>
      <c r="D2002" s="11"/>
      <c r="E2002" s="10"/>
      <c r="O2002" s="10"/>
      <c r="V2002" s="10"/>
      <c r="W2002" s="6"/>
    </row>
    <row r="2003" spans="1:23" x14ac:dyDescent="0.2">
      <c r="A2003" s="27"/>
      <c r="B2003" s="25"/>
      <c r="D2003" s="11"/>
      <c r="E2003" s="10"/>
      <c r="O2003" s="10"/>
      <c r="V2003" s="10"/>
      <c r="W2003" s="6"/>
    </row>
    <row r="2004" spans="1:23" x14ac:dyDescent="0.2">
      <c r="A2004" s="27"/>
      <c r="B2004" s="25"/>
      <c r="D2004" s="11"/>
      <c r="E2004" s="10"/>
      <c r="O2004" s="10"/>
      <c r="V2004" s="10"/>
      <c r="W2004" s="6"/>
    </row>
    <row r="2005" spans="1:23" x14ac:dyDescent="0.2">
      <c r="A2005" s="27"/>
      <c r="B2005" s="25"/>
      <c r="D2005" s="11"/>
      <c r="E2005" s="10"/>
      <c r="O2005" s="10"/>
      <c r="V2005" s="10"/>
      <c r="W2005" s="6"/>
    </row>
    <row r="2006" spans="1:23" x14ac:dyDescent="0.2">
      <c r="A2006" s="27"/>
      <c r="B2006" s="25"/>
      <c r="D2006" s="11"/>
      <c r="E2006" s="10"/>
      <c r="O2006" s="10"/>
      <c r="V2006" s="10"/>
      <c r="W2006" s="6"/>
    </row>
    <row r="2007" spans="1:23" x14ac:dyDescent="0.2">
      <c r="A2007" s="27"/>
      <c r="B2007" s="25"/>
      <c r="D2007" s="11"/>
      <c r="E2007" s="10"/>
      <c r="O2007" s="10"/>
      <c r="V2007" s="10"/>
      <c r="W2007" s="6"/>
    </row>
    <row r="2008" spans="1:23" x14ac:dyDescent="0.2">
      <c r="A2008" s="27"/>
      <c r="B2008" s="25"/>
      <c r="D2008" s="11"/>
      <c r="E2008" s="10"/>
      <c r="O2008" s="10"/>
      <c r="V2008" s="10"/>
      <c r="W2008" s="6"/>
    </row>
    <row r="2009" spans="1:23" x14ac:dyDescent="0.2">
      <c r="A2009" s="27"/>
      <c r="B2009" s="25"/>
      <c r="D2009" s="11"/>
      <c r="E2009" s="10"/>
      <c r="O2009" s="10"/>
      <c r="V2009" s="10"/>
      <c r="W2009" s="6"/>
    </row>
    <row r="2010" spans="1:23" x14ac:dyDescent="0.2">
      <c r="A2010" s="27"/>
      <c r="B2010" s="1"/>
      <c r="D2010" s="11"/>
      <c r="E2010" s="10"/>
      <c r="O2010" s="10"/>
      <c r="V2010" s="10"/>
      <c r="W2010" s="6"/>
    </row>
    <row r="2011" spans="1:23" x14ac:dyDescent="0.2">
      <c r="A2011" s="27"/>
      <c r="B2011" s="25"/>
      <c r="D2011" s="11"/>
      <c r="E2011" s="10"/>
      <c r="O2011" s="10"/>
      <c r="V2011" s="10"/>
      <c r="W2011" s="6"/>
    </row>
    <row r="2012" spans="1:23" x14ac:dyDescent="0.2">
      <c r="A2012" s="27"/>
      <c r="B2012" s="1"/>
      <c r="D2012" s="11"/>
      <c r="E2012" s="10"/>
      <c r="O2012" s="10"/>
      <c r="V2012" s="10"/>
      <c r="W2012" s="6"/>
    </row>
    <row r="2013" spans="1:23" x14ac:dyDescent="0.2">
      <c r="A2013" s="27"/>
      <c r="B2013" s="1"/>
      <c r="D2013" s="11"/>
      <c r="E2013" s="10"/>
      <c r="O2013" s="10"/>
      <c r="V2013" s="10"/>
      <c r="W2013" s="6"/>
    </row>
    <row r="2014" spans="1:23" x14ac:dyDescent="0.2">
      <c r="A2014" s="27"/>
      <c r="B2014" s="25"/>
      <c r="D2014" s="11"/>
      <c r="E2014" s="10"/>
      <c r="O2014" s="10"/>
      <c r="V2014" s="10"/>
      <c r="W2014" s="6"/>
    </row>
    <row r="2015" spans="1:23" x14ac:dyDescent="0.2">
      <c r="A2015" s="27"/>
      <c r="B2015" s="25"/>
      <c r="D2015" s="11"/>
      <c r="E2015" s="10"/>
      <c r="O2015" s="10"/>
      <c r="V2015" s="10"/>
      <c r="W2015" s="6"/>
    </row>
    <row r="2016" spans="1:23" x14ac:dyDescent="0.2">
      <c r="A2016" s="27"/>
      <c r="B2016" s="25"/>
      <c r="D2016" s="11"/>
      <c r="E2016" s="10"/>
      <c r="O2016" s="10"/>
      <c r="V2016" s="10"/>
      <c r="W2016" s="6"/>
    </row>
    <row r="2017" spans="1:23" x14ac:dyDescent="0.2">
      <c r="A2017" s="27"/>
      <c r="B2017" s="25"/>
      <c r="D2017" s="11"/>
      <c r="E2017" s="10"/>
      <c r="O2017" s="10"/>
      <c r="V2017" s="10"/>
      <c r="W2017" s="6"/>
    </row>
    <row r="2018" spans="1:23" x14ac:dyDescent="0.2">
      <c r="A2018" s="27"/>
      <c r="B2018" s="25"/>
      <c r="D2018" s="11"/>
      <c r="E2018" s="10"/>
      <c r="O2018" s="10"/>
      <c r="V2018" s="10"/>
      <c r="W2018" s="6"/>
    </row>
    <row r="2019" spans="1:23" x14ac:dyDescent="0.2">
      <c r="A2019" s="27"/>
      <c r="B2019" s="1"/>
      <c r="D2019" s="11"/>
      <c r="E2019" s="10"/>
      <c r="O2019" s="10"/>
      <c r="V2019" s="10"/>
      <c r="W2019" s="6"/>
    </row>
    <row r="2020" spans="1:23" x14ac:dyDescent="0.2">
      <c r="A2020" s="27"/>
      <c r="B2020" s="25"/>
      <c r="D2020" s="11"/>
      <c r="E2020" s="10"/>
      <c r="O2020" s="10"/>
      <c r="V2020" s="10"/>
      <c r="W2020" s="6"/>
    </row>
    <row r="2021" spans="1:23" x14ac:dyDescent="0.2">
      <c r="A2021" s="27"/>
      <c r="B2021" s="25"/>
      <c r="D2021" s="11"/>
      <c r="E2021" s="10"/>
      <c r="O2021" s="10"/>
      <c r="V2021" s="10"/>
      <c r="W2021" s="6"/>
    </row>
    <row r="2022" spans="1:23" x14ac:dyDescent="0.2">
      <c r="A2022" s="27"/>
      <c r="B2022" s="25"/>
      <c r="D2022" s="11"/>
      <c r="E2022" s="10"/>
      <c r="O2022" s="10"/>
      <c r="V2022" s="10"/>
      <c r="W2022" s="6"/>
    </row>
    <row r="2023" spans="1:23" x14ac:dyDescent="0.2">
      <c r="A2023" s="27"/>
      <c r="B2023" s="25"/>
      <c r="D2023" s="11"/>
      <c r="E2023" s="10"/>
      <c r="O2023" s="10"/>
      <c r="V2023" s="10"/>
      <c r="W2023" s="6"/>
    </row>
    <row r="2024" spans="1:23" x14ac:dyDescent="0.2">
      <c r="A2024" s="27"/>
      <c r="B2024" s="25"/>
      <c r="D2024" s="11"/>
      <c r="E2024" s="10"/>
      <c r="O2024" s="10"/>
      <c r="V2024" s="10"/>
      <c r="W2024" s="6"/>
    </row>
    <row r="2025" spans="1:23" x14ac:dyDescent="0.2">
      <c r="A2025" s="27"/>
      <c r="B2025" s="25"/>
      <c r="D2025" s="11"/>
      <c r="E2025" s="10"/>
      <c r="O2025" s="10"/>
      <c r="V2025" s="10"/>
      <c r="W2025" s="6"/>
    </row>
    <row r="2026" spans="1:23" x14ac:dyDescent="0.2">
      <c r="A2026" s="27"/>
      <c r="B2026" s="25"/>
      <c r="D2026" s="11"/>
      <c r="E2026" s="10"/>
      <c r="O2026" s="10"/>
      <c r="V2026" s="10"/>
      <c r="W2026" s="6"/>
    </row>
    <row r="2027" spans="1:23" x14ac:dyDescent="0.2">
      <c r="A2027" s="27"/>
      <c r="B2027" s="25"/>
      <c r="D2027" s="11"/>
      <c r="E2027" s="10"/>
      <c r="O2027" s="10"/>
      <c r="V2027" s="10"/>
      <c r="W2027" s="6"/>
    </row>
    <row r="2028" spans="1:23" x14ac:dyDescent="0.2">
      <c r="A2028" s="27"/>
      <c r="B2028" s="1"/>
      <c r="D2028" s="11"/>
      <c r="E2028" s="10"/>
      <c r="O2028" s="10"/>
      <c r="V2028" s="10"/>
      <c r="W2028" s="6"/>
    </row>
    <row r="2029" spans="1:23" x14ac:dyDescent="0.2">
      <c r="A2029" s="27"/>
      <c r="B2029" s="25"/>
      <c r="D2029" s="11"/>
      <c r="E2029" s="10"/>
      <c r="O2029" s="10"/>
      <c r="V2029" s="10"/>
      <c r="W2029" s="6"/>
    </row>
    <row r="2030" spans="1:23" x14ac:dyDescent="0.2">
      <c r="A2030" s="27"/>
      <c r="B2030" s="25"/>
      <c r="D2030" s="11"/>
      <c r="E2030" s="10"/>
      <c r="O2030" s="10"/>
      <c r="V2030" s="10"/>
      <c r="W2030" s="6"/>
    </row>
    <row r="2031" spans="1:23" x14ac:dyDescent="0.2">
      <c r="A2031" s="27"/>
      <c r="B2031" s="1"/>
      <c r="D2031" s="11"/>
      <c r="E2031" s="10"/>
      <c r="O2031" s="10"/>
      <c r="V2031" s="10"/>
      <c r="W2031" s="6"/>
    </row>
    <row r="2032" spans="1:23" x14ac:dyDescent="0.2">
      <c r="A2032" s="27"/>
      <c r="B2032" s="25"/>
      <c r="D2032" s="11"/>
      <c r="E2032" s="10"/>
      <c r="O2032" s="10"/>
      <c r="V2032" s="10"/>
      <c r="W2032" s="6"/>
    </row>
    <row r="2033" spans="1:23" x14ac:dyDescent="0.2">
      <c r="A2033" s="27"/>
      <c r="B2033" s="25"/>
      <c r="D2033" s="11"/>
      <c r="E2033" s="10"/>
      <c r="O2033" s="10"/>
      <c r="V2033" s="10"/>
      <c r="W2033" s="6"/>
    </row>
    <row r="2034" spans="1:23" x14ac:dyDescent="0.2">
      <c r="A2034" s="27"/>
      <c r="B2034" s="25"/>
      <c r="D2034" s="11"/>
      <c r="E2034" s="10"/>
      <c r="O2034" s="10"/>
      <c r="V2034" s="10"/>
      <c r="W2034" s="6"/>
    </row>
    <row r="2035" spans="1:23" x14ac:dyDescent="0.2">
      <c r="A2035" s="27"/>
      <c r="B2035" s="25"/>
      <c r="D2035" s="11"/>
      <c r="E2035" s="10"/>
      <c r="O2035" s="10"/>
      <c r="V2035" s="10"/>
      <c r="W2035" s="6"/>
    </row>
    <row r="2036" spans="1:23" x14ac:dyDescent="0.2">
      <c r="A2036" s="27"/>
      <c r="B2036" s="25"/>
      <c r="D2036" s="11"/>
      <c r="E2036" s="10"/>
      <c r="O2036" s="10"/>
      <c r="V2036" s="10"/>
      <c r="W2036" s="6"/>
    </row>
    <row r="2037" spans="1:23" x14ac:dyDescent="0.2">
      <c r="A2037" s="27"/>
      <c r="B2037" s="1"/>
      <c r="D2037" s="11"/>
      <c r="E2037" s="10"/>
      <c r="O2037" s="10"/>
      <c r="V2037" s="10"/>
      <c r="W2037" s="6"/>
    </row>
    <row r="2038" spans="1:23" x14ac:dyDescent="0.2">
      <c r="A2038" s="27"/>
      <c r="B2038" s="25"/>
      <c r="D2038" s="11"/>
      <c r="E2038" s="10"/>
      <c r="O2038" s="10"/>
      <c r="V2038" s="10"/>
      <c r="W2038" s="6"/>
    </row>
    <row r="2039" spans="1:23" x14ac:dyDescent="0.2">
      <c r="A2039" s="27"/>
      <c r="B2039" s="25"/>
      <c r="D2039" s="11"/>
      <c r="E2039" s="10"/>
      <c r="O2039" s="10"/>
      <c r="V2039" s="10"/>
      <c r="W2039" s="6"/>
    </row>
    <row r="2040" spans="1:23" x14ac:dyDescent="0.2">
      <c r="A2040" s="27"/>
      <c r="B2040" s="1"/>
      <c r="D2040" s="11"/>
      <c r="E2040" s="10"/>
      <c r="O2040" s="10"/>
      <c r="V2040" s="10"/>
      <c r="W2040" s="6"/>
    </row>
    <row r="2041" spans="1:23" x14ac:dyDescent="0.2">
      <c r="A2041" s="27"/>
      <c r="B2041" s="25"/>
      <c r="D2041" s="11"/>
      <c r="E2041" s="10"/>
      <c r="O2041" s="10"/>
      <c r="V2041" s="10"/>
      <c r="W2041" s="6"/>
    </row>
    <row r="2042" spans="1:23" x14ac:dyDescent="0.2">
      <c r="A2042" s="27"/>
      <c r="B2042" s="1"/>
      <c r="D2042" s="11"/>
      <c r="E2042" s="10"/>
      <c r="O2042" s="10"/>
      <c r="V2042" s="10"/>
      <c r="W2042" s="6"/>
    </row>
    <row r="2043" spans="1:23" x14ac:dyDescent="0.2">
      <c r="A2043" s="27"/>
      <c r="B2043" s="1"/>
      <c r="D2043" s="11"/>
      <c r="E2043" s="10"/>
      <c r="O2043" s="10"/>
      <c r="V2043" s="10"/>
      <c r="W2043" s="6"/>
    </row>
    <row r="2044" spans="1:23" x14ac:dyDescent="0.2">
      <c r="A2044" s="27"/>
      <c r="B2044" s="1"/>
      <c r="D2044" s="11"/>
      <c r="E2044" s="10"/>
      <c r="O2044" s="10"/>
      <c r="V2044" s="10"/>
      <c r="W2044" s="6"/>
    </row>
    <row r="2045" spans="1:23" x14ac:dyDescent="0.2">
      <c r="A2045" s="27"/>
      <c r="B2045" s="25"/>
      <c r="D2045" s="11"/>
      <c r="E2045" s="10"/>
      <c r="O2045" s="10"/>
      <c r="V2045" s="10"/>
      <c r="W2045" s="6"/>
    </row>
    <row r="2046" spans="1:23" x14ac:dyDescent="0.2">
      <c r="A2046" s="27"/>
      <c r="B2046" s="25"/>
      <c r="D2046" s="11"/>
      <c r="E2046" s="10"/>
      <c r="O2046" s="10"/>
      <c r="V2046" s="10"/>
      <c r="W2046" s="6"/>
    </row>
    <row r="2047" spans="1:23" x14ac:dyDescent="0.2">
      <c r="A2047" s="27"/>
      <c r="B2047" s="1"/>
      <c r="D2047" s="11"/>
      <c r="E2047" s="10"/>
      <c r="O2047" s="10"/>
      <c r="V2047" s="10"/>
      <c r="W2047" s="6"/>
    </row>
    <row r="2048" spans="1:23" x14ac:dyDescent="0.2">
      <c r="A2048" s="27"/>
      <c r="B2048" s="25"/>
      <c r="D2048" s="11"/>
      <c r="E2048" s="10"/>
      <c r="O2048" s="10"/>
      <c r="V2048" s="10"/>
      <c r="W2048" s="6"/>
    </row>
    <row r="2049" spans="1:23" x14ac:dyDescent="0.2">
      <c r="A2049" s="27"/>
      <c r="B2049" s="25"/>
      <c r="D2049" s="11"/>
      <c r="E2049" s="10"/>
      <c r="O2049" s="10"/>
      <c r="V2049" s="10"/>
      <c r="W2049" s="6"/>
    </row>
    <row r="2050" spans="1:23" x14ac:dyDescent="0.2">
      <c r="A2050" s="27"/>
      <c r="B2050" s="25"/>
      <c r="D2050" s="11"/>
      <c r="E2050" s="10"/>
      <c r="O2050" s="10"/>
      <c r="V2050" s="10"/>
      <c r="W2050" s="6"/>
    </row>
    <row r="2051" spans="1:23" x14ac:dyDescent="0.2">
      <c r="A2051" s="27"/>
      <c r="B2051" s="1"/>
      <c r="D2051" s="11"/>
      <c r="E2051" s="10"/>
      <c r="O2051" s="10"/>
      <c r="V2051" s="10"/>
      <c r="W2051" s="6"/>
    </row>
    <row r="2052" spans="1:23" x14ac:dyDescent="0.2">
      <c r="A2052" s="27"/>
      <c r="B2052" s="1"/>
      <c r="D2052" s="11"/>
      <c r="E2052" s="10"/>
      <c r="O2052" s="10"/>
      <c r="V2052" s="10"/>
      <c r="W2052" s="6"/>
    </row>
    <row r="2053" spans="1:23" x14ac:dyDescent="0.2">
      <c r="A2053" s="27"/>
      <c r="B2053" s="25"/>
      <c r="D2053" s="11"/>
      <c r="E2053" s="10"/>
      <c r="O2053" s="10"/>
      <c r="V2053" s="10"/>
      <c r="W2053" s="6"/>
    </row>
    <row r="2054" spans="1:23" x14ac:dyDescent="0.2">
      <c r="A2054" s="27"/>
      <c r="B2054" s="25"/>
      <c r="D2054" s="11"/>
      <c r="E2054" s="10"/>
      <c r="O2054" s="10"/>
      <c r="V2054" s="10"/>
      <c r="W2054" s="6"/>
    </row>
    <row r="2055" spans="1:23" x14ac:dyDescent="0.2">
      <c r="A2055" s="27"/>
      <c r="B2055" s="25"/>
      <c r="D2055" s="11"/>
      <c r="E2055" s="10"/>
      <c r="O2055" s="10"/>
      <c r="V2055" s="10"/>
      <c r="W2055" s="6"/>
    </row>
    <row r="2056" spans="1:23" x14ac:dyDescent="0.2">
      <c r="A2056" s="27"/>
      <c r="B2056" s="25"/>
      <c r="D2056" s="11"/>
      <c r="E2056" s="10"/>
      <c r="O2056" s="10"/>
      <c r="V2056" s="10"/>
      <c r="W2056" s="6"/>
    </row>
    <row r="2057" spans="1:23" x14ac:dyDescent="0.2">
      <c r="A2057" s="27"/>
      <c r="B2057" s="25"/>
      <c r="D2057" s="11"/>
      <c r="E2057" s="10"/>
      <c r="O2057" s="10"/>
      <c r="V2057" s="10"/>
      <c r="W2057" s="6"/>
    </row>
    <row r="2058" spans="1:23" x14ac:dyDescent="0.2">
      <c r="A2058" s="27"/>
      <c r="B2058" s="25"/>
      <c r="D2058" s="11"/>
      <c r="E2058" s="10"/>
      <c r="O2058" s="10"/>
      <c r="V2058" s="10"/>
      <c r="W2058" s="6"/>
    </row>
    <row r="2059" spans="1:23" x14ac:dyDescent="0.2">
      <c r="A2059" s="27"/>
      <c r="B2059" s="25"/>
      <c r="D2059" s="11"/>
      <c r="E2059" s="10"/>
      <c r="O2059" s="10"/>
      <c r="V2059" s="10"/>
      <c r="W2059" s="6"/>
    </row>
    <row r="2060" spans="1:23" x14ac:dyDescent="0.2">
      <c r="A2060" s="27"/>
      <c r="B2060" s="25"/>
      <c r="D2060" s="11"/>
      <c r="E2060" s="10"/>
      <c r="O2060" s="10"/>
      <c r="V2060" s="10"/>
      <c r="W2060" s="6"/>
    </row>
    <row r="2061" spans="1:23" x14ac:dyDescent="0.2">
      <c r="A2061" s="27"/>
      <c r="B2061" s="25"/>
      <c r="D2061" s="11"/>
      <c r="E2061" s="10"/>
      <c r="O2061" s="10"/>
      <c r="V2061" s="10"/>
      <c r="W2061" s="6"/>
    </row>
    <row r="2062" spans="1:23" x14ac:dyDescent="0.2">
      <c r="A2062" s="27"/>
      <c r="B2062" s="25"/>
      <c r="D2062" s="11"/>
      <c r="E2062" s="10"/>
      <c r="O2062" s="10"/>
      <c r="V2062" s="10"/>
      <c r="W2062" s="6"/>
    </row>
    <row r="2063" spans="1:23" x14ac:dyDescent="0.2">
      <c r="A2063" s="27"/>
      <c r="B2063" s="25"/>
      <c r="D2063" s="11"/>
      <c r="E2063" s="10"/>
      <c r="O2063" s="10"/>
      <c r="V2063" s="10"/>
      <c r="W2063" s="6"/>
    </row>
    <row r="2064" spans="1:23" x14ac:dyDescent="0.2">
      <c r="A2064" s="27"/>
      <c r="B2064" s="25"/>
      <c r="D2064" s="11"/>
      <c r="E2064" s="10"/>
      <c r="O2064" s="10"/>
      <c r="V2064" s="10"/>
      <c r="W2064" s="6"/>
    </row>
    <row r="2065" spans="1:23" x14ac:dyDescent="0.2">
      <c r="A2065" s="27"/>
      <c r="B2065" s="25"/>
      <c r="D2065" s="11"/>
      <c r="E2065" s="10"/>
      <c r="O2065" s="10"/>
      <c r="V2065" s="10"/>
      <c r="W2065" s="6"/>
    </row>
    <row r="2066" spans="1:23" x14ac:dyDescent="0.2">
      <c r="A2066" s="27"/>
      <c r="B2066" s="25"/>
      <c r="D2066" s="11"/>
      <c r="E2066" s="10"/>
      <c r="O2066" s="10"/>
      <c r="V2066" s="10"/>
      <c r="W2066" s="6"/>
    </row>
    <row r="2067" spans="1:23" x14ac:dyDescent="0.2">
      <c r="A2067" s="27"/>
      <c r="B2067" s="25"/>
      <c r="D2067" s="11"/>
      <c r="E2067" s="10"/>
      <c r="O2067" s="10"/>
      <c r="V2067" s="10"/>
      <c r="W2067" s="6"/>
    </row>
    <row r="2068" spans="1:23" x14ac:dyDescent="0.2">
      <c r="A2068" s="27"/>
      <c r="B2068" s="25"/>
      <c r="D2068" s="11"/>
      <c r="E2068" s="10"/>
      <c r="O2068" s="10"/>
      <c r="V2068" s="10"/>
      <c r="W2068" s="6"/>
    </row>
    <row r="2069" spans="1:23" x14ac:dyDescent="0.2">
      <c r="A2069" s="27"/>
      <c r="B2069" s="25"/>
      <c r="D2069" s="11"/>
      <c r="E2069" s="10"/>
      <c r="O2069" s="10"/>
      <c r="V2069" s="10"/>
      <c r="W2069" s="6"/>
    </row>
    <row r="2070" spans="1:23" x14ac:dyDescent="0.2">
      <c r="A2070" s="27"/>
      <c r="B2070" s="25"/>
      <c r="D2070" s="11"/>
      <c r="E2070" s="10"/>
      <c r="O2070" s="10"/>
      <c r="V2070" s="10"/>
      <c r="W2070" s="6"/>
    </row>
    <row r="2071" spans="1:23" x14ac:dyDescent="0.2">
      <c r="A2071" s="27"/>
      <c r="B2071" s="1"/>
      <c r="D2071" s="11"/>
      <c r="E2071" s="10"/>
      <c r="O2071" s="10"/>
      <c r="V2071" s="10"/>
      <c r="W2071" s="6"/>
    </row>
    <row r="2072" spans="1:23" x14ac:dyDescent="0.2">
      <c r="A2072" s="27"/>
      <c r="B2072" s="25"/>
      <c r="D2072" s="11"/>
      <c r="E2072" s="10"/>
      <c r="O2072" s="10"/>
      <c r="V2072" s="10"/>
      <c r="W2072" s="6"/>
    </row>
    <row r="2073" spans="1:23" x14ac:dyDescent="0.2">
      <c r="A2073" s="27"/>
      <c r="B2073" s="25"/>
      <c r="D2073" s="11"/>
      <c r="E2073" s="10"/>
      <c r="O2073" s="10"/>
      <c r="V2073" s="10"/>
      <c r="W2073" s="6"/>
    </row>
    <row r="2074" spans="1:23" x14ac:dyDescent="0.2">
      <c r="A2074" s="27"/>
      <c r="B2074" s="25"/>
      <c r="D2074" s="11"/>
      <c r="E2074" s="10"/>
      <c r="O2074" s="10"/>
      <c r="V2074" s="10"/>
      <c r="W2074" s="6"/>
    </row>
    <row r="2075" spans="1:23" x14ac:dyDescent="0.2">
      <c r="A2075" s="27"/>
      <c r="B2075" s="25"/>
      <c r="D2075" s="11"/>
      <c r="E2075" s="10"/>
      <c r="O2075" s="10"/>
      <c r="V2075" s="10"/>
      <c r="W2075" s="6"/>
    </row>
    <row r="2076" spans="1:23" x14ac:dyDescent="0.2">
      <c r="A2076" s="27"/>
      <c r="B2076" s="25"/>
      <c r="D2076" s="11"/>
      <c r="E2076" s="10"/>
      <c r="O2076" s="10"/>
      <c r="V2076" s="10"/>
      <c r="W2076" s="6"/>
    </row>
    <row r="2077" spans="1:23" x14ac:dyDescent="0.2">
      <c r="A2077" s="27"/>
      <c r="B2077" s="25"/>
      <c r="D2077" s="11"/>
      <c r="E2077" s="10"/>
      <c r="O2077" s="10"/>
      <c r="V2077" s="10"/>
      <c r="W2077" s="6"/>
    </row>
    <row r="2078" spans="1:23" x14ac:dyDescent="0.2">
      <c r="A2078" s="27"/>
      <c r="B2078" s="25"/>
      <c r="D2078" s="11"/>
      <c r="E2078" s="10"/>
      <c r="O2078" s="10"/>
      <c r="V2078" s="10"/>
      <c r="W2078" s="6"/>
    </row>
    <row r="2079" spans="1:23" x14ac:dyDescent="0.2">
      <c r="A2079" s="27"/>
      <c r="B2079" s="25"/>
      <c r="D2079" s="11"/>
      <c r="E2079" s="10"/>
      <c r="O2079" s="10"/>
      <c r="V2079" s="10"/>
      <c r="W2079" s="6"/>
    </row>
    <row r="2080" spans="1:23" x14ac:dyDescent="0.2">
      <c r="A2080" s="27"/>
      <c r="B2080" s="25"/>
      <c r="D2080" s="11"/>
      <c r="E2080" s="10"/>
      <c r="O2080" s="10"/>
      <c r="V2080" s="10"/>
      <c r="W2080" s="6"/>
    </row>
    <row r="2081" spans="1:23" x14ac:dyDescent="0.2">
      <c r="A2081" s="27"/>
      <c r="B2081" s="25"/>
      <c r="D2081" s="11"/>
      <c r="E2081" s="10"/>
      <c r="O2081" s="10"/>
      <c r="V2081" s="10"/>
      <c r="W2081" s="6"/>
    </row>
    <row r="2082" spans="1:23" x14ac:dyDescent="0.2">
      <c r="A2082" s="27"/>
      <c r="B2082" s="1"/>
      <c r="D2082" s="11"/>
      <c r="E2082" s="10"/>
      <c r="O2082" s="10"/>
      <c r="V2082" s="10"/>
      <c r="W2082" s="6"/>
    </row>
    <row r="2083" spans="1:23" x14ac:dyDescent="0.2">
      <c r="A2083" s="27"/>
      <c r="B2083" s="1"/>
      <c r="D2083" s="11"/>
      <c r="E2083" s="10"/>
      <c r="O2083" s="10"/>
      <c r="V2083" s="10"/>
      <c r="W2083" s="6"/>
    </row>
    <row r="2084" spans="1:23" x14ac:dyDescent="0.2">
      <c r="A2084" s="27"/>
      <c r="B2084" s="25"/>
      <c r="D2084" s="11"/>
      <c r="E2084" s="10"/>
      <c r="O2084" s="10"/>
      <c r="V2084" s="10"/>
      <c r="W2084" s="6"/>
    </row>
    <row r="2085" spans="1:23" x14ac:dyDescent="0.2">
      <c r="A2085" s="27"/>
      <c r="B2085" s="25"/>
      <c r="D2085" s="11"/>
      <c r="E2085" s="10"/>
      <c r="O2085" s="10"/>
      <c r="V2085" s="10"/>
      <c r="W2085" s="6"/>
    </row>
    <row r="2086" spans="1:23" x14ac:dyDescent="0.2">
      <c r="A2086" s="27"/>
      <c r="B2086" s="25"/>
      <c r="D2086" s="11"/>
      <c r="E2086" s="10"/>
      <c r="O2086" s="10"/>
      <c r="V2086" s="10"/>
      <c r="W2086" s="6"/>
    </row>
    <row r="2087" spans="1:23" x14ac:dyDescent="0.2">
      <c r="A2087" s="27"/>
      <c r="B2087" s="25"/>
      <c r="D2087" s="11"/>
      <c r="E2087" s="10"/>
      <c r="O2087" s="10"/>
      <c r="V2087" s="10"/>
      <c r="W2087" s="6"/>
    </row>
    <row r="2088" spans="1:23" x14ac:dyDescent="0.2">
      <c r="A2088" s="27"/>
      <c r="B2088" s="25"/>
      <c r="D2088" s="11"/>
      <c r="E2088" s="10"/>
      <c r="O2088" s="10"/>
      <c r="V2088" s="10"/>
      <c r="W2088" s="6"/>
    </row>
    <row r="2089" spans="1:23" x14ac:dyDescent="0.2">
      <c r="A2089" s="27"/>
      <c r="B2089" s="25"/>
      <c r="D2089" s="11"/>
      <c r="E2089" s="10"/>
      <c r="O2089" s="10"/>
      <c r="V2089" s="10"/>
      <c r="W2089" s="6"/>
    </row>
    <row r="2090" spans="1:23" x14ac:dyDescent="0.2">
      <c r="A2090" s="27"/>
      <c r="B2090" s="25"/>
      <c r="D2090" s="11"/>
      <c r="E2090" s="10"/>
      <c r="O2090" s="10"/>
      <c r="V2090" s="10"/>
      <c r="W2090" s="6"/>
    </row>
    <row r="2091" spans="1:23" x14ac:dyDescent="0.2">
      <c r="A2091" s="27"/>
      <c r="B2091" s="1"/>
      <c r="D2091" s="11"/>
      <c r="E2091" s="10"/>
      <c r="O2091" s="10"/>
      <c r="V2091" s="10"/>
      <c r="W2091" s="6"/>
    </row>
    <row r="2092" spans="1:23" x14ac:dyDescent="0.2">
      <c r="A2092" s="27"/>
      <c r="B2092" s="25"/>
      <c r="D2092" s="11"/>
      <c r="E2092" s="10"/>
      <c r="O2092" s="10"/>
      <c r="V2092" s="10"/>
      <c r="W2092" s="6"/>
    </row>
    <row r="2093" spans="1:23" x14ac:dyDescent="0.2">
      <c r="A2093" s="27"/>
      <c r="B2093" s="25"/>
      <c r="D2093" s="11"/>
      <c r="E2093" s="10"/>
      <c r="O2093" s="10"/>
      <c r="V2093" s="10"/>
      <c r="W2093" s="6"/>
    </row>
    <row r="2094" spans="1:23" x14ac:dyDescent="0.2">
      <c r="A2094" s="27"/>
      <c r="B2094" s="25"/>
      <c r="D2094" s="11"/>
      <c r="E2094" s="10"/>
      <c r="O2094" s="10"/>
      <c r="V2094" s="10"/>
      <c r="W2094" s="6"/>
    </row>
    <row r="2095" spans="1:23" x14ac:dyDescent="0.2">
      <c r="A2095" s="27"/>
      <c r="B2095" s="25"/>
      <c r="D2095" s="11"/>
      <c r="E2095" s="10"/>
      <c r="O2095" s="10"/>
      <c r="V2095" s="10"/>
      <c r="W2095" s="6"/>
    </row>
    <row r="2096" spans="1:23" x14ac:dyDescent="0.2">
      <c r="A2096" s="27"/>
      <c r="B2096" s="25"/>
      <c r="D2096" s="11"/>
      <c r="E2096" s="10"/>
      <c r="O2096" s="10"/>
      <c r="V2096" s="10"/>
      <c r="W2096" s="6"/>
    </row>
    <row r="2097" spans="1:23" x14ac:dyDescent="0.2">
      <c r="A2097" s="27"/>
      <c r="B2097" s="25"/>
      <c r="D2097" s="11"/>
      <c r="E2097" s="10"/>
      <c r="O2097" s="10"/>
      <c r="V2097" s="10"/>
      <c r="W2097" s="6"/>
    </row>
    <row r="2098" spans="1:23" x14ac:dyDescent="0.2">
      <c r="A2098" s="27"/>
      <c r="B2098" s="1"/>
      <c r="D2098" s="11"/>
      <c r="E2098" s="10"/>
      <c r="O2098" s="10"/>
      <c r="V2098" s="10"/>
      <c r="W2098" s="6"/>
    </row>
    <row r="2099" spans="1:23" x14ac:dyDescent="0.2">
      <c r="A2099" s="27"/>
      <c r="B2099" s="25"/>
      <c r="D2099" s="11"/>
      <c r="E2099" s="10"/>
      <c r="O2099" s="10"/>
      <c r="V2099" s="10"/>
      <c r="W2099" s="6"/>
    </row>
    <row r="2100" spans="1:23" x14ac:dyDescent="0.2">
      <c r="A2100" s="27"/>
      <c r="B2100" s="25"/>
      <c r="D2100" s="11"/>
      <c r="E2100" s="10"/>
      <c r="O2100" s="10"/>
      <c r="V2100" s="10"/>
      <c r="W2100" s="6"/>
    </row>
    <row r="2101" spans="1:23" x14ac:dyDescent="0.2">
      <c r="A2101" s="27"/>
      <c r="B2101" s="25"/>
      <c r="D2101" s="11"/>
      <c r="E2101" s="10"/>
      <c r="O2101" s="10"/>
      <c r="V2101" s="10"/>
      <c r="W2101" s="6"/>
    </row>
    <row r="2102" spans="1:23" x14ac:dyDescent="0.2">
      <c r="A2102" s="27"/>
      <c r="B2102" s="25"/>
      <c r="D2102" s="11"/>
      <c r="E2102" s="10"/>
      <c r="O2102" s="10"/>
      <c r="V2102" s="10"/>
      <c r="W2102" s="6"/>
    </row>
    <row r="2103" spans="1:23" x14ac:dyDescent="0.2">
      <c r="A2103" s="27"/>
      <c r="B2103" s="25"/>
      <c r="D2103" s="11"/>
      <c r="E2103" s="10"/>
      <c r="O2103" s="10"/>
      <c r="V2103" s="10"/>
      <c r="W2103" s="6"/>
    </row>
    <row r="2104" spans="1:23" x14ac:dyDescent="0.2">
      <c r="A2104" s="27"/>
      <c r="B2104" s="25"/>
      <c r="D2104" s="11"/>
      <c r="E2104" s="10"/>
      <c r="O2104" s="10"/>
      <c r="V2104" s="10"/>
      <c r="W2104" s="6"/>
    </row>
    <row r="2105" spans="1:23" x14ac:dyDescent="0.2">
      <c r="A2105" s="27"/>
      <c r="B2105" s="25"/>
      <c r="D2105" s="11"/>
      <c r="E2105" s="10"/>
      <c r="O2105" s="10"/>
      <c r="V2105" s="10"/>
      <c r="W2105" s="6"/>
    </row>
    <row r="2106" spans="1:23" x14ac:dyDescent="0.2">
      <c r="A2106" s="27"/>
      <c r="B2106" s="25"/>
      <c r="D2106" s="11"/>
      <c r="E2106" s="10"/>
      <c r="O2106" s="10"/>
      <c r="V2106" s="10"/>
      <c r="W2106" s="6"/>
    </row>
    <row r="2107" spans="1:23" x14ac:dyDescent="0.2">
      <c r="A2107" s="27"/>
      <c r="B2107" s="25"/>
      <c r="D2107" s="11"/>
      <c r="E2107" s="10"/>
      <c r="O2107" s="10"/>
      <c r="V2107" s="10"/>
      <c r="W2107" s="6"/>
    </row>
    <row r="2108" spans="1:23" x14ac:dyDescent="0.2">
      <c r="A2108" s="27"/>
      <c r="B2108" s="25"/>
      <c r="D2108" s="11"/>
      <c r="E2108" s="10"/>
      <c r="O2108" s="10"/>
      <c r="V2108" s="10"/>
      <c r="W2108" s="6"/>
    </row>
    <row r="2109" spans="1:23" x14ac:dyDescent="0.2">
      <c r="A2109" s="27"/>
      <c r="B2109" s="25"/>
      <c r="D2109" s="11"/>
      <c r="E2109" s="10"/>
      <c r="O2109" s="10"/>
      <c r="V2109" s="10"/>
      <c r="W2109" s="6"/>
    </row>
    <row r="2110" spans="1:23" x14ac:dyDescent="0.2">
      <c r="A2110" s="27"/>
      <c r="B2110" s="25"/>
      <c r="D2110" s="11"/>
      <c r="E2110" s="10"/>
      <c r="O2110" s="10"/>
      <c r="V2110" s="10"/>
      <c r="W2110" s="6"/>
    </row>
    <row r="2111" spans="1:23" x14ac:dyDescent="0.2">
      <c r="A2111" s="27"/>
      <c r="B2111" s="1"/>
      <c r="D2111" s="11"/>
      <c r="E2111" s="10"/>
      <c r="O2111" s="10"/>
      <c r="V2111" s="10"/>
      <c r="W2111" s="6"/>
    </row>
    <row r="2112" spans="1:23" x14ac:dyDescent="0.2">
      <c r="A2112" s="27"/>
      <c r="B2112" s="25"/>
      <c r="D2112" s="11"/>
      <c r="E2112" s="10"/>
      <c r="O2112" s="10"/>
      <c r="V2112" s="10"/>
      <c r="W2112" s="6"/>
    </row>
    <row r="2113" spans="1:23" x14ac:dyDescent="0.2">
      <c r="A2113" s="27"/>
      <c r="B2113" s="25"/>
      <c r="D2113" s="11"/>
      <c r="E2113" s="10"/>
      <c r="O2113" s="10"/>
      <c r="V2113" s="10"/>
      <c r="W2113" s="6"/>
    </row>
    <row r="2114" spans="1:23" x14ac:dyDescent="0.2">
      <c r="A2114" s="27"/>
      <c r="B2114" s="1"/>
      <c r="D2114" s="11"/>
      <c r="E2114" s="10"/>
      <c r="O2114" s="10"/>
      <c r="V2114" s="10"/>
      <c r="W2114" s="6"/>
    </row>
    <row r="2115" spans="1:23" x14ac:dyDescent="0.2">
      <c r="A2115" s="27"/>
      <c r="B2115" s="25"/>
      <c r="D2115" s="11"/>
      <c r="E2115" s="10"/>
      <c r="O2115" s="10"/>
      <c r="V2115" s="10"/>
      <c r="W2115" s="6"/>
    </row>
    <row r="2116" spans="1:23" x14ac:dyDescent="0.2">
      <c r="A2116" s="27"/>
      <c r="B2116" s="25"/>
      <c r="D2116" s="11"/>
      <c r="E2116" s="10"/>
      <c r="O2116" s="10"/>
      <c r="V2116" s="10"/>
      <c r="W2116" s="6"/>
    </row>
    <row r="2117" spans="1:23" x14ac:dyDescent="0.2">
      <c r="A2117" s="27"/>
      <c r="B2117" s="25"/>
      <c r="D2117" s="11"/>
      <c r="E2117" s="10"/>
      <c r="O2117" s="10"/>
      <c r="V2117" s="10"/>
      <c r="W2117" s="6"/>
    </row>
    <row r="2118" spans="1:23" x14ac:dyDescent="0.2">
      <c r="A2118" s="27"/>
      <c r="B2118" s="25"/>
      <c r="D2118" s="11"/>
      <c r="E2118" s="10"/>
      <c r="O2118" s="10"/>
      <c r="V2118" s="10"/>
      <c r="W2118" s="6"/>
    </row>
    <row r="2119" spans="1:23" x14ac:dyDescent="0.2">
      <c r="A2119" s="27"/>
      <c r="B2119" s="25"/>
      <c r="D2119" s="11"/>
      <c r="E2119" s="10"/>
      <c r="O2119" s="10"/>
      <c r="V2119" s="10"/>
      <c r="W2119" s="6"/>
    </row>
    <row r="2120" spans="1:23" x14ac:dyDescent="0.2">
      <c r="A2120" s="27"/>
      <c r="B2120" s="25"/>
      <c r="D2120" s="11"/>
      <c r="E2120" s="10"/>
      <c r="O2120" s="10"/>
      <c r="V2120" s="10"/>
      <c r="W2120" s="6"/>
    </row>
    <row r="2121" spans="1:23" x14ac:dyDescent="0.2">
      <c r="A2121" s="27"/>
      <c r="B2121" s="25"/>
      <c r="D2121" s="11"/>
      <c r="E2121" s="10"/>
      <c r="O2121" s="10"/>
      <c r="V2121" s="10"/>
      <c r="W2121" s="6"/>
    </row>
    <row r="2122" spans="1:23" x14ac:dyDescent="0.2">
      <c r="A2122" s="27"/>
      <c r="B2122" s="25"/>
      <c r="D2122" s="11"/>
      <c r="E2122" s="10"/>
      <c r="O2122" s="10"/>
      <c r="V2122" s="10"/>
      <c r="W2122" s="6"/>
    </row>
    <row r="2123" spans="1:23" x14ac:dyDescent="0.2">
      <c r="A2123" s="27"/>
      <c r="B2123" s="25"/>
      <c r="D2123" s="11"/>
      <c r="E2123" s="10"/>
      <c r="O2123" s="10"/>
      <c r="V2123" s="10"/>
      <c r="W2123" s="6"/>
    </row>
    <row r="2124" spans="1:23" x14ac:dyDescent="0.2">
      <c r="A2124" s="27"/>
      <c r="B2124" s="25"/>
      <c r="D2124" s="11"/>
      <c r="E2124" s="10"/>
      <c r="O2124" s="10"/>
      <c r="V2124" s="10"/>
      <c r="W2124" s="6"/>
    </row>
    <row r="2125" spans="1:23" x14ac:dyDescent="0.2">
      <c r="A2125" s="27"/>
      <c r="B2125" s="25"/>
      <c r="D2125" s="11"/>
      <c r="E2125" s="10"/>
      <c r="O2125" s="10"/>
      <c r="V2125" s="10"/>
      <c r="W2125" s="6"/>
    </row>
    <row r="2126" spans="1:23" x14ac:dyDescent="0.2">
      <c r="A2126" s="27"/>
      <c r="B2126" s="25"/>
      <c r="D2126" s="11"/>
      <c r="E2126" s="10"/>
      <c r="O2126" s="10"/>
      <c r="V2126" s="10"/>
      <c r="W2126" s="6"/>
    </row>
    <row r="2127" spans="1:23" x14ac:dyDescent="0.2">
      <c r="A2127" s="27"/>
      <c r="B2127" s="25"/>
      <c r="D2127" s="11"/>
      <c r="E2127" s="10"/>
      <c r="O2127" s="10"/>
      <c r="V2127" s="10"/>
      <c r="W2127" s="6"/>
    </row>
    <row r="2128" spans="1:23" x14ac:dyDescent="0.2">
      <c r="A2128" s="27"/>
      <c r="B2128" s="25"/>
      <c r="D2128" s="11"/>
      <c r="E2128" s="10"/>
      <c r="O2128" s="10"/>
      <c r="V2128" s="10"/>
      <c r="W2128" s="6"/>
    </row>
    <row r="2129" spans="1:23" x14ac:dyDescent="0.2">
      <c r="A2129" s="27"/>
      <c r="B2129" s="25"/>
      <c r="D2129" s="11"/>
      <c r="E2129" s="10"/>
      <c r="O2129" s="10"/>
      <c r="V2129" s="10"/>
      <c r="W2129" s="6"/>
    </row>
    <row r="2130" spans="1:23" x14ac:dyDescent="0.2">
      <c r="A2130" s="27"/>
      <c r="B2130" s="1"/>
      <c r="D2130" s="11"/>
      <c r="E2130" s="10"/>
      <c r="O2130" s="10"/>
      <c r="V2130" s="10"/>
      <c r="W2130" s="6"/>
    </row>
    <row r="2131" spans="1:23" x14ac:dyDescent="0.2">
      <c r="A2131" s="27"/>
      <c r="B2131" s="25"/>
      <c r="D2131" s="11"/>
      <c r="E2131" s="10"/>
      <c r="O2131" s="10"/>
      <c r="V2131" s="10"/>
      <c r="W2131" s="6"/>
    </row>
    <row r="2132" spans="1:23" x14ac:dyDescent="0.2">
      <c r="A2132" s="27"/>
      <c r="B2132" s="25"/>
      <c r="D2132" s="11"/>
      <c r="E2132" s="10"/>
      <c r="O2132" s="10"/>
      <c r="V2132" s="10"/>
      <c r="W2132" s="6"/>
    </row>
    <row r="2133" spans="1:23" x14ac:dyDescent="0.2">
      <c r="A2133" s="27"/>
      <c r="B2133" s="1"/>
      <c r="D2133" s="11"/>
      <c r="E2133" s="10"/>
      <c r="O2133" s="10"/>
      <c r="V2133" s="10"/>
      <c r="W2133" s="6"/>
    </row>
    <row r="2134" spans="1:23" x14ac:dyDescent="0.2">
      <c r="A2134" s="27"/>
      <c r="B2134" s="1"/>
      <c r="D2134" s="11"/>
      <c r="E2134" s="10"/>
      <c r="O2134" s="10"/>
      <c r="V2134" s="10"/>
      <c r="W2134" s="6"/>
    </row>
    <row r="2135" spans="1:23" x14ac:dyDescent="0.2">
      <c r="A2135" s="27"/>
      <c r="B2135" s="25"/>
      <c r="D2135" s="11"/>
      <c r="E2135" s="10"/>
      <c r="O2135" s="10"/>
      <c r="V2135" s="10"/>
      <c r="W2135" s="6"/>
    </row>
    <row r="2136" spans="1:23" x14ac:dyDescent="0.2">
      <c r="A2136" s="27"/>
      <c r="B2136" s="25"/>
      <c r="D2136" s="11"/>
      <c r="E2136" s="10"/>
      <c r="O2136" s="10"/>
      <c r="V2136" s="10"/>
      <c r="W2136" s="6"/>
    </row>
    <row r="2137" spans="1:23" x14ac:dyDescent="0.2">
      <c r="A2137" s="27"/>
      <c r="B2137" s="25"/>
      <c r="D2137" s="11"/>
      <c r="E2137" s="10"/>
      <c r="O2137" s="10"/>
      <c r="V2137" s="10"/>
      <c r="W2137" s="6"/>
    </row>
    <row r="2138" spans="1:23" x14ac:dyDescent="0.2">
      <c r="A2138" s="27"/>
      <c r="B2138" s="25"/>
      <c r="D2138" s="11"/>
      <c r="E2138" s="10"/>
      <c r="O2138" s="10"/>
      <c r="V2138" s="10"/>
      <c r="W2138" s="6"/>
    </row>
    <row r="2139" spans="1:23" x14ac:dyDescent="0.2">
      <c r="A2139" s="27"/>
      <c r="B2139" s="25"/>
      <c r="D2139" s="11"/>
      <c r="E2139" s="10"/>
      <c r="O2139" s="10"/>
      <c r="V2139" s="10"/>
      <c r="W2139" s="6"/>
    </row>
    <row r="2140" spans="1:23" x14ac:dyDescent="0.2">
      <c r="A2140" s="27"/>
      <c r="B2140" s="25"/>
      <c r="D2140" s="11"/>
      <c r="E2140" s="10"/>
      <c r="O2140" s="10"/>
      <c r="V2140" s="10"/>
      <c r="W2140" s="6"/>
    </row>
    <row r="2141" spans="1:23" x14ac:dyDescent="0.2">
      <c r="A2141" s="27"/>
      <c r="B2141" s="25"/>
      <c r="D2141" s="11"/>
      <c r="E2141" s="10"/>
      <c r="O2141" s="10"/>
      <c r="V2141" s="10"/>
      <c r="W2141" s="6"/>
    </row>
    <row r="2142" spans="1:23" x14ac:dyDescent="0.2">
      <c r="A2142" s="27"/>
      <c r="B2142" s="25"/>
      <c r="D2142" s="11"/>
      <c r="E2142" s="10"/>
      <c r="O2142" s="10"/>
      <c r="V2142" s="10"/>
      <c r="W2142" s="6"/>
    </row>
    <row r="2143" spans="1:23" x14ac:dyDescent="0.2">
      <c r="A2143" s="27"/>
      <c r="B2143" s="25"/>
      <c r="D2143" s="11"/>
      <c r="E2143" s="10"/>
      <c r="O2143" s="10"/>
      <c r="V2143" s="10"/>
    </row>
    <row r="2144" spans="1:23" x14ac:dyDescent="0.2">
      <c r="A2144" s="27"/>
      <c r="B2144" s="25"/>
      <c r="D2144" s="11"/>
      <c r="E2144" s="10"/>
      <c r="O2144" s="10"/>
      <c r="V2144" s="10"/>
      <c r="W2144" s="6"/>
    </row>
    <row r="2145" spans="1:23" x14ac:dyDescent="0.2">
      <c r="A2145" s="27"/>
      <c r="B2145" s="25"/>
      <c r="D2145" s="11"/>
      <c r="E2145" s="10"/>
      <c r="O2145" s="10"/>
      <c r="V2145" s="10"/>
      <c r="W2145" s="6"/>
    </row>
    <row r="2146" spans="1:23" x14ac:dyDescent="0.2">
      <c r="A2146" s="27"/>
      <c r="B2146" s="1"/>
      <c r="D2146" s="11"/>
      <c r="E2146" s="10"/>
      <c r="O2146" s="10"/>
      <c r="V2146" s="10"/>
      <c r="W2146" s="6"/>
    </row>
    <row r="2147" spans="1:23" x14ac:dyDescent="0.2">
      <c r="A2147" s="27"/>
      <c r="B2147" s="1"/>
      <c r="D2147" s="11"/>
      <c r="E2147" s="10"/>
      <c r="O2147" s="10"/>
      <c r="V2147" s="10"/>
      <c r="W2147" s="6"/>
    </row>
    <row r="2148" spans="1:23" x14ac:dyDescent="0.2">
      <c r="A2148" s="27"/>
      <c r="B2148" s="1"/>
      <c r="D2148" s="11"/>
      <c r="E2148" s="10"/>
      <c r="O2148" s="10"/>
      <c r="V2148" s="10"/>
      <c r="W2148" s="6"/>
    </row>
    <row r="2149" spans="1:23" x14ac:dyDescent="0.2">
      <c r="A2149" s="27"/>
      <c r="B2149" s="25"/>
      <c r="D2149" s="11"/>
      <c r="E2149" s="10"/>
      <c r="O2149" s="10"/>
      <c r="V2149" s="10"/>
      <c r="W2149" s="6"/>
    </row>
    <row r="2150" spans="1:23" x14ac:dyDescent="0.2">
      <c r="A2150" s="27"/>
      <c r="B2150" s="25"/>
      <c r="D2150" s="11"/>
      <c r="E2150" s="10"/>
      <c r="O2150" s="10"/>
      <c r="V2150" s="10"/>
      <c r="W2150" s="6"/>
    </row>
    <row r="2151" spans="1:23" x14ac:dyDescent="0.2">
      <c r="A2151" s="27"/>
      <c r="B2151" s="1"/>
      <c r="D2151" s="11"/>
      <c r="E2151" s="10"/>
      <c r="O2151" s="10"/>
      <c r="V2151" s="10"/>
      <c r="W2151" s="6"/>
    </row>
    <row r="2152" spans="1:23" x14ac:dyDescent="0.2">
      <c r="A2152" s="27"/>
      <c r="B2152" s="1"/>
      <c r="D2152" s="11"/>
      <c r="E2152" s="10"/>
      <c r="O2152" s="10"/>
      <c r="V2152" s="10"/>
      <c r="W2152" s="6"/>
    </row>
    <row r="2153" spans="1:23" x14ac:dyDescent="0.2">
      <c r="A2153" s="27"/>
      <c r="B2153" s="25"/>
      <c r="D2153" s="11"/>
      <c r="E2153" s="10"/>
      <c r="O2153" s="10"/>
      <c r="V2153" s="10"/>
      <c r="W2153" s="6"/>
    </row>
    <row r="2154" spans="1:23" x14ac:dyDescent="0.2">
      <c r="A2154" s="27"/>
      <c r="B2154" s="25"/>
      <c r="D2154" s="11"/>
      <c r="E2154" s="10"/>
      <c r="O2154" s="10"/>
      <c r="V2154" s="10"/>
      <c r="W2154" s="6"/>
    </row>
    <row r="2155" spans="1:23" x14ac:dyDescent="0.2">
      <c r="A2155" s="27"/>
      <c r="B2155" s="1"/>
      <c r="D2155" s="11"/>
      <c r="E2155" s="10"/>
      <c r="O2155" s="10"/>
      <c r="V2155" s="10"/>
      <c r="W2155" s="6"/>
    </row>
    <row r="2156" spans="1:23" x14ac:dyDescent="0.2">
      <c r="A2156" s="27"/>
      <c r="B2156" s="25"/>
      <c r="D2156" s="11"/>
      <c r="E2156" s="10"/>
      <c r="O2156" s="10"/>
      <c r="V2156" s="10"/>
      <c r="W2156" s="6"/>
    </row>
    <row r="2157" spans="1:23" x14ac:dyDescent="0.2">
      <c r="A2157" s="27"/>
      <c r="B2157" s="25"/>
      <c r="D2157" s="11"/>
      <c r="E2157" s="10"/>
      <c r="O2157" s="10"/>
      <c r="V2157" s="10"/>
      <c r="W2157" s="6"/>
    </row>
    <row r="2158" spans="1:23" x14ac:dyDescent="0.2">
      <c r="A2158" s="27"/>
      <c r="B2158" s="25"/>
      <c r="D2158" s="11"/>
      <c r="E2158" s="10"/>
      <c r="O2158" s="10"/>
      <c r="V2158" s="10"/>
      <c r="W2158" s="6"/>
    </row>
    <row r="2159" spans="1:23" x14ac:dyDescent="0.2">
      <c r="A2159" s="27"/>
      <c r="B2159" s="25"/>
      <c r="D2159" s="11"/>
      <c r="E2159" s="10"/>
      <c r="O2159" s="10"/>
      <c r="V2159" s="10"/>
      <c r="W2159" s="6"/>
    </row>
    <row r="2160" spans="1:23" x14ac:dyDescent="0.2">
      <c r="A2160" s="27"/>
      <c r="B2160" s="25"/>
      <c r="D2160" s="11"/>
      <c r="E2160" s="10"/>
      <c r="O2160" s="10"/>
      <c r="V2160" s="10"/>
      <c r="W2160" s="6"/>
    </row>
    <row r="2161" spans="1:23" x14ac:dyDescent="0.2">
      <c r="A2161" s="27"/>
      <c r="B2161" s="25"/>
      <c r="D2161" s="11"/>
      <c r="E2161" s="10"/>
      <c r="O2161" s="10"/>
      <c r="V2161" s="10"/>
      <c r="W2161" s="6"/>
    </row>
    <row r="2162" spans="1:23" x14ac:dyDescent="0.2">
      <c r="A2162" s="27"/>
      <c r="B2162" s="25"/>
      <c r="D2162" s="11"/>
      <c r="E2162" s="10"/>
      <c r="O2162" s="10"/>
      <c r="V2162" s="10"/>
      <c r="W2162" s="6"/>
    </row>
    <row r="2163" spans="1:23" x14ac:dyDescent="0.2">
      <c r="A2163" s="27"/>
      <c r="B2163" s="25"/>
      <c r="D2163" s="11"/>
      <c r="E2163" s="10"/>
      <c r="O2163" s="10"/>
      <c r="V2163" s="10"/>
      <c r="W2163" s="6"/>
    </row>
    <row r="2164" spans="1:23" x14ac:dyDescent="0.2">
      <c r="A2164" s="27"/>
      <c r="B2164" s="1"/>
      <c r="D2164" s="11"/>
      <c r="E2164" s="10"/>
      <c r="O2164" s="10"/>
      <c r="V2164" s="10"/>
      <c r="W2164" s="6"/>
    </row>
    <row r="2165" spans="1:23" x14ac:dyDescent="0.2">
      <c r="A2165" s="27"/>
      <c r="B2165" s="25"/>
      <c r="D2165" s="11"/>
      <c r="E2165" s="10"/>
      <c r="O2165" s="10"/>
      <c r="V2165" s="10"/>
      <c r="W2165" s="6"/>
    </row>
    <row r="2166" spans="1:23" x14ac:dyDescent="0.2">
      <c r="A2166" s="27"/>
      <c r="B2166" s="25"/>
      <c r="D2166" s="11"/>
      <c r="E2166" s="10"/>
      <c r="O2166" s="10"/>
      <c r="V2166" s="10"/>
      <c r="W2166" s="6"/>
    </row>
    <row r="2167" spans="1:23" x14ac:dyDescent="0.2">
      <c r="A2167" s="27"/>
      <c r="B2167" s="25"/>
      <c r="D2167" s="11"/>
      <c r="E2167" s="10"/>
      <c r="O2167" s="10"/>
      <c r="V2167" s="10"/>
      <c r="W2167" s="6"/>
    </row>
    <row r="2168" spans="1:23" x14ac:dyDescent="0.2">
      <c r="A2168" s="27"/>
      <c r="B2168" s="25"/>
      <c r="D2168" s="11"/>
      <c r="E2168" s="10"/>
      <c r="O2168" s="10"/>
      <c r="V2168" s="10"/>
      <c r="W2168" s="6"/>
    </row>
    <row r="2169" spans="1:23" x14ac:dyDescent="0.2">
      <c r="A2169" s="27"/>
      <c r="B2169" s="25"/>
      <c r="D2169" s="11"/>
      <c r="E2169" s="10"/>
      <c r="O2169" s="10"/>
      <c r="V2169" s="10"/>
      <c r="W2169" s="6"/>
    </row>
    <row r="2170" spans="1:23" x14ac:dyDescent="0.2">
      <c r="A2170" s="27"/>
      <c r="B2170" s="25"/>
      <c r="D2170" s="11"/>
      <c r="E2170" s="10"/>
      <c r="O2170" s="10"/>
      <c r="V2170" s="10"/>
      <c r="W2170" s="6"/>
    </row>
    <row r="2171" spans="1:23" x14ac:dyDescent="0.2">
      <c r="A2171" s="27"/>
      <c r="B2171" s="1"/>
      <c r="D2171" s="11"/>
      <c r="E2171" s="10"/>
      <c r="O2171" s="10"/>
      <c r="V2171" s="10"/>
      <c r="W2171" s="6"/>
    </row>
    <row r="2172" spans="1:23" x14ac:dyDescent="0.2">
      <c r="A2172" s="27"/>
      <c r="B2172" s="25"/>
      <c r="D2172" s="11"/>
      <c r="E2172" s="10"/>
      <c r="O2172" s="10"/>
      <c r="V2172" s="10"/>
      <c r="W2172" s="6"/>
    </row>
    <row r="2173" spans="1:23" x14ac:dyDescent="0.2">
      <c r="A2173" s="27"/>
      <c r="B2173" s="25"/>
      <c r="D2173" s="11"/>
      <c r="E2173" s="10"/>
      <c r="O2173" s="10"/>
      <c r="V2173" s="10"/>
      <c r="W2173" s="6"/>
    </row>
    <row r="2174" spans="1:23" x14ac:dyDescent="0.2">
      <c r="A2174" s="27"/>
      <c r="B2174" s="25"/>
      <c r="D2174" s="11"/>
      <c r="E2174" s="10"/>
      <c r="O2174" s="10"/>
      <c r="V2174" s="10"/>
      <c r="W2174" s="6"/>
    </row>
    <row r="2175" spans="1:23" x14ac:dyDescent="0.2">
      <c r="A2175" s="27"/>
      <c r="B2175" s="25"/>
      <c r="D2175" s="11"/>
      <c r="E2175" s="10"/>
      <c r="O2175" s="10"/>
      <c r="V2175" s="10"/>
      <c r="W2175" s="6"/>
    </row>
    <row r="2176" spans="1:23" x14ac:dyDescent="0.2">
      <c r="A2176" s="27"/>
      <c r="B2176" s="25"/>
      <c r="D2176" s="11"/>
      <c r="E2176" s="10"/>
      <c r="O2176" s="10"/>
      <c r="V2176" s="10"/>
      <c r="W2176" s="6"/>
    </row>
    <row r="2177" spans="1:23" x14ac:dyDescent="0.2">
      <c r="A2177" s="27"/>
      <c r="B2177" s="25"/>
      <c r="D2177" s="11"/>
      <c r="E2177" s="10"/>
      <c r="O2177" s="10"/>
      <c r="V2177" s="10"/>
      <c r="W2177" s="6"/>
    </row>
    <row r="2178" spans="1:23" x14ac:dyDescent="0.2">
      <c r="A2178" s="27"/>
      <c r="B2178" s="25"/>
      <c r="D2178" s="11"/>
      <c r="E2178" s="10"/>
      <c r="O2178" s="10"/>
      <c r="V2178" s="10"/>
      <c r="W2178" s="6"/>
    </row>
    <row r="2179" spans="1:23" x14ac:dyDescent="0.2">
      <c r="A2179" s="27"/>
      <c r="B2179" s="25"/>
      <c r="D2179" s="11"/>
      <c r="E2179" s="10"/>
      <c r="O2179" s="10"/>
      <c r="V2179" s="10"/>
      <c r="W2179" s="6"/>
    </row>
    <row r="2180" spans="1:23" x14ac:dyDescent="0.2">
      <c r="A2180" s="27"/>
      <c r="B2180" s="25"/>
      <c r="D2180" s="11"/>
      <c r="E2180" s="10"/>
      <c r="O2180" s="10"/>
      <c r="V2180" s="10"/>
      <c r="W2180" s="6"/>
    </row>
    <row r="2181" spans="1:23" x14ac:dyDescent="0.2">
      <c r="A2181" s="27"/>
      <c r="B2181" s="25"/>
      <c r="D2181" s="11"/>
      <c r="E2181" s="10"/>
      <c r="O2181" s="10"/>
      <c r="V2181" s="10"/>
      <c r="W2181" s="6"/>
    </row>
    <row r="2182" spans="1:23" x14ac:dyDescent="0.2">
      <c r="A2182" s="27"/>
      <c r="B2182" s="25"/>
      <c r="D2182" s="11"/>
      <c r="E2182" s="10"/>
      <c r="O2182" s="10"/>
      <c r="V2182" s="10"/>
      <c r="W2182" s="6"/>
    </row>
    <row r="2183" spans="1:23" x14ac:dyDescent="0.2">
      <c r="A2183" s="27"/>
      <c r="B2183" s="25"/>
      <c r="D2183" s="11"/>
      <c r="E2183" s="10"/>
      <c r="O2183" s="10"/>
      <c r="V2183" s="10"/>
      <c r="W2183" s="6"/>
    </row>
    <row r="2184" spans="1:23" x14ac:dyDescent="0.2">
      <c r="A2184" s="27"/>
      <c r="B2184" s="25"/>
      <c r="D2184" s="11"/>
      <c r="E2184" s="10"/>
      <c r="O2184" s="10"/>
      <c r="V2184" s="10"/>
      <c r="W2184" s="6"/>
    </row>
    <row r="2185" spans="1:23" x14ac:dyDescent="0.2">
      <c r="A2185" s="27"/>
      <c r="B2185" s="25"/>
      <c r="D2185" s="11"/>
      <c r="E2185" s="10"/>
      <c r="O2185" s="10"/>
      <c r="V2185" s="10"/>
      <c r="W2185" s="6"/>
    </row>
    <row r="2186" spans="1:23" x14ac:dyDescent="0.2">
      <c r="A2186" s="27"/>
      <c r="B2186" s="25"/>
      <c r="D2186" s="11"/>
      <c r="E2186" s="10"/>
      <c r="O2186" s="10"/>
      <c r="V2186" s="10"/>
      <c r="W2186" s="6"/>
    </row>
    <row r="2187" spans="1:23" x14ac:dyDescent="0.2">
      <c r="A2187" s="27"/>
      <c r="B2187" s="25"/>
      <c r="D2187" s="11"/>
      <c r="E2187" s="10"/>
      <c r="O2187" s="10"/>
      <c r="V2187" s="10"/>
      <c r="W2187" s="6"/>
    </row>
    <row r="2188" spans="1:23" x14ac:dyDescent="0.2">
      <c r="A2188" s="27"/>
      <c r="B2188" s="25"/>
      <c r="D2188" s="11"/>
      <c r="E2188" s="10"/>
      <c r="O2188" s="10"/>
      <c r="V2188" s="10"/>
      <c r="W2188" s="6"/>
    </row>
    <row r="2189" spans="1:23" x14ac:dyDescent="0.2">
      <c r="A2189" s="27"/>
      <c r="B2189" s="25"/>
      <c r="D2189" s="11"/>
      <c r="E2189" s="10"/>
      <c r="O2189" s="10"/>
      <c r="V2189" s="10"/>
      <c r="W2189" s="6"/>
    </row>
    <row r="2190" spans="1:23" x14ac:dyDescent="0.2">
      <c r="A2190" s="27"/>
      <c r="B2190" s="25"/>
      <c r="D2190" s="11"/>
      <c r="E2190" s="10"/>
      <c r="O2190" s="10"/>
      <c r="V2190" s="10"/>
      <c r="W2190" s="6"/>
    </row>
    <row r="2191" spans="1:23" x14ac:dyDescent="0.2">
      <c r="A2191" s="27"/>
      <c r="B2191" s="25"/>
      <c r="D2191" s="11"/>
      <c r="E2191" s="10"/>
      <c r="O2191" s="10"/>
      <c r="V2191" s="10"/>
      <c r="W2191" s="6"/>
    </row>
    <row r="2192" spans="1:23" x14ac:dyDescent="0.2">
      <c r="A2192" s="27"/>
      <c r="B2192" s="25"/>
      <c r="D2192" s="11"/>
      <c r="E2192" s="10"/>
      <c r="O2192" s="10"/>
      <c r="V2192" s="10"/>
      <c r="W2192" s="6"/>
    </row>
    <row r="2193" spans="1:23" x14ac:dyDescent="0.2">
      <c r="A2193" s="27"/>
      <c r="B2193" s="25"/>
      <c r="D2193" s="11"/>
      <c r="E2193" s="10"/>
      <c r="O2193" s="10"/>
      <c r="V2193" s="10"/>
      <c r="W2193" s="6"/>
    </row>
    <row r="2194" spans="1:23" x14ac:dyDescent="0.2">
      <c r="A2194" s="27"/>
      <c r="B2194" s="25"/>
      <c r="D2194" s="11"/>
      <c r="E2194" s="10"/>
      <c r="O2194" s="10"/>
      <c r="V2194" s="10"/>
      <c r="W2194" s="6"/>
    </row>
    <row r="2195" spans="1:23" x14ac:dyDescent="0.2">
      <c r="A2195" s="27"/>
      <c r="B2195" s="1"/>
      <c r="D2195" s="11"/>
      <c r="E2195" s="10"/>
      <c r="O2195" s="10"/>
      <c r="V2195" s="10"/>
      <c r="W2195" s="6"/>
    </row>
    <row r="2196" spans="1:23" x14ac:dyDescent="0.2">
      <c r="A2196" s="27"/>
      <c r="B2196" s="1"/>
      <c r="D2196" s="11"/>
      <c r="E2196" s="10"/>
      <c r="O2196" s="10"/>
      <c r="V2196" s="10"/>
      <c r="W2196" s="6"/>
    </row>
    <row r="2197" spans="1:23" x14ac:dyDescent="0.2">
      <c r="A2197" s="27"/>
      <c r="B2197" s="1"/>
      <c r="D2197" s="11"/>
      <c r="E2197" s="10"/>
      <c r="O2197" s="10"/>
      <c r="V2197" s="10"/>
      <c r="W2197" s="6"/>
    </row>
    <row r="2198" spans="1:23" x14ac:dyDescent="0.2">
      <c r="A2198" s="27"/>
      <c r="B2198" s="25"/>
      <c r="D2198" s="11"/>
      <c r="E2198" s="10"/>
      <c r="O2198" s="10"/>
      <c r="V2198" s="10"/>
      <c r="W2198" s="6"/>
    </row>
    <row r="2199" spans="1:23" x14ac:dyDescent="0.2">
      <c r="A2199" s="27"/>
      <c r="B2199" s="25"/>
      <c r="D2199" s="11"/>
      <c r="E2199" s="10"/>
      <c r="O2199" s="10"/>
      <c r="V2199" s="10"/>
      <c r="W2199" s="6"/>
    </row>
    <row r="2200" spans="1:23" x14ac:dyDescent="0.2">
      <c r="A2200" s="27"/>
      <c r="B2200" s="25"/>
      <c r="D2200" s="11"/>
      <c r="E2200" s="10"/>
      <c r="O2200" s="10"/>
      <c r="V2200" s="10"/>
      <c r="W2200" s="6"/>
    </row>
    <row r="2201" spans="1:23" x14ac:dyDescent="0.2">
      <c r="A2201" s="27"/>
      <c r="B2201" s="25"/>
      <c r="D2201" s="11"/>
      <c r="E2201" s="10"/>
      <c r="O2201" s="10"/>
      <c r="V2201" s="10"/>
      <c r="W2201" s="6"/>
    </row>
    <row r="2202" spans="1:23" x14ac:dyDescent="0.2">
      <c r="A2202" s="27"/>
      <c r="B2202" s="25"/>
      <c r="D2202" s="11"/>
      <c r="E2202" s="10"/>
      <c r="O2202" s="10"/>
      <c r="V2202" s="10"/>
      <c r="W2202" s="6"/>
    </row>
    <row r="2203" spans="1:23" x14ac:dyDescent="0.2">
      <c r="A2203" s="27"/>
      <c r="B2203" s="25"/>
      <c r="D2203" s="11"/>
      <c r="E2203" s="10"/>
      <c r="O2203" s="10"/>
      <c r="V2203" s="10"/>
      <c r="W2203" s="6"/>
    </row>
    <row r="2204" spans="1:23" x14ac:dyDescent="0.2">
      <c r="A2204" s="27"/>
      <c r="B2204" s="25"/>
      <c r="D2204" s="11"/>
      <c r="E2204" s="10"/>
      <c r="O2204" s="10"/>
      <c r="V2204" s="10"/>
      <c r="W2204" s="6"/>
    </row>
    <row r="2205" spans="1:23" x14ac:dyDescent="0.2">
      <c r="A2205" s="27"/>
      <c r="B2205" s="25"/>
      <c r="D2205" s="11"/>
      <c r="E2205" s="10"/>
      <c r="O2205" s="10"/>
      <c r="V2205" s="10"/>
      <c r="W2205" s="6"/>
    </row>
    <row r="2206" spans="1:23" x14ac:dyDescent="0.2">
      <c r="A2206" s="27"/>
      <c r="B2206" s="25"/>
      <c r="D2206" s="11"/>
      <c r="E2206" s="10"/>
      <c r="O2206" s="10"/>
      <c r="V2206" s="10"/>
      <c r="W2206" s="6"/>
    </row>
    <row r="2207" spans="1:23" x14ac:dyDescent="0.2">
      <c r="A2207" s="27"/>
      <c r="B2207" s="25"/>
      <c r="D2207" s="11"/>
      <c r="E2207" s="10"/>
      <c r="O2207" s="10"/>
      <c r="V2207" s="10"/>
      <c r="W2207" s="6"/>
    </row>
    <row r="2208" spans="1:23" x14ac:dyDescent="0.2">
      <c r="A2208" s="27"/>
      <c r="B2208" s="25"/>
      <c r="D2208" s="11"/>
      <c r="E2208" s="10"/>
      <c r="O2208" s="10"/>
      <c r="V2208" s="10"/>
      <c r="W2208" s="6"/>
    </row>
    <row r="2209" spans="1:23" x14ac:dyDescent="0.2">
      <c r="A2209" s="27"/>
      <c r="B2209" s="25"/>
      <c r="D2209" s="11"/>
      <c r="E2209" s="10"/>
      <c r="O2209" s="10"/>
      <c r="V2209" s="10"/>
      <c r="W2209" s="6"/>
    </row>
    <row r="2210" spans="1:23" x14ac:dyDescent="0.2">
      <c r="A2210" s="27"/>
      <c r="B2210" s="25"/>
      <c r="D2210" s="11"/>
      <c r="E2210" s="10"/>
      <c r="O2210" s="10"/>
      <c r="V2210" s="10"/>
      <c r="W2210" s="6"/>
    </row>
    <row r="2211" spans="1:23" x14ac:dyDescent="0.2">
      <c r="A2211" s="27"/>
      <c r="B2211" s="25"/>
      <c r="D2211" s="11"/>
      <c r="E2211" s="10"/>
      <c r="O2211" s="10"/>
      <c r="V2211" s="10"/>
      <c r="W2211" s="6"/>
    </row>
    <row r="2212" spans="1:23" x14ac:dyDescent="0.2">
      <c r="A2212" s="27"/>
      <c r="B2212" s="25"/>
      <c r="D2212" s="11"/>
      <c r="E2212" s="10"/>
      <c r="O2212" s="10"/>
      <c r="V2212" s="10"/>
      <c r="W2212" s="6"/>
    </row>
    <row r="2213" spans="1:23" x14ac:dyDescent="0.2">
      <c r="A2213" s="27"/>
      <c r="B2213" s="1"/>
      <c r="D2213" s="11"/>
      <c r="E2213" s="10"/>
      <c r="O2213" s="10"/>
      <c r="V2213" s="10"/>
      <c r="W2213" s="6"/>
    </row>
    <row r="2214" spans="1:23" x14ac:dyDescent="0.2">
      <c r="A2214" s="27"/>
      <c r="B2214" s="25"/>
      <c r="D2214" s="11"/>
      <c r="E2214" s="10"/>
      <c r="O2214" s="10"/>
      <c r="V2214" s="10"/>
      <c r="W2214" s="6"/>
    </row>
    <row r="2215" spans="1:23" x14ac:dyDescent="0.2">
      <c r="A2215" s="27"/>
      <c r="B2215" s="25"/>
      <c r="D2215" s="11"/>
      <c r="E2215" s="10"/>
      <c r="O2215" s="10"/>
      <c r="V2215" s="10"/>
      <c r="W2215" s="6"/>
    </row>
    <row r="2216" spans="1:23" x14ac:dyDescent="0.2">
      <c r="A2216" s="27"/>
      <c r="B2216" s="25"/>
      <c r="D2216" s="11"/>
      <c r="E2216" s="10"/>
      <c r="O2216" s="10"/>
      <c r="V2216" s="10"/>
      <c r="W2216" s="6"/>
    </row>
    <row r="2217" spans="1:23" x14ac:dyDescent="0.2">
      <c r="A2217" s="27"/>
      <c r="B2217" s="25"/>
      <c r="D2217" s="11"/>
      <c r="E2217" s="10"/>
      <c r="O2217" s="10"/>
      <c r="V2217" s="10"/>
      <c r="W2217" s="6"/>
    </row>
    <row r="2218" spans="1:23" x14ac:dyDescent="0.2">
      <c r="A2218" s="27"/>
      <c r="B2218" s="25"/>
      <c r="D2218" s="11"/>
      <c r="E2218" s="10"/>
      <c r="O2218" s="10"/>
      <c r="V2218" s="10"/>
      <c r="W2218" s="6"/>
    </row>
    <row r="2219" spans="1:23" x14ac:dyDescent="0.2">
      <c r="A2219" s="27"/>
      <c r="B2219" s="25"/>
      <c r="D2219" s="11"/>
      <c r="E2219" s="10"/>
      <c r="O2219" s="10"/>
      <c r="V2219" s="10"/>
      <c r="W2219" s="6"/>
    </row>
    <row r="2220" spans="1:23" x14ac:dyDescent="0.2">
      <c r="A2220" s="27"/>
      <c r="B2220" s="25"/>
      <c r="D2220" s="11"/>
      <c r="E2220" s="10"/>
      <c r="O2220" s="10"/>
      <c r="V2220" s="10"/>
      <c r="W2220" s="6"/>
    </row>
    <row r="2221" spans="1:23" x14ac:dyDescent="0.2">
      <c r="A2221" s="27"/>
      <c r="B2221" s="25"/>
      <c r="D2221" s="11"/>
      <c r="E2221" s="10"/>
      <c r="O2221" s="10"/>
      <c r="V2221" s="10"/>
      <c r="W2221" s="6"/>
    </row>
    <row r="2222" spans="1:23" x14ac:dyDescent="0.2">
      <c r="A2222" s="27"/>
      <c r="B2222" s="25"/>
      <c r="D2222" s="11"/>
      <c r="E2222" s="10"/>
      <c r="O2222" s="10"/>
      <c r="V2222" s="10"/>
      <c r="W2222" s="6"/>
    </row>
    <row r="2223" spans="1:23" x14ac:dyDescent="0.2">
      <c r="A2223" s="27"/>
      <c r="B2223" s="1"/>
      <c r="D2223" s="11"/>
      <c r="E2223" s="10"/>
      <c r="O2223" s="10"/>
      <c r="V2223" s="10"/>
      <c r="W2223" s="6"/>
    </row>
    <row r="2224" spans="1:23" x14ac:dyDescent="0.2">
      <c r="A2224" s="27"/>
      <c r="B2224" s="1"/>
      <c r="D2224" s="11"/>
      <c r="E2224" s="10"/>
      <c r="O2224" s="10"/>
      <c r="V2224" s="10"/>
      <c r="W2224" s="6"/>
    </row>
    <row r="2225" spans="1:23" x14ac:dyDescent="0.2">
      <c r="A2225" s="27"/>
      <c r="B2225" s="1"/>
      <c r="D2225" s="11"/>
      <c r="E2225" s="10"/>
      <c r="O2225" s="10"/>
      <c r="V2225" s="10"/>
      <c r="W2225" s="6"/>
    </row>
    <row r="2226" spans="1:23" x14ac:dyDescent="0.2">
      <c r="A2226" s="27"/>
      <c r="B2226" s="25"/>
      <c r="D2226" s="11"/>
      <c r="E2226" s="10"/>
      <c r="O2226" s="10"/>
      <c r="V2226" s="10"/>
      <c r="W2226" s="6"/>
    </row>
    <row r="2227" spans="1:23" x14ac:dyDescent="0.2">
      <c r="A2227" s="27"/>
      <c r="B2227" s="25"/>
      <c r="D2227" s="11"/>
      <c r="E2227" s="10"/>
      <c r="O2227" s="10"/>
      <c r="V2227" s="10"/>
      <c r="W2227" s="6"/>
    </row>
    <row r="2228" spans="1:23" x14ac:dyDescent="0.2">
      <c r="A2228" s="27"/>
      <c r="B2228" s="1"/>
      <c r="D2228" s="11"/>
      <c r="E2228" s="10"/>
      <c r="O2228" s="10"/>
      <c r="V2228" s="10"/>
      <c r="W2228" s="6"/>
    </row>
    <row r="2229" spans="1:23" x14ac:dyDescent="0.2">
      <c r="A2229" s="27"/>
      <c r="B2229" s="25"/>
      <c r="D2229" s="11"/>
      <c r="E2229" s="10"/>
      <c r="O2229" s="10"/>
      <c r="V2229" s="10"/>
      <c r="W2229" s="6"/>
    </row>
    <row r="2230" spans="1:23" x14ac:dyDescent="0.2">
      <c r="A2230" s="27"/>
      <c r="B2230" s="25"/>
      <c r="D2230" s="11"/>
      <c r="E2230" s="10"/>
      <c r="O2230" s="10"/>
      <c r="V2230" s="10"/>
      <c r="W2230" s="6"/>
    </row>
    <row r="2231" spans="1:23" x14ac:dyDescent="0.2">
      <c r="A2231" s="27"/>
      <c r="B2231" s="25"/>
      <c r="D2231" s="11"/>
      <c r="E2231" s="10"/>
      <c r="O2231" s="10"/>
      <c r="V2231" s="10"/>
      <c r="W2231" s="6"/>
    </row>
    <row r="2232" spans="1:23" x14ac:dyDescent="0.2">
      <c r="A2232" s="27"/>
      <c r="B2232" s="25"/>
      <c r="D2232" s="11"/>
      <c r="E2232" s="10"/>
      <c r="O2232" s="10"/>
      <c r="V2232" s="10"/>
      <c r="W2232" s="6"/>
    </row>
    <row r="2233" spans="1:23" x14ac:dyDescent="0.2">
      <c r="A2233" s="27"/>
      <c r="B2233" s="25"/>
      <c r="D2233" s="11"/>
      <c r="E2233" s="10"/>
      <c r="O2233" s="10"/>
      <c r="V2233" s="10"/>
      <c r="W2233" s="6"/>
    </row>
    <row r="2234" spans="1:23" x14ac:dyDescent="0.2">
      <c r="A2234" s="27"/>
      <c r="B2234" s="25"/>
      <c r="D2234" s="11"/>
      <c r="E2234" s="10"/>
      <c r="O2234" s="10"/>
      <c r="V2234" s="10"/>
      <c r="W2234" s="6"/>
    </row>
    <row r="2235" spans="1:23" x14ac:dyDescent="0.2">
      <c r="A2235" s="27"/>
      <c r="B2235" s="25"/>
      <c r="D2235" s="11"/>
      <c r="E2235" s="10"/>
      <c r="O2235" s="10"/>
      <c r="V2235" s="10"/>
      <c r="W2235" s="6"/>
    </row>
    <row r="2236" spans="1:23" x14ac:dyDescent="0.2">
      <c r="A2236" s="27"/>
      <c r="B2236" s="25"/>
      <c r="D2236" s="11"/>
      <c r="E2236" s="10"/>
      <c r="O2236" s="10"/>
      <c r="V2236" s="10"/>
      <c r="W2236" s="6"/>
    </row>
    <row r="2237" spans="1:23" x14ac:dyDescent="0.2">
      <c r="A2237" s="27"/>
      <c r="B2237" s="25"/>
      <c r="D2237" s="11"/>
      <c r="E2237" s="10"/>
      <c r="O2237" s="10"/>
      <c r="V2237" s="10"/>
      <c r="W2237" s="6"/>
    </row>
    <row r="2238" spans="1:23" x14ac:dyDescent="0.2">
      <c r="A2238" s="27"/>
      <c r="B2238" s="25"/>
      <c r="D2238" s="11"/>
      <c r="E2238" s="10"/>
      <c r="O2238" s="10"/>
      <c r="V2238" s="10"/>
      <c r="W2238" s="6"/>
    </row>
    <row r="2239" spans="1:23" x14ac:dyDescent="0.2">
      <c r="A2239" s="27"/>
      <c r="B2239" s="25"/>
      <c r="D2239" s="11"/>
      <c r="E2239" s="10"/>
      <c r="O2239" s="10"/>
      <c r="V2239" s="10"/>
      <c r="W2239" s="6"/>
    </row>
    <row r="2240" spans="1:23" x14ac:dyDescent="0.2">
      <c r="A2240" s="27"/>
      <c r="B2240" s="25"/>
      <c r="D2240" s="11"/>
      <c r="E2240" s="10"/>
      <c r="O2240" s="10"/>
      <c r="V2240" s="10"/>
      <c r="W2240" s="6"/>
    </row>
    <row r="2241" spans="1:23" x14ac:dyDescent="0.2">
      <c r="A2241" s="27"/>
      <c r="B2241" s="1"/>
      <c r="D2241" s="11"/>
      <c r="E2241" s="10"/>
      <c r="O2241" s="10"/>
      <c r="V2241" s="10"/>
      <c r="W2241" s="6"/>
    </row>
    <row r="2242" spans="1:23" x14ac:dyDescent="0.2">
      <c r="A2242" s="27"/>
      <c r="B2242" s="25"/>
      <c r="D2242" s="11"/>
      <c r="E2242" s="10"/>
      <c r="O2242" s="10"/>
      <c r="V2242" s="10"/>
      <c r="W2242" s="6"/>
    </row>
    <row r="2243" spans="1:23" x14ac:dyDescent="0.2">
      <c r="A2243" s="27"/>
      <c r="B2243" s="25"/>
      <c r="D2243" s="11"/>
      <c r="E2243" s="10"/>
      <c r="O2243" s="10"/>
      <c r="V2243" s="10"/>
      <c r="W2243" s="6"/>
    </row>
    <row r="2244" spans="1:23" x14ac:dyDescent="0.2">
      <c r="A2244" s="27"/>
      <c r="B2244" s="25"/>
      <c r="D2244" s="11"/>
      <c r="E2244" s="10"/>
      <c r="O2244" s="10"/>
      <c r="V2244" s="10"/>
      <c r="W2244" s="6"/>
    </row>
    <row r="2245" spans="1:23" x14ac:dyDescent="0.2">
      <c r="A2245" s="27"/>
      <c r="B2245" s="1"/>
      <c r="D2245" s="11"/>
      <c r="E2245" s="10"/>
      <c r="O2245" s="10"/>
      <c r="V2245" s="10"/>
      <c r="W2245" s="6"/>
    </row>
    <row r="2246" spans="1:23" x14ac:dyDescent="0.2">
      <c r="A2246" s="27"/>
      <c r="B2246" s="25"/>
      <c r="D2246" s="11"/>
      <c r="E2246" s="10"/>
      <c r="O2246" s="10"/>
      <c r="V2246" s="10"/>
      <c r="W2246" s="6"/>
    </row>
    <row r="2247" spans="1:23" x14ac:dyDescent="0.2">
      <c r="A2247" s="27"/>
      <c r="B2247" s="25"/>
      <c r="D2247" s="11"/>
      <c r="E2247" s="10"/>
      <c r="O2247" s="10"/>
      <c r="V2247" s="10"/>
      <c r="W2247" s="6"/>
    </row>
    <row r="2248" spans="1:23" x14ac:dyDescent="0.2">
      <c r="A2248" s="27"/>
      <c r="B2248" s="1"/>
      <c r="D2248" s="11"/>
      <c r="E2248" s="10"/>
      <c r="O2248" s="10"/>
      <c r="V2248" s="10"/>
      <c r="W2248" s="6"/>
    </row>
    <row r="2249" spans="1:23" x14ac:dyDescent="0.2">
      <c r="A2249" s="27"/>
      <c r="B2249" s="25"/>
      <c r="D2249" s="11"/>
      <c r="E2249" s="10"/>
      <c r="O2249" s="10"/>
      <c r="V2249" s="10"/>
      <c r="W2249" s="6"/>
    </row>
    <row r="2250" spans="1:23" x14ac:dyDescent="0.2">
      <c r="A2250" s="27"/>
      <c r="B2250" s="25"/>
      <c r="D2250" s="11"/>
      <c r="E2250" s="10"/>
      <c r="O2250" s="10"/>
      <c r="V2250" s="10"/>
      <c r="W2250" s="6"/>
    </row>
    <row r="2251" spans="1:23" x14ac:dyDescent="0.2">
      <c r="A2251" s="27"/>
      <c r="B2251" s="25"/>
      <c r="D2251" s="11"/>
      <c r="E2251" s="10"/>
      <c r="O2251" s="10"/>
      <c r="V2251" s="10"/>
      <c r="W2251" s="6"/>
    </row>
    <row r="2252" spans="1:23" x14ac:dyDescent="0.2">
      <c r="A2252" s="27"/>
      <c r="B2252" s="25"/>
      <c r="D2252" s="11"/>
      <c r="E2252" s="10"/>
      <c r="O2252" s="10"/>
      <c r="V2252" s="10"/>
      <c r="W2252" s="6"/>
    </row>
    <row r="2253" spans="1:23" x14ac:dyDescent="0.2">
      <c r="A2253" s="27"/>
      <c r="B2253" s="1"/>
      <c r="D2253" s="11"/>
      <c r="E2253" s="10"/>
      <c r="O2253" s="10"/>
      <c r="V2253" s="10"/>
      <c r="W2253" s="6"/>
    </row>
    <row r="2254" spans="1:23" x14ac:dyDescent="0.2">
      <c r="A2254" s="27"/>
      <c r="B2254" s="25"/>
      <c r="D2254" s="11"/>
      <c r="E2254" s="10"/>
      <c r="O2254" s="10"/>
      <c r="V2254" s="10"/>
      <c r="W2254" s="6"/>
    </row>
    <row r="2255" spans="1:23" x14ac:dyDescent="0.2">
      <c r="A2255" s="27"/>
      <c r="B2255" s="25"/>
      <c r="D2255" s="11"/>
      <c r="E2255" s="10"/>
      <c r="O2255" s="10"/>
      <c r="V2255" s="10"/>
      <c r="W2255" s="6"/>
    </row>
    <row r="2256" spans="1:23" x14ac:dyDescent="0.2">
      <c r="A2256" s="27"/>
      <c r="B2256" s="25"/>
      <c r="D2256" s="11"/>
      <c r="E2256" s="10"/>
      <c r="O2256" s="10"/>
      <c r="V2256" s="10"/>
      <c r="W2256" s="6"/>
    </row>
    <row r="2257" spans="1:23" x14ac:dyDescent="0.2">
      <c r="A2257" s="27"/>
      <c r="B2257" s="25"/>
      <c r="D2257" s="11"/>
      <c r="E2257" s="10"/>
      <c r="O2257" s="10"/>
      <c r="V2257" s="10"/>
      <c r="W2257" s="6"/>
    </row>
    <row r="2258" spans="1:23" x14ac:dyDescent="0.2">
      <c r="A2258" s="27"/>
      <c r="B2258" s="25"/>
      <c r="D2258" s="11"/>
      <c r="E2258" s="10"/>
      <c r="O2258" s="10"/>
      <c r="V2258" s="10"/>
      <c r="W2258" s="6"/>
    </row>
    <row r="2259" spans="1:23" x14ac:dyDescent="0.2">
      <c r="A2259" s="27"/>
      <c r="B2259" s="25"/>
      <c r="D2259" s="11"/>
      <c r="E2259" s="10"/>
      <c r="O2259" s="10"/>
      <c r="V2259" s="10"/>
      <c r="W2259" s="6"/>
    </row>
    <row r="2260" spans="1:23" x14ac:dyDescent="0.2">
      <c r="A2260" s="27"/>
      <c r="B2260" s="25"/>
      <c r="D2260" s="11"/>
      <c r="E2260" s="10"/>
      <c r="O2260" s="10"/>
      <c r="V2260" s="10"/>
      <c r="W2260" s="6"/>
    </row>
    <row r="2261" spans="1:23" x14ac:dyDescent="0.2">
      <c r="A2261" s="27"/>
      <c r="B2261" s="25"/>
      <c r="D2261" s="11"/>
      <c r="E2261" s="10"/>
      <c r="O2261" s="10"/>
      <c r="V2261" s="10"/>
      <c r="W2261" s="6"/>
    </row>
    <row r="2262" spans="1:23" x14ac:dyDescent="0.2">
      <c r="A2262" s="27"/>
      <c r="B2262" s="25"/>
      <c r="D2262" s="11"/>
      <c r="E2262" s="10"/>
      <c r="O2262" s="10"/>
      <c r="V2262" s="10"/>
      <c r="W2262" s="6"/>
    </row>
    <row r="2263" spans="1:23" x14ac:dyDescent="0.2">
      <c r="A2263" s="27"/>
      <c r="B2263" s="25"/>
      <c r="D2263" s="11"/>
      <c r="E2263" s="10"/>
      <c r="O2263" s="10"/>
      <c r="V2263" s="10"/>
      <c r="W2263" s="6"/>
    </row>
    <row r="2264" spans="1:23" x14ac:dyDescent="0.2">
      <c r="A2264" s="27"/>
      <c r="B2264" s="25"/>
      <c r="D2264" s="11"/>
      <c r="E2264" s="10"/>
      <c r="O2264" s="10"/>
      <c r="V2264" s="10"/>
      <c r="W2264" s="6"/>
    </row>
    <row r="2265" spans="1:23" x14ac:dyDescent="0.2">
      <c r="A2265" s="27"/>
      <c r="B2265" s="25"/>
      <c r="D2265" s="11"/>
      <c r="E2265" s="10"/>
      <c r="O2265" s="10"/>
      <c r="V2265" s="10"/>
      <c r="W2265" s="6"/>
    </row>
    <row r="2266" spans="1:23" x14ac:dyDescent="0.2">
      <c r="A2266" s="27"/>
      <c r="B2266" s="25"/>
      <c r="D2266" s="11"/>
      <c r="E2266" s="10"/>
      <c r="O2266" s="10"/>
      <c r="V2266" s="10"/>
      <c r="W2266" s="6"/>
    </row>
    <row r="2267" spans="1:23" x14ac:dyDescent="0.2">
      <c r="A2267" s="27"/>
      <c r="B2267" s="25"/>
      <c r="D2267" s="11"/>
      <c r="E2267" s="10"/>
      <c r="O2267" s="10"/>
      <c r="V2267" s="10"/>
      <c r="W2267" s="6"/>
    </row>
    <row r="2268" spans="1:23" x14ac:dyDescent="0.2">
      <c r="A2268" s="27"/>
      <c r="B2268" s="1"/>
      <c r="D2268" s="11"/>
      <c r="E2268" s="10"/>
      <c r="O2268" s="10"/>
      <c r="V2268" s="10"/>
      <c r="W2268" s="6"/>
    </row>
    <row r="2269" spans="1:23" x14ac:dyDescent="0.2">
      <c r="A2269" s="27"/>
      <c r="B2269" s="1"/>
      <c r="D2269" s="11"/>
      <c r="E2269" s="10"/>
      <c r="O2269" s="10"/>
      <c r="V2269" s="10"/>
      <c r="W2269" s="6"/>
    </row>
    <row r="2270" spans="1:23" x14ac:dyDescent="0.2">
      <c r="A2270" s="27"/>
      <c r="B2270" s="1"/>
      <c r="D2270" s="11"/>
      <c r="E2270" s="10"/>
      <c r="O2270" s="10"/>
      <c r="V2270" s="10"/>
      <c r="W2270" s="6"/>
    </row>
    <row r="2271" spans="1:23" x14ac:dyDescent="0.2">
      <c r="A2271" s="27"/>
      <c r="B2271" s="1"/>
      <c r="D2271" s="11"/>
      <c r="E2271" s="10"/>
      <c r="O2271" s="10"/>
      <c r="V2271" s="10"/>
      <c r="W2271" s="6"/>
    </row>
    <row r="2272" spans="1:23" x14ac:dyDescent="0.2">
      <c r="A2272" s="27"/>
      <c r="B2272" s="1"/>
      <c r="D2272" s="11"/>
      <c r="E2272" s="10"/>
      <c r="O2272" s="10"/>
      <c r="V2272" s="10"/>
      <c r="W2272" s="6"/>
    </row>
    <row r="2273" spans="1:23" x14ac:dyDescent="0.2">
      <c r="A2273" s="27"/>
      <c r="B2273" s="1"/>
      <c r="D2273" s="11"/>
      <c r="E2273" s="10"/>
      <c r="O2273" s="10"/>
      <c r="V2273" s="10"/>
      <c r="W2273" s="6"/>
    </row>
    <row r="2274" spans="1:23" x14ac:dyDescent="0.2">
      <c r="A2274" s="27"/>
      <c r="B2274" s="1"/>
      <c r="D2274" s="11"/>
      <c r="E2274" s="10"/>
      <c r="O2274" s="10"/>
      <c r="V2274" s="10"/>
      <c r="W2274" s="6"/>
    </row>
    <row r="2275" spans="1:23" x14ac:dyDescent="0.2">
      <c r="A2275" s="27"/>
      <c r="B2275" s="1"/>
      <c r="D2275" s="11"/>
      <c r="E2275" s="10"/>
      <c r="O2275" s="10"/>
      <c r="V2275" s="10"/>
    </row>
    <row r="2276" spans="1:23" x14ac:dyDescent="0.2">
      <c r="A2276" s="27"/>
      <c r="B2276" s="1"/>
      <c r="D2276" s="11"/>
      <c r="E2276" s="10"/>
      <c r="O2276" s="10"/>
      <c r="V2276" s="10"/>
      <c r="W2276" s="6"/>
    </row>
    <row r="2277" spans="1:23" x14ac:dyDescent="0.2">
      <c r="A2277" s="27"/>
      <c r="B2277" s="1"/>
      <c r="D2277" s="11"/>
      <c r="E2277" s="10"/>
      <c r="O2277" s="10"/>
      <c r="V2277" s="10"/>
      <c r="W2277" s="6"/>
    </row>
    <row r="2278" spans="1:23" x14ac:dyDescent="0.2">
      <c r="A2278" s="27"/>
      <c r="B2278" s="1"/>
      <c r="D2278" s="11"/>
      <c r="E2278" s="10"/>
      <c r="O2278" s="10"/>
      <c r="V2278" s="10"/>
      <c r="W2278" s="6"/>
    </row>
    <row r="2279" spans="1:23" x14ac:dyDescent="0.2">
      <c r="A2279" s="27"/>
      <c r="B2279" s="1"/>
      <c r="D2279" s="11"/>
      <c r="E2279" s="10"/>
      <c r="O2279" s="10"/>
      <c r="V2279" s="10"/>
      <c r="W2279" s="6"/>
    </row>
    <row r="2280" spans="1:23" x14ac:dyDescent="0.2">
      <c r="A2280" s="27"/>
      <c r="B2280" s="1"/>
      <c r="D2280" s="11"/>
      <c r="E2280" s="10"/>
      <c r="O2280" s="10"/>
      <c r="V2280" s="10"/>
      <c r="W2280" s="6"/>
    </row>
    <row r="2281" spans="1:23" x14ac:dyDescent="0.2">
      <c r="A2281" s="27"/>
      <c r="B2281" s="1"/>
      <c r="D2281" s="11"/>
      <c r="E2281" s="10"/>
      <c r="O2281" s="10"/>
      <c r="V2281" s="10"/>
      <c r="W2281" s="6"/>
    </row>
    <row r="2282" spans="1:23" x14ac:dyDescent="0.2">
      <c r="A2282" s="27"/>
      <c r="B2282" s="1"/>
      <c r="D2282" s="11"/>
      <c r="E2282" s="10"/>
      <c r="O2282" s="10"/>
      <c r="V2282" s="10"/>
      <c r="W2282" s="6"/>
    </row>
    <row r="2283" spans="1:23" x14ac:dyDescent="0.2">
      <c r="A2283" s="27"/>
      <c r="B2283" s="1"/>
      <c r="D2283" s="11"/>
      <c r="E2283" s="10"/>
      <c r="O2283" s="10"/>
      <c r="V2283" s="10"/>
      <c r="W2283" s="6"/>
    </row>
    <row r="2284" spans="1:23" x14ac:dyDescent="0.2">
      <c r="A2284" s="27"/>
      <c r="B2284" s="1"/>
      <c r="D2284" s="11"/>
      <c r="E2284" s="10"/>
      <c r="O2284" s="10"/>
      <c r="V2284" s="10"/>
      <c r="W2284" s="6"/>
    </row>
    <row r="2285" spans="1:23" x14ac:dyDescent="0.2">
      <c r="A2285" s="27"/>
      <c r="B2285" s="1"/>
      <c r="D2285" s="11"/>
      <c r="E2285" s="10"/>
      <c r="O2285" s="10"/>
      <c r="V2285" s="10"/>
      <c r="W2285" s="6"/>
    </row>
    <row r="2286" spans="1:23" x14ac:dyDescent="0.2">
      <c r="A2286" s="27"/>
      <c r="B2286" s="1"/>
      <c r="D2286" s="11"/>
      <c r="E2286" s="10"/>
      <c r="O2286" s="10"/>
      <c r="V2286" s="10"/>
      <c r="W2286" s="6"/>
    </row>
    <row r="2287" spans="1:23" x14ac:dyDescent="0.2">
      <c r="A2287" s="27"/>
      <c r="B2287" s="1"/>
      <c r="D2287" s="11"/>
      <c r="E2287" s="10"/>
      <c r="O2287" s="10"/>
      <c r="V2287" s="10"/>
      <c r="W2287" s="6"/>
    </row>
    <row r="2288" spans="1:23" x14ac:dyDescent="0.2">
      <c r="A2288" s="27"/>
      <c r="B2288" s="1"/>
      <c r="D2288" s="11"/>
      <c r="E2288" s="10"/>
      <c r="O2288" s="10"/>
      <c r="V2288" s="10"/>
      <c r="W2288" s="6"/>
    </row>
    <row r="2289" spans="1:23" x14ac:dyDescent="0.2">
      <c r="A2289" s="27"/>
      <c r="B2289" s="1"/>
      <c r="D2289" s="11"/>
      <c r="E2289" s="10"/>
      <c r="O2289" s="10"/>
      <c r="V2289" s="10"/>
      <c r="W2289" s="6"/>
    </row>
    <row r="2290" spans="1:23" x14ac:dyDescent="0.2">
      <c r="A2290" s="27"/>
      <c r="B2290" s="1"/>
      <c r="D2290" s="11"/>
      <c r="E2290" s="10"/>
      <c r="O2290" s="10"/>
      <c r="V2290" s="10"/>
      <c r="W2290" s="6"/>
    </row>
    <row r="2291" spans="1:23" x14ac:dyDescent="0.2">
      <c r="A2291" s="27"/>
      <c r="B2291" s="1"/>
      <c r="D2291" s="11"/>
      <c r="E2291" s="10"/>
      <c r="O2291" s="10"/>
      <c r="V2291" s="10"/>
      <c r="W2291" s="6"/>
    </row>
    <row r="2292" spans="1:23" x14ac:dyDescent="0.2">
      <c r="A2292" s="27"/>
      <c r="B2292" s="1"/>
      <c r="D2292" s="11"/>
      <c r="E2292" s="10"/>
      <c r="O2292" s="10"/>
      <c r="V2292" s="10"/>
      <c r="W2292" s="6"/>
    </row>
    <row r="2293" spans="1:23" x14ac:dyDescent="0.2">
      <c r="A2293" s="27"/>
      <c r="B2293" s="1"/>
      <c r="D2293" s="11"/>
      <c r="E2293" s="10"/>
      <c r="O2293" s="10"/>
      <c r="V2293" s="10"/>
      <c r="W2293" s="6"/>
    </row>
    <row r="2294" spans="1:23" x14ac:dyDescent="0.2">
      <c r="A2294" s="27"/>
      <c r="B2294" s="1"/>
      <c r="D2294" s="11"/>
      <c r="E2294" s="10"/>
      <c r="O2294" s="10"/>
      <c r="V2294" s="10"/>
      <c r="W2294" s="6"/>
    </row>
    <row r="2295" spans="1:23" x14ac:dyDescent="0.2">
      <c r="A2295" s="27"/>
      <c r="B2295" s="1"/>
      <c r="D2295" s="11"/>
      <c r="E2295" s="10"/>
      <c r="O2295" s="10"/>
      <c r="V2295" s="10"/>
      <c r="W2295" s="6"/>
    </row>
    <row r="2296" spans="1:23" x14ac:dyDescent="0.2">
      <c r="A2296" s="27"/>
      <c r="B2296" s="1"/>
      <c r="D2296" s="11"/>
      <c r="E2296" s="10"/>
      <c r="O2296" s="10"/>
      <c r="V2296" s="10"/>
      <c r="W2296" s="6"/>
    </row>
    <row r="2297" spans="1:23" x14ac:dyDescent="0.2">
      <c r="A2297" s="27"/>
      <c r="B2297" s="1"/>
      <c r="D2297" s="11"/>
      <c r="E2297" s="10"/>
      <c r="O2297" s="10"/>
      <c r="V2297" s="10"/>
      <c r="W2297" s="6"/>
    </row>
    <row r="2298" spans="1:23" x14ac:dyDescent="0.2">
      <c r="A2298" s="27"/>
      <c r="B2298" s="1"/>
      <c r="D2298" s="11"/>
      <c r="E2298" s="10"/>
      <c r="O2298" s="10"/>
      <c r="V2298" s="10"/>
      <c r="W2298" s="6"/>
    </row>
    <row r="2299" spans="1:23" x14ac:dyDescent="0.2">
      <c r="A2299" s="27"/>
      <c r="B2299" s="1"/>
      <c r="D2299" s="11"/>
      <c r="E2299" s="10"/>
      <c r="O2299" s="10"/>
      <c r="V2299" s="10"/>
      <c r="W2299" s="6"/>
    </row>
    <row r="2300" spans="1:23" x14ac:dyDescent="0.2">
      <c r="A2300" s="27"/>
      <c r="B2300" s="1"/>
      <c r="D2300" s="11"/>
      <c r="E2300" s="10"/>
      <c r="O2300" s="10"/>
      <c r="V2300" s="10"/>
      <c r="W2300" s="6"/>
    </row>
    <row r="2301" spans="1:23" x14ac:dyDescent="0.2">
      <c r="A2301" s="27"/>
      <c r="B2301" s="1"/>
      <c r="D2301" s="11"/>
      <c r="E2301" s="10"/>
      <c r="O2301" s="10"/>
      <c r="V2301" s="10"/>
      <c r="W2301" s="6"/>
    </row>
    <row r="2302" spans="1:23" x14ac:dyDescent="0.2">
      <c r="A2302" s="27"/>
      <c r="B2302" s="1"/>
      <c r="D2302" s="11"/>
      <c r="E2302" s="10"/>
      <c r="O2302" s="10"/>
      <c r="V2302" s="10"/>
      <c r="W2302" s="6"/>
    </row>
    <row r="2303" spans="1:23" x14ac:dyDescent="0.2">
      <c r="A2303" s="27"/>
      <c r="B2303" s="1"/>
      <c r="D2303" s="11"/>
      <c r="E2303" s="10"/>
      <c r="O2303" s="10"/>
      <c r="V2303" s="10"/>
      <c r="W2303" s="6"/>
    </row>
    <row r="2304" spans="1:23" x14ac:dyDescent="0.2">
      <c r="A2304" s="27"/>
      <c r="B2304" s="1"/>
      <c r="D2304" s="11"/>
      <c r="E2304" s="10"/>
      <c r="O2304" s="10"/>
      <c r="V2304" s="10"/>
      <c r="W2304" s="6"/>
    </row>
    <row r="2305" spans="1:23" x14ac:dyDescent="0.2">
      <c r="A2305" s="27"/>
      <c r="B2305" s="1"/>
      <c r="D2305" s="11"/>
      <c r="E2305" s="10"/>
      <c r="O2305" s="10"/>
      <c r="V2305" s="10"/>
      <c r="W2305" s="6"/>
    </row>
    <row r="2306" spans="1:23" x14ac:dyDescent="0.2">
      <c r="A2306" s="27"/>
      <c r="B2306" s="1"/>
      <c r="D2306" s="11"/>
      <c r="E2306" s="10"/>
      <c r="O2306" s="10"/>
      <c r="V2306" s="10"/>
      <c r="W2306" s="6"/>
    </row>
    <row r="2307" spans="1:23" x14ac:dyDescent="0.2">
      <c r="A2307" s="27"/>
      <c r="B2307" s="1"/>
      <c r="D2307" s="11"/>
      <c r="E2307" s="10"/>
      <c r="O2307" s="10"/>
      <c r="V2307" s="10"/>
      <c r="W2307" s="6"/>
    </row>
    <row r="2308" spans="1:23" x14ac:dyDescent="0.2">
      <c r="A2308" s="27"/>
      <c r="B2308" s="1"/>
      <c r="D2308" s="11"/>
      <c r="E2308" s="10"/>
      <c r="O2308" s="10"/>
      <c r="V2308" s="10"/>
      <c r="W2308" s="6"/>
    </row>
    <row r="2309" spans="1:23" x14ac:dyDescent="0.2">
      <c r="A2309" s="27"/>
      <c r="B2309" s="1"/>
      <c r="D2309" s="11"/>
      <c r="E2309" s="10"/>
      <c r="O2309" s="10"/>
      <c r="V2309" s="10"/>
      <c r="W2309" s="6"/>
    </row>
    <row r="2310" spans="1:23" x14ac:dyDescent="0.2">
      <c r="A2310" s="27"/>
      <c r="B2310" s="1"/>
      <c r="D2310" s="11"/>
      <c r="E2310" s="10"/>
      <c r="O2310" s="10"/>
      <c r="V2310" s="10"/>
      <c r="W2310" s="6"/>
    </row>
    <row r="2311" spans="1:23" x14ac:dyDescent="0.2">
      <c r="A2311" s="27"/>
      <c r="B2311" s="1"/>
      <c r="D2311" s="11"/>
      <c r="E2311" s="10"/>
      <c r="O2311" s="10"/>
      <c r="V2311" s="10"/>
      <c r="W2311" s="6"/>
    </row>
    <row r="2312" spans="1:23" x14ac:dyDescent="0.2">
      <c r="A2312" s="27"/>
      <c r="B2312" s="1"/>
      <c r="D2312" s="11"/>
      <c r="E2312" s="10"/>
      <c r="O2312" s="10"/>
      <c r="V2312" s="10"/>
      <c r="W2312" s="6"/>
    </row>
    <row r="2313" spans="1:23" x14ac:dyDescent="0.2">
      <c r="A2313" s="27"/>
      <c r="B2313" s="1"/>
      <c r="D2313" s="11"/>
      <c r="E2313" s="10"/>
      <c r="O2313" s="10"/>
      <c r="V2313" s="10"/>
      <c r="W2313" s="6"/>
    </row>
    <row r="2314" spans="1:23" x14ac:dyDescent="0.2">
      <c r="A2314" s="27"/>
      <c r="B2314" s="1"/>
      <c r="D2314" s="11"/>
      <c r="E2314" s="10"/>
      <c r="O2314" s="10"/>
      <c r="V2314" s="10"/>
      <c r="W2314" s="6"/>
    </row>
    <row r="2315" spans="1:23" x14ac:dyDescent="0.2">
      <c r="A2315" s="27"/>
      <c r="B2315" s="1"/>
      <c r="D2315" s="11"/>
      <c r="E2315" s="10"/>
      <c r="O2315" s="10"/>
      <c r="V2315" s="10"/>
      <c r="W2315" s="6"/>
    </row>
    <row r="2316" spans="1:23" x14ac:dyDescent="0.2">
      <c r="A2316" s="27"/>
      <c r="B2316" s="1"/>
      <c r="D2316" s="11"/>
      <c r="E2316" s="10"/>
      <c r="O2316" s="10"/>
      <c r="V2316" s="10"/>
      <c r="W2316" s="6"/>
    </row>
    <row r="2317" spans="1:23" x14ac:dyDescent="0.2">
      <c r="A2317" s="27"/>
      <c r="B2317" s="1"/>
      <c r="D2317" s="11"/>
      <c r="E2317" s="10"/>
      <c r="O2317" s="10"/>
      <c r="V2317" s="10"/>
      <c r="W2317" s="6"/>
    </row>
    <row r="2318" spans="1:23" x14ac:dyDescent="0.2">
      <c r="A2318" s="27"/>
      <c r="B2318" s="1"/>
      <c r="D2318" s="11"/>
      <c r="E2318" s="10"/>
      <c r="O2318" s="10"/>
      <c r="V2318" s="10"/>
      <c r="W2318" s="6"/>
    </row>
    <row r="2319" spans="1:23" x14ac:dyDescent="0.2">
      <c r="A2319" s="27"/>
      <c r="B2319" s="1"/>
      <c r="D2319" s="11"/>
      <c r="E2319" s="10"/>
      <c r="O2319" s="10"/>
      <c r="V2319" s="10"/>
      <c r="W2319" s="6"/>
    </row>
    <row r="2320" spans="1:23" x14ac:dyDescent="0.2">
      <c r="A2320" s="27"/>
      <c r="B2320" s="1"/>
      <c r="D2320" s="11"/>
      <c r="E2320" s="10"/>
      <c r="O2320" s="10"/>
      <c r="V2320" s="10"/>
      <c r="W2320" s="6"/>
    </row>
    <row r="2321" spans="1:23" x14ac:dyDescent="0.2">
      <c r="A2321" s="27"/>
      <c r="B2321" s="1"/>
      <c r="D2321" s="11"/>
      <c r="E2321" s="10"/>
      <c r="O2321" s="10"/>
      <c r="V2321" s="10"/>
      <c r="W2321" s="6"/>
    </row>
    <row r="2322" spans="1:23" x14ac:dyDescent="0.2">
      <c r="A2322" s="27"/>
      <c r="B2322" s="1"/>
      <c r="D2322" s="11"/>
      <c r="E2322" s="10"/>
      <c r="O2322" s="10"/>
      <c r="V2322" s="10"/>
      <c r="W2322" s="6"/>
    </row>
    <row r="2323" spans="1:23" x14ac:dyDescent="0.2">
      <c r="A2323" s="27"/>
      <c r="B2323" s="1"/>
      <c r="D2323" s="11"/>
      <c r="E2323" s="10"/>
      <c r="O2323" s="10"/>
      <c r="V2323" s="10"/>
      <c r="W2323" s="6"/>
    </row>
    <row r="2324" spans="1:23" x14ac:dyDescent="0.2">
      <c r="A2324" s="27"/>
      <c r="B2324" s="1"/>
      <c r="D2324" s="11"/>
      <c r="E2324" s="10"/>
      <c r="O2324" s="10"/>
      <c r="V2324" s="10"/>
      <c r="W2324" s="6"/>
    </row>
    <row r="2325" spans="1:23" x14ac:dyDescent="0.2">
      <c r="A2325" s="27"/>
      <c r="B2325" s="1"/>
      <c r="D2325" s="11"/>
      <c r="E2325" s="10"/>
      <c r="O2325" s="10"/>
      <c r="V2325" s="10"/>
      <c r="W2325" s="6"/>
    </row>
    <row r="2326" spans="1:23" x14ac:dyDescent="0.2">
      <c r="A2326" s="27"/>
      <c r="B2326" s="1"/>
      <c r="D2326" s="11"/>
      <c r="E2326" s="10"/>
      <c r="O2326" s="10"/>
      <c r="V2326" s="10"/>
      <c r="W2326" s="6"/>
    </row>
    <row r="2327" spans="1:23" x14ac:dyDescent="0.2">
      <c r="A2327" s="27"/>
      <c r="B2327" s="1"/>
      <c r="D2327" s="11"/>
      <c r="E2327" s="10"/>
      <c r="O2327" s="10"/>
      <c r="V2327" s="10"/>
      <c r="W2327" s="6"/>
    </row>
    <row r="2328" spans="1:23" x14ac:dyDescent="0.2">
      <c r="A2328" s="27"/>
      <c r="B2328" s="1"/>
      <c r="D2328" s="11"/>
      <c r="E2328" s="10"/>
      <c r="O2328" s="10"/>
      <c r="V2328" s="10"/>
      <c r="W2328" s="6"/>
    </row>
    <row r="2329" spans="1:23" x14ac:dyDescent="0.2">
      <c r="A2329" s="27"/>
      <c r="B2329" s="1"/>
      <c r="D2329" s="11"/>
      <c r="E2329" s="10"/>
      <c r="O2329" s="10"/>
      <c r="V2329" s="10"/>
      <c r="W2329" s="6"/>
    </row>
    <row r="2330" spans="1:23" x14ac:dyDescent="0.2">
      <c r="A2330" s="27"/>
      <c r="B2330" s="1"/>
      <c r="D2330" s="11"/>
      <c r="E2330" s="10"/>
      <c r="O2330" s="10"/>
      <c r="V2330" s="10"/>
      <c r="W2330" s="6"/>
    </row>
    <row r="2331" spans="1:23" x14ac:dyDescent="0.2">
      <c r="A2331" s="27"/>
      <c r="B2331" s="1"/>
      <c r="D2331" s="11"/>
      <c r="E2331" s="10"/>
      <c r="O2331" s="10"/>
      <c r="V2331" s="10"/>
      <c r="W2331" s="6"/>
    </row>
    <row r="2332" spans="1:23" x14ac:dyDescent="0.2">
      <c r="A2332" s="27"/>
      <c r="B2332" s="1"/>
      <c r="D2332" s="11"/>
      <c r="E2332" s="10"/>
      <c r="O2332" s="10"/>
      <c r="V2332" s="10"/>
      <c r="W2332" s="6"/>
    </row>
    <row r="2333" spans="1:23" x14ac:dyDescent="0.2">
      <c r="A2333" s="27"/>
      <c r="B2333" s="1"/>
      <c r="D2333" s="11"/>
      <c r="E2333" s="10"/>
      <c r="O2333" s="10"/>
      <c r="V2333" s="10"/>
      <c r="W2333" s="6"/>
    </row>
    <row r="2334" spans="1:23" x14ac:dyDescent="0.2">
      <c r="A2334" s="27"/>
      <c r="B2334" s="1"/>
      <c r="D2334" s="11"/>
      <c r="E2334" s="10"/>
      <c r="O2334" s="10"/>
      <c r="V2334" s="10"/>
      <c r="W2334" s="6"/>
    </row>
    <row r="2335" spans="1:23" x14ac:dyDescent="0.2">
      <c r="A2335" s="27"/>
      <c r="B2335" s="1"/>
      <c r="D2335" s="11"/>
      <c r="E2335" s="10"/>
      <c r="O2335" s="10"/>
      <c r="V2335" s="10"/>
      <c r="W2335" s="6"/>
    </row>
    <row r="2336" spans="1:23" x14ac:dyDescent="0.2">
      <c r="A2336" s="27"/>
      <c r="B2336" s="1"/>
      <c r="D2336" s="11"/>
      <c r="E2336" s="10"/>
      <c r="O2336" s="10"/>
      <c r="V2336" s="10"/>
      <c r="W2336" s="6"/>
    </row>
    <row r="2337" spans="1:23" x14ac:dyDescent="0.2">
      <c r="A2337" s="27"/>
      <c r="B2337" s="1"/>
      <c r="D2337" s="11"/>
      <c r="E2337" s="10"/>
      <c r="O2337" s="10"/>
      <c r="V2337" s="10"/>
      <c r="W2337" s="6"/>
    </row>
    <row r="2338" spans="1:23" x14ac:dyDescent="0.2">
      <c r="A2338" s="27"/>
      <c r="B2338" s="1"/>
      <c r="D2338" s="11"/>
      <c r="E2338" s="10"/>
      <c r="O2338" s="10"/>
      <c r="V2338" s="10"/>
      <c r="W2338" s="6"/>
    </row>
    <row r="2339" spans="1:23" x14ac:dyDescent="0.2">
      <c r="A2339" s="27"/>
      <c r="B2339" s="1"/>
      <c r="D2339" s="11"/>
      <c r="E2339" s="10"/>
      <c r="O2339" s="10"/>
      <c r="V2339" s="10"/>
      <c r="W2339" s="6"/>
    </row>
    <row r="2340" spans="1:23" x14ac:dyDescent="0.2">
      <c r="A2340" s="27"/>
      <c r="B2340" s="1"/>
      <c r="D2340" s="11"/>
      <c r="E2340" s="10"/>
      <c r="O2340" s="10"/>
      <c r="V2340" s="10"/>
      <c r="W2340" s="6"/>
    </row>
    <row r="2341" spans="1:23" x14ac:dyDescent="0.2">
      <c r="A2341" s="27"/>
      <c r="B2341" s="1"/>
      <c r="D2341" s="11"/>
      <c r="E2341" s="10"/>
      <c r="O2341" s="10"/>
      <c r="V2341" s="10"/>
      <c r="W2341" s="6"/>
    </row>
    <row r="2342" spans="1:23" x14ac:dyDescent="0.2">
      <c r="A2342" s="27"/>
      <c r="B2342" s="1"/>
      <c r="D2342" s="11"/>
      <c r="E2342" s="10"/>
      <c r="O2342" s="10"/>
      <c r="V2342" s="10"/>
      <c r="W2342" s="6"/>
    </row>
    <row r="2343" spans="1:23" x14ac:dyDescent="0.2">
      <c r="A2343" s="27"/>
      <c r="B2343" s="1"/>
      <c r="D2343" s="11"/>
      <c r="E2343" s="10"/>
      <c r="O2343" s="10"/>
      <c r="V2343" s="10"/>
      <c r="W2343" s="6"/>
    </row>
    <row r="2344" spans="1:23" x14ac:dyDescent="0.2">
      <c r="A2344" s="27"/>
      <c r="B2344" s="1"/>
      <c r="D2344" s="11"/>
      <c r="E2344" s="10"/>
      <c r="O2344" s="10"/>
      <c r="V2344" s="10"/>
      <c r="W2344" s="6"/>
    </row>
    <row r="2345" spans="1:23" x14ac:dyDescent="0.2">
      <c r="A2345" s="27"/>
      <c r="B2345" s="1"/>
      <c r="D2345" s="11"/>
      <c r="E2345" s="10"/>
      <c r="O2345" s="10"/>
      <c r="V2345" s="10"/>
      <c r="W2345" s="6"/>
    </row>
    <row r="2346" spans="1:23" x14ac:dyDescent="0.2">
      <c r="A2346" s="27"/>
      <c r="B2346" s="1"/>
      <c r="D2346" s="11"/>
      <c r="E2346" s="10"/>
      <c r="O2346" s="10"/>
      <c r="V2346" s="10"/>
      <c r="W2346" s="6"/>
    </row>
    <row r="2347" spans="1:23" x14ac:dyDescent="0.2">
      <c r="A2347" s="27"/>
      <c r="B2347" s="1"/>
      <c r="D2347" s="11"/>
      <c r="E2347" s="10"/>
      <c r="O2347" s="10"/>
      <c r="V2347" s="10"/>
      <c r="W2347" s="6"/>
    </row>
    <row r="2348" spans="1:23" x14ac:dyDescent="0.2">
      <c r="A2348" s="27"/>
      <c r="B2348" s="1"/>
      <c r="D2348" s="11"/>
      <c r="E2348" s="10"/>
      <c r="O2348" s="10"/>
      <c r="V2348" s="10"/>
      <c r="W2348" s="6"/>
    </row>
    <row r="2349" spans="1:23" x14ac:dyDescent="0.2">
      <c r="A2349" s="27"/>
      <c r="B2349" s="1"/>
      <c r="D2349" s="11"/>
      <c r="E2349" s="10"/>
      <c r="O2349" s="10"/>
      <c r="V2349" s="10"/>
      <c r="W2349" s="6"/>
    </row>
    <row r="2350" spans="1:23" x14ac:dyDescent="0.2">
      <c r="A2350" s="27"/>
      <c r="B2350" s="1"/>
      <c r="D2350" s="11"/>
      <c r="E2350" s="10"/>
      <c r="O2350" s="10"/>
      <c r="V2350" s="10"/>
      <c r="W2350" s="6"/>
    </row>
    <row r="2351" spans="1:23" x14ac:dyDescent="0.2">
      <c r="A2351" s="27"/>
      <c r="B2351" s="1"/>
      <c r="D2351" s="11"/>
      <c r="E2351" s="10"/>
      <c r="O2351" s="10"/>
      <c r="V2351" s="10"/>
      <c r="W2351" s="6"/>
    </row>
    <row r="2352" spans="1:23" x14ac:dyDescent="0.2">
      <c r="A2352" s="27"/>
      <c r="B2352" s="1"/>
      <c r="D2352" s="11"/>
      <c r="E2352" s="10"/>
      <c r="O2352" s="10"/>
      <c r="V2352" s="10"/>
      <c r="W2352" s="6"/>
    </row>
    <row r="2353" spans="1:23" x14ac:dyDescent="0.2">
      <c r="A2353" s="27"/>
      <c r="B2353" s="1"/>
      <c r="D2353" s="11"/>
      <c r="E2353" s="10"/>
      <c r="O2353" s="10"/>
      <c r="V2353" s="10"/>
      <c r="W2353" s="6"/>
    </row>
    <row r="2354" spans="1:23" x14ac:dyDescent="0.2">
      <c r="A2354" s="27"/>
      <c r="B2354" s="1"/>
      <c r="D2354" s="11"/>
      <c r="E2354" s="10"/>
      <c r="O2354" s="10"/>
      <c r="V2354" s="10"/>
      <c r="W2354" s="6"/>
    </row>
    <row r="2355" spans="1:23" x14ac:dyDescent="0.2">
      <c r="A2355" s="27"/>
      <c r="B2355" s="1"/>
      <c r="D2355" s="11"/>
      <c r="E2355" s="10"/>
      <c r="O2355" s="10"/>
      <c r="V2355" s="10"/>
      <c r="W2355" s="6"/>
    </row>
    <row r="2356" spans="1:23" x14ac:dyDescent="0.2">
      <c r="A2356" s="27"/>
      <c r="B2356" s="1"/>
      <c r="D2356" s="11"/>
      <c r="E2356" s="10"/>
      <c r="O2356" s="10"/>
      <c r="V2356" s="10"/>
      <c r="W2356" s="6"/>
    </row>
    <row r="2357" spans="1:23" x14ac:dyDescent="0.2">
      <c r="A2357" s="27"/>
      <c r="B2357" s="1"/>
      <c r="D2357" s="11"/>
      <c r="E2357" s="10"/>
      <c r="O2357" s="10"/>
      <c r="V2357" s="10"/>
      <c r="W2357" s="6"/>
    </row>
    <row r="2358" spans="1:23" x14ac:dyDescent="0.2">
      <c r="A2358" s="27"/>
      <c r="B2358" s="1"/>
      <c r="D2358" s="11"/>
      <c r="E2358" s="10"/>
      <c r="O2358" s="10"/>
      <c r="V2358" s="10"/>
      <c r="W2358" s="6"/>
    </row>
    <row r="2359" spans="1:23" x14ac:dyDescent="0.2">
      <c r="A2359" s="27"/>
      <c r="B2359" s="1"/>
      <c r="D2359" s="11"/>
      <c r="E2359" s="10"/>
      <c r="O2359" s="10"/>
      <c r="V2359" s="10"/>
      <c r="W2359" s="6"/>
    </row>
    <row r="2360" spans="1:23" x14ac:dyDescent="0.2">
      <c r="A2360" s="27"/>
      <c r="B2360" s="1"/>
      <c r="D2360" s="11"/>
      <c r="E2360" s="10"/>
      <c r="O2360" s="10"/>
      <c r="V2360" s="10"/>
      <c r="W2360" s="6"/>
    </row>
    <row r="2361" spans="1:23" x14ac:dyDescent="0.2">
      <c r="A2361" s="27"/>
      <c r="B2361" s="1"/>
      <c r="D2361" s="11"/>
      <c r="E2361" s="10"/>
      <c r="O2361" s="10"/>
      <c r="V2361" s="10"/>
      <c r="W2361" s="6"/>
    </row>
    <row r="2362" spans="1:23" x14ac:dyDescent="0.2">
      <c r="A2362" s="27"/>
      <c r="B2362" s="1"/>
      <c r="D2362" s="11"/>
      <c r="E2362" s="10"/>
      <c r="O2362" s="10"/>
      <c r="V2362" s="10"/>
      <c r="W2362" s="6"/>
    </row>
    <row r="2363" spans="1:23" x14ac:dyDescent="0.2">
      <c r="A2363" s="27"/>
      <c r="B2363" s="1"/>
      <c r="D2363" s="11"/>
      <c r="E2363" s="10"/>
      <c r="O2363" s="10"/>
      <c r="V2363" s="10"/>
      <c r="W2363" s="6"/>
    </row>
    <row r="2364" spans="1:23" x14ac:dyDescent="0.2">
      <c r="A2364" s="27"/>
      <c r="B2364" s="25"/>
      <c r="E2364" s="10"/>
      <c r="O2364" s="10"/>
      <c r="V2364" s="10"/>
    </row>
    <row r="2365" spans="1:23" x14ac:dyDescent="0.2">
      <c r="A2365" s="27"/>
      <c r="B2365" s="25"/>
      <c r="E2365" s="10"/>
      <c r="O2365" s="10"/>
      <c r="V2365" s="10"/>
    </row>
    <row r="2366" spans="1:23" x14ac:dyDescent="0.2">
      <c r="A2366" s="27"/>
      <c r="B2366" s="25"/>
      <c r="E2366" s="10"/>
      <c r="O2366" s="10"/>
      <c r="V2366" s="10"/>
    </row>
    <row r="2367" spans="1:23" x14ac:dyDescent="0.2">
      <c r="A2367" s="27"/>
      <c r="B2367" s="25"/>
      <c r="E2367" s="10"/>
      <c r="O2367" s="10"/>
      <c r="V2367" s="10"/>
    </row>
    <row r="2368" spans="1:23" x14ac:dyDescent="0.2">
      <c r="A2368" s="27"/>
      <c r="B2368" s="25"/>
      <c r="E2368" s="10"/>
      <c r="O2368" s="10"/>
      <c r="V2368" s="10"/>
    </row>
    <row r="2369" spans="1:22" x14ac:dyDescent="0.2">
      <c r="A2369" s="27"/>
      <c r="B2369" s="25"/>
      <c r="E2369" s="10"/>
      <c r="O2369" s="10"/>
      <c r="V2369" s="10"/>
    </row>
    <row r="2370" spans="1:22" x14ac:dyDescent="0.2">
      <c r="A2370" s="27"/>
      <c r="B2370" s="25"/>
      <c r="E2370" s="10"/>
      <c r="O2370" s="10"/>
      <c r="V2370" s="10"/>
    </row>
    <row r="2371" spans="1:22" x14ac:dyDescent="0.2">
      <c r="A2371" s="27"/>
      <c r="B2371" s="25"/>
      <c r="E2371" s="10"/>
      <c r="O2371" s="10"/>
      <c r="V2371" s="10"/>
    </row>
    <row r="2372" spans="1:22" x14ac:dyDescent="0.2">
      <c r="A2372" s="27"/>
      <c r="B2372" s="25"/>
      <c r="E2372" s="10"/>
      <c r="O2372" s="10"/>
      <c r="V2372" s="10"/>
    </row>
    <row r="2373" spans="1:22" x14ac:dyDescent="0.2">
      <c r="A2373" s="27"/>
      <c r="B2373" s="25"/>
      <c r="E2373" s="10"/>
      <c r="O2373" s="10"/>
      <c r="V2373" s="10"/>
    </row>
    <row r="2374" spans="1:22" x14ac:dyDescent="0.2">
      <c r="A2374" s="27"/>
      <c r="B2374" s="25"/>
      <c r="E2374" s="10"/>
      <c r="O2374" s="10"/>
      <c r="V2374" s="10"/>
    </row>
    <row r="2375" spans="1:22" x14ac:dyDescent="0.2">
      <c r="A2375" s="27"/>
      <c r="B2375" s="25"/>
      <c r="E2375" s="10"/>
      <c r="O2375" s="10"/>
      <c r="V2375" s="10"/>
    </row>
    <row r="2376" spans="1:22" x14ac:dyDescent="0.2">
      <c r="A2376" s="27"/>
      <c r="B2376" s="25"/>
      <c r="E2376" s="10"/>
      <c r="O2376" s="10"/>
      <c r="V2376" s="10"/>
    </row>
    <row r="2377" spans="1:22" x14ac:dyDescent="0.2">
      <c r="A2377" s="27"/>
      <c r="B2377" s="25"/>
      <c r="E2377" s="10"/>
      <c r="O2377" s="10"/>
      <c r="V2377" s="10"/>
    </row>
    <row r="2378" spans="1:22" x14ac:dyDescent="0.2">
      <c r="A2378" s="27"/>
      <c r="B2378" s="25"/>
      <c r="E2378" s="10"/>
      <c r="O2378" s="10"/>
      <c r="V2378" s="10"/>
    </row>
    <row r="2379" spans="1:22" x14ac:dyDescent="0.2">
      <c r="A2379" s="27"/>
      <c r="B2379" s="25"/>
      <c r="E2379" s="10"/>
      <c r="O2379" s="10"/>
      <c r="V2379" s="10"/>
    </row>
    <row r="2380" spans="1:22" x14ac:dyDescent="0.2">
      <c r="A2380" s="27"/>
      <c r="B2380" s="25"/>
      <c r="E2380" s="10"/>
      <c r="O2380" s="10"/>
      <c r="V2380" s="10"/>
    </row>
    <row r="2381" spans="1:22" x14ac:dyDescent="0.2">
      <c r="A2381" s="27"/>
      <c r="B2381" s="25"/>
      <c r="E2381" s="10"/>
      <c r="O2381" s="10"/>
      <c r="V2381" s="10"/>
    </row>
    <row r="2382" spans="1:22" x14ac:dyDescent="0.2">
      <c r="A2382" s="27"/>
      <c r="B2382" s="25"/>
      <c r="E2382" s="10"/>
      <c r="O2382" s="10"/>
      <c r="V2382" s="10"/>
    </row>
    <row r="2383" spans="1:22" x14ac:dyDescent="0.2">
      <c r="A2383" s="27"/>
      <c r="B2383" s="25"/>
      <c r="E2383" s="10"/>
      <c r="O2383" s="10"/>
      <c r="V2383" s="10"/>
    </row>
    <row r="2384" spans="1:22" x14ac:dyDescent="0.2">
      <c r="A2384" s="27"/>
      <c r="B2384" s="25"/>
      <c r="E2384" s="10"/>
      <c r="O2384" s="10"/>
      <c r="V2384" s="10"/>
    </row>
    <row r="2385" spans="1:22" x14ac:dyDescent="0.2">
      <c r="A2385" s="27"/>
      <c r="B2385" s="25"/>
      <c r="E2385" s="10"/>
      <c r="O2385" s="10"/>
      <c r="V2385" s="10"/>
    </row>
    <row r="2386" spans="1:22" x14ac:dyDescent="0.2">
      <c r="A2386" s="27"/>
      <c r="B2386" s="25"/>
      <c r="E2386" s="10"/>
      <c r="O2386" s="10"/>
      <c r="V2386" s="10"/>
    </row>
    <row r="2387" spans="1:22" x14ac:dyDescent="0.2">
      <c r="A2387" s="27"/>
      <c r="B2387" s="25"/>
      <c r="E2387" s="10"/>
      <c r="O2387" s="10"/>
      <c r="V2387" s="10"/>
    </row>
    <row r="2388" spans="1:22" x14ac:dyDescent="0.2">
      <c r="A2388" s="27"/>
      <c r="B2388" s="25"/>
      <c r="E2388" s="10"/>
      <c r="O2388" s="10"/>
      <c r="V2388" s="10"/>
    </row>
    <row r="2389" spans="1:22" x14ac:dyDescent="0.2">
      <c r="A2389" s="27"/>
      <c r="B2389" s="25"/>
      <c r="E2389" s="10"/>
      <c r="O2389" s="10"/>
      <c r="V2389" s="10"/>
    </row>
    <row r="2390" spans="1:22" x14ac:dyDescent="0.2">
      <c r="A2390" s="27"/>
      <c r="B2390" s="25"/>
      <c r="E2390" s="10"/>
      <c r="O2390" s="10"/>
      <c r="V2390" s="10"/>
    </row>
    <row r="2391" spans="1:22" x14ac:dyDescent="0.2">
      <c r="A2391" s="27"/>
      <c r="B2391" s="25"/>
      <c r="E2391" s="10"/>
      <c r="O2391" s="10"/>
      <c r="V2391" s="10"/>
    </row>
    <row r="2392" spans="1:22" x14ac:dyDescent="0.2">
      <c r="A2392" s="27"/>
      <c r="B2392" s="25"/>
      <c r="E2392" s="10"/>
      <c r="O2392" s="10"/>
      <c r="V2392" s="10"/>
    </row>
    <row r="2393" spans="1:22" x14ac:dyDescent="0.2">
      <c r="A2393" s="27"/>
      <c r="B2393" s="25"/>
      <c r="E2393" s="10"/>
      <c r="O2393" s="10"/>
      <c r="V2393" s="10"/>
    </row>
    <row r="2394" spans="1:22" x14ac:dyDescent="0.2">
      <c r="A2394" s="27"/>
      <c r="B2394" s="25"/>
      <c r="E2394" s="10"/>
      <c r="O2394" s="10"/>
      <c r="V2394" s="10"/>
    </row>
    <row r="2395" spans="1:22" x14ac:dyDescent="0.2">
      <c r="A2395" s="27"/>
      <c r="B2395" s="25"/>
      <c r="E2395" s="10"/>
      <c r="O2395" s="10"/>
      <c r="V2395" s="10"/>
    </row>
    <row r="2396" spans="1:22" x14ac:dyDescent="0.2">
      <c r="A2396" s="27"/>
      <c r="B2396" s="25"/>
      <c r="E2396" s="10"/>
      <c r="O2396" s="10"/>
      <c r="V2396" s="10"/>
    </row>
    <row r="2397" spans="1:22" x14ac:dyDescent="0.2">
      <c r="A2397" s="27"/>
      <c r="B2397" s="25"/>
      <c r="E2397" s="10"/>
      <c r="O2397" s="10"/>
      <c r="V2397" s="10"/>
    </row>
    <row r="2398" spans="1:22" x14ac:dyDescent="0.2">
      <c r="A2398" s="27"/>
      <c r="B2398" s="25"/>
      <c r="E2398" s="10"/>
      <c r="O2398" s="10"/>
      <c r="V2398" s="10"/>
    </row>
    <row r="2399" spans="1:22" x14ac:dyDescent="0.2">
      <c r="A2399" s="27"/>
      <c r="B2399" s="25"/>
      <c r="E2399" s="10"/>
      <c r="O2399" s="10"/>
      <c r="V2399" s="10"/>
    </row>
    <row r="2400" spans="1:22" x14ac:dyDescent="0.2">
      <c r="A2400" s="27"/>
      <c r="B2400" s="25"/>
      <c r="E2400" s="10"/>
      <c r="O2400" s="10"/>
      <c r="V2400" s="10"/>
    </row>
    <row r="2401" spans="1:22" x14ac:dyDescent="0.2">
      <c r="A2401" s="27"/>
      <c r="B2401" s="25"/>
      <c r="E2401" s="10"/>
      <c r="O2401" s="10"/>
      <c r="V2401" s="10"/>
    </row>
    <row r="2402" spans="1:22" x14ac:dyDescent="0.2">
      <c r="A2402" s="27"/>
      <c r="B2402" s="25"/>
      <c r="E2402" s="10"/>
      <c r="O2402" s="10"/>
      <c r="V2402" s="10"/>
    </row>
    <row r="2403" spans="1:22" x14ac:dyDescent="0.2">
      <c r="A2403" s="27"/>
      <c r="B2403" s="25"/>
      <c r="E2403" s="10"/>
      <c r="O2403" s="10"/>
      <c r="V2403" s="10"/>
    </row>
    <row r="2404" spans="1:22" x14ac:dyDescent="0.2">
      <c r="A2404" s="27"/>
      <c r="B2404" s="25"/>
      <c r="E2404" s="10"/>
      <c r="O2404" s="10"/>
      <c r="V2404" s="10"/>
    </row>
    <row r="2405" spans="1:22" x14ac:dyDescent="0.2">
      <c r="A2405" s="27"/>
      <c r="B2405" s="25"/>
      <c r="E2405" s="10"/>
      <c r="O2405" s="10"/>
      <c r="V2405" s="10"/>
    </row>
    <row r="2406" spans="1:22" x14ac:dyDescent="0.2">
      <c r="A2406" s="27"/>
      <c r="B2406" s="25"/>
      <c r="E2406" s="10"/>
      <c r="O2406" s="10"/>
      <c r="V2406" s="10"/>
    </row>
    <row r="2407" spans="1:22" x14ac:dyDescent="0.2">
      <c r="A2407" s="27"/>
      <c r="B2407" s="25"/>
      <c r="E2407" s="10"/>
      <c r="O2407" s="10"/>
      <c r="V2407" s="10"/>
    </row>
    <row r="2408" spans="1:22" x14ac:dyDescent="0.2">
      <c r="A2408" s="27"/>
      <c r="B2408" s="25"/>
      <c r="E2408" s="10"/>
      <c r="O2408" s="10"/>
      <c r="V2408" s="10"/>
    </row>
    <row r="2409" spans="1:22" x14ac:dyDescent="0.2">
      <c r="A2409" s="27"/>
      <c r="B2409" s="25"/>
      <c r="E2409" s="10"/>
      <c r="O2409" s="10"/>
      <c r="V2409" s="10"/>
    </row>
    <row r="2410" spans="1:22" x14ac:dyDescent="0.2">
      <c r="A2410" s="27"/>
      <c r="B2410" s="25"/>
      <c r="E2410" s="10"/>
      <c r="O2410" s="10"/>
      <c r="V2410" s="10"/>
    </row>
    <row r="2411" spans="1:22" x14ac:dyDescent="0.2">
      <c r="A2411" s="27"/>
      <c r="B2411" s="25"/>
      <c r="E2411" s="10"/>
      <c r="O2411" s="10"/>
      <c r="V2411" s="10"/>
    </row>
    <row r="2412" spans="1:22" x14ac:dyDescent="0.2">
      <c r="A2412" s="27"/>
      <c r="B2412" s="25"/>
      <c r="E2412" s="10"/>
      <c r="O2412" s="10"/>
      <c r="V2412" s="10"/>
    </row>
    <row r="2413" spans="1:22" x14ac:dyDescent="0.2">
      <c r="A2413" s="27"/>
      <c r="B2413" s="25"/>
      <c r="E2413" s="10"/>
      <c r="O2413" s="10"/>
      <c r="V2413" s="10"/>
    </row>
    <row r="2414" spans="1:22" x14ac:dyDescent="0.2">
      <c r="A2414" s="27"/>
      <c r="B2414" s="25"/>
      <c r="E2414" s="10"/>
      <c r="O2414" s="10"/>
      <c r="V2414" s="10"/>
    </row>
    <row r="2415" spans="1:22" x14ac:dyDescent="0.2">
      <c r="A2415" s="27"/>
      <c r="B2415" s="25"/>
      <c r="E2415" s="10"/>
      <c r="O2415" s="10"/>
      <c r="V2415" s="10"/>
    </row>
    <row r="2416" spans="1:22" x14ac:dyDescent="0.2">
      <c r="A2416" s="27"/>
      <c r="B2416" s="25"/>
      <c r="E2416" s="10"/>
      <c r="O2416" s="10"/>
      <c r="V2416" s="10"/>
    </row>
    <row r="2417" spans="1:22" x14ac:dyDescent="0.2">
      <c r="A2417" s="27"/>
      <c r="B2417" s="25"/>
      <c r="E2417" s="10"/>
      <c r="O2417" s="10"/>
      <c r="V2417" s="10"/>
    </row>
    <row r="2418" spans="1:22" x14ac:dyDescent="0.2">
      <c r="A2418" s="27"/>
      <c r="B2418" s="25"/>
      <c r="E2418" s="10"/>
      <c r="O2418" s="10"/>
      <c r="V2418" s="10"/>
    </row>
    <row r="2419" spans="1:22" x14ac:dyDescent="0.2">
      <c r="A2419" s="27"/>
      <c r="B2419" s="25"/>
      <c r="E2419" s="10"/>
      <c r="O2419" s="10"/>
      <c r="V2419" s="10"/>
    </row>
    <row r="2420" spans="1:22" x14ac:dyDescent="0.2">
      <c r="A2420" s="27"/>
      <c r="B2420" s="25"/>
      <c r="E2420" s="10"/>
      <c r="O2420" s="10"/>
      <c r="V2420" s="10"/>
    </row>
    <row r="2421" spans="1:22" x14ac:dyDescent="0.2">
      <c r="A2421" s="27"/>
      <c r="B2421" s="25"/>
      <c r="E2421" s="10"/>
      <c r="O2421" s="10"/>
      <c r="V2421" s="10"/>
    </row>
    <row r="2422" spans="1:22" x14ac:dyDescent="0.2">
      <c r="A2422" s="27"/>
      <c r="B2422" s="25"/>
      <c r="E2422" s="10"/>
      <c r="O2422" s="10"/>
      <c r="V2422" s="10"/>
    </row>
    <row r="2423" spans="1:22" x14ac:dyDescent="0.2">
      <c r="A2423" s="27"/>
      <c r="B2423" s="25"/>
      <c r="E2423" s="10"/>
      <c r="O2423" s="10"/>
      <c r="V2423" s="10"/>
    </row>
    <row r="2424" spans="1:22" x14ac:dyDescent="0.2">
      <c r="A2424" s="27"/>
      <c r="B2424" s="25"/>
      <c r="E2424" s="10"/>
      <c r="O2424" s="10"/>
      <c r="V2424" s="10"/>
    </row>
    <row r="2425" spans="1:22" x14ac:dyDescent="0.2">
      <c r="A2425" s="27"/>
      <c r="B2425" s="25"/>
      <c r="E2425" s="10"/>
      <c r="O2425" s="10"/>
      <c r="V2425" s="10"/>
    </row>
    <row r="2426" spans="1:22" x14ac:dyDescent="0.2">
      <c r="A2426" s="27"/>
      <c r="B2426" s="25"/>
      <c r="E2426" s="10"/>
      <c r="O2426" s="10"/>
      <c r="V2426" s="10"/>
    </row>
    <row r="2427" spans="1:22" x14ac:dyDescent="0.2">
      <c r="A2427" s="27"/>
      <c r="B2427" s="25"/>
      <c r="E2427" s="10"/>
      <c r="O2427" s="10"/>
      <c r="V2427" s="10"/>
    </row>
    <row r="2428" spans="1:22" x14ac:dyDescent="0.2">
      <c r="A2428" s="27"/>
      <c r="B2428" s="25"/>
      <c r="E2428" s="10"/>
      <c r="O2428" s="10"/>
      <c r="V2428" s="10"/>
    </row>
    <row r="2429" spans="1:22" x14ac:dyDescent="0.2">
      <c r="A2429" s="27"/>
      <c r="B2429" s="25"/>
      <c r="E2429" s="10"/>
      <c r="O2429" s="10"/>
      <c r="V2429" s="10"/>
    </row>
    <row r="2430" spans="1:22" x14ac:dyDescent="0.2">
      <c r="A2430" s="27"/>
      <c r="B2430" s="25"/>
      <c r="E2430" s="10"/>
      <c r="O2430" s="10"/>
      <c r="V2430" s="10"/>
    </row>
    <row r="2431" spans="1:22" x14ac:dyDescent="0.2">
      <c r="A2431" s="27"/>
      <c r="B2431" s="25"/>
      <c r="E2431" s="10"/>
      <c r="O2431" s="10"/>
      <c r="V2431" s="10"/>
    </row>
    <row r="2432" spans="1:22" x14ac:dyDescent="0.2">
      <c r="A2432" s="27"/>
      <c r="B2432" s="25"/>
      <c r="E2432" s="10"/>
      <c r="O2432" s="10"/>
      <c r="V2432" s="10"/>
    </row>
    <row r="2433" spans="1:22" x14ac:dyDescent="0.2">
      <c r="A2433" s="27"/>
      <c r="B2433" s="25"/>
      <c r="E2433" s="10"/>
      <c r="O2433" s="10"/>
      <c r="V2433" s="10"/>
    </row>
    <row r="2434" spans="1:22" x14ac:dyDescent="0.2">
      <c r="A2434" s="27"/>
      <c r="B2434" s="25"/>
      <c r="E2434" s="10"/>
      <c r="O2434" s="10"/>
      <c r="V2434" s="10"/>
    </row>
    <row r="2435" spans="1:22" x14ac:dyDescent="0.2">
      <c r="A2435" s="27"/>
      <c r="B2435" s="25"/>
      <c r="E2435" s="10"/>
      <c r="O2435" s="10"/>
      <c r="V2435" s="10"/>
    </row>
    <row r="2436" spans="1:22" x14ac:dyDescent="0.2">
      <c r="A2436" s="27"/>
      <c r="B2436" s="25"/>
      <c r="E2436" s="10"/>
      <c r="O2436" s="10"/>
      <c r="V2436" s="10"/>
    </row>
    <row r="2437" spans="1:22" x14ac:dyDescent="0.2">
      <c r="A2437" s="27"/>
      <c r="B2437" s="25"/>
      <c r="E2437" s="10"/>
      <c r="O2437" s="10"/>
      <c r="V2437" s="10"/>
    </row>
    <row r="2438" spans="1:22" x14ac:dyDescent="0.2">
      <c r="A2438" s="27"/>
      <c r="B2438" s="25"/>
      <c r="E2438" s="10"/>
      <c r="O2438" s="10"/>
      <c r="V2438" s="10"/>
    </row>
    <row r="2439" spans="1:22" x14ac:dyDescent="0.2">
      <c r="A2439" s="27"/>
      <c r="B2439" s="25"/>
      <c r="E2439" s="10"/>
      <c r="O2439" s="10"/>
      <c r="V2439" s="10"/>
    </row>
    <row r="2440" spans="1:22" x14ac:dyDescent="0.2">
      <c r="A2440" s="27"/>
      <c r="B2440" s="25"/>
      <c r="E2440" s="10"/>
      <c r="O2440" s="10"/>
      <c r="V2440" s="10"/>
    </row>
    <row r="2441" spans="1:22" x14ac:dyDescent="0.2">
      <c r="A2441" s="27"/>
      <c r="B2441" s="25"/>
      <c r="E2441" s="10"/>
      <c r="O2441" s="10"/>
      <c r="V2441" s="10"/>
    </row>
    <row r="2442" spans="1:22" x14ac:dyDescent="0.2">
      <c r="A2442" s="27"/>
      <c r="B2442" s="25"/>
      <c r="E2442" s="10"/>
      <c r="O2442" s="10"/>
      <c r="V2442" s="10"/>
    </row>
    <row r="2443" spans="1:22" x14ac:dyDescent="0.2">
      <c r="A2443" s="27"/>
      <c r="B2443" s="25"/>
      <c r="E2443" s="10"/>
      <c r="O2443" s="10"/>
      <c r="V2443" s="10"/>
    </row>
    <row r="2444" spans="1:22" x14ac:dyDescent="0.2">
      <c r="A2444" s="27"/>
      <c r="B2444" s="25"/>
      <c r="E2444" s="10"/>
      <c r="O2444" s="10"/>
      <c r="V2444" s="10"/>
    </row>
    <row r="2445" spans="1:22" x14ac:dyDescent="0.2">
      <c r="A2445" s="27"/>
      <c r="B2445" s="25"/>
      <c r="E2445" s="10"/>
      <c r="O2445" s="10"/>
      <c r="V2445" s="10"/>
    </row>
    <row r="2446" spans="1:22" x14ac:dyDescent="0.2">
      <c r="A2446" s="27"/>
      <c r="B2446" s="25"/>
      <c r="E2446" s="10"/>
      <c r="O2446" s="10"/>
      <c r="V2446" s="10"/>
    </row>
    <row r="2447" spans="1:22" x14ac:dyDescent="0.2">
      <c r="A2447" s="27"/>
      <c r="B2447" s="25"/>
      <c r="E2447" s="10"/>
      <c r="O2447" s="10"/>
      <c r="V2447" s="10"/>
    </row>
    <row r="2448" spans="1:22" x14ac:dyDescent="0.2">
      <c r="A2448" s="27"/>
      <c r="B2448" s="25"/>
      <c r="E2448" s="10"/>
      <c r="O2448" s="10"/>
      <c r="V2448" s="10"/>
    </row>
    <row r="2449" spans="1:22" x14ac:dyDescent="0.2">
      <c r="A2449" s="27"/>
      <c r="B2449" s="25"/>
      <c r="E2449" s="10"/>
      <c r="O2449" s="10"/>
      <c r="V2449" s="10"/>
    </row>
    <row r="2450" spans="1:22" x14ac:dyDescent="0.2">
      <c r="A2450" s="27"/>
      <c r="B2450" s="25"/>
      <c r="E2450" s="10"/>
      <c r="O2450" s="10"/>
      <c r="V2450" s="10"/>
    </row>
    <row r="2451" spans="1:22" x14ac:dyDescent="0.2">
      <c r="A2451" s="27"/>
      <c r="B2451" s="25"/>
      <c r="E2451" s="10"/>
      <c r="O2451" s="10"/>
      <c r="V2451" s="10"/>
    </row>
    <row r="2452" spans="1:22" x14ac:dyDescent="0.2">
      <c r="A2452" s="27"/>
      <c r="B2452" s="25"/>
      <c r="E2452" s="10"/>
      <c r="O2452" s="10"/>
      <c r="V2452" s="10"/>
    </row>
    <row r="2453" spans="1:22" x14ac:dyDescent="0.2">
      <c r="A2453" s="27"/>
      <c r="B2453" s="25"/>
      <c r="E2453" s="10"/>
      <c r="O2453" s="10"/>
      <c r="V2453" s="10"/>
    </row>
    <row r="2454" spans="1:22" x14ac:dyDescent="0.2">
      <c r="A2454" s="27"/>
      <c r="B2454" s="25"/>
      <c r="E2454" s="10"/>
      <c r="O2454" s="10"/>
      <c r="V2454" s="10"/>
    </row>
    <row r="2455" spans="1:22" x14ac:dyDescent="0.2">
      <c r="A2455" s="27"/>
      <c r="B2455" s="25"/>
      <c r="E2455" s="10"/>
      <c r="O2455" s="10"/>
      <c r="V2455" s="10"/>
    </row>
    <row r="2456" spans="1:22" x14ac:dyDescent="0.2">
      <c r="A2456" s="27"/>
      <c r="B2456" s="25"/>
      <c r="E2456" s="10"/>
      <c r="O2456" s="10"/>
      <c r="V2456" s="10"/>
    </row>
    <row r="2457" spans="1:22" x14ac:dyDescent="0.2">
      <c r="A2457" s="27"/>
      <c r="B2457" s="25"/>
      <c r="E2457" s="10"/>
      <c r="O2457" s="10"/>
      <c r="V2457" s="10"/>
    </row>
    <row r="2458" spans="1:22" x14ac:dyDescent="0.2">
      <c r="A2458" s="27"/>
      <c r="B2458" s="25"/>
      <c r="E2458" s="10"/>
      <c r="O2458" s="10"/>
      <c r="V2458" s="10"/>
    </row>
    <row r="2459" spans="1:22" x14ac:dyDescent="0.2">
      <c r="A2459" s="27"/>
      <c r="B2459" s="25"/>
      <c r="E2459" s="10"/>
      <c r="O2459" s="10"/>
      <c r="V2459" s="10"/>
    </row>
    <row r="2460" spans="1:22" x14ac:dyDescent="0.2">
      <c r="A2460" s="27"/>
      <c r="B2460" s="25"/>
      <c r="E2460" s="10"/>
      <c r="O2460" s="10"/>
      <c r="V2460" s="10"/>
    </row>
    <row r="2461" spans="1:22" x14ac:dyDescent="0.2">
      <c r="A2461" s="27"/>
      <c r="B2461" s="25"/>
      <c r="E2461" s="10"/>
      <c r="O2461" s="10"/>
      <c r="V2461" s="10"/>
    </row>
    <row r="2462" spans="1:22" x14ac:dyDescent="0.2">
      <c r="A2462" s="27"/>
      <c r="B2462" s="25"/>
      <c r="E2462" s="10"/>
      <c r="O2462" s="10"/>
      <c r="V2462" s="10"/>
    </row>
    <row r="2463" spans="1:22" x14ac:dyDescent="0.2">
      <c r="A2463" s="27"/>
      <c r="B2463" s="25"/>
      <c r="E2463" s="10"/>
      <c r="O2463" s="10"/>
      <c r="V2463" s="10"/>
    </row>
    <row r="2464" spans="1:22" x14ac:dyDescent="0.2">
      <c r="A2464" s="27"/>
      <c r="B2464" s="25"/>
      <c r="E2464" s="10"/>
      <c r="O2464" s="10"/>
      <c r="V2464" s="10"/>
    </row>
    <row r="2465" spans="1:22" x14ac:dyDescent="0.2">
      <c r="A2465" s="27"/>
      <c r="B2465" s="25"/>
      <c r="E2465" s="10"/>
      <c r="O2465" s="10"/>
      <c r="V2465" s="10"/>
    </row>
    <row r="2466" spans="1:22" x14ac:dyDescent="0.2">
      <c r="A2466" s="27"/>
      <c r="B2466" s="25"/>
      <c r="E2466" s="10"/>
      <c r="O2466" s="10"/>
      <c r="V2466" s="10"/>
    </row>
    <row r="2467" spans="1:22" x14ac:dyDescent="0.2">
      <c r="A2467" s="27"/>
      <c r="B2467" s="25"/>
      <c r="E2467" s="10"/>
      <c r="O2467" s="10"/>
      <c r="V2467" s="10"/>
    </row>
    <row r="2468" spans="1:22" x14ac:dyDescent="0.2">
      <c r="A2468" s="27"/>
      <c r="B2468" s="25"/>
      <c r="E2468" s="10"/>
      <c r="O2468" s="10"/>
      <c r="V2468" s="10"/>
    </row>
    <row r="2469" spans="1:22" x14ac:dyDescent="0.2">
      <c r="A2469" s="27"/>
      <c r="B2469" s="25"/>
      <c r="E2469" s="10"/>
      <c r="O2469" s="10"/>
      <c r="V2469" s="10"/>
    </row>
    <row r="2470" spans="1:22" x14ac:dyDescent="0.2">
      <c r="A2470" s="27"/>
      <c r="B2470" s="25"/>
      <c r="E2470" s="10"/>
      <c r="O2470" s="10"/>
      <c r="V2470" s="10"/>
    </row>
    <row r="2471" spans="1:22" x14ac:dyDescent="0.2">
      <c r="A2471" s="27"/>
      <c r="B2471" s="25"/>
      <c r="E2471" s="10"/>
      <c r="O2471" s="10"/>
      <c r="V2471" s="10"/>
    </row>
    <row r="2472" spans="1:22" x14ac:dyDescent="0.2">
      <c r="A2472" s="27"/>
      <c r="B2472" s="25"/>
      <c r="E2472" s="10"/>
      <c r="O2472" s="10"/>
      <c r="V2472" s="10"/>
    </row>
    <row r="2473" spans="1:22" x14ac:dyDescent="0.2">
      <c r="A2473" s="27"/>
      <c r="B2473" s="25"/>
      <c r="E2473" s="10"/>
      <c r="O2473" s="10"/>
      <c r="V2473" s="10"/>
    </row>
    <row r="2474" spans="1:22" x14ac:dyDescent="0.2">
      <c r="A2474" s="27"/>
      <c r="B2474" s="25"/>
      <c r="E2474" s="10"/>
      <c r="O2474" s="10"/>
      <c r="V2474" s="10"/>
    </row>
    <row r="2475" spans="1:22" x14ac:dyDescent="0.2">
      <c r="A2475" s="27"/>
      <c r="B2475" s="25"/>
      <c r="E2475" s="10"/>
      <c r="O2475" s="10"/>
      <c r="V2475" s="10"/>
    </row>
    <row r="2476" spans="1:22" x14ac:dyDescent="0.2">
      <c r="A2476" s="27"/>
      <c r="B2476" s="25"/>
      <c r="E2476" s="10"/>
      <c r="O2476" s="10"/>
      <c r="V2476" s="10"/>
    </row>
    <row r="2477" spans="1:22" x14ac:dyDescent="0.2">
      <c r="A2477" s="27"/>
      <c r="B2477" s="25"/>
      <c r="E2477" s="10"/>
      <c r="O2477" s="10"/>
      <c r="V2477" s="10"/>
    </row>
    <row r="2478" spans="1:22" x14ac:dyDescent="0.2">
      <c r="A2478" s="27"/>
      <c r="B2478" s="25"/>
      <c r="E2478" s="10"/>
      <c r="O2478" s="10"/>
      <c r="V2478" s="10"/>
    </row>
    <row r="2479" spans="1:22" x14ac:dyDescent="0.2">
      <c r="A2479" s="27"/>
      <c r="B2479" s="25"/>
      <c r="E2479" s="10"/>
      <c r="O2479" s="10"/>
      <c r="V2479" s="10"/>
    </row>
    <row r="2480" spans="1:22" x14ac:dyDescent="0.2">
      <c r="A2480" s="27"/>
      <c r="B2480" s="25"/>
      <c r="E2480" s="10"/>
      <c r="O2480" s="10"/>
      <c r="V2480" s="10"/>
    </row>
    <row r="2481" spans="1:22" x14ac:dyDescent="0.2">
      <c r="A2481" s="27"/>
      <c r="B2481" s="25"/>
      <c r="E2481" s="10"/>
      <c r="O2481" s="10"/>
      <c r="V2481" s="10"/>
    </row>
    <row r="2482" spans="1:22" x14ac:dyDescent="0.2">
      <c r="A2482" s="27"/>
      <c r="B2482" s="25"/>
      <c r="E2482" s="10"/>
      <c r="O2482" s="10"/>
      <c r="V2482" s="10"/>
    </row>
    <row r="2483" spans="1:22" x14ac:dyDescent="0.2">
      <c r="A2483" s="27"/>
      <c r="B2483" s="25"/>
      <c r="E2483" s="10"/>
      <c r="O2483" s="10"/>
      <c r="V2483" s="10"/>
    </row>
    <row r="2484" spans="1:22" x14ac:dyDescent="0.2">
      <c r="A2484" s="27"/>
      <c r="B2484" s="25"/>
      <c r="E2484" s="10"/>
      <c r="O2484" s="10"/>
      <c r="V2484" s="10"/>
    </row>
    <row r="2485" spans="1:22" x14ac:dyDescent="0.2">
      <c r="A2485" s="27"/>
      <c r="B2485" s="25"/>
      <c r="E2485" s="10"/>
      <c r="O2485" s="10"/>
      <c r="V2485" s="10"/>
    </row>
    <row r="2486" spans="1:22" x14ac:dyDescent="0.2">
      <c r="A2486" s="27"/>
      <c r="B2486" s="25"/>
      <c r="E2486" s="10"/>
      <c r="O2486" s="10"/>
      <c r="V2486" s="10"/>
    </row>
    <row r="2487" spans="1:22" x14ac:dyDescent="0.2">
      <c r="A2487" s="27"/>
      <c r="B2487" s="25"/>
      <c r="E2487" s="10"/>
      <c r="O2487" s="10"/>
      <c r="V2487" s="10"/>
    </row>
    <row r="2488" spans="1:22" x14ac:dyDescent="0.2">
      <c r="A2488" s="27"/>
      <c r="B2488" s="25"/>
      <c r="E2488" s="10"/>
      <c r="O2488" s="10"/>
      <c r="V2488" s="10"/>
    </row>
    <row r="2489" spans="1:22" x14ac:dyDescent="0.2">
      <c r="A2489" s="27"/>
      <c r="B2489" s="25"/>
      <c r="E2489" s="10"/>
      <c r="O2489" s="10"/>
      <c r="V2489" s="10"/>
    </row>
    <row r="2490" spans="1:22" x14ac:dyDescent="0.2">
      <c r="A2490" s="27"/>
      <c r="B2490" s="25"/>
      <c r="E2490" s="10"/>
      <c r="O2490" s="10"/>
      <c r="V2490" s="10"/>
    </row>
    <row r="2491" spans="1:22" x14ac:dyDescent="0.2">
      <c r="A2491" s="27"/>
      <c r="B2491" s="25"/>
      <c r="E2491" s="10"/>
      <c r="O2491" s="10"/>
      <c r="V2491" s="10"/>
    </row>
    <row r="2492" spans="1:22" x14ac:dyDescent="0.2">
      <c r="A2492" s="27"/>
      <c r="B2492" s="25"/>
      <c r="E2492" s="10"/>
      <c r="O2492" s="10"/>
      <c r="V2492" s="10"/>
    </row>
    <row r="2493" spans="1:22" x14ac:dyDescent="0.2">
      <c r="A2493" s="27"/>
      <c r="B2493" s="25"/>
      <c r="E2493" s="10"/>
      <c r="O2493" s="10"/>
      <c r="V2493" s="10"/>
    </row>
    <row r="2494" spans="1:22" x14ac:dyDescent="0.2">
      <c r="A2494" s="27"/>
      <c r="B2494" s="25"/>
      <c r="E2494" s="10"/>
      <c r="O2494" s="10"/>
      <c r="V2494" s="10"/>
    </row>
    <row r="2495" spans="1:22" x14ac:dyDescent="0.2">
      <c r="A2495" s="27"/>
      <c r="B2495" s="25"/>
      <c r="E2495" s="10"/>
      <c r="O2495" s="10"/>
      <c r="V2495" s="10"/>
    </row>
    <row r="2496" spans="1:22" x14ac:dyDescent="0.2">
      <c r="A2496" s="27"/>
      <c r="B2496" s="25"/>
      <c r="E2496" s="10"/>
      <c r="O2496" s="10"/>
      <c r="V2496" s="10"/>
    </row>
    <row r="2497" spans="1:22" x14ac:dyDescent="0.2">
      <c r="A2497" s="27"/>
      <c r="B2497" s="25"/>
      <c r="E2497" s="10"/>
      <c r="O2497" s="10"/>
      <c r="V2497" s="10"/>
    </row>
    <row r="2498" spans="1:22" x14ac:dyDescent="0.2">
      <c r="A2498" s="27"/>
      <c r="B2498" s="25"/>
      <c r="E2498" s="10"/>
      <c r="O2498" s="10"/>
      <c r="V2498" s="10"/>
    </row>
    <row r="2499" spans="1:22" x14ac:dyDescent="0.2">
      <c r="A2499" s="27"/>
      <c r="B2499" s="25"/>
      <c r="E2499" s="10"/>
      <c r="O2499" s="10"/>
      <c r="V2499" s="10"/>
    </row>
    <row r="2500" spans="1:22" x14ac:dyDescent="0.2">
      <c r="A2500" s="27"/>
      <c r="B2500" s="25"/>
      <c r="E2500" s="10"/>
      <c r="O2500" s="10"/>
      <c r="V2500" s="10"/>
    </row>
    <row r="2501" spans="1:22" x14ac:dyDescent="0.2">
      <c r="A2501" s="27"/>
      <c r="B2501" s="25"/>
      <c r="E2501" s="10"/>
      <c r="O2501" s="10"/>
      <c r="V2501" s="10"/>
    </row>
    <row r="2502" spans="1:22" x14ac:dyDescent="0.2">
      <c r="A2502" s="27"/>
      <c r="B2502" s="25"/>
      <c r="E2502" s="10"/>
      <c r="O2502" s="10"/>
      <c r="V2502" s="10"/>
    </row>
    <row r="2503" spans="1:22" x14ac:dyDescent="0.2">
      <c r="A2503" s="27"/>
      <c r="B2503" s="25"/>
      <c r="E2503" s="10"/>
      <c r="O2503" s="10"/>
      <c r="V2503" s="10"/>
    </row>
    <row r="2504" spans="1:22" x14ac:dyDescent="0.2">
      <c r="A2504" s="27"/>
      <c r="B2504" s="25"/>
      <c r="E2504" s="10"/>
      <c r="O2504" s="10"/>
      <c r="V2504" s="10"/>
    </row>
    <row r="2505" spans="1:22" x14ac:dyDescent="0.2">
      <c r="A2505" s="27"/>
      <c r="B2505" s="25"/>
      <c r="E2505" s="10"/>
      <c r="O2505" s="10"/>
      <c r="V2505" s="10"/>
    </row>
    <row r="2506" spans="1:22" x14ac:dyDescent="0.2">
      <c r="A2506" s="27"/>
      <c r="B2506" s="25"/>
      <c r="E2506" s="10"/>
      <c r="O2506" s="10"/>
      <c r="V2506" s="10"/>
    </row>
    <row r="2507" spans="1:22" x14ac:dyDescent="0.2">
      <c r="A2507" s="27"/>
      <c r="B2507" s="25"/>
      <c r="E2507" s="10"/>
      <c r="O2507" s="10"/>
      <c r="V2507" s="10"/>
    </row>
    <row r="2508" spans="1:22" x14ac:dyDescent="0.2">
      <c r="A2508" s="27"/>
      <c r="B2508" s="25"/>
      <c r="E2508" s="10"/>
      <c r="O2508" s="10"/>
      <c r="V2508" s="10"/>
    </row>
    <row r="2509" spans="1:22" x14ac:dyDescent="0.2">
      <c r="A2509" s="27"/>
      <c r="B2509" s="25"/>
      <c r="E2509" s="10"/>
      <c r="O2509" s="10"/>
      <c r="V2509" s="10"/>
    </row>
    <row r="2510" spans="1:22" x14ac:dyDescent="0.2">
      <c r="A2510" s="27"/>
      <c r="B2510" s="25"/>
      <c r="E2510" s="10"/>
      <c r="O2510" s="10"/>
      <c r="V2510" s="10"/>
    </row>
    <row r="2511" spans="1:22" x14ac:dyDescent="0.2">
      <c r="A2511" s="27"/>
      <c r="B2511" s="25"/>
      <c r="E2511" s="10"/>
      <c r="O2511" s="10"/>
      <c r="V2511" s="10"/>
    </row>
    <row r="2512" spans="1:22" x14ac:dyDescent="0.2">
      <c r="A2512" s="27"/>
      <c r="B2512" s="25"/>
      <c r="E2512" s="10"/>
      <c r="O2512" s="10"/>
      <c r="V2512" s="10"/>
    </row>
    <row r="2513" spans="1:22" x14ac:dyDescent="0.2">
      <c r="A2513" s="27"/>
      <c r="B2513" s="25"/>
      <c r="E2513" s="10"/>
      <c r="O2513" s="10"/>
      <c r="V2513" s="10"/>
    </row>
    <row r="2514" spans="1:22" x14ac:dyDescent="0.2">
      <c r="A2514" s="27"/>
      <c r="B2514" s="25"/>
      <c r="E2514" s="10"/>
      <c r="O2514" s="10"/>
      <c r="V2514" s="10"/>
    </row>
    <row r="2515" spans="1:22" x14ac:dyDescent="0.2">
      <c r="A2515" s="27"/>
      <c r="B2515" s="25"/>
      <c r="E2515" s="10"/>
      <c r="O2515" s="10"/>
      <c r="V2515" s="10"/>
    </row>
    <row r="2516" spans="1:22" x14ac:dyDescent="0.2">
      <c r="A2516" s="27"/>
      <c r="B2516" s="25"/>
      <c r="E2516" s="10"/>
      <c r="O2516" s="10"/>
      <c r="V2516" s="10"/>
    </row>
    <row r="2517" spans="1:22" x14ac:dyDescent="0.2">
      <c r="A2517" s="27"/>
      <c r="B2517" s="25"/>
      <c r="E2517" s="10"/>
      <c r="O2517" s="10"/>
      <c r="V2517" s="10"/>
    </row>
    <row r="2518" spans="1:22" x14ac:dyDescent="0.2">
      <c r="A2518" s="27"/>
      <c r="B2518" s="25"/>
      <c r="E2518" s="10"/>
      <c r="O2518" s="10"/>
      <c r="V2518" s="10"/>
    </row>
    <row r="2519" spans="1:22" x14ac:dyDescent="0.2">
      <c r="A2519" s="27"/>
      <c r="B2519" s="25"/>
      <c r="E2519" s="10"/>
      <c r="O2519" s="10"/>
      <c r="V2519" s="10"/>
    </row>
    <row r="2520" spans="1:22" x14ac:dyDescent="0.2">
      <c r="A2520" s="27"/>
      <c r="B2520" s="25"/>
      <c r="E2520" s="10"/>
      <c r="O2520" s="10"/>
      <c r="V2520" s="10"/>
    </row>
    <row r="2521" spans="1:22" x14ac:dyDescent="0.2">
      <c r="A2521" s="27"/>
      <c r="B2521" s="25"/>
      <c r="E2521" s="10"/>
      <c r="O2521" s="10"/>
      <c r="V2521" s="10"/>
    </row>
    <row r="2522" spans="1:22" x14ac:dyDescent="0.2">
      <c r="A2522" s="27"/>
      <c r="B2522" s="25"/>
      <c r="E2522" s="10"/>
      <c r="O2522" s="10"/>
      <c r="V2522" s="10"/>
    </row>
    <row r="2523" spans="1:22" x14ac:dyDescent="0.2">
      <c r="A2523" s="27"/>
      <c r="B2523" s="25"/>
      <c r="E2523" s="10"/>
      <c r="O2523" s="10"/>
      <c r="V2523" s="10"/>
    </row>
    <row r="2524" spans="1:22" x14ac:dyDescent="0.2">
      <c r="A2524" s="27"/>
      <c r="B2524" s="25"/>
      <c r="E2524" s="10"/>
      <c r="O2524" s="10"/>
      <c r="V2524" s="10"/>
    </row>
    <row r="2525" spans="1:22" x14ac:dyDescent="0.2">
      <c r="A2525" s="27"/>
      <c r="B2525" s="25"/>
      <c r="E2525" s="10"/>
      <c r="O2525" s="10"/>
      <c r="V2525" s="10"/>
    </row>
    <row r="2526" spans="1:22" x14ac:dyDescent="0.2">
      <c r="A2526" s="27"/>
      <c r="B2526" s="25"/>
      <c r="E2526" s="10"/>
      <c r="O2526" s="10"/>
      <c r="V2526" s="10"/>
    </row>
    <row r="2527" spans="1:22" x14ac:dyDescent="0.2">
      <c r="A2527" s="27"/>
      <c r="B2527" s="25"/>
      <c r="E2527" s="10"/>
      <c r="O2527" s="10"/>
      <c r="V2527" s="10"/>
    </row>
    <row r="2528" spans="1:22" x14ac:dyDescent="0.2">
      <c r="A2528" s="27"/>
      <c r="B2528" s="25"/>
      <c r="E2528" s="10"/>
      <c r="O2528" s="10"/>
      <c r="V2528" s="10"/>
    </row>
    <row r="2529" spans="1:22" x14ac:dyDescent="0.2">
      <c r="A2529" s="27"/>
      <c r="B2529" s="25"/>
      <c r="E2529" s="10"/>
      <c r="O2529" s="10"/>
      <c r="V2529" s="10"/>
    </row>
    <row r="2530" spans="1:22" x14ac:dyDescent="0.2">
      <c r="A2530" s="27"/>
      <c r="B2530" s="25"/>
      <c r="E2530" s="10"/>
      <c r="O2530" s="10"/>
      <c r="V2530" s="10"/>
    </row>
    <row r="2531" spans="1:22" x14ac:dyDescent="0.2">
      <c r="A2531" s="27"/>
      <c r="B2531" s="25"/>
      <c r="E2531" s="10"/>
      <c r="O2531" s="10"/>
      <c r="V2531" s="10"/>
    </row>
    <row r="2532" spans="1:22" x14ac:dyDescent="0.2">
      <c r="A2532" s="27"/>
      <c r="B2532" s="25"/>
      <c r="E2532" s="10"/>
      <c r="O2532" s="10"/>
      <c r="V2532" s="10"/>
    </row>
    <row r="2533" spans="1:22" x14ac:dyDescent="0.2">
      <c r="A2533" s="27"/>
      <c r="B2533" s="25"/>
      <c r="E2533" s="10"/>
      <c r="O2533" s="10"/>
      <c r="V2533" s="10"/>
    </row>
    <row r="2534" spans="1:22" x14ac:dyDescent="0.2">
      <c r="A2534" s="27"/>
      <c r="B2534" s="25"/>
      <c r="E2534" s="10"/>
      <c r="O2534" s="10"/>
      <c r="V2534" s="10"/>
    </row>
    <row r="2535" spans="1:22" x14ac:dyDescent="0.2">
      <c r="A2535" s="27"/>
      <c r="B2535" s="25"/>
      <c r="E2535" s="10"/>
      <c r="O2535" s="10"/>
      <c r="V2535" s="10"/>
    </row>
    <row r="2536" spans="1:22" x14ac:dyDescent="0.2">
      <c r="A2536" s="27"/>
      <c r="B2536" s="25"/>
      <c r="E2536" s="10"/>
      <c r="O2536" s="10"/>
      <c r="V2536" s="10"/>
    </row>
    <row r="2537" spans="1:22" x14ac:dyDescent="0.2">
      <c r="A2537" s="27"/>
      <c r="B2537" s="25"/>
      <c r="E2537" s="10"/>
      <c r="O2537" s="10"/>
      <c r="V2537" s="10"/>
    </row>
    <row r="2538" spans="1:22" x14ac:dyDescent="0.2">
      <c r="A2538" s="27"/>
      <c r="B2538" s="25"/>
      <c r="E2538" s="10"/>
      <c r="O2538" s="10"/>
      <c r="V2538" s="10"/>
    </row>
    <row r="2539" spans="1:22" x14ac:dyDescent="0.2">
      <c r="A2539" s="27"/>
      <c r="B2539" s="25"/>
      <c r="E2539" s="10"/>
      <c r="O2539" s="10"/>
      <c r="V2539" s="10"/>
    </row>
    <row r="2540" spans="1:22" x14ac:dyDescent="0.2">
      <c r="A2540" s="27"/>
      <c r="B2540" s="25"/>
      <c r="E2540" s="10"/>
      <c r="O2540" s="10"/>
      <c r="V2540" s="10"/>
    </row>
    <row r="2541" spans="1:22" x14ac:dyDescent="0.2">
      <c r="A2541" s="27"/>
      <c r="B2541" s="25"/>
      <c r="E2541" s="10"/>
      <c r="O2541" s="10"/>
      <c r="V2541" s="10"/>
    </row>
    <row r="2542" spans="1:22" x14ac:dyDescent="0.2">
      <c r="A2542" s="27"/>
      <c r="B2542" s="25"/>
      <c r="E2542" s="10"/>
      <c r="O2542" s="10"/>
      <c r="V2542" s="10"/>
    </row>
    <row r="2543" spans="1:22" x14ac:dyDescent="0.2">
      <c r="A2543" s="27"/>
      <c r="B2543" s="25"/>
      <c r="E2543" s="10"/>
      <c r="O2543" s="10"/>
      <c r="V2543" s="10"/>
    </row>
    <row r="2544" spans="1:22" x14ac:dyDescent="0.2">
      <c r="A2544" s="27"/>
      <c r="B2544" s="25"/>
      <c r="E2544" s="10"/>
      <c r="O2544" s="10"/>
      <c r="V2544" s="10"/>
    </row>
    <row r="2545" spans="1:22" x14ac:dyDescent="0.2">
      <c r="A2545" s="27"/>
      <c r="B2545" s="25"/>
      <c r="E2545" s="10"/>
      <c r="O2545" s="10"/>
      <c r="V2545" s="10"/>
    </row>
    <row r="2546" spans="1:22" x14ac:dyDescent="0.2">
      <c r="A2546" s="27"/>
      <c r="B2546" s="25"/>
      <c r="E2546" s="10"/>
      <c r="O2546" s="10"/>
      <c r="V2546" s="10"/>
    </row>
    <row r="2547" spans="1:22" x14ac:dyDescent="0.2">
      <c r="A2547" s="27"/>
      <c r="B2547" s="25"/>
      <c r="E2547" s="10"/>
      <c r="O2547" s="10"/>
      <c r="V2547" s="10"/>
    </row>
    <row r="2548" spans="1:22" x14ac:dyDescent="0.2">
      <c r="A2548" s="27"/>
      <c r="B2548" s="25"/>
      <c r="E2548" s="10"/>
      <c r="O2548" s="10"/>
      <c r="V2548" s="10"/>
    </row>
    <row r="2549" spans="1:22" x14ac:dyDescent="0.2">
      <c r="A2549" s="27"/>
      <c r="B2549" s="25"/>
      <c r="E2549" s="10"/>
      <c r="O2549" s="10"/>
      <c r="V2549" s="10"/>
    </row>
    <row r="2550" spans="1:22" x14ac:dyDescent="0.2">
      <c r="A2550" s="27"/>
      <c r="B2550" s="25"/>
      <c r="E2550" s="10"/>
      <c r="O2550" s="10"/>
      <c r="V2550" s="10"/>
    </row>
    <row r="2551" spans="1:22" x14ac:dyDescent="0.2">
      <c r="A2551" s="27"/>
      <c r="B2551" s="25"/>
      <c r="E2551" s="10"/>
      <c r="O2551" s="10"/>
      <c r="V2551" s="10"/>
    </row>
    <row r="2552" spans="1:22" x14ac:dyDescent="0.2">
      <c r="A2552" s="27"/>
      <c r="B2552" s="25"/>
      <c r="E2552" s="10"/>
      <c r="O2552" s="10"/>
      <c r="V2552" s="10"/>
    </row>
    <row r="2553" spans="1:22" x14ac:dyDescent="0.2">
      <c r="A2553" s="27"/>
      <c r="B2553" s="25"/>
      <c r="E2553" s="10"/>
      <c r="O2553" s="10"/>
      <c r="V2553" s="10"/>
    </row>
    <row r="2554" spans="1:22" x14ac:dyDescent="0.2">
      <c r="A2554" s="27"/>
      <c r="B2554" s="25"/>
      <c r="E2554" s="10"/>
      <c r="O2554" s="10"/>
      <c r="V2554" s="10"/>
    </row>
    <row r="2555" spans="1:22" x14ac:dyDescent="0.2">
      <c r="A2555" s="27"/>
      <c r="B2555" s="25"/>
      <c r="E2555" s="10"/>
      <c r="O2555" s="10"/>
      <c r="V2555" s="10"/>
    </row>
    <row r="2556" spans="1:22" x14ac:dyDescent="0.2">
      <c r="A2556" s="27"/>
      <c r="B2556" s="25"/>
      <c r="E2556" s="10"/>
      <c r="O2556" s="10"/>
      <c r="V2556" s="10"/>
    </row>
    <row r="2557" spans="1:22" x14ac:dyDescent="0.2">
      <c r="A2557" s="27"/>
      <c r="B2557" s="25"/>
      <c r="E2557" s="10"/>
      <c r="O2557" s="10"/>
      <c r="V2557" s="10"/>
    </row>
    <row r="2558" spans="1:22" x14ac:dyDescent="0.2">
      <c r="A2558" s="27"/>
      <c r="B2558" s="25"/>
      <c r="E2558" s="10"/>
      <c r="O2558" s="10"/>
      <c r="V2558" s="10"/>
    </row>
    <row r="2559" spans="1:22" x14ac:dyDescent="0.2">
      <c r="A2559" s="27"/>
      <c r="B2559" s="25"/>
      <c r="E2559" s="10"/>
      <c r="O2559" s="10"/>
      <c r="V2559" s="10"/>
    </row>
    <row r="2560" spans="1:22" x14ac:dyDescent="0.2">
      <c r="A2560" s="27"/>
      <c r="B2560" s="25"/>
      <c r="E2560" s="10"/>
      <c r="O2560" s="10"/>
      <c r="V2560" s="10"/>
    </row>
    <row r="2561" spans="1:22" x14ac:dyDescent="0.2">
      <c r="A2561" s="27"/>
      <c r="B2561" s="25"/>
      <c r="E2561" s="10"/>
      <c r="O2561" s="10"/>
      <c r="V2561" s="10"/>
    </row>
    <row r="2562" spans="1:22" x14ac:dyDescent="0.2">
      <c r="A2562" s="27"/>
      <c r="B2562" s="25"/>
      <c r="E2562" s="10"/>
      <c r="O2562" s="10"/>
      <c r="V2562" s="10"/>
    </row>
    <row r="2563" spans="1:22" x14ac:dyDescent="0.2">
      <c r="A2563" s="27"/>
      <c r="B2563" s="25"/>
      <c r="E2563" s="10"/>
      <c r="O2563" s="10"/>
      <c r="V2563" s="10"/>
    </row>
    <row r="2564" spans="1:22" x14ac:dyDescent="0.2">
      <c r="A2564" s="27"/>
      <c r="B2564" s="25"/>
      <c r="E2564" s="10"/>
      <c r="O2564" s="10"/>
      <c r="V2564" s="10"/>
    </row>
    <row r="2565" spans="1:22" x14ac:dyDescent="0.2">
      <c r="A2565" s="27"/>
      <c r="B2565" s="25"/>
      <c r="E2565" s="10"/>
      <c r="O2565" s="10"/>
      <c r="V2565" s="10"/>
    </row>
    <row r="2566" spans="1:22" x14ac:dyDescent="0.2">
      <c r="A2566" s="27"/>
      <c r="B2566" s="25"/>
      <c r="E2566" s="10"/>
      <c r="O2566" s="10"/>
      <c r="V2566" s="10"/>
    </row>
    <row r="2567" spans="1:22" x14ac:dyDescent="0.2">
      <c r="A2567" s="27"/>
      <c r="B2567" s="25"/>
      <c r="E2567" s="10"/>
      <c r="O2567" s="10"/>
      <c r="V2567" s="10"/>
    </row>
    <row r="2568" spans="1:22" x14ac:dyDescent="0.2">
      <c r="A2568" s="27"/>
      <c r="B2568" s="25"/>
      <c r="E2568" s="10"/>
      <c r="O2568" s="10"/>
      <c r="V2568" s="10"/>
    </row>
    <row r="2569" spans="1:22" x14ac:dyDescent="0.2">
      <c r="A2569" s="27"/>
      <c r="B2569" s="25"/>
      <c r="E2569" s="10"/>
      <c r="O2569" s="10"/>
      <c r="V2569" s="10"/>
    </row>
    <row r="2570" spans="1:22" x14ac:dyDescent="0.2">
      <c r="A2570" s="27"/>
      <c r="B2570" s="25"/>
      <c r="E2570" s="10"/>
      <c r="O2570" s="10"/>
      <c r="V2570" s="10"/>
    </row>
    <row r="2571" spans="1:22" x14ac:dyDescent="0.2">
      <c r="A2571" s="27"/>
      <c r="B2571" s="25"/>
      <c r="E2571" s="10"/>
      <c r="O2571" s="10"/>
      <c r="V2571" s="10"/>
    </row>
    <row r="2572" spans="1:22" x14ac:dyDescent="0.2">
      <c r="A2572" s="27"/>
      <c r="B2572" s="25"/>
      <c r="E2572" s="10"/>
      <c r="O2572" s="10"/>
      <c r="V2572" s="10"/>
    </row>
    <row r="2573" spans="1:22" x14ac:dyDescent="0.2">
      <c r="A2573" s="27"/>
      <c r="B2573" s="25"/>
      <c r="E2573" s="10"/>
      <c r="O2573" s="10"/>
      <c r="V2573" s="10"/>
    </row>
    <row r="2574" spans="1:22" x14ac:dyDescent="0.2">
      <c r="A2574" s="27"/>
      <c r="B2574" s="25"/>
      <c r="E2574" s="10"/>
      <c r="O2574" s="10"/>
      <c r="V2574" s="10"/>
    </row>
    <row r="2575" spans="1:22" x14ac:dyDescent="0.2">
      <c r="A2575" s="27"/>
      <c r="B2575" s="25"/>
      <c r="E2575" s="10"/>
      <c r="O2575" s="10"/>
      <c r="V2575" s="10"/>
    </row>
    <row r="2576" spans="1:22" x14ac:dyDescent="0.2">
      <c r="A2576" s="27"/>
      <c r="B2576" s="25"/>
      <c r="E2576" s="10"/>
      <c r="O2576" s="10"/>
      <c r="V2576" s="10"/>
    </row>
    <row r="2577" spans="1:22" x14ac:dyDescent="0.2">
      <c r="A2577" s="27"/>
      <c r="B2577" s="25"/>
      <c r="E2577" s="10"/>
      <c r="O2577" s="10"/>
      <c r="V2577" s="10"/>
    </row>
    <row r="2578" spans="1:22" x14ac:dyDescent="0.2">
      <c r="A2578" s="27"/>
      <c r="B2578" s="25"/>
      <c r="E2578" s="10"/>
      <c r="O2578" s="10"/>
      <c r="V2578" s="10"/>
    </row>
    <row r="2579" spans="1:22" x14ac:dyDescent="0.2">
      <c r="A2579" s="27"/>
      <c r="B2579" s="25"/>
      <c r="E2579" s="10"/>
      <c r="O2579" s="10"/>
      <c r="V2579" s="10"/>
    </row>
    <row r="2580" spans="1:22" x14ac:dyDescent="0.2">
      <c r="A2580" s="27"/>
      <c r="B2580" s="25"/>
      <c r="E2580" s="10"/>
      <c r="O2580" s="10"/>
      <c r="V2580" s="10"/>
    </row>
    <row r="2581" spans="1:22" x14ac:dyDescent="0.2">
      <c r="A2581" s="27"/>
      <c r="B2581" s="25"/>
      <c r="E2581" s="10"/>
      <c r="O2581" s="10"/>
      <c r="V2581" s="10"/>
    </row>
    <row r="2582" spans="1:22" x14ac:dyDescent="0.2">
      <c r="A2582" s="27"/>
      <c r="B2582" s="25"/>
      <c r="E2582" s="10"/>
      <c r="O2582" s="10"/>
      <c r="V2582" s="10"/>
    </row>
    <row r="2583" spans="1:22" x14ac:dyDescent="0.2">
      <c r="A2583" s="27"/>
      <c r="B2583" s="25"/>
      <c r="E2583" s="10"/>
      <c r="O2583" s="10"/>
      <c r="V2583" s="10"/>
    </row>
    <row r="2584" spans="1:22" x14ac:dyDescent="0.2">
      <c r="A2584" s="27"/>
      <c r="B2584" s="25"/>
      <c r="E2584" s="10"/>
      <c r="O2584" s="10"/>
      <c r="V2584" s="10"/>
    </row>
    <row r="2585" spans="1:22" x14ac:dyDescent="0.2">
      <c r="A2585" s="27"/>
      <c r="B2585" s="25"/>
      <c r="E2585" s="10"/>
      <c r="O2585" s="10"/>
      <c r="V2585" s="10"/>
    </row>
    <row r="2586" spans="1:22" x14ac:dyDescent="0.2">
      <c r="A2586" s="27"/>
      <c r="B2586" s="25"/>
      <c r="E2586" s="10"/>
      <c r="O2586" s="10"/>
      <c r="V2586" s="10"/>
    </row>
    <row r="2587" spans="1:22" x14ac:dyDescent="0.2">
      <c r="A2587" s="27"/>
      <c r="B2587" s="25"/>
      <c r="E2587" s="10"/>
      <c r="O2587" s="10"/>
      <c r="V2587" s="10"/>
    </row>
    <row r="2588" spans="1:22" x14ac:dyDescent="0.2">
      <c r="A2588" s="27"/>
      <c r="B2588" s="25"/>
      <c r="E2588" s="10"/>
      <c r="O2588" s="10"/>
      <c r="V2588" s="10"/>
    </row>
    <row r="2589" spans="1:22" x14ac:dyDescent="0.2">
      <c r="A2589" s="27"/>
      <c r="B2589" s="25"/>
      <c r="E2589" s="10"/>
      <c r="O2589" s="10"/>
      <c r="V2589" s="10"/>
    </row>
    <row r="2590" spans="1:22" x14ac:dyDescent="0.2">
      <c r="A2590" s="27"/>
      <c r="B2590" s="25"/>
      <c r="E2590" s="10"/>
      <c r="O2590" s="10"/>
      <c r="V2590" s="10"/>
    </row>
    <row r="2591" spans="1:22" x14ac:dyDescent="0.2">
      <c r="A2591" s="27"/>
      <c r="B2591" s="25"/>
      <c r="E2591" s="10"/>
      <c r="O2591" s="10"/>
      <c r="V2591" s="10"/>
    </row>
    <row r="2592" spans="1:22" x14ac:dyDescent="0.2">
      <c r="A2592" s="27"/>
      <c r="B2592" s="25"/>
      <c r="E2592" s="10"/>
      <c r="O2592" s="10"/>
      <c r="V2592" s="10"/>
    </row>
    <row r="2593" spans="1:22" x14ac:dyDescent="0.2">
      <c r="A2593" s="27"/>
      <c r="B2593" s="25"/>
      <c r="E2593" s="10"/>
      <c r="O2593" s="10"/>
      <c r="V2593" s="10"/>
    </row>
    <row r="2594" spans="1:22" x14ac:dyDescent="0.2">
      <c r="A2594" s="27"/>
      <c r="B2594" s="25"/>
      <c r="E2594" s="10"/>
      <c r="O2594" s="10"/>
      <c r="V2594" s="10"/>
    </row>
    <row r="2595" spans="1:22" x14ac:dyDescent="0.2">
      <c r="A2595" s="27"/>
      <c r="B2595" s="25"/>
      <c r="E2595" s="10"/>
      <c r="O2595" s="10"/>
      <c r="V2595" s="10"/>
    </row>
    <row r="2596" spans="1:22" x14ac:dyDescent="0.2">
      <c r="A2596" s="27"/>
      <c r="B2596" s="25"/>
      <c r="E2596" s="10"/>
      <c r="O2596" s="10"/>
      <c r="V2596" s="10"/>
    </row>
    <row r="2597" spans="1:22" x14ac:dyDescent="0.2">
      <c r="A2597" s="27"/>
      <c r="B2597" s="25"/>
      <c r="E2597" s="10"/>
      <c r="O2597" s="10"/>
      <c r="V2597" s="10"/>
    </row>
    <row r="2598" spans="1:22" x14ac:dyDescent="0.2">
      <c r="A2598" s="27"/>
      <c r="B2598" s="25"/>
      <c r="E2598" s="10"/>
      <c r="O2598" s="10"/>
      <c r="V2598" s="10"/>
    </row>
    <row r="2599" spans="1:22" x14ac:dyDescent="0.2">
      <c r="A2599" s="27"/>
      <c r="B2599" s="25"/>
      <c r="E2599" s="10"/>
      <c r="O2599" s="10"/>
      <c r="V2599" s="10"/>
    </row>
    <row r="2600" spans="1:22" x14ac:dyDescent="0.2">
      <c r="A2600" s="27"/>
      <c r="B2600" s="25"/>
      <c r="E2600" s="10"/>
      <c r="O2600" s="10"/>
      <c r="V2600" s="10"/>
    </row>
    <row r="2601" spans="1:22" x14ac:dyDescent="0.2">
      <c r="A2601" s="27"/>
      <c r="B2601" s="25"/>
      <c r="E2601" s="10"/>
      <c r="O2601" s="10"/>
      <c r="V2601" s="10"/>
    </row>
    <row r="2602" spans="1:22" x14ac:dyDescent="0.2">
      <c r="A2602" s="27"/>
      <c r="B2602" s="25"/>
      <c r="E2602" s="10"/>
      <c r="O2602" s="10"/>
      <c r="V2602" s="10"/>
    </row>
    <row r="2603" spans="1:22" x14ac:dyDescent="0.2">
      <c r="A2603" s="27"/>
      <c r="B2603" s="25"/>
      <c r="E2603" s="10"/>
      <c r="O2603" s="10"/>
      <c r="V2603" s="10"/>
    </row>
    <row r="2604" spans="1:22" x14ac:dyDescent="0.2">
      <c r="A2604" s="27"/>
      <c r="B2604" s="25"/>
      <c r="E2604" s="10"/>
      <c r="O2604" s="10"/>
      <c r="V2604" s="10"/>
    </row>
    <row r="2605" spans="1:22" x14ac:dyDescent="0.2">
      <c r="A2605" s="27"/>
      <c r="B2605" s="25"/>
      <c r="E2605" s="10"/>
      <c r="O2605" s="10"/>
      <c r="V2605" s="10"/>
    </row>
    <row r="2606" spans="1:22" x14ac:dyDescent="0.2">
      <c r="A2606" s="27"/>
      <c r="B2606" s="25"/>
      <c r="E2606" s="10"/>
      <c r="O2606" s="10"/>
      <c r="V2606" s="10"/>
    </row>
    <row r="2607" spans="1:22" x14ac:dyDescent="0.2">
      <c r="A2607" s="27"/>
      <c r="B2607" s="25"/>
      <c r="E2607" s="10"/>
      <c r="O2607" s="10"/>
      <c r="V2607" s="10"/>
    </row>
    <row r="2608" spans="1:22" x14ac:dyDescent="0.2">
      <c r="A2608" s="27"/>
      <c r="B2608" s="25"/>
      <c r="E2608" s="10"/>
      <c r="O2608" s="10"/>
      <c r="V2608" s="10"/>
    </row>
    <row r="2609" spans="1:22" x14ac:dyDescent="0.2">
      <c r="A2609" s="27"/>
      <c r="B2609" s="25"/>
      <c r="E2609" s="10"/>
      <c r="O2609" s="10"/>
      <c r="V2609" s="10"/>
    </row>
    <row r="2610" spans="1:22" x14ac:dyDescent="0.2">
      <c r="A2610" s="27"/>
      <c r="B2610" s="25"/>
      <c r="E2610" s="10"/>
      <c r="O2610" s="10"/>
      <c r="V2610" s="10"/>
    </row>
    <row r="2611" spans="1:22" x14ac:dyDescent="0.2">
      <c r="A2611" s="27"/>
      <c r="B2611" s="25"/>
      <c r="E2611" s="10"/>
      <c r="O2611" s="10"/>
      <c r="V2611" s="10"/>
    </row>
    <row r="2612" spans="1:22" x14ac:dyDescent="0.2">
      <c r="A2612" s="27"/>
      <c r="B2612" s="25"/>
      <c r="E2612" s="10"/>
      <c r="O2612" s="10"/>
      <c r="V2612" s="10"/>
    </row>
    <row r="2613" spans="1:22" x14ac:dyDescent="0.2">
      <c r="A2613" s="27"/>
      <c r="B2613" s="25"/>
      <c r="E2613" s="10"/>
      <c r="O2613" s="10"/>
      <c r="V2613" s="10"/>
    </row>
    <row r="2614" spans="1:22" x14ac:dyDescent="0.2">
      <c r="A2614" s="27"/>
      <c r="B2614" s="25"/>
      <c r="E2614" s="10"/>
      <c r="O2614" s="10"/>
      <c r="V2614" s="10"/>
    </row>
    <row r="2615" spans="1:22" x14ac:dyDescent="0.2">
      <c r="A2615" s="27"/>
      <c r="B2615" s="25"/>
      <c r="E2615" s="10"/>
      <c r="O2615" s="10"/>
      <c r="V2615" s="10"/>
    </row>
    <row r="2616" spans="1:22" x14ac:dyDescent="0.2">
      <c r="A2616" s="27"/>
      <c r="B2616" s="25"/>
      <c r="E2616" s="10"/>
      <c r="O2616" s="10"/>
      <c r="V2616" s="10"/>
    </row>
    <row r="2617" spans="1:22" x14ac:dyDescent="0.2">
      <c r="A2617" s="27"/>
      <c r="B2617" s="25"/>
      <c r="E2617" s="10"/>
      <c r="O2617" s="10"/>
      <c r="V2617" s="10"/>
    </row>
    <row r="2618" spans="1:22" x14ac:dyDescent="0.2">
      <c r="A2618" s="27"/>
      <c r="B2618" s="25"/>
      <c r="E2618" s="10"/>
      <c r="O2618" s="10"/>
      <c r="V2618" s="10"/>
    </row>
    <row r="2619" spans="1:22" x14ac:dyDescent="0.2">
      <c r="A2619" s="27"/>
      <c r="B2619" s="25"/>
      <c r="E2619" s="10"/>
      <c r="O2619" s="10"/>
      <c r="V2619" s="10"/>
    </row>
    <row r="2620" spans="1:22" x14ac:dyDescent="0.2">
      <c r="A2620" s="27"/>
      <c r="B2620" s="25"/>
      <c r="E2620" s="10"/>
      <c r="O2620" s="10"/>
      <c r="V2620" s="10"/>
    </row>
    <row r="2621" spans="1:22" x14ac:dyDescent="0.2">
      <c r="A2621" s="27"/>
      <c r="B2621" s="25"/>
      <c r="E2621" s="10"/>
      <c r="O2621" s="10"/>
      <c r="V2621" s="10"/>
    </row>
    <row r="2622" spans="1:22" x14ac:dyDescent="0.2">
      <c r="A2622" s="27"/>
      <c r="B2622" s="25"/>
      <c r="E2622" s="10"/>
      <c r="O2622" s="10"/>
      <c r="V2622" s="10"/>
    </row>
    <row r="2623" spans="1:22" x14ac:dyDescent="0.2">
      <c r="A2623" s="27"/>
      <c r="B2623" s="25"/>
      <c r="E2623" s="10"/>
      <c r="O2623" s="10"/>
      <c r="V2623" s="10"/>
    </row>
    <row r="2624" spans="1:22" x14ac:dyDescent="0.2">
      <c r="A2624" s="27"/>
      <c r="B2624" s="25"/>
      <c r="E2624" s="10"/>
      <c r="O2624" s="10"/>
      <c r="V2624" s="10"/>
    </row>
    <row r="2625" spans="1:22" x14ac:dyDescent="0.2">
      <c r="A2625" s="27"/>
      <c r="B2625" s="25"/>
      <c r="E2625" s="10"/>
      <c r="O2625" s="10"/>
      <c r="V2625" s="10"/>
    </row>
    <row r="2626" spans="1:22" x14ac:dyDescent="0.2">
      <c r="A2626" s="27"/>
      <c r="B2626" s="25"/>
      <c r="E2626" s="10"/>
      <c r="O2626" s="10"/>
      <c r="V2626" s="10"/>
    </row>
    <row r="2627" spans="1:22" x14ac:dyDescent="0.2">
      <c r="A2627" s="27"/>
      <c r="B2627" s="25"/>
      <c r="E2627" s="10"/>
      <c r="O2627" s="10"/>
      <c r="V2627" s="10"/>
    </row>
    <row r="2628" spans="1:22" x14ac:dyDescent="0.2">
      <c r="A2628" s="27"/>
      <c r="B2628" s="25"/>
      <c r="E2628" s="10"/>
      <c r="O2628" s="10"/>
      <c r="V2628" s="10"/>
    </row>
    <row r="2629" spans="1:22" x14ac:dyDescent="0.2">
      <c r="A2629" s="27"/>
      <c r="B2629" s="25"/>
      <c r="E2629" s="10"/>
      <c r="O2629" s="10"/>
      <c r="V2629" s="10"/>
    </row>
    <row r="2630" spans="1:22" x14ac:dyDescent="0.2">
      <c r="A2630" s="27"/>
      <c r="B2630" s="25"/>
      <c r="E2630" s="10"/>
      <c r="O2630" s="10"/>
      <c r="V2630" s="10"/>
    </row>
    <row r="2631" spans="1:22" x14ac:dyDescent="0.2">
      <c r="A2631" s="27"/>
      <c r="B2631" s="25"/>
      <c r="E2631" s="10"/>
      <c r="O2631" s="10"/>
      <c r="V2631" s="10"/>
    </row>
    <row r="2632" spans="1:22" x14ac:dyDescent="0.2">
      <c r="A2632" s="27"/>
      <c r="B2632" s="25"/>
      <c r="E2632" s="10"/>
      <c r="O2632" s="10"/>
      <c r="V2632" s="10"/>
    </row>
    <row r="2633" spans="1:22" x14ac:dyDescent="0.2">
      <c r="A2633" s="27"/>
      <c r="B2633" s="25"/>
      <c r="E2633" s="10"/>
      <c r="O2633" s="10"/>
      <c r="V2633" s="10"/>
    </row>
    <row r="2634" spans="1:22" x14ac:dyDescent="0.2">
      <c r="A2634" s="27"/>
      <c r="B2634" s="25"/>
      <c r="E2634" s="10"/>
      <c r="O2634" s="10"/>
      <c r="V2634" s="10"/>
    </row>
    <row r="2635" spans="1:22" x14ac:dyDescent="0.2">
      <c r="A2635" s="27"/>
      <c r="B2635" s="25"/>
      <c r="E2635" s="10"/>
      <c r="O2635" s="10"/>
      <c r="V2635" s="10"/>
    </row>
    <row r="2636" spans="1:22" x14ac:dyDescent="0.2">
      <c r="A2636" s="27"/>
      <c r="B2636" s="25"/>
      <c r="E2636" s="10"/>
      <c r="O2636" s="10"/>
      <c r="V2636" s="10"/>
    </row>
    <row r="2637" spans="1:22" x14ac:dyDescent="0.2">
      <c r="A2637" s="27"/>
      <c r="B2637" s="25"/>
      <c r="E2637" s="10"/>
      <c r="O2637" s="10"/>
      <c r="V2637" s="10"/>
    </row>
    <row r="2638" spans="1:22" x14ac:dyDescent="0.2">
      <c r="A2638" s="27"/>
      <c r="B2638" s="25"/>
      <c r="E2638" s="10"/>
      <c r="O2638" s="10"/>
      <c r="V2638" s="10"/>
    </row>
    <row r="2639" spans="1:22" x14ac:dyDescent="0.2">
      <c r="A2639" s="27"/>
      <c r="B2639" s="25"/>
      <c r="E2639" s="10"/>
      <c r="O2639" s="10"/>
      <c r="V2639" s="10"/>
    </row>
    <row r="2640" spans="1:22" x14ac:dyDescent="0.2">
      <c r="A2640" s="27"/>
      <c r="B2640" s="25"/>
      <c r="E2640" s="10"/>
      <c r="O2640" s="10"/>
      <c r="V2640" s="10"/>
    </row>
    <row r="2641" spans="1:22" x14ac:dyDescent="0.2">
      <c r="A2641" s="27"/>
      <c r="B2641" s="25"/>
      <c r="E2641" s="10"/>
      <c r="O2641" s="10"/>
      <c r="V2641" s="10"/>
    </row>
    <row r="2642" spans="1:22" x14ac:dyDescent="0.2">
      <c r="A2642" s="27"/>
      <c r="B2642" s="25"/>
      <c r="E2642" s="10"/>
      <c r="O2642" s="10"/>
      <c r="V2642" s="10"/>
    </row>
    <row r="2643" spans="1:22" x14ac:dyDescent="0.2">
      <c r="A2643" s="27"/>
      <c r="B2643" s="25"/>
      <c r="E2643" s="10"/>
      <c r="O2643" s="10"/>
      <c r="V2643" s="10"/>
    </row>
    <row r="2644" spans="1:22" x14ac:dyDescent="0.2">
      <c r="A2644" s="27"/>
      <c r="B2644" s="25"/>
      <c r="E2644" s="10"/>
      <c r="O2644" s="10"/>
      <c r="V2644" s="10"/>
    </row>
    <row r="2645" spans="1:22" x14ac:dyDescent="0.2">
      <c r="A2645" s="27"/>
      <c r="B2645" s="25"/>
      <c r="E2645" s="10"/>
      <c r="O2645" s="10"/>
      <c r="V2645" s="10"/>
    </row>
    <row r="2646" spans="1:22" x14ac:dyDescent="0.2">
      <c r="A2646" s="27"/>
      <c r="B2646" s="25"/>
      <c r="E2646" s="10"/>
      <c r="O2646" s="10"/>
      <c r="V2646" s="10"/>
    </row>
    <row r="2647" spans="1:22" x14ac:dyDescent="0.2">
      <c r="A2647" s="27"/>
      <c r="B2647" s="25"/>
      <c r="E2647" s="10"/>
      <c r="O2647" s="10"/>
      <c r="V2647" s="10"/>
    </row>
    <row r="2648" spans="1:22" x14ac:dyDescent="0.2">
      <c r="A2648" s="27"/>
      <c r="B2648" s="25"/>
      <c r="E2648" s="10"/>
      <c r="O2648" s="10"/>
      <c r="V2648" s="10"/>
    </row>
    <row r="2649" spans="1:22" x14ac:dyDescent="0.2">
      <c r="A2649" s="27"/>
      <c r="B2649" s="25"/>
      <c r="E2649" s="10"/>
      <c r="O2649" s="10"/>
      <c r="V2649" s="10"/>
    </row>
    <row r="2650" spans="1:22" x14ac:dyDescent="0.2">
      <c r="A2650" s="27"/>
      <c r="B2650" s="25"/>
      <c r="E2650" s="10"/>
      <c r="O2650" s="10"/>
      <c r="V2650" s="10"/>
    </row>
    <row r="2651" spans="1:22" x14ac:dyDescent="0.2">
      <c r="A2651" s="27"/>
      <c r="B2651" s="25"/>
      <c r="E2651" s="10"/>
      <c r="O2651" s="10"/>
      <c r="V2651" s="10"/>
    </row>
    <row r="2652" spans="1:22" x14ac:dyDescent="0.2">
      <c r="A2652" s="27"/>
      <c r="B2652" s="25"/>
      <c r="E2652" s="10"/>
      <c r="O2652" s="10"/>
      <c r="V2652" s="10"/>
    </row>
    <row r="2653" spans="1:22" x14ac:dyDescent="0.2">
      <c r="A2653" s="27"/>
      <c r="B2653" s="25"/>
      <c r="E2653" s="10"/>
      <c r="O2653" s="10"/>
      <c r="V2653" s="10"/>
    </row>
    <row r="2654" spans="1:22" x14ac:dyDescent="0.2">
      <c r="A2654" s="27"/>
      <c r="B2654" s="25"/>
      <c r="E2654" s="10"/>
      <c r="O2654" s="10"/>
      <c r="V2654" s="10"/>
    </row>
    <row r="2655" spans="1:22" x14ac:dyDescent="0.2">
      <c r="A2655" s="27"/>
      <c r="B2655" s="25"/>
      <c r="E2655" s="10"/>
      <c r="O2655" s="10"/>
      <c r="V2655" s="10"/>
    </row>
    <row r="2656" spans="1:22" x14ac:dyDescent="0.2">
      <c r="A2656" s="27"/>
      <c r="B2656" s="25"/>
      <c r="E2656" s="10"/>
      <c r="O2656" s="10"/>
      <c r="V2656" s="10"/>
    </row>
    <row r="2657" spans="1:22" x14ac:dyDescent="0.2">
      <c r="A2657" s="27"/>
      <c r="B2657" s="25"/>
      <c r="E2657" s="10"/>
      <c r="O2657" s="10"/>
      <c r="V2657" s="10"/>
    </row>
    <row r="2658" spans="1:22" x14ac:dyDescent="0.2">
      <c r="A2658" s="27"/>
      <c r="B2658" s="25"/>
      <c r="E2658" s="10"/>
      <c r="O2658" s="10"/>
      <c r="V2658" s="10"/>
    </row>
    <row r="2659" spans="1:22" x14ac:dyDescent="0.2">
      <c r="A2659" s="27"/>
      <c r="B2659" s="25"/>
      <c r="E2659" s="10"/>
      <c r="O2659" s="10"/>
      <c r="V2659" s="10"/>
    </row>
    <row r="2660" spans="1:22" x14ac:dyDescent="0.2">
      <c r="A2660" s="27"/>
      <c r="B2660" s="25"/>
      <c r="E2660" s="10"/>
      <c r="O2660" s="10"/>
      <c r="V2660" s="10"/>
    </row>
    <row r="2661" spans="1:22" x14ac:dyDescent="0.2">
      <c r="A2661" s="27"/>
      <c r="B2661" s="25"/>
      <c r="E2661" s="10"/>
      <c r="O2661" s="10"/>
      <c r="V2661" s="10"/>
    </row>
    <row r="2662" spans="1:22" x14ac:dyDescent="0.2">
      <c r="A2662" s="27"/>
      <c r="B2662" s="25"/>
      <c r="E2662" s="10"/>
      <c r="O2662" s="10"/>
      <c r="V2662" s="10"/>
    </row>
    <row r="2663" spans="1:22" x14ac:dyDescent="0.2">
      <c r="A2663" s="27"/>
      <c r="B2663" s="25"/>
      <c r="E2663" s="10"/>
      <c r="O2663" s="10"/>
      <c r="V2663" s="10"/>
    </row>
    <row r="2664" spans="1:22" x14ac:dyDescent="0.2">
      <c r="A2664" s="27"/>
      <c r="B2664" s="25"/>
      <c r="E2664" s="10"/>
      <c r="O2664" s="10"/>
      <c r="V2664" s="10"/>
    </row>
    <row r="2665" spans="1:22" x14ac:dyDescent="0.2">
      <c r="A2665" s="27"/>
      <c r="B2665" s="25"/>
      <c r="E2665" s="10"/>
      <c r="O2665" s="10"/>
      <c r="V2665" s="10"/>
    </row>
    <row r="2666" spans="1:22" x14ac:dyDescent="0.2">
      <c r="A2666" s="27"/>
      <c r="B2666" s="25"/>
      <c r="E2666" s="10"/>
      <c r="O2666" s="10"/>
      <c r="V2666" s="10"/>
    </row>
    <row r="2667" spans="1:22" x14ac:dyDescent="0.2">
      <c r="A2667" s="27"/>
      <c r="B2667" s="25"/>
      <c r="E2667" s="10"/>
      <c r="O2667" s="10"/>
      <c r="V2667" s="10"/>
    </row>
    <row r="2668" spans="1:22" x14ac:dyDescent="0.2">
      <c r="A2668" s="27"/>
      <c r="B2668" s="25"/>
      <c r="E2668" s="10"/>
      <c r="O2668" s="10"/>
      <c r="V2668" s="10"/>
    </row>
    <row r="2669" spans="1:22" x14ac:dyDescent="0.2">
      <c r="A2669" s="27"/>
      <c r="B2669" s="25"/>
      <c r="E2669" s="10"/>
      <c r="O2669" s="10"/>
      <c r="V2669" s="10"/>
    </row>
    <row r="2670" spans="1:22" x14ac:dyDescent="0.2">
      <c r="A2670" s="27"/>
      <c r="B2670" s="25"/>
      <c r="E2670" s="10"/>
      <c r="O2670" s="10"/>
      <c r="V2670" s="10"/>
    </row>
    <row r="2671" spans="1:22" x14ac:dyDescent="0.2">
      <c r="A2671" s="27"/>
      <c r="B2671" s="25"/>
      <c r="E2671" s="10"/>
      <c r="O2671" s="10"/>
      <c r="V2671" s="10"/>
    </row>
    <row r="2672" spans="1:22" x14ac:dyDescent="0.2">
      <c r="A2672" s="27"/>
      <c r="B2672" s="25"/>
      <c r="E2672" s="10"/>
      <c r="O2672" s="10"/>
      <c r="V2672" s="10"/>
    </row>
    <row r="2673" spans="1:22" x14ac:dyDescent="0.2">
      <c r="A2673" s="27"/>
      <c r="B2673" s="25"/>
      <c r="E2673" s="10"/>
      <c r="O2673" s="10"/>
      <c r="V2673" s="10"/>
    </row>
    <row r="2674" spans="1:22" x14ac:dyDescent="0.2">
      <c r="A2674" s="27"/>
      <c r="B2674" s="25"/>
      <c r="E2674" s="10"/>
      <c r="O2674" s="10"/>
      <c r="V2674" s="10"/>
    </row>
    <row r="2675" spans="1:22" x14ac:dyDescent="0.2">
      <c r="A2675" s="27"/>
      <c r="B2675" s="25"/>
      <c r="E2675" s="10"/>
      <c r="O2675" s="10"/>
      <c r="V2675" s="10"/>
    </row>
    <row r="2676" spans="1:22" x14ac:dyDescent="0.2">
      <c r="A2676" s="27"/>
      <c r="B2676" s="25"/>
      <c r="E2676" s="10"/>
      <c r="O2676" s="10"/>
      <c r="V2676" s="10"/>
    </row>
    <row r="2677" spans="1:22" x14ac:dyDescent="0.2">
      <c r="A2677" s="27"/>
      <c r="B2677" s="25"/>
      <c r="E2677" s="10"/>
      <c r="O2677" s="10"/>
      <c r="V2677" s="10"/>
    </row>
    <row r="2678" spans="1:22" x14ac:dyDescent="0.2">
      <c r="A2678" s="27"/>
      <c r="B2678" s="25"/>
      <c r="E2678" s="10"/>
      <c r="O2678" s="10"/>
      <c r="V2678" s="10"/>
    </row>
    <row r="2679" spans="1:22" x14ac:dyDescent="0.2">
      <c r="A2679" s="27"/>
      <c r="B2679" s="25"/>
      <c r="E2679" s="10"/>
      <c r="O2679" s="10"/>
      <c r="V2679" s="10"/>
    </row>
    <row r="2680" spans="1:22" x14ac:dyDescent="0.2">
      <c r="A2680" s="27"/>
      <c r="B2680" s="25"/>
      <c r="E2680" s="10"/>
      <c r="O2680" s="10"/>
      <c r="V2680" s="10"/>
    </row>
    <row r="2681" spans="1:22" x14ac:dyDescent="0.2">
      <c r="A2681" s="27"/>
      <c r="B2681" s="25"/>
      <c r="E2681" s="10"/>
      <c r="O2681" s="10"/>
      <c r="V2681" s="10"/>
    </row>
    <row r="2682" spans="1:22" x14ac:dyDescent="0.2">
      <c r="A2682" s="27"/>
      <c r="B2682" s="25"/>
      <c r="E2682" s="10"/>
      <c r="O2682" s="10"/>
      <c r="V2682" s="10"/>
    </row>
    <row r="2683" spans="1:22" x14ac:dyDescent="0.2">
      <c r="A2683" s="27"/>
      <c r="B2683" s="25"/>
      <c r="E2683" s="10"/>
      <c r="O2683" s="10"/>
      <c r="V2683" s="10"/>
    </row>
    <row r="2684" spans="1:22" x14ac:dyDescent="0.2">
      <c r="A2684" s="27"/>
      <c r="B2684" s="25"/>
      <c r="E2684" s="10"/>
      <c r="O2684" s="10"/>
      <c r="V2684" s="10"/>
    </row>
    <row r="2685" spans="1:22" x14ac:dyDescent="0.2">
      <c r="A2685" s="27"/>
      <c r="B2685" s="25"/>
      <c r="E2685" s="10"/>
      <c r="O2685" s="10"/>
      <c r="V2685" s="10"/>
    </row>
    <row r="2686" spans="1:22" x14ac:dyDescent="0.2">
      <c r="A2686" s="27"/>
      <c r="B2686" s="25"/>
      <c r="E2686" s="10"/>
      <c r="O2686" s="10"/>
      <c r="V2686" s="10"/>
    </row>
    <row r="2687" spans="1:22" x14ac:dyDescent="0.2">
      <c r="A2687" s="27"/>
      <c r="B2687" s="25"/>
      <c r="E2687" s="10"/>
      <c r="O2687" s="10"/>
      <c r="V2687" s="10"/>
    </row>
    <row r="2688" spans="1:22" x14ac:dyDescent="0.2">
      <c r="A2688" s="27"/>
      <c r="B2688" s="25"/>
      <c r="E2688" s="10"/>
      <c r="O2688" s="10"/>
      <c r="V2688" s="10"/>
    </row>
    <row r="2689" spans="1:22" x14ac:dyDescent="0.2">
      <c r="A2689" s="27"/>
      <c r="B2689" s="25"/>
      <c r="E2689" s="10"/>
      <c r="O2689" s="10"/>
      <c r="V2689" s="10"/>
    </row>
    <row r="2690" spans="1:22" x14ac:dyDescent="0.2">
      <c r="A2690" s="27"/>
      <c r="B2690" s="25"/>
      <c r="E2690" s="10"/>
      <c r="O2690" s="10"/>
      <c r="V2690" s="10"/>
    </row>
    <row r="2691" spans="1:22" x14ac:dyDescent="0.2">
      <c r="A2691" s="27"/>
      <c r="B2691" s="25"/>
      <c r="E2691" s="10"/>
      <c r="O2691" s="10"/>
      <c r="V2691" s="10"/>
    </row>
    <row r="2692" spans="1:22" x14ac:dyDescent="0.2">
      <c r="A2692" s="27"/>
      <c r="B2692" s="25"/>
      <c r="E2692" s="10"/>
      <c r="O2692" s="10"/>
      <c r="V2692" s="10"/>
    </row>
    <row r="2693" spans="1:22" x14ac:dyDescent="0.2">
      <c r="A2693" s="27"/>
      <c r="B2693" s="25"/>
      <c r="E2693" s="10"/>
      <c r="O2693" s="10"/>
      <c r="V2693" s="10"/>
    </row>
    <row r="2694" spans="1:22" x14ac:dyDescent="0.2">
      <c r="A2694" s="27"/>
      <c r="B2694" s="25"/>
      <c r="E2694" s="10"/>
      <c r="O2694" s="10"/>
      <c r="V2694" s="10"/>
    </row>
    <row r="2695" spans="1:22" x14ac:dyDescent="0.2">
      <c r="A2695" s="27"/>
      <c r="B2695" s="25"/>
      <c r="E2695" s="10"/>
      <c r="O2695" s="10"/>
      <c r="V2695" s="10"/>
    </row>
    <row r="2696" spans="1:22" x14ac:dyDescent="0.2">
      <c r="A2696" s="27"/>
      <c r="B2696" s="25"/>
      <c r="E2696" s="10"/>
      <c r="O2696" s="10"/>
      <c r="V2696" s="10"/>
    </row>
    <row r="2697" spans="1:22" x14ac:dyDescent="0.2">
      <c r="A2697" s="27"/>
      <c r="B2697" s="25"/>
      <c r="E2697" s="10"/>
      <c r="O2697" s="10"/>
      <c r="V2697" s="10"/>
    </row>
    <row r="2698" spans="1:22" x14ac:dyDescent="0.2">
      <c r="A2698" s="27"/>
      <c r="B2698" s="25"/>
      <c r="E2698" s="10"/>
      <c r="O2698" s="10"/>
      <c r="V2698" s="10"/>
    </row>
    <row r="2699" spans="1:22" x14ac:dyDescent="0.2">
      <c r="A2699" s="27"/>
      <c r="B2699" s="25"/>
      <c r="E2699" s="10"/>
      <c r="O2699" s="10"/>
      <c r="V2699" s="10"/>
    </row>
    <row r="2700" spans="1:22" x14ac:dyDescent="0.2">
      <c r="A2700" s="27"/>
      <c r="B2700" s="25"/>
      <c r="E2700" s="10"/>
      <c r="O2700" s="10"/>
      <c r="V2700" s="10"/>
    </row>
    <row r="2701" spans="1:22" x14ac:dyDescent="0.2">
      <c r="A2701" s="27"/>
      <c r="B2701" s="25"/>
      <c r="E2701" s="10"/>
      <c r="O2701" s="10"/>
      <c r="V2701" s="10"/>
    </row>
    <row r="2702" spans="1:22" x14ac:dyDescent="0.2">
      <c r="A2702" s="27"/>
      <c r="B2702" s="25"/>
      <c r="E2702" s="10"/>
      <c r="O2702" s="10"/>
      <c r="V2702" s="10"/>
    </row>
    <row r="2703" spans="1:22" x14ac:dyDescent="0.2">
      <c r="A2703" s="27"/>
      <c r="B2703" s="25"/>
      <c r="E2703" s="10"/>
      <c r="O2703" s="10"/>
      <c r="V2703" s="10"/>
    </row>
    <row r="2704" spans="1:22" x14ac:dyDescent="0.2">
      <c r="A2704" s="27"/>
      <c r="B2704" s="25"/>
      <c r="E2704" s="10"/>
      <c r="O2704" s="10"/>
      <c r="V2704" s="10"/>
    </row>
    <row r="2705" spans="1:22" x14ac:dyDescent="0.2">
      <c r="A2705" s="27"/>
      <c r="B2705" s="25"/>
      <c r="E2705" s="10"/>
      <c r="O2705" s="10"/>
      <c r="V2705" s="10"/>
    </row>
    <row r="2706" spans="1:22" x14ac:dyDescent="0.2">
      <c r="A2706" s="27"/>
      <c r="B2706" s="25"/>
      <c r="E2706" s="10"/>
      <c r="O2706" s="10"/>
      <c r="V2706" s="10"/>
    </row>
    <row r="2707" spans="1:22" x14ac:dyDescent="0.2">
      <c r="A2707" s="27"/>
      <c r="B2707" s="25"/>
      <c r="E2707" s="10"/>
      <c r="O2707" s="10"/>
      <c r="V2707" s="10"/>
    </row>
    <row r="2708" spans="1:22" x14ac:dyDescent="0.2">
      <c r="A2708" s="27"/>
      <c r="B2708" s="25"/>
      <c r="E2708" s="10"/>
      <c r="O2708" s="10"/>
      <c r="V2708" s="10"/>
    </row>
    <row r="2709" spans="1:22" x14ac:dyDescent="0.2">
      <c r="A2709" s="27"/>
      <c r="B2709" s="25"/>
      <c r="E2709" s="10"/>
      <c r="O2709" s="10"/>
      <c r="V2709" s="10"/>
    </row>
    <row r="2710" spans="1:22" x14ac:dyDescent="0.2">
      <c r="A2710" s="27"/>
      <c r="B2710" s="25"/>
      <c r="E2710" s="10"/>
      <c r="O2710" s="10"/>
      <c r="V2710" s="10"/>
    </row>
    <row r="2711" spans="1:22" x14ac:dyDescent="0.2">
      <c r="A2711" s="27"/>
      <c r="B2711" s="25"/>
      <c r="E2711" s="10"/>
      <c r="O2711" s="10"/>
      <c r="V2711" s="10"/>
    </row>
    <row r="2712" spans="1:22" x14ac:dyDescent="0.2">
      <c r="A2712" s="27"/>
      <c r="B2712" s="25"/>
      <c r="E2712" s="10"/>
      <c r="O2712" s="10"/>
      <c r="V2712" s="10"/>
    </row>
    <row r="2713" spans="1:22" x14ac:dyDescent="0.2">
      <c r="A2713" s="27"/>
      <c r="B2713" s="25"/>
      <c r="E2713" s="10"/>
      <c r="O2713" s="10"/>
      <c r="V2713" s="10"/>
    </row>
    <row r="2714" spans="1:22" x14ac:dyDescent="0.2">
      <c r="A2714" s="27"/>
      <c r="B2714" s="25"/>
      <c r="E2714" s="10"/>
      <c r="O2714" s="10"/>
      <c r="V2714" s="10"/>
    </row>
    <row r="2715" spans="1:22" x14ac:dyDescent="0.2">
      <c r="A2715" s="27"/>
      <c r="B2715" s="25"/>
      <c r="E2715" s="10"/>
      <c r="O2715" s="10"/>
      <c r="V2715" s="10"/>
    </row>
    <row r="2716" spans="1:22" x14ac:dyDescent="0.2">
      <c r="A2716" s="27"/>
      <c r="B2716" s="25"/>
      <c r="E2716" s="10"/>
      <c r="O2716" s="10"/>
      <c r="V2716" s="10"/>
    </row>
    <row r="2717" spans="1:22" x14ac:dyDescent="0.2">
      <c r="A2717" s="27"/>
      <c r="B2717" s="25"/>
      <c r="E2717" s="10"/>
      <c r="O2717" s="10"/>
      <c r="V2717" s="10"/>
    </row>
    <row r="2718" spans="1:22" x14ac:dyDescent="0.2">
      <c r="A2718" s="27"/>
      <c r="B2718" s="25"/>
      <c r="E2718" s="10"/>
      <c r="O2718" s="10"/>
      <c r="V2718" s="10"/>
    </row>
    <row r="2719" spans="1:22" x14ac:dyDescent="0.2">
      <c r="A2719" s="27"/>
      <c r="B2719" s="25"/>
      <c r="E2719" s="10"/>
      <c r="O2719" s="10"/>
      <c r="V2719" s="10"/>
    </row>
    <row r="2720" spans="1:22" x14ac:dyDescent="0.2">
      <c r="A2720" s="27"/>
      <c r="B2720" s="25"/>
      <c r="E2720" s="10"/>
      <c r="O2720" s="10"/>
      <c r="V2720" s="10"/>
    </row>
    <row r="2721" spans="1:22" x14ac:dyDescent="0.2">
      <c r="A2721" s="27"/>
      <c r="B2721" s="25"/>
      <c r="E2721" s="10"/>
      <c r="O2721" s="10"/>
      <c r="V2721" s="10"/>
    </row>
    <row r="2722" spans="1:22" x14ac:dyDescent="0.2">
      <c r="A2722" s="27"/>
      <c r="B2722" s="25"/>
      <c r="E2722" s="10"/>
      <c r="O2722" s="10"/>
      <c r="V2722" s="10"/>
    </row>
    <row r="2723" spans="1:22" x14ac:dyDescent="0.2">
      <c r="A2723" s="27"/>
      <c r="B2723" s="25"/>
      <c r="E2723" s="10"/>
      <c r="O2723" s="10"/>
      <c r="V2723" s="10"/>
    </row>
    <row r="2724" spans="1:22" x14ac:dyDescent="0.2">
      <c r="A2724" s="27"/>
      <c r="B2724" s="25"/>
      <c r="E2724" s="10"/>
      <c r="O2724" s="10"/>
      <c r="V2724" s="10"/>
    </row>
    <row r="2725" spans="1:22" x14ac:dyDescent="0.2">
      <c r="A2725" s="27"/>
      <c r="B2725" s="25"/>
      <c r="E2725" s="10"/>
      <c r="O2725" s="10"/>
      <c r="V2725" s="10"/>
    </row>
    <row r="2726" spans="1:22" x14ac:dyDescent="0.2">
      <c r="A2726" s="27"/>
      <c r="B2726" s="25"/>
      <c r="E2726" s="10"/>
      <c r="O2726" s="10"/>
      <c r="V2726" s="10"/>
    </row>
    <row r="2727" spans="1:22" x14ac:dyDescent="0.2">
      <c r="A2727" s="27"/>
      <c r="B2727" s="25"/>
      <c r="E2727" s="10"/>
      <c r="O2727" s="10"/>
      <c r="V2727" s="10"/>
    </row>
    <row r="2728" spans="1:22" x14ac:dyDescent="0.2">
      <c r="A2728" s="27"/>
      <c r="B2728" s="25"/>
      <c r="E2728" s="10"/>
      <c r="O2728" s="10"/>
      <c r="V2728" s="10"/>
    </row>
    <row r="2729" spans="1:22" x14ac:dyDescent="0.2">
      <c r="A2729" s="27"/>
      <c r="B2729" s="25"/>
      <c r="E2729" s="10"/>
      <c r="O2729" s="10"/>
      <c r="V2729" s="10"/>
    </row>
    <row r="2730" spans="1:22" x14ac:dyDescent="0.2">
      <c r="A2730" s="27"/>
      <c r="B2730" s="25"/>
      <c r="E2730" s="10"/>
      <c r="O2730" s="10"/>
      <c r="V2730" s="10"/>
    </row>
    <row r="2731" spans="1:22" x14ac:dyDescent="0.2">
      <c r="A2731" s="27"/>
      <c r="B2731" s="25"/>
      <c r="E2731" s="10"/>
      <c r="O2731" s="10"/>
      <c r="V2731" s="10"/>
    </row>
    <row r="2732" spans="1:22" x14ac:dyDescent="0.2">
      <c r="A2732" s="27"/>
      <c r="B2732" s="25"/>
      <c r="E2732" s="10"/>
      <c r="O2732" s="10"/>
      <c r="V2732" s="10"/>
    </row>
    <row r="2733" spans="1:22" x14ac:dyDescent="0.2">
      <c r="A2733" s="27"/>
      <c r="B2733" s="25"/>
      <c r="E2733" s="10"/>
      <c r="O2733" s="10"/>
      <c r="V2733" s="10"/>
    </row>
    <row r="2734" spans="1:22" x14ac:dyDescent="0.2">
      <c r="A2734" s="27"/>
      <c r="B2734" s="25"/>
      <c r="E2734" s="10"/>
      <c r="O2734" s="10"/>
      <c r="V2734" s="10"/>
    </row>
    <row r="2735" spans="1:22" x14ac:dyDescent="0.2">
      <c r="A2735" s="27"/>
      <c r="B2735" s="25"/>
      <c r="E2735" s="10"/>
      <c r="O2735" s="10"/>
      <c r="V2735" s="10"/>
    </row>
    <row r="2736" spans="1:22" x14ac:dyDescent="0.2">
      <c r="A2736" s="27"/>
      <c r="B2736" s="25"/>
      <c r="E2736" s="10"/>
      <c r="O2736" s="10"/>
      <c r="V2736" s="10"/>
    </row>
    <row r="2737" spans="1:22" x14ac:dyDescent="0.2">
      <c r="A2737" s="27"/>
      <c r="B2737" s="25"/>
      <c r="E2737" s="10"/>
      <c r="O2737" s="10"/>
      <c r="V2737" s="10"/>
    </row>
    <row r="2738" spans="1:22" x14ac:dyDescent="0.2">
      <c r="A2738" s="27"/>
      <c r="B2738" s="25"/>
      <c r="E2738" s="10"/>
      <c r="O2738" s="10"/>
      <c r="V2738" s="10"/>
    </row>
    <row r="2739" spans="1:22" x14ac:dyDescent="0.2">
      <c r="A2739" s="27"/>
      <c r="B2739" s="25"/>
      <c r="E2739" s="10"/>
      <c r="O2739" s="10"/>
      <c r="V2739" s="10"/>
    </row>
    <row r="2740" spans="1:22" x14ac:dyDescent="0.2">
      <c r="A2740" s="27"/>
      <c r="B2740" s="25"/>
      <c r="E2740" s="10"/>
      <c r="O2740" s="10"/>
      <c r="V2740" s="10"/>
    </row>
    <row r="2741" spans="1:22" x14ac:dyDescent="0.2">
      <c r="A2741" s="27"/>
      <c r="B2741" s="25"/>
      <c r="E2741" s="10"/>
      <c r="O2741" s="10"/>
      <c r="V2741" s="10"/>
    </row>
    <row r="2742" spans="1:22" x14ac:dyDescent="0.2">
      <c r="A2742" s="27"/>
      <c r="B2742" s="25"/>
      <c r="E2742" s="10"/>
      <c r="O2742" s="10"/>
      <c r="V2742" s="10"/>
    </row>
    <row r="2743" spans="1:22" x14ac:dyDescent="0.2">
      <c r="A2743" s="27"/>
      <c r="B2743" s="25"/>
      <c r="E2743" s="10"/>
      <c r="O2743" s="10"/>
      <c r="V2743" s="10"/>
    </row>
    <row r="2744" spans="1:22" x14ac:dyDescent="0.2">
      <c r="A2744" s="27"/>
      <c r="B2744" s="25"/>
      <c r="E2744" s="10"/>
      <c r="O2744" s="10"/>
      <c r="V2744" s="10"/>
    </row>
    <row r="2745" spans="1:22" x14ac:dyDescent="0.2">
      <c r="A2745" s="27"/>
      <c r="B2745" s="25"/>
      <c r="E2745" s="10"/>
      <c r="O2745" s="10"/>
      <c r="V2745" s="10"/>
    </row>
    <row r="2746" spans="1:22" x14ac:dyDescent="0.2">
      <c r="A2746" s="27"/>
      <c r="B2746" s="25"/>
      <c r="E2746" s="10"/>
      <c r="O2746" s="10"/>
      <c r="V2746" s="10"/>
    </row>
    <row r="2747" spans="1:22" x14ac:dyDescent="0.2">
      <c r="A2747" s="27"/>
      <c r="B2747" s="25"/>
      <c r="E2747" s="10"/>
      <c r="O2747" s="10"/>
      <c r="V2747" s="10"/>
    </row>
    <row r="2748" spans="1:22" x14ac:dyDescent="0.2">
      <c r="A2748" s="27"/>
      <c r="B2748" s="25"/>
      <c r="E2748" s="10"/>
      <c r="O2748" s="10"/>
      <c r="V2748" s="10"/>
    </row>
    <row r="2749" spans="1:22" x14ac:dyDescent="0.2">
      <c r="A2749" s="27"/>
      <c r="B2749" s="25"/>
      <c r="E2749" s="10"/>
      <c r="O2749" s="10"/>
      <c r="V2749" s="10"/>
    </row>
    <row r="2750" spans="1:22" x14ac:dyDescent="0.2">
      <c r="A2750" s="27"/>
      <c r="B2750" s="25"/>
      <c r="E2750" s="10"/>
      <c r="O2750" s="10"/>
      <c r="V2750" s="10"/>
    </row>
    <row r="2751" spans="1:22" x14ac:dyDescent="0.2">
      <c r="A2751" s="27"/>
      <c r="B2751" s="25"/>
      <c r="E2751" s="10"/>
      <c r="O2751" s="10"/>
      <c r="V2751" s="10"/>
    </row>
    <row r="2752" spans="1:22" x14ac:dyDescent="0.2">
      <c r="A2752" s="27"/>
      <c r="B2752" s="25"/>
      <c r="E2752" s="10"/>
      <c r="O2752" s="10"/>
      <c r="V2752" s="10"/>
    </row>
    <row r="2753" spans="1:22" x14ac:dyDescent="0.2">
      <c r="A2753" s="27"/>
      <c r="B2753" s="25"/>
      <c r="E2753" s="10"/>
      <c r="O2753" s="10"/>
      <c r="V2753" s="10"/>
    </row>
    <row r="2754" spans="1:22" x14ac:dyDescent="0.2">
      <c r="A2754" s="27"/>
      <c r="B2754" s="25"/>
      <c r="E2754" s="10"/>
      <c r="O2754" s="10"/>
      <c r="V2754" s="10"/>
    </row>
    <row r="2755" spans="1:22" x14ac:dyDescent="0.2">
      <c r="A2755" s="27"/>
      <c r="B2755" s="25"/>
      <c r="E2755" s="10"/>
      <c r="O2755" s="10"/>
      <c r="V2755" s="10"/>
    </row>
    <row r="2756" spans="1:22" x14ac:dyDescent="0.2">
      <c r="A2756" s="27"/>
      <c r="B2756" s="25"/>
      <c r="E2756" s="10"/>
      <c r="O2756" s="10"/>
      <c r="V2756" s="10"/>
    </row>
    <row r="2757" spans="1:22" x14ac:dyDescent="0.2">
      <c r="A2757" s="27"/>
      <c r="B2757" s="25"/>
      <c r="E2757" s="10"/>
      <c r="O2757" s="10"/>
      <c r="V2757" s="10"/>
    </row>
    <row r="2758" spans="1:22" x14ac:dyDescent="0.2">
      <c r="A2758" s="27"/>
      <c r="B2758" s="25"/>
      <c r="E2758" s="10"/>
      <c r="O2758" s="10"/>
      <c r="V2758" s="10"/>
    </row>
    <row r="2759" spans="1:22" x14ac:dyDescent="0.2">
      <c r="A2759" s="27"/>
      <c r="B2759" s="25"/>
      <c r="E2759" s="10"/>
      <c r="O2759" s="10"/>
      <c r="V2759" s="10"/>
    </row>
    <row r="2760" spans="1:22" x14ac:dyDescent="0.2">
      <c r="A2760" s="27"/>
      <c r="B2760" s="25"/>
      <c r="E2760" s="10"/>
      <c r="O2760" s="10"/>
      <c r="V2760" s="10"/>
    </row>
    <row r="2761" spans="1:22" x14ac:dyDescent="0.2">
      <c r="A2761" s="27"/>
      <c r="B2761" s="25"/>
      <c r="E2761" s="10"/>
      <c r="O2761" s="10"/>
      <c r="V2761" s="10"/>
    </row>
    <row r="2762" spans="1:22" x14ac:dyDescent="0.2">
      <c r="A2762" s="27"/>
      <c r="B2762" s="25"/>
      <c r="E2762" s="10"/>
      <c r="O2762" s="10"/>
      <c r="V2762" s="10"/>
    </row>
    <row r="2763" spans="1:22" x14ac:dyDescent="0.2">
      <c r="A2763" s="27"/>
      <c r="B2763" s="25"/>
      <c r="E2763" s="10"/>
      <c r="O2763" s="10"/>
      <c r="V2763" s="10"/>
    </row>
    <row r="2764" spans="1:22" x14ac:dyDescent="0.2">
      <c r="A2764" s="27"/>
      <c r="B2764" s="25"/>
      <c r="E2764" s="10"/>
      <c r="O2764" s="10"/>
      <c r="V2764" s="10"/>
    </row>
    <row r="2765" spans="1:22" x14ac:dyDescent="0.2">
      <c r="A2765" s="27"/>
      <c r="B2765" s="25"/>
      <c r="E2765" s="10"/>
      <c r="O2765" s="10"/>
      <c r="V2765" s="10"/>
    </row>
    <row r="2766" spans="1:22" x14ac:dyDescent="0.2">
      <c r="A2766" s="27"/>
      <c r="B2766" s="25"/>
      <c r="E2766" s="10"/>
      <c r="O2766" s="10"/>
      <c r="V2766" s="10"/>
    </row>
    <row r="2767" spans="1:22" x14ac:dyDescent="0.2">
      <c r="A2767" s="27"/>
      <c r="B2767" s="25"/>
      <c r="E2767" s="10"/>
      <c r="O2767" s="10"/>
      <c r="V2767" s="10"/>
    </row>
    <row r="2768" spans="1:22" x14ac:dyDescent="0.2">
      <c r="A2768" s="27"/>
      <c r="B2768" s="25"/>
      <c r="E2768" s="10"/>
      <c r="O2768" s="10"/>
      <c r="V2768" s="10"/>
    </row>
    <row r="2769" spans="1:22" x14ac:dyDescent="0.2">
      <c r="A2769" s="27"/>
      <c r="B2769" s="25"/>
      <c r="E2769" s="10"/>
      <c r="O2769" s="10"/>
      <c r="V2769" s="10"/>
    </row>
    <row r="2770" spans="1:22" x14ac:dyDescent="0.2">
      <c r="A2770" s="27"/>
      <c r="B2770" s="25"/>
      <c r="E2770" s="10"/>
      <c r="O2770" s="10"/>
      <c r="V2770" s="10"/>
    </row>
    <row r="2771" spans="1:22" x14ac:dyDescent="0.2">
      <c r="A2771" s="27"/>
      <c r="B2771" s="25"/>
      <c r="E2771" s="10"/>
      <c r="O2771" s="10"/>
      <c r="V2771" s="10"/>
    </row>
    <row r="2772" spans="1:22" x14ac:dyDescent="0.2">
      <c r="A2772" s="27"/>
      <c r="B2772" s="25"/>
      <c r="E2772" s="10"/>
      <c r="O2772" s="10"/>
      <c r="V2772" s="10"/>
    </row>
    <row r="2773" spans="1:22" x14ac:dyDescent="0.2">
      <c r="A2773" s="27"/>
      <c r="B2773" s="25"/>
      <c r="E2773" s="10"/>
      <c r="O2773" s="10"/>
      <c r="V2773" s="10"/>
    </row>
    <row r="2774" spans="1:22" x14ac:dyDescent="0.2">
      <c r="A2774" s="27"/>
      <c r="B2774" s="25"/>
      <c r="E2774" s="10"/>
      <c r="O2774" s="10"/>
      <c r="V2774" s="10"/>
    </row>
    <row r="2775" spans="1:22" x14ac:dyDescent="0.2">
      <c r="A2775" s="27"/>
      <c r="B2775" s="25"/>
      <c r="E2775" s="10"/>
      <c r="O2775" s="10"/>
      <c r="V2775" s="10"/>
    </row>
    <row r="2776" spans="1:22" x14ac:dyDescent="0.2">
      <c r="A2776" s="27"/>
      <c r="B2776" s="25"/>
      <c r="E2776" s="10"/>
      <c r="O2776" s="10"/>
      <c r="V2776" s="10"/>
    </row>
    <row r="2777" spans="1:22" x14ac:dyDescent="0.2">
      <c r="A2777" s="27"/>
      <c r="B2777" s="25"/>
      <c r="E2777" s="10"/>
      <c r="O2777" s="10"/>
      <c r="V2777" s="10"/>
    </row>
    <row r="2778" spans="1:22" x14ac:dyDescent="0.2">
      <c r="A2778" s="27"/>
      <c r="B2778" s="25"/>
      <c r="E2778" s="10"/>
      <c r="O2778" s="10"/>
      <c r="V2778" s="10"/>
    </row>
    <row r="2779" spans="1:22" x14ac:dyDescent="0.2">
      <c r="A2779" s="27"/>
      <c r="B2779" s="25"/>
      <c r="E2779" s="10"/>
      <c r="O2779" s="10"/>
      <c r="V2779" s="10"/>
    </row>
    <row r="2780" spans="1:22" x14ac:dyDescent="0.2">
      <c r="A2780" s="27"/>
      <c r="B2780" s="25"/>
      <c r="E2780" s="10"/>
      <c r="O2780" s="10"/>
      <c r="V2780" s="10"/>
    </row>
    <row r="2781" spans="1:22" x14ac:dyDescent="0.2">
      <c r="A2781" s="27"/>
      <c r="B2781" s="25"/>
      <c r="E2781" s="10"/>
      <c r="O2781" s="10"/>
      <c r="V2781" s="10"/>
    </row>
    <row r="2782" spans="1:22" x14ac:dyDescent="0.2">
      <c r="A2782" s="27"/>
      <c r="B2782" s="25"/>
      <c r="E2782" s="10"/>
      <c r="O2782" s="10"/>
      <c r="V2782" s="10"/>
    </row>
    <row r="2783" spans="1:22" x14ac:dyDescent="0.2">
      <c r="A2783" s="27"/>
      <c r="B2783" s="25"/>
      <c r="E2783" s="10"/>
      <c r="O2783" s="10"/>
      <c r="V2783" s="10"/>
    </row>
    <row r="2784" spans="1:22" x14ac:dyDescent="0.2">
      <c r="A2784" s="27"/>
      <c r="B2784" s="25"/>
      <c r="E2784" s="10"/>
      <c r="O2784" s="10"/>
      <c r="V2784" s="10"/>
    </row>
    <row r="2785" spans="1:22" x14ac:dyDescent="0.2">
      <c r="A2785" s="27"/>
      <c r="B2785" s="25"/>
      <c r="E2785" s="10"/>
      <c r="O2785" s="10"/>
      <c r="V2785" s="10"/>
    </row>
    <row r="2786" spans="1:22" x14ac:dyDescent="0.2">
      <c r="A2786" s="27"/>
      <c r="B2786" s="25"/>
      <c r="E2786" s="10"/>
      <c r="O2786" s="10"/>
      <c r="V2786" s="10"/>
    </row>
    <row r="2787" spans="1:22" x14ac:dyDescent="0.2">
      <c r="A2787" s="27"/>
      <c r="B2787" s="25"/>
      <c r="E2787" s="10"/>
      <c r="O2787" s="10"/>
      <c r="V2787" s="10"/>
    </row>
    <row r="2788" spans="1:22" x14ac:dyDescent="0.2">
      <c r="A2788" s="27"/>
      <c r="B2788" s="25"/>
      <c r="E2788" s="10"/>
      <c r="O2788" s="10"/>
      <c r="V2788" s="10"/>
    </row>
    <row r="2789" spans="1:22" x14ac:dyDescent="0.2">
      <c r="A2789" s="27"/>
      <c r="B2789" s="25"/>
      <c r="E2789" s="10"/>
      <c r="O2789" s="10"/>
      <c r="V2789" s="10"/>
    </row>
    <row r="2790" spans="1:22" x14ac:dyDescent="0.2">
      <c r="A2790" s="27"/>
      <c r="B2790" s="25"/>
      <c r="E2790" s="10"/>
      <c r="O2790" s="10"/>
      <c r="V2790" s="10"/>
    </row>
    <row r="2791" spans="1:22" x14ac:dyDescent="0.2">
      <c r="A2791" s="27"/>
      <c r="B2791" s="25"/>
      <c r="E2791" s="10"/>
      <c r="O2791" s="10"/>
      <c r="V2791" s="10"/>
    </row>
    <row r="2792" spans="1:22" x14ac:dyDescent="0.2">
      <c r="A2792" s="27"/>
      <c r="B2792" s="25"/>
      <c r="E2792" s="10"/>
      <c r="O2792" s="10"/>
      <c r="V2792" s="10"/>
    </row>
    <row r="2793" spans="1:22" x14ac:dyDescent="0.2">
      <c r="A2793" s="27"/>
      <c r="B2793" s="25"/>
      <c r="E2793" s="10"/>
      <c r="O2793" s="10"/>
      <c r="V2793" s="10"/>
    </row>
    <row r="2794" spans="1:22" x14ac:dyDescent="0.2">
      <c r="A2794" s="27"/>
      <c r="B2794" s="25"/>
      <c r="E2794" s="10"/>
      <c r="O2794" s="10"/>
      <c r="V2794" s="10"/>
    </row>
    <row r="2795" spans="1:22" x14ac:dyDescent="0.2">
      <c r="A2795" s="27"/>
      <c r="B2795" s="25"/>
      <c r="E2795" s="10"/>
      <c r="O2795" s="10"/>
      <c r="V2795" s="10"/>
    </row>
    <row r="2796" spans="1:22" x14ac:dyDescent="0.2">
      <c r="A2796" s="27"/>
      <c r="B2796" s="25"/>
      <c r="E2796" s="10"/>
      <c r="O2796" s="10"/>
      <c r="V2796" s="10"/>
    </row>
    <row r="2797" spans="1:22" x14ac:dyDescent="0.2">
      <c r="A2797" s="27"/>
      <c r="B2797" s="25"/>
      <c r="E2797" s="10"/>
      <c r="O2797" s="10"/>
      <c r="V2797" s="10"/>
    </row>
    <row r="2798" spans="1:22" x14ac:dyDescent="0.2">
      <c r="A2798" s="27"/>
      <c r="B2798" s="25"/>
      <c r="E2798" s="10"/>
      <c r="O2798" s="10"/>
      <c r="V2798" s="10"/>
    </row>
    <row r="2799" spans="1:22" x14ac:dyDescent="0.2">
      <c r="A2799" s="27"/>
      <c r="B2799" s="25"/>
      <c r="E2799" s="10"/>
      <c r="O2799" s="10"/>
      <c r="V2799" s="10"/>
    </row>
    <row r="2800" spans="1:22" x14ac:dyDescent="0.2">
      <c r="A2800" s="27"/>
      <c r="B2800" s="25"/>
      <c r="E2800" s="10"/>
      <c r="O2800" s="10"/>
      <c r="V2800" s="10"/>
    </row>
    <row r="2801" spans="1:22" x14ac:dyDescent="0.2">
      <c r="A2801" s="27"/>
      <c r="B2801" s="25"/>
      <c r="E2801" s="10"/>
      <c r="O2801" s="10"/>
      <c r="V2801" s="10"/>
    </row>
    <row r="2802" spans="1:22" x14ac:dyDescent="0.2">
      <c r="A2802" s="27"/>
      <c r="B2802" s="25"/>
      <c r="E2802" s="10"/>
      <c r="O2802" s="10"/>
      <c r="V2802" s="10"/>
    </row>
    <row r="2803" spans="1:22" x14ac:dyDescent="0.2">
      <c r="A2803" s="27"/>
      <c r="B2803" s="25"/>
      <c r="E2803" s="10"/>
      <c r="O2803" s="10"/>
      <c r="V2803" s="10"/>
    </row>
    <row r="2804" spans="1:22" x14ac:dyDescent="0.2">
      <c r="A2804" s="27"/>
      <c r="B2804" s="25"/>
      <c r="E2804" s="10"/>
      <c r="O2804" s="10"/>
      <c r="V2804" s="10"/>
    </row>
    <row r="2805" spans="1:22" x14ac:dyDescent="0.2">
      <c r="A2805" s="27"/>
      <c r="B2805" s="25"/>
      <c r="E2805" s="10"/>
      <c r="O2805" s="10"/>
      <c r="V2805" s="10"/>
    </row>
    <row r="2806" spans="1:22" x14ac:dyDescent="0.2">
      <c r="A2806" s="27"/>
      <c r="B2806" s="25"/>
      <c r="E2806" s="10"/>
      <c r="O2806" s="10"/>
      <c r="V2806" s="10"/>
    </row>
    <row r="2807" spans="1:22" x14ac:dyDescent="0.2">
      <c r="A2807" s="27"/>
      <c r="B2807" s="25"/>
      <c r="E2807" s="10"/>
      <c r="O2807" s="10"/>
      <c r="V2807" s="10"/>
    </row>
    <row r="2808" spans="1:22" x14ac:dyDescent="0.2">
      <c r="A2808" s="27"/>
      <c r="B2808" s="25"/>
      <c r="E2808" s="10"/>
      <c r="O2808" s="10"/>
      <c r="V2808" s="10"/>
    </row>
    <row r="2809" spans="1:22" x14ac:dyDescent="0.2">
      <c r="A2809" s="27"/>
      <c r="B2809" s="25"/>
      <c r="E2809" s="10"/>
      <c r="O2809" s="10"/>
      <c r="V2809" s="10"/>
    </row>
    <row r="2810" spans="1:22" x14ac:dyDescent="0.2">
      <c r="A2810" s="27"/>
      <c r="B2810" s="25"/>
      <c r="E2810" s="10"/>
      <c r="O2810" s="10"/>
      <c r="V2810" s="10"/>
    </row>
    <row r="2811" spans="1:22" x14ac:dyDescent="0.2">
      <c r="A2811" s="27"/>
      <c r="B2811" s="25"/>
      <c r="E2811" s="10"/>
      <c r="O2811" s="10"/>
      <c r="V2811" s="10"/>
    </row>
    <row r="2812" spans="1:22" x14ac:dyDescent="0.2">
      <c r="A2812" s="27"/>
      <c r="B2812" s="25"/>
      <c r="E2812" s="10"/>
      <c r="O2812" s="10"/>
      <c r="V2812" s="10"/>
    </row>
    <row r="2813" spans="1:22" x14ac:dyDescent="0.2">
      <c r="A2813" s="27"/>
      <c r="B2813" s="25"/>
      <c r="E2813" s="10"/>
      <c r="O2813" s="10"/>
      <c r="V2813" s="10"/>
    </row>
    <row r="2814" spans="1:22" x14ac:dyDescent="0.2">
      <c r="A2814" s="27"/>
      <c r="B2814" s="25"/>
      <c r="E2814" s="10"/>
      <c r="O2814" s="10"/>
      <c r="V2814" s="10"/>
    </row>
    <row r="2815" spans="1:22" x14ac:dyDescent="0.2">
      <c r="A2815" s="27"/>
      <c r="B2815" s="25"/>
      <c r="E2815" s="10"/>
      <c r="O2815" s="10"/>
      <c r="V2815" s="10"/>
    </row>
    <row r="2816" spans="1:22" x14ac:dyDescent="0.2">
      <c r="A2816" s="27"/>
      <c r="B2816" s="25"/>
      <c r="E2816" s="10"/>
      <c r="O2816" s="10"/>
      <c r="V2816" s="10"/>
    </row>
    <row r="2817" spans="1:22" x14ac:dyDescent="0.2">
      <c r="A2817" s="27"/>
      <c r="B2817" s="25"/>
      <c r="E2817" s="10"/>
      <c r="O2817" s="10"/>
      <c r="V2817" s="10"/>
    </row>
    <row r="2818" spans="1:22" x14ac:dyDescent="0.2">
      <c r="A2818" s="27"/>
      <c r="B2818" s="25"/>
      <c r="E2818" s="10"/>
      <c r="O2818" s="10"/>
      <c r="V2818" s="10"/>
    </row>
    <row r="2819" spans="1:22" x14ac:dyDescent="0.2">
      <c r="A2819" s="27"/>
      <c r="B2819" s="25"/>
      <c r="E2819" s="10"/>
      <c r="O2819" s="10"/>
      <c r="V2819" s="10"/>
    </row>
    <row r="2820" spans="1:22" x14ac:dyDescent="0.2">
      <c r="A2820" s="27"/>
      <c r="B2820" s="25"/>
      <c r="E2820" s="10"/>
      <c r="O2820" s="10"/>
      <c r="V2820" s="10"/>
    </row>
    <row r="2821" spans="1:22" x14ac:dyDescent="0.2">
      <c r="A2821" s="27"/>
      <c r="B2821" s="25"/>
      <c r="E2821" s="10"/>
      <c r="O2821" s="10"/>
      <c r="V2821" s="10"/>
    </row>
    <row r="2822" spans="1:22" x14ac:dyDescent="0.2">
      <c r="A2822" s="27"/>
      <c r="B2822" s="25"/>
      <c r="E2822" s="10"/>
      <c r="O2822" s="10"/>
      <c r="V2822" s="10"/>
    </row>
    <row r="2823" spans="1:22" x14ac:dyDescent="0.2">
      <c r="A2823" s="27"/>
      <c r="B2823" s="25"/>
      <c r="E2823" s="10"/>
      <c r="O2823" s="10"/>
      <c r="V2823" s="10"/>
    </row>
    <row r="2824" spans="1:22" x14ac:dyDescent="0.2">
      <c r="A2824" s="27"/>
      <c r="B2824" s="25"/>
      <c r="E2824" s="10"/>
      <c r="O2824" s="10"/>
      <c r="V2824" s="10"/>
    </row>
    <row r="2825" spans="1:22" x14ac:dyDescent="0.2">
      <c r="A2825" s="27"/>
      <c r="B2825" s="25"/>
      <c r="E2825" s="10"/>
      <c r="O2825" s="10"/>
      <c r="V2825" s="10"/>
    </row>
    <row r="2826" spans="1:22" x14ac:dyDescent="0.2">
      <c r="A2826" s="27"/>
      <c r="B2826" s="25"/>
      <c r="E2826" s="10"/>
      <c r="O2826" s="10"/>
      <c r="V2826" s="10"/>
    </row>
    <row r="2827" spans="1:22" x14ac:dyDescent="0.2">
      <c r="A2827" s="27"/>
      <c r="B2827" s="25"/>
      <c r="E2827" s="10"/>
      <c r="O2827" s="10"/>
      <c r="V2827" s="10"/>
    </row>
    <row r="2828" spans="1:22" x14ac:dyDescent="0.2">
      <c r="A2828" s="27"/>
      <c r="B2828" s="25"/>
      <c r="E2828" s="10"/>
      <c r="O2828" s="10"/>
      <c r="V2828" s="10"/>
    </row>
    <row r="2829" spans="1:22" x14ac:dyDescent="0.2">
      <c r="A2829" s="27"/>
      <c r="B2829" s="25"/>
      <c r="E2829" s="10"/>
      <c r="O2829" s="10"/>
      <c r="V2829" s="10"/>
    </row>
    <row r="2830" spans="1:22" x14ac:dyDescent="0.2">
      <c r="A2830" s="27"/>
      <c r="B2830" s="25"/>
      <c r="E2830" s="10"/>
      <c r="O2830" s="10"/>
      <c r="V2830" s="10"/>
    </row>
    <row r="2831" spans="1:22" x14ac:dyDescent="0.2">
      <c r="A2831" s="27"/>
      <c r="B2831" s="25"/>
      <c r="E2831" s="10"/>
      <c r="O2831" s="10"/>
      <c r="V2831" s="10"/>
    </row>
    <row r="2832" spans="1:22" x14ac:dyDescent="0.2">
      <c r="A2832" s="27"/>
      <c r="B2832" s="25"/>
      <c r="E2832" s="10"/>
      <c r="O2832" s="10"/>
      <c r="V2832" s="10"/>
    </row>
    <row r="2833" spans="1:22" x14ac:dyDescent="0.2">
      <c r="A2833" s="27"/>
      <c r="B2833" s="25"/>
      <c r="E2833" s="10"/>
      <c r="O2833" s="10"/>
      <c r="V2833" s="10"/>
    </row>
    <row r="2834" spans="1:22" x14ac:dyDescent="0.2">
      <c r="A2834" s="27"/>
      <c r="B2834" s="25"/>
      <c r="E2834" s="10"/>
      <c r="O2834" s="10"/>
      <c r="V2834" s="10"/>
    </row>
    <row r="2835" spans="1:22" x14ac:dyDescent="0.2">
      <c r="A2835" s="27"/>
      <c r="B2835" s="25"/>
      <c r="E2835" s="10"/>
      <c r="O2835" s="10"/>
      <c r="V2835" s="10"/>
    </row>
    <row r="2836" spans="1:22" x14ac:dyDescent="0.2">
      <c r="A2836" s="27"/>
      <c r="B2836" s="25"/>
      <c r="E2836" s="10"/>
      <c r="O2836" s="10"/>
      <c r="V2836" s="10"/>
    </row>
    <row r="2837" spans="1:22" x14ac:dyDescent="0.2">
      <c r="A2837" s="27"/>
      <c r="B2837" s="25"/>
      <c r="E2837" s="10"/>
      <c r="O2837" s="10"/>
      <c r="V2837" s="10"/>
    </row>
    <row r="2838" spans="1:22" x14ac:dyDescent="0.2">
      <c r="A2838" s="27"/>
      <c r="B2838" s="25"/>
      <c r="E2838" s="10"/>
      <c r="O2838" s="10"/>
      <c r="V2838" s="10"/>
    </row>
    <row r="2839" spans="1:22" x14ac:dyDescent="0.2">
      <c r="A2839" s="27"/>
      <c r="B2839" s="25"/>
      <c r="E2839" s="10"/>
      <c r="O2839" s="10"/>
      <c r="V2839" s="10"/>
    </row>
    <row r="2840" spans="1:22" x14ac:dyDescent="0.2">
      <c r="A2840" s="27"/>
      <c r="B2840" s="25"/>
      <c r="E2840" s="10"/>
      <c r="O2840" s="10"/>
      <c r="V2840" s="10"/>
    </row>
    <row r="2841" spans="1:22" x14ac:dyDescent="0.2">
      <c r="A2841" s="27"/>
      <c r="B2841" s="25"/>
      <c r="E2841" s="10"/>
      <c r="O2841" s="10"/>
      <c r="V2841" s="10"/>
    </row>
    <row r="2842" spans="1:22" x14ac:dyDescent="0.2">
      <c r="A2842" s="27"/>
      <c r="B2842" s="25"/>
      <c r="E2842" s="10"/>
      <c r="O2842" s="10"/>
      <c r="V2842" s="10"/>
    </row>
    <row r="2843" spans="1:22" x14ac:dyDescent="0.2">
      <c r="A2843" s="27"/>
      <c r="B2843" s="25"/>
      <c r="E2843" s="10"/>
      <c r="O2843" s="10"/>
      <c r="V2843" s="10"/>
    </row>
    <row r="2844" spans="1:22" x14ac:dyDescent="0.2">
      <c r="A2844" s="27"/>
      <c r="B2844" s="25"/>
      <c r="E2844" s="10"/>
      <c r="O2844" s="10"/>
      <c r="V2844" s="10"/>
    </row>
    <row r="2845" spans="1:22" x14ac:dyDescent="0.2">
      <c r="A2845" s="27"/>
      <c r="B2845" s="25"/>
      <c r="E2845" s="10"/>
      <c r="O2845" s="10"/>
      <c r="V2845" s="10"/>
    </row>
    <row r="2846" spans="1:22" x14ac:dyDescent="0.2">
      <c r="A2846" s="27"/>
      <c r="B2846" s="25"/>
      <c r="E2846" s="10"/>
      <c r="O2846" s="10"/>
      <c r="V2846" s="10"/>
    </row>
    <row r="2847" spans="1:22" x14ac:dyDescent="0.2">
      <c r="A2847" s="27"/>
      <c r="B2847" s="25"/>
      <c r="E2847" s="10"/>
      <c r="O2847" s="10"/>
      <c r="V2847" s="10"/>
    </row>
    <row r="2848" spans="1:22" x14ac:dyDescent="0.2">
      <c r="A2848" s="27"/>
      <c r="B2848" s="25"/>
      <c r="E2848" s="10"/>
      <c r="O2848" s="10"/>
      <c r="V2848" s="10"/>
    </row>
    <row r="2849" spans="1:22" x14ac:dyDescent="0.2">
      <c r="A2849" s="27"/>
      <c r="B2849" s="25"/>
      <c r="E2849" s="10"/>
      <c r="O2849" s="10"/>
      <c r="V2849" s="10"/>
    </row>
    <row r="2850" spans="1:22" x14ac:dyDescent="0.2">
      <c r="A2850" s="27"/>
      <c r="B2850" s="25"/>
      <c r="E2850" s="10"/>
      <c r="O2850" s="10"/>
      <c r="V2850" s="10"/>
    </row>
    <row r="2851" spans="1:22" x14ac:dyDescent="0.2">
      <c r="A2851" s="27"/>
      <c r="B2851" s="25"/>
      <c r="E2851" s="10"/>
      <c r="O2851" s="10"/>
      <c r="V2851" s="10"/>
    </row>
    <row r="2852" spans="1:22" x14ac:dyDescent="0.2">
      <c r="A2852" s="27"/>
      <c r="B2852" s="25"/>
      <c r="E2852" s="10"/>
      <c r="O2852" s="10"/>
      <c r="V2852" s="10"/>
    </row>
    <row r="2853" spans="1:22" x14ac:dyDescent="0.2">
      <c r="A2853" s="27"/>
      <c r="B2853" s="25"/>
      <c r="E2853" s="10"/>
      <c r="O2853" s="10"/>
      <c r="V2853" s="10"/>
    </row>
    <row r="2854" spans="1:22" x14ac:dyDescent="0.2">
      <c r="A2854" s="27"/>
      <c r="B2854" s="25"/>
      <c r="E2854" s="10"/>
      <c r="O2854" s="10"/>
      <c r="V2854" s="10"/>
    </row>
    <row r="2855" spans="1:22" x14ac:dyDescent="0.2">
      <c r="A2855" s="27"/>
      <c r="B2855" s="25"/>
      <c r="E2855" s="10"/>
      <c r="O2855" s="10"/>
      <c r="V2855" s="10"/>
    </row>
    <row r="2856" spans="1:22" x14ac:dyDescent="0.2">
      <c r="A2856" s="27"/>
      <c r="B2856" s="25"/>
      <c r="E2856" s="10"/>
      <c r="O2856" s="10"/>
      <c r="V2856" s="10"/>
    </row>
    <row r="2857" spans="1:22" x14ac:dyDescent="0.2">
      <c r="A2857" s="27"/>
      <c r="B2857" s="25"/>
      <c r="E2857" s="10"/>
      <c r="O2857" s="10"/>
      <c r="V2857" s="10"/>
    </row>
    <row r="2858" spans="1:22" x14ac:dyDescent="0.2">
      <c r="A2858" s="27"/>
      <c r="B2858" s="25"/>
      <c r="E2858" s="10"/>
      <c r="O2858" s="10"/>
      <c r="V2858" s="10"/>
    </row>
    <row r="2859" spans="1:22" x14ac:dyDescent="0.2">
      <c r="A2859" s="27"/>
      <c r="B2859" s="25"/>
      <c r="E2859" s="10"/>
      <c r="O2859" s="10"/>
      <c r="V2859" s="10"/>
    </row>
    <row r="2860" spans="1:22" x14ac:dyDescent="0.2">
      <c r="A2860" s="27"/>
      <c r="B2860" s="25"/>
      <c r="E2860" s="10"/>
      <c r="O2860" s="10"/>
      <c r="V2860" s="10"/>
    </row>
    <row r="2861" spans="1:22" x14ac:dyDescent="0.2">
      <c r="A2861" s="27"/>
      <c r="B2861" s="25"/>
      <c r="E2861" s="10"/>
      <c r="O2861" s="10"/>
      <c r="V2861" s="10"/>
    </row>
    <row r="2862" spans="1:22" x14ac:dyDescent="0.2">
      <c r="A2862" s="27"/>
      <c r="B2862" s="25"/>
      <c r="E2862" s="10"/>
      <c r="O2862" s="10"/>
      <c r="V2862" s="10"/>
    </row>
    <row r="2863" spans="1:22" x14ac:dyDescent="0.2">
      <c r="A2863" s="27"/>
      <c r="B2863" s="25"/>
      <c r="E2863" s="10"/>
      <c r="O2863" s="10"/>
      <c r="V2863" s="10"/>
    </row>
    <row r="2864" spans="1:22" x14ac:dyDescent="0.2">
      <c r="A2864" s="27"/>
      <c r="B2864" s="25"/>
      <c r="E2864" s="10"/>
      <c r="O2864" s="10"/>
      <c r="V2864" s="10"/>
    </row>
    <row r="2865" spans="1:22" x14ac:dyDescent="0.2">
      <c r="A2865" s="27"/>
      <c r="B2865" s="25"/>
      <c r="E2865" s="10"/>
      <c r="O2865" s="10"/>
      <c r="V2865" s="10"/>
    </row>
    <row r="2866" spans="1:22" x14ac:dyDescent="0.2">
      <c r="A2866" s="27"/>
      <c r="B2866" s="25"/>
      <c r="E2866" s="10"/>
      <c r="O2866" s="10"/>
      <c r="V2866" s="10"/>
    </row>
    <row r="2867" spans="1:22" x14ac:dyDescent="0.2">
      <c r="A2867" s="27"/>
      <c r="B2867" s="25"/>
      <c r="E2867" s="10"/>
      <c r="O2867" s="10"/>
      <c r="V2867" s="10"/>
    </row>
    <row r="2868" spans="1:22" x14ac:dyDescent="0.2">
      <c r="A2868" s="27"/>
      <c r="B2868" s="25"/>
      <c r="E2868" s="10"/>
      <c r="O2868" s="10"/>
      <c r="V2868" s="10"/>
    </row>
    <row r="2869" spans="1:22" x14ac:dyDescent="0.2">
      <c r="A2869" s="27"/>
      <c r="B2869" s="25"/>
      <c r="E2869" s="10"/>
      <c r="O2869" s="10"/>
      <c r="V2869" s="10"/>
    </row>
    <row r="2870" spans="1:22" x14ac:dyDescent="0.2">
      <c r="A2870" s="27"/>
      <c r="B2870" s="25"/>
      <c r="E2870" s="10"/>
      <c r="O2870" s="10"/>
      <c r="V2870" s="10"/>
    </row>
    <row r="2871" spans="1:22" x14ac:dyDescent="0.2">
      <c r="A2871" s="27"/>
      <c r="B2871" s="25"/>
      <c r="E2871" s="10"/>
      <c r="O2871" s="10"/>
      <c r="V2871" s="10"/>
    </row>
    <row r="2872" spans="1:22" x14ac:dyDescent="0.2">
      <c r="A2872" s="27"/>
      <c r="B2872" s="25"/>
      <c r="E2872" s="10"/>
      <c r="O2872" s="10"/>
      <c r="V2872" s="10"/>
    </row>
    <row r="2873" spans="1:22" x14ac:dyDescent="0.2">
      <c r="A2873" s="27"/>
      <c r="B2873" s="25"/>
      <c r="E2873" s="10"/>
      <c r="O2873" s="10"/>
      <c r="V2873" s="10"/>
    </row>
    <row r="2874" spans="1:22" x14ac:dyDescent="0.2">
      <c r="A2874" s="27"/>
      <c r="B2874" s="25"/>
      <c r="E2874" s="10"/>
      <c r="O2874" s="10"/>
      <c r="V2874" s="10"/>
    </row>
    <row r="2875" spans="1:22" x14ac:dyDescent="0.2">
      <c r="A2875" s="27"/>
      <c r="B2875" s="25"/>
      <c r="E2875" s="10"/>
      <c r="O2875" s="10"/>
      <c r="V2875" s="10"/>
    </row>
    <row r="2876" spans="1:22" x14ac:dyDescent="0.2">
      <c r="A2876" s="27"/>
      <c r="B2876" s="25"/>
      <c r="E2876" s="10"/>
      <c r="O2876" s="10"/>
      <c r="V2876" s="10"/>
    </row>
    <row r="2877" spans="1:22" x14ac:dyDescent="0.2">
      <c r="A2877" s="27"/>
      <c r="B2877" s="25"/>
      <c r="E2877" s="10"/>
      <c r="O2877" s="10"/>
      <c r="V2877" s="10"/>
    </row>
    <row r="2878" spans="1:22" x14ac:dyDescent="0.2">
      <c r="A2878" s="27"/>
      <c r="B2878" s="25"/>
      <c r="E2878" s="10"/>
      <c r="O2878" s="10"/>
      <c r="V2878" s="10"/>
    </row>
    <row r="2879" spans="1:22" x14ac:dyDescent="0.2">
      <c r="A2879" s="27"/>
      <c r="B2879" s="25"/>
      <c r="E2879" s="10"/>
      <c r="O2879" s="10"/>
      <c r="V2879" s="10"/>
    </row>
    <row r="2880" spans="1:22" x14ac:dyDescent="0.2">
      <c r="A2880" s="27"/>
      <c r="B2880" s="25"/>
      <c r="E2880" s="10"/>
      <c r="O2880" s="10"/>
      <c r="V2880" s="10"/>
    </row>
    <row r="2881" spans="1:22" x14ac:dyDescent="0.2">
      <c r="A2881" s="27"/>
      <c r="B2881" s="25"/>
      <c r="E2881" s="10"/>
      <c r="O2881" s="10"/>
      <c r="V2881" s="10"/>
    </row>
    <row r="2882" spans="1:22" x14ac:dyDescent="0.2">
      <c r="A2882" s="27"/>
      <c r="B2882" s="25"/>
      <c r="E2882" s="10"/>
      <c r="O2882" s="10"/>
      <c r="V2882" s="10"/>
    </row>
    <row r="2883" spans="1:22" x14ac:dyDescent="0.2">
      <c r="A2883" s="27"/>
      <c r="B2883" s="25"/>
      <c r="E2883" s="10"/>
      <c r="O2883" s="10"/>
      <c r="V2883" s="10"/>
    </row>
    <row r="2884" spans="1:22" x14ac:dyDescent="0.2">
      <c r="A2884" s="27"/>
      <c r="B2884" s="25"/>
      <c r="E2884" s="10"/>
      <c r="O2884" s="10"/>
      <c r="V2884" s="10"/>
    </row>
    <row r="2885" spans="1:22" x14ac:dyDescent="0.2">
      <c r="A2885" s="27"/>
      <c r="B2885" s="25"/>
      <c r="E2885" s="10"/>
      <c r="O2885" s="10"/>
      <c r="V2885" s="10"/>
    </row>
    <row r="2886" spans="1:22" x14ac:dyDescent="0.2">
      <c r="A2886" s="27"/>
      <c r="B2886" s="25"/>
      <c r="E2886" s="10"/>
      <c r="O2886" s="10"/>
      <c r="V2886" s="10"/>
    </row>
    <row r="2887" spans="1:22" x14ac:dyDescent="0.2">
      <c r="A2887" s="27"/>
      <c r="B2887" s="25"/>
      <c r="E2887" s="10"/>
      <c r="O2887" s="10"/>
      <c r="V2887" s="10"/>
    </row>
    <row r="2888" spans="1:22" x14ac:dyDescent="0.2">
      <c r="A2888" s="27"/>
      <c r="B2888" s="25"/>
      <c r="E2888" s="10"/>
      <c r="O2888" s="10"/>
      <c r="V2888" s="10"/>
    </row>
    <row r="2889" spans="1:22" x14ac:dyDescent="0.2">
      <c r="A2889" s="27"/>
      <c r="B2889" s="25"/>
      <c r="E2889" s="10"/>
      <c r="O2889" s="10"/>
      <c r="V2889" s="10"/>
    </row>
    <row r="2890" spans="1:22" x14ac:dyDescent="0.2">
      <c r="A2890" s="27"/>
      <c r="B2890" s="25"/>
      <c r="E2890" s="10"/>
      <c r="O2890" s="10"/>
      <c r="V2890" s="10"/>
    </row>
    <row r="2891" spans="1:22" x14ac:dyDescent="0.2">
      <c r="A2891" s="27"/>
      <c r="B2891" s="25"/>
      <c r="E2891" s="10"/>
      <c r="O2891" s="10"/>
      <c r="V2891" s="10"/>
    </row>
    <row r="2892" spans="1:22" x14ac:dyDescent="0.2">
      <c r="A2892" s="27"/>
      <c r="B2892" s="25"/>
      <c r="E2892" s="10"/>
      <c r="O2892" s="10"/>
      <c r="V2892" s="10"/>
    </row>
    <row r="2893" spans="1:22" x14ac:dyDescent="0.2">
      <c r="A2893" s="27"/>
      <c r="B2893" s="25"/>
      <c r="E2893" s="10"/>
      <c r="O2893" s="10"/>
      <c r="V2893" s="10"/>
    </row>
    <row r="2894" spans="1:22" x14ac:dyDescent="0.2">
      <c r="A2894" s="27"/>
      <c r="B2894" s="25"/>
      <c r="E2894" s="10"/>
      <c r="O2894" s="10"/>
      <c r="V2894" s="10"/>
    </row>
    <row r="2895" spans="1:22" x14ac:dyDescent="0.2">
      <c r="A2895" s="27"/>
      <c r="B2895" s="25"/>
      <c r="E2895" s="10"/>
      <c r="O2895" s="10"/>
      <c r="V2895" s="10"/>
    </row>
    <row r="2896" spans="1:22" x14ac:dyDescent="0.2">
      <c r="A2896" s="27"/>
      <c r="B2896" s="25"/>
      <c r="E2896" s="10"/>
      <c r="O2896" s="10"/>
      <c r="V2896" s="10"/>
    </row>
    <row r="2897" spans="1:22" x14ac:dyDescent="0.2">
      <c r="A2897" s="27"/>
      <c r="B2897" s="25"/>
      <c r="E2897" s="10"/>
      <c r="O2897" s="10"/>
      <c r="V2897" s="10"/>
    </row>
    <row r="2898" spans="1:22" x14ac:dyDescent="0.2">
      <c r="A2898" s="27"/>
      <c r="B2898" s="25"/>
      <c r="E2898" s="10"/>
      <c r="O2898" s="10"/>
      <c r="V2898" s="10"/>
    </row>
    <row r="2899" spans="1:22" x14ac:dyDescent="0.2">
      <c r="A2899" s="27"/>
      <c r="B2899" s="25"/>
      <c r="E2899" s="10"/>
      <c r="O2899" s="10"/>
      <c r="V2899" s="10"/>
    </row>
    <row r="2900" spans="1:22" x14ac:dyDescent="0.2">
      <c r="A2900" s="27"/>
      <c r="B2900" s="25"/>
      <c r="E2900" s="10"/>
      <c r="O2900" s="10"/>
      <c r="V2900" s="10"/>
    </row>
    <row r="2901" spans="1:22" x14ac:dyDescent="0.2">
      <c r="A2901" s="27"/>
      <c r="B2901" s="25"/>
      <c r="E2901" s="10"/>
      <c r="O2901" s="10"/>
      <c r="V2901" s="10"/>
    </row>
    <row r="2902" spans="1:22" x14ac:dyDescent="0.2">
      <c r="A2902" s="27"/>
      <c r="B2902" s="25"/>
      <c r="E2902" s="10"/>
      <c r="O2902" s="10"/>
      <c r="V2902" s="10"/>
    </row>
    <row r="2903" spans="1:22" x14ac:dyDescent="0.2">
      <c r="A2903" s="27"/>
      <c r="B2903" s="25"/>
      <c r="E2903" s="10"/>
      <c r="O2903" s="10"/>
      <c r="V2903" s="10"/>
    </row>
    <row r="2904" spans="1:22" x14ac:dyDescent="0.2">
      <c r="A2904" s="27"/>
      <c r="B2904" s="25"/>
      <c r="E2904" s="10"/>
      <c r="O2904" s="10"/>
      <c r="V2904" s="10"/>
    </row>
    <row r="2905" spans="1:22" x14ac:dyDescent="0.2">
      <c r="A2905" s="27"/>
      <c r="B2905" s="25"/>
      <c r="E2905" s="10"/>
      <c r="O2905" s="10"/>
      <c r="V2905" s="10"/>
    </row>
    <row r="2906" spans="1:22" x14ac:dyDescent="0.2">
      <c r="A2906" s="27"/>
      <c r="B2906" s="25"/>
      <c r="E2906" s="10"/>
      <c r="O2906" s="10"/>
      <c r="V2906" s="10"/>
    </row>
    <row r="2907" spans="1:22" x14ac:dyDescent="0.2">
      <c r="A2907" s="27"/>
      <c r="B2907" s="25"/>
      <c r="E2907" s="10"/>
      <c r="O2907" s="10"/>
      <c r="V2907" s="10"/>
    </row>
    <row r="2908" spans="1:22" x14ac:dyDescent="0.2">
      <c r="A2908" s="27"/>
      <c r="B2908" s="25"/>
      <c r="E2908" s="10"/>
      <c r="O2908" s="10"/>
      <c r="V2908" s="10"/>
    </row>
    <row r="2909" spans="1:22" x14ac:dyDescent="0.2">
      <c r="A2909" s="27"/>
      <c r="B2909" s="25"/>
      <c r="E2909" s="10"/>
      <c r="O2909" s="10"/>
      <c r="V2909" s="10"/>
    </row>
    <row r="2910" spans="1:22" x14ac:dyDescent="0.2">
      <c r="A2910" s="27"/>
      <c r="B2910" s="25"/>
      <c r="E2910" s="10"/>
      <c r="O2910" s="10"/>
      <c r="V2910" s="10"/>
    </row>
    <row r="2911" spans="1:22" x14ac:dyDescent="0.2">
      <c r="A2911" s="27"/>
      <c r="B2911" s="25"/>
      <c r="E2911" s="10"/>
      <c r="O2911" s="10"/>
      <c r="V2911" s="10"/>
    </row>
    <row r="2912" spans="1:22" x14ac:dyDescent="0.2">
      <c r="A2912" s="27"/>
      <c r="B2912" s="25"/>
      <c r="E2912" s="10"/>
      <c r="O2912" s="10"/>
      <c r="V2912" s="10"/>
    </row>
    <row r="2913" spans="1:22" x14ac:dyDescent="0.2">
      <c r="A2913" s="27"/>
      <c r="B2913" s="25"/>
      <c r="E2913" s="10"/>
      <c r="O2913" s="10"/>
      <c r="V2913" s="10"/>
    </row>
    <row r="2914" spans="1:22" x14ac:dyDescent="0.2">
      <c r="A2914" s="27"/>
      <c r="B2914" s="25"/>
      <c r="E2914" s="10"/>
      <c r="O2914" s="10"/>
      <c r="V2914" s="10"/>
    </row>
    <row r="2915" spans="1:22" x14ac:dyDescent="0.2">
      <c r="A2915" s="27"/>
      <c r="B2915" s="25"/>
      <c r="E2915" s="10"/>
      <c r="O2915" s="10"/>
      <c r="V2915" s="10"/>
    </row>
    <row r="2916" spans="1:22" x14ac:dyDescent="0.2">
      <c r="A2916" s="27"/>
      <c r="B2916" s="25"/>
      <c r="E2916" s="10"/>
      <c r="O2916" s="10"/>
      <c r="V2916" s="10"/>
    </row>
    <row r="2917" spans="1:22" x14ac:dyDescent="0.2">
      <c r="A2917" s="27"/>
      <c r="B2917" s="25"/>
      <c r="E2917" s="10"/>
      <c r="O2917" s="10"/>
      <c r="V2917" s="10"/>
    </row>
    <row r="2918" spans="1:22" x14ac:dyDescent="0.2">
      <c r="A2918" s="27"/>
      <c r="B2918" s="25"/>
      <c r="E2918" s="10"/>
      <c r="O2918" s="10"/>
      <c r="V2918" s="10"/>
    </row>
    <row r="2919" spans="1:22" x14ac:dyDescent="0.2">
      <c r="A2919" s="27"/>
      <c r="B2919" s="25"/>
      <c r="E2919" s="10"/>
      <c r="O2919" s="10"/>
      <c r="V2919" s="10"/>
    </row>
    <row r="2920" spans="1:22" x14ac:dyDescent="0.2">
      <c r="A2920" s="27"/>
      <c r="B2920" s="25"/>
      <c r="E2920" s="10"/>
      <c r="O2920" s="10"/>
      <c r="V2920" s="10"/>
    </row>
    <row r="2921" spans="1:22" x14ac:dyDescent="0.2">
      <c r="A2921" s="27"/>
      <c r="B2921" s="25"/>
      <c r="E2921" s="10"/>
      <c r="O2921" s="10"/>
      <c r="V2921" s="10"/>
    </row>
    <row r="2922" spans="1:22" x14ac:dyDescent="0.2">
      <c r="A2922" s="27"/>
      <c r="B2922" s="25"/>
      <c r="E2922" s="10"/>
      <c r="O2922" s="10"/>
      <c r="V2922" s="10"/>
    </row>
    <row r="2923" spans="1:22" x14ac:dyDescent="0.2">
      <c r="A2923" s="27"/>
      <c r="B2923" s="25"/>
      <c r="E2923" s="10"/>
      <c r="O2923" s="10"/>
      <c r="V2923" s="10"/>
    </row>
    <row r="2924" spans="1:22" x14ac:dyDescent="0.2">
      <c r="A2924" s="27"/>
      <c r="B2924" s="25"/>
      <c r="E2924" s="10"/>
      <c r="O2924" s="10"/>
      <c r="V2924" s="10"/>
    </row>
    <row r="2925" spans="1:22" x14ac:dyDescent="0.2">
      <c r="A2925" s="27"/>
      <c r="B2925" s="25"/>
      <c r="E2925" s="10"/>
      <c r="O2925" s="10"/>
      <c r="V2925" s="10"/>
    </row>
    <row r="2926" spans="1:22" x14ac:dyDescent="0.2">
      <c r="A2926" s="27"/>
      <c r="B2926" s="25"/>
      <c r="E2926" s="10"/>
      <c r="O2926" s="10"/>
      <c r="V2926" s="10"/>
    </row>
    <row r="2927" spans="1:22" x14ac:dyDescent="0.2">
      <c r="A2927" s="27"/>
      <c r="B2927" s="25"/>
      <c r="E2927" s="10"/>
      <c r="O2927" s="10"/>
      <c r="V2927" s="10"/>
    </row>
    <row r="2928" spans="1:22" x14ac:dyDescent="0.2">
      <c r="A2928" s="27"/>
      <c r="B2928" s="25"/>
      <c r="E2928" s="10"/>
      <c r="O2928" s="10"/>
      <c r="V2928" s="10"/>
    </row>
    <row r="2929" spans="1:22" x14ac:dyDescent="0.2">
      <c r="A2929" s="27"/>
      <c r="B2929" s="25"/>
      <c r="E2929" s="10"/>
      <c r="O2929" s="10"/>
      <c r="V2929" s="10"/>
    </row>
    <row r="2930" spans="1:22" x14ac:dyDescent="0.2">
      <c r="A2930" s="27"/>
      <c r="B2930" s="25"/>
      <c r="E2930" s="10"/>
      <c r="O2930" s="10"/>
      <c r="V2930" s="10"/>
    </row>
    <row r="2931" spans="1:22" x14ac:dyDescent="0.2">
      <c r="A2931" s="27"/>
      <c r="B2931" s="25"/>
      <c r="E2931" s="10"/>
      <c r="O2931" s="10"/>
      <c r="V2931" s="10"/>
    </row>
    <row r="2932" spans="1:22" x14ac:dyDescent="0.2">
      <c r="A2932" s="27"/>
      <c r="B2932" s="25"/>
      <c r="E2932" s="10"/>
      <c r="O2932" s="10"/>
      <c r="V2932" s="10"/>
    </row>
    <row r="2933" spans="1:22" x14ac:dyDescent="0.2">
      <c r="A2933" s="27"/>
      <c r="B2933" s="25"/>
      <c r="E2933" s="10"/>
      <c r="O2933" s="10"/>
      <c r="V2933" s="10"/>
    </row>
    <row r="2934" spans="1:22" x14ac:dyDescent="0.2">
      <c r="A2934" s="27"/>
      <c r="B2934" s="25"/>
      <c r="E2934" s="10"/>
      <c r="O2934" s="10"/>
      <c r="V2934" s="10"/>
    </row>
    <row r="2935" spans="1:22" x14ac:dyDescent="0.2">
      <c r="A2935" s="27"/>
      <c r="B2935" s="25"/>
      <c r="E2935" s="10"/>
      <c r="O2935" s="10"/>
      <c r="V2935" s="10"/>
    </row>
    <row r="2936" spans="1:22" x14ac:dyDescent="0.2">
      <c r="A2936" s="27"/>
      <c r="B2936" s="25"/>
      <c r="E2936" s="10"/>
      <c r="O2936" s="10"/>
      <c r="V2936" s="10"/>
    </row>
    <row r="2937" spans="1:22" x14ac:dyDescent="0.2">
      <c r="A2937" s="27"/>
      <c r="B2937" s="25"/>
      <c r="E2937" s="10"/>
      <c r="O2937" s="10"/>
      <c r="V2937" s="10"/>
    </row>
    <row r="2938" spans="1:22" x14ac:dyDescent="0.2">
      <c r="A2938" s="27"/>
      <c r="B2938" s="25"/>
      <c r="E2938" s="10"/>
      <c r="O2938" s="10"/>
      <c r="V2938" s="10"/>
    </row>
    <row r="2939" spans="1:22" x14ac:dyDescent="0.2">
      <c r="A2939" s="27"/>
      <c r="B2939" s="25"/>
      <c r="E2939" s="10"/>
      <c r="O2939" s="10"/>
      <c r="V2939" s="10"/>
    </row>
    <row r="2940" spans="1:22" x14ac:dyDescent="0.2">
      <c r="A2940" s="27"/>
      <c r="B2940" s="25"/>
      <c r="E2940" s="10"/>
      <c r="O2940" s="10"/>
      <c r="V2940" s="10"/>
    </row>
    <row r="2941" spans="1:22" x14ac:dyDescent="0.2">
      <c r="A2941" s="27"/>
      <c r="B2941" s="25"/>
      <c r="E2941" s="10"/>
      <c r="O2941" s="10"/>
      <c r="V2941" s="10"/>
    </row>
    <row r="2942" spans="1:22" x14ac:dyDescent="0.2">
      <c r="A2942" s="27"/>
      <c r="B2942" s="25"/>
      <c r="E2942" s="10"/>
      <c r="O2942" s="10"/>
      <c r="V2942" s="10"/>
    </row>
    <row r="2943" spans="1:22" x14ac:dyDescent="0.2">
      <c r="A2943" s="27"/>
      <c r="B2943" s="25"/>
      <c r="E2943" s="10"/>
      <c r="O2943" s="10"/>
      <c r="V2943" s="10"/>
    </row>
    <row r="2944" spans="1:22" x14ac:dyDescent="0.2">
      <c r="A2944" s="27"/>
      <c r="B2944" s="25"/>
      <c r="E2944" s="10"/>
      <c r="O2944" s="10"/>
      <c r="V2944" s="10"/>
    </row>
    <row r="2945" spans="1:22" x14ac:dyDescent="0.2">
      <c r="A2945" s="27"/>
      <c r="B2945" s="25"/>
      <c r="E2945" s="10"/>
      <c r="O2945" s="10"/>
      <c r="V2945" s="10"/>
    </row>
    <row r="2946" spans="1:22" x14ac:dyDescent="0.2">
      <c r="A2946" s="27"/>
      <c r="B2946" s="25"/>
      <c r="E2946" s="10"/>
      <c r="O2946" s="10"/>
      <c r="V2946" s="10"/>
    </row>
    <row r="2947" spans="1:22" x14ac:dyDescent="0.2">
      <c r="A2947" s="27"/>
      <c r="B2947" s="25"/>
      <c r="E2947" s="10"/>
      <c r="O2947" s="10"/>
      <c r="V2947" s="10"/>
    </row>
    <row r="2948" spans="1:22" x14ac:dyDescent="0.2">
      <c r="A2948" s="27"/>
      <c r="B2948" s="25"/>
      <c r="E2948" s="10"/>
      <c r="O2948" s="10"/>
      <c r="V2948" s="10"/>
    </row>
    <row r="2949" spans="1:22" x14ac:dyDescent="0.2">
      <c r="A2949" s="27"/>
      <c r="B2949" s="25"/>
      <c r="E2949" s="10"/>
      <c r="O2949" s="10"/>
      <c r="V2949" s="10"/>
    </row>
    <row r="2950" spans="1:22" x14ac:dyDescent="0.2">
      <c r="A2950" s="27"/>
      <c r="B2950" s="25"/>
      <c r="E2950" s="10"/>
      <c r="O2950" s="10"/>
      <c r="V2950" s="10"/>
    </row>
    <row r="2951" spans="1:22" x14ac:dyDescent="0.2">
      <c r="A2951" s="27"/>
      <c r="B2951" s="25"/>
      <c r="E2951" s="10"/>
      <c r="O2951" s="10"/>
      <c r="V2951" s="10"/>
    </row>
    <row r="2952" spans="1:22" x14ac:dyDescent="0.2">
      <c r="A2952" s="27"/>
      <c r="B2952" s="25"/>
      <c r="E2952" s="10"/>
      <c r="O2952" s="10"/>
      <c r="V2952" s="10"/>
    </row>
    <row r="2953" spans="1:22" x14ac:dyDescent="0.2">
      <c r="A2953" s="27"/>
      <c r="B2953" s="25"/>
      <c r="E2953" s="10"/>
      <c r="O2953" s="10"/>
      <c r="V2953" s="10"/>
    </row>
    <row r="2954" spans="1:22" x14ac:dyDescent="0.2">
      <c r="A2954" s="27"/>
      <c r="B2954" s="25"/>
      <c r="E2954" s="10"/>
      <c r="O2954" s="10"/>
      <c r="V2954" s="10"/>
    </row>
    <row r="2955" spans="1:22" x14ac:dyDescent="0.2">
      <c r="A2955" s="27"/>
      <c r="B2955" s="25"/>
      <c r="E2955" s="10"/>
      <c r="O2955" s="10"/>
      <c r="V2955" s="10"/>
    </row>
    <row r="2956" spans="1:22" x14ac:dyDescent="0.2">
      <c r="A2956" s="27"/>
      <c r="B2956" s="25"/>
      <c r="E2956" s="10"/>
      <c r="O2956" s="10"/>
      <c r="V2956" s="10"/>
    </row>
    <row r="2957" spans="1:22" x14ac:dyDescent="0.2">
      <c r="A2957" s="27"/>
      <c r="B2957" s="25"/>
      <c r="E2957" s="10"/>
      <c r="O2957" s="10"/>
      <c r="V2957" s="10"/>
    </row>
    <row r="2958" spans="1:22" x14ac:dyDescent="0.2">
      <c r="A2958" s="27"/>
      <c r="B2958" s="25"/>
      <c r="E2958" s="10"/>
      <c r="O2958" s="10"/>
      <c r="V2958" s="10"/>
    </row>
    <row r="2959" spans="1:22" x14ac:dyDescent="0.2">
      <c r="A2959" s="27"/>
      <c r="B2959" s="25"/>
      <c r="E2959" s="10"/>
      <c r="O2959" s="10"/>
      <c r="V2959" s="10"/>
    </row>
    <row r="2960" spans="1:22" x14ac:dyDescent="0.2">
      <c r="A2960" s="27"/>
      <c r="B2960" s="25"/>
      <c r="E2960" s="10"/>
      <c r="O2960" s="10"/>
      <c r="V2960" s="10"/>
    </row>
    <row r="2961" spans="1:22" x14ac:dyDescent="0.2">
      <c r="A2961" s="27"/>
      <c r="B2961" s="25"/>
      <c r="E2961" s="10"/>
      <c r="O2961" s="10"/>
      <c r="V2961" s="10"/>
    </row>
    <row r="2962" spans="1:22" x14ac:dyDescent="0.2">
      <c r="A2962" s="27"/>
      <c r="B2962" s="25"/>
      <c r="E2962" s="10"/>
      <c r="O2962" s="10"/>
      <c r="V2962" s="10"/>
    </row>
    <row r="2963" spans="1:22" x14ac:dyDescent="0.2">
      <c r="A2963" s="27"/>
      <c r="B2963" s="25"/>
      <c r="E2963" s="10"/>
      <c r="O2963" s="10"/>
      <c r="V2963" s="10"/>
    </row>
    <row r="2964" spans="1:22" x14ac:dyDescent="0.2">
      <c r="A2964" s="27"/>
      <c r="B2964" s="25"/>
      <c r="E2964" s="10"/>
      <c r="O2964" s="10"/>
      <c r="V2964" s="10"/>
    </row>
    <row r="2965" spans="1:22" x14ac:dyDescent="0.2">
      <c r="A2965" s="27"/>
      <c r="B2965" s="25"/>
      <c r="E2965" s="10"/>
      <c r="O2965" s="10"/>
      <c r="V2965" s="10"/>
    </row>
    <row r="2966" spans="1:22" x14ac:dyDescent="0.2">
      <c r="A2966" s="27"/>
      <c r="B2966" s="25"/>
      <c r="E2966" s="10"/>
      <c r="O2966" s="10"/>
      <c r="V2966" s="10"/>
    </row>
    <row r="2967" spans="1:22" x14ac:dyDescent="0.2">
      <c r="A2967" s="27"/>
      <c r="B2967" s="25"/>
      <c r="E2967" s="10"/>
      <c r="O2967" s="10"/>
      <c r="V2967" s="10"/>
    </row>
    <row r="2968" spans="1:22" x14ac:dyDescent="0.2">
      <c r="A2968" s="27"/>
      <c r="B2968" s="25"/>
      <c r="E2968" s="10"/>
      <c r="O2968" s="10"/>
      <c r="V2968" s="10"/>
    </row>
    <row r="2969" spans="1:22" x14ac:dyDescent="0.2">
      <c r="A2969" s="27"/>
      <c r="B2969" s="25"/>
      <c r="E2969" s="10"/>
      <c r="O2969" s="10"/>
      <c r="V2969" s="10"/>
    </row>
    <row r="2970" spans="1:22" x14ac:dyDescent="0.2">
      <c r="A2970" s="27"/>
      <c r="B2970" s="25"/>
      <c r="E2970" s="10"/>
      <c r="O2970" s="10"/>
      <c r="V2970" s="10"/>
    </row>
    <row r="2971" spans="1:22" x14ac:dyDescent="0.2">
      <c r="A2971" s="27"/>
      <c r="B2971" s="25"/>
      <c r="E2971" s="10"/>
      <c r="O2971" s="10"/>
      <c r="V2971" s="10"/>
    </row>
    <row r="2972" spans="1:22" x14ac:dyDescent="0.2">
      <c r="A2972" s="27"/>
      <c r="B2972" s="25"/>
      <c r="E2972" s="10"/>
      <c r="O2972" s="10"/>
      <c r="V2972" s="10"/>
    </row>
    <row r="2973" spans="1:22" x14ac:dyDescent="0.2">
      <c r="A2973" s="27"/>
      <c r="B2973" s="25"/>
      <c r="E2973" s="10"/>
      <c r="O2973" s="10"/>
      <c r="V2973" s="10"/>
    </row>
    <row r="2974" spans="1:22" x14ac:dyDescent="0.2">
      <c r="A2974" s="27"/>
      <c r="B2974" s="25"/>
      <c r="E2974" s="10"/>
      <c r="O2974" s="10"/>
      <c r="V2974" s="10"/>
    </row>
    <row r="2975" spans="1:22" x14ac:dyDescent="0.2">
      <c r="A2975" s="27"/>
      <c r="B2975" s="25"/>
      <c r="E2975" s="10"/>
      <c r="O2975" s="10"/>
      <c r="V2975" s="10"/>
    </row>
    <row r="2976" spans="1:22" x14ac:dyDescent="0.2">
      <c r="A2976" s="27"/>
      <c r="B2976" s="25"/>
      <c r="E2976" s="10"/>
      <c r="O2976" s="10"/>
      <c r="V2976" s="10"/>
    </row>
    <row r="2977" spans="1:22" x14ac:dyDescent="0.2">
      <c r="A2977" s="27"/>
      <c r="B2977" s="25"/>
      <c r="E2977" s="10"/>
      <c r="O2977" s="10"/>
      <c r="V2977" s="10"/>
    </row>
    <row r="2978" spans="1:22" x14ac:dyDescent="0.2">
      <c r="A2978" s="27"/>
      <c r="B2978" s="25"/>
      <c r="E2978" s="10"/>
      <c r="O2978" s="10"/>
      <c r="V2978" s="10"/>
    </row>
    <row r="2979" spans="1:22" x14ac:dyDescent="0.2">
      <c r="A2979" s="27"/>
      <c r="B2979" s="25"/>
      <c r="E2979" s="10"/>
      <c r="O2979" s="10"/>
      <c r="V2979" s="10"/>
    </row>
    <row r="2980" spans="1:22" x14ac:dyDescent="0.2">
      <c r="A2980" s="27"/>
      <c r="B2980" s="25"/>
      <c r="E2980" s="10"/>
      <c r="O2980" s="10"/>
      <c r="V2980" s="10"/>
    </row>
    <row r="2981" spans="1:22" x14ac:dyDescent="0.2">
      <c r="A2981" s="27"/>
      <c r="B2981" s="25"/>
      <c r="E2981" s="10"/>
      <c r="O2981" s="10"/>
      <c r="V2981" s="10"/>
    </row>
    <row r="2982" spans="1:22" x14ac:dyDescent="0.2">
      <c r="A2982" s="27"/>
      <c r="B2982" s="25"/>
      <c r="E2982" s="10"/>
      <c r="O2982" s="10"/>
      <c r="V2982" s="10"/>
    </row>
    <row r="2983" spans="1:22" x14ac:dyDescent="0.2">
      <c r="A2983" s="27"/>
      <c r="B2983" s="25"/>
      <c r="E2983" s="10"/>
      <c r="O2983" s="10"/>
      <c r="V2983" s="10"/>
    </row>
    <row r="2984" spans="1:22" x14ac:dyDescent="0.2">
      <c r="A2984" s="27"/>
      <c r="B2984" s="25"/>
      <c r="E2984" s="10"/>
      <c r="O2984" s="10"/>
      <c r="V2984" s="10"/>
    </row>
    <row r="2985" spans="1:22" x14ac:dyDescent="0.2">
      <c r="A2985" s="27"/>
      <c r="B2985" s="25"/>
      <c r="E2985" s="10"/>
      <c r="O2985" s="10"/>
      <c r="V2985" s="10"/>
    </row>
    <row r="2986" spans="1:22" x14ac:dyDescent="0.2">
      <c r="A2986" s="27"/>
      <c r="B2986" s="25"/>
      <c r="E2986" s="10"/>
      <c r="O2986" s="10"/>
      <c r="V2986" s="10"/>
    </row>
    <row r="2987" spans="1:22" x14ac:dyDescent="0.2">
      <c r="A2987" s="27"/>
      <c r="B2987" s="25"/>
      <c r="E2987" s="10"/>
      <c r="O2987" s="10"/>
      <c r="V2987" s="10"/>
    </row>
    <row r="2988" spans="1:22" x14ac:dyDescent="0.2">
      <c r="A2988" s="27"/>
      <c r="B2988" s="25"/>
      <c r="E2988" s="10"/>
      <c r="O2988" s="10"/>
      <c r="V2988" s="10"/>
    </row>
    <row r="2989" spans="1:22" x14ac:dyDescent="0.2">
      <c r="A2989" s="27"/>
      <c r="B2989" s="25"/>
      <c r="E2989" s="10"/>
      <c r="O2989" s="10"/>
      <c r="V2989" s="10"/>
    </row>
    <row r="2990" spans="1:22" x14ac:dyDescent="0.2">
      <c r="A2990" s="27"/>
      <c r="B2990" s="25"/>
      <c r="E2990" s="10"/>
      <c r="O2990" s="10"/>
      <c r="V2990" s="10"/>
    </row>
    <row r="2991" spans="1:22" x14ac:dyDescent="0.2">
      <c r="A2991" s="27"/>
      <c r="B2991" s="25"/>
      <c r="E2991" s="10"/>
      <c r="O2991" s="10"/>
      <c r="V2991" s="10"/>
    </row>
    <row r="2992" spans="1:22" x14ac:dyDescent="0.2">
      <c r="A2992" s="27"/>
      <c r="B2992" s="25"/>
      <c r="E2992" s="10"/>
      <c r="O2992" s="10"/>
      <c r="V2992" s="10"/>
    </row>
    <row r="2993" spans="1:22" x14ac:dyDescent="0.2">
      <c r="A2993" s="27"/>
      <c r="B2993" s="25"/>
      <c r="E2993" s="10"/>
      <c r="O2993" s="10"/>
      <c r="V2993" s="10"/>
    </row>
    <row r="2994" spans="1:22" x14ac:dyDescent="0.2">
      <c r="A2994" s="27"/>
      <c r="B2994" s="25"/>
      <c r="E2994" s="10"/>
      <c r="O2994" s="10"/>
      <c r="V2994" s="10"/>
    </row>
    <row r="2995" spans="1:22" x14ac:dyDescent="0.2">
      <c r="A2995" s="27"/>
      <c r="B2995" s="25"/>
      <c r="E2995" s="10"/>
      <c r="O2995" s="10"/>
      <c r="V2995" s="10"/>
    </row>
    <row r="2996" spans="1:22" x14ac:dyDescent="0.2">
      <c r="A2996" s="27"/>
      <c r="B2996" s="25"/>
      <c r="E2996" s="10"/>
      <c r="O2996" s="10"/>
      <c r="V2996" s="10"/>
    </row>
    <row r="2997" spans="1:22" x14ac:dyDescent="0.2">
      <c r="A2997" s="27"/>
      <c r="B2997" s="25"/>
      <c r="E2997" s="10"/>
      <c r="O2997" s="10"/>
      <c r="V2997" s="10"/>
    </row>
    <row r="2998" spans="1:22" x14ac:dyDescent="0.2">
      <c r="A2998" s="27"/>
      <c r="B2998" s="25"/>
      <c r="E2998" s="10"/>
      <c r="O2998" s="10"/>
      <c r="V2998" s="10"/>
    </row>
    <row r="2999" spans="1:22" x14ac:dyDescent="0.2">
      <c r="A2999" s="27"/>
      <c r="B2999" s="25"/>
      <c r="E2999" s="10"/>
      <c r="O2999" s="10"/>
      <c r="V2999" s="10"/>
    </row>
    <row r="3000" spans="1:22" x14ac:dyDescent="0.2">
      <c r="A3000" s="27"/>
      <c r="B3000" s="25"/>
      <c r="E3000" s="10"/>
      <c r="O3000" s="10"/>
      <c r="V3000" s="10"/>
    </row>
    <row r="3001" spans="1:22" x14ac:dyDescent="0.2">
      <c r="A3001" s="27"/>
      <c r="B3001" s="25"/>
      <c r="E3001" s="10"/>
      <c r="O3001" s="10"/>
      <c r="V3001" s="10"/>
    </row>
    <row r="3002" spans="1:22" x14ac:dyDescent="0.2">
      <c r="A3002" s="27"/>
      <c r="B3002" s="25"/>
      <c r="E3002" s="10"/>
      <c r="O3002" s="10"/>
      <c r="V3002" s="10"/>
    </row>
    <row r="3003" spans="1:22" x14ac:dyDescent="0.2">
      <c r="A3003" s="27"/>
      <c r="B3003" s="25"/>
      <c r="E3003" s="10"/>
      <c r="O3003" s="10"/>
      <c r="V3003" s="10"/>
    </row>
    <row r="3004" spans="1:22" x14ac:dyDescent="0.2">
      <c r="A3004" s="27"/>
      <c r="B3004" s="25"/>
      <c r="E3004" s="10"/>
      <c r="O3004" s="10"/>
      <c r="V3004" s="10"/>
    </row>
    <row r="3005" spans="1:22" x14ac:dyDescent="0.2">
      <c r="A3005" s="27"/>
      <c r="B3005" s="25"/>
      <c r="E3005" s="10"/>
      <c r="O3005" s="10"/>
      <c r="V3005" s="10"/>
    </row>
    <row r="3006" spans="1:22" x14ac:dyDescent="0.2">
      <c r="A3006" s="27"/>
      <c r="B3006" s="25"/>
      <c r="E3006" s="10"/>
      <c r="O3006" s="10"/>
      <c r="V3006" s="10"/>
    </row>
    <row r="3007" spans="1:22" x14ac:dyDescent="0.2">
      <c r="A3007" s="27"/>
      <c r="B3007" s="25"/>
      <c r="E3007" s="10"/>
      <c r="O3007" s="10"/>
      <c r="V3007" s="10"/>
    </row>
    <row r="3008" spans="1:22" x14ac:dyDescent="0.2">
      <c r="A3008" s="27"/>
      <c r="B3008" s="25"/>
      <c r="E3008" s="10"/>
      <c r="O3008" s="10"/>
      <c r="V3008" s="10"/>
    </row>
    <row r="3009" spans="1:22" x14ac:dyDescent="0.2">
      <c r="A3009" s="27"/>
      <c r="B3009" s="25"/>
      <c r="E3009" s="10"/>
      <c r="O3009" s="10"/>
      <c r="V3009" s="10"/>
    </row>
    <row r="3010" spans="1:22" x14ac:dyDescent="0.2">
      <c r="A3010" s="27"/>
      <c r="B3010" s="25"/>
      <c r="E3010" s="10"/>
      <c r="O3010" s="10"/>
      <c r="V3010" s="10"/>
    </row>
    <row r="3011" spans="1:22" x14ac:dyDescent="0.2">
      <c r="A3011" s="27"/>
      <c r="B3011" s="25"/>
      <c r="E3011" s="10"/>
      <c r="O3011" s="10"/>
      <c r="V3011" s="10"/>
    </row>
    <row r="3012" spans="1:22" x14ac:dyDescent="0.2">
      <c r="A3012" s="27"/>
      <c r="B3012" s="25"/>
      <c r="E3012" s="10"/>
      <c r="O3012" s="10"/>
      <c r="V3012" s="10"/>
    </row>
    <row r="3013" spans="1:22" x14ac:dyDescent="0.2">
      <c r="A3013" s="27"/>
      <c r="B3013" s="25"/>
      <c r="E3013" s="10"/>
      <c r="O3013" s="10"/>
      <c r="V3013" s="10"/>
    </row>
    <row r="3014" spans="1:22" x14ac:dyDescent="0.2">
      <c r="A3014" s="27"/>
      <c r="B3014" s="25"/>
      <c r="E3014" s="10"/>
      <c r="O3014" s="10"/>
      <c r="V3014" s="10"/>
    </row>
    <row r="3015" spans="1:22" x14ac:dyDescent="0.2">
      <c r="A3015" s="27"/>
      <c r="B3015" s="25"/>
      <c r="E3015" s="10"/>
      <c r="O3015" s="10"/>
      <c r="V3015" s="10"/>
    </row>
    <row r="3016" spans="1:22" x14ac:dyDescent="0.2">
      <c r="A3016" s="27"/>
      <c r="B3016" s="25"/>
      <c r="E3016" s="10"/>
      <c r="O3016" s="10"/>
      <c r="V3016" s="10"/>
    </row>
    <row r="3017" spans="1:22" x14ac:dyDescent="0.2">
      <c r="A3017" s="27"/>
      <c r="B3017" s="25"/>
      <c r="E3017" s="10"/>
      <c r="O3017" s="10"/>
      <c r="V3017" s="10"/>
    </row>
    <row r="3018" spans="1:22" x14ac:dyDescent="0.2">
      <c r="A3018" s="27"/>
      <c r="B3018" s="25"/>
      <c r="E3018" s="10"/>
      <c r="O3018" s="10"/>
      <c r="V3018" s="10"/>
    </row>
    <row r="3019" spans="1:22" x14ac:dyDescent="0.2">
      <c r="A3019" s="27"/>
      <c r="B3019" s="25"/>
      <c r="E3019" s="10"/>
      <c r="O3019" s="10"/>
      <c r="V3019" s="10"/>
    </row>
    <row r="3020" spans="1:22" x14ac:dyDescent="0.2">
      <c r="A3020" s="27"/>
      <c r="B3020" s="25"/>
      <c r="E3020" s="10"/>
      <c r="O3020" s="10"/>
      <c r="V3020" s="10"/>
    </row>
    <row r="3021" spans="1:22" x14ac:dyDescent="0.2">
      <c r="A3021" s="27"/>
      <c r="B3021" s="25"/>
      <c r="E3021" s="10"/>
      <c r="O3021" s="10"/>
      <c r="V3021" s="10"/>
    </row>
    <row r="3022" spans="1:22" x14ac:dyDescent="0.2">
      <c r="A3022" s="27"/>
      <c r="B3022" s="25"/>
      <c r="E3022" s="10"/>
      <c r="O3022" s="10"/>
      <c r="V3022" s="10"/>
    </row>
    <row r="3023" spans="1:22" x14ac:dyDescent="0.2">
      <c r="A3023" s="27"/>
      <c r="B3023" s="25"/>
      <c r="E3023" s="10"/>
      <c r="O3023" s="10"/>
      <c r="V3023" s="10"/>
    </row>
    <row r="3024" spans="1:22" x14ac:dyDescent="0.2">
      <c r="A3024" s="27"/>
      <c r="B3024" s="25"/>
      <c r="E3024" s="10"/>
      <c r="O3024" s="10"/>
      <c r="V3024" s="10"/>
    </row>
    <row r="3025" spans="1:22" x14ac:dyDescent="0.2">
      <c r="A3025" s="27"/>
      <c r="B3025" s="25"/>
      <c r="E3025" s="10"/>
      <c r="O3025" s="10"/>
      <c r="V3025" s="10"/>
    </row>
    <row r="3026" spans="1:22" x14ac:dyDescent="0.2">
      <c r="A3026" s="27"/>
      <c r="B3026" s="25"/>
      <c r="E3026" s="10"/>
      <c r="O3026" s="10"/>
      <c r="V3026" s="10"/>
    </row>
    <row r="3027" spans="1:22" x14ac:dyDescent="0.2">
      <c r="A3027" s="27"/>
      <c r="B3027" s="25"/>
      <c r="E3027" s="10"/>
      <c r="O3027" s="10"/>
      <c r="V3027" s="10"/>
    </row>
    <row r="3028" spans="1:22" x14ac:dyDescent="0.2">
      <c r="A3028" s="27"/>
      <c r="B3028" s="25"/>
      <c r="E3028" s="10"/>
      <c r="O3028" s="10"/>
      <c r="V3028" s="10"/>
    </row>
    <row r="3029" spans="1:22" x14ac:dyDescent="0.2">
      <c r="A3029" s="27"/>
      <c r="B3029" s="25"/>
      <c r="E3029" s="10"/>
      <c r="O3029" s="10"/>
      <c r="V3029" s="10"/>
    </row>
    <row r="3030" spans="1:22" x14ac:dyDescent="0.2">
      <c r="A3030" s="27"/>
      <c r="B3030" s="25"/>
      <c r="E3030" s="10"/>
      <c r="O3030" s="10"/>
      <c r="V3030" s="10"/>
    </row>
    <row r="3031" spans="1:22" x14ac:dyDescent="0.2">
      <c r="A3031" s="27"/>
      <c r="B3031" s="25"/>
      <c r="E3031" s="10"/>
      <c r="O3031" s="10"/>
      <c r="V3031" s="10"/>
    </row>
    <row r="3032" spans="1:22" x14ac:dyDescent="0.2">
      <c r="A3032" s="27"/>
      <c r="B3032" s="25"/>
      <c r="E3032" s="10"/>
      <c r="O3032" s="10"/>
      <c r="V3032" s="10"/>
    </row>
    <row r="3033" spans="1:22" x14ac:dyDescent="0.2">
      <c r="A3033" s="27"/>
      <c r="B3033" s="25"/>
      <c r="E3033" s="10"/>
      <c r="O3033" s="10"/>
      <c r="V3033" s="10"/>
    </row>
    <row r="3034" spans="1:22" x14ac:dyDescent="0.2">
      <c r="A3034" s="27"/>
      <c r="B3034" s="25"/>
      <c r="E3034" s="10"/>
      <c r="O3034" s="10"/>
      <c r="V3034" s="10"/>
    </row>
    <row r="3035" spans="1:22" x14ac:dyDescent="0.2">
      <c r="A3035" s="27"/>
      <c r="B3035" s="25"/>
      <c r="E3035" s="10"/>
      <c r="O3035" s="10"/>
      <c r="V3035" s="10"/>
    </row>
    <row r="3036" spans="1:22" x14ac:dyDescent="0.2">
      <c r="A3036" s="27"/>
      <c r="B3036" s="25"/>
      <c r="E3036" s="10"/>
      <c r="O3036" s="10"/>
      <c r="V3036" s="10"/>
    </row>
    <row r="3037" spans="1:22" x14ac:dyDescent="0.2">
      <c r="A3037" s="27"/>
      <c r="B3037" s="25"/>
      <c r="E3037" s="10"/>
      <c r="O3037" s="10"/>
      <c r="V3037" s="10"/>
    </row>
    <row r="3038" spans="1:22" x14ac:dyDescent="0.2">
      <c r="A3038" s="27"/>
      <c r="B3038" s="25"/>
      <c r="E3038" s="10"/>
      <c r="O3038" s="10"/>
      <c r="V3038" s="10"/>
    </row>
    <row r="3039" spans="1:22" x14ac:dyDescent="0.2">
      <c r="A3039" s="27"/>
      <c r="B3039" s="25"/>
      <c r="E3039" s="10"/>
      <c r="O3039" s="10"/>
      <c r="V3039" s="10"/>
    </row>
    <row r="3040" spans="1:22" x14ac:dyDescent="0.2">
      <c r="A3040" s="27"/>
      <c r="B3040" s="25"/>
      <c r="E3040" s="10"/>
      <c r="O3040" s="10"/>
      <c r="V3040" s="10"/>
    </row>
    <row r="3041" spans="1:22" x14ac:dyDescent="0.2">
      <c r="A3041" s="27"/>
      <c r="B3041" s="25"/>
      <c r="E3041" s="10"/>
      <c r="O3041" s="10"/>
      <c r="V3041" s="10"/>
    </row>
    <row r="3042" spans="1:22" x14ac:dyDescent="0.2">
      <c r="A3042" s="27"/>
      <c r="B3042" s="25"/>
      <c r="E3042" s="10"/>
      <c r="O3042" s="10"/>
      <c r="V3042" s="10"/>
    </row>
    <row r="3043" spans="1:22" x14ac:dyDescent="0.2">
      <c r="A3043" s="27"/>
      <c r="B3043" s="25"/>
      <c r="E3043" s="10"/>
      <c r="O3043" s="10"/>
      <c r="V3043" s="10"/>
    </row>
    <row r="3044" spans="1:22" x14ac:dyDescent="0.2">
      <c r="A3044" s="27"/>
      <c r="B3044" s="25"/>
      <c r="E3044" s="10"/>
      <c r="O3044" s="10"/>
      <c r="V3044" s="10"/>
    </row>
    <row r="3045" spans="1:22" x14ac:dyDescent="0.2">
      <c r="A3045" s="27"/>
      <c r="B3045" s="25"/>
      <c r="E3045" s="10"/>
      <c r="O3045" s="10"/>
      <c r="V3045" s="10"/>
    </row>
    <row r="3046" spans="1:22" x14ac:dyDescent="0.2">
      <c r="A3046" s="27"/>
      <c r="B3046" s="25"/>
      <c r="E3046" s="10"/>
      <c r="O3046" s="10"/>
      <c r="V3046" s="10"/>
    </row>
    <row r="3047" spans="1:22" x14ac:dyDescent="0.2">
      <c r="A3047" s="27"/>
      <c r="B3047" s="25"/>
      <c r="E3047" s="10"/>
      <c r="O3047" s="10"/>
      <c r="V3047" s="10"/>
    </row>
    <row r="3048" spans="1:22" x14ac:dyDescent="0.2">
      <c r="A3048" s="27"/>
      <c r="B3048" s="25"/>
      <c r="E3048" s="10"/>
      <c r="O3048" s="10"/>
      <c r="V3048" s="10"/>
    </row>
    <row r="3049" spans="1:22" x14ac:dyDescent="0.2">
      <c r="A3049" s="27"/>
      <c r="B3049" s="25"/>
      <c r="E3049" s="10"/>
      <c r="O3049" s="10"/>
      <c r="V3049" s="10"/>
    </row>
    <row r="3050" spans="1:22" x14ac:dyDescent="0.2">
      <c r="A3050" s="27"/>
      <c r="B3050" s="25"/>
      <c r="E3050" s="10"/>
      <c r="O3050" s="10"/>
      <c r="V3050" s="10"/>
    </row>
    <row r="3051" spans="1:22" x14ac:dyDescent="0.2">
      <c r="A3051" s="27"/>
      <c r="B3051" s="25"/>
      <c r="E3051" s="10"/>
      <c r="O3051" s="10"/>
      <c r="V3051" s="10"/>
    </row>
    <row r="3052" spans="1:22" x14ac:dyDescent="0.2">
      <c r="A3052" s="27"/>
      <c r="B3052" s="25"/>
      <c r="E3052" s="10"/>
      <c r="O3052" s="10"/>
      <c r="V3052" s="10"/>
    </row>
    <row r="3053" spans="1:22" x14ac:dyDescent="0.2">
      <c r="A3053" s="27"/>
      <c r="B3053" s="25"/>
      <c r="E3053" s="10"/>
      <c r="O3053" s="10"/>
      <c r="V3053" s="10"/>
    </row>
    <row r="3054" spans="1:22" x14ac:dyDescent="0.2">
      <c r="A3054" s="27"/>
      <c r="B3054" s="25"/>
      <c r="E3054" s="10"/>
      <c r="O3054" s="10"/>
      <c r="V3054" s="10"/>
    </row>
    <row r="3055" spans="1:22" x14ac:dyDescent="0.2">
      <c r="A3055" s="27"/>
      <c r="B3055" s="25"/>
      <c r="E3055" s="10"/>
      <c r="O3055" s="10"/>
      <c r="V3055" s="10"/>
    </row>
    <row r="3056" spans="1:22" x14ac:dyDescent="0.2">
      <c r="A3056" s="27"/>
      <c r="B3056" s="25"/>
      <c r="E3056" s="10"/>
      <c r="O3056" s="10"/>
      <c r="V3056" s="10"/>
    </row>
    <row r="3057" spans="1:22" x14ac:dyDescent="0.2">
      <c r="A3057" s="27"/>
      <c r="B3057" s="25"/>
      <c r="E3057" s="10"/>
      <c r="O3057" s="10"/>
      <c r="V3057" s="10"/>
    </row>
    <row r="3058" spans="1:22" x14ac:dyDescent="0.2">
      <c r="A3058" s="27"/>
      <c r="B3058" s="25"/>
      <c r="E3058" s="10"/>
      <c r="O3058" s="10"/>
      <c r="V3058" s="10"/>
    </row>
    <row r="3059" spans="1:22" x14ac:dyDescent="0.2">
      <c r="A3059" s="27"/>
      <c r="B3059" s="25"/>
      <c r="E3059" s="10"/>
      <c r="O3059" s="10"/>
      <c r="V3059" s="10"/>
    </row>
    <row r="3060" spans="1:22" x14ac:dyDescent="0.2">
      <c r="A3060" s="27"/>
      <c r="B3060" s="25"/>
      <c r="E3060" s="10"/>
      <c r="O3060" s="10"/>
      <c r="V3060" s="10"/>
    </row>
    <row r="3061" spans="1:22" x14ac:dyDescent="0.2">
      <c r="A3061" s="27"/>
      <c r="B3061" s="25"/>
      <c r="E3061" s="10"/>
      <c r="O3061" s="10"/>
      <c r="V3061" s="10"/>
    </row>
    <row r="3062" spans="1:22" x14ac:dyDescent="0.2">
      <c r="A3062" s="27"/>
      <c r="B3062" s="25"/>
      <c r="E3062" s="10"/>
      <c r="O3062" s="10"/>
      <c r="V3062" s="10"/>
    </row>
    <row r="3063" spans="1:22" x14ac:dyDescent="0.2">
      <c r="A3063" s="27"/>
      <c r="B3063" s="25"/>
      <c r="E3063" s="10"/>
      <c r="O3063" s="10"/>
      <c r="V3063" s="10"/>
    </row>
    <row r="3064" spans="1:22" x14ac:dyDescent="0.2">
      <c r="A3064" s="27"/>
      <c r="B3064" s="25"/>
      <c r="E3064" s="10"/>
      <c r="O3064" s="10"/>
      <c r="V3064" s="10"/>
    </row>
    <row r="3065" spans="1:22" x14ac:dyDescent="0.2">
      <c r="A3065" s="27"/>
      <c r="B3065" s="25"/>
      <c r="E3065" s="10"/>
      <c r="O3065" s="10"/>
      <c r="V3065" s="10"/>
    </row>
    <row r="3066" spans="1:22" x14ac:dyDescent="0.2">
      <c r="A3066" s="27"/>
      <c r="B3066" s="25"/>
      <c r="E3066" s="10"/>
      <c r="O3066" s="10"/>
      <c r="V3066" s="10"/>
    </row>
    <row r="3067" spans="1:22" x14ac:dyDescent="0.2">
      <c r="A3067" s="27"/>
      <c r="B3067" s="25"/>
      <c r="E3067" s="10"/>
      <c r="O3067" s="10"/>
      <c r="V3067" s="10"/>
    </row>
    <row r="3068" spans="1:22" x14ac:dyDescent="0.2">
      <c r="A3068" s="27"/>
      <c r="B3068" s="25"/>
      <c r="E3068" s="10"/>
      <c r="O3068" s="10"/>
      <c r="V3068" s="10"/>
    </row>
    <row r="3069" spans="1:22" x14ac:dyDescent="0.2">
      <c r="A3069" s="27"/>
      <c r="B3069" s="25"/>
      <c r="E3069" s="10"/>
      <c r="O3069" s="10"/>
      <c r="V3069" s="10"/>
    </row>
    <row r="3070" spans="1:22" x14ac:dyDescent="0.2">
      <c r="A3070" s="27"/>
      <c r="B3070" s="25"/>
      <c r="E3070" s="10"/>
      <c r="O3070" s="10"/>
      <c r="V3070" s="10"/>
    </row>
    <row r="3071" spans="1:22" x14ac:dyDescent="0.2">
      <c r="A3071" s="27"/>
      <c r="B3071" s="25"/>
      <c r="E3071" s="10"/>
      <c r="O3071" s="10"/>
      <c r="V3071" s="10"/>
    </row>
    <row r="3072" spans="1:22" x14ac:dyDescent="0.2">
      <c r="A3072" s="27"/>
      <c r="B3072" s="25"/>
      <c r="E3072" s="10"/>
      <c r="O3072" s="10"/>
      <c r="V3072" s="10"/>
    </row>
    <row r="3073" spans="1:22" x14ac:dyDescent="0.2">
      <c r="A3073" s="27"/>
      <c r="B3073" s="25"/>
      <c r="E3073" s="10"/>
      <c r="O3073" s="10"/>
      <c r="V3073" s="10"/>
    </row>
    <row r="3074" spans="1:22" x14ac:dyDescent="0.2">
      <c r="A3074" s="27"/>
      <c r="B3074" s="25"/>
      <c r="E3074" s="10"/>
      <c r="O3074" s="10"/>
      <c r="V3074" s="10"/>
    </row>
    <row r="3075" spans="1:22" x14ac:dyDescent="0.2">
      <c r="A3075" s="27"/>
      <c r="B3075" s="25"/>
      <c r="E3075" s="10"/>
      <c r="O3075" s="10"/>
      <c r="V3075" s="10"/>
    </row>
    <row r="3076" spans="1:22" x14ac:dyDescent="0.2">
      <c r="A3076" s="27"/>
      <c r="B3076" s="25"/>
      <c r="E3076" s="10"/>
      <c r="O3076" s="10"/>
      <c r="V3076" s="10"/>
    </row>
    <row r="3077" spans="1:22" x14ac:dyDescent="0.2">
      <c r="A3077" s="27"/>
      <c r="B3077" s="25"/>
      <c r="E3077" s="10"/>
      <c r="O3077" s="10"/>
      <c r="V3077" s="10"/>
    </row>
    <row r="3078" spans="1:22" x14ac:dyDescent="0.2">
      <c r="A3078" s="27"/>
      <c r="B3078" s="25"/>
      <c r="E3078" s="10"/>
      <c r="O3078" s="10"/>
      <c r="V3078" s="10"/>
    </row>
    <row r="3079" spans="1:22" x14ac:dyDescent="0.2">
      <c r="A3079" s="27"/>
      <c r="B3079" s="25"/>
      <c r="E3079" s="10"/>
      <c r="O3079" s="10"/>
      <c r="V3079" s="10"/>
    </row>
    <row r="3080" spans="1:22" x14ac:dyDescent="0.2">
      <c r="A3080" s="27"/>
      <c r="B3080" s="25"/>
      <c r="E3080" s="10"/>
      <c r="O3080" s="10"/>
      <c r="V3080" s="10"/>
    </row>
    <row r="3081" spans="1:22" x14ac:dyDescent="0.2">
      <c r="A3081" s="27"/>
      <c r="B3081" s="25"/>
      <c r="E3081" s="10"/>
      <c r="O3081" s="10"/>
      <c r="V3081" s="10"/>
    </row>
    <row r="3082" spans="1:22" x14ac:dyDescent="0.2">
      <c r="A3082" s="27"/>
      <c r="B3082" s="25"/>
      <c r="E3082" s="10"/>
      <c r="O3082" s="10"/>
      <c r="V3082" s="10"/>
    </row>
    <row r="3083" spans="1:22" x14ac:dyDescent="0.2">
      <c r="A3083" s="27"/>
      <c r="B3083" s="25"/>
      <c r="E3083" s="10"/>
      <c r="O3083" s="10"/>
      <c r="V3083" s="10"/>
    </row>
    <row r="3084" spans="1:22" x14ac:dyDescent="0.2">
      <c r="A3084" s="27"/>
      <c r="B3084" s="25"/>
      <c r="E3084" s="10"/>
      <c r="O3084" s="10"/>
      <c r="V3084" s="10"/>
    </row>
    <row r="3085" spans="1:22" x14ac:dyDescent="0.2">
      <c r="A3085" s="27"/>
      <c r="B3085" s="25"/>
      <c r="E3085" s="10"/>
      <c r="O3085" s="10"/>
      <c r="V3085" s="10"/>
    </row>
    <row r="3086" spans="1:22" x14ac:dyDescent="0.2">
      <c r="A3086" s="27"/>
      <c r="B3086" s="25"/>
      <c r="E3086" s="10"/>
      <c r="O3086" s="10"/>
      <c r="V3086" s="10"/>
    </row>
    <row r="3087" spans="1:22" x14ac:dyDescent="0.2">
      <c r="A3087" s="27"/>
      <c r="B3087" s="25"/>
      <c r="E3087" s="10"/>
      <c r="O3087" s="10"/>
      <c r="V3087" s="10"/>
    </row>
    <row r="3088" spans="1:22" x14ac:dyDescent="0.2">
      <c r="A3088" s="27"/>
      <c r="B3088" s="25"/>
      <c r="E3088" s="10"/>
      <c r="O3088" s="10"/>
      <c r="V3088" s="10"/>
    </row>
    <row r="3089" spans="1:22" x14ac:dyDescent="0.2">
      <c r="A3089" s="27"/>
      <c r="B3089" s="25"/>
      <c r="E3089" s="10"/>
      <c r="O3089" s="10"/>
      <c r="V3089" s="10"/>
    </row>
    <row r="3090" spans="1:22" x14ac:dyDescent="0.2">
      <c r="A3090" s="27"/>
      <c r="B3090" s="25"/>
      <c r="E3090" s="10"/>
      <c r="O3090" s="10"/>
      <c r="V3090" s="10"/>
    </row>
    <row r="3091" spans="1:22" x14ac:dyDescent="0.2">
      <c r="A3091" s="27"/>
      <c r="B3091" s="25"/>
      <c r="E3091" s="10"/>
      <c r="O3091" s="10"/>
      <c r="V3091" s="10"/>
    </row>
    <row r="3092" spans="1:22" x14ac:dyDescent="0.2">
      <c r="A3092" s="27"/>
      <c r="B3092" s="25"/>
      <c r="E3092" s="10"/>
      <c r="O3092" s="10"/>
      <c r="V3092" s="10"/>
    </row>
    <row r="3093" spans="1:22" x14ac:dyDescent="0.2">
      <c r="A3093" s="27"/>
      <c r="B3093" s="25"/>
      <c r="E3093" s="10"/>
      <c r="O3093" s="10"/>
      <c r="V3093" s="10"/>
    </row>
    <row r="3094" spans="1:22" x14ac:dyDescent="0.2">
      <c r="A3094" s="27"/>
      <c r="B3094" s="25"/>
      <c r="E3094" s="10"/>
      <c r="O3094" s="10"/>
      <c r="V3094" s="10"/>
    </row>
    <row r="3095" spans="1:22" x14ac:dyDescent="0.2">
      <c r="A3095" s="27"/>
      <c r="B3095" s="25"/>
      <c r="E3095" s="10"/>
      <c r="O3095" s="10"/>
      <c r="V3095" s="10"/>
    </row>
    <row r="3096" spans="1:22" x14ac:dyDescent="0.2">
      <c r="A3096" s="27"/>
      <c r="B3096" s="25"/>
      <c r="E3096" s="10"/>
      <c r="O3096" s="10"/>
      <c r="V3096" s="10"/>
    </row>
    <row r="3097" spans="1:22" x14ac:dyDescent="0.2">
      <c r="A3097" s="27"/>
      <c r="B3097" s="25"/>
      <c r="E3097" s="10"/>
      <c r="O3097" s="10"/>
      <c r="V3097" s="10"/>
    </row>
    <row r="3098" spans="1:22" x14ac:dyDescent="0.2">
      <c r="A3098" s="27"/>
      <c r="B3098" s="25"/>
      <c r="E3098" s="10"/>
      <c r="O3098" s="10"/>
      <c r="V3098" s="10"/>
    </row>
    <row r="3099" spans="1:22" x14ac:dyDescent="0.2">
      <c r="A3099" s="27"/>
      <c r="B3099" s="25"/>
      <c r="E3099" s="10"/>
      <c r="O3099" s="10"/>
      <c r="V3099" s="10"/>
    </row>
    <row r="3100" spans="1:22" x14ac:dyDescent="0.2">
      <c r="A3100" s="27"/>
      <c r="B3100" s="25"/>
      <c r="E3100" s="10"/>
      <c r="O3100" s="10"/>
      <c r="V3100" s="10"/>
    </row>
    <row r="3101" spans="1:22" x14ac:dyDescent="0.2">
      <c r="A3101" s="27"/>
      <c r="B3101" s="25"/>
      <c r="E3101" s="10"/>
      <c r="O3101" s="10"/>
      <c r="V3101" s="10"/>
    </row>
    <row r="3102" spans="1:22" x14ac:dyDescent="0.2">
      <c r="A3102" s="27"/>
      <c r="B3102" s="25"/>
      <c r="E3102" s="10"/>
      <c r="O3102" s="10"/>
      <c r="V3102" s="10"/>
    </row>
    <row r="3103" spans="1:22" x14ac:dyDescent="0.2">
      <c r="A3103" s="27"/>
      <c r="B3103" s="25"/>
      <c r="E3103" s="10"/>
      <c r="O3103" s="10"/>
      <c r="V3103" s="10"/>
    </row>
    <row r="3104" spans="1:22" x14ac:dyDescent="0.2">
      <c r="A3104" s="27"/>
      <c r="B3104" s="25"/>
      <c r="E3104" s="10"/>
      <c r="O3104" s="10"/>
      <c r="V3104" s="10"/>
    </row>
    <row r="3105" spans="1:22" x14ac:dyDescent="0.2">
      <c r="A3105" s="27"/>
      <c r="B3105" s="25"/>
      <c r="E3105" s="10"/>
      <c r="O3105" s="10"/>
      <c r="V3105" s="10"/>
    </row>
    <row r="3106" spans="1:22" x14ac:dyDescent="0.2">
      <c r="A3106" s="27"/>
      <c r="B3106" s="25"/>
      <c r="E3106" s="10"/>
      <c r="O3106" s="10"/>
      <c r="V3106" s="10"/>
    </row>
    <row r="3107" spans="1:22" x14ac:dyDescent="0.2">
      <c r="A3107" s="27"/>
      <c r="B3107" s="25"/>
      <c r="E3107" s="10"/>
      <c r="O3107" s="10"/>
      <c r="V3107" s="10"/>
    </row>
    <row r="3108" spans="1:22" x14ac:dyDescent="0.2">
      <c r="A3108" s="27"/>
      <c r="B3108" s="25"/>
      <c r="E3108" s="10"/>
      <c r="O3108" s="10"/>
      <c r="V3108" s="10"/>
    </row>
    <row r="3109" spans="1:22" x14ac:dyDescent="0.2">
      <c r="A3109" s="27"/>
      <c r="B3109" s="25"/>
      <c r="E3109" s="10"/>
      <c r="O3109" s="10"/>
      <c r="V3109" s="10"/>
    </row>
    <row r="3110" spans="1:22" x14ac:dyDescent="0.2">
      <c r="A3110" s="27"/>
      <c r="B3110" s="25"/>
      <c r="E3110" s="10"/>
      <c r="O3110" s="10"/>
      <c r="V3110" s="10"/>
    </row>
    <row r="3111" spans="1:22" x14ac:dyDescent="0.2">
      <c r="A3111" s="27"/>
      <c r="B3111" s="25"/>
      <c r="E3111" s="10"/>
      <c r="O3111" s="10"/>
      <c r="V3111" s="10"/>
    </row>
    <row r="3112" spans="1:22" x14ac:dyDescent="0.2">
      <c r="A3112" s="27"/>
      <c r="B3112" s="25"/>
      <c r="E3112" s="10"/>
      <c r="O3112" s="10"/>
      <c r="V3112" s="10"/>
    </row>
    <row r="3113" spans="1:22" x14ac:dyDescent="0.2">
      <c r="A3113" s="27"/>
      <c r="B3113" s="25"/>
      <c r="E3113" s="10"/>
      <c r="O3113" s="10"/>
      <c r="V3113" s="10"/>
    </row>
    <row r="3114" spans="1:22" x14ac:dyDescent="0.2">
      <c r="A3114" s="27"/>
      <c r="B3114" s="25"/>
      <c r="E3114" s="10"/>
      <c r="O3114" s="10"/>
      <c r="V3114" s="10"/>
    </row>
    <row r="3115" spans="1:22" x14ac:dyDescent="0.2">
      <c r="A3115" s="27"/>
      <c r="B3115" s="25"/>
      <c r="E3115" s="10"/>
      <c r="O3115" s="10"/>
      <c r="V3115" s="10"/>
    </row>
    <row r="3116" spans="1:22" x14ac:dyDescent="0.2">
      <c r="A3116" s="27"/>
      <c r="B3116" s="25"/>
      <c r="E3116" s="10"/>
      <c r="O3116" s="10"/>
      <c r="V3116" s="10"/>
    </row>
    <row r="3117" spans="1:22" x14ac:dyDescent="0.2">
      <c r="A3117" s="27"/>
      <c r="B3117" s="25"/>
      <c r="E3117" s="10"/>
      <c r="O3117" s="10"/>
      <c r="V3117" s="10"/>
    </row>
    <row r="3118" spans="1:22" x14ac:dyDescent="0.2">
      <c r="A3118" s="27"/>
      <c r="B3118" s="25"/>
      <c r="E3118" s="10"/>
      <c r="O3118" s="10"/>
      <c r="V3118" s="10"/>
    </row>
    <row r="3119" spans="1:22" x14ac:dyDescent="0.2">
      <c r="A3119" s="27"/>
      <c r="B3119" s="25"/>
      <c r="E3119" s="10"/>
      <c r="O3119" s="10"/>
      <c r="V3119" s="10"/>
    </row>
    <row r="3120" spans="1:22" x14ac:dyDescent="0.2">
      <c r="A3120" s="27"/>
      <c r="B3120" s="25"/>
      <c r="E3120" s="10"/>
      <c r="O3120" s="10"/>
      <c r="V3120" s="10"/>
    </row>
    <row r="3121" spans="1:22" x14ac:dyDescent="0.2">
      <c r="A3121" s="27"/>
      <c r="B3121" s="25"/>
      <c r="E3121" s="10"/>
      <c r="O3121" s="10"/>
      <c r="V3121" s="10"/>
    </row>
    <row r="3122" spans="1:22" x14ac:dyDescent="0.2">
      <c r="A3122" s="27"/>
      <c r="B3122" s="25"/>
      <c r="E3122" s="10"/>
      <c r="O3122" s="10"/>
      <c r="V3122" s="10"/>
    </row>
    <row r="3123" spans="1:22" x14ac:dyDescent="0.2">
      <c r="A3123" s="27"/>
      <c r="B3123" s="25"/>
      <c r="E3123" s="10"/>
      <c r="O3123" s="10"/>
      <c r="V3123" s="10"/>
    </row>
    <row r="3124" spans="1:22" x14ac:dyDescent="0.2">
      <c r="A3124" s="27"/>
      <c r="B3124" s="25"/>
      <c r="E3124" s="10"/>
      <c r="O3124" s="10"/>
      <c r="V3124" s="10"/>
    </row>
    <row r="3125" spans="1:22" x14ac:dyDescent="0.2">
      <c r="A3125" s="27"/>
      <c r="B3125" s="25"/>
      <c r="E3125" s="10"/>
      <c r="O3125" s="10"/>
      <c r="V3125" s="10"/>
    </row>
    <row r="3126" spans="1:22" x14ac:dyDescent="0.2">
      <c r="A3126" s="27"/>
      <c r="B3126" s="25"/>
      <c r="E3126" s="10"/>
      <c r="O3126" s="10"/>
      <c r="V3126" s="10"/>
    </row>
    <row r="3127" spans="1:22" x14ac:dyDescent="0.2">
      <c r="A3127" s="27"/>
      <c r="B3127" s="25"/>
      <c r="E3127" s="10"/>
      <c r="O3127" s="10"/>
      <c r="V3127" s="10"/>
    </row>
    <row r="3128" spans="1:22" x14ac:dyDescent="0.2">
      <c r="A3128" s="27"/>
      <c r="B3128" s="25"/>
      <c r="E3128" s="10"/>
      <c r="O3128" s="10"/>
      <c r="V3128" s="10"/>
    </row>
    <row r="3129" spans="1:22" x14ac:dyDescent="0.2">
      <c r="A3129" s="27"/>
      <c r="B3129" s="25"/>
      <c r="E3129" s="10"/>
      <c r="O3129" s="10"/>
      <c r="V3129" s="10"/>
    </row>
    <row r="3130" spans="1:22" x14ac:dyDescent="0.2">
      <c r="A3130" s="27"/>
      <c r="B3130" s="25"/>
      <c r="E3130" s="10"/>
      <c r="O3130" s="10"/>
      <c r="V3130" s="10"/>
    </row>
    <row r="3131" spans="1:22" x14ac:dyDescent="0.2">
      <c r="A3131" s="27"/>
      <c r="B3131" s="25"/>
      <c r="E3131" s="10"/>
      <c r="O3131" s="10"/>
      <c r="V3131" s="10"/>
    </row>
    <row r="3132" spans="1:22" x14ac:dyDescent="0.2">
      <c r="A3132" s="27"/>
      <c r="B3132" s="25"/>
      <c r="E3132" s="10"/>
      <c r="O3132" s="10"/>
      <c r="V3132" s="10"/>
    </row>
    <row r="3133" spans="1:22" x14ac:dyDescent="0.2">
      <c r="A3133" s="27"/>
      <c r="B3133" s="25"/>
      <c r="E3133" s="10"/>
      <c r="O3133" s="10"/>
      <c r="V3133" s="10"/>
    </row>
    <row r="3134" spans="1:22" x14ac:dyDescent="0.2">
      <c r="A3134" s="27"/>
      <c r="B3134" s="25"/>
      <c r="E3134" s="10"/>
      <c r="O3134" s="10"/>
      <c r="V3134" s="10"/>
    </row>
    <row r="3135" spans="1:22" x14ac:dyDescent="0.2">
      <c r="A3135" s="27"/>
      <c r="B3135" s="25"/>
      <c r="E3135" s="10"/>
      <c r="O3135" s="10"/>
      <c r="V3135" s="10"/>
    </row>
    <row r="3136" spans="1:22" x14ac:dyDescent="0.2">
      <c r="A3136" s="27"/>
      <c r="B3136" s="25"/>
      <c r="E3136" s="10"/>
      <c r="O3136" s="10"/>
      <c r="V3136" s="10"/>
    </row>
    <row r="3137" spans="1:22" x14ac:dyDescent="0.2">
      <c r="A3137" s="27"/>
      <c r="B3137" s="25"/>
      <c r="E3137" s="10"/>
      <c r="O3137" s="10"/>
      <c r="V3137" s="10"/>
    </row>
    <row r="3138" spans="1:22" x14ac:dyDescent="0.2">
      <c r="A3138" s="27"/>
      <c r="B3138" s="25"/>
      <c r="E3138" s="10"/>
      <c r="O3138" s="10"/>
      <c r="V3138" s="10"/>
    </row>
    <row r="3139" spans="1:22" x14ac:dyDescent="0.2">
      <c r="A3139" s="27"/>
      <c r="B3139" s="25"/>
      <c r="E3139" s="10"/>
      <c r="O3139" s="10"/>
      <c r="V3139" s="10"/>
    </row>
    <row r="3140" spans="1:22" x14ac:dyDescent="0.2">
      <c r="A3140" s="27"/>
      <c r="B3140" s="25"/>
      <c r="E3140" s="10"/>
      <c r="O3140" s="10"/>
      <c r="V3140" s="10"/>
    </row>
    <row r="3141" spans="1:22" x14ac:dyDescent="0.2">
      <c r="A3141" s="27"/>
      <c r="B3141" s="25"/>
      <c r="E3141" s="10"/>
      <c r="O3141" s="10"/>
      <c r="V3141" s="10"/>
    </row>
    <row r="3142" spans="1:22" x14ac:dyDescent="0.2">
      <c r="A3142" s="27"/>
      <c r="B3142" s="25"/>
      <c r="E3142" s="10"/>
      <c r="O3142" s="10"/>
      <c r="V3142" s="10"/>
    </row>
    <row r="3143" spans="1:22" x14ac:dyDescent="0.2">
      <c r="A3143" s="27"/>
      <c r="B3143" s="25"/>
      <c r="E3143" s="10"/>
      <c r="O3143" s="10"/>
      <c r="V3143" s="10"/>
    </row>
    <row r="3144" spans="1:22" x14ac:dyDescent="0.2">
      <c r="A3144" s="27"/>
      <c r="B3144" s="25"/>
      <c r="E3144" s="10"/>
      <c r="O3144" s="10"/>
      <c r="V3144" s="10"/>
    </row>
    <row r="3145" spans="1:22" x14ac:dyDescent="0.2">
      <c r="A3145" s="27"/>
      <c r="B3145" s="25"/>
      <c r="E3145" s="10"/>
      <c r="O3145" s="10"/>
      <c r="V3145" s="10"/>
    </row>
    <row r="3146" spans="1:22" x14ac:dyDescent="0.2">
      <c r="A3146" s="27"/>
      <c r="B3146" s="25"/>
      <c r="E3146" s="10"/>
      <c r="O3146" s="10"/>
      <c r="V3146" s="10"/>
    </row>
    <row r="3147" spans="1:22" x14ac:dyDescent="0.2">
      <c r="A3147" s="27"/>
      <c r="B3147" s="25"/>
      <c r="E3147" s="10"/>
      <c r="O3147" s="10"/>
      <c r="V3147" s="10"/>
    </row>
    <row r="3148" spans="1:22" x14ac:dyDescent="0.2">
      <c r="A3148" s="27"/>
      <c r="B3148" s="25"/>
      <c r="E3148" s="10"/>
      <c r="O3148" s="10"/>
      <c r="V3148" s="10"/>
    </row>
    <row r="3149" spans="1:22" x14ac:dyDescent="0.2">
      <c r="A3149" s="27"/>
      <c r="B3149" s="25"/>
      <c r="E3149" s="10"/>
      <c r="O3149" s="10"/>
      <c r="V3149" s="10"/>
    </row>
    <row r="3150" spans="1:22" x14ac:dyDescent="0.2">
      <c r="A3150" s="27"/>
      <c r="B3150" s="25"/>
      <c r="E3150" s="10"/>
      <c r="O3150" s="10"/>
      <c r="V3150" s="10"/>
    </row>
    <row r="3151" spans="1:22" x14ac:dyDescent="0.2">
      <c r="A3151" s="27"/>
      <c r="B3151" s="25"/>
      <c r="E3151" s="10"/>
      <c r="O3151" s="10"/>
      <c r="V3151" s="10"/>
    </row>
    <row r="3152" spans="1:22" x14ac:dyDescent="0.2">
      <c r="A3152" s="27"/>
      <c r="B3152" s="25"/>
      <c r="E3152" s="10"/>
      <c r="O3152" s="10"/>
      <c r="V3152" s="10"/>
    </row>
    <row r="3153" spans="1:22" x14ac:dyDescent="0.2">
      <c r="A3153" s="27"/>
      <c r="B3153" s="25"/>
      <c r="E3153" s="10"/>
      <c r="O3153" s="10"/>
      <c r="V3153" s="10"/>
    </row>
    <row r="3154" spans="1:22" x14ac:dyDescent="0.2">
      <c r="A3154" s="27"/>
      <c r="B3154" s="25"/>
      <c r="E3154" s="10"/>
      <c r="O3154" s="10"/>
      <c r="V3154" s="10"/>
    </row>
    <row r="3155" spans="1:22" x14ac:dyDescent="0.2">
      <c r="A3155" s="27"/>
      <c r="B3155" s="25"/>
      <c r="E3155" s="10"/>
      <c r="O3155" s="10"/>
      <c r="V3155" s="10"/>
    </row>
    <row r="3156" spans="1:22" x14ac:dyDescent="0.2">
      <c r="A3156" s="27"/>
      <c r="B3156" s="25"/>
      <c r="E3156" s="10"/>
      <c r="O3156" s="10"/>
      <c r="V3156" s="10"/>
    </row>
    <row r="3157" spans="1:22" x14ac:dyDescent="0.2">
      <c r="A3157" s="27"/>
      <c r="B3157" s="25"/>
      <c r="E3157" s="10"/>
      <c r="O3157" s="10"/>
      <c r="V3157" s="10"/>
    </row>
    <row r="3158" spans="1:22" x14ac:dyDescent="0.2">
      <c r="A3158" s="27"/>
      <c r="B3158" s="25"/>
      <c r="E3158" s="10"/>
      <c r="O3158" s="10"/>
      <c r="V3158" s="10"/>
    </row>
    <row r="3159" spans="1:22" x14ac:dyDescent="0.2">
      <c r="A3159" s="27"/>
      <c r="B3159" s="25"/>
      <c r="E3159" s="10"/>
      <c r="O3159" s="10"/>
      <c r="V3159" s="10"/>
    </row>
    <row r="3160" spans="1:22" x14ac:dyDescent="0.2">
      <c r="A3160" s="27"/>
      <c r="B3160" s="25"/>
      <c r="E3160" s="10"/>
      <c r="O3160" s="10"/>
      <c r="V3160" s="10"/>
    </row>
    <row r="3161" spans="1:22" x14ac:dyDescent="0.2">
      <c r="A3161" s="27"/>
      <c r="B3161" s="25"/>
      <c r="E3161" s="10"/>
      <c r="O3161" s="10"/>
      <c r="V3161" s="10"/>
    </row>
    <row r="3162" spans="1:22" x14ac:dyDescent="0.2">
      <c r="A3162" s="27"/>
      <c r="B3162" s="25"/>
      <c r="E3162" s="10"/>
      <c r="O3162" s="10"/>
      <c r="V3162" s="10"/>
    </row>
    <row r="3163" spans="1:22" x14ac:dyDescent="0.2">
      <c r="A3163" s="27"/>
      <c r="B3163" s="25"/>
      <c r="E3163" s="10"/>
      <c r="O3163" s="10"/>
      <c r="V3163" s="10"/>
    </row>
    <row r="3164" spans="1:22" x14ac:dyDescent="0.2">
      <c r="A3164" s="27"/>
      <c r="B3164" s="25"/>
      <c r="E3164" s="10"/>
      <c r="O3164" s="10"/>
      <c r="V3164" s="10"/>
    </row>
    <row r="3165" spans="1:22" x14ac:dyDescent="0.2">
      <c r="A3165" s="27"/>
      <c r="B3165" s="25"/>
      <c r="E3165" s="10"/>
      <c r="O3165" s="10"/>
      <c r="V3165" s="10"/>
    </row>
    <row r="3166" spans="1:22" x14ac:dyDescent="0.2">
      <c r="A3166" s="27"/>
      <c r="B3166" s="25"/>
      <c r="E3166" s="10"/>
      <c r="O3166" s="10"/>
      <c r="V3166" s="10"/>
    </row>
    <row r="3167" spans="1:22" x14ac:dyDescent="0.2">
      <c r="A3167" s="27"/>
      <c r="B3167" s="25"/>
      <c r="E3167" s="10"/>
      <c r="O3167" s="10"/>
      <c r="V3167" s="10"/>
    </row>
    <row r="3168" spans="1:22" x14ac:dyDescent="0.2">
      <c r="A3168" s="27"/>
      <c r="B3168" s="25"/>
      <c r="E3168" s="10"/>
      <c r="O3168" s="10"/>
      <c r="V3168" s="10"/>
    </row>
    <row r="3169" spans="1:22" x14ac:dyDescent="0.2">
      <c r="A3169" s="27"/>
      <c r="B3169" s="25"/>
      <c r="E3169" s="10"/>
      <c r="O3169" s="10"/>
      <c r="V3169" s="10"/>
    </row>
    <row r="3170" spans="1:22" x14ac:dyDescent="0.2">
      <c r="A3170" s="27"/>
      <c r="B3170" s="25"/>
      <c r="E3170" s="10"/>
      <c r="O3170" s="10"/>
      <c r="V3170" s="10"/>
    </row>
    <row r="3171" spans="1:22" x14ac:dyDescent="0.2">
      <c r="A3171" s="27"/>
      <c r="B3171" s="25"/>
      <c r="E3171" s="10"/>
      <c r="O3171" s="10"/>
      <c r="V3171" s="10"/>
    </row>
    <row r="3172" spans="1:22" x14ac:dyDescent="0.2">
      <c r="A3172" s="27"/>
      <c r="B3172" s="25"/>
      <c r="E3172" s="10"/>
      <c r="O3172" s="10"/>
      <c r="V3172" s="10"/>
    </row>
    <row r="3173" spans="1:22" x14ac:dyDescent="0.2">
      <c r="A3173" s="27"/>
      <c r="B3173" s="25"/>
      <c r="E3173" s="10"/>
      <c r="O3173" s="10"/>
      <c r="V3173" s="10"/>
    </row>
    <row r="3174" spans="1:22" x14ac:dyDescent="0.2">
      <c r="A3174" s="27"/>
      <c r="B3174" s="25"/>
      <c r="E3174" s="10"/>
      <c r="O3174" s="10"/>
      <c r="V3174" s="10"/>
    </row>
    <row r="3175" spans="1:22" x14ac:dyDescent="0.2">
      <c r="A3175" s="27"/>
      <c r="B3175" s="25"/>
      <c r="E3175" s="10"/>
      <c r="O3175" s="10"/>
      <c r="V3175" s="10"/>
    </row>
    <row r="3176" spans="1:22" x14ac:dyDescent="0.2">
      <c r="A3176" s="27"/>
      <c r="B3176" s="25"/>
      <c r="E3176" s="10"/>
      <c r="O3176" s="10"/>
      <c r="V3176" s="10"/>
    </row>
    <row r="3177" spans="1:22" x14ac:dyDescent="0.2">
      <c r="A3177" s="27"/>
      <c r="B3177" s="25"/>
      <c r="E3177" s="10"/>
      <c r="O3177" s="10"/>
      <c r="V3177" s="10"/>
    </row>
    <row r="3178" spans="1:22" x14ac:dyDescent="0.2">
      <c r="A3178" s="27"/>
      <c r="B3178" s="25"/>
      <c r="E3178" s="10"/>
      <c r="O3178" s="10"/>
      <c r="V3178" s="10"/>
    </row>
    <row r="3179" spans="1:22" x14ac:dyDescent="0.2">
      <c r="A3179" s="27"/>
      <c r="B3179" s="25"/>
      <c r="E3179" s="10"/>
      <c r="O3179" s="10"/>
      <c r="V3179" s="10"/>
    </row>
    <row r="3180" spans="1:22" x14ac:dyDescent="0.2">
      <c r="A3180" s="27"/>
      <c r="B3180" s="25"/>
      <c r="E3180" s="10"/>
      <c r="O3180" s="10"/>
      <c r="V3180" s="10"/>
    </row>
    <row r="3181" spans="1:22" x14ac:dyDescent="0.2">
      <c r="A3181" s="27"/>
      <c r="B3181" s="25"/>
      <c r="E3181" s="10"/>
      <c r="O3181" s="10"/>
      <c r="V3181" s="10"/>
    </row>
    <row r="3182" spans="1:22" x14ac:dyDescent="0.2">
      <c r="A3182" s="27"/>
      <c r="B3182" s="25"/>
      <c r="E3182" s="10"/>
      <c r="O3182" s="10"/>
      <c r="V3182" s="10"/>
    </row>
    <row r="3183" spans="1:22" x14ac:dyDescent="0.2">
      <c r="A3183" s="27"/>
      <c r="B3183" s="25"/>
      <c r="E3183" s="10"/>
      <c r="O3183" s="10"/>
      <c r="V3183" s="10"/>
    </row>
    <row r="3184" spans="1:22" x14ac:dyDescent="0.2">
      <c r="A3184" s="27"/>
      <c r="B3184" s="25"/>
      <c r="E3184" s="10"/>
      <c r="O3184" s="10"/>
      <c r="V3184" s="10"/>
    </row>
    <row r="3185" spans="1:22" x14ac:dyDescent="0.2">
      <c r="A3185" s="27"/>
      <c r="B3185" s="25"/>
      <c r="E3185" s="10"/>
      <c r="O3185" s="10"/>
      <c r="V3185" s="10"/>
    </row>
    <row r="3186" spans="1:22" x14ac:dyDescent="0.2">
      <c r="A3186" s="27"/>
      <c r="B3186" s="25"/>
      <c r="E3186" s="10"/>
      <c r="O3186" s="10"/>
      <c r="V3186" s="10"/>
    </row>
    <row r="3187" spans="1:22" x14ac:dyDescent="0.2">
      <c r="A3187" s="27"/>
      <c r="B3187" s="25"/>
      <c r="E3187" s="10"/>
      <c r="O3187" s="10"/>
      <c r="V3187" s="10"/>
    </row>
    <row r="3188" spans="1:22" x14ac:dyDescent="0.2">
      <c r="A3188" s="27"/>
      <c r="B3188" s="25"/>
      <c r="E3188" s="10"/>
      <c r="O3188" s="10"/>
      <c r="V3188" s="10"/>
    </row>
    <row r="3189" spans="1:22" x14ac:dyDescent="0.2">
      <c r="A3189" s="27"/>
      <c r="B3189" s="25"/>
      <c r="E3189" s="10"/>
      <c r="O3189" s="10"/>
      <c r="V3189" s="10"/>
    </row>
    <row r="3190" spans="1:22" x14ac:dyDescent="0.2">
      <c r="A3190" s="27"/>
      <c r="B3190" s="25"/>
      <c r="E3190" s="10"/>
      <c r="O3190" s="10"/>
      <c r="V3190" s="10"/>
    </row>
    <row r="3191" spans="1:22" x14ac:dyDescent="0.2">
      <c r="A3191" s="27"/>
      <c r="B3191" s="25"/>
      <c r="E3191" s="10"/>
      <c r="O3191" s="10"/>
      <c r="V3191" s="10"/>
    </row>
    <row r="3192" spans="1:22" x14ac:dyDescent="0.2">
      <c r="A3192" s="27"/>
      <c r="B3192" s="25"/>
      <c r="E3192" s="10"/>
      <c r="O3192" s="10"/>
      <c r="V3192" s="10"/>
    </row>
    <row r="3193" spans="1:22" x14ac:dyDescent="0.2">
      <c r="A3193" s="27"/>
      <c r="B3193" s="25"/>
      <c r="E3193" s="10"/>
      <c r="O3193" s="10"/>
      <c r="V3193" s="10"/>
    </row>
    <row r="3194" spans="1:22" x14ac:dyDescent="0.2">
      <c r="A3194" s="27"/>
      <c r="B3194" s="25"/>
      <c r="E3194" s="10"/>
      <c r="O3194" s="10"/>
      <c r="V3194" s="10"/>
    </row>
    <row r="3195" spans="1:22" x14ac:dyDescent="0.2">
      <c r="A3195" s="27"/>
      <c r="B3195" s="25"/>
      <c r="E3195" s="10"/>
      <c r="O3195" s="10"/>
      <c r="V3195" s="10"/>
    </row>
    <row r="3196" spans="1:22" x14ac:dyDescent="0.2">
      <c r="A3196" s="27"/>
      <c r="B3196" s="25"/>
      <c r="E3196" s="10"/>
      <c r="O3196" s="10"/>
      <c r="V3196" s="10"/>
    </row>
    <row r="3197" spans="1:22" x14ac:dyDescent="0.2">
      <c r="A3197" s="27"/>
      <c r="B3197" s="25"/>
      <c r="E3197" s="10"/>
      <c r="O3197" s="10"/>
      <c r="V3197" s="10"/>
    </row>
    <row r="3198" spans="1:22" x14ac:dyDescent="0.2">
      <c r="A3198" s="27"/>
      <c r="B3198" s="25"/>
      <c r="E3198" s="10"/>
      <c r="O3198" s="10"/>
      <c r="V3198" s="10"/>
    </row>
    <row r="3199" spans="1:22" x14ac:dyDescent="0.2">
      <c r="A3199" s="27"/>
      <c r="B3199" s="25"/>
      <c r="E3199" s="10"/>
      <c r="O3199" s="10"/>
      <c r="V3199" s="10"/>
    </row>
    <row r="3200" spans="1:22" x14ac:dyDescent="0.2">
      <c r="A3200" s="27"/>
      <c r="B3200" s="25"/>
      <c r="E3200" s="10"/>
      <c r="O3200" s="10"/>
      <c r="V3200" s="10"/>
    </row>
    <row r="3201" spans="1:22" x14ac:dyDescent="0.2">
      <c r="A3201" s="27"/>
      <c r="B3201" s="25"/>
      <c r="E3201" s="10"/>
      <c r="O3201" s="10"/>
      <c r="V3201" s="10"/>
    </row>
    <row r="3202" spans="1:22" x14ac:dyDescent="0.2">
      <c r="A3202" s="27"/>
      <c r="B3202" s="25"/>
      <c r="E3202" s="10"/>
      <c r="O3202" s="10"/>
      <c r="V3202" s="10"/>
    </row>
    <row r="3203" spans="1:22" x14ac:dyDescent="0.2">
      <c r="A3203" s="27"/>
      <c r="B3203" s="25"/>
      <c r="E3203" s="10"/>
      <c r="O3203" s="10"/>
      <c r="V3203" s="10"/>
    </row>
    <row r="3204" spans="1:22" x14ac:dyDescent="0.2">
      <c r="A3204" s="27"/>
      <c r="B3204" s="25"/>
      <c r="E3204" s="10"/>
      <c r="O3204" s="10"/>
      <c r="V3204" s="10"/>
    </row>
    <row r="3205" spans="1:22" x14ac:dyDescent="0.2">
      <c r="A3205" s="27"/>
      <c r="B3205" s="25"/>
      <c r="E3205" s="10"/>
      <c r="O3205" s="10"/>
      <c r="V3205" s="10"/>
    </row>
    <row r="3206" spans="1:22" x14ac:dyDescent="0.2">
      <c r="A3206" s="27"/>
      <c r="B3206" s="25"/>
      <c r="E3206" s="10"/>
      <c r="O3206" s="10"/>
      <c r="V3206" s="10"/>
    </row>
    <row r="3207" spans="1:22" x14ac:dyDescent="0.2">
      <c r="A3207" s="27"/>
      <c r="B3207" s="25"/>
      <c r="E3207" s="10"/>
      <c r="O3207" s="10"/>
      <c r="V3207" s="10"/>
    </row>
    <row r="3208" spans="1:22" x14ac:dyDescent="0.2">
      <c r="A3208" s="27"/>
      <c r="B3208" s="25"/>
      <c r="E3208" s="10"/>
      <c r="O3208" s="10"/>
      <c r="V3208" s="10"/>
    </row>
    <row r="3209" spans="1:22" x14ac:dyDescent="0.2">
      <c r="A3209" s="27"/>
      <c r="B3209" s="25"/>
      <c r="E3209" s="10"/>
      <c r="O3209" s="10"/>
      <c r="V3209" s="10"/>
    </row>
    <row r="3210" spans="1:22" x14ac:dyDescent="0.2">
      <c r="A3210" s="27"/>
      <c r="B3210" s="25"/>
      <c r="E3210" s="10"/>
      <c r="O3210" s="10"/>
      <c r="V3210" s="10"/>
    </row>
    <row r="3211" spans="1:22" x14ac:dyDescent="0.2">
      <c r="A3211" s="27"/>
      <c r="B3211" s="25"/>
      <c r="E3211" s="10"/>
      <c r="O3211" s="10"/>
      <c r="V3211" s="10"/>
    </row>
    <row r="3212" spans="1:22" x14ac:dyDescent="0.2">
      <c r="A3212" s="27"/>
      <c r="B3212" s="25"/>
      <c r="E3212" s="10"/>
      <c r="O3212" s="10"/>
      <c r="V3212" s="10"/>
    </row>
    <row r="3213" spans="1:22" x14ac:dyDescent="0.2">
      <c r="A3213" s="27"/>
      <c r="B3213" s="25"/>
      <c r="E3213" s="10"/>
      <c r="O3213" s="10"/>
      <c r="V3213" s="10"/>
    </row>
    <row r="3214" spans="1:22" x14ac:dyDescent="0.2">
      <c r="A3214" s="27"/>
      <c r="B3214" s="25"/>
      <c r="E3214" s="10"/>
      <c r="O3214" s="10"/>
      <c r="V3214" s="10"/>
    </row>
    <row r="3215" spans="1:22" x14ac:dyDescent="0.2">
      <c r="A3215" s="27"/>
      <c r="B3215" s="25"/>
      <c r="E3215" s="10"/>
      <c r="O3215" s="10"/>
      <c r="V3215" s="10"/>
    </row>
    <row r="3216" spans="1:22" x14ac:dyDescent="0.2">
      <c r="A3216" s="27"/>
      <c r="B3216" s="25"/>
      <c r="E3216" s="10"/>
      <c r="O3216" s="10"/>
      <c r="V3216" s="10"/>
    </row>
    <row r="3217" spans="1:22" x14ac:dyDescent="0.2">
      <c r="A3217" s="27"/>
      <c r="B3217" s="25"/>
      <c r="E3217" s="10"/>
      <c r="O3217" s="10"/>
      <c r="V3217" s="10"/>
    </row>
    <row r="3218" spans="1:22" x14ac:dyDescent="0.2">
      <c r="A3218" s="27"/>
      <c r="B3218" s="25"/>
      <c r="E3218" s="10"/>
      <c r="O3218" s="10"/>
      <c r="V3218" s="10"/>
    </row>
    <row r="3219" spans="1:22" x14ac:dyDescent="0.2">
      <c r="A3219" s="27"/>
      <c r="B3219" s="25"/>
      <c r="E3219" s="10"/>
      <c r="O3219" s="10"/>
      <c r="V3219" s="10"/>
    </row>
    <row r="3220" spans="1:22" x14ac:dyDescent="0.2">
      <c r="A3220" s="27"/>
      <c r="B3220" s="25"/>
      <c r="E3220" s="10"/>
      <c r="O3220" s="10"/>
      <c r="V3220" s="10"/>
    </row>
    <row r="3221" spans="1:22" x14ac:dyDescent="0.2">
      <c r="A3221" s="27"/>
      <c r="B3221" s="25"/>
      <c r="E3221" s="10"/>
      <c r="O3221" s="10"/>
      <c r="V3221" s="10"/>
    </row>
    <row r="3222" spans="1:22" x14ac:dyDescent="0.2">
      <c r="A3222" s="27"/>
      <c r="B3222" s="25"/>
      <c r="E3222" s="10"/>
      <c r="O3222" s="10"/>
      <c r="V3222" s="10"/>
    </row>
    <row r="3223" spans="1:22" x14ac:dyDescent="0.2">
      <c r="A3223" s="27"/>
      <c r="B3223" s="25"/>
      <c r="E3223" s="10"/>
      <c r="O3223" s="10"/>
      <c r="V3223" s="10"/>
    </row>
    <row r="3224" spans="1:22" x14ac:dyDescent="0.2">
      <c r="A3224" s="27"/>
      <c r="B3224" s="25"/>
      <c r="E3224" s="10"/>
      <c r="O3224" s="10"/>
      <c r="V3224" s="10"/>
    </row>
    <row r="3225" spans="1:22" x14ac:dyDescent="0.2">
      <c r="A3225" s="27"/>
      <c r="B3225" s="25"/>
      <c r="E3225" s="10"/>
      <c r="O3225" s="10"/>
      <c r="V3225" s="10"/>
    </row>
    <row r="3226" spans="1:22" x14ac:dyDescent="0.2">
      <c r="A3226" s="27"/>
      <c r="B3226" s="25"/>
      <c r="E3226" s="10"/>
      <c r="O3226" s="10"/>
      <c r="V3226" s="10"/>
    </row>
    <row r="3227" spans="1:22" x14ac:dyDescent="0.2">
      <c r="A3227" s="27"/>
      <c r="B3227" s="25"/>
      <c r="E3227" s="10"/>
      <c r="O3227" s="10"/>
      <c r="V3227" s="10"/>
    </row>
    <row r="3228" spans="1:22" x14ac:dyDescent="0.2">
      <c r="A3228" s="27"/>
      <c r="B3228" s="25"/>
      <c r="E3228" s="10"/>
      <c r="O3228" s="10"/>
      <c r="V3228" s="10"/>
    </row>
    <row r="3229" spans="1:22" x14ac:dyDescent="0.2">
      <c r="A3229" s="27"/>
      <c r="B3229" s="25"/>
      <c r="E3229" s="10"/>
      <c r="O3229" s="10"/>
      <c r="V3229" s="10"/>
    </row>
    <row r="3230" spans="1:22" x14ac:dyDescent="0.2">
      <c r="A3230" s="27"/>
      <c r="B3230" s="25"/>
      <c r="E3230" s="10"/>
      <c r="O3230" s="10"/>
      <c r="V3230" s="10"/>
    </row>
    <row r="3231" spans="1:22" x14ac:dyDescent="0.2">
      <c r="A3231" s="27"/>
      <c r="B3231" s="25"/>
      <c r="E3231" s="10"/>
      <c r="O3231" s="10"/>
      <c r="V3231" s="10"/>
    </row>
    <row r="3232" spans="1:22" x14ac:dyDescent="0.2">
      <c r="A3232" s="27"/>
      <c r="B3232" s="25"/>
      <c r="E3232" s="10"/>
      <c r="O3232" s="10"/>
      <c r="V3232" s="10"/>
    </row>
    <row r="3233" spans="1:22" x14ac:dyDescent="0.2">
      <c r="A3233" s="27"/>
      <c r="B3233" s="25"/>
      <c r="E3233" s="10"/>
      <c r="O3233" s="10"/>
      <c r="V3233" s="10"/>
    </row>
    <row r="3234" spans="1:22" x14ac:dyDescent="0.2">
      <c r="A3234" s="27"/>
      <c r="B3234" s="25"/>
      <c r="E3234" s="10"/>
      <c r="O3234" s="10"/>
      <c r="V3234" s="10"/>
    </row>
    <row r="3235" spans="1:22" x14ac:dyDescent="0.2">
      <c r="A3235" s="27"/>
      <c r="B3235" s="25"/>
      <c r="E3235" s="10"/>
      <c r="O3235" s="10"/>
      <c r="V3235" s="10"/>
    </row>
    <row r="3236" spans="1:22" x14ac:dyDescent="0.2">
      <c r="A3236" s="27"/>
      <c r="B3236" s="25"/>
      <c r="E3236" s="10"/>
      <c r="O3236" s="10"/>
      <c r="V3236" s="10"/>
    </row>
    <row r="3237" spans="1:22" x14ac:dyDescent="0.2">
      <c r="A3237" s="27"/>
      <c r="B3237" s="25"/>
      <c r="E3237" s="10"/>
      <c r="O3237" s="10"/>
      <c r="V3237" s="10"/>
    </row>
    <row r="3238" spans="1:22" x14ac:dyDescent="0.2">
      <c r="A3238" s="27"/>
      <c r="B3238" s="25"/>
      <c r="E3238" s="10"/>
      <c r="O3238" s="10"/>
      <c r="V3238" s="10"/>
    </row>
    <row r="3239" spans="1:22" x14ac:dyDescent="0.2">
      <c r="A3239" s="27"/>
      <c r="B3239" s="25"/>
      <c r="E3239" s="10"/>
      <c r="O3239" s="10"/>
      <c r="V3239" s="10"/>
    </row>
    <row r="3240" spans="1:22" x14ac:dyDescent="0.2">
      <c r="A3240" s="27"/>
      <c r="B3240" s="25"/>
      <c r="E3240" s="10"/>
      <c r="O3240" s="10"/>
      <c r="V3240" s="10"/>
    </row>
    <row r="3241" spans="1:22" x14ac:dyDescent="0.2">
      <c r="A3241" s="27"/>
      <c r="B3241" s="25"/>
      <c r="E3241" s="10"/>
      <c r="O3241" s="10"/>
      <c r="V3241" s="10"/>
    </row>
    <row r="3242" spans="1:22" x14ac:dyDescent="0.2">
      <c r="A3242" s="27"/>
      <c r="B3242" s="25"/>
      <c r="E3242" s="10"/>
      <c r="O3242" s="10"/>
      <c r="V3242" s="10"/>
    </row>
    <row r="3243" spans="1:22" x14ac:dyDescent="0.2">
      <c r="A3243" s="27"/>
      <c r="B3243" s="25"/>
      <c r="E3243" s="10"/>
      <c r="O3243" s="10"/>
      <c r="V3243" s="10"/>
    </row>
    <row r="3244" spans="1:22" x14ac:dyDescent="0.2">
      <c r="A3244" s="27"/>
      <c r="B3244" s="25"/>
      <c r="E3244" s="10"/>
      <c r="O3244" s="10"/>
      <c r="V3244" s="10"/>
    </row>
    <row r="3245" spans="1:22" x14ac:dyDescent="0.2">
      <c r="A3245" s="27"/>
      <c r="B3245" s="25"/>
      <c r="E3245" s="10"/>
      <c r="O3245" s="10"/>
      <c r="V3245" s="10"/>
    </row>
    <row r="3246" spans="1:22" x14ac:dyDescent="0.2">
      <c r="A3246" s="27"/>
      <c r="B3246" s="25"/>
      <c r="E3246" s="10"/>
      <c r="O3246" s="10"/>
      <c r="V3246" s="10"/>
    </row>
    <row r="3247" spans="1:22" x14ac:dyDescent="0.2">
      <c r="A3247" s="27"/>
      <c r="B3247" s="25"/>
      <c r="E3247" s="10"/>
      <c r="O3247" s="10"/>
      <c r="V3247" s="10"/>
    </row>
    <row r="3248" spans="1:22" x14ac:dyDescent="0.2">
      <c r="A3248" s="27"/>
      <c r="B3248" s="25"/>
      <c r="E3248" s="10"/>
      <c r="O3248" s="10"/>
      <c r="V3248" s="10"/>
    </row>
    <row r="3249" spans="1:22" x14ac:dyDescent="0.2">
      <c r="A3249" s="27"/>
      <c r="B3249" s="25"/>
      <c r="E3249" s="10"/>
      <c r="O3249" s="10"/>
      <c r="V3249" s="10"/>
    </row>
    <row r="3250" spans="1:22" x14ac:dyDescent="0.2">
      <c r="A3250" s="27"/>
      <c r="B3250" s="25"/>
      <c r="E3250" s="10"/>
      <c r="O3250" s="10"/>
      <c r="V3250" s="10"/>
    </row>
    <row r="3251" spans="1:22" x14ac:dyDescent="0.2">
      <c r="A3251" s="27"/>
      <c r="B3251" s="25"/>
      <c r="E3251" s="10"/>
      <c r="O3251" s="10"/>
      <c r="V3251" s="10"/>
    </row>
    <row r="3252" spans="1:22" x14ac:dyDescent="0.2">
      <c r="A3252" s="27"/>
      <c r="B3252" s="25"/>
      <c r="E3252" s="10"/>
      <c r="O3252" s="10"/>
      <c r="V3252" s="10"/>
    </row>
    <row r="3253" spans="1:22" x14ac:dyDescent="0.2">
      <c r="A3253" s="27"/>
      <c r="B3253" s="25"/>
      <c r="E3253" s="10"/>
      <c r="O3253" s="10"/>
      <c r="V3253" s="10"/>
    </row>
    <row r="3254" spans="1:22" x14ac:dyDescent="0.2">
      <c r="A3254" s="27"/>
      <c r="B3254" s="25"/>
      <c r="E3254" s="10"/>
      <c r="O3254" s="10"/>
      <c r="V3254" s="10"/>
    </row>
    <row r="3255" spans="1:22" x14ac:dyDescent="0.2">
      <c r="A3255" s="27"/>
      <c r="B3255" s="25"/>
      <c r="E3255" s="10"/>
      <c r="O3255" s="10"/>
      <c r="V3255" s="10"/>
    </row>
    <row r="3256" spans="1:22" x14ac:dyDescent="0.2">
      <c r="A3256" s="27"/>
      <c r="B3256" s="25"/>
      <c r="E3256" s="10"/>
      <c r="O3256" s="10"/>
      <c r="V3256" s="10"/>
    </row>
    <row r="3257" spans="1:22" x14ac:dyDescent="0.2">
      <c r="A3257" s="27"/>
      <c r="B3257" s="25"/>
      <c r="E3257" s="10"/>
      <c r="O3257" s="10"/>
      <c r="V3257" s="10"/>
    </row>
    <row r="3258" spans="1:22" x14ac:dyDescent="0.2">
      <c r="A3258" s="27"/>
      <c r="B3258" s="25"/>
      <c r="E3258" s="10"/>
      <c r="O3258" s="10"/>
      <c r="V3258" s="10"/>
    </row>
    <row r="3259" spans="1:22" x14ac:dyDescent="0.2">
      <c r="A3259" s="27"/>
      <c r="B3259" s="25"/>
      <c r="E3259" s="10"/>
      <c r="O3259" s="10"/>
      <c r="V3259" s="10"/>
    </row>
    <row r="3260" spans="1:22" x14ac:dyDescent="0.2">
      <c r="A3260" s="27"/>
      <c r="B3260" s="25"/>
      <c r="E3260" s="10"/>
      <c r="O3260" s="10"/>
      <c r="V3260" s="10"/>
    </row>
    <row r="3261" spans="1:22" x14ac:dyDescent="0.2">
      <c r="A3261" s="27"/>
      <c r="B3261" s="25"/>
      <c r="E3261" s="10"/>
      <c r="O3261" s="10"/>
      <c r="V3261" s="10"/>
    </row>
    <row r="3262" spans="1:22" x14ac:dyDescent="0.2">
      <c r="A3262" s="27"/>
      <c r="B3262" s="25"/>
      <c r="E3262" s="10"/>
      <c r="O3262" s="10"/>
      <c r="V3262" s="10"/>
    </row>
    <row r="3263" spans="1:22" x14ac:dyDescent="0.2">
      <c r="A3263" s="27"/>
      <c r="B3263" s="25"/>
      <c r="E3263" s="10"/>
      <c r="O3263" s="10"/>
      <c r="V3263" s="10"/>
    </row>
    <row r="3264" spans="1:22" x14ac:dyDescent="0.2">
      <c r="A3264" s="27"/>
      <c r="B3264" s="25"/>
      <c r="E3264" s="10"/>
      <c r="O3264" s="10"/>
      <c r="V3264" s="10"/>
    </row>
    <row r="3265" spans="1:22" x14ac:dyDescent="0.2">
      <c r="A3265" s="27"/>
      <c r="B3265" s="25"/>
      <c r="E3265" s="10"/>
      <c r="O3265" s="10"/>
      <c r="V3265" s="10"/>
    </row>
    <row r="3266" spans="1:22" x14ac:dyDescent="0.2">
      <c r="A3266" s="27"/>
      <c r="B3266" s="25"/>
      <c r="E3266" s="10"/>
      <c r="O3266" s="10"/>
      <c r="V3266" s="10"/>
    </row>
    <row r="3267" spans="1:22" x14ac:dyDescent="0.2">
      <c r="A3267" s="27"/>
      <c r="B3267" s="25"/>
      <c r="E3267" s="10"/>
      <c r="O3267" s="10"/>
      <c r="V3267" s="10"/>
    </row>
    <row r="3268" spans="1:22" x14ac:dyDescent="0.2">
      <c r="A3268" s="27"/>
      <c r="B3268" s="25"/>
      <c r="E3268" s="10"/>
      <c r="O3268" s="10"/>
      <c r="V3268" s="10"/>
    </row>
    <row r="3269" spans="1:22" x14ac:dyDescent="0.2">
      <c r="A3269" s="27"/>
      <c r="B3269" s="25"/>
      <c r="E3269" s="10"/>
      <c r="O3269" s="10"/>
      <c r="V3269" s="10"/>
    </row>
    <row r="3270" spans="1:22" x14ac:dyDescent="0.2">
      <c r="A3270" s="27"/>
      <c r="B3270" s="25"/>
      <c r="E3270" s="10"/>
      <c r="O3270" s="10"/>
      <c r="V3270" s="10"/>
    </row>
    <row r="3271" spans="1:22" x14ac:dyDescent="0.2">
      <c r="A3271" s="27"/>
      <c r="B3271" s="25"/>
      <c r="E3271" s="10"/>
      <c r="O3271" s="10"/>
      <c r="V3271" s="10"/>
    </row>
    <row r="3272" spans="1:22" x14ac:dyDescent="0.2">
      <c r="A3272" s="27"/>
      <c r="B3272" s="25"/>
      <c r="E3272" s="10"/>
      <c r="O3272" s="10"/>
      <c r="V3272" s="10"/>
    </row>
    <row r="3273" spans="1:22" x14ac:dyDescent="0.2">
      <c r="A3273" s="27"/>
      <c r="B3273" s="25"/>
      <c r="E3273" s="10"/>
      <c r="O3273" s="10"/>
      <c r="V3273" s="10"/>
    </row>
    <row r="3274" spans="1:22" x14ac:dyDescent="0.2">
      <c r="A3274" s="27"/>
      <c r="B3274" s="25"/>
      <c r="E3274" s="10"/>
      <c r="O3274" s="10"/>
      <c r="V3274" s="10"/>
    </row>
    <row r="3275" spans="1:22" x14ac:dyDescent="0.2">
      <c r="A3275" s="27"/>
      <c r="B3275" s="25"/>
      <c r="E3275" s="10"/>
      <c r="O3275" s="10"/>
      <c r="V3275" s="10"/>
    </row>
    <row r="3276" spans="1:22" x14ac:dyDescent="0.2">
      <c r="A3276" s="27"/>
      <c r="B3276" s="25"/>
      <c r="E3276" s="10"/>
      <c r="O3276" s="10"/>
      <c r="V3276" s="10"/>
    </row>
    <row r="3277" spans="1:22" x14ac:dyDescent="0.2">
      <c r="A3277" s="27"/>
      <c r="B3277" s="25"/>
      <c r="E3277" s="10"/>
      <c r="O3277" s="10"/>
      <c r="V3277" s="10"/>
    </row>
    <row r="3278" spans="1:22" x14ac:dyDescent="0.2">
      <c r="A3278" s="27"/>
      <c r="B3278" s="25"/>
      <c r="E3278" s="10"/>
      <c r="O3278" s="10"/>
      <c r="V3278" s="10"/>
    </row>
    <row r="3279" spans="1:22" x14ac:dyDescent="0.2">
      <c r="A3279" s="27"/>
      <c r="B3279" s="25"/>
      <c r="E3279" s="10"/>
      <c r="O3279" s="10"/>
      <c r="V3279" s="10"/>
    </row>
    <row r="3280" spans="1:22" x14ac:dyDescent="0.2">
      <c r="A3280" s="27"/>
      <c r="B3280" s="25"/>
      <c r="E3280" s="10"/>
      <c r="O3280" s="10"/>
      <c r="V3280" s="10"/>
    </row>
    <row r="3281" spans="1:22" x14ac:dyDescent="0.2">
      <c r="A3281" s="27"/>
      <c r="B3281" s="25"/>
      <c r="E3281" s="10"/>
      <c r="O3281" s="10"/>
      <c r="V3281" s="10"/>
    </row>
    <row r="3282" spans="1:22" x14ac:dyDescent="0.2">
      <c r="A3282" s="27"/>
      <c r="B3282" s="25"/>
      <c r="E3282" s="10"/>
      <c r="O3282" s="10"/>
      <c r="V3282" s="10"/>
    </row>
    <row r="3283" spans="1:22" x14ac:dyDescent="0.2">
      <c r="A3283" s="27"/>
      <c r="B3283" s="25"/>
      <c r="E3283" s="10"/>
      <c r="O3283" s="10"/>
      <c r="V3283" s="10"/>
    </row>
    <row r="3284" spans="1:22" x14ac:dyDescent="0.2">
      <c r="A3284" s="27"/>
      <c r="B3284" s="25"/>
      <c r="E3284" s="10"/>
      <c r="O3284" s="10"/>
      <c r="V3284" s="10"/>
    </row>
    <row r="3285" spans="1:22" x14ac:dyDescent="0.2">
      <c r="A3285" s="27"/>
      <c r="B3285" s="25"/>
      <c r="E3285" s="10"/>
      <c r="O3285" s="10"/>
      <c r="V3285" s="10"/>
    </row>
    <row r="3286" spans="1:22" x14ac:dyDescent="0.2">
      <c r="A3286" s="27"/>
      <c r="B3286" s="25"/>
      <c r="E3286" s="10"/>
      <c r="O3286" s="10"/>
      <c r="V3286" s="10"/>
    </row>
    <row r="3287" spans="1:22" x14ac:dyDescent="0.2">
      <c r="A3287" s="27"/>
      <c r="B3287" s="25"/>
      <c r="E3287" s="10"/>
      <c r="O3287" s="10"/>
      <c r="V3287" s="10"/>
    </row>
    <row r="3288" spans="1:22" x14ac:dyDescent="0.2">
      <c r="A3288" s="27"/>
      <c r="B3288" s="25"/>
      <c r="E3288" s="10"/>
      <c r="O3288" s="10"/>
      <c r="V3288" s="10"/>
    </row>
    <row r="3289" spans="1:22" x14ac:dyDescent="0.2">
      <c r="A3289" s="27"/>
      <c r="B3289" s="25"/>
      <c r="E3289" s="10"/>
      <c r="O3289" s="10"/>
      <c r="V3289" s="10"/>
    </row>
    <row r="3290" spans="1:22" x14ac:dyDescent="0.2">
      <c r="A3290" s="27"/>
      <c r="B3290" s="25"/>
      <c r="E3290" s="10"/>
      <c r="O3290" s="10"/>
      <c r="V3290" s="10"/>
    </row>
    <row r="3291" spans="1:22" x14ac:dyDescent="0.2">
      <c r="A3291" s="27"/>
      <c r="B3291" s="25"/>
      <c r="E3291" s="10"/>
      <c r="O3291" s="10"/>
      <c r="V3291" s="10"/>
    </row>
    <row r="3292" spans="1:22" x14ac:dyDescent="0.2">
      <c r="A3292" s="27"/>
      <c r="B3292" s="25"/>
      <c r="E3292" s="10"/>
      <c r="O3292" s="10"/>
      <c r="V3292" s="10"/>
    </row>
    <row r="3293" spans="1:22" x14ac:dyDescent="0.2">
      <c r="A3293" s="27"/>
      <c r="B3293" s="25"/>
      <c r="E3293" s="10"/>
      <c r="O3293" s="10"/>
      <c r="V3293" s="10"/>
    </row>
    <row r="3294" spans="1:22" x14ac:dyDescent="0.2">
      <c r="A3294" s="27"/>
      <c r="B3294" s="25"/>
      <c r="E3294" s="10"/>
      <c r="O3294" s="10"/>
      <c r="V3294" s="10"/>
    </row>
    <row r="3295" spans="1:22" x14ac:dyDescent="0.2">
      <c r="A3295" s="27"/>
      <c r="B3295" s="25"/>
      <c r="E3295" s="10"/>
      <c r="O3295" s="10"/>
      <c r="V3295" s="10"/>
    </row>
    <row r="3296" spans="1:22" x14ac:dyDescent="0.2">
      <c r="A3296" s="27"/>
      <c r="B3296" s="25"/>
      <c r="E3296" s="10"/>
      <c r="O3296" s="10"/>
      <c r="V3296" s="10"/>
    </row>
    <row r="3297" spans="1:22" x14ac:dyDescent="0.2">
      <c r="A3297" s="27"/>
      <c r="B3297" s="25"/>
      <c r="E3297" s="10"/>
      <c r="O3297" s="10"/>
      <c r="V3297" s="10"/>
    </row>
    <row r="3298" spans="1:22" x14ac:dyDescent="0.2">
      <c r="A3298" s="27"/>
      <c r="B3298" s="25"/>
      <c r="E3298" s="10"/>
      <c r="O3298" s="10"/>
      <c r="V3298" s="10"/>
    </row>
    <row r="3299" spans="1:22" x14ac:dyDescent="0.2">
      <c r="A3299" s="27"/>
      <c r="B3299" s="25"/>
      <c r="E3299" s="10"/>
      <c r="O3299" s="10"/>
      <c r="V3299" s="10"/>
    </row>
    <row r="3300" spans="1:22" x14ac:dyDescent="0.2">
      <c r="A3300" s="27"/>
      <c r="B3300" s="25"/>
      <c r="E3300" s="10"/>
      <c r="O3300" s="10"/>
      <c r="V3300" s="10"/>
    </row>
    <row r="3301" spans="1:22" x14ac:dyDescent="0.2">
      <c r="A3301" s="27"/>
      <c r="B3301" s="25"/>
      <c r="E3301" s="10"/>
      <c r="O3301" s="10"/>
      <c r="V3301" s="10"/>
    </row>
    <row r="3302" spans="1:22" x14ac:dyDescent="0.2">
      <c r="A3302" s="27"/>
      <c r="B3302" s="25"/>
      <c r="E3302" s="10"/>
      <c r="O3302" s="10"/>
      <c r="V3302" s="10"/>
    </row>
    <row r="3303" spans="1:22" x14ac:dyDescent="0.2">
      <c r="A3303" s="27"/>
      <c r="B3303" s="25"/>
      <c r="E3303" s="10"/>
      <c r="O3303" s="10"/>
      <c r="V3303" s="10"/>
    </row>
    <row r="3304" spans="1:22" x14ac:dyDescent="0.2">
      <c r="A3304" s="27"/>
      <c r="B3304" s="25"/>
      <c r="E3304" s="10"/>
      <c r="O3304" s="10"/>
      <c r="V3304" s="10"/>
    </row>
    <row r="3305" spans="1:22" x14ac:dyDescent="0.2">
      <c r="A3305" s="27"/>
      <c r="B3305" s="25"/>
      <c r="E3305" s="10"/>
      <c r="O3305" s="10"/>
      <c r="V3305" s="10"/>
    </row>
    <row r="3306" spans="1:22" x14ac:dyDescent="0.2">
      <c r="A3306" s="27"/>
      <c r="B3306" s="25"/>
      <c r="E3306" s="10"/>
      <c r="O3306" s="10"/>
      <c r="V3306" s="10"/>
    </row>
    <row r="3307" spans="1:22" x14ac:dyDescent="0.2">
      <c r="A3307" s="27"/>
      <c r="B3307" s="25"/>
      <c r="E3307" s="10"/>
      <c r="O3307" s="10"/>
      <c r="V3307" s="10"/>
    </row>
    <row r="3308" spans="1:22" x14ac:dyDescent="0.2">
      <c r="A3308" s="27"/>
      <c r="B3308" s="25"/>
      <c r="E3308" s="10"/>
      <c r="O3308" s="10"/>
      <c r="V3308" s="10"/>
    </row>
    <row r="3309" spans="1:22" x14ac:dyDescent="0.2">
      <c r="A3309" s="27"/>
      <c r="B3309" s="25"/>
      <c r="E3309" s="10"/>
      <c r="O3309" s="10"/>
      <c r="V3309" s="10"/>
    </row>
    <row r="3310" spans="1:22" x14ac:dyDescent="0.2">
      <c r="A3310" s="27"/>
      <c r="B3310" s="25"/>
      <c r="E3310" s="10"/>
      <c r="O3310" s="10"/>
      <c r="V3310" s="10"/>
    </row>
    <row r="3311" spans="1:22" x14ac:dyDescent="0.2">
      <c r="A3311" s="27"/>
      <c r="B3311" s="25"/>
      <c r="E3311" s="10"/>
      <c r="O3311" s="10"/>
      <c r="V3311" s="10"/>
    </row>
    <row r="3312" spans="1:22" x14ac:dyDescent="0.2">
      <c r="A3312" s="27"/>
      <c r="B3312" s="25"/>
      <c r="E3312" s="10"/>
      <c r="O3312" s="10"/>
      <c r="V3312" s="10"/>
    </row>
    <row r="3313" spans="1:22" x14ac:dyDescent="0.2">
      <c r="A3313" s="27"/>
      <c r="B3313" s="25"/>
      <c r="E3313" s="10"/>
      <c r="O3313" s="10"/>
      <c r="V3313" s="10"/>
    </row>
    <row r="3314" spans="1:22" x14ac:dyDescent="0.2">
      <c r="A3314" s="27"/>
      <c r="B3314" s="25"/>
      <c r="E3314" s="10"/>
      <c r="O3314" s="10"/>
      <c r="V3314" s="10"/>
    </row>
    <row r="3315" spans="1:22" x14ac:dyDescent="0.2">
      <c r="A3315" s="27"/>
      <c r="B3315" s="25"/>
      <c r="E3315" s="10"/>
      <c r="O3315" s="10"/>
      <c r="V3315" s="10"/>
    </row>
    <row r="3316" spans="1:22" x14ac:dyDescent="0.2">
      <c r="A3316" s="27"/>
      <c r="B3316" s="25"/>
      <c r="E3316" s="10"/>
      <c r="O3316" s="10"/>
      <c r="V3316" s="10"/>
    </row>
    <row r="3317" spans="1:22" x14ac:dyDescent="0.2">
      <c r="A3317" s="27"/>
      <c r="B3317" s="25"/>
      <c r="E3317" s="10"/>
      <c r="O3317" s="10"/>
      <c r="V3317" s="10"/>
    </row>
    <row r="3318" spans="1:22" x14ac:dyDescent="0.2">
      <c r="A3318" s="27"/>
      <c r="B3318" s="25"/>
      <c r="E3318" s="10"/>
      <c r="O3318" s="10"/>
      <c r="V3318" s="10"/>
    </row>
    <row r="3319" spans="1:22" x14ac:dyDescent="0.2">
      <c r="A3319" s="27"/>
      <c r="B3319" s="25"/>
      <c r="E3319" s="10"/>
      <c r="O3319" s="10"/>
      <c r="V3319" s="10"/>
    </row>
    <row r="3320" spans="1:22" x14ac:dyDescent="0.2">
      <c r="A3320" s="27"/>
      <c r="B3320" s="25"/>
      <c r="E3320" s="10"/>
      <c r="O3320" s="10"/>
      <c r="V3320" s="10"/>
    </row>
    <row r="3321" spans="1:22" x14ac:dyDescent="0.2">
      <c r="A3321" s="27"/>
      <c r="B3321" s="25"/>
      <c r="E3321" s="10"/>
      <c r="O3321" s="10"/>
      <c r="V3321" s="10"/>
    </row>
    <row r="3322" spans="1:22" x14ac:dyDescent="0.2">
      <c r="A3322" s="27"/>
      <c r="B3322" s="25"/>
      <c r="E3322" s="10"/>
      <c r="O3322" s="10"/>
      <c r="V3322" s="10"/>
    </row>
    <row r="3323" spans="1:22" x14ac:dyDescent="0.2">
      <c r="A3323" s="27"/>
      <c r="B3323" s="25"/>
      <c r="E3323" s="10"/>
      <c r="O3323" s="10"/>
      <c r="V3323" s="10"/>
    </row>
    <row r="3324" spans="1:22" x14ac:dyDescent="0.2">
      <c r="A3324" s="27"/>
      <c r="B3324" s="25"/>
      <c r="E3324" s="10"/>
      <c r="O3324" s="10"/>
      <c r="V3324" s="10"/>
    </row>
    <row r="3325" spans="1:22" x14ac:dyDescent="0.2">
      <c r="A3325" s="27"/>
      <c r="B3325" s="25"/>
      <c r="E3325" s="10"/>
      <c r="O3325" s="10"/>
      <c r="V3325" s="10"/>
    </row>
    <row r="3326" spans="1:22" x14ac:dyDescent="0.2">
      <c r="A3326" s="27"/>
      <c r="B3326" s="25"/>
      <c r="E3326" s="10"/>
      <c r="O3326" s="10"/>
      <c r="V3326" s="10"/>
    </row>
    <row r="3327" spans="1:22" x14ac:dyDescent="0.2">
      <c r="A3327" s="27"/>
      <c r="B3327" s="25"/>
      <c r="E3327" s="10"/>
      <c r="O3327" s="10"/>
      <c r="V3327" s="10"/>
    </row>
    <row r="3328" spans="1:22" x14ac:dyDescent="0.2">
      <c r="A3328" s="27"/>
      <c r="B3328" s="25"/>
      <c r="E3328" s="10"/>
      <c r="O3328" s="10"/>
      <c r="V3328" s="10"/>
    </row>
    <row r="3329" spans="1:22" x14ac:dyDescent="0.2">
      <c r="A3329" s="27"/>
      <c r="B3329" s="25"/>
      <c r="E3329" s="10"/>
      <c r="O3329" s="10"/>
      <c r="V3329" s="10"/>
    </row>
    <row r="3330" spans="1:22" x14ac:dyDescent="0.2">
      <c r="A3330" s="27"/>
      <c r="B3330" s="25"/>
      <c r="E3330" s="10"/>
      <c r="O3330" s="10"/>
      <c r="V3330" s="10"/>
    </row>
    <row r="3331" spans="1:22" x14ac:dyDescent="0.2">
      <c r="A3331" s="27"/>
      <c r="B3331" s="25"/>
      <c r="E3331" s="10"/>
      <c r="O3331" s="10"/>
      <c r="V3331" s="10"/>
    </row>
    <row r="3332" spans="1:22" x14ac:dyDescent="0.2">
      <c r="A3332" s="27"/>
      <c r="B3332" s="25"/>
      <c r="E3332" s="10"/>
      <c r="O3332" s="10"/>
      <c r="V3332" s="10"/>
    </row>
    <row r="3333" spans="1:22" x14ac:dyDescent="0.2">
      <c r="A3333" s="27"/>
      <c r="B3333" s="25"/>
      <c r="E3333" s="10"/>
      <c r="O3333" s="10"/>
      <c r="V3333" s="10"/>
    </row>
    <row r="3334" spans="1:22" x14ac:dyDescent="0.2">
      <c r="A3334" s="27"/>
      <c r="B3334" s="25"/>
      <c r="E3334" s="10"/>
      <c r="O3334" s="10"/>
      <c r="V3334" s="10"/>
    </row>
    <row r="3335" spans="1:22" x14ac:dyDescent="0.2">
      <c r="A3335" s="27"/>
      <c r="B3335" s="25"/>
      <c r="E3335" s="10"/>
      <c r="O3335" s="10"/>
      <c r="V3335" s="10"/>
    </row>
    <row r="3336" spans="1:22" x14ac:dyDescent="0.2">
      <c r="A3336" s="27"/>
      <c r="B3336" s="25"/>
      <c r="E3336" s="10"/>
      <c r="O3336" s="10"/>
      <c r="V3336" s="10"/>
    </row>
    <row r="3337" spans="1:22" x14ac:dyDescent="0.2">
      <c r="A3337" s="27"/>
      <c r="B3337" s="25"/>
      <c r="E3337" s="10"/>
      <c r="O3337" s="10"/>
      <c r="V3337" s="10"/>
    </row>
    <row r="3338" spans="1:22" x14ac:dyDescent="0.2">
      <c r="A3338" s="27"/>
      <c r="B3338" s="25"/>
      <c r="E3338" s="10"/>
      <c r="O3338" s="10"/>
      <c r="V3338" s="10"/>
    </row>
    <row r="3339" spans="1:22" x14ac:dyDescent="0.2">
      <c r="A3339" s="27"/>
      <c r="B3339" s="25"/>
      <c r="E3339" s="10"/>
      <c r="O3339" s="10"/>
      <c r="V3339" s="10"/>
    </row>
    <row r="3340" spans="1:22" x14ac:dyDescent="0.2">
      <c r="A3340" s="27"/>
      <c r="B3340" s="25"/>
      <c r="E3340" s="10"/>
      <c r="O3340" s="10"/>
      <c r="V3340" s="10"/>
    </row>
    <row r="3341" spans="1:22" x14ac:dyDescent="0.2">
      <c r="A3341" s="27"/>
      <c r="B3341" s="25"/>
      <c r="E3341" s="10"/>
      <c r="O3341" s="10"/>
      <c r="V3341" s="10"/>
    </row>
    <row r="3342" spans="1:22" x14ac:dyDescent="0.2">
      <c r="A3342" s="27"/>
      <c r="B3342" s="25"/>
      <c r="E3342" s="10"/>
      <c r="O3342" s="10"/>
      <c r="V3342" s="10"/>
    </row>
    <row r="3343" spans="1:22" x14ac:dyDescent="0.2">
      <c r="A3343" s="27"/>
      <c r="B3343" s="25"/>
      <c r="E3343" s="10"/>
      <c r="O3343" s="10"/>
      <c r="V3343" s="10"/>
    </row>
    <row r="3344" spans="1:22" x14ac:dyDescent="0.2">
      <c r="A3344" s="27"/>
      <c r="B3344" s="25"/>
      <c r="E3344" s="10"/>
      <c r="O3344" s="10"/>
      <c r="V3344" s="10"/>
    </row>
    <row r="3345" spans="1:22" x14ac:dyDescent="0.2">
      <c r="A3345" s="27"/>
      <c r="B3345" s="25"/>
      <c r="E3345" s="10"/>
      <c r="O3345" s="10"/>
      <c r="V3345" s="10"/>
    </row>
    <row r="3346" spans="1:22" x14ac:dyDescent="0.2">
      <c r="A3346" s="27"/>
      <c r="B3346" s="25"/>
      <c r="E3346" s="10"/>
      <c r="O3346" s="10"/>
      <c r="V3346" s="10"/>
    </row>
    <row r="3347" spans="1:22" x14ac:dyDescent="0.2">
      <c r="A3347" s="27"/>
      <c r="B3347" s="25"/>
      <c r="E3347" s="10"/>
      <c r="O3347" s="10"/>
      <c r="V3347" s="10"/>
    </row>
    <row r="3348" spans="1:22" x14ac:dyDescent="0.2">
      <c r="A3348" s="27"/>
      <c r="B3348" s="25"/>
      <c r="E3348" s="10"/>
      <c r="O3348" s="10"/>
      <c r="V3348" s="10"/>
    </row>
    <row r="3349" spans="1:22" x14ac:dyDescent="0.2">
      <c r="A3349" s="27"/>
      <c r="B3349" s="25"/>
      <c r="E3349" s="10"/>
      <c r="O3349" s="10"/>
      <c r="V3349" s="10"/>
    </row>
    <row r="3350" spans="1:22" x14ac:dyDescent="0.2">
      <c r="A3350" s="27"/>
      <c r="B3350" s="25"/>
      <c r="E3350" s="10"/>
      <c r="O3350" s="10"/>
      <c r="V3350" s="10"/>
    </row>
    <row r="3351" spans="1:22" x14ac:dyDescent="0.2">
      <c r="A3351" s="27"/>
      <c r="B3351" s="25"/>
      <c r="E3351" s="10"/>
      <c r="O3351" s="10"/>
      <c r="V3351" s="10"/>
    </row>
    <row r="3352" spans="1:22" x14ac:dyDescent="0.2">
      <c r="A3352" s="27"/>
      <c r="B3352" s="25"/>
      <c r="E3352" s="10"/>
      <c r="O3352" s="10"/>
      <c r="V3352" s="10"/>
    </row>
    <row r="3353" spans="1:22" x14ac:dyDescent="0.2">
      <c r="A3353" s="27"/>
      <c r="B3353" s="25"/>
      <c r="E3353" s="10"/>
      <c r="O3353" s="10"/>
      <c r="V3353" s="10"/>
    </row>
    <row r="3354" spans="1:22" x14ac:dyDescent="0.2">
      <c r="A3354" s="27"/>
      <c r="B3354" s="25"/>
      <c r="E3354" s="10"/>
      <c r="O3354" s="10"/>
      <c r="V3354" s="10"/>
    </row>
    <row r="3355" spans="1:22" x14ac:dyDescent="0.2">
      <c r="A3355" s="27"/>
      <c r="B3355" s="25"/>
      <c r="E3355" s="10"/>
      <c r="O3355" s="10"/>
      <c r="V3355" s="10"/>
    </row>
    <row r="3356" spans="1:22" x14ac:dyDescent="0.2">
      <c r="A3356" s="27"/>
      <c r="B3356" s="25"/>
      <c r="E3356" s="10"/>
      <c r="O3356" s="10"/>
      <c r="V3356" s="10"/>
    </row>
    <row r="3357" spans="1:22" x14ac:dyDescent="0.2">
      <c r="A3357" s="27"/>
      <c r="B3357" s="25"/>
      <c r="E3357" s="10"/>
      <c r="O3357" s="10"/>
      <c r="V3357" s="10"/>
    </row>
    <row r="3358" spans="1:22" x14ac:dyDescent="0.2">
      <c r="A3358" s="27"/>
      <c r="B3358" s="25"/>
      <c r="E3358" s="10"/>
      <c r="O3358" s="10"/>
      <c r="V3358" s="10"/>
    </row>
    <row r="3359" spans="1:22" x14ac:dyDescent="0.2">
      <c r="A3359" s="27"/>
      <c r="B3359" s="25"/>
      <c r="E3359" s="10"/>
      <c r="O3359" s="10"/>
      <c r="V3359" s="10"/>
    </row>
    <row r="3360" spans="1:22" x14ac:dyDescent="0.2">
      <c r="A3360" s="27"/>
      <c r="B3360" s="25"/>
      <c r="E3360" s="10"/>
      <c r="O3360" s="10"/>
      <c r="V3360" s="10"/>
    </row>
    <row r="3361" spans="1:22" x14ac:dyDescent="0.2">
      <c r="A3361" s="27"/>
      <c r="B3361" s="25"/>
      <c r="E3361" s="10"/>
      <c r="O3361" s="10"/>
      <c r="V3361" s="10"/>
    </row>
    <row r="3362" spans="1:22" x14ac:dyDescent="0.2">
      <c r="A3362" s="27"/>
      <c r="B3362" s="25"/>
      <c r="E3362" s="10"/>
      <c r="O3362" s="10"/>
      <c r="V3362" s="10"/>
    </row>
    <row r="3363" spans="1:22" x14ac:dyDescent="0.2">
      <c r="A3363" s="27"/>
      <c r="B3363" s="25"/>
      <c r="E3363" s="10"/>
      <c r="O3363" s="10"/>
      <c r="V3363" s="10"/>
    </row>
    <row r="3364" spans="1:22" x14ac:dyDescent="0.2">
      <c r="A3364" s="27"/>
      <c r="B3364" s="25"/>
      <c r="E3364" s="10"/>
      <c r="O3364" s="10"/>
      <c r="V3364" s="10"/>
    </row>
    <row r="3365" spans="1:22" x14ac:dyDescent="0.2">
      <c r="A3365" s="27"/>
      <c r="B3365" s="25"/>
      <c r="E3365" s="10"/>
      <c r="O3365" s="10"/>
      <c r="V3365" s="10"/>
    </row>
    <row r="3366" spans="1:22" x14ac:dyDescent="0.2">
      <c r="A3366" s="27"/>
      <c r="B3366" s="25"/>
      <c r="E3366" s="10"/>
      <c r="O3366" s="10"/>
      <c r="V3366" s="10"/>
    </row>
    <row r="3367" spans="1:22" x14ac:dyDescent="0.2">
      <c r="A3367" s="27"/>
      <c r="B3367" s="25"/>
      <c r="E3367" s="10"/>
      <c r="O3367" s="10"/>
      <c r="V3367" s="10"/>
    </row>
    <row r="3368" spans="1:22" x14ac:dyDescent="0.2">
      <c r="A3368" s="27"/>
      <c r="B3368" s="25"/>
      <c r="E3368" s="10"/>
      <c r="O3368" s="10"/>
      <c r="V3368" s="10"/>
    </row>
    <row r="3369" spans="1:22" x14ac:dyDescent="0.2">
      <c r="A3369" s="27"/>
      <c r="B3369" s="25"/>
      <c r="E3369" s="10"/>
      <c r="O3369" s="10"/>
      <c r="V3369" s="10"/>
    </row>
    <row r="3370" spans="1:22" x14ac:dyDescent="0.2">
      <c r="A3370" s="27"/>
      <c r="B3370" s="25"/>
      <c r="E3370" s="10"/>
      <c r="O3370" s="10"/>
      <c r="V3370" s="10"/>
    </row>
    <row r="3371" spans="1:22" x14ac:dyDescent="0.2">
      <c r="A3371" s="27"/>
      <c r="B3371" s="25"/>
      <c r="E3371" s="10"/>
      <c r="O3371" s="10"/>
      <c r="V3371" s="10"/>
    </row>
    <row r="3372" spans="1:22" x14ac:dyDescent="0.2">
      <c r="A3372" s="27"/>
      <c r="B3372" s="25"/>
      <c r="E3372" s="10"/>
      <c r="O3372" s="10"/>
      <c r="V3372" s="10"/>
    </row>
    <row r="3373" spans="1:22" x14ac:dyDescent="0.2">
      <c r="A3373" s="27"/>
      <c r="B3373" s="25"/>
      <c r="E3373" s="10"/>
      <c r="O3373" s="10"/>
      <c r="V3373" s="10"/>
    </row>
    <row r="3374" spans="1:22" x14ac:dyDescent="0.2">
      <c r="A3374" s="27"/>
      <c r="B3374" s="25"/>
      <c r="E3374" s="10"/>
      <c r="O3374" s="10"/>
      <c r="V3374" s="10"/>
    </row>
    <row r="3375" spans="1:22" x14ac:dyDescent="0.2">
      <c r="A3375" s="27"/>
      <c r="B3375" s="25"/>
      <c r="E3375" s="10"/>
      <c r="O3375" s="10"/>
      <c r="V3375" s="10"/>
    </row>
    <row r="3376" spans="1:22" x14ac:dyDescent="0.2">
      <c r="A3376" s="27"/>
      <c r="B3376" s="25"/>
      <c r="E3376" s="10"/>
      <c r="O3376" s="10"/>
      <c r="V3376" s="10"/>
    </row>
    <row r="3377" spans="1:22" x14ac:dyDescent="0.2">
      <c r="A3377" s="27"/>
      <c r="B3377" s="25"/>
      <c r="E3377" s="10"/>
      <c r="O3377" s="10"/>
      <c r="V3377" s="10"/>
    </row>
    <row r="3378" spans="1:22" x14ac:dyDescent="0.2">
      <c r="A3378" s="27"/>
      <c r="B3378" s="25"/>
      <c r="E3378" s="10"/>
      <c r="O3378" s="10"/>
      <c r="V3378" s="10"/>
    </row>
    <row r="3379" spans="1:22" x14ac:dyDescent="0.2">
      <c r="A3379" s="27"/>
      <c r="B3379" s="25"/>
      <c r="E3379" s="10"/>
      <c r="O3379" s="10"/>
      <c r="V3379" s="10"/>
    </row>
    <row r="3380" spans="1:22" x14ac:dyDescent="0.2">
      <c r="A3380" s="27"/>
      <c r="B3380" s="25"/>
      <c r="E3380" s="10"/>
      <c r="O3380" s="10"/>
      <c r="V3380" s="10"/>
    </row>
    <row r="3381" spans="1:22" x14ac:dyDescent="0.2">
      <c r="A3381" s="27"/>
      <c r="B3381" s="25"/>
      <c r="E3381" s="10"/>
      <c r="O3381" s="10"/>
      <c r="V3381" s="10"/>
    </row>
    <row r="3382" spans="1:22" x14ac:dyDescent="0.2">
      <c r="A3382" s="27"/>
      <c r="B3382" s="25"/>
      <c r="E3382" s="10"/>
      <c r="O3382" s="10"/>
      <c r="V3382" s="10"/>
    </row>
    <row r="3383" spans="1:22" x14ac:dyDescent="0.2">
      <c r="A3383" s="27"/>
      <c r="B3383" s="25"/>
      <c r="E3383" s="10"/>
      <c r="O3383" s="10"/>
      <c r="V3383" s="10"/>
    </row>
    <row r="3384" spans="1:22" x14ac:dyDescent="0.2">
      <c r="A3384" s="27"/>
      <c r="B3384" s="25"/>
      <c r="E3384" s="10"/>
      <c r="O3384" s="10"/>
      <c r="V3384" s="10"/>
    </row>
    <row r="3385" spans="1:22" x14ac:dyDescent="0.2">
      <c r="A3385" s="27"/>
      <c r="B3385" s="25"/>
      <c r="E3385" s="10"/>
      <c r="O3385" s="10"/>
      <c r="V3385" s="10"/>
    </row>
    <row r="3386" spans="1:22" x14ac:dyDescent="0.2">
      <c r="A3386" s="27"/>
      <c r="B3386" s="25"/>
      <c r="E3386" s="10"/>
      <c r="O3386" s="10"/>
      <c r="V3386" s="10"/>
    </row>
    <row r="3387" spans="1:22" x14ac:dyDescent="0.2">
      <c r="A3387" s="27"/>
      <c r="B3387" s="25"/>
      <c r="E3387" s="10"/>
      <c r="O3387" s="10"/>
      <c r="V3387" s="10"/>
    </row>
    <row r="3388" spans="1:22" x14ac:dyDescent="0.2">
      <c r="A3388" s="27"/>
      <c r="B3388" s="25"/>
      <c r="E3388" s="10"/>
      <c r="O3388" s="10"/>
      <c r="V3388" s="10"/>
    </row>
    <row r="3389" spans="1:22" x14ac:dyDescent="0.2">
      <c r="A3389" s="27"/>
      <c r="B3389" s="25"/>
      <c r="E3389" s="10"/>
      <c r="O3389" s="10"/>
      <c r="V3389" s="10"/>
    </row>
    <row r="3390" spans="1:22" x14ac:dyDescent="0.2">
      <c r="A3390" s="27"/>
      <c r="B3390" s="25"/>
      <c r="E3390" s="10"/>
      <c r="O3390" s="10"/>
      <c r="V3390" s="10"/>
    </row>
    <row r="3391" spans="1:22" x14ac:dyDescent="0.2">
      <c r="A3391" s="27"/>
      <c r="B3391" s="25"/>
      <c r="E3391" s="10"/>
      <c r="O3391" s="10"/>
      <c r="V3391" s="10"/>
    </row>
    <row r="3392" spans="1:22" x14ac:dyDescent="0.2">
      <c r="A3392" s="27"/>
      <c r="B3392" s="25"/>
      <c r="E3392" s="10"/>
      <c r="O3392" s="10"/>
      <c r="V3392" s="10"/>
    </row>
    <row r="3393" spans="1:22" x14ac:dyDescent="0.2">
      <c r="A3393" s="27"/>
      <c r="B3393" s="25"/>
      <c r="E3393" s="10"/>
      <c r="O3393" s="10"/>
      <c r="V3393" s="10"/>
    </row>
    <row r="3394" spans="1:22" x14ac:dyDescent="0.2">
      <c r="A3394" s="27"/>
      <c r="B3394" s="25"/>
      <c r="E3394" s="10"/>
      <c r="O3394" s="10"/>
      <c r="V3394" s="10"/>
    </row>
    <row r="3395" spans="1:22" x14ac:dyDescent="0.2">
      <c r="A3395" s="27"/>
      <c r="B3395" s="25"/>
      <c r="E3395" s="10"/>
      <c r="O3395" s="10"/>
      <c r="V3395" s="10"/>
    </row>
    <row r="3396" spans="1:22" x14ac:dyDescent="0.2">
      <c r="A3396" s="27"/>
      <c r="B3396" s="25"/>
      <c r="E3396" s="10"/>
      <c r="O3396" s="10"/>
      <c r="V3396" s="10"/>
    </row>
    <row r="3397" spans="1:22" x14ac:dyDescent="0.2">
      <c r="A3397" s="27"/>
      <c r="B3397" s="25"/>
      <c r="E3397" s="10"/>
      <c r="O3397" s="10"/>
      <c r="V3397" s="10"/>
    </row>
    <row r="3398" spans="1:22" x14ac:dyDescent="0.2">
      <c r="A3398" s="27"/>
      <c r="B3398" s="25"/>
      <c r="E3398" s="10"/>
      <c r="O3398" s="10"/>
      <c r="V3398" s="10"/>
    </row>
    <row r="3399" spans="1:22" x14ac:dyDescent="0.2">
      <c r="A3399" s="27"/>
      <c r="B3399" s="25"/>
      <c r="E3399" s="10"/>
      <c r="O3399" s="10"/>
      <c r="V3399" s="10"/>
    </row>
    <row r="3400" spans="1:22" x14ac:dyDescent="0.2">
      <c r="A3400" s="27"/>
      <c r="B3400" s="25"/>
      <c r="E3400" s="10"/>
      <c r="O3400" s="10"/>
      <c r="V3400" s="10"/>
    </row>
    <row r="3401" spans="1:22" x14ac:dyDescent="0.2">
      <c r="A3401" s="27"/>
      <c r="B3401" s="25"/>
      <c r="E3401" s="10"/>
      <c r="O3401" s="10"/>
      <c r="V3401" s="10"/>
    </row>
    <row r="3402" spans="1:22" x14ac:dyDescent="0.2">
      <c r="A3402" s="27"/>
      <c r="B3402" s="25"/>
      <c r="E3402" s="10"/>
      <c r="O3402" s="10"/>
      <c r="V3402" s="10"/>
    </row>
    <row r="3403" spans="1:22" x14ac:dyDescent="0.2">
      <c r="A3403" s="27"/>
      <c r="B3403" s="25"/>
      <c r="E3403" s="10"/>
      <c r="O3403" s="10"/>
      <c r="V3403" s="10"/>
    </row>
    <row r="3404" spans="1:22" x14ac:dyDescent="0.2">
      <c r="A3404" s="27"/>
      <c r="B3404" s="25"/>
      <c r="E3404" s="10"/>
      <c r="O3404" s="10"/>
      <c r="V3404" s="10"/>
    </row>
    <row r="3405" spans="1:22" x14ac:dyDescent="0.2">
      <c r="A3405" s="27"/>
      <c r="B3405" s="25"/>
      <c r="E3405" s="10"/>
      <c r="O3405" s="10"/>
      <c r="V3405" s="10"/>
    </row>
    <row r="3406" spans="1:22" x14ac:dyDescent="0.2">
      <c r="A3406" s="27"/>
      <c r="B3406" s="25"/>
      <c r="E3406" s="10"/>
      <c r="O3406" s="10"/>
      <c r="V3406" s="10"/>
    </row>
    <row r="3407" spans="1:22" x14ac:dyDescent="0.2">
      <c r="A3407" s="27"/>
      <c r="B3407" s="25"/>
      <c r="E3407" s="10"/>
      <c r="O3407" s="10"/>
      <c r="V3407" s="10"/>
    </row>
    <row r="3408" spans="1:22" x14ac:dyDescent="0.2">
      <c r="A3408" s="27"/>
      <c r="B3408" s="25"/>
      <c r="E3408" s="10"/>
      <c r="O3408" s="10"/>
      <c r="V3408" s="10"/>
    </row>
    <row r="3409" spans="1:22" x14ac:dyDescent="0.2">
      <c r="A3409" s="27"/>
      <c r="B3409" s="25"/>
      <c r="E3409" s="10"/>
      <c r="O3409" s="10"/>
      <c r="V3409" s="10"/>
    </row>
    <row r="3410" spans="1:22" x14ac:dyDescent="0.2">
      <c r="A3410" s="27"/>
      <c r="B3410" s="25"/>
      <c r="E3410" s="10"/>
      <c r="O3410" s="10"/>
      <c r="V3410" s="10"/>
    </row>
    <row r="3411" spans="1:22" x14ac:dyDescent="0.2">
      <c r="A3411" s="27"/>
      <c r="B3411" s="25"/>
      <c r="E3411" s="10"/>
      <c r="O3411" s="10"/>
      <c r="V3411" s="10"/>
    </row>
    <row r="3412" spans="1:22" x14ac:dyDescent="0.2">
      <c r="A3412" s="27"/>
      <c r="B3412" s="25"/>
      <c r="E3412" s="10"/>
      <c r="O3412" s="10"/>
      <c r="V3412" s="10"/>
    </row>
    <row r="3413" spans="1:22" x14ac:dyDescent="0.2">
      <c r="A3413" s="27"/>
      <c r="B3413" s="25"/>
      <c r="E3413" s="10"/>
      <c r="O3413" s="10"/>
      <c r="V3413" s="10"/>
    </row>
    <row r="3414" spans="1:22" x14ac:dyDescent="0.2">
      <c r="A3414" s="27"/>
      <c r="B3414" s="25"/>
      <c r="E3414" s="10"/>
      <c r="O3414" s="10"/>
      <c r="V3414" s="10"/>
    </row>
    <row r="3415" spans="1:22" x14ac:dyDescent="0.2">
      <c r="A3415" s="27"/>
      <c r="B3415" s="25"/>
      <c r="E3415" s="10"/>
      <c r="O3415" s="10"/>
      <c r="V3415" s="10"/>
    </row>
    <row r="3416" spans="1:22" x14ac:dyDescent="0.2">
      <c r="A3416" s="27"/>
      <c r="B3416" s="25"/>
      <c r="E3416" s="10"/>
      <c r="O3416" s="10"/>
      <c r="V3416" s="10"/>
    </row>
    <row r="3417" spans="1:22" x14ac:dyDescent="0.2">
      <c r="A3417" s="27"/>
      <c r="B3417" s="25"/>
      <c r="E3417" s="10"/>
      <c r="O3417" s="10"/>
      <c r="V3417" s="10"/>
    </row>
    <row r="3418" spans="1:22" x14ac:dyDescent="0.2">
      <c r="A3418" s="27"/>
      <c r="B3418" s="25"/>
      <c r="E3418" s="10"/>
      <c r="O3418" s="10"/>
      <c r="V3418" s="10"/>
    </row>
    <row r="3419" spans="1:22" x14ac:dyDescent="0.2">
      <c r="A3419" s="27"/>
      <c r="B3419" s="25"/>
      <c r="E3419" s="10"/>
      <c r="O3419" s="10"/>
      <c r="V3419" s="10"/>
    </row>
    <row r="3420" spans="1:22" x14ac:dyDescent="0.2">
      <c r="A3420" s="27"/>
      <c r="B3420" s="25"/>
      <c r="E3420" s="10"/>
      <c r="O3420" s="10"/>
      <c r="V3420" s="10"/>
    </row>
    <row r="3421" spans="1:22" x14ac:dyDescent="0.2">
      <c r="A3421" s="27"/>
      <c r="B3421" s="25"/>
      <c r="E3421" s="10"/>
      <c r="O3421" s="10"/>
      <c r="V3421" s="10"/>
    </row>
    <row r="3422" spans="1:22" x14ac:dyDescent="0.2">
      <c r="A3422" s="27"/>
      <c r="B3422" s="25"/>
      <c r="E3422" s="10"/>
      <c r="O3422" s="10"/>
      <c r="V3422" s="10"/>
    </row>
    <row r="3423" spans="1:22" x14ac:dyDescent="0.2">
      <c r="A3423" s="27"/>
      <c r="B3423" s="25"/>
      <c r="E3423" s="10"/>
      <c r="O3423" s="10"/>
      <c r="V3423" s="10"/>
    </row>
    <row r="3424" spans="1:22" x14ac:dyDescent="0.2">
      <c r="A3424" s="27"/>
      <c r="B3424" s="25"/>
      <c r="E3424" s="10"/>
      <c r="O3424" s="10"/>
      <c r="V3424" s="10"/>
    </row>
    <row r="3425" spans="1:22" x14ac:dyDescent="0.2">
      <c r="A3425" s="27"/>
      <c r="B3425" s="25"/>
      <c r="E3425" s="10"/>
      <c r="O3425" s="10"/>
      <c r="V3425" s="10"/>
    </row>
    <row r="3426" spans="1:22" x14ac:dyDescent="0.2">
      <c r="A3426" s="27"/>
      <c r="B3426" s="25"/>
      <c r="E3426" s="10"/>
      <c r="O3426" s="10"/>
      <c r="V3426" s="10"/>
    </row>
    <row r="3427" spans="1:22" x14ac:dyDescent="0.2">
      <c r="A3427" s="27"/>
      <c r="B3427" s="25"/>
      <c r="E3427" s="10"/>
      <c r="O3427" s="10"/>
      <c r="V3427" s="10"/>
    </row>
    <row r="3428" spans="1:22" x14ac:dyDescent="0.2">
      <c r="A3428" s="27"/>
      <c r="B3428" s="25"/>
      <c r="E3428" s="10"/>
      <c r="O3428" s="10"/>
      <c r="V3428" s="10"/>
    </row>
    <row r="3429" spans="1:22" x14ac:dyDescent="0.2">
      <c r="A3429" s="27"/>
      <c r="B3429" s="25"/>
      <c r="E3429" s="10"/>
      <c r="O3429" s="10"/>
      <c r="V3429" s="10"/>
    </row>
    <row r="3430" spans="1:22" x14ac:dyDescent="0.2">
      <c r="A3430" s="27"/>
      <c r="B3430" s="25"/>
      <c r="E3430" s="10"/>
      <c r="O3430" s="10"/>
      <c r="V3430" s="10"/>
    </row>
    <row r="3431" spans="1:22" x14ac:dyDescent="0.2">
      <c r="A3431" s="27"/>
      <c r="B3431" s="25"/>
      <c r="E3431" s="10"/>
      <c r="O3431" s="10"/>
      <c r="V3431" s="10"/>
    </row>
    <row r="3432" spans="1:22" x14ac:dyDescent="0.2">
      <c r="A3432" s="27"/>
      <c r="B3432" s="25"/>
      <c r="E3432" s="10"/>
      <c r="O3432" s="10"/>
      <c r="V3432" s="10"/>
    </row>
    <row r="3433" spans="1:22" x14ac:dyDescent="0.2">
      <c r="A3433" s="27"/>
      <c r="B3433" s="25"/>
      <c r="E3433" s="10"/>
      <c r="O3433" s="10"/>
      <c r="V3433" s="10"/>
    </row>
    <row r="3434" spans="1:22" x14ac:dyDescent="0.2">
      <c r="A3434" s="27"/>
      <c r="B3434" s="25"/>
      <c r="E3434" s="10"/>
      <c r="O3434" s="10"/>
      <c r="V3434" s="10"/>
    </row>
    <row r="3435" spans="1:22" x14ac:dyDescent="0.2">
      <c r="A3435" s="27"/>
      <c r="B3435" s="25"/>
      <c r="E3435" s="10"/>
      <c r="O3435" s="10"/>
      <c r="V3435" s="10"/>
    </row>
    <row r="3436" spans="1:22" x14ac:dyDescent="0.2">
      <c r="A3436" s="27"/>
      <c r="B3436" s="25"/>
      <c r="E3436" s="10"/>
      <c r="O3436" s="10"/>
      <c r="V3436" s="10"/>
    </row>
    <row r="3437" spans="1:22" x14ac:dyDescent="0.2">
      <c r="A3437" s="27"/>
      <c r="B3437" s="25"/>
      <c r="E3437" s="10"/>
      <c r="O3437" s="10"/>
      <c r="V3437" s="10"/>
    </row>
    <row r="3438" spans="1:22" x14ac:dyDescent="0.2">
      <c r="A3438" s="27"/>
      <c r="B3438" s="25"/>
      <c r="E3438" s="10"/>
      <c r="O3438" s="10"/>
      <c r="V3438" s="10"/>
    </row>
    <row r="3439" spans="1:22" x14ac:dyDescent="0.2">
      <c r="A3439" s="27"/>
      <c r="B3439" s="25"/>
      <c r="E3439" s="10"/>
      <c r="O3439" s="10"/>
      <c r="V3439" s="10"/>
    </row>
    <row r="3440" spans="1:22" x14ac:dyDescent="0.2">
      <c r="A3440" s="27"/>
      <c r="B3440" s="25"/>
      <c r="E3440" s="10"/>
      <c r="O3440" s="10"/>
      <c r="V3440" s="10"/>
    </row>
    <row r="3441" spans="1:22" x14ac:dyDescent="0.2">
      <c r="A3441" s="27"/>
      <c r="B3441" s="25"/>
      <c r="E3441" s="10"/>
      <c r="O3441" s="10"/>
      <c r="V3441" s="10"/>
    </row>
    <row r="3442" spans="1:22" x14ac:dyDescent="0.2">
      <c r="A3442" s="27"/>
      <c r="B3442" s="25"/>
      <c r="E3442" s="10"/>
      <c r="O3442" s="10"/>
      <c r="V3442" s="10"/>
    </row>
    <row r="3443" spans="1:22" x14ac:dyDescent="0.2">
      <c r="A3443" s="27"/>
      <c r="B3443" s="25"/>
      <c r="E3443" s="10"/>
      <c r="O3443" s="10"/>
      <c r="V3443" s="10"/>
    </row>
    <row r="3444" spans="1:22" x14ac:dyDescent="0.2">
      <c r="A3444" s="27"/>
      <c r="B3444" s="25"/>
      <c r="E3444" s="10"/>
      <c r="O3444" s="10"/>
      <c r="V3444" s="10"/>
    </row>
    <row r="3445" spans="1:22" x14ac:dyDescent="0.2">
      <c r="A3445" s="27"/>
      <c r="B3445" s="25"/>
      <c r="E3445" s="10"/>
      <c r="O3445" s="10"/>
      <c r="V3445" s="10"/>
    </row>
    <row r="3446" spans="1:22" x14ac:dyDescent="0.2">
      <c r="A3446" s="27"/>
      <c r="B3446" s="25"/>
      <c r="E3446" s="10"/>
      <c r="O3446" s="10"/>
      <c r="V3446" s="10"/>
    </row>
    <row r="3447" spans="1:22" x14ac:dyDescent="0.2">
      <c r="A3447" s="27"/>
      <c r="B3447" s="25"/>
      <c r="E3447" s="10"/>
      <c r="O3447" s="10"/>
      <c r="V3447" s="10"/>
    </row>
    <row r="3448" spans="1:22" x14ac:dyDescent="0.2">
      <c r="A3448" s="27"/>
      <c r="B3448" s="25"/>
      <c r="E3448" s="10"/>
      <c r="O3448" s="10"/>
      <c r="V3448" s="10"/>
    </row>
    <row r="3449" spans="1:22" x14ac:dyDescent="0.2">
      <c r="A3449" s="27"/>
      <c r="B3449" s="25"/>
      <c r="E3449" s="10"/>
      <c r="O3449" s="10"/>
      <c r="V3449" s="10"/>
    </row>
    <row r="3450" spans="1:22" x14ac:dyDescent="0.2">
      <c r="A3450" s="27"/>
      <c r="B3450" s="25"/>
      <c r="E3450" s="10"/>
      <c r="O3450" s="10"/>
      <c r="V3450" s="10"/>
    </row>
    <row r="3451" spans="1:22" x14ac:dyDescent="0.2">
      <c r="A3451" s="27"/>
      <c r="B3451" s="25"/>
      <c r="E3451" s="10"/>
      <c r="O3451" s="10"/>
      <c r="V3451" s="10"/>
    </row>
    <row r="3452" spans="1:22" x14ac:dyDescent="0.2">
      <c r="A3452" s="27"/>
      <c r="B3452" s="25"/>
      <c r="E3452" s="10"/>
      <c r="O3452" s="10"/>
      <c r="V3452" s="10"/>
    </row>
    <row r="3453" spans="1:22" x14ac:dyDescent="0.2">
      <c r="A3453" s="27"/>
      <c r="B3453" s="25"/>
      <c r="E3453" s="10"/>
      <c r="O3453" s="10"/>
      <c r="V3453" s="10"/>
    </row>
    <row r="3454" spans="1:22" x14ac:dyDescent="0.2">
      <c r="A3454" s="27"/>
      <c r="B3454" s="25"/>
      <c r="E3454" s="10"/>
      <c r="O3454" s="10"/>
      <c r="V3454" s="10"/>
    </row>
    <row r="3455" spans="1:22" x14ac:dyDescent="0.2">
      <c r="A3455" s="27"/>
      <c r="B3455" s="25"/>
      <c r="E3455" s="10"/>
      <c r="O3455" s="10"/>
      <c r="V3455" s="10"/>
    </row>
    <row r="3456" spans="1:22" x14ac:dyDescent="0.2">
      <c r="A3456" s="27"/>
      <c r="B3456" s="25"/>
      <c r="E3456" s="10"/>
      <c r="O3456" s="10"/>
      <c r="V3456" s="10"/>
    </row>
    <row r="3457" spans="1:22" x14ac:dyDescent="0.2">
      <c r="A3457" s="27"/>
      <c r="B3457" s="25"/>
      <c r="E3457" s="10"/>
      <c r="O3457" s="10"/>
      <c r="V3457" s="10"/>
    </row>
    <row r="3458" spans="1:22" x14ac:dyDescent="0.2">
      <c r="A3458" s="27"/>
      <c r="B3458" s="25"/>
      <c r="E3458" s="10"/>
      <c r="O3458" s="10"/>
      <c r="V3458" s="10"/>
    </row>
    <row r="3459" spans="1:22" x14ac:dyDescent="0.2">
      <c r="A3459" s="27"/>
      <c r="B3459" s="25"/>
      <c r="E3459" s="10"/>
      <c r="O3459" s="10"/>
      <c r="V3459" s="10"/>
    </row>
    <row r="3460" spans="1:22" x14ac:dyDescent="0.2">
      <c r="A3460" s="27"/>
      <c r="B3460" s="25"/>
      <c r="E3460" s="10"/>
      <c r="O3460" s="10"/>
      <c r="V3460" s="10"/>
    </row>
    <row r="3461" spans="1:22" x14ac:dyDescent="0.2">
      <c r="A3461" s="27"/>
      <c r="B3461" s="25"/>
      <c r="E3461" s="10"/>
      <c r="O3461" s="10"/>
      <c r="V3461" s="10"/>
    </row>
    <row r="3462" spans="1:22" x14ac:dyDescent="0.2">
      <c r="A3462" s="27"/>
      <c r="B3462" s="25"/>
      <c r="E3462" s="10"/>
      <c r="O3462" s="10"/>
      <c r="V3462" s="10"/>
    </row>
    <row r="3463" spans="1:22" x14ac:dyDescent="0.2">
      <c r="A3463" s="27"/>
      <c r="B3463" s="25"/>
      <c r="E3463" s="10"/>
      <c r="O3463" s="10"/>
      <c r="V3463" s="10"/>
    </row>
    <row r="3464" spans="1:22" x14ac:dyDescent="0.2">
      <c r="A3464" s="27"/>
      <c r="B3464" s="25"/>
      <c r="E3464" s="10"/>
      <c r="O3464" s="10"/>
      <c r="V3464" s="10"/>
    </row>
    <row r="3465" spans="1:22" x14ac:dyDescent="0.2">
      <c r="A3465" s="27"/>
      <c r="B3465" s="25"/>
      <c r="E3465" s="10"/>
      <c r="O3465" s="10"/>
      <c r="V3465" s="10"/>
    </row>
    <row r="3466" spans="1:22" x14ac:dyDescent="0.2">
      <c r="A3466" s="27"/>
      <c r="B3466" s="25"/>
      <c r="E3466" s="10"/>
      <c r="O3466" s="10"/>
      <c r="V3466" s="10"/>
    </row>
    <row r="3467" spans="1:22" x14ac:dyDescent="0.2">
      <c r="A3467" s="27"/>
      <c r="B3467" s="25"/>
      <c r="E3467" s="10"/>
      <c r="O3467" s="10"/>
      <c r="V3467" s="10"/>
    </row>
    <row r="3468" spans="1:22" x14ac:dyDescent="0.2">
      <c r="A3468" s="27"/>
      <c r="B3468" s="25"/>
      <c r="E3468" s="10"/>
      <c r="O3468" s="10"/>
      <c r="V3468" s="10"/>
    </row>
    <row r="3469" spans="1:22" x14ac:dyDescent="0.2">
      <c r="A3469" s="27"/>
      <c r="B3469" s="25"/>
      <c r="E3469" s="10"/>
      <c r="O3469" s="10"/>
      <c r="V3469" s="10"/>
    </row>
    <row r="3470" spans="1:22" x14ac:dyDescent="0.2">
      <c r="A3470" s="27"/>
      <c r="B3470" s="25"/>
      <c r="E3470" s="10"/>
      <c r="O3470" s="10"/>
      <c r="V3470" s="10"/>
    </row>
    <row r="3471" spans="1:22" x14ac:dyDescent="0.2">
      <c r="A3471" s="27"/>
      <c r="B3471" s="25"/>
      <c r="E3471" s="10"/>
      <c r="O3471" s="10"/>
      <c r="V3471" s="10"/>
    </row>
    <row r="3472" spans="1:22" x14ac:dyDescent="0.2">
      <c r="A3472" s="27"/>
      <c r="B3472" s="25"/>
      <c r="E3472" s="10"/>
      <c r="O3472" s="10"/>
      <c r="V3472" s="10"/>
    </row>
    <row r="3473" spans="1:22" x14ac:dyDescent="0.2">
      <c r="A3473" s="27"/>
      <c r="B3473" s="25"/>
      <c r="E3473" s="10"/>
      <c r="O3473" s="10"/>
      <c r="V3473" s="10"/>
    </row>
    <row r="3474" spans="1:22" x14ac:dyDescent="0.2">
      <c r="A3474" s="27"/>
      <c r="B3474" s="25"/>
      <c r="E3474" s="10"/>
      <c r="O3474" s="10"/>
      <c r="V3474" s="10"/>
    </row>
    <row r="3475" spans="1:22" x14ac:dyDescent="0.2">
      <c r="A3475" s="27"/>
      <c r="B3475" s="25"/>
      <c r="E3475" s="10"/>
      <c r="O3475" s="10"/>
      <c r="V3475" s="10"/>
    </row>
    <row r="3476" spans="1:22" x14ac:dyDescent="0.2">
      <c r="A3476" s="27"/>
      <c r="B3476" s="25"/>
      <c r="E3476" s="10"/>
      <c r="O3476" s="10"/>
      <c r="V3476" s="10"/>
    </row>
    <row r="3477" spans="1:22" x14ac:dyDescent="0.2">
      <c r="A3477" s="27"/>
      <c r="B3477" s="25"/>
      <c r="E3477" s="10"/>
      <c r="O3477" s="10"/>
      <c r="V3477" s="10"/>
    </row>
    <row r="3478" spans="1:22" x14ac:dyDescent="0.2">
      <c r="A3478" s="27"/>
      <c r="B3478" s="25"/>
      <c r="E3478" s="10"/>
      <c r="O3478" s="10"/>
      <c r="V3478" s="10"/>
    </row>
    <row r="3479" spans="1:22" x14ac:dyDescent="0.2">
      <c r="A3479" s="27"/>
      <c r="B3479" s="25"/>
      <c r="E3479" s="10"/>
      <c r="O3479" s="10"/>
      <c r="V3479" s="10"/>
    </row>
    <row r="3480" spans="1:22" x14ac:dyDescent="0.2">
      <c r="A3480" s="27"/>
      <c r="B3480" s="25"/>
      <c r="E3480" s="10"/>
      <c r="O3480" s="10"/>
      <c r="V3480" s="10"/>
    </row>
    <row r="3481" spans="1:22" x14ac:dyDescent="0.2">
      <c r="A3481" s="27"/>
      <c r="B3481" s="25"/>
      <c r="E3481" s="10"/>
      <c r="O3481" s="10"/>
      <c r="V3481" s="10"/>
    </row>
    <row r="3482" spans="1:22" x14ac:dyDescent="0.2">
      <c r="A3482" s="27"/>
      <c r="B3482" s="25"/>
      <c r="E3482" s="10"/>
      <c r="O3482" s="10"/>
      <c r="V3482" s="10"/>
    </row>
    <row r="3483" spans="1:22" x14ac:dyDescent="0.2">
      <c r="A3483" s="27"/>
      <c r="B3483" s="25"/>
      <c r="E3483" s="10"/>
      <c r="O3483" s="10"/>
      <c r="V3483" s="10"/>
    </row>
    <row r="3484" spans="1:22" x14ac:dyDescent="0.2">
      <c r="A3484" s="27"/>
      <c r="B3484" s="25"/>
      <c r="E3484" s="10"/>
      <c r="O3484" s="10"/>
      <c r="V3484" s="10"/>
    </row>
    <row r="3485" spans="1:22" x14ac:dyDescent="0.2">
      <c r="A3485" s="27"/>
      <c r="B3485" s="25"/>
      <c r="E3485" s="10"/>
      <c r="O3485" s="10"/>
      <c r="V3485" s="10"/>
    </row>
    <row r="3486" spans="1:22" x14ac:dyDescent="0.2">
      <c r="A3486" s="27"/>
      <c r="B3486" s="25"/>
      <c r="E3486" s="10"/>
      <c r="O3486" s="10"/>
      <c r="V3486" s="10"/>
    </row>
    <row r="3487" spans="1:22" x14ac:dyDescent="0.2">
      <c r="A3487" s="27"/>
      <c r="B3487" s="25"/>
      <c r="E3487" s="10"/>
      <c r="O3487" s="10"/>
      <c r="V3487" s="10"/>
    </row>
    <row r="3488" spans="1:22" x14ac:dyDescent="0.2">
      <c r="A3488" s="27"/>
      <c r="B3488" s="25"/>
      <c r="E3488" s="10"/>
      <c r="O3488" s="10"/>
      <c r="V3488" s="10"/>
    </row>
    <row r="3489" spans="1:22" x14ac:dyDescent="0.2">
      <c r="A3489" s="27"/>
      <c r="B3489" s="25"/>
      <c r="E3489" s="10"/>
      <c r="O3489" s="10"/>
      <c r="V3489" s="10"/>
    </row>
    <row r="3490" spans="1:22" x14ac:dyDescent="0.2">
      <c r="A3490" s="27"/>
      <c r="B3490" s="25"/>
      <c r="E3490" s="10"/>
      <c r="O3490" s="10"/>
      <c r="V3490" s="10"/>
    </row>
    <row r="3491" spans="1:22" x14ac:dyDescent="0.2">
      <c r="A3491" s="27"/>
      <c r="B3491" s="25"/>
      <c r="E3491" s="10"/>
      <c r="O3491" s="10"/>
      <c r="V3491" s="10"/>
    </row>
    <row r="3492" spans="1:22" x14ac:dyDescent="0.2">
      <c r="A3492" s="27"/>
      <c r="B3492" s="25"/>
      <c r="E3492" s="10"/>
      <c r="O3492" s="10"/>
      <c r="V3492" s="10"/>
    </row>
    <row r="3493" spans="1:22" x14ac:dyDescent="0.2">
      <c r="A3493" s="27"/>
      <c r="B3493" s="25"/>
      <c r="E3493" s="10"/>
      <c r="O3493" s="10"/>
      <c r="V3493" s="10"/>
    </row>
    <row r="3494" spans="1:22" x14ac:dyDescent="0.2">
      <c r="A3494" s="27"/>
      <c r="B3494" s="25"/>
      <c r="E3494" s="10"/>
      <c r="O3494" s="10"/>
      <c r="V3494" s="10"/>
    </row>
    <row r="3495" spans="1:22" x14ac:dyDescent="0.2">
      <c r="A3495" s="27"/>
      <c r="B3495" s="25"/>
      <c r="E3495" s="10"/>
      <c r="O3495" s="10"/>
      <c r="V3495" s="10"/>
    </row>
    <row r="3496" spans="1:22" x14ac:dyDescent="0.2">
      <c r="A3496" s="27"/>
      <c r="B3496" s="25"/>
      <c r="E3496" s="10"/>
      <c r="O3496" s="10"/>
      <c r="V3496" s="10"/>
    </row>
    <row r="3497" spans="1:22" x14ac:dyDescent="0.2">
      <c r="A3497" s="27"/>
      <c r="B3497" s="25"/>
      <c r="E3497" s="10"/>
      <c r="O3497" s="10"/>
      <c r="V3497" s="10"/>
    </row>
    <row r="3498" spans="1:22" x14ac:dyDescent="0.2">
      <c r="A3498" s="27"/>
      <c r="B3498" s="25"/>
      <c r="E3498" s="10"/>
      <c r="O3498" s="10"/>
      <c r="V3498" s="10"/>
    </row>
    <row r="3499" spans="1:22" x14ac:dyDescent="0.2">
      <c r="A3499" s="27"/>
      <c r="B3499" s="25"/>
      <c r="E3499" s="10"/>
      <c r="O3499" s="10"/>
      <c r="V3499" s="10"/>
    </row>
    <row r="3500" spans="1:22" x14ac:dyDescent="0.2">
      <c r="A3500" s="27"/>
      <c r="B3500" s="25"/>
      <c r="E3500" s="10"/>
      <c r="O3500" s="10"/>
      <c r="V3500" s="10"/>
    </row>
    <row r="3501" spans="1:22" x14ac:dyDescent="0.2">
      <c r="A3501" s="27"/>
      <c r="B3501" s="25"/>
      <c r="E3501" s="10"/>
      <c r="O3501" s="10"/>
      <c r="V3501" s="10"/>
    </row>
    <row r="3502" spans="1:22" x14ac:dyDescent="0.2">
      <c r="A3502" s="27"/>
      <c r="B3502" s="25"/>
      <c r="E3502" s="10"/>
      <c r="O3502" s="10"/>
      <c r="V3502" s="10"/>
    </row>
    <row r="3503" spans="1:22" x14ac:dyDescent="0.2">
      <c r="A3503" s="27"/>
      <c r="B3503" s="25"/>
      <c r="E3503" s="10"/>
      <c r="O3503" s="10"/>
      <c r="V3503" s="10"/>
    </row>
    <row r="3504" spans="1:22" x14ac:dyDescent="0.2">
      <c r="A3504" s="27"/>
      <c r="B3504" s="25"/>
      <c r="E3504" s="10"/>
      <c r="O3504" s="10"/>
      <c r="V3504" s="10"/>
    </row>
    <row r="3505" spans="1:22" x14ac:dyDescent="0.2">
      <c r="A3505" s="27"/>
      <c r="B3505" s="25"/>
      <c r="E3505" s="10"/>
      <c r="O3505" s="10"/>
      <c r="V3505" s="10"/>
    </row>
    <row r="3506" spans="1:22" x14ac:dyDescent="0.2">
      <c r="A3506" s="27"/>
      <c r="B3506" s="25"/>
      <c r="E3506" s="10"/>
      <c r="O3506" s="10"/>
      <c r="V3506" s="10"/>
    </row>
    <row r="3507" spans="1:22" x14ac:dyDescent="0.2">
      <c r="A3507" s="27"/>
      <c r="B3507" s="25"/>
      <c r="E3507" s="10"/>
      <c r="O3507" s="10"/>
      <c r="V3507" s="10"/>
    </row>
    <row r="3508" spans="1:22" x14ac:dyDescent="0.2">
      <c r="A3508" s="27"/>
      <c r="B3508" s="25"/>
      <c r="E3508" s="10"/>
      <c r="O3508" s="10"/>
      <c r="V3508" s="10"/>
    </row>
    <row r="3509" spans="1:22" x14ac:dyDescent="0.2">
      <c r="A3509" s="27"/>
      <c r="B3509" s="25"/>
      <c r="E3509" s="10"/>
      <c r="O3509" s="10"/>
      <c r="V3509" s="10"/>
    </row>
    <row r="3510" spans="1:22" x14ac:dyDescent="0.2">
      <c r="A3510" s="27"/>
      <c r="B3510" s="25"/>
      <c r="E3510" s="10"/>
      <c r="O3510" s="10"/>
      <c r="V3510" s="10"/>
    </row>
    <row r="3511" spans="1:22" x14ac:dyDescent="0.2">
      <c r="A3511" s="27"/>
      <c r="B3511" s="25"/>
      <c r="E3511" s="10"/>
      <c r="O3511" s="10"/>
      <c r="V3511" s="10"/>
    </row>
    <row r="3512" spans="1:22" x14ac:dyDescent="0.2">
      <c r="A3512" s="27"/>
      <c r="B3512" s="25"/>
      <c r="E3512" s="10"/>
      <c r="O3512" s="10"/>
      <c r="V3512" s="10"/>
    </row>
    <row r="3513" spans="1:22" x14ac:dyDescent="0.2">
      <c r="A3513" s="27"/>
      <c r="B3513" s="25"/>
      <c r="E3513" s="10"/>
      <c r="O3513" s="10"/>
      <c r="V3513" s="10"/>
    </row>
    <row r="3514" spans="1:22" x14ac:dyDescent="0.2">
      <c r="A3514" s="27"/>
      <c r="B3514" s="25"/>
      <c r="E3514" s="10"/>
      <c r="O3514" s="10"/>
      <c r="V3514" s="10"/>
    </row>
    <row r="3515" spans="1:22" x14ac:dyDescent="0.2">
      <c r="A3515" s="27"/>
      <c r="B3515" s="25"/>
      <c r="E3515" s="10"/>
      <c r="O3515" s="10"/>
      <c r="V3515" s="10"/>
    </row>
    <row r="3516" spans="1:22" x14ac:dyDescent="0.2">
      <c r="A3516" s="27"/>
      <c r="B3516" s="25"/>
      <c r="E3516" s="10"/>
      <c r="O3516" s="10"/>
      <c r="V3516" s="10"/>
    </row>
    <row r="3517" spans="1:22" x14ac:dyDescent="0.2">
      <c r="A3517" s="27"/>
      <c r="B3517" s="25"/>
      <c r="E3517" s="10"/>
      <c r="O3517" s="10"/>
      <c r="V3517" s="10"/>
    </row>
    <row r="3518" spans="1:22" x14ac:dyDescent="0.2">
      <c r="A3518" s="27"/>
      <c r="B3518" s="25"/>
      <c r="E3518" s="10"/>
      <c r="O3518" s="10"/>
      <c r="V3518" s="10"/>
    </row>
    <row r="3519" spans="1:22" x14ac:dyDescent="0.2">
      <c r="A3519" s="27"/>
      <c r="B3519" s="25"/>
      <c r="E3519" s="10"/>
      <c r="O3519" s="10"/>
      <c r="V3519" s="10"/>
    </row>
    <row r="3520" spans="1:22" x14ac:dyDescent="0.2">
      <c r="A3520" s="27"/>
      <c r="B3520" s="25"/>
      <c r="E3520" s="10"/>
      <c r="O3520" s="10"/>
      <c r="V3520" s="10"/>
    </row>
    <row r="3521" spans="1:22" x14ac:dyDescent="0.2">
      <c r="A3521" s="27"/>
      <c r="B3521" s="25"/>
      <c r="E3521" s="10"/>
      <c r="O3521" s="10"/>
      <c r="V3521" s="10"/>
    </row>
    <row r="3522" spans="1:22" x14ac:dyDescent="0.2">
      <c r="A3522" s="27"/>
      <c r="B3522" s="25"/>
      <c r="E3522" s="10"/>
      <c r="O3522" s="10"/>
      <c r="V3522" s="10"/>
    </row>
    <row r="3523" spans="1:22" x14ac:dyDescent="0.2">
      <c r="A3523" s="27"/>
      <c r="B3523" s="25"/>
      <c r="E3523" s="10"/>
      <c r="O3523" s="10"/>
      <c r="V3523" s="10"/>
    </row>
    <row r="3524" spans="1:22" x14ac:dyDescent="0.2">
      <c r="A3524" s="27"/>
      <c r="B3524" s="25"/>
      <c r="E3524" s="10"/>
      <c r="O3524" s="10"/>
      <c r="V3524" s="10"/>
    </row>
    <row r="3525" spans="1:22" x14ac:dyDescent="0.2">
      <c r="A3525" s="27"/>
      <c r="B3525" s="25"/>
      <c r="E3525" s="10"/>
      <c r="O3525" s="10"/>
      <c r="V3525" s="10"/>
    </row>
    <row r="3526" spans="1:22" x14ac:dyDescent="0.2">
      <c r="A3526" s="27"/>
      <c r="B3526" s="25"/>
      <c r="E3526" s="10"/>
      <c r="O3526" s="10"/>
      <c r="V3526" s="10"/>
    </row>
    <row r="3527" spans="1:22" x14ac:dyDescent="0.2">
      <c r="A3527" s="27"/>
      <c r="B3527" s="25"/>
      <c r="E3527" s="10"/>
      <c r="O3527" s="10"/>
      <c r="V3527" s="10"/>
    </row>
    <row r="3528" spans="1:22" x14ac:dyDescent="0.2">
      <c r="A3528" s="27"/>
      <c r="B3528" s="25"/>
      <c r="E3528" s="10"/>
      <c r="O3528" s="10"/>
      <c r="V3528" s="10"/>
    </row>
    <row r="3529" spans="1:22" x14ac:dyDescent="0.2">
      <c r="A3529" s="27"/>
      <c r="B3529" s="25"/>
      <c r="E3529" s="10"/>
      <c r="O3529" s="10"/>
      <c r="V3529" s="10"/>
    </row>
    <row r="3530" spans="1:22" x14ac:dyDescent="0.2">
      <c r="A3530" s="27"/>
      <c r="B3530" s="25"/>
      <c r="E3530" s="10"/>
      <c r="O3530" s="10"/>
      <c r="V3530" s="10"/>
    </row>
    <row r="3531" spans="1:22" x14ac:dyDescent="0.2">
      <c r="A3531" s="27"/>
      <c r="B3531" s="25"/>
      <c r="E3531" s="10"/>
      <c r="O3531" s="10"/>
      <c r="V3531" s="10"/>
    </row>
    <row r="3532" spans="1:22" x14ac:dyDescent="0.2">
      <c r="A3532" s="27"/>
      <c r="B3532" s="25"/>
      <c r="E3532" s="10"/>
      <c r="O3532" s="10"/>
      <c r="V3532" s="10"/>
    </row>
    <row r="3533" spans="1:22" x14ac:dyDescent="0.2">
      <c r="A3533" s="27"/>
      <c r="B3533" s="25"/>
      <c r="E3533" s="10"/>
      <c r="O3533" s="10"/>
      <c r="V3533" s="10"/>
    </row>
    <row r="3534" spans="1:22" x14ac:dyDescent="0.2">
      <c r="A3534" s="27"/>
      <c r="B3534" s="25"/>
      <c r="E3534" s="10"/>
      <c r="O3534" s="10"/>
      <c r="V3534" s="10"/>
    </row>
    <row r="3535" spans="1:22" x14ac:dyDescent="0.2">
      <c r="A3535" s="27"/>
      <c r="B3535" s="25"/>
      <c r="E3535" s="10"/>
      <c r="O3535" s="10"/>
      <c r="V3535" s="10"/>
    </row>
    <row r="3536" spans="1:22" x14ac:dyDescent="0.2">
      <c r="A3536" s="27"/>
      <c r="B3536" s="25"/>
      <c r="E3536" s="10"/>
      <c r="O3536" s="10"/>
      <c r="V3536" s="10"/>
    </row>
    <row r="3537" spans="1:22" x14ac:dyDescent="0.2">
      <c r="A3537" s="27"/>
      <c r="B3537" s="25"/>
      <c r="E3537" s="10"/>
      <c r="O3537" s="10"/>
      <c r="V3537" s="10"/>
    </row>
    <row r="3538" spans="1:22" x14ac:dyDescent="0.2">
      <c r="A3538" s="27"/>
      <c r="B3538" s="25"/>
      <c r="E3538" s="10"/>
      <c r="O3538" s="10"/>
      <c r="V3538" s="10"/>
    </row>
    <row r="3539" spans="1:22" x14ac:dyDescent="0.2">
      <c r="A3539" s="27"/>
      <c r="B3539" s="25"/>
      <c r="E3539" s="10"/>
      <c r="O3539" s="10"/>
      <c r="V3539" s="10"/>
    </row>
    <row r="3540" spans="1:22" x14ac:dyDescent="0.2">
      <c r="A3540" s="27"/>
      <c r="B3540" s="25"/>
      <c r="E3540" s="10"/>
      <c r="O3540" s="10"/>
      <c r="V3540" s="10"/>
    </row>
    <row r="3541" spans="1:22" x14ac:dyDescent="0.2">
      <c r="A3541" s="27"/>
      <c r="B3541" s="25"/>
      <c r="E3541" s="10"/>
      <c r="O3541" s="10"/>
      <c r="V3541" s="10"/>
    </row>
    <row r="3542" spans="1:22" x14ac:dyDescent="0.2">
      <c r="A3542" s="27"/>
      <c r="B3542" s="25"/>
      <c r="E3542" s="10"/>
      <c r="O3542" s="10"/>
      <c r="V3542" s="10"/>
    </row>
    <row r="3543" spans="1:22" x14ac:dyDescent="0.2">
      <c r="A3543" s="27"/>
      <c r="B3543" s="25"/>
      <c r="E3543" s="10"/>
      <c r="O3543" s="10"/>
      <c r="V3543" s="10"/>
    </row>
    <row r="3544" spans="1:22" x14ac:dyDescent="0.2">
      <c r="A3544" s="27"/>
      <c r="B3544" s="25"/>
      <c r="E3544" s="10"/>
      <c r="O3544" s="10"/>
      <c r="V3544" s="10"/>
    </row>
    <row r="3545" spans="1:22" x14ac:dyDescent="0.2">
      <c r="A3545" s="27"/>
      <c r="B3545" s="25"/>
      <c r="E3545" s="10"/>
      <c r="O3545" s="10"/>
      <c r="V3545" s="10"/>
    </row>
    <row r="3546" spans="1:22" x14ac:dyDescent="0.2">
      <c r="A3546" s="27"/>
      <c r="B3546" s="25"/>
      <c r="E3546" s="10"/>
      <c r="O3546" s="10"/>
      <c r="V3546" s="10"/>
    </row>
    <row r="3547" spans="1:22" x14ac:dyDescent="0.2">
      <c r="A3547" s="27"/>
      <c r="B3547" s="25"/>
      <c r="E3547" s="10"/>
      <c r="O3547" s="10"/>
      <c r="V3547" s="10"/>
    </row>
    <row r="3548" spans="1:22" x14ac:dyDescent="0.2">
      <c r="A3548" s="27"/>
      <c r="B3548" s="25"/>
      <c r="E3548" s="10"/>
      <c r="O3548" s="10"/>
      <c r="V3548" s="10"/>
    </row>
    <row r="3549" spans="1:22" x14ac:dyDescent="0.2">
      <c r="A3549" s="27"/>
      <c r="B3549" s="25"/>
      <c r="E3549" s="10"/>
      <c r="O3549" s="10"/>
      <c r="V3549" s="10"/>
    </row>
    <row r="3550" spans="1:22" x14ac:dyDescent="0.2">
      <c r="A3550" s="27"/>
      <c r="B3550" s="25"/>
      <c r="E3550" s="10"/>
      <c r="O3550" s="10"/>
      <c r="V3550" s="10"/>
    </row>
    <row r="3551" spans="1:22" x14ac:dyDescent="0.2">
      <c r="A3551" s="27"/>
      <c r="B3551" s="25"/>
      <c r="E3551" s="10"/>
      <c r="O3551" s="10"/>
      <c r="V3551" s="10"/>
    </row>
    <row r="3552" spans="1:22" x14ac:dyDescent="0.2">
      <c r="A3552" s="27"/>
      <c r="B3552" s="25"/>
      <c r="E3552" s="10"/>
      <c r="O3552" s="10"/>
      <c r="V3552" s="10"/>
    </row>
    <row r="3553" spans="1:22" x14ac:dyDescent="0.2">
      <c r="A3553" s="27"/>
      <c r="B3553" s="25"/>
      <c r="E3553" s="10"/>
      <c r="O3553" s="10"/>
      <c r="V3553" s="10"/>
    </row>
    <row r="3554" spans="1:22" x14ac:dyDescent="0.2">
      <c r="A3554" s="27"/>
      <c r="B3554" s="25"/>
      <c r="E3554" s="10"/>
      <c r="O3554" s="10"/>
      <c r="V3554" s="10"/>
    </row>
    <row r="3555" spans="1:22" x14ac:dyDescent="0.2">
      <c r="A3555" s="27"/>
      <c r="B3555" s="25"/>
      <c r="E3555" s="10"/>
      <c r="O3555" s="10"/>
      <c r="V3555" s="10"/>
    </row>
    <row r="3556" spans="1:22" x14ac:dyDescent="0.2">
      <c r="A3556" s="27"/>
      <c r="B3556" s="25"/>
      <c r="E3556" s="10"/>
      <c r="O3556" s="10"/>
      <c r="V3556" s="10"/>
    </row>
    <row r="3557" spans="1:22" x14ac:dyDescent="0.2">
      <c r="A3557" s="27"/>
      <c r="B3557" s="25"/>
      <c r="E3557" s="10"/>
      <c r="O3557" s="10"/>
      <c r="V3557" s="10"/>
    </row>
    <row r="3558" spans="1:22" x14ac:dyDescent="0.2">
      <c r="A3558" s="27"/>
      <c r="B3558" s="25"/>
      <c r="E3558" s="10"/>
      <c r="O3558" s="10"/>
      <c r="V3558" s="10"/>
    </row>
    <row r="3559" spans="1:22" x14ac:dyDescent="0.2">
      <c r="A3559" s="27"/>
      <c r="B3559" s="25"/>
      <c r="E3559" s="10"/>
      <c r="O3559" s="10"/>
      <c r="V3559" s="10"/>
    </row>
    <row r="3560" spans="1:22" x14ac:dyDescent="0.2">
      <c r="A3560" s="27"/>
      <c r="B3560" s="25"/>
      <c r="E3560" s="10"/>
      <c r="O3560" s="10"/>
      <c r="V3560" s="10"/>
    </row>
    <row r="3561" spans="1:22" x14ac:dyDescent="0.2">
      <c r="A3561" s="27"/>
      <c r="B3561" s="25"/>
      <c r="E3561" s="10"/>
      <c r="O3561" s="10"/>
      <c r="V3561" s="10"/>
    </row>
    <row r="3562" spans="1:22" x14ac:dyDescent="0.2">
      <c r="A3562" s="27"/>
      <c r="B3562" s="25"/>
      <c r="E3562" s="10"/>
      <c r="O3562" s="10"/>
      <c r="V3562" s="10"/>
    </row>
    <row r="3563" spans="1:22" x14ac:dyDescent="0.2">
      <c r="A3563" s="27"/>
      <c r="B3563" s="25"/>
      <c r="E3563" s="10"/>
      <c r="O3563" s="10"/>
      <c r="V3563" s="10"/>
    </row>
    <row r="3564" spans="1:22" x14ac:dyDescent="0.2">
      <c r="A3564" s="27"/>
      <c r="B3564" s="25"/>
      <c r="E3564" s="10"/>
      <c r="O3564" s="10"/>
      <c r="V3564" s="10"/>
    </row>
    <row r="3565" spans="1:22" x14ac:dyDescent="0.2">
      <c r="A3565" s="27"/>
      <c r="B3565" s="25"/>
      <c r="E3565" s="10"/>
      <c r="O3565" s="10"/>
      <c r="V3565" s="10"/>
    </row>
    <row r="3566" spans="1:22" x14ac:dyDescent="0.2">
      <c r="A3566" s="27"/>
      <c r="B3566" s="25"/>
      <c r="E3566" s="10"/>
      <c r="O3566" s="10"/>
      <c r="V3566" s="10"/>
    </row>
    <row r="3567" spans="1:22" x14ac:dyDescent="0.2">
      <c r="A3567" s="27"/>
      <c r="B3567" s="25"/>
      <c r="E3567" s="10"/>
      <c r="O3567" s="10"/>
      <c r="V3567" s="10"/>
    </row>
    <row r="3568" spans="1:22" x14ac:dyDescent="0.2">
      <c r="A3568" s="27"/>
      <c r="B3568" s="25"/>
      <c r="E3568" s="10"/>
      <c r="O3568" s="10"/>
      <c r="V3568" s="10"/>
    </row>
    <row r="3569" spans="1:22" x14ac:dyDescent="0.2">
      <c r="A3569" s="27"/>
      <c r="B3569" s="25"/>
      <c r="E3569" s="10"/>
      <c r="O3569" s="10"/>
      <c r="V3569" s="10"/>
    </row>
    <row r="3570" spans="1:22" x14ac:dyDescent="0.2">
      <c r="A3570" s="27"/>
      <c r="B3570" s="25"/>
      <c r="E3570" s="10"/>
      <c r="O3570" s="10"/>
      <c r="V3570" s="10"/>
    </row>
    <row r="3571" spans="1:22" x14ac:dyDescent="0.2">
      <c r="A3571" s="27"/>
      <c r="B3571" s="25"/>
      <c r="E3571" s="10"/>
      <c r="O3571" s="10"/>
      <c r="V3571" s="10"/>
    </row>
    <row r="3572" spans="1:22" x14ac:dyDescent="0.2">
      <c r="A3572" s="27"/>
      <c r="B3572" s="25"/>
      <c r="E3572" s="10"/>
      <c r="O3572" s="10"/>
      <c r="V3572" s="10"/>
    </row>
    <row r="3573" spans="1:22" x14ac:dyDescent="0.2">
      <c r="A3573" s="27"/>
      <c r="B3573" s="25"/>
      <c r="E3573" s="10"/>
      <c r="O3573" s="10"/>
      <c r="V3573" s="10"/>
    </row>
    <row r="3574" spans="1:22" x14ac:dyDescent="0.2">
      <c r="A3574" s="27"/>
      <c r="B3574" s="25"/>
      <c r="E3574" s="10"/>
      <c r="O3574" s="10"/>
      <c r="V3574" s="10"/>
    </row>
    <row r="3575" spans="1:22" x14ac:dyDescent="0.2">
      <c r="A3575" s="27"/>
      <c r="B3575" s="25"/>
      <c r="E3575" s="10"/>
      <c r="O3575" s="10"/>
      <c r="V3575" s="10"/>
    </row>
    <row r="3576" spans="1:22" x14ac:dyDescent="0.2">
      <c r="A3576" s="27"/>
      <c r="B3576" s="25"/>
      <c r="E3576" s="10"/>
      <c r="O3576" s="10"/>
      <c r="V3576" s="10"/>
    </row>
    <row r="3577" spans="1:22" x14ac:dyDescent="0.2">
      <c r="A3577" s="27"/>
      <c r="B3577" s="25"/>
      <c r="E3577" s="10"/>
      <c r="O3577" s="10"/>
      <c r="V3577" s="10"/>
    </row>
    <row r="3578" spans="1:22" x14ac:dyDescent="0.2">
      <c r="A3578" s="27"/>
      <c r="B3578" s="25"/>
      <c r="E3578" s="10"/>
      <c r="O3578" s="10"/>
      <c r="V3578" s="10"/>
    </row>
    <row r="3579" spans="1:22" x14ac:dyDescent="0.2">
      <c r="A3579" s="27"/>
      <c r="B3579" s="25"/>
      <c r="E3579" s="10"/>
      <c r="O3579" s="10"/>
      <c r="V3579" s="10"/>
    </row>
    <row r="3580" spans="1:22" x14ac:dyDescent="0.2">
      <c r="A3580" s="27"/>
      <c r="B3580" s="25"/>
      <c r="E3580" s="10"/>
      <c r="O3580" s="10"/>
      <c r="V3580" s="10"/>
    </row>
    <row r="3581" spans="1:22" x14ac:dyDescent="0.2">
      <c r="A3581" s="27"/>
      <c r="B3581" s="25"/>
      <c r="E3581" s="10"/>
      <c r="O3581" s="10"/>
      <c r="V3581" s="10"/>
    </row>
    <row r="3582" spans="1:22" x14ac:dyDescent="0.2">
      <c r="A3582" s="27"/>
      <c r="B3582" s="25"/>
      <c r="E3582" s="10"/>
      <c r="O3582" s="10"/>
      <c r="V3582" s="10"/>
    </row>
    <row r="3583" spans="1:22" x14ac:dyDescent="0.2">
      <c r="A3583" s="27"/>
      <c r="B3583" s="25"/>
      <c r="E3583" s="10"/>
      <c r="O3583" s="10"/>
      <c r="V3583" s="10"/>
    </row>
    <row r="3584" spans="1:22" x14ac:dyDescent="0.2">
      <c r="A3584" s="27"/>
      <c r="B3584" s="25"/>
      <c r="E3584" s="10"/>
      <c r="O3584" s="10"/>
      <c r="V3584" s="10"/>
    </row>
    <row r="3585" spans="1:22" x14ac:dyDescent="0.2">
      <c r="A3585" s="27"/>
      <c r="B3585" s="25"/>
      <c r="E3585" s="10"/>
      <c r="O3585" s="10"/>
      <c r="V3585" s="10"/>
    </row>
    <row r="3586" spans="1:22" x14ac:dyDescent="0.2">
      <c r="A3586" s="27"/>
      <c r="B3586" s="25"/>
      <c r="E3586" s="10"/>
      <c r="O3586" s="10"/>
      <c r="V3586" s="10"/>
    </row>
    <row r="3587" spans="1:22" x14ac:dyDescent="0.2">
      <c r="A3587" s="27"/>
      <c r="B3587" s="25"/>
      <c r="E3587" s="10"/>
      <c r="O3587" s="10"/>
      <c r="V3587" s="10"/>
    </row>
    <row r="3588" spans="1:22" x14ac:dyDescent="0.2">
      <c r="A3588" s="27"/>
      <c r="B3588" s="25"/>
      <c r="E3588" s="10"/>
      <c r="O3588" s="10"/>
      <c r="V3588" s="10"/>
    </row>
    <row r="3589" spans="1:22" x14ac:dyDescent="0.2">
      <c r="A3589" s="27"/>
      <c r="B3589" s="25"/>
      <c r="E3589" s="10"/>
      <c r="O3589" s="10"/>
      <c r="V3589" s="10"/>
    </row>
    <row r="3590" spans="1:22" x14ac:dyDescent="0.2">
      <c r="A3590" s="27"/>
      <c r="B3590" s="25"/>
      <c r="E3590" s="10"/>
      <c r="O3590" s="10"/>
      <c r="V3590" s="10"/>
    </row>
    <row r="3591" spans="1:22" x14ac:dyDescent="0.2">
      <c r="A3591" s="27"/>
      <c r="B3591" s="25"/>
      <c r="E3591" s="10"/>
      <c r="O3591" s="10"/>
      <c r="V3591" s="10"/>
    </row>
    <row r="3592" spans="1:22" x14ac:dyDescent="0.2">
      <c r="A3592" s="27"/>
      <c r="B3592" s="25"/>
      <c r="E3592" s="10"/>
      <c r="O3592" s="10"/>
      <c r="V3592" s="10"/>
    </row>
    <row r="3593" spans="1:22" x14ac:dyDescent="0.2">
      <c r="A3593" s="27"/>
      <c r="B3593" s="25"/>
      <c r="E3593" s="10"/>
      <c r="O3593" s="10"/>
      <c r="V3593" s="10"/>
    </row>
    <row r="3594" spans="1:22" x14ac:dyDescent="0.2">
      <c r="A3594" s="27"/>
      <c r="B3594" s="25"/>
      <c r="E3594" s="10"/>
      <c r="O3594" s="10"/>
      <c r="V3594" s="10"/>
    </row>
    <row r="3595" spans="1:22" x14ac:dyDescent="0.2">
      <c r="A3595" s="27"/>
      <c r="B3595" s="25"/>
      <c r="E3595" s="10"/>
      <c r="O3595" s="10"/>
      <c r="V3595" s="10"/>
    </row>
    <row r="3596" spans="1:22" x14ac:dyDescent="0.2">
      <c r="A3596" s="27"/>
      <c r="B3596" s="25"/>
      <c r="E3596" s="10"/>
      <c r="O3596" s="10"/>
      <c r="V3596" s="10"/>
    </row>
    <row r="3597" spans="1:22" x14ac:dyDescent="0.2">
      <c r="A3597" s="27"/>
      <c r="B3597" s="25"/>
      <c r="E3597" s="10"/>
      <c r="O3597" s="10"/>
      <c r="V3597" s="10"/>
    </row>
    <row r="3598" spans="1:22" x14ac:dyDescent="0.2">
      <c r="A3598" s="27"/>
      <c r="B3598" s="25"/>
      <c r="E3598" s="10"/>
      <c r="O3598" s="10"/>
      <c r="V3598" s="10"/>
    </row>
    <row r="3599" spans="1:22" x14ac:dyDescent="0.2">
      <c r="A3599" s="27"/>
      <c r="B3599" s="25"/>
      <c r="E3599" s="10"/>
      <c r="O3599" s="10"/>
      <c r="V3599" s="10"/>
    </row>
    <row r="3600" spans="1:22" x14ac:dyDescent="0.2">
      <c r="A3600" s="27"/>
      <c r="B3600" s="25"/>
      <c r="E3600" s="10"/>
      <c r="O3600" s="10"/>
      <c r="V3600" s="10"/>
    </row>
    <row r="3601" spans="1:22" x14ac:dyDescent="0.2">
      <c r="A3601" s="27"/>
      <c r="B3601" s="25"/>
      <c r="E3601" s="10"/>
      <c r="O3601" s="10"/>
      <c r="V3601" s="10"/>
    </row>
    <row r="3602" spans="1:22" x14ac:dyDescent="0.2">
      <c r="A3602" s="27"/>
      <c r="B3602" s="25"/>
      <c r="E3602" s="10"/>
      <c r="O3602" s="10"/>
      <c r="V3602" s="10"/>
    </row>
    <row r="3603" spans="1:22" x14ac:dyDescent="0.2">
      <c r="A3603" s="27"/>
      <c r="B3603" s="25"/>
      <c r="E3603" s="10"/>
      <c r="O3603" s="10"/>
      <c r="V3603" s="10"/>
    </row>
    <row r="3604" spans="1:22" x14ac:dyDescent="0.2">
      <c r="A3604" s="27"/>
      <c r="B3604" s="25"/>
      <c r="E3604" s="10"/>
      <c r="O3604" s="10"/>
      <c r="V3604" s="10"/>
    </row>
    <row r="3605" spans="1:22" x14ac:dyDescent="0.2">
      <c r="A3605" s="27"/>
      <c r="B3605" s="25"/>
      <c r="E3605" s="10"/>
      <c r="O3605" s="10"/>
      <c r="V3605" s="10"/>
    </row>
    <row r="3606" spans="1:22" x14ac:dyDescent="0.2">
      <c r="A3606" s="27"/>
      <c r="B3606" s="25"/>
      <c r="E3606" s="10"/>
      <c r="O3606" s="10"/>
      <c r="V3606" s="10"/>
    </row>
    <row r="3607" spans="1:22" x14ac:dyDescent="0.2">
      <c r="A3607" s="27"/>
      <c r="B3607" s="25"/>
      <c r="E3607" s="10"/>
      <c r="O3607" s="10"/>
      <c r="V3607" s="10"/>
    </row>
    <row r="3608" spans="1:22" x14ac:dyDescent="0.2">
      <c r="A3608" s="27"/>
      <c r="B3608" s="25"/>
      <c r="E3608" s="10"/>
      <c r="O3608" s="10"/>
      <c r="V3608" s="10"/>
    </row>
    <row r="3609" spans="1:22" x14ac:dyDescent="0.2">
      <c r="A3609" s="27"/>
      <c r="B3609" s="25"/>
      <c r="E3609" s="10"/>
      <c r="O3609" s="10"/>
      <c r="V3609" s="10"/>
    </row>
    <row r="3610" spans="1:22" x14ac:dyDescent="0.2">
      <c r="A3610" s="27"/>
      <c r="B3610" s="25"/>
      <c r="E3610" s="10"/>
      <c r="O3610" s="10"/>
      <c r="V3610" s="10"/>
    </row>
    <row r="3611" spans="1:22" x14ac:dyDescent="0.2">
      <c r="A3611" s="27"/>
      <c r="B3611" s="25"/>
      <c r="E3611" s="10"/>
      <c r="O3611" s="10"/>
      <c r="V3611" s="10"/>
    </row>
    <row r="3612" spans="1:22" x14ac:dyDescent="0.2">
      <c r="A3612" s="27"/>
      <c r="B3612" s="25"/>
      <c r="E3612" s="10"/>
      <c r="O3612" s="10"/>
      <c r="V3612" s="10"/>
    </row>
    <row r="3613" spans="1:22" x14ac:dyDescent="0.2">
      <c r="A3613" s="27"/>
      <c r="B3613" s="25"/>
      <c r="E3613" s="10"/>
      <c r="O3613" s="10"/>
      <c r="V3613" s="10"/>
    </row>
    <row r="3614" spans="1:22" x14ac:dyDescent="0.2">
      <c r="A3614" s="27"/>
      <c r="B3614" s="25"/>
      <c r="E3614" s="10"/>
      <c r="O3614" s="10"/>
      <c r="V3614" s="10"/>
    </row>
    <row r="3615" spans="1:22" x14ac:dyDescent="0.2">
      <c r="A3615" s="27"/>
      <c r="B3615" s="25"/>
      <c r="E3615" s="10"/>
      <c r="O3615" s="10"/>
      <c r="V3615" s="10"/>
    </row>
    <row r="3616" spans="1:22" x14ac:dyDescent="0.2">
      <c r="A3616" s="27"/>
      <c r="B3616" s="25"/>
      <c r="E3616" s="10"/>
      <c r="O3616" s="10"/>
      <c r="V3616" s="10"/>
    </row>
    <row r="3617" spans="1:22" x14ac:dyDescent="0.2">
      <c r="A3617" s="27"/>
      <c r="B3617" s="25"/>
      <c r="E3617" s="10"/>
      <c r="O3617" s="10"/>
      <c r="V3617" s="10"/>
    </row>
    <row r="3618" spans="1:22" x14ac:dyDescent="0.2">
      <c r="A3618" s="27"/>
      <c r="B3618" s="25"/>
      <c r="E3618" s="10"/>
      <c r="O3618" s="10"/>
      <c r="V3618" s="10"/>
    </row>
    <row r="3619" spans="1:22" x14ac:dyDescent="0.2">
      <c r="A3619" s="27"/>
      <c r="B3619" s="25"/>
      <c r="E3619" s="10"/>
      <c r="O3619" s="10"/>
      <c r="V3619" s="10"/>
    </row>
    <row r="3620" spans="1:22" x14ac:dyDescent="0.2">
      <c r="A3620" s="27"/>
      <c r="B3620" s="25"/>
      <c r="E3620" s="10"/>
      <c r="O3620" s="10"/>
      <c r="V3620" s="10"/>
    </row>
    <row r="3621" spans="1:22" x14ac:dyDescent="0.2">
      <c r="A3621" s="27"/>
      <c r="B3621" s="25"/>
      <c r="E3621" s="10"/>
      <c r="O3621" s="10"/>
      <c r="V3621" s="10"/>
    </row>
    <row r="3622" spans="1:22" x14ac:dyDescent="0.2">
      <c r="A3622" s="27"/>
      <c r="B3622" s="25"/>
      <c r="E3622" s="10"/>
      <c r="O3622" s="10"/>
      <c r="V3622" s="10"/>
    </row>
    <row r="3623" spans="1:22" x14ac:dyDescent="0.2">
      <c r="A3623" s="27"/>
      <c r="B3623" s="25"/>
      <c r="E3623" s="10"/>
      <c r="O3623" s="10"/>
      <c r="V3623" s="10"/>
    </row>
    <row r="3624" spans="1:22" x14ac:dyDescent="0.2">
      <c r="A3624" s="27"/>
      <c r="B3624" s="25"/>
      <c r="E3624" s="10"/>
      <c r="O3624" s="10"/>
      <c r="V3624" s="10"/>
    </row>
    <row r="3625" spans="1:22" x14ac:dyDescent="0.2">
      <c r="A3625" s="27"/>
      <c r="B3625" s="25"/>
      <c r="E3625" s="10"/>
      <c r="O3625" s="10"/>
      <c r="V3625" s="10"/>
    </row>
    <row r="3626" spans="1:22" x14ac:dyDescent="0.2">
      <c r="A3626" s="27"/>
      <c r="B3626" s="25"/>
      <c r="E3626" s="10"/>
      <c r="O3626" s="10"/>
      <c r="V3626" s="10"/>
    </row>
    <row r="3627" spans="1:22" x14ac:dyDescent="0.2">
      <c r="A3627" s="27"/>
      <c r="B3627" s="25"/>
      <c r="E3627" s="10"/>
      <c r="O3627" s="10"/>
      <c r="V3627" s="10"/>
    </row>
    <row r="3628" spans="1:22" x14ac:dyDescent="0.2">
      <c r="A3628" s="27"/>
      <c r="B3628" s="25"/>
      <c r="E3628" s="10"/>
      <c r="O3628" s="10"/>
      <c r="V3628" s="10"/>
    </row>
    <row r="3629" spans="1:22" x14ac:dyDescent="0.2">
      <c r="A3629" s="27"/>
      <c r="B3629" s="25"/>
      <c r="E3629" s="10"/>
      <c r="O3629" s="10"/>
      <c r="V3629" s="10"/>
    </row>
    <row r="3630" spans="1:22" x14ac:dyDescent="0.2">
      <c r="A3630" s="27"/>
      <c r="B3630" s="25"/>
      <c r="E3630" s="10"/>
      <c r="O3630" s="10"/>
      <c r="V3630" s="10"/>
    </row>
    <row r="3631" spans="1:22" x14ac:dyDescent="0.2">
      <c r="A3631" s="27"/>
      <c r="B3631" s="25"/>
      <c r="E3631" s="10"/>
      <c r="O3631" s="10"/>
      <c r="V3631" s="10"/>
    </row>
    <row r="3632" spans="1:22" x14ac:dyDescent="0.2">
      <c r="A3632" s="27"/>
      <c r="B3632" s="25"/>
      <c r="E3632" s="10"/>
      <c r="O3632" s="10"/>
      <c r="V3632" s="10"/>
    </row>
    <row r="3633" spans="1:22" x14ac:dyDescent="0.2">
      <c r="A3633" s="27"/>
      <c r="B3633" s="25"/>
      <c r="E3633" s="10"/>
      <c r="O3633" s="10"/>
      <c r="V3633" s="10"/>
    </row>
    <row r="3634" spans="1:22" x14ac:dyDescent="0.2">
      <c r="A3634" s="27"/>
      <c r="B3634" s="25"/>
      <c r="E3634" s="10"/>
      <c r="O3634" s="10"/>
      <c r="V3634" s="10"/>
    </row>
    <row r="3635" spans="1:22" x14ac:dyDescent="0.2">
      <c r="A3635" s="27"/>
      <c r="B3635" s="25"/>
      <c r="E3635" s="10"/>
      <c r="O3635" s="10"/>
      <c r="V3635" s="10"/>
    </row>
    <row r="3636" spans="1:22" x14ac:dyDescent="0.2">
      <c r="A3636" s="27"/>
      <c r="B3636" s="25"/>
      <c r="E3636" s="10"/>
      <c r="O3636" s="10"/>
      <c r="V3636" s="10"/>
    </row>
    <row r="3637" spans="1:22" x14ac:dyDescent="0.2">
      <c r="A3637" s="27"/>
      <c r="B3637" s="25"/>
      <c r="E3637" s="10"/>
      <c r="O3637" s="10"/>
      <c r="V3637" s="10"/>
    </row>
    <row r="3638" spans="1:22" x14ac:dyDescent="0.2">
      <c r="A3638" s="27"/>
      <c r="B3638" s="25"/>
      <c r="E3638" s="10"/>
      <c r="O3638" s="10"/>
      <c r="V3638" s="10"/>
    </row>
    <row r="3639" spans="1:22" x14ac:dyDescent="0.2">
      <c r="A3639" s="27"/>
      <c r="B3639" s="25"/>
      <c r="E3639" s="10"/>
      <c r="O3639" s="10"/>
      <c r="V3639" s="10"/>
    </row>
    <row r="3640" spans="1:22" x14ac:dyDescent="0.2">
      <c r="A3640" s="27"/>
      <c r="B3640" s="25"/>
      <c r="E3640" s="10"/>
      <c r="O3640" s="10"/>
      <c r="V3640" s="10"/>
    </row>
    <row r="3641" spans="1:22" x14ac:dyDescent="0.2">
      <c r="A3641" s="27"/>
      <c r="B3641" s="25"/>
      <c r="E3641" s="10"/>
      <c r="O3641" s="10"/>
      <c r="V3641" s="10"/>
    </row>
    <row r="3642" spans="1:22" x14ac:dyDescent="0.2">
      <c r="A3642" s="27"/>
      <c r="B3642" s="25"/>
      <c r="E3642" s="10"/>
      <c r="O3642" s="10"/>
      <c r="V3642" s="10"/>
    </row>
    <row r="3643" spans="1:22" x14ac:dyDescent="0.2">
      <c r="A3643" s="27"/>
      <c r="B3643" s="25"/>
      <c r="E3643" s="10"/>
      <c r="O3643" s="10"/>
      <c r="V3643" s="10"/>
    </row>
    <row r="3644" spans="1:22" x14ac:dyDescent="0.2">
      <c r="A3644" s="27"/>
      <c r="B3644" s="25"/>
      <c r="E3644" s="10"/>
      <c r="O3644" s="10"/>
      <c r="V3644" s="10"/>
    </row>
    <row r="3645" spans="1:22" x14ac:dyDescent="0.2">
      <c r="A3645" s="27"/>
      <c r="B3645" s="25"/>
      <c r="E3645" s="10"/>
      <c r="O3645" s="10"/>
      <c r="V3645" s="10"/>
    </row>
    <row r="3646" spans="1:22" x14ac:dyDescent="0.2">
      <c r="A3646" s="27"/>
      <c r="B3646" s="25"/>
      <c r="E3646" s="10"/>
      <c r="O3646" s="10"/>
      <c r="V3646" s="10"/>
    </row>
    <row r="3647" spans="1:22" x14ac:dyDescent="0.2">
      <c r="A3647" s="27"/>
      <c r="B3647" s="25"/>
      <c r="E3647" s="10"/>
      <c r="O3647" s="10"/>
      <c r="V3647" s="10"/>
    </row>
    <row r="3648" spans="1:22" x14ac:dyDescent="0.2">
      <c r="A3648" s="27"/>
      <c r="B3648" s="25"/>
      <c r="E3648" s="10"/>
      <c r="O3648" s="10"/>
      <c r="V3648" s="10"/>
    </row>
    <row r="3649" spans="1:22" x14ac:dyDescent="0.2">
      <c r="A3649" s="27"/>
      <c r="B3649" s="25"/>
      <c r="E3649" s="10"/>
      <c r="O3649" s="10"/>
      <c r="V3649" s="10"/>
    </row>
    <row r="3650" spans="1:22" x14ac:dyDescent="0.2">
      <c r="A3650" s="27"/>
      <c r="B3650" s="25"/>
      <c r="E3650" s="10"/>
      <c r="O3650" s="10"/>
      <c r="V3650" s="10"/>
    </row>
    <row r="3651" spans="1:22" x14ac:dyDescent="0.2">
      <c r="A3651" s="27"/>
      <c r="B3651" s="25"/>
      <c r="E3651" s="10"/>
      <c r="O3651" s="10"/>
      <c r="V3651" s="10"/>
    </row>
    <row r="3652" spans="1:22" x14ac:dyDescent="0.2">
      <c r="A3652" s="27"/>
      <c r="B3652" s="25"/>
      <c r="E3652" s="10"/>
      <c r="O3652" s="10"/>
      <c r="V3652" s="10"/>
    </row>
    <row r="3653" spans="1:22" x14ac:dyDescent="0.2">
      <c r="A3653" s="27"/>
      <c r="B3653" s="25"/>
      <c r="E3653" s="10"/>
      <c r="O3653" s="10"/>
      <c r="V3653" s="10"/>
    </row>
    <row r="3654" spans="1:22" x14ac:dyDescent="0.2">
      <c r="A3654" s="27"/>
      <c r="B3654" s="25"/>
      <c r="E3654" s="10"/>
      <c r="O3654" s="10"/>
      <c r="V3654" s="10"/>
    </row>
    <row r="3655" spans="1:22" x14ac:dyDescent="0.2">
      <c r="A3655" s="27"/>
      <c r="B3655" s="25"/>
      <c r="E3655" s="10"/>
      <c r="O3655" s="10"/>
      <c r="V3655" s="10"/>
    </row>
    <row r="3656" spans="1:22" x14ac:dyDescent="0.2">
      <c r="A3656" s="27"/>
      <c r="B3656" s="25"/>
      <c r="E3656" s="10"/>
      <c r="O3656" s="10"/>
      <c r="V3656" s="10"/>
    </row>
    <row r="3657" spans="1:22" x14ac:dyDescent="0.2">
      <c r="A3657" s="27"/>
      <c r="B3657" s="25"/>
      <c r="E3657" s="10"/>
      <c r="O3657" s="10"/>
      <c r="V3657" s="10"/>
    </row>
    <row r="3658" spans="1:22" x14ac:dyDescent="0.2">
      <c r="A3658" s="27"/>
      <c r="B3658" s="25"/>
      <c r="E3658" s="10"/>
      <c r="O3658" s="10"/>
      <c r="V3658" s="10"/>
    </row>
    <row r="3659" spans="1:22" x14ac:dyDescent="0.2">
      <c r="A3659" s="27"/>
      <c r="B3659" s="25"/>
      <c r="E3659" s="10"/>
      <c r="O3659" s="10"/>
      <c r="V3659" s="10"/>
    </row>
    <row r="3660" spans="1:22" x14ac:dyDescent="0.2">
      <c r="A3660" s="27"/>
      <c r="B3660" s="25"/>
      <c r="E3660" s="10"/>
      <c r="O3660" s="10"/>
      <c r="V3660" s="10"/>
    </row>
    <row r="3661" spans="1:22" x14ac:dyDescent="0.2">
      <c r="A3661" s="27"/>
      <c r="B3661" s="25"/>
      <c r="E3661" s="10"/>
      <c r="O3661" s="10"/>
      <c r="V3661" s="10"/>
    </row>
    <row r="3662" spans="1:22" x14ac:dyDescent="0.2">
      <c r="A3662" s="27"/>
      <c r="B3662" s="25"/>
      <c r="E3662" s="10"/>
      <c r="O3662" s="10"/>
      <c r="V3662" s="10"/>
    </row>
    <row r="3663" spans="1:22" x14ac:dyDescent="0.2">
      <c r="A3663" s="27"/>
      <c r="B3663" s="25"/>
      <c r="E3663" s="10"/>
      <c r="O3663" s="10"/>
      <c r="V3663" s="10"/>
    </row>
    <row r="3664" spans="1:22" x14ac:dyDescent="0.2">
      <c r="A3664" s="27"/>
      <c r="B3664" s="25"/>
      <c r="E3664" s="10"/>
      <c r="O3664" s="10"/>
      <c r="V3664" s="10"/>
    </row>
    <row r="3665" spans="1:22" x14ac:dyDescent="0.2">
      <c r="A3665" s="27"/>
      <c r="B3665" s="25"/>
      <c r="E3665" s="10"/>
      <c r="O3665" s="10"/>
      <c r="V3665" s="10"/>
    </row>
    <row r="3666" spans="1:22" x14ac:dyDescent="0.2">
      <c r="A3666" s="27"/>
      <c r="B3666" s="25"/>
      <c r="E3666" s="10"/>
      <c r="O3666" s="10"/>
      <c r="V3666" s="10"/>
    </row>
    <row r="3667" spans="1:22" x14ac:dyDescent="0.2">
      <c r="A3667" s="27"/>
      <c r="B3667" s="25"/>
      <c r="E3667" s="10"/>
      <c r="O3667" s="10"/>
      <c r="V3667" s="10"/>
    </row>
    <row r="3668" spans="1:22" x14ac:dyDescent="0.2">
      <c r="A3668" s="27"/>
      <c r="B3668" s="25"/>
      <c r="E3668" s="10"/>
      <c r="O3668" s="10"/>
      <c r="V3668" s="10"/>
    </row>
    <row r="3669" spans="1:22" x14ac:dyDescent="0.2">
      <c r="A3669" s="27"/>
      <c r="B3669" s="25"/>
      <c r="E3669" s="10"/>
      <c r="O3669" s="10"/>
      <c r="V3669" s="10"/>
    </row>
    <row r="3670" spans="1:22" x14ac:dyDescent="0.2">
      <c r="A3670" s="27"/>
      <c r="B3670" s="25"/>
      <c r="E3670" s="10"/>
      <c r="O3670" s="10"/>
      <c r="V3670" s="10"/>
    </row>
    <row r="3671" spans="1:22" x14ac:dyDescent="0.2">
      <c r="A3671" s="27"/>
      <c r="B3671" s="25"/>
      <c r="E3671" s="10"/>
      <c r="O3671" s="10"/>
      <c r="V3671" s="10"/>
    </row>
    <row r="3672" spans="1:22" x14ac:dyDescent="0.2">
      <c r="A3672" s="27"/>
      <c r="B3672" s="25"/>
      <c r="E3672" s="10"/>
      <c r="O3672" s="10"/>
      <c r="V3672" s="10"/>
    </row>
    <row r="3673" spans="1:22" x14ac:dyDescent="0.2">
      <c r="A3673" s="27"/>
      <c r="B3673" s="25"/>
      <c r="E3673" s="10"/>
      <c r="O3673" s="10"/>
      <c r="V3673" s="10"/>
    </row>
    <row r="3674" spans="1:22" x14ac:dyDescent="0.2">
      <c r="A3674" s="27"/>
      <c r="B3674" s="25"/>
      <c r="E3674" s="10"/>
      <c r="O3674" s="10"/>
      <c r="V3674" s="10"/>
    </row>
    <row r="3675" spans="1:22" x14ac:dyDescent="0.2">
      <c r="A3675" s="27"/>
      <c r="B3675" s="25"/>
      <c r="E3675" s="10"/>
      <c r="O3675" s="10"/>
      <c r="V3675" s="10"/>
    </row>
    <row r="3676" spans="1:22" x14ac:dyDescent="0.2">
      <c r="A3676" s="27"/>
      <c r="B3676" s="25"/>
      <c r="E3676" s="10"/>
      <c r="O3676" s="10"/>
      <c r="V3676" s="10"/>
    </row>
    <row r="3677" spans="1:22" x14ac:dyDescent="0.2">
      <c r="A3677" s="27"/>
      <c r="B3677" s="25"/>
      <c r="E3677" s="10"/>
      <c r="O3677" s="10"/>
      <c r="V3677" s="10"/>
    </row>
    <row r="3678" spans="1:22" x14ac:dyDescent="0.2">
      <c r="A3678" s="27"/>
      <c r="B3678" s="25"/>
      <c r="E3678" s="10"/>
      <c r="O3678" s="10"/>
      <c r="V3678" s="10"/>
    </row>
    <row r="3679" spans="1:22" x14ac:dyDescent="0.2">
      <c r="A3679" s="27"/>
      <c r="B3679" s="25"/>
      <c r="E3679" s="10"/>
      <c r="O3679" s="10"/>
      <c r="V3679" s="10"/>
    </row>
    <row r="3680" spans="1:22" x14ac:dyDescent="0.2">
      <c r="A3680" s="27"/>
      <c r="B3680" s="25"/>
      <c r="E3680" s="10"/>
      <c r="O3680" s="10"/>
      <c r="V3680" s="10"/>
    </row>
    <row r="3681" spans="1:22" x14ac:dyDescent="0.2">
      <c r="A3681" s="27"/>
      <c r="B3681" s="25"/>
      <c r="E3681" s="10"/>
      <c r="O3681" s="10"/>
      <c r="V3681" s="10"/>
    </row>
    <row r="3682" spans="1:22" x14ac:dyDescent="0.2">
      <c r="A3682" s="27"/>
      <c r="B3682" s="25"/>
      <c r="E3682" s="10"/>
      <c r="O3682" s="10"/>
      <c r="V3682" s="10"/>
    </row>
    <row r="3683" spans="1:22" x14ac:dyDescent="0.2">
      <c r="A3683" s="27"/>
      <c r="B3683" s="25"/>
      <c r="E3683" s="10"/>
      <c r="O3683" s="10"/>
      <c r="V3683" s="10"/>
    </row>
    <row r="3684" spans="1:22" x14ac:dyDescent="0.2">
      <c r="A3684" s="27"/>
      <c r="B3684" s="25"/>
      <c r="E3684" s="10"/>
      <c r="O3684" s="10"/>
      <c r="V3684" s="10"/>
    </row>
    <row r="3685" spans="1:22" x14ac:dyDescent="0.2">
      <c r="A3685" s="27"/>
      <c r="B3685" s="25"/>
      <c r="E3685" s="10"/>
      <c r="O3685" s="10"/>
      <c r="V3685" s="10"/>
    </row>
    <row r="3686" spans="1:22" x14ac:dyDescent="0.2">
      <c r="A3686" s="27"/>
      <c r="B3686" s="25"/>
      <c r="E3686" s="10"/>
      <c r="O3686" s="10"/>
      <c r="V3686" s="10"/>
    </row>
    <row r="3687" spans="1:22" x14ac:dyDescent="0.2">
      <c r="A3687" s="27"/>
      <c r="B3687" s="25"/>
      <c r="E3687" s="10"/>
      <c r="O3687" s="10"/>
      <c r="V3687" s="10"/>
    </row>
    <row r="3688" spans="1:22" x14ac:dyDescent="0.2">
      <c r="A3688" s="27"/>
      <c r="B3688" s="25"/>
      <c r="E3688" s="10"/>
      <c r="O3688" s="10"/>
      <c r="V3688" s="10"/>
    </row>
    <row r="3689" spans="1:22" x14ac:dyDescent="0.2">
      <c r="A3689" s="27"/>
      <c r="B3689" s="25"/>
      <c r="E3689" s="10"/>
      <c r="O3689" s="10"/>
      <c r="V3689" s="10"/>
    </row>
    <row r="3690" spans="1:22" x14ac:dyDescent="0.2">
      <c r="A3690" s="27"/>
      <c r="B3690" s="25"/>
      <c r="E3690" s="10"/>
      <c r="O3690" s="10"/>
      <c r="V3690" s="10"/>
    </row>
    <row r="3691" spans="1:22" x14ac:dyDescent="0.2">
      <c r="A3691" s="27"/>
      <c r="B3691" s="25"/>
      <c r="E3691" s="10"/>
      <c r="O3691" s="10"/>
      <c r="V3691" s="10"/>
    </row>
    <row r="3692" spans="1:22" x14ac:dyDescent="0.2">
      <c r="A3692" s="27"/>
      <c r="B3692" s="25"/>
      <c r="E3692" s="10"/>
      <c r="O3692" s="10"/>
      <c r="V3692" s="10"/>
    </row>
    <row r="3693" spans="1:22" x14ac:dyDescent="0.2">
      <c r="A3693" s="27"/>
      <c r="B3693" s="25"/>
      <c r="E3693" s="10"/>
      <c r="O3693" s="10"/>
      <c r="V3693" s="10"/>
    </row>
    <row r="3694" spans="1:22" x14ac:dyDescent="0.2">
      <c r="A3694" s="27"/>
      <c r="B3694" s="25"/>
      <c r="E3694" s="10"/>
      <c r="O3694" s="10"/>
      <c r="V3694" s="10"/>
    </row>
    <row r="3695" spans="1:22" x14ac:dyDescent="0.2">
      <c r="A3695" s="27"/>
      <c r="B3695" s="25"/>
      <c r="E3695" s="10"/>
      <c r="O3695" s="10"/>
      <c r="V3695" s="10"/>
    </row>
    <row r="3696" spans="1:22" x14ac:dyDescent="0.2">
      <c r="A3696" s="27"/>
      <c r="B3696" s="25"/>
      <c r="E3696" s="10"/>
      <c r="O3696" s="10"/>
      <c r="V3696" s="10"/>
    </row>
    <row r="3697" spans="1:22" x14ac:dyDescent="0.2">
      <c r="A3697" s="27"/>
      <c r="B3697" s="25"/>
      <c r="E3697" s="10"/>
      <c r="O3697" s="10"/>
      <c r="V3697" s="10"/>
    </row>
    <row r="3698" spans="1:22" x14ac:dyDescent="0.2">
      <c r="A3698" s="27"/>
      <c r="B3698" s="25"/>
      <c r="E3698" s="10"/>
      <c r="O3698" s="10"/>
      <c r="V3698" s="10"/>
    </row>
    <row r="3699" spans="1:22" x14ac:dyDescent="0.2">
      <c r="A3699" s="27"/>
      <c r="B3699" s="25"/>
      <c r="E3699" s="10"/>
      <c r="O3699" s="10"/>
      <c r="V3699" s="10"/>
    </row>
    <row r="3700" spans="1:22" x14ac:dyDescent="0.2">
      <c r="A3700" s="27"/>
      <c r="B3700" s="25"/>
      <c r="E3700" s="10"/>
      <c r="O3700" s="10"/>
      <c r="V3700" s="10"/>
    </row>
    <row r="3701" spans="1:22" x14ac:dyDescent="0.2">
      <c r="A3701" s="27"/>
      <c r="B3701" s="25"/>
      <c r="E3701" s="10"/>
      <c r="O3701" s="10"/>
      <c r="V3701" s="10"/>
    </row>
    <row r="3702" spans="1:22" x14ac:dyDescent="0.2">
      <c r="A3702" s="27"/>
      <c r="B3702" s="25"/>
      <c r="E3702" s="10"/>
      <c r="O3702" s="10"/>
      <c r="V3702" s="10"/>
    </row>
    <row r="3703" spans="1:22" x14ac:dyDescent="0.2">
      <c r="A3703" s="27"/>
      <c r="B3703" s="25"/>
      <c r="E3703" s="10"/>
      <c r="O3703" s="10"/>
      <c r="V3703" s="10"/>
    </row>
    <row r="3704" spans="1:22" x14ac:dyDescent="0.2">
      <c r="A3704" s="27"/>
      <c r="B3704" s="25"/>
      <c r="E3704" s="10"/>
      <c r="O3704" s="10"/>
      <c r="V3704" s="10"/>
    </row>
    <row r="3705" spans="1:22" x14ac:dyDescent="0.2">
      <c r="A3705" s="27"/>
      <c r="B3705" s="25"/>
      <c r="E3705" s="10"/>
      <c r="O3705" s="10"/>
      <c r="V3705" s="10"/>
    </row>
    <row r="3706" spans="1:22" x14ac:dyDescent="0.2">
      <c r="A3706" s="27"/>
      <c r="B3706" s="25"/>
      <c r="E3706" s="10"/>
      <c r="O3706" s="10"/>
      <c r="V3706" s="10"/>
    </row>
    <row r="3707" spans="1:22" x14ac:dyDescent="0.2">
      <c r="A3707" s="27"/>
      <c r="B3707" s="25"/>
      <c r="E3707" s="10"/>
      <c r="O3707" s="10"/>
      <c r="V3707" s="10"/>
    </row>
    <row r="3708" spans="1:22" x14ac:dyDescent="0.2">
      <c r="A3708" s="27"/>
      <c r="B3708" s="25"/>
      <c r="E3708" s="10"/>
      <c r="O3708" s="10"/>
      <c r="V3708" s="10"/>
    </row>
    <row r="3709" spans="1:22" x14ac:dyDescent="0.2">
      <c r="A3709" s="27"/>
      <c r="B3709" s="25"/>
      <c r="E3709" s="10"/>
      <c r="O3709" s="10"/>
      <c r="V3709" s="10"/>
    </row>
    <row r="3710" spans="1:22" x14ac:dyDescent="0.2">
      <c r="A3710" s="27"/>
      <c r="B3710" s="25"/>
      <c r="E3710" s="10"/>
      <c r="O3710" s="10"/>
      <c r="V3710" s="10"/>
    </row>
    <row r="3711" spans="1:22" x14ac:dyDescent="0.2">
      <c r="A3711" s="27"/>
      <c r="B3711" s="25"/>
      <c r="E3711" s="10"/>
      <c r="O3711" s="10"/>
      <c r="V3711" s="10"/>
    </row>
    <row r="3712" spans="1:22" x14ac:dyDescent="0.2">
      <c r="A3712" s="27"/>
      <c r="B3712" s="25"/>
      <c r="E3712" s="10"/>
      <c r="O3712" s="10"/>
      <c r="V3712" s="10"/>
    </row>
    <row r="3713" spans="1:22" x14ac:dyDescent="0.2">
      <c r="A3713" s="27"/>
      <c r="B3713" s="25"/>
      <c r="E3713" s="10"/>
      <c r="O3713" s="10"/>
      <c r="V3713" s="10"/>
    </row>
    <row r="3714" spans="1:22" x14ac:dyDescent="0.2">
      <c r="A3714" s="27"/>
      <c r="B3714" s="25"/>
      <c r="E3714" s="10"/>
      <c r="O3714" s="10"/>
      <c r="V3714" s="10"/>
    </row>
    <row r="3715" spans="1:22" x14ac:dyDescent="0.2">
      <c r="A3715" s="27"/>
      <c r="B3715" s="25"/>
      <c r="E3715" s="10"/>
      <c r="O3715" s="10"/>
      <c r="V3715" s="10"/>
    </row>
    <row r="3716" spans="1:22" x14ac:dyDescent="0.2">
      <c r="A3716" s="27"/>
      <c r="B3716" s="25"/>
      <c r="E3716" s="10"/>
      <c r="O3716" s="10"/>
      <c r="V3716" s="10"/>
    </row>
    <row r="3717" spans="1:22" x14ac:dyDescent="0.2">
      <c r="A3717" s="27"/>
      <c r="B3717" s="25"/>
      <c r="E3717" s="10"/>
      <c r="O3717" s="10"/>
      <c r="V3717" s="10"/>
    </row>
    <row r="3718" spans="1:22" x14ac:dyDescent="0.2">
      <c r="A3718" s="27"/>
      <c r="B3718" s="25"/>
      <c r="E3718" s="10"/>
      <c r="O3718" s="10"/>
      <c r="V3718" s="10"/>
    </row>
    <row r="3719" spans="1:22" x14ac:dyDescent="0.2">
      <c r="A3719" s="27"/>
      <c r="B3719" s="25"/>
      <c r="E3719" s="10"/>
      <c r="O3719" s="10"/>
      <c r="V3719" s="10"/>
    </row>
    <row r="3720" spans="1:22" x14ac:dyDescent="0.2">
      <c r="A3720" s="27"/>
      <c r="B3720" s="25"/>
      <c r="E3720" s="10"/>
      <c r="O3720" s="10"/>
      <c r="V3720" s="10"/>
    </row>
    <row r="3721" spans="1:22" x14ac:dyDescent="0.2">
      <c r="A3721" s="27"/>
      <c r="B3721" s="25"/>
      <c r="E3721" s="10"/>
      <c r="O3721" s="10"/>
      <c r="V3721" s="10"/>
    </row>
    <row r="3722" spans="1:22" x14ac:dyDescent="0.2">
      <c r="A3722" s="27"/>
      <c r="B3722" s="25"/>
      <c r="E3722" s="10"/>
      <c r="O3722" s="10"/>
      <c r="V3722" s="10"/>
    </row>
    <row r="3723" spans="1:22" x14ac:dyDescent="0.2">
      <c r="A3723" s="27"/>
      <c r="B3723" s="25"/>
      <c r="E3723" s="10"/>
      <c r="O3723" s="10"/>
      <c r="V3723" s="10"/>
    </row>
    <row r="3724" spans="1:22" x14ac:dyDescent="0.2">
      <c r="A3724" s="27"/>
      <c r="B3724" s="25"/>
      <c r="E3724" s="10"/>
      <c r="O3724" s="10"/>
      <c r="V3724" s="10"/>
    </row>
    <row r="3725" spans="1:22" x14ac:dyDescent="0.2">
      <c r="A3725" s="27"/>
      <c r="B3725" s="25"/>
      <c r="E3725" s="10"/>
      <c r="O3725" s="10"/>
      <c r="V3725" s="10"/>
    </row>
    <row r="3726" spans="1:22" x14ac:dyDescent="0.2">
      <c r="A3726" s="27"/>
      <c r="B3726" s="25"/>
      <c r="E3726" s="10"/>
      <c r="O3726" s="10"/>
      <c r="V3726" s="10"/>
    </row>
    <row r="3727" spans="1:22" x14ac:dyDescent="0.2">
      <c r="A3727" s="27"/>
      <c r="B3727" s="25"/>
      <c r="E3727" s="10"/>
      <c r="O3727" s="10"/>
      <c r="V3727" s="10"/>
    </row>
    <row r="3728" spans="1:22" x14ac:dyDescent="0.2">
      <c r="A3728" s="27"/>
      <c r="B3728" s="25"/>
      <c r="E3728" s="10"/>
      <c r="O3728" s="10"/>
      <c r="V3728" s="10"/>
    </row>
    <row r="3729" spans="1:22" x14ac:dyDescent="0.2">
      <c r="A3729" s="27"/>
      <c r="B3729" s="25"/>
      <c r="E3729" s="10"/>
      <c r="O3729" s="10"/>
      <c r="V3729" s="10"/>
    </row>
    <row r="3730" spans="1:22" x14ac:dyDescent="0.2">
      <c r="A3730" s="27"/>
      <c r="B3730" s="25"/>
      <c r="E3730" s="10"/>
      <c r="O3730" s="10"/>
      <c r="V3730" s="10"/>
    </row>
    <row r="3731" spans="1:22" x14ac:dyDescent="0.2">
      <c r="A3731" s="27"/>
      <c r="B3731" s="25"/>
      <c r="E3731" s="10"/>
      <c r="O3731" s="10"/>
      <c r="V3731" s="10"/>
    </row>
    <row r="3732" spans="1:22" x14ac:dyDescent="0.2">
      <c r="A3732" s="27"/>
      <c r="B3732" s="25"/>
      <c r="E3732" s="10"/>
      <c r="O3732" s="10"/>
      <c r="V3732" s="10"/>
    </row>
    <row r="3733" spans="1:22" x14ac:dyDescent="0.2">
      <c r="A3733" s="27"/>
      <c r="B3733" s="25"/>
      <c r="E3733" s="10"/>
      <c r="O3733" s="10"/>
      <c r="V3733" s="10"/>
    </row>
    <row r="3734" spans="1:22" x14ac:dyDescent="0.2">
      <c r="A3734" s="27"/>
      <c r="B3734" s="25"/>
      <c r="E3734" s="10"/>
      <c r="O3734" s="10"/>
      <c r="V3734" s="10"/>
    </row>
    <row r="3735" spans="1:22" x14ac:dyDescent="0.2">
      <c r="A3735" s="27"/>
      <c r="B3735" s="25"/>
      <c r="E3735" s="10"/>
      <c r="O3735" s="10"/>
      <c r="V3735" s="10"/>
    </row>
    <row r="3736" spans="1:22" x14ac:dyDescent="0.2">
      <c r="A3736" s="27"/>
      <c r="B3736" s="25"/>
      <c r="E3736" s="10"/>
      <c r="O3736" s="10"/>
      <c r="V3736" s="10"/>
    </row>
    <row r="3737" spans="1:22" x14ac:dyDescent="0.2">
      <c r="A3737" s="27"/>
      <c r="B3737" s="25"/>
      <c r="E3737" s="10"/>
      <c r="O3737" s="10"/>
      <c r="V3737" s="10"/>
    </row>
    <row r="3738" spans="1:22" x14ac:dyDescent="0.2">
      <c r="A3738" s="27"/>
      <c r="B3738" s="25"/>
      <c r="E3738" s="10"/>
      <c r="O3738" s="10"/>
      <c r="V3738" s="10"/>
    </row>
    <row r="3739" spans="1:22" x14ac:dyDescent="0.2">
      <c r="A3739" s="27"/>
      <c r="B3739" s="25"/>
      <c r="E3739" s="10"/>
      <c r="O3739" s="10"/>
      <c r="V3739" s="10"/>
    </row>
    <row r="3740" spans="1:22" x14ac:dyDescent="0.2">
      <c r="A3740" s="27"/>
      <c r="B3740" s="25"/>
      <c r="E3740" s="10"/>
      <c r="O3740" s="10"/>
      <c r="V3740" s="10"/>
    </row>
    <row r="3741" spans="1:22" x14ac:dyDescent="0.2">
      <c r="A3741" s="27"/>
      <c r="B3741" s="25"/>
      <c r="E3741" s="10"/>
      <c r="O3741" s="10"/>
      <c r="V3741" s="10"/>
    </row>
    <row r="3742" spans="1:22" x14ac:dyDescent="0.2">
      <c r="A3742" s="27"/>
      <c r="B3742" s="25"/>
      <c r="E3742" s="10"/>
      <c r="O3742" s="10"/>
      <c r="V3742" s="10"/>
    </row>
    <row r="3743" spans="1:22" x14ac:dyDescent="0.2">
      <c r="A3743" s="27"/>
      <c r="B3743" s="25"/>
      <c r="E3743" s="10"/>
      <c r="O3743" s="10"/>
      <c r="V3743" s="10"/>
    </row>
    <row r="3744" spans="1:22" x14ac:dyDescent="0.2">
      <c r="A3744" s="27"/>
      <c r="B3744" s="25"/>
      <c r="E3744" s="10"/>
      <c r="O3744" s="10"/>
      <c r="V3744" s="10"/>
    </row>
    <row r="3745" spans="1:22" x14ac:dyDescent="0.2">
      <c r="A3745" s="27"/>
      <c r="B3745" s="25"/>
      <c r="E3745" s="10"/>
      <c r="O3745" s="10"/>
      <c r="V3745" s="10"/>
    </row>
    <row r="3746" spans="1:22" x14ac:dyDescent="0.2">
      <c r="A3746" s="27"/>
      <c r="B3746" s="25"/>
      <c r="E3746" s="10"/>
      <c r="O3746" s="10"/>
      <c r="V3746" s="10"/>
    </row>
    <row r="3747" spans="1:22" x14ac:dyDescent="0.2">
      <c r="A3747" s="27"/>
      <c r="B3747" s="25"/>
      <c r="E3747" s="10"/>
      <c r="O3747" s="10"/>
      <c r="V3747" s="10"/>
    </row>
    <row r="3748" spans="1:22" x14ac:dyDescent="0.2">
      <c r="A3748" s="27"/>
      <c r="B3748" s="25"/>
      <c r="E3748" s="10"/>
      <c r="O3748" s="10"/>
      <c r="V3748" s="10"/>
    </row>
    <row r="3749" spans="1:22" x14ac:dyDescent="0.2">
      <c r="A3749" s="27"/>
      <c r="B3749" s="25"/>
      <c r="E3749" s="10"/>
      <c r="O3749" s="10"/>
      <c r="V3749" s="10"/>
    </row>
    <row r="3750" spans="1:22" x14ac:dyDescent="0.2">
      <c r="A3750" s="27"/>
      <c r="B3750" s="25"/>
      <c r="E3750" s="10"/>
      <c r="O3750" s="10"/>
      <c r="V3750" s="10"/>
    </row>
    <row r="3751" spans="1:22" x14ac:dyDescent="0.2">
      <c r="A3751" s="27"/>
      <c r="B3751" s="25"/>
      <c r="E3751" s="10"/>
      <c r="O3751" s="10"/>
      <c r="V3751" s="10"/>
    </row>
    <row r="3752" spans="1:22" x14ac:dyDescent="0.2">
      <c r="A3752" s="27"/>
      <c r="B3752" s="25"/>
      <c r="E3752" s="10"/>
      <c r="O3752" s="10"/>
      <c r="V3752" s="10"/>
    </row>
    <row r="3753" spans="1:22" x14ac:dyDescent="0.2">
      <c r="A3753" s="27"/>
      <c r="B3753" s="25"/>
      <c r="E3753" s="10"/>
      <c r="O3753" s="10"/>
      <c r="V3753" s="10"/>
    </row>
    <row r="3754" spans="1:22" x14ac:dyDescent="0.2">
      <c r="A3754" s="27"/>
      <c r="B3754" s="25"/>
      <c r="E3754" s="10"/>
      <c r="O3754" s="10"/>
      <c r="V3754" s="10"/>
    </row>
    <row r="3755" spans="1:22" x14ac:dyDescent="0.2">
      <c r="A3755" s="27"/>
      <c r="B3755" s="25"/>
      <c r="E3755" s="10"/>
      <c r="O3755" s="10"/>
      <c r="V3755" s="10"/>
    </row>
    <row r="3756" spans="1:22" x14ac:dyDescent="0.2">
      <c r="A3756" s="27"/>
      <c r="B3756" s="25"/>
      <c r="E3756" s="10"/>
      <c r="O3756" s="10"/>
      <c r="V3756" s="10"/>
    </row>
    <row r="3757" spans="1:22" x14ac:dyDescent="0.2">
      <c r="A3757" s="27"/>
      <c r="B3757" s="25"/>
      <c r="E3757" s="10"/>
      <c r="O3757" s="10"/>
      <c r="V3757" s="10"/>
    </row>
    <row r="3758" spans="1:22" x14ac:dyDescent="0.2">
      <c r="A3758" s="27"/>
      <c r="B3758" s="25"/>
      <c r="E3758" s="10"/>
      <c r="O3758" s="10"/>
      <c r="V3758" s="10"/>
    </row>
    <row r="3759" spans="1:22" x14ac:dyDescent="0.2">
      <c r="A3759" s="27"/>
      <c r="B3759" s="25"/>
      <c r="E3759" s="10"/>
      <c r="O3759" s="10"/>
      <c r="V3759" s="10"/>
    </row>
    <row r="3760" spans="1:22" x14ac:dyDescent="0.2">
      <c r="A3760" s="27"/>
      <c r="B3760" s="25"/>
      <c r="E3760" s="10"/>
      <c r="O3760" s="10"/>
      <c r="V3760" s="10"/>
    </row>
    <row r="3761" spans="1:22" x14ac:dyDescent="0.2">
      <c r="A3761" s="27"/>
      <c r="B3761" s="25"/>
      <c r="E3761" s="10"/>
      <c r="O3761" s="10"/>
      <c r="V3761" s="10"/>
    </row>
    <row r="3762" spans="1:22" x14ac:dyDescent="0.2">
      <c r="A3762" s="27"/>
      <c r="B3762" s="25"/>
      <c r="E3762" s="10"/>
      <c r="O3762" s="10"/>
      <c r="V3762" s="10"/>
    </row>
    <row r="3763" spans="1:22" x14ac:dyDescent="0.2">
      <c r="A3763" s="27"/>
      <c r="B3763" s="25"/>
      <c r="E3763" s="10"/>
      <c r="O3763" s="10"/>
      <c r="V3763" s="10"/>
    </row>
    <row r="3764" spans="1:22" x14ac:dyDescent="0.2">
      <c r="A3764" s="27"/>
      <c r="B3764" s="25"/>
      <c r="E3764" s="10"/>
      <c r="O3764" s="10"/>
      <c r="V3764" s="10"/>
    </row>
    <row r="3765" spans="1:22" x14ac:dyDescent="0.2">
      <c r="A3765" s="27"/>
      <c r="B3765" s="25"/>
      <c r="E3765" s="10"/>
      <c r="O3765" s="10"/>
      <c r="V3765" s="10"/>
    </row>
    <row r="3766" spans="1:22" x14ac:dyDescent="0.2">
      <c r="A3766" s="27"/>
      <c r="B3766" s="25"/>
      <c r="E3766" s="10"/>
      <c r="O3766" s="10"/>
      <c r="V3766" s="10"/>
    </row>
    <row r="3767" spans="1:22" x14ac:dyDescent="0.2">
      <c r="A3767" s="27"/>
      <c r="B3767" s="25"/>
      <c r="E3767" s="10"/>
      <c r="O3767" s="10"/>
      <c r="V3767" s="10"/>
    </row>
    <row r="3768" spans="1:22" x14ac:dyDescent="0.2">
      <c r="A3768" s="27"/>
      <c r="B3768" s="25"/>
      <c r="E3768" s="10"/>
      <c r="O3768" s="10"/>
      <c r="V3768" s="10"/>
    </row>
    <row r="3769" spans="1:22" x14ac:dyDescent="0.2">
      <c r="A3769" s="27"/>
      <c r="B3769" s="25"/>
      <c r="E3769" s="10"/>
      <c r="O3769" s="10"/>
      <c r="V3769" s="10"/>
    </row>
    <row r="3770" spans="1:22" x14ac:dyDescent="0.2">
      <c r="A3770" s="27"/>
      <c r="B3770" s="25"/>
      <c r="E3770" s="10"/>
      <c r="O3770" s="10"/>
      <c r="V3770" s="10"/>
    </row>
    <row r="3771" spans="1:22" x14ac:dyDescent="0.2">
      <c r="A3771" s="27"/>
      <c r="B3771" s="25"/>
      <c r="E3771" s="10"/>
      <c r="O3771" s="10"/>
      <c r="V3771" s="10"/>
    </row>
    <row r="3772" spans="1:22" x14ac:dyDescent="0.2">
      <c r="A3772" s="27"/>
      <c r="B3772" s="25"/>
      <c r="E3772" s="10"/>
      <c r="O3772" s="10"/>
      <c r="V3772" s="10"/>
    </row>
    <row r="3773" spans="1:22" x14ac:dyDescent="0.2">
      <c r="A3773" s="27"/>
      <c r="B3773" s="25"/>
      <c r="E3773" s="10"/>
      <c r="O3773" s="10"/>
      <c r="V3773" s="10"/>
    </row>
    <row r="3774" spans="1:22" x14ac:dyDescent="0.2">
      <c r="A3774" s="27"/>
      <c r="B3774" s="25"/>
      <c r="E3774" s="10"/>
      <c r="O3774" s="10"/>
      <c r="V3774" s="10"/>
    </row>
    <row r="3775" spans="1:22" x14ac:dyDescent="0.2">
      <c r="A3775" s="27"/>
      <c r="B3775" s="25"/>
      <c r="E3775" s="10"/>
      <c r="O3775" s="10"/>
      <c r="V3775" s="10"/>
    </row>
    <row r="3776" spans="1:22" x14ac:dyDescent="0.2">
      <c r="A3776" s="27"/>
      <c r="B3776" s="25"/>
      <c r="E3776" s="10"/>
      <c r="O3776" s="10"/>
      <c r="V3776" s="10"/>
    </row>
    <row r="3777" spans="1:22" x14ac:dyDescent="0.2">
      <c r="A3777" s="27"/>
      <c r="B3777" s="25"/>
      <c r="E3777" s="10"/>
      <c r="O3777" s="10"/>
      <c r="V3777" s="10"/>
    </row>
    <row r="3778" spans="1:22" x14ac:dyDescent="0.2">
      <c r="A3778" s="27"/>
      <c r="B3778" s="25"/>
      <c r="E3778" s="10"/>
      <c r="O3778" s="10"/>
      <c r="V3778" s="10"/>
    </row>
    <row r="3779" spans="1:22" x14ac:dyDescent="0.2">
      <c r="A3779" s="27"/>
      <c r="B3779" s="25"/>
      <c r="E3779" s="10"/>
      <c r="O3779" s="10"/>
      <c r="V3779" s="10"/>
    </row>
    <row r="3780" spans="1:22" x14ac:dyDescent="0.2">
      <c r="A3780" s="27"/>
      <c r="B3780" s="25"/>
      <c r="E3780" s="10"/>
      <c r="O3780" s="10"/>
      <c r="V3780" s="10"/>
    </row>
    <row r="3781" spans="1:22" x14ac:dyDescent="0.2">
      <c r="A3781" s="27"/>
      <c r="B3781" s="25"/>
      <c r="E3781" s="10"/>
      <c r="O3781" s="10"/>
      <c r="V3781" s="10"/>
    </row>
    <row r="3782" spans="1:22" x14ac:dyDescent="0.2">
      <c r="A3782" s="27"/>
      <c r="B3782" s="25"/>
      <c r="E3782" s="10"/>
      <c r="O3782" s="10"/>
      <c r="V3782" s="10"/>
    </row>
    <row r="3783" spans="1:22" x14ac:dyDescent="0.2">
      <c r="A3783" s="27"/>
      <c r="B3783" s="25"/>
      <c r="E3783" s="10"/>
      <c r="O3783" s="10"/>
      <c r="V3783" s="10"/>
    </row>
    <row r="3784" spans="1:22" x14ac:dyDescent="0.2">
      <c r="A3784" s="27"/>
      <c r="B3784" s="25"/>
      <c r="E3784" s="10"/>
      <c r="O3784" s="10"/>
      <c r="V3784" s="10"/>
    </row>
    <row r="3785" spans="1:22" x14ac:dyDescent="0.2">
      <c r="A3785" s="27"/>
      <c r="B3785" s="25"/>
      <c r="E3785" s="10"/>
      <c r="O3785" s="10"/>
      <c r="V3785" s="10"/>
    </row>
    <row r="3786" spans="1:22" x14ac:dyDescent="0.2">
      <c r="A3786" s="27"/>
      <c r="B3786" s="25"/>
      <c r="E3786" s="10"/>
      <c r="O3786" s="10"/>
      <c r="V3786" s="10"/>
    </row>
    <row r="3787" spans="1:22" x14ac:dyDescent="0.2">
      <c r="A3787" s="27"/>
      <c r="B3787" s="25"/>
      <c r="E3787" s="10"/>
      <c r="O3787" s="10"/>
      <c r="V3787" s="10"/>
    </row>
    <row r="3788" spans="1:22" x14ac:dyDescent="0.2">
      <c r="A3788" s="27"/>
      <c r="B3788" s="25"/>
      <c r="E3788" s="10"/>
      <c r="O3788" s="10"/>
      <c r="V3788" s="10"/>
    </row>
    <row r="3789" spans="1:22" x14ac:dyDescent="0.2">
      <c r="A3789" s="27"/>
      <c r="B3789" s="25"/>
      <c r="E3789" s="10"/>
      <c r="O3789" s="10"/>
      <c r="V3789" s="10"/>
    </row>
    <row r="3790" spans="1:22" x14ac:dyDescent="0.2">
      <c r="A3790" s="27"/>
      <c r="B3790" s="25"/>
      <c r="E3790" s="10"/>
      <c r="O3790" s="10"/>
      <c r="V3790" s="10"/>
    </row>
    <row r="3791" spans="1:22" x14ac:dyDescent="0.2">
      <c r="A3791" s="27"/>
      <c r="B3791" s="25"/>
      <c r="E3791" s="10"/>
      <c r="O3791" s="10"/>
      <c r="V3791" s="10"/>
    </row>
    <row r="3792" spans="1:22" x14ac:dyDescent="0.2">
      <c r="A3792" s="27"/>
      <c r="B3792" s="25"/>
      <c r="E3792" s="10"/>
      <c r="O3792" s="10"/>
      <c r="V3792" s="10"/>
    </row>
    <row r="3793" spans="1:22" x14ac:dyDescent="0.2">
      <c r="A3793" s="27"/>
      <c r="B3793" s="25"/>
      <c r="E3793" s="10"/>
      <c r="O3793" s="10"/>
      <c r="V3793" s="10"/>
    </row>
    <row r="3794" spans="1:22" x14ac:dyDescent="0.2">
      <c r="A3794" s="27"/>
      <c r="B3794" s="25"/>
      <c r="E3794" s="10"/>
      <c r="O3794" s="10"/>
      <c r="V3794" s="10"/>
    </row>
    <row r="3795" spans="1:22" x14ac:dyDescent="0.2">
      <c r="A3795" s="27"/>
      <c r="B3795" s="25"/>
      <c r="E3795" s="10"/>
      <c r="O3795" s="10"/>
      <c r="V3795" s="10"/>
    </row>
    <row r="3796" spans="1:22" x14ac:dyDescent="0.2">
      <c r="A3796" s="27"/>
      <c r="B3796" s="25"/>
      <c r="E3796" s="10"/>
      <c r="O3796" s="10"/>
      <c r="V3796" s="10"/>
    </row>
    <row r="3797" spans="1:22" x14ac:dyDescent="0.2">
      <c r="A3797" s="27"/>
      <c r="B3797" s="25"/>
      <c r="E3797" s="10"/>
      <c r="O3797" s="10"/>
      <c r="V3797" s="10"/>
    </row>
    <row r="3798" spans="1:22" x14ac:dyDescent="0.2">
      <c r="A3798" s="27"/>
      <c r="B3798" s="25"/>
      <c r="E3798" s="10"/>
      <c r="O3798" s="10"/>
      <c r="V3798" s="10"/>
    </row>
    <row r="3799" spans="1:22" x14ac:dyDescent="0.2">
      <c r="A3799" s="27"/>
      <c r="B3799" s="25"/>
      <c r="E3799" s="10"/>
      <c r="O3799" s="10"/>
      <c r="V3799" s="10"/>
    </row>
    <row r="3800" spans="1:22" x14ac:dyDescent="0.2">
      <c r="A3800" s="27"/>
      <c r="B3800" s="25"/>
      <c r="E3800" s="10"/>
      <c r="O3800" s="10"/>
      <c r="V3800" s="10"/>
    </row>
    <row r="3801" spans="1:22" x14ac:dyDescent="0.2">
      <c r="A3801" s="27"/>
      <c r="B3801" s="25"/>
      <c r="E3801" s="10"/>
      <c r="O3801" s="10"/>
      <c r="V3801" s="10"/>
    </row>
    <row r="3802" spans="1:22" x14ac:dyDescent="0.2">
      <c r="A3802" s="27"/>
      <c r="B3802" s="25"/>
      <c r="E3802" s="10"/>
      <c r="O3802" s="10"/>
      <c r="V3802" s="10"/>
    </row>
    <row r="3803" spans="1:22" x14ac:dyDescent="0.2">
      <c r="A3803" s="27"/>
      <c r="B3803" s="25"/>
      <c r="E3803" s="10"/>
      <c r="O3803" s="10"/>
      <c r="V3803" s="10"/>
    </row>
    <row r="3804" spans="1:22" x14ac:dyDescent="0.2">
      <c r="A3804" s="27"/>
      <c r="B3804" s="25"/>
      <c r="E3804" s="10"/>
      <c r="O3804" s="10"/>
      <c r="V3804" s="10"/>
    </row>
    <row r="3805" spans="1:22" x14ac:dyDescent="0.2">
      <c r="A3805" s="27"/>
      <c r="B3805" s="25"/>
      <c r="E3805" s="10"/>
      <c r="O3805" s="10"/>
      <c r="V3805" s="10"/>
    </row>
    <row r="3806" spans="1:22" x14ac:dyDescent="0.2">
      <c r="A3806" s="27"/>
      <c r="B3806" s="25"/>
      <c r="E3806" s="10"/>
      <c r="O3806" s="10"/>
      <c r="V3806" s="10"/>
    </row>
    <row r="3807" spans="1:22" x14ac:dyDescent="0.2">
      <c r="A3807" s="27"/>
      <c r="B3807" s="25"/>
      <c r="E3807" s="10"/>
      <c r="O3807" s="10"/>
      <c r="V3807" s="10"/>
    </row>
    <row r="3808" spans="1:22" x14ac:dyDescent="0.2">
      <c r="A3808" s="27"/>
      <c r="B3808" s="25"/>
      <c r="E3808" s="10"/>
      <c r="O3808" s="10"/>
      <c r="V3808" s="10"/>
    </row>
    <row r="3809" spans="1:22" x14ac:dyDescent="0.2">
      <c r="A3809" s="27"/>
      <c r="B3809" s="25"/>
      <c r="E3809" s="10"/>
      <c r="O3809" s="10"/>
      <c r="V3809" s="10"/>
    </row>
    <row r="3810" spans="1:22" x14ac:dyDescent="0.2">
      <c r="A3810" s="27"/>
      <c r="B3810" s="25"/>
      <c r="E3810" s="10"/>
      <c r="O3810" s="10"/>
      <c r="V3810" s="10"/>
    </row>
    <row r="3811" spans="1:22" x14ac:dyDescent="0.2">
      <c r="A3811" s="27"/>
      <c r="B3811" s="25"/>
      <c r="E3811" s="10"/>
      <c r="O3811" s="10"/>
      <c r="V3811" s="10"/>
    </row>
    <row r="3812" spans="1:22" x14ac:dyDescent="0.2">
      <c r="A3812" s="27"/>
      <c r="B3812" s="25"/>
      <c r="E3812" s="10"/>
      <c r="O3812" s="10"/>
      <c r="V3812" s="10"/>
    </row>
    <row r="3813" spans="1:22" x14ac:dyDescent="0.2">
      <c r="A3813" s="27"/>
      <c r="B3813" s="25"/>
      <c r="E3813" s="10"/>
      <c r="O3813" s="10"/>
      <c r="V3813" s="10"/>
    </row>
    <row r="3814" spans="1:22" x14ac:dyDescent="0.2">
      <c r="A3814" s="27"/>
      <c r="B3814" s="25"/>
      <c r="E3814" s="10"/>
      <c r="O3814" s="10"/>
      <c r="V3814" s="10"/>
    </row>
    <row r="3815" spans="1:22" x14ac:dyDescent="0.2">
      <c r="A3815" s="27"/>
      <c r="B3815" s="25"/>
      <c r="E3815" s="10"/>
      <c r="O3815" s="10"/>
      <c r="V3815" s="10"/>
    </row>
    <row r="3816" spans="1:22" x14ac:dyDescent="0.2">
      <c r="A3816" s="27"/>
      <c r="B3816" s="25"/>
      <c r="E3816" s="10"/>
      <c r="O3816" s="10"/>
      <c r="V3816" s="10"/>
    </row>
    <row r="3817" spans="1:22" x14ac:dyDescent="0.2">
      <c r="A3817" s="27"/>
      <c r="B3817" s="25"/>
      <c r="E3817" s="10"/>
      <c r="O3817" s="10"/>
      <c r="V3817" s="10"/>
    </row>
    <row r="3818" spans="1:22" x14ac:dyDescent="0.2">
      <c r="A3818" s="27"/>
      <c r="B3818" s="25"/>
      <c r="E3818" s="10"/>
      <c r="O3818" s="10"/>
      <c r="V3818" s="10"/>
    </row>
    <row r="3819" spans="1:22" x14ac:dyDescent="0.2">
      <c r="A3819" s="27"/>
      <c r="B3819" s="25"/>
      <c r="E3819" s="10"/>
      <c r="O3819" s="10"/>
      <c r="V3819" s="10"/>
    </row>
    <row r="3820" spans="1:22" x14ac:dyDescent="0.2">
      <c r="A3820" s="27"/>
      <c r="B3820" s="25"/>
      <c r="E3820" s="10"/>
      <c r="O3820" s="10"/>
      <c r="V3820" s="10"/>
    </row>
    <row r="3821" spans="1:22" x14ac:dyDescent="0.2">
      <c r="A3821" s="27"/>
      <c r="B3821" s="25"/>
      <c r="E3821" s="10"/>
      <c r="O3821" s="10"/>
      <c r="V3821" s="10"/>
    </row>
    <row r="3822" spans="1:22" x14ac:dyDescent="0.2">
      <c r="A3822" s="27"/>
      <c r="B3822" s="25"/>
      <c r="E3822" s="10"/>
      <c r="O3822" s="10"/>
      <c r="V3822" s="10"/>
    </row>
    <row r="3823" spans="1:22" x14ac:dyDescent="0.2">
      <c r="A3823" s="27"/>
      <c r="B3823" s="25"/>
      <c r="E3823" s="10"/>
      <c r="O3823" s="10"/>
      <c r="V3823" s="10"/>
    </row>
    <row r="3824" spans="1:22" x14ac:dyDescent="0.2">
      <c r="A3824" s="27"/>
      <c r="B3824" s="25"/>
      <c r="E3824" s="10"/>
      <c r="O3824" s="10"/>
      <c r="V3824" s="10"/>
    </row>
    <row r="3825" spans="1:22" x14ac:dyDescent="0.2">
      <c r="A3825" s="27"/>
      <c r="B3825" s="25"/>
      <c r="E3825" s="10"/>
      <c r="O3825" s="10"/>
      <c r="V3825" s="10"/>
    </row>
    <row r="3826" spans="1:22" x14ac:dyDescent="0.2">
      <c r="A3826" s="27"/>
      <c r="B3826" s="25"/>
      <c r="E3826" s="10"/>
      <c r="O3826" s="10"/>
      <c r="V3826" s="10"/>
    </row>
    <row r="3827" spans="1:22" x14ac:dyDescent="0.2">
      <c r="A3827" s="27"/>
      <c r="B3827" s="25"/>
      <c r="E3827" s="10"/>
      <c r="O3827" s="10"/>
      <c r="V3827" s="10"/>
    </row>
    <row r="3828" spans="1:22" x14ac:dyDescent="0.2">
      <c r="A3828" s="27"/>
      <c r="B3828" s="25"/>
      <c r="E3828" s="10"/>
      <c r="O3828" s="10"/>
      <c r="V3828" s="10"/>
    </row>
    <row r="3829" spans="1:22" x14ac:dyDescent="0.2">
      <c r="A3829" s="27"/>
      <c r="B3829" s="25"/>
      <c r="E3829" s="10"/>
      <c r="O3829" s="10"/>
      <c r="V3829" s="10"/>
    </row>
    <row r="3830" spans="1:22" x14ac:dyDescent="0.2">
      <c r="A3830" s="27"/>
      <c r="B3830" s="25"/>
      <c r="E3830" s="10"/>
      <c r="O3830" s="10"/>
      <c r="V3830" s="10"/>
    </row>
    <row r="3831" spans="1:22" x14ac:dyDescent="0.2">
      <c r="A3831" s="27"/>
      <c r="B3831" s="25"/>
      <c r="E3831" s="10"/>
      <c r="O3831" s="10"/>
      <c r="V3831" s="10"/>
    </row>
    <row r="3832" spans="1:22" x14ac:dyDescent="0.2">
      <c r="A3832" s="27"/>
      <c r="B3832" s="25"/>
      <c r="E3832" s="10"/>
      <c r="O3832" s="10"/>
      <c r="V3832" s="10"/>
    </row>
    <row r="3833" spans="1:22" x14ac:dyDescent="0.2">
      <c r="A3833" s="27"/>
      <c r="B3833" s="25"/>
      <c r="E3833" s="10"/>
      <c r="O3833" s="10"/>
      <c r="V3833" s="10"/>
    </row>
    <row r="3834" spans="1:22" x14ac:dyDescent="0.2">
      <c r="A3834" s="27"/>
      <c r="B3834" s="25"/>
      <c r="E3834" s="10"/>
      <c r="O3834" s="10"/>
      <c r="V3834" s="10"/>
    </row>
    <row r="3835" spans="1:22" x14ac:dyDescent="0.2">
      <c r="A3835" s="27"/>
      <c r="B3835" s="25"/>
      <c r="E3835" s="10"/>
      <c r="O3835" s="10"/>
      <c r="V3835" s="10"/>
    </row>
    <row r="3836" spans="1:22" x14ac:dyDescent="0.2">
      <c r="A3836" s="27"/>
      <c r="B3836" s="25"/>
      <c r="E3836" s="10"/>
      <c r="O3836" s="10"/>
      <c r="V3836" s="10"/>
    </row>
    <row r="3837" spans="1:22" x14ac:dyDescent="0.2">
      <c r="A3837" s="27"/>
      <c r="B3837" s="25"/>
      <c r="E3837" s="10"/>
      <c r="O3837" s="10"/>
      <c r="V3837" s="10"/>
    </row>
    <row r="3838" spans="1:22" x14ac:dyDescent="0.2">
      <c r="A3838" s="27"/>
      <c r="B3838" s="25"/>
      <c r="E3838" s="10"/>
      <c r="O3838" s="10"/>
      <c r="V3838" s="10"/>
    </row>
    <row r="3839" spans="1:22" x14ac:dyDescent="0.2">
      <c r="A3839" s="27"/>
      <c r="B3839" s="25"/>
      <c r="E3839" s="10"/>
      <c r="O3839" s="10"/>
      <c r="V3839" s="10"/>
    </row>
    <row r="3840" spans="1:22" x14ac:dyDescent="0.2">
      <c r="A3840" s="27"/>
      <c r="B3840" s="25"/>
      <c r="E3840" s="10"/>
      <c r="O3840" s="10"/>
      <c r="V3840" s="10"/>
    </row>
    <row r="3841" spans="1:22" x14ac:dyDescent="0.2">
      <c r="A3841" s="27"/>
      <c r="B3841" s="25"/>
      <c r="E3841" s="10"/>
      <c r="O3841" s="10"/>
      <c r="V3841" s="10"/>
    </row>
    <row r="3842" spans="1:22" x14ac:dyDescent="0.2">
      <c r="A3842" s="27"/>
      <c r="B3842" s="25"/>
      <c r="E3842" s="10"/>
      <c r="O3842" s="10"/>
      <c r="V3842" s="10"/>
    </row>
    <row r="3843" spans="1:22" x14ac:dyDescent="0.2">
      <c r="A3843" s="27"/>
      <c r="B3843" s="25"/>
      <c r="E3843" s="10"/>
      <c r="O3843" s="10"/>
      <c r="V3843" s="10"/>
    </row>
    <row r="3844" spans="1:22" x14ac:dyDescent="0.2">
      <c r="A3844" s="27"/>
      <c r="B3844" s="25"/>
      <c r="E3844" s="10"/>
      <c r="O3844" s="10"/>
      <c r="V3844" s="10"/>
    </row>
    <row r="3845" spans="1:22" x14ac:dyDescent="0.2">
      <c r="A3845" s="27"/>
      <c r="B3845" s="25"/>
      <c r="E3845" s="10"/>
      <c r="O3845" s="10"/>
      <c r="V3845" s="10"/>
    </row>
    <row r="3846" spans="1:22" x14ac:dyDescent="0.2">
      <c r="A3846" s="27"/>
      <c r="B3846" s="25"/>
      <c r="E3846" s="10"/>
      <c r="O3846" s="10"/>
      <c r="V3846" s="10"/>
    </row>
    <row r="3847" spans="1:22" x14ac:dyDescent="0.2">
      <c r="A3847" s="27"/>
      <c r="B3847" s="25"/>
      <c r="E3847" s="10"/>
      <c r="O3847" s="10"/>
      <c r="V3847" s="10"/>
    </row>
    <row r="3848" spans="1:22" x14ac:dyDescent="0.2">
      <c r="A3848" s="27"/>
      <c r="B3848" s="25"/>
      <c r="E3848" s="10"/>
      <c r="O3848" s="10"/>
      <c r="V3848" s="10"/>
    </row>
    <row r="3849" spans="1:22" x14ac:dyDescent="0.2">
      <c r="A3849" s="27"/>
      <c r="B3849" s="25"/>
      <c r="E3849" s="10"/>
      <c r="O3849" s="10"/>
      <c r="V3849" s="10"/>
    </row>
    <row r="3850" spans="1:22" x14ac:dyDescent="0.2">
      <c r="A3850" s="27"/>
      <c r="B3850" s="25"/>
      <c r="E3850" s="10"/>
      <c r="O3850" s="10"/>
      <c r="V3850" s="10"/>
    </row>
    <row r="3851" spans="1:22" x14ac:dyDescent="0.2">
      <c r="A3851" s="27"/>
      <c r="B3851" s="25"/>
      <c r="E3851" s="10"/>
      <c r="O3851" s="10"/>
      <c r="V3851" s="10"/>
    </row>
    <row r="3852" spans="1:22" x14ac:dyDescent="0.2">
      <c r="A3852" s="27"/>
      <c r="B3852" s="25"/>
      <c r="E3852" s="10"/>
      <c r="O3852" s="10"/>
      <c r="V3852" s="10"/>
    </row>
    <row r="3853" spans="1:22" x14ac:dyDescent="0.2">
      <c r="A3853" s="27"/>
      <c r="B3853" s="25"/>
      <c r="E3853" s="10"/>
      <c r="O3853" s="10"/>
      <c r="V3853" s="10"/>
    </row>
    <row r="3854" spans="1:22" x14ac:dyDescent="0.2">
      <c r="A3854" s="27"/>
      <c r="B3854" s="25"/>
      <c r="E3854" s="10"/>
      <c r="O3854" s="10"/>
      <c r="V3854" s="10"/>
    </row>
    <row r="3855" spans="1:22" x14ac:dyDescent="0.2">
      <c r="A3855" s="27"/>
      <c r="B3855" s="25"/>
      <c r="E3855" s="10"/>
      <c r="O3855" s="10"/>
      <c r="V3855" s="10"/>
    </row>
    <row r="3856" spans="1:22" x14ac:dyDescent="0.2">
      <c r="A3856" s="27"/>
      <c r="B3856" s="25"/>
      <c r="E3856" s="10"/>
      <c r="O3856" s="10"/>
      <c r="V3856" s="10"/>
    </row>
    <row r="3857" spans="1:22" x14ac:dyDescent="0.2">
      <c r="A3857" s="27"/>
      <c r="B3857" s="25"/>
      <c r="E3857" s="10"/>
      <c r="O3857" s="10"/>
      <c r="V3857" s="10"/>
    </row>
    <row r="3858" spans="1:22" x14ac:dyDescent="0.2">
      <c r="A3858" s="27"/>
      <c r="B3858" s="25"/>
      <c r="E3858" s="10"/>
      <c r="O3858" s="10"/>
      <c r="V3858" s="10"/>
    </row>
    <row r="3859" spans="1:22" x14ac:dyDescent="0.2">
      <c r="A3859" s="27"/>
      <c r="B3859" s="25"/>
      <c r="E3859" s="10"/>
      <c r="O3859" s="10"/>
      <c r="V3859" s="10"/>
    </row>
    <row r="3860" spans="1:22" x14ac:dyDescent="0.2">
      <c r="A3860" s="27"/>
      <c r="B3860" s="25"/>
      <c r="E3860" s="10"/>
      <c r="O3860" s="10"/>
      <c r="V3860" s="10"/>
    </row>
    <row r="3861" spans="1:22" x14ac:dyDescent="0.2">
      <c r="A3861" s="27"/>
      <c r="B3861" s="25"/>
      <c r="E3861" s="10"/>
      <c r="O3861" s="10"/>
      <c r="V3861" s="10"/>
    </row>
    <row r="3862" spans="1:22" x14ac:dyDescent="0.2">
      <c r="A3862" s="27"/>
      <c r="B3862" s="25"/>
      <c r="E3862" s="10"/>
      <c r="O3862" s="10"/>
      <c r="V3862" s="10"/>
    </row>
    <row r="3863" spans="1:22" x14ac:dyDescent="0.2">
      <c r="A3863" s="27"/>
      <c r="B3863" s="25"/>
      <c r="E3863" s="10"/>
      <c r="O3863" s="10"/>
      <c r="V3863" s="10"/>
    </row>
    <row r="3864" spans="1:22" x14ac:dyDescent="0.2">
      <c r="A3864" s="27"/>
      <c r="B3864" s="25"/>
      <c r="E3864" s="10"/>
      <c r="O3864" s="10"/>
      <c r="V3864" s="10"/>
    </row>
    <row r="3865" spans="1:22" x14ac:dyDescent="0.2">
      <c r="A3865" s="27"/>
      <c r="B3865" s="25"/>
      <c r="E3865" s="10"/>
      <c r="O3865" s="10"/>
      <c r="V3865" s="10"/>
    </row>
    <row r="3866" spans="1:22" x14ac:dyDescent="0.2">
      <c r="A3866" s="27"/>
      <c r="B3866" s="25"/>
      <c r="E3866" s="10"/>
      <c r="O3866" s="10"/>
      <c r="V3866" s="10"/>
    </row>
    <row r="3867" spans="1:22" x14ac:dyDescent="0.2">
      <c r="A3867" s="27"/>
      <c r="B3867" s="25"/>
      <c r="E3867" s="10"/>
      <c r="O3867" s="10"/>
      <c r="V3867" s="10"/>
    </row>
    <row r="3868" spans="1:22" x14ac:dyDescent="0.2">
      <c r="A3868" s="27"/>
      <c r="B3868" s="25"/>
      <c r="E3868" s="10"/>
      <c r="O3868" s="10"/>
      <c r="V3868" s="10"/>
    </row>
    <row r="3869" spans="1:22" x14ac:dyDescent="0.2">
      <c r="A3869" s="27"/>
      <c r="B3869" s="25"/>
      <c r="E3869" s="10"/>
      <c r="O3869" s="10"/>
      <c r="V3869" s="10"/>
    </row>
    <row r="3870" spans="1:22" x14ac:dyDescent="0.2">
      <c r="A3870" s="27"/>
      <c r="B3870" s="25"/>
      <c r="E3870" s="10"/>
      <c r="O3870" s="10"/>
      <c r="V3870" s="10"/>
    </row>
    <row r="3871" spans="1:22" x14ac:dyDescent="0.2">
      <c r="A3871" s="27"/>
      <c r="B3871" s="25"/>
      <c r="E3871" s="10"/>
      <c r="O3871" s="10"/>
      <c r="V3871" s="10"/>
    </row>
    <row r="3872" spans="1:22" x14ac:dyDescent="0.2">
      <c r="A3872" s="27"/>
      <c r="B3872" s="25"/>
      <c r="E3872" s="10"/>
      <c r="O3872" s="10"/>
      <c r="V3872" s="10"/>
    </row>
    <row r="3873" spans="1:22" x14ac:dyDescent="0.2">
      <c r="A3873" s="27"/>
      <c r="B3873" s="25"/>
      <c r="E3873" s="10"/>
      <c r="O3873" s="10"/>
      <c r="V3873" s="10"/>
    </row>
    <row r="3874" spans="1:22" x14ac:dyDescent="0.2">
      <c r="A3874" s="27"/>
      <c r="B3874" s="25"/>
      <c r="E3874" s="10"/>
      <c r="O3874" s="10"/>
      <c r="V3874" s="10"/>
    </row>
    <row r="3875" spans="1:22" x14ac:dyDescent="0.2">
      <c r="A3875" s="27"/>
      <c r="B3875" s="25"/>
      <c r="E3875" s="10"/>
      <c r="O3875" s="10"/>
      <c r="V3875" s="10"/>
    </row>
    <row r="3876" spans="1:22" x14ac:dyDescent="0.2">
      <c r="A3876" s="27"/>
      <c r="B3876" s="25"/>
      <c r="E3876" s="10"/>
      <c r="O3876" s="10"/>
      <c r="V3876" s="10"/>
    </row>
    <row r="3877" spans="1:22" x14ac:dyDescent="0.2">
      <c r="A3877" s="27"/>
      <c r="B3877" s="25"/>
      <c r="E3877" s="10"/>
      <c r="O3877" s="10"/>
      <c r="V3877" s="10"/>
    </row>
    <row r="3878" spans="1:22" x14ac:dyDescent="0.2">
      <c r="A3878" s="27"/>
      <c r="B3878" s="25"/>
      <c r="E3878" s="10"/>
      <c r="O3878" s="10"/>
      <c r="V3878" s="10"/>
    </row>
    <row r="3879" spans="1:22" x14ac:dyDescent="0.2">
      <c r="A3879" s="27"/>
      <c r="B3879" s="25"/>
      <c r="E3879" s="10"/>
      <c r="O3879" s="10"/>
      <c r="V3879" s="10"/>
    </row>
    <row r="3880" spans="1:22" x14ac:dyDescent="0.2">
      <c r="A3880" s="27"/>
      <c r="B3880" s="25"/>
      <c r="E3880" s="10"/>
      <c r="O3880" s="10"/>
      <c r="V3880" s="10"/>
    </row>
    <row r="3881" spans="1:22" x14ac:dyDescent="0.2">
      <c r="A3881" s="27"/>
      <c r="B3881" s="25"/>
      <c r="E3881" s="10"/>
      <c r="O3881" s="10"/>
      <c r="V3881" s="10"/>
    </row>
    <row r="3882" spans="1:22" x14ac:dyDescent="0.2">
      <c r="A3882" s="27"/>
      <c r="B3882" s="25"/>
      <c r="E3882" s="10"/>
      <c r="O3882" s="10"/>
      <c r="V3882" s="10"/>
    </row>
    <row r="3883" spans="1:22" x14ac:dyDescent="0.2">
      <c r="A3883" s="27"/>
      <c r="B3883" s="25"/>
      <c r="E3883" s="10"/>
      <c r="O3883" s="10"/>
      <c r="V3883" s="10"/>
    </row>
    <row r="3884" spans="1:22" x14ac:dyDescent="0.2">
      <c r="A3884" s="27"/>
      <c r="B3884" s="25"/>
      <c r="E3884" s="10"/>
      <c r="O3884" s="10"/>
      <c r="V3884" s="10"/>
    </row>
    <row r="3885" spans="1:22" x14ac:dyDescent="0.2">
      <c r="A3885" s="27"/>
      <c r="B3885" s="25"/>
      <c r="E3885" s="10"/>
      <c r="O3885" s="10"/>
      <c r="V3885" s="10"/>
    </row>
    <row r="3886" spans="1:22" x14ac:dyDescent="0.2">
      <c r="A3886" s="27"/>
      <c r="B3886" s="25"/>
      <c r="E3886" s="10"/>
      <c r="O3886" s="10"/>
      <c r="V3886" s="10"/>
    </row>
    <row r="3887" spans="1:22" x14ac:dyDescent="0.2">
      <c r="A3887" s="27"/>
      <c r="B3887" s="25"/>
      <c r="E3887" s="10"/>
      <c r="O3887" s="10"/>
      <c r="V3887" s="10"/>
    </row>
    <row r="3888" spans="1:22" x14ac:dyDescent="0.2">
      <c r="A3888" s="27"/>
      <c r="B3888" s="25"/>
      <c r="E3888" s="10"/>
      <c r="O3888" s="10"/>
      <c r="V3888" s="10"/>
    </row>
    <row r="3889" spans="1:22" x14ac:dyDescent="0.2">
      <c r="A3889" s="27"/>
      <c r="B3889" s="25"/>
      <c r="E3889" s="10"/>
      <c r="O3889" s="10"/>
      <c r="V3889" s="10"/>
    </row>
    <row r="3890" spans="1:22" x14ac:dyDescent="0.2">
      <c r="A3890" s="27"/>
      <c r="B3890" s="25"/>
      <c r="E3890" s="10"/>
      <c r="O3890" s="10"/>
      <c r="V3890" s="10"/>
    </row>
    <row r="3891" spans="1:22" x14ac:dyDescent="0.2">
      <c r="A3891" s="27"/>
      <c r="B3891" s="25"/>
      <c r="E3891" s="10"/>
      <c r="O3891" s="10"/>
      <c r="V3891" s="10"/>
    </row>
    <row r="3892" spans="1:22" x14ac:dyDescent="0.2">
      <c r="A3892" s="27"/>
      <c r="B3892" s="25"/>
      <c r="E3892" s="10"/>
      <c r="O3892" s="10"/>
      <c r="V3892" s="10"/>
    </row>
    <row r="3893" spans="1:22" x14ac:dyDescent="0.2">
      <c r="A3893" s="27"/>
      <c r="B3893" s="25"/>
      <c r="E3893" s="10"/>
      <c r="O3893" s="10"/>
      <c r="V3893" s="10"/>
    </row>
    <row r="3894" spans="1:22" x14ac:dyDescent="0.2">
      <c r="A3894" s="27"/>
      <c r="B3894" s="25"/>
      <c r="E3894" s="10"/>
      <c r="O3894" s="10"/>
      <c r="V3894" s="10"/>
    </row>
    <row r="3895" spans="1:22" x14ac:dyDescent="0.2">
      <c r="A3895" s="27"/>
      <c r="B3895" s="25"/>
      <c r="E3895" s="10"/>
      <c r="O3895" s="10"/>
      <c r="V3895" s="10"/>
    </row>
    <row r="3896" spans="1:22" x14ac:dyDescent="0.2">
      <c r="A3896" s="27"/>
      <c r="B3896" s="25"/>
      <c r="E3896" s="10"/>
      <c r="O3896" s="10"/>
      <c r="V3896" s="10"/>
    </row>
    <row r="3897" spans="1:22" x14ac:dyDescent="0.2">
      <c r="A3897" s="27"/>
      <c r="B3897" s="25"/>
      <c r="E3897" s="10"/>
      <c r="O3897" s="10"/>
      <c r="V3897" s="10"/>
    </row>
    <row r="3898" spans="1:22" x14ac:dyDescent="0.2">
      <c r="A3898" s="27"/>
      <c r="B3898" s="25"/>
      <c r="E3898" s="10"/>
      <c r="O3898" s="10"/>
      <c r="V3898" s="10"/>
    </row>
    <row r="3899" spans="1:22" x14ac:dyDescent="0.2">
      <c r="A3899" s="27"/>
      <c r="B3899" s="25"/>
      <c r="E3899" s="10"/>
      <c r="O3899" s="10"/>
      <c r="V3899" s="10"/>
    </row>
    <row r="3900" spans="1:22" x14ac:dyDescent="0.2">
      <c r="A3900" s="27"/>
      <c r="B3900" s="25"/>
      <c r="E3900" s="10"/>
      <c r="O3900" s="10"/>
      <c r="V3900" s="10"/>
    </row>
    <row r="3901" spans="1:22" x14ac:dyDescent="0.2">
      <c r="A3901" s="27"/>
      <c r="B3901" s="25"/>
      <c r="E3901" s="10"/>
      <c r="O3901" s="10"/>
      <c r="V3901" s="10"/>
    </row>
    <row r="3902" spans="1:22" x14ac:dyDescent="0.2">
      <c r="A3902" s="27"/>
      <c r="B3902" s="25"/>
      <c r="E3902" s="10"/>
      <c r="O3902" s="10"/>
      <c r="V3902" s="10"/>
    </row>
    <row r="3903" spans="1:22" x14ac:dyDescent="0.2">
      <c r="A3903" s="27"/>
      <c r="B3903" s="25"/>
      <c r="E3903" s="10"/>
      <c r="O3903" s="10"/>
      <c r="V3903" s="10"/>
    </row>
    <row r="3904" spans="1:22" x14ac:dyDescent="0.2">
      <c r="A3904" s="27"/>
      <c r="B3904" s="25"/>
      <c r="E3904" s="10"/>
      <c r="O3904" s="10"/>
      <c r="V3904" s="10"/>
    </row>
    <row r="3905" spans="1:22" x14ac:dyDescent="0.2">
      <c r="A3905" s="27"/>
      <c r="B3905" s="25"/>
      <c r="E3905" s="10"/>
      <c r="O3905" s="10"/>
      <c r="V3905" s="10"/>
    </row>
    <row r="3906" spans="1:22" x14ac:dyDescent="0.2">
      <c r="A3906" s="27"/>
      <c r="B3906" s="25"/>
      <c r="E3906" s="10"/>
      <c r="O3906" s="10"/>
      <c r="V3906" s="10"/>
    </row>
    <row r="3907" spans="1:22" x14ac:dyDescent="0.2">
      <c r="A3907" s="27"/>
      <c r="B3907" s="25"/>
      <c r="E3907" s="10"/>
      <c r="O3907" s="10"/>
      <c r="V3907" s="10"/>
    </row>
    <row r="3908" spans="1:22" x14ac:dyDescent="0.2">
      <c r="A3908" s="27"/>
      <c r="B3908" s="25"/>
      <c r="E3908" s="10"/>
      <c r="O3908" s="10"/>
      <c r="V3908" s="10"/>
    </row>
    <row r="3909" spans="1:22" x14ac:dyDescent="0.2">
      <c r="A3909" s="27"/>
      <c r="B3909" s="25"/>
      <c r="E3909" s="10"/>
      <c r="O3909" s="10"/>
      <c r="V3909" s="10"/>
    </row>
    <row r="3910" spans="1:22" x14ac:dyDescent="0.2">
      <c r="A3910" s="27"/>
      <c r="B3910" s="25"/>
      <c r="E3910" s="10"/>
      <c r="O3910" s="10"/>
      <c r="V3910" s="10"/>
    </row>
    <row r="3911" spans="1:22" x14ac:dyDescent="0.2">
      <c r="A3911" s="27"/>
      <c r="B3911" s="25"/>
      <c r="E3911" s="10"/>
      <c r="O3911" s="10"/>
      <c r="V3911" s="10"/>
    </row>
    <row r="3912" spans="1:22" x14ac:dyDescent="0.2">
      <c r="A3912" s="27"/>
      <c r="B3912" s="25"/>
      <c r="E3912" s="10"/>
      <c r="O3912" s="10"/>
      <c r="V3912" s="10"/>
    </row>
    <row r="3913" spans="1:22" x14ac:dyDescent="0.2">
      <c r="A3913" s="27"/>
      <c r="B3913" s="25"/>
      <c r="E3913" s="10"/>
      <c r="O3913" s="10"/>
      <c r="V3913" s="10"/>
    </row>
    <row r="3914" spans="1:22" x14ac:dyDescent="0.2">
      <c r="A3914" s="27"/>
      <c r="B3914" s="25"/>
      <c r="E3914" s="10"/>
      <c r="O3914" s="10"/>
      <c r="V3914" s="10"/>
    </row>
    <row r="3915" spans="1:22" x14ac:dyDescent="0.2">
      <c r="A3915" s="27"/>
      <c r="B3915" s="25"/>
      <c r="E3915" s="10"/>
      <c r="O3915" s="10"/>
      <c r="V3915" s="10"/>
    </row>
    <row r="3916" spans="1:22" x14ac:dyDescent="0.2">
      <c r="A3916" s="27"/>
      <c r="B3916" s="25"/>
      <c r="E3916" s="10"/>
      <c r="O3916" s="10"/>
      <c r="V3916" s="10"/>
    </row>
    <row r="3917" spans="1:22" x14ac:dyDescent="0.2">
      <c r="A3917" s="27"/>
      <c r="B3917" s="25"/>
      <c r="E3917" s="10"/>
      <c r="O3917" s="10"/>
      <c r="V3917" s="10"/>
    </row>
    <row r="3918" spans="1:22" x14ac:dyDescent="0.2">
      <c r="A3918" s="27"/>
      <c r="B3918" s="25"/>
      <c r="E3918" s="10"/>
      <c r="O3918" s="10"/>
      <c r="V3918" s="10"/>
    </row>
    <row r="3919" spans="1:22" x14ac:dyDescent="0.2">
      <c r="A3919" s="27"/>
      <c r="B3919" s="25"/>
      <c r="E3919" s="10"/>
      <c r="O3919" s="10"/>
      <c r="V3919" s="10"/>
    </row>
    <row r="3920" spans="1:22" x14ac:dyDescent="0.2">
      <c r="A3920" s="27"/>
      <c r="B3920" s="25"/>
      <c r="E3920" s="10"/>
      <c r="O3920" s="10"/>
      <c r="V3920" s="10"/>
    </row>
    <row r="3921" spans="1:22" x14ac:dyDescent="0.2">
      <c r="A3921" s="27"/>
      <c r="B3921" s="25"/>
      <c r="E3921" s="10"/>
      <c r="O3921" s="10"/>
      <c r="V3921" s="10"/>
    </row>
    <row r="3922" spans="1:22" x14ac:dyDescent="0.2">
      <c r="A3922" s="27"/>
      <c r="B3922" s="25"/>
      <c r="E3922" s="10"/>
      <c r="O3922" s="10"/>
      <c r="V3922" s="10"/>
    </row>
    <row r="3923" spans="1:22" x14ac:dyDescent="0.2">
      <c r="A3923" s="27"/>
      <c r="B3923" s="25"/>
      <c r="E3923" s="10"/>
      <c r="O3923" s="10"/>
      <c r="V3923" s="10"/>
    </row>
    <row r="3924" spans="1:22" x14ac:dyDescent="0.2">
      <c r="A3924" s="27"/>
      <c r="B3924" s="25"/>
      <c r="E3924" s="10"/>
      <c r="O3924" s="10"/>
      <c r="V3924" s="10"/>
    </row>
    <row r="3925" spans="1:22" x14ac:dyDescent="0.2">
      <c r="A3925" s="27"/>
      <c r="B3925" s="25"/>
      <c r="E3925" s="10"/>
      <c r="O3925" s="10"/>
      <c r="V3925" s="10"/>
    </row>
    <row r="3926" spans="1:22" x14ac:dyDescent="0.2">
      <c r="A3926" s="27"/>
      <c r="B3926" s="25"/>
      <c r="E3926" s="10"/>
      <c r="O3926" s="10"/>
      <c r="V3926" s="10"/>
    </row>
    <row r="3927" spans="1:22" x14ac:dyDescent="0.2">
      <c r="A3927" s="27"/>
      <c r="B3927" s="25"/>
      <c r="E3927" s="10"/>
      <c r="O3927" s="10"/>
      <c r="V3927" s="10"/>
    </row>
    <row r="3928" spans="1:22" x14ac:dyDescent="0.2">
      <c r="A3928" s="27"/>
      <c r="B3928" s="25"/>
      <c r="E3928" s="10"/>
      <c r="O3928" s="10"/>
      <c r="V3928" s="10"/>
    </row>
    <row r="3929" spans="1:22" x14ac:dyDescent="0.2">
      <c r="A3929" s="27"/>
      <c r="B3929" s="25"/>
      <c r="E3929" s="10"/>
      <c r="O3929" s="10"/>
      <c r="V3929" s="10"/>
    </row>
    <row r="3930" spans="1:22" x14ac:dyDescent="0.2">
      <c r="A3930" s="27"/>
      <c r="B3930" s="25"/>
      <c r="E3930" s="10"/>
      <c r="O3930" s="10"/>
      <c r="V3930" s="10"/>
    </row>
    <row r="3931" spans="1:22" x14ac:dyDescent="0.2">
      <c r="A3931" s="27"/>
      <c r="B3931" s="25"/>
      <c r="E3931" s="10"/>
      <c r="O3931" s="10"/>
      <c r="V3931" s="10"/>
    </row>
    <row r="3932" spans="1:22" x14ac:dyDescent="0.2">
      <c r="A3932" s="27"/>
      <c r="B3932" s="25"/>
      <c r="E3932" s="10"/>
      <c r="O3932" s="10"/>
      <c r="V3932" s="10"/>
    </row>
    <row r="3933" spans="1:22" x14ac:dyDescent="0.2">
      <c r="A3933" s="27"/>
      <c r="B3933" s="25"/>
      <c r="E3933" s="10"/>
      <c r="O3933" s="10"/>
      <c r="V3933" s="10"/>
    </row>
    <row r="3934" spans="1:22" x14ac:dyDescent="0.2">
      <c r="A3934" s="27"/>
      <c r="B3934" s="25"/>
      <c r="E3934" s="10"/>
      <c r="O3934" s="10"/>
      <c r="V3934" s="10"/>
    </row>
    <row r="3935" spans="1:22" x14ac:dyDescent="0.2">
      <c r="A3935" s="27"/>
      <c r="B3935" s="25"/>
      <c r="E3935" s="10"/>
      <c r="O3935" s="10"/>
      <c r="V3935" s="10"/>
    </row>
    <row r="3936" spans="1:22" x14ac:dyDescent="0.2">
      <c r="A3936" s="27"/>
      <c r="B3936" s="25"/>
      <c r="E3936" s="10"/>
      <c r="O3936" s="10"/>
      <c r="V3936" s="10"/>
    </row>
    <row r="3937" spans="1:22" x14ac:dyDescent="0.2">
      <c r="A3937" s="27"/>
      <c r="B3937" s="25"/>
      <c r="E3937" s="10"/>
      <c r="O3937" s="10"/>
      <c r="V3937" s="10"/>
    </row>
    <row r="3938" spans="1:22" x14ac:dyDescent="0.2">
      <c r="A3938" s="27"/>
      <c r="B3938" s="25"/>
      <c r="E3938" s="10"/>
      <c r="O3938" s="10"/>
      <c r="V3938" s="10"/>
    </row>
    <row r="3939" spans="1:22" x14ac:dyDescent="0.2">
      <c r="A3939" s="27"/>
      <c r="B3939" s="25"/>
      <c r="E3939" s="10"/>
      <c r="O3939" s="10"/>
      <c r="V3939" s="10"/>
    </row>
    <row r="3940" spans="1:22" x14ac:dyDescent="0.2">
      <c r="A3940" s="27"/>
      <c r="B3940" s="25"/>
      <c r="E3940" s="10"/>
      <c r="O3940" s="10"/>
      <c r="V3940" s="10"/>
    </row>
    <row r="3941" spans="1:22" x14ac:dyDescent="0.2">
      <c r="A3941" s="27"/>
      <c r="B3941" s="25"/>
      <c r="E3941" s="10"/>
      <c r="O3941" s="10"/>
      <c r="V3941" s="10"/>
    </row>
    <row r="3942" spans="1:22" x14ac:dyDescent="0.2">
      <c r="A3942" s="27"/>
      <c r="B3942" s="25"/>
      <c r="E3942" s="10"/>
      <c r="O3942" s="10"/>
      <c r="V3942" s="10"/>
    </row>
    <row r="3943" spans="1:22" x14ac:dyDescent="0.2">
      <c r="A3943" s="27"/>
      <c r="B3943" s="25"/>
      <c r="E3943" s="10"/>
      <c r="O3943" s="10"/>
      <c r="V3943" s="10"/>
    </row>
    <row r="3944" spans="1:22" x14ac:dyDescent="0.2">
      <c r="A3944" s="27"/>
      <c r="B3944" s="25"/>
      <c r="E3944" s="10"/>
      <c r="O3944" s="10"/>
      <c r="V3944" s="10"/>
    </row>
    <row r="3945" spans="1:22" x14ac:dyDescent="0.2">
      <c r="A3945" s="27"/>
      <c r="B3945" s="25"/>
      <c r="E3945" s="10"/>
      <c r="O3945" s="10"/>
      <c r="V3945" s="10"/>
    </row>
    <row r="3946" spans="1:22" x14ac:dyDescent="0.2">
      <c r="A3946" s="27"/>
      <c r="B3946" s="25"/>
      <c r="E3946" s="10"/>
      <c r="O3946" s="10"/>
      <c r="V3946" s="10"/>
    </row>
    <row r="3947" spans="1:22" x14ac:dyDescent="0.2">
      <c r="A3947" s="27"/>
      <c r="B3947" s="25"/>
      <c r="E3947" s="10"/>
      <c r="O3947" s="10"/>
      <c r="V3947" s="10"/>
    </row>
    <row r="3948" spans="1:22" x14ac:dyDescent="0.2">
      <c r="A3948" s="27"/>
      <c r="B3948" s="25"/>
      <c r="E3948" s="10"/>
      <c r="O3948" s="10"/>
      <c r="V3948" s="10"/>
    </row>
    <row r="3949" spans="1:22" x14ac:dyDescent="0.2">
      <c r="A3949" s="27"/>
      <c r="B3949" s="25"/>
      <c r="E3949" s="10"/>
      <c r="O3949" s="10"/>
      <c r="V3949" s="10"/>
    </row>
    <row r="3950" spans="1:22" x14ac:dyDescent="0.2">
      <c r="A3950" s="27"/>
      <c r="B3950" s="25"/>
      <c r="E3950" s="10"/>
      <c r="O3950" s="10"/>
      <c r="V3950" s="10"/>
    </row>
    <row r="3951" spans="1:22" x14ac:dyDescent="0.2">
      <c r="A3951" s="27"/>
      <c r="B3951" s="25"/>
      <c r="E3951" s="10"/>
      <c r="O3951" s="10"/>
      <c r="V3951" s="10"/>
    </row>
    <row r="3952" spans="1:22" x14ac:dyDescent="0.2">
      <c r="A3952" s="27"/>
      <c r="B3952" s="25"/>
      <c r="E3952" s="10"/>
      <c r="O3952" s="10"/>
      <c r="V3952" s="10"/>
    </row>
    <row r="3953" spans="1:22" x14ac:dyDescent="0.2">
      <c r="A3953" s="27"/>
      <c r="B3953" s="25"/>
      <c r="E3953" s="10"/>
      <c r="O3953" s="10"/>
      <c r="V3953" s="10"/>
    </row>
    <row r="3954" spans="1:22" x14ac:dyDescent="0.2">
      <c r="A3954" s="27"/>
      <c r="B3954" s="25"/>
      <c r="E3954" s="10"/>
      <c r="O3954" s="10"/>
      <c r="V3954" s="10"/>
    </row>
    <row r="3955" spans="1:22" x14ac:dyDescent="0.2">
      <c r="A3955" s="27"/>
      <c r="B3955" s="25"/>
      <c r="E3955" s="10"/>
      <c r="O3955" s="10"/>
      <c r="V3955" s="10"/>
    </row>
    <row r="3956" spans="1:22" x14ac:dyDescent="0.2">
      <c r="A3956" s="27"/>
      <c r="B3956" s="25"/>
      <c r="E3956" s="10"/>
      <c r="O3956" s="10"/>
      <c r="V3956" s="10"/>
    </row>
    <row r="3957" spans="1:22" x14ac:dyDescent="0.2">
      <c r="A3957" s="27"/>
      <c r="B3957" s="25"/>
      <c r="E3957" s="10"/>
      <c r="O3957" s="10"/>
      <c r="V3957" s="10"/>
    </row>
    <row r="3958" spans="1:22" x14ac:dyDescent="0.2">
      <c r="A3958" s="27"/>
      <c r="B3958" s="25"/>
      <c r="E3958" s="10"/>
      <c r="O3958" s="10"/>
      <c r="V3958" s="10"/>
    </row>
    <row r="3959" spans="1:22" x14ac:dyDescent="0.2">
      <c r="A3959" s="27"/>
      <c r="B3959" s="25"/>
      <c r="E3959" s="10"/>
      <c r="O3959" s="10"/>
      <c r="V3959" s="10"/>
    </row>
    <row r="3960" spans="1:22" x14ac:dyDescent="0.2">
      <c r="A3960" s="27"/>
      <c r="B3960" s="25"/>
      <c r="E3960" s="10"/>
      <c r="O3960" s="10"/>
      <c r="V3960" s="10"/>
    </row>
    <row r="3961" spans="1:22" x14ac:dyDescent="0.2">
      <c r="A3961" s="27"/>
      <c r="B3961" s="25"/>
      <c r="E3961" s="10"/>
      <c r="O3961" s="10"/>
      <c r="V3961" s="10"/>
    </row>
    <row r="3962" spans="1:22" x14ac:dyDescent="0.2">
      <c r="A3962" s="27"/>
      <c r="B3962" s="25"/>
      <c r="E3962" s="10"/>
      <c r="O3962" s="10"/>
      <c r="V3962" s="10"/>
    </row>
    <row r="3963" spans="1:22" x14ac:dyDescent="0.2">
      <c r="A3963" s="27"/>
      <c r="B3963" s="25"/>
      <c r="E3963" s="10"/>
      <c r="O3963" s="10"/>
      <c r="V3963" s="10"/>
    </row>
    <row r="3964" spans="1:22" x14ac:dyDescent="0.2">
      <c r="A3964" s="27"/>
      <c r="B3964" s="25"/>
      <c r="E3964" s="10"/>
      <c r="O3964" s="10"/>
      <c r="V3964" s="10"/>
    </row>
    <row r="3965" spans="1:22" x14ac:dyDescent="0.2">
      <c r="A3965" s="27"/>
      <c r="B3965" s="25"/>
      <c r="E3965" s="10"/>
      <c r="O3965" s="10"/>
      <c r="V3965" s="10"/>
    </row>
    <row r="3966" spans="1:22" x14ac:dyDescent="0.2">
      <c r="A3966" s="27"/>
      <c r="B3966" s="25"/>
      <c r="E3966" s="10"/>
      <c r="O3966" s="10"/>
      <c r="V3966" s="10"/>
    </row>
    <row r="3967" spans="1:22" x14ac:dyDescent="0.2">
      <c r="A3967" s="27"/>
      <c r="B3967" s="25"/>
      <c r="E3967" s="10"/>
      <c r="O3967" s="10"/>
      <c r="V3967" s="10"/>
    </row>
    <row r="3968" spans="1:22" x14ac:dyDescent="0.2">
      <c r="A3968" s="27"/>
      <c r="B3968" s="25"/>
      <c r="E3968" s="10"/>
      <c r="O3968" s="10"/>
      <c r="V3968" s="10"/>
    </row>
    <row r="3969" spans="1:22" x14ac:dyDescent="0.2">
      <c r="A3969" s="27"/>
      <c r="B3969" s="25"/>
      <c r="E3969" s="10"/>
      <c r="O3969" s="10"/>
      <c r="V3969" s="10"/>
    </row>
    <row r="3970" spans="1:22" x14ac:dyDescent="0.2">
      <c r="A3970" s="27"/>
      <c r="B3970" s="25"/>
      <c r="E3970" s="10"/>
      <c r="O3970" s="10"/>
      <c r="V3970" s="10"/>
    </row>
    <row r="3971" spans="1:22" x14ac:dyDescent="0.2">
      <c r="A3971" s="27"/>
      <c r="B3971" s="25"/>
      <c r="E3971" s="10"/>
      <c r="O3971" s="10"/>
      <c r="V3971" s="10"/>
    </row>
    <row r="3972" spans="1:22" x14ac:dyDescent="0.2">
      <c r="A3972" s="27"/>
      <c r="B3972" s="25"/>
      <c r="E3972" s="10"/>
      <c r="O3972" s="10"/>
      <c r="V3972" s="10"/>
    </row>
    <row r="3973" spans="1:22" x14ac:dyDescent="0.2">
      <c r="A3973" s="27"/>
      <c r="B3973" s="25"/>
      <c r="E3973" s="10"/>
      <c r="O3973" s="10"/>
      <c r="V3973" s="10"/>
    </row>
    <row r="3974" spans="1:22" x14ac:dyDescent="0.2">
      <c r="A3974" s="27"/>
      <c r="B3974" s="25"/>
      <c r="E3974" s="10"/>
      <c r="O3974" s="10"/>
      <c r="V3974" s="10"/>
    </row>
    <row r="3975" spans="1:22" x14ac:dyDescent="0.2">
      <c r="A3975" s="27"/>
      <c r="B3975" s="25"/>
      <c r="E3975" s="10"/>
      <c r="O3975" s="10"/>
      <c r="V3975" s="10"/>
    </row>
    <row r="3976" spans="1:22" x14ac:dyDescent="0.2">
      <c r="A3976" s="27"/>
      <c r="B3976" s="25"/>
      <c r="E3976" s="10"/>
      <c r="O3976" s="10"/>
      <c r="V3976" s="10"/>
    </row>
    <row r="3977" spans="1:22" x14ac:dyDescent="0.2">
      <c r="A3977" s="27"/>
      <c r="B3977" s="25"/>
      <c r="E3977" s="10"/>
      <c r="O3977" s="10"/>
      <c r="V3977" s="10"/>
    </row>
    <row r="3978" spans="1:22" x14ac:dyDescent="0.2">
      <c r="A3978" s="27"/>
      <c r="B3978" s="25"/>
      <c r="E3978" s="10"/>
      <c r="O3978" s="10"/>
      <c r="V3978" s="10"/>
    </row>
    <row r="3979" spans="1:22" x14ac:dyDescent="0.2">
      <c r="A3979" s="27"/>
      <c r="B3979" s="25"/>
      <c r="E3979" s="10"/>
      <c r="O3979" s="10"/>
      <c r="V3979" s="10"/>
    </row>
    <row r="3980" spans="1:22" x14ac:dyDescent="0.2">
      <c r="A3980" s="27"/>
      <c r="B3980" s="25"/>
      <c r="E3980" s="10"/>
      <c r="O3980" s="10"/>
      <c r="V3980" s="10"/>
    </row>
    <row r="3981" spans="1:22" x14ac:dyDescent="0.2">
      <c r="A3981" s="27"/>
      <c r="B3981" s="25"/>
      <c r="E3981" s="10"/>
      <c r="O3981" s="10"/>
      <c r="V3981" s="10"/>
    </row>
    <row r="3982" spans="1:22" x14ac:dyDescent="0.2">
      <c r="A3982" s="27"/>
      <c r="B3982" s="25"/>
      <c r="E3982" s="10"/>
      <c r="O3982" s="10"/>
      <c r="V3982" s="10"/>
    </row>
    <row r="3983" spans="1:22" x14ac:dyDescent="0.2">
      <c r="A3983" s="27"/>
      <c r="B3983" s="25"/>
      <c r="E3983" s="10"/>
      <c r="O3983" s="10"/>
      <c r="V3983" s="10"/>
    </row>
    <row r="3984" spans="1:22" x14ac:dyDescent="0.2">
      <c r="A3984" s="27"/>
      <c r="B3984" s="25"/>
      <c r="E3984" s="10"/>
      <c r="O3984" s="10"/>
      <c r="V3984" s="10"/>
    </row>
    <row r="3985" spans="1:22" x14ac:dyDescent="0.2">
      <c r="A3985" s="27"/>
      <c r="B3985" s="25"/>
      <c r="E3985" s="10"/>
      <c r="O3985" s="10"/>
      <c r="V3985" s="10"/>
    </row>
    <row r="3986" spans="1:22" x14ac:dyDescent="0.2">
      <c r="A3986" s="27"/>
      <c r="B3986" s="25"/>
      <c r="E3986" s="10"/>
      <c r="O3986" s="10"/>
      <c r="V3986" s="10"/>
    </row>
    <row r="3987" spans="1:22" x14ac:dyDescent="0.2">
      <c r="A3987" s="27"/>
      <c r="B3987" s="25"/>
      <c r="E3987" s="10"/>
      <c r="O3987" s="10"/>
      <c r="V3987" s="10"/>
    </row>
    <row r="3988" spans="1:22" x14ac:dyDescent="0.2">
      <c r="A3988" s="27"/>
      <c r="B3988" s="25"/>
      <c r="E3988" s="10"/>
      <c r="O3988" s="10"/>
      <c r="V3988" s="10"/>
    </row>
    <row r="3989" spans="1:22" x14ac:dyDescent="0.2">
      <c r="A3989" s="27"/>
      <c r="B3989" s="25"/>
      <c r="E3989" s="10"/>
      <c r="O3989" s="10"/>
      <c r="V3989" s="10"/>
    </row>
    <row r="3990" spans="1:22" x14ac:dyDescent="0.2">
      <c r="A3990" s="27"/>
      <c r="B3990" s="25"/>
      <c r="E3990" s="10"/>
      <c r="O3990" s="10"/>
      <c r="V3990" s="10"/>
    </row>
    <row r="3991" spans="1:22" x14ac:dyDescent="0.2">
      <c r="A3991" s="27"/>
      <c r="B3991" s="25"/>
      <c r="E3991" s="10"/>
      <c r="O3991" s="10"/>
      <c r="V3991" s="10"/>
    </row>
    <row r="3992" spans="1:22" x14ac:dyDescent="0.2">
      <c r="A3992" s="27"/>
      <c r="B3992" s="25"/>
      <c r="E3992" s="10"/>
      <c r="O3992" s="10"/>
      <c r="V3992" s="10"/>
    </row>
    <row r="3993" spans="1:22" x14ac:dyDescent="0.2">
      <c r="A3993" s="27"/>
      <c r="B3993" s="25"/>
      <c r="E3993" s="10"/>
      <c r="O3993" s="10"/>
      <c r="V3993" s="10"/>
    </row>
    <row r="3994" spans="1:22" x14ac:dyDescent="0.2">
      <c r="A3994" s="27"/>
      <c r="B3994" s="25"/>
      <c r="E3994" s="10"/>
      <c r="O3994" s="10"/>
      <c r="V3994" s="10"/>
    </row>
    <row r="3995" spans="1:22" x14ac:dyDescent="0.2">
      <c r="A3995" s="27"/>
      <c r="B3995" s="25"/>
      <c r="E3995" s="10"/>
      <c r="O3995" s="10"/>
      <c r="V3995" s="10"/>
    </row>
    <row r="3996" spans="1:22" x14ac:dyDescent="0.2">
      <c r="A3996" s="27"/>
      <c r="B3996" s="25"/>
      <c r="E3996" s="10"/>
      <c r="O3996" s="10"/>
      <c r="V3996" s="10"/>
    </row>
    <row r="3997" spans="1:22" x14ac:dyDescent="0.2">
      <c r="A3997" s="27"/>
      <c r="B3997" s="25"/>
      <c r="E3997" s="10"/>
      <c r="O3997" s="10"/>
      <c r="V3997" s="10"/>
    </row>
    <row r="3998" spans="1:22" x14ac:dyDescent="0.2">
      <c r="A3998" s="27"/>
      <c r="B3998" s="25"/>
      <c r="E3998" s="10"/>
      <c r="O3998" s="10"/>
      <c r="V3998" s="10"/>
    </row>
    <row r="3999" spans="1:22" x14ac:dyDescent="0.2">
      <c r="A3999" s="27"/>
      <c r="B3999" s="25"/>
      <c r="E3999" s="10"/>
      <c r="O3999" s="10"/>
      <c r="V3999" s="10"/>
    </row>
    <row r="4000" spans="1:22" x14ac:dyDescent="0.2">
      <c r="A4000" s="27"/>
      <c r="B4000" s="25"/>
      <c r="E4000" s="10"/>
      <c r="O4000" s="10"/>
      <c r="V4000" s="10"/>
    </row>
    <row r="4001" spans="1:22" x14ac:dyDescent="0.2">
      <c r="A4001" s="27"/>
      <c r="B4001" s="25"/>
      <c r="E4001" s="10"/>
      <c r="O4001" s="10"/>
      <c r="V4001" s="10"/>
    </row>
    <row r="4002" spans="1:22" x14ac:dyDescent="0.2">
      <c r="A4002" s="27"/>
      <c r="B4002" s="25"/>
      <c r="E4002" s="10"/>
      <c r="O4002" s="10"/>
      <c r="V4002" s="10"/>
    </row>
    <row r="4003" spans="1:22" x14ac:dyDescent="0.2">
      <c r="A4003" s="27"/>
      <c r="B4003" s="25"/>
      <c r="E4003" s="10"/>
      <c r="O4003" s="10"/>
      <c r="V4003" s="10"/>
    </row>
    <row r="4004" spans="1:22" x14ac:dyDescent="0.2">
      <c r="A4004" s="27"/>
      <c r="B4004" s="25"/>
      <c r="E4004" s="10"/>
      <c r="O4004" s="10"/>
      <c r="V4004" s="10"/>
    </row>
    <row r="4005" spans="1:22" x14ac:dyDescent="0.2">
      <c r="A4005" s="27"/>
      <c r="B4005" s="25"/>
      <c r="E4005" s="10"/>
      <c r="O4005" s="10"/>
      <c r="V4005" s="10"/>
    </row>
    <row r="4006" spans="1:22" x14ac:dyDescent="0.2">
      <c r="A4006" s="27"/>
      <c r="B4006" s="25"/>
      <c r="E4006" s="10"/>
      <c r="O4006" s="10"/>
      <c r="V4006" s="10"/>
    </row>
    <row r="4007" spans="1:22" x14ac:dyDescent="0.2">
      <c r="A4007" s="27"/>
      <c r="B4007" s="25"/>
      <c r="E4007" s="10"/>
      <c r="O4007" s="10"/>
      <c r="V4007" s="10"/>
    </row>
    <row r="4008" spans="1:22" x14ac:dyDescent="0.2">
      <c r="A4008" s="27"/>
      <c r="B4008" s="25"/>
      <c r="E4008" s="10"/>
      <c r="O4008" s="10"/>
      <c r="V4008" s="10"/>
    </row>
    <row r="4009" spans="1:22" x14ac:dyDescent="0.2">
      <c r="A4009" s="27"/>
      <c r="B4009" s="25"/>
      <c r="E4009" s="10"/>
      <c r="O4009" s="10"/>
      <c r="V4009" s="10"/>
    </row>
    <row r="4010" spans="1:22" x14ac:dyDescent="0.2">
      <c r="A4010" s="27"/>
      <c r="B4010" s="25"/>
      <c r="E4010" s="10"/>
      <c r="O4010" s="10"/>
      <c r="V4010" s="10"/>
    </row>
    <row r="4011" spans="1:22" x14ac:dyDescent="0.2">
      <c r="A4011" s="27"/>
      <c r="B4011" s="25"/>
      <c r="E4011" s="10"/>
      <c r="O4011" s="10"/>
      <c r="V4011" s="10"/>
    </row>
    <row r="4012" spans="1:22" x14ac:dyDescent="0.2">
      <c r="A4012" s="27"/>
      <c r="B4012" s="25"/>
      <c r="E4012" s="10"/>
      <c r="O4012" s="10"/>
      <c r="V4012" s="10"/>
    </row>
    <row r="4013" spans="1:22" x14ac:dyDescent="0.2">
      <c r="A4013" s="27"/>
      <c r="B4013" s="25"/>
      <c r="E4013" s="10"/>
      <c r="O4013" s="10"/>
      <c r="V4013" s="10"/>
    </row>
    <row r="4014" spans="1:22" x14ac:dyDescent="0.2">
      <c r="A4014" s="27"/>
      <c r="B4014" s="25"/>
      <c r="E4014" s="10"/>
      <c r="O4014" s="10"/>
      <c r="V4014" s="10"/>
    </row>
    <row r="4015" spans="1:22" x14ac:dyDescent="0.2">
      <c r="A4015" s="27"/>
      <c r="B4015" s="25"/>
      <c r="E4015" s="10"/>
      <c r="O4015" s="10"/>
      <c r="V4015" s="10"/>
    </row>
    <row r="4016" spans="1:22" x14ac:dyDescent="0.2">
      <c r="A4016" s="27"/>
      <c r="B4016" s="25"/>
      <c r="E4016" s="10"/>
      <c r="O4016" s="10"/>
      <c r="V4016" s="10"/>
    </row>
    <row r="4017" spans="1:22" x14ac:dyDescent="0.2">
      <c r="A4017" s="27"/>
      <c r="B4017" s="25"/>
      <c r="E4017" s="10"/>
      <c r="O4017" s="10"/>
      <c r="V4017" s="10"/>
    </row>
    <row r="4018" spans="1:22" x14ac:dyDescent="0.2">
      <c r="A4018" s="27"/>
      <c r="B4018" s="25"/>
      <c r="E4018" s="10"/>
      <c r="O4018" s="10"/>
      <c r="V4018" s="10"/>
    </row>
    <row r="4019" spans="1:22" x14ac:dyDescent="0.2">
      <c r="A4019" s="27"/>
      <c r="B4019" s="25"/>
      <c r="E4019" s="10"/>
      <c r="O4019" s="10"/>
      <c r="V4019" s="10"/>
    </row>
    <row r="4020" spans="1:22" x14ac:dyDescent="0.2">
      <c r="A4020" s="27"/>
      <c r="B4020" s="25"/>
      <c r="E4020" s="10"/>
      <c r="O4020" s="10"/>
      <c r="V4020" s="10"/>
    </row>
    <row r="4021" spans="1:22" x14ac:dyDescent="0.2">
      <c r="A4021" s="27"/>
      <c r="B4021" s="25"/>
      <c r="E4021" s="10"/>
      <c r="O4021" s="10"/>
      <c r="V4021" s="10"/>
    </row>
    <row r="4022" spans="1:22" x14ac:dyDescent="0.2">
      <c r="A4022" s="27"/>
      <c r="B4022" s="25"/>
      <c r="E4022" s="10"/>
      <c r="O4022" s="10"/>
      <c r="V4022" s="10"/>
    </row>
    <row r="4023" spans="1:22" x14ac:dyDescent="0.2">
      <c r="A4023" s="27"/>
      <c r="B4023" s="25"/>
      <c r="E4023" s="10"/>
      <c r="O4023" s="10"/>
      <c r="V4023" s="10"/>
    </row>
    <row r="4024" spans="1:22" x14ac:dyDescent="0.2">
      <c r="A4024" s="27"/>
      <c r="B4024" s="25"/>
      <c r="E4024" s="10"/>
      <c r="O4024" s="10"/>
      <c r="V4024" s="10"/>
    </row>
    <row r="4025" spans="1:22" x14ac:dyDescent="0.2">
      <c r="A4025" s="27"/>
      <c r="B4025" s="25"/>
      <c r="E4025" s="10"/>
      <c r="O4025" s="10"/>
      <c r="V4025" s="10"/>
    </row>
    <row r="4026" spans="1:22" x14ac:dyDescent="0.2">
      <c r="A4026" s="27"/>
      <c r="B4026" s="25"/>
      <c r="E4026" s="10"/>
      <c r="O4026" s="10"/>
      <c r="V4026" s="10"/>
    </row>
    <row r="4027" spans="1:22" x14ac:dyDescent="0.2">
      <c r="A4027" s="27"/>
      <c r="B4027" s="25"/>
      <c r="E4027" s="10"/>
      <c r="O4027" s="10"/>
      <c r="V4027" s="10"/>
    </row>
    <row r="4028" spans="1:22" x14ac:dyDescent="0.2">
      <c r="A4028" s="27"/>
      <c r="B4028" s="25"/>
      <c r="E4028" s="10"/>
      <c r="O4028" s="10"/>
      <c r="V4028" s="10"/>
    </row>
    <row r="4029" spans="1:22" x14ac:dyDescent="0.2">
      <c r="A4029" s="27"/>
      <c r="B4029" s="25"/>
      <c r="E4029" s="10"/>
      <c r="O4029" s="10"/>
      <c r="V4029" s="10"/>
    </row>
    <row r="4030" spans="1:22" x14ac:dyDescent="0.2">
      <c r="A4030" s="27"/>
      <c r="B4030" s="25"/>
      <c r="E4030" s="10"/>
      <c r="O4030" s="10"/>
      <c r="V4030" s="10"/>
    </row>
    <row r="4031" spans="1:22" x14ac:dyDescent="0.2">
      <c r="A4031" s="27"/>
      <c r="B4031" s="25"/>
      <c r="E4031" s="10"/>
      <c r="O4031" s="10"/>
      <c r="V4031" s="10"/>
    </row>
    <row r="4032" spans="1:22" x14ac:dyDescent="0.2">
      <c r="A4032" s="27"/>
      <c r="B4032" s="25"/>
      <c r="E4032" s="10"/>
      <c r="O4032" s="10"/>
      <c r="V4032" s="10"/>
    </row>
    <row r="4033" spans="1:22" x14ac:dyDescent="0.2">
      <c r="A4033" s="27"/>
      <c r="B4033" s="25"/>
      <c r="E4033" s="10"/>
      <c r="O4033" s="10"/>
      <c r="V4033" s="10"/>
    </row>
    <row r="4034" spans="1:22" x14ac:dyDescent="0.2">
      <c r="A4034" s="27"/>
      <c r="B4034" s="25"/>
      <c r="E4034" s="10"/>
      <c r="O4034" s="10"/>
      <c r="V4034" s="10"/>
    </row>
    <row r="4035" spans="1:22" x14ac:dyDescent="0.2">
      <c r="A4035" s="27"/>
      <c r="B4035" s="25"/>
      <c r="E4035" s="10"/>
      <c r="O4035" s="10"/>
      <c r="V4035" s="10"/>
    </row>
    <row r="4036" spans="1:22" x14ac:dyDescent="0.2">
      <c r="A4036" s="27"/>
      <c r="B4036" s="25"/>
      <c r="E4036" s="10"/>
      <c r="O4036" s="10"/>
      <c r="V4036" s="10"/>
    </row>
    <row r="4037" spans="1:22" x14ac:dyDescent="0.2">
      <c r="A4037" s="27"/>
      <c r="B4037" s="25"/>
      <c r="E4037" s="10"/>
      <c r="O4037" s="10"/>
      <c r="V4037" s="10"/>
    </row>
    <row r="4038" spans="1:22" x14ac:dyDescent="0.2">
      <c r="A4038" s="27"/>
      <c r="B4038" s="25"/>
      <c r="E4038" s="10"/>
      <c r="O4038" s="10"/>
      <c r="V4038" s="10"/>
    </row>
    <row r="4039" spans="1:22" x14ac:dyDescent="0.2">
      <c r="A4039" s="27"/>
      <c r="B4039" s="25"/>
      <c r="E4039" s="10"/>
      <c r="O4039" s="10"/>
      <c r="V4039" s="10"/>
    </row>
    <row r="4040" spans="1:22" x14ac:dyDescent="0.2">
      <c r="A4040" s="27"/>
      <c r="B4040" s="25"/>
      <c r="E4040" s="10"/>
      <c r="O4040" s="10"/>
      <c r="V4040" s="10"/>
    </row>
    <row r="4041" spans="1:22" x14ac:dyDescent="0.2">
      <c r="A4041" s="27"/>
      <c r="B4041" s="25"/>
      <c r="E4041" s="10"/>
      <c r="O4041" s="10"/>
      <c r="V4041" s="10"/>
    </row>
    <row r="4042" spans="1:22" x14ac:dyDescent="0.2">
      <c r="A4042" s="27"/>
      <c r="B4042" s="25"/>
      <c r="E4042" s="10"/>
      <c r="O4042" s="10"/>
      <c r="V4042" s="10"/>
    </row>
    <row r="4043" spans="1:22" x14ac:dyDescent="0.2">
      <c r="A4043" s="27"/>
      <c r="B4043" s="25"/>
      <c r="E4043" s="10"/>
      <c r="O4043" s="10"/>
      <c r="V4043" s="10"/>
    </row>
    <row r="4044" spans="1:22" x14ac:dyDescent="0.2">
      <c r="A4044" s="27"/>
      <c r="B4044" s="25"/>
      <c r="E4044" s="10"/>
      <c r="O4044" s="10"/>
      <c r="V4044" s="10"/>
    </row>
    <row r="4045" spans="1:22" x14ac:dyDescent="0.2">
      <c r="A4045" s="27"/>
      <c r="B4045" s="25"/>
      <c r="E4045" s="10"/>
      <c r="O4045" s="10"/>
      <c r="V4045" s="10"/>
    </row>
    <row r="4046" spans="1:22" x14ac:dyDescent="0.2">
      <c r="A4046" s="27"/>
      <c r="B4046" s="25"/>
      <c r="E4046" s="10"/>
      <c r="O4046" s="10"/>
      <c r="V4046" s="10"/>
    </row>
    <row r="4047" spans="1:22" x14ac:dyDescent="0.2">
      <c r="A4047" s="27"/>
      <c r="B4047" s="25"/>
      <c r="E4047" s="10"/>
      <c r="O4047" s="10"/>
      <c r="V4047" s="10"/>
    </row>
    <row r="4048" spans="1:22" x14ac:dyDescent="0.2">
      <c r="A4048" s="27"/>
      <c r="B4048" s="25"/>
      <c r="E4048" s="10"/>
      <c r="O4048" s="10"/>
      <c r="V4048" s="10"/>
    </row>
    <row r="4049" spans="1:22" x14ac:dyDescent="0.2">
      <c r="A4049" s="27"/>
      <c r="B4049" s="25"/>
      <c r="E4049" s="10"/>
      <c r="O4049" s="10"/>
      <c r="V4049" s="10"/>
    </row>
    <row r="4050" spans="1:22" x14ac:dyDescent="0.2">
      <c r="A4050" s="27"/>
      <c r="B4050" s="25"/>
      <c r="E4050" s="10"/>
      <c r="O4050" s="10"/>
      <c r="V4050" s="10"/>
    </row>
    <row r="4051" spans="1:22" x14ac:dyDescent="0.2">
      <c r="A4051" s="27"/>
      <c r="B4051" s="25"/>
      <c r="E4051" s="10"/>
      <c r="O4051" s="10"/>
      <c r="V4051" s="10"/>
    </row>
    <row r="4052" spans="1:22" x14ac:dyDescent="0.2">
      <c r="A4052" s="27"/>
      <c r="B4052" s="25"/>
      <c r="E4052" s="10"/>
      <c r="O4052" s="10"/>
      <c r="V4052" s="10"/>
    </row>
    <row r="4053" spans="1:22" x14ac:dyDescent="0.2">
      <c r="A4053" s="27"/>
      <c r="B4053" s="25"/>
      <c r="E4053" s="10"/>
      <c r="O4053" s="10"/>
      <c r="V4053" s="10"/>
    </row>
    <row r="4054" spans="1:22" x14ac:dyDescent="0.2">
      <c r="A4054" s="27"/>
      <c r="B4054" s="25"/>
      <c r="E4054" s="10"/>
      <c r="O4054" s="10"/>
      <c r="V4054" s="10"/>
    </row>
    <row r="4055" spans="1:22" x14ac:dyDescent="0.2">
      <c r="A4055" s="27"/>
      <c r="B4055" s="25"/>
      <c r="E4055" s="10"/>
      <c r="O4055" s="10"/>
      <c r="V4055" s="10"/>
    </row>
    <row r="4056" spans="1:22" x14ac:dyDescent="0.2">
      <c r="A4056" s="27"/>
      <c r="B4056" s="25"/>
      <c r="E4056" s="10"/>
      <c r="O4056" s="10"/>
      <c r="V4056" s="10"/>
    </row>
    <row r="4057" spans="1:22" x14ac:dyDescent="0.2">
      <c r="A4057" s="27"/>
      <c r="B4057" s="25"/>
      <c r="E4057" s="10"/>
      <c r="O4057" s="10"/>
      <c r="V4057" s="10"/>
    </row>
    <row r="4058" spans="1:22" x14ac:dyDescent="0.2">
      <c r="A4058" s="27"/>
      <c r="B4058" s="25"/>
      <c r="E4058" s="10"/>
      <c r="O4058" s="10"/>
      <c r="V4058" s="10"/>
    </row>
    <row r="4059" spans="1:22" x14ac:dyDescent="0.2">
      <c r="A4059" s="27"/>
      <c r="B4059" s="25"/>
      <c r="E4059" s="10"/>
      <c r="O4059" s="10"/>
      <c r="V4059" s="10"/>
    </row>
    <row r="4060" spans="1:22" x14ac:dyDescent="0.2">
      <c r="A4060" s="27"/>
      <c r="B4060" s="25"/>
      <c r="E4060" s="10"/>
      <c r="O4060" s="10"/>
      <c r="V4060" s="10"/>
    </row>
    <row r="4061" spans="1:22" x14ac:dyDescent="0.2">
      <c r="A4061" s="27"/>
      <c r="B4061" s="25"/>
      <c r="E4061" s="10"/>
      <c r="O4061" s="10"/>
      <c r="V4061" s="10"/>
    </row>
    <row r="4062" spans="1:22" x14ac:dyDescent="0.2">
      <c r="A4062" s="27"/>
      <c r="B4062" s="25"/>
      <c r="E4062" s="10"/>
      <c r="O4062" s="10"/>
      <c r="V4062" s="10"/>
    </row>
    <row r="4063" spans="1:22" x14ac:dyDescent="0.2">
      <c r="A4063" s="27"/>
      <c r="B4063" s="25"/>
      <c r="E4063" s="10"/>
      <c r="O4063" s="10"/>
      <c r="V4063" s="10"/>
    </row>
    <row r="4064" spans="1:22" x14ac:dyDescent="0.2">
      <c r="A4064" s="27"/>
      <c r="B4064" s="25"/>
      <c r="E4064" s="10"/>
      <c r="O4064" s="10"/>
      <c r="V4064" s="10"/>
    </row>
    <row r="4065" spans="1:22" x14ac:dyDescent="0.2">
      <c r="A4065" s="27"/>
      <c r="B4065" s="25"/>
      <c r="E4065" s="10"/>
      <c r="O4065" s="10"/>
      <c r="V4065" s="10"/>
    </row>
    <row r="4066" spans="1:22" x14ac:dyDescent="0.2">
      <c r="A4066" s="27"/>
      <c r="B4066" s="25"/>
      <c r="E4066" s="10"/>
      <c r="O4066" s="10"/>
      <c r="V4066" s="10"/>
    </row>
    <row r="4067" spans="1:22" x14ac:dyDescent="0.2">
      <c r="A4067" s="27"/>
      <c r="B4067" s="25"/>
      <c r="E4067" s="10"/>
      <c r="O4067" s="10"/>
      <c r="V4067" s="10"/>
    </row>
    <row r="4068" spans="1:22" x14ac:dyDescent="0.2">
      <c r="A4068" s="27"/>
      <c r="B4068" s="25"/>
      <c r="E4068" s="10"/>
      <c r="O4068" s="10"/>
      <c r="V4068" s="10"/>
    </row>
    <row r="4069" spans="1:22" x14ac:dyDescent="0.2">
      <c r="A4069" s="27"/>
      <c r="B4069" s="25"/>
      <c r="E4069" s="10"/>
      <c r="O4069" s="10"/>
      <c r="V4069" s="10"/>
    </row>
    <row r="4070" spans="1:22" x14ac:dyDescent="0.2">
      <c r="A4070" s="27"/>
      <c r="B4070" s="25"/>
      <c r="E4070" s="10"/>
      <c r="O4070" s="10"/>
      <c r="V4070" s="10"/>
    </row>
    <row r="4071" spans="1:22" x14ac:dyDescent="0.2">
      <c r="A4071" s="27"/>
      <c r="B4071" s="25"/>
      <c r="E4071" s="10"/>
      <c r="O4071" s="10"/>
      <c r="V4071" s="10"/>
    </row>
    <row r="4072" spans="1:22" x14ac:dyDescent="0.2">
      <c r="A4072" s="27"/>
      <c r="B4072" s="25"/>
      <c r="E4072" s="10"/>
      <c r="O4072" s="10"/>
      <c r="V4072" s="10"/>
    </row>
    <row r="4073" spans="1:22" x14ac:dyDescent="0.2">
      <c r="A4073" s="27"/>
      <c r="B4073" s="25"/>
      <c r="E4073" s="10"/>
      <c r="O4073" s="10"/>
      <c r="V4073" s="10"/>
    </row>
    <row r="4074" spans="1:22" x14ac:dyDescent="0.2">
      <c r="A4074" s="27"/>
      <c r="B4074" s="25"/>
      <c r="E4074" s="10"/>
      <c r="O4074" s="10"/>
      <c r="V4074" s="10"/>
    </row>
    <row r="4075" spans="1:22" x14ac:dyDescent="0.2">
      <c r="A4075" s="27"/>
      <c r="B4075" s="25"/>
      <c r="E4075" s="10"/>
      <c r="O4075" s="10"/>
      <c r="V4075" s="10"/>
    </row>
    <row r="4076" spans="1:22" x14ac:dyDescent="0.2">
      <c r="A4076" s="27"/>
      <c r="B4076" s="25"/>
      <c r="E4076" s="10"/>
      <c r="O4076" s="10"/>
      <c r="V4076" s="10"/>
    </row>
    <row r="4077" spans="1:22" x14ac:dyDescent="0.2">
      <c r="A4077" s="27"/>
      <c r="B4077" s="25"/>
      <c r="E4077" s="10"/>
      <c r="O4077" s="10"/>
      <c r="V4077" s="10"/>
    </row>
    <row r="4078" spans="1:22" x14ac:dyDescent="0.2">
      <c r="A4078" s="27"/>
      <c r="B4078" s="25"/>
      <c r="E4078" s="10"/>
      <c r="O4078" s="10"/>
      <c r="V4078" s="10"/>
    </row>
    <row r="4079" spans="1:22" x14ac:dyDescent="0.2">
      <c r="A4079" s="27"/>
      <c r="B4079" s="25"/>
      <c r="E4079" s="10"/>
      <c r="O4079" s="10"/>
      <c r="V4079" s="10"/>
    </row>
    <row r="4080" spans="1:22" x14ac:dyDescent="0.2">
      <c r="A4080" s="27"/>
      <c r="B4080" s="25"/>
      <c r="E4080" s="10"/>
      <c r="O4080" s="10"/>
      <c r="V4080" s="10"/>
    </row>
    <row r="4081" spans="1:22" x14ac:dyDescent="0.2">
      <c r="A4081" s="27"/>
      <c r="B4081" s="25"/>
      <c r="E4081" s="10"/>
      <c r="O4081" s="10"/>
      <c r="V4081" s="10"/>
    </row>
    <row r="4082" spans="1:22" x14ac:dyDescent="0.2">
      <c r="A4082" s="27"/>
      <c r="B4082" s="25"/>
      <c r="E4082" s="10"/>
      <c r="O4082" s="10"/>
      <c r="V4082" s="10"/>
    </row>
    <row r="4083" spans="1:22" x14ac:dyDescent="0.2">
      <c r="A4083" s="27"/>
      <c r="B4083" s="25"/>
      <c r="E4083" s="10"/>
      <c r="O4083" s="10"/>
      <c r="V4083" s="10"/>
    </row>
    <row r="4084" spans="1:22" x14ac:dyDescent="0.2">
      <c r="A4084" s="27"/>
      <c r="B4084" s="25"/>
      <c r="E4084" s="10"/>
      <c r="O4084" s="10"/>
      <c r="V4084" s="10"/>
    </row>
    <row r="4085" spans="1:22" x14ac:dyDescent="0.2">
      <c r="A4085" s="27"/>
      <c r="B4085" s="25"/>
      <c r="E4085" s="10"/>
      <c r="O4085" s="10"/>
      <c r="V4085" s="10"/>
    </row>
    <row r="4086" spans="1:22" x14ac:dyDescent="0.2">
      <c r="A4086" s="27"/>
      <c r="B4086" s="25"/>
      <c r="E4086" s="10"/>
      <c r="O4086" s="10"/>
      <c r="V4086" s="10"/>
    </row>
    <row r="4087" spans="1:22" x14ac:dyDescent="0.2">
      <c r="A4087" s="27"/>
      <c r="B4087" s="25"/>
      <c r="E4087" s="10"/>
      <c r="O4087" s="10"/>
      <c r="V4087" s="10"/>
    </row>
    <row r="4088" spans="1:22" x14ac:dyDescent="0.2">
      <c r="A4088" s="27"/>
      <c r="B4088" s="25"/>
      <c r="E4088" s="10"/>
      <c r="O4088" s="10"/>
      <c r="V4088" s="10"/>
    </row>
    <row r="4089" spans="1:22" x14ac:dyDescent="0.2">
      <c r="A4089" s="27"/>
      <c r="B4089" s="25"/>
      <c r="E4089" s="10"/>
      <c r="O4089" s="10"/>
      <c r="V4089" s="10"/>
    </row>
    <row r="4090" spans="1:22" x14ac:dyDescent="0.2">
      <c r="A4090" s="27"/>
      <c r="B4090" s="25"/>
      <c r="E4090" s="10"/>
      <c r="O4090" s="10"/>
      <c r="V4090" s="10"/>
    </row>
    <row r="4091" spans="1:22" x14ac:dyDescent="0.2">
      <c r="A4091" s="27"/>
      <c r="B4091" s="25"/>
      <c r="E4091" s="10"/>
      <c r="O4091" s="10"/>
      <c r="V4091" s="10"/>
    </row>
    <row r="4092" spans="1:22" x14ac:dyDescent="0.2">
      <c r="A4092" s="27"/>
      <c r="B4092" s="25"/>
      <c r="E4092" s="10"/>
      <c r="O4092" s="10"/>
      <c r="V4092" s="10"/>
    </row>
    <row r="4093" spans="1:22" x14ac:dyDescent="0.2">
      <c r="A4093" s="27"/>
      <c r="B4093" s="25"/>
      <c r="E4093" s="10"/>
      <c r="O4093" s="10"/>
      <c r="V4093" s="10"/>
    </row>
    <row r="4094" spans="1:22" x14ac:dyDescent="0.2">
      <c r="A4094" s="27"/>
      <c r="B4094" s="25"/>
      <c r="E4094" s="10"/>
      <c r="O4094" s="10"/>
      <c r="V4094" s="10"/>
    </row>
    <row r="4095" spans="1:22" x14ac:dyDescent="0.2">
      <c r="A4095" s="27"/>
      <c r="B4095" s="25"/>
      <c r="E4095" s="10"/>
      <c r="O4095" s="10"/>
      <c r="V4095" s="10"/>
    </row>
    <row r="4096" spans="1:22" x14ac:dyDescent="0.2">
      <c r="A4096" s="27"/>
      <c r="B4096" s="25"/>
      <c r="E4096" s="10"/>
      <c r="O4096" s="10"/>
      <c r="V4096" s="10"/>
    </row>
    <row r="4097" spans="1:22" x14ac:dyDescent="0.2">
      <c r="A4097" s="27"/>
      <c r="B4097" s="25"/>
      <c r="E4097" s="10"/>
      <c r="O4097" s="10"/>
      <c r="V4097" s="10"/>
    </row>
    <row r="4098" spans="1:22" x14ac:dyDescent="0.2">
      <c r="A4098" s="27"/>
      <c r="B4098" s="25"/>
      <c r="E4098" s="10"/>
      <c r="O4098" s="10"/>
      <c r="V4098" s="10"/>
    </row>
    <row r="4099" spans="1:22" x14ac:dyDescent="0.2">
      <c r="A4099" s="27"/>
      <c r="B4099" s="25"/>
      <c r="E4099" s="10"/>
      <c r="O4099" s="10"/>
      <c r="V4099" s="10"/>
    </row>
    <row r="4100" spans="1:22" x14ac:dyDescent="0.2">
      <c r="A4100" s="27"/>
      <c r="B4100" s="25"/>
      <c r="E4100" s="10"/>
      <c r="O4100" s="10"/>
      <c r="V4100" s="10"/>
    </row>
    <row r="4101" spans="1:22" x14ac:dyDescent="0.2">
      <c r="A4101" s="27"/>
      <c r="B4101" s="25"/>
      <c r="E4101" s="10"/>
      <c r="O4101" s="10"/>
      <c r="V4101" s="10"/>
    </row>
    <row r="4102" spans="1:22" x14ac:dyDescent="0.2">
      <c r="A4102" s="27"/>
      <c r="B4102" s="25"/>
      <c r="E4102" s="10"/>
      <c r="O4102" s="10"/>
      <c r="V4102" s="10"/>
    </row>
    <row r="4103" spans="1:22" x14ac:dyDescent="0.2">
      <c r="A4103" s="27"/>
      <c r="B4103" s="25"/>
      <c r="E4103" s="10"/>
      <c r="O4103" s="10"/>
      <c r="V4103" s="10"/>
    </row>
    <row r="4104" spans="1:22" x14ac:dyDescent="0.2">
      <c r="A4104" s="27"/>
      <c r="B4104" s="25"/>
      <c r="E4104" s="10"/>
      <c r="O4104" s="10"/>
      <c r="V4104" s="10"/>
    </row>
    <row r="4105" spans="1:22" x14ac:dyDescent="0.2">
      <c r="A4105" s="27"/>
      <c r="B4105" s="25"/>
      <c r="E4105" s="10"/>
      <c r="O4105" s="10"/>
      <c r="V4105" s="10"/>
    </row>
    <row r="4106" spans="1:22" x14ac:dyDescent="0.2">
      <c r="A4106" s="27"/>
      <c r="B4106" s="25"/>
      <c r="E4106" s="10"/>
      <c r="O4106" s="10"/>
      <c r="V4106" s="10"/>
    </row>
    <row r="4107" spans="1:22" x14ac:dyDescent="0.2">
      <c r="A4107" s="27"/>
      <c r="B4107" s="25"/>
      <c r="E4107" s="10"/>
      <c r="O4107" s="10"/>
      <c r="V4107" s="10"/>
    </row>
    <row r="4108" spans="1:22" x14ac:dyDescent="0.2">
      <c r="A4108" s="27"/>
      <c r="B4108" s="25"/>
      <c r="E4108" s="10"/>
      <c r="O4108" s="10"/>
      <c r="V4108" s="10"/>
    </row>
    <row r="4109" spans="1:22" x14ac:dyDescent="0.2">
      <c r="A4109" s="27"/>
      <c r="B4109" s="25"/>
      <c r="E4109" s="10"/>
      <c r="O4109" s="10"/>
      <c r="V4109" s="10"/>
    </row>
    <row r="4110" spans="1:22" x14ac:dyDescent="0.2">
      <c r="A4110" s="27"/>
      <c r="B4110" s="25"/>
      <c r="E4110" s="10"/>
      <c r="O4110" s="10"/>
      <c r="V4110" s="10"/>
    </row>
    <row r="4111" spans="1:22" x14ac:dyDescent="0.2">
      <c r="A4111" s="27"/>
      <c r="B4111" s="25"/>
      <c r="E4111" s="10"/>
      <c r="O4111" s="10"/>
      <c r="V4111" s="10"/>
    </row>
    <row r="4112" spans="1:22" x14ac:dyDescent="0.2">
      <c r="A4112" s="27"/>
      <c r="B4112" s="25"/>
      <c r="E4112" s="10"/>
      <c r="O4112" s="10"/>
      <c r="V4112" s="10"/>
    </row>
    <row r="4113" spans="1:22" x14ac:dyDescent="0.2">
      <c r="A4113" s="27"/>
      <c r="B4113" s="25"/>
      <c r="E4113" s="10"/>
      <c r="O4113" s="10"/>
      <c r="V4113" s="10"/>
    </row>
    <row r="4114" spans="1:22" x14ac:dyDescent="0.2">
      <c r="A4114" s="27"/>
      <c r="B4114" s="25"/>
      <c r="E4114" s="10"/>
      <c r="O4114" s="10"/>
      <c r="V4114" s="10"/>
    </row>
    <row r="4115" spans="1:22" x14ac:dyDescent="0.2">
      <c r="A4115" s="27"/>
      <c r="B4115" s="25"/>
      <c r="E4115" s="10"/>
      <c r="O4115" s="10"/>
      <c r="V4115" s="10"/>
    </row>
    <row r="4116" spans="1:22" x14ac:dyDescent="0.2">
      <c r="A4116" s="27"/>
      <c r="B4116" s="25"/>
      <c r="E4116" s="10"/>
      <c r="O4116" s="10"/>
      <c r="V4116" s="10"/>
    </row>
    <row r="4117" spans="1:22" x14ac:dyDescent="0.2">
      <c r="A4117" s="27"/>
      <c r="B4117" s="25"/>
      <c r="E4117" s="10"/>
      <c r="O4117" s="10"/>
      <c r="V4117" s="10"/>
    </row>
    <row r="4118" spans="1:22" x14ac:dyDescent="0.2">
      <c r="A4118" s="27"/>
      <c r="B4118" s="25"/>
      <c r="E4118" s="10"/>
      <c r="O4118" s="10"/>
      <c r="V4118" s="10"/>
    </row>
    <row r="4119" spans="1:22" x14ac:dyDescent="0.2">
      <c r="A4119" s="27"/>
      <c r="B4119" s="25"/>
      <c r="E4119" s="10"/>
      <c r="O4119" s="10"/>
      <c r="V4119" s="10"/>
    </row>
    <row r="4120" spans="1:22" x14ac:dyDescent="0.2">
      <c r="A4120" s="27"/>
      <c r="B4120" s="25"/>
      <c r="E4120" s="10"/>
      <c r="O4120" s="10"/>
      <c r="V4120" s="10"/>
    </row>
    <row r="4121" spans="1:22" x14ac:dyDescent="0.2">
      <c r="A4121" s="27"/>
      <c r="B4121" s="25"/>
      <c r="E4121" s="10"/>
      <c r="O4121" s="10"/>
      <c r="V4121" s="10"/>
    </row>
    <row r="4122" spans="1:22" x14ac:dyDescent="0.2">
      <c r="A4122" s="27"/>
      <c r="B4122" s="25"/>
      <c r="E4122" s="10"/>
      <c r="O4122" s="10"/>
      <c r="V4122" s="10"/>
    </row>
    <row r="4123" spans="1:22" x14ac:dyDescent="0.2">
      <c r="A4123" s="27"/>
      <c r="B4123" s="25"/>
      <c r="E4123" s="10"/>
      <c r="O4123" s="10"/>
      <c r="V4123" s="10"/>
    </row>
    <row r="4124" spans="1:22" x14ac:dyDescent="0.2">
      <c r="A4124" s="27"/>
      <c r="B4124" s="25"/>
      <c r="E4124" s="10"/>
      <c r="O4124" s="10"/>
      <c r="V4124" s="10"/>
    </row>
    <row r="4125" spans="1:22" x14ac:dyDescent="0.2">
      <c r="A4125" s="27"/>
      <c r="B4125" s="25"/>
      <c r="E4125" s="10"/>
      <c r="O4125" s="10"/>
      <c r="V4125" s="10"/>
    </row>
    <row r="4126" spans="1:22" x14ac:dyDescent="0.2">
      <c r="A4126" s="27"/>
      <c r="B4126" s="25"/>
      <c r="E4126" s="10"/>
      <c r="O4126" s="10"/>
      <c r="V4126" s="10"/>
    </row>
    <row r="4127" spans="1:22" x14ac:dyDescent="0.2">
      <c r="A4127" s="27"/>
      <c r="B4127" s="25"/>
      <c r="E4127" s="10"/>
      <c r="O4127" s="10"/>
      <c r="V4127" s="10"/>
    </row>
    <row r="4128" spans="1:22" x14ac:dyDescent="0.2">
      <c r="A4128" s="27"/>
      <c r="B4128" s="25"/>
      <c r="E4128" s="10"/>
      <c r="O4128" s="10"/>
      <c r="V4128" s="10"/>
    </row>
    <row r="4129" spans="1:22" x14ac:dyDescent="0.2">
      <c r="A4129" s="27"/>
      <c r="B4129" s="25"/>
      <c r="E4129" s="10"/>
      <c r="O4129" s="10"/>
      <c r="V4129" s="10"/>
    </row>
    <row r="4130" spans="1:22" x14ac:dyDescent="0.2">
      <c r="A4130" s="27"/>
      <c r="B4130" s="25"/>
      <c r="E4130" s="10"/>
      <c r="O4130" s="10"/>
      <c r="V4130" s="10"/>
    </row>
    <row r="4131" spans="1:22" x14ac:dyDescent="0.2">
      <c r="A4131" s="27"/>
      <c r="B4131" s="25"/>
      <c r="E4131" s="10"/>
      <c r="O4131" s="10"/>
      <c r="V4131" s="10"/>
    </row>
    <row r="4132" spans="1:22" x14ac:dyDescent="0.2">
      <c r="A4132" s="27"/>
      <c r="B4132" s="25"/>
      <c r="E4132" s="10"/>
      <c r="O4132" s="10"/>
      <c r="V4132" s="10"/>
    </row>
    <row r="4133" spans="1:22" x14ac:dyDescent="0.2">
      <c r="A4133" s="27"/>
      <c r="B4133" s="25"/>
      <c r="E4133" s="10"/>
      <c r="O4133" s="10"/>
      <c r="V4133" s="10"/>
    </row>
    <row r="4134" spans="1:22" x14ac:dyDescent="0.2">
      <c r="A4134" s="27"/>
      <c r="B4134" s="25"/>
      <c r="E4134" s="10"/>
      <c r="O4134" s="10"/>
      <c r="V4134" s="10"/>
    </row>
    <row r="4135" spans="1:22" x14ac:dyDescent="0.2">
      <c r="A4135" s="27"/>
      <c r="B4135" s="25"/>
      <c r="E4135" s="10"/>
      <c r="O4135" s="10"/>
      <c r="V4135" s="10"/>
    </row>
    <row r="4136" spans="1:22" x14ac:dyDescent="0.2">
      <c r="A4136" s="27"/>
      <c r="B4136" s="25"/>
      <c r="E4136" s="10"/>
      <c r="O4136" s="10"/>
      <c r="V4136" s="10"/>
    </row>
    <row r="4137" spans="1:22" x14ac:dyDescent="0.2">
      <c r="A4137" s="27"/>
      <c r="B4137" s="25"/>
      <c r="E4137" s="10"/>
      <c r="O4137" s="10"/>
      <c r="V4137" s="10"/>
    </row>
    <row r="4138" spans="1:22" x14ac:dyDescent="0.2">
      <c r="A4138" s="27"/>
      <c r="B4138" s="25"/>
      <c r="E4138" s="10"/>
      <c r="O4138" s="10"/>
      <c r="V4138" s="10"/>
    </row>
    <row r="4139" spans="1:22" x14ac:dyDescent="0.2">
      <c r="A4139" s="27"/>
      <c r="B4139" s="25"/>
      <c r="E4139" s="10"/>
      <c r="O4139" s="10"/>
      <c r="V4139" s="10"/>
    </row>
    <row r="4140" spans="1:22" x14ac:dyDescent="0.2">
      <c r="A4140" s="27"/>
      <c r="B4140" s="25"/>
      <c r="E4140" s="10"/>
      <c r="O4140" s="10"/>
      <c r="V4140" s="10"/>
    </row>
    <row r="4141" spans="1:22" x14ac:dyDescent="0.2">
      <c r="A4141" s="27"/>
      <c r="B4141" s="25"/>
      <c r="E4141" s="10"/>
      <c r="O4141" s="10"/>
      <c r="V4141" s="10"/>
    </row>
    <row r="4142" spans="1:22" x14ac:dyDescent="0.2">
      <c r="A4142" s="27"/>
      <c r="B4142" s="25"/>
      <c r="E4142" s="10"/>
      <c r="O4142" s="10"/>
      <c r="V4142" s="10"/>
    </row>
    <row r="4143" spans="1:22" x14ac:dyDescent="0.2">
      <c r="A4143" s="27"/>
      <c r="B4143" s="25"/>
      <c r="E4143" s="10"/>
      <c r="O4143" s="10"/>
      <c r="V4143" s="10"/>
    </row>
    <row r="4144" spans="1:22" x14ac:dyDescent="0.2">
      <c r="A4144" s="27"/>
      <c r="B4144" s="25"/>
      <c r="E4144" s="10"/>
      <c r="O4144" s="10"/>
      <c r="V4144" s="10"/>
    </row>
    <row r="4145" spans="1:22" x14ac:dyDescent="0.2">
      <c r="A4145" s="27"/>
      <c r="B4145" s="25"/>
      <c r="E4145" s="10"/>
      <c r="O4145" s="10"/>
      <c r="V4145" s="10"/>
    </row>
    <row r="4146" spans="1:22" x14ac:dyDescent="0.2">
      <c r="A4146" s="27"/>
      <c r="B4146" s="25"/>
      <c r="E4146" s="10"/>
      <c r="O4146" s="10"/>
      <c r="V4146" s="10"/>
    </row>
    <row r="4147" spans="1:22" x14ac:dyDescent="0.2">
      <c r="A4147" s="27"/>
      <c r="B4147" s="25"/>
      <c r="E4147" s="10"/>
      <c r="O4147" s="10"/>
      <c r="V4147" s="10"/>
    </row>
    <row r="4148" spans="1:22" x14ac:dyDescent="0.2">
      <c r="A4148" s="27"/>
      <c r="B4148" s="25"/>
      <c r="E4148" s="10"/>
      <c r="O4148" s="10"/>
      <c r="V4148" s="10"/>
    </row>
    <row r="4149" spans="1:22" x14ac:dyDescent="0.2">
      <c r="A4149" s="27"/>
      <c r="B4149" s="25"/>
      <c r="E4149" s="10"/>
      <c r="O4149" s="10"/>
      <c r="V4149" s="10"/>
    </row>
    <row r="4150" spans="1:22" x14ac:dyDescent="0.2">
      <c r="A4150" s="27"/>
      <c r="B4150" s="25"/>
      <c r="E4150" s="10"/>
      <c r="O4150" s="10"/>
      <c r="V4150" s="10"/>
    </row>
    <row r="4151" spans="1:22" x14ac:dyDescent="0.2">
      <c r="A4151" s="27"/>
      <c r="B4151" s="25"/>
      <c r="E4151" s="10"/>
      <c r="O4151" s="10"/>
      <c r="V4151" s="10"/>
    </row>
    <row r="4152" spans="1:22" x14ac:dyDescent="0.2">
      <c r="A4152" s="27"/>
      <c r="B4152" s="25"/>
      <c r="E4152" s="10"/>
      <c r="O4152" s="10"/>
      <c r="V4152" s="10"/>
    </row>
    <row r="4153" spans="1:22" x14ac:dyDescent="0.2">
      <c r="A4153" s="27"/>
      <c r="B4153" s="25"/>
      <c r="E4153" s="10"/>
      <c r="O4153" s="10"/>
      <c r="V4153" s="10"/>
    </row>
    <row r="4154" spans="1:22" x14ac:dyDescent="0.2">
      <c r="A4154" s="27"/>
      <c r="B4154" s="25"/>
      <c r="E4154" s="10"/>
      <c r="O4154" s="10"/>
      <c r="V4154" s="10"/>
    </row>
    <row r="4155" spans="1:22" x14ac:dyDescent="0.2">
      <c r="A4155" s="27"/>
      <c r="B4155" s="25"/>
      <c r="E4155" s="10"/>
      <c r="O4155" s="10"/>
      <c r="V4155" s="10"/>
    </row>
    <row r="4156" spans="1:22" x14ac:dyDescent="0.2">
      <c r="A4156" s="27"/>
      <c r="B4156" s="25"/>
      <c r="E4156" s="10"/>
      <c r="O4156" s="10"/>
      <c r="V4156" s="10"/>
    </row>
    <row r="4157" spans="1:22" x14ac:dyDescent="0.2">
      <c r="A4157" s="27"/>
      <c r="B4157" s="25"/>
      <c r="E4157" s="10"/>
      <c r="O4157" s="10"/>
      <c r="V4157" s="10"/>
    </row>
    <row r="4158" spans="1:22" x14ac:dyDescent="0.2">
      <c r="A4158" s="27"/>
      <c r="B4158" s="25"/>
      <c r="E4158" s="10"/>
      <c r="O4158" s="10"/>
      <c r="V4158" s="10"/>
    </row>
    <row r="4159" spans="1:22" x14ac:dyDescent="0.2">
      <c r="A4159" s="27"/>
      <c r="B4159" s="25"/>
      <c r="E4159" s="10"/>
      <c r="O4159" s="10"/>
      <c r="V4159" s="10"/>
    </row>
    <row r="4160" spans="1:22" x14ac:dyDescent="0.2">
      <c r="A4160" s="27"/>
      <c r="B4160" s="25"/>
      <c r="E4160" s="10"/>
      <c r="O4160" s="10"/>
      <c r="V4160" s="10"/>
    </row>
    <row r="4161" spans="1:22" x14ac:dyDescent="0.2">
      <c r="A4161" s="27"/>
      <c r="B4161" s="25"/>
      <c r="E4161" s="10"/>
      <c r="O4161" s="10"/>
      <c r="V4161" s="10"/>
    </row>
    <row r="4162" spans="1:22" x14ac:dyDescent="0.2">
      <c r="A4162" s="27"/>
      <c r="B4162" s="25"/>
      <c r="E4162" s="10"/>
      <c r="O4162" s="10"/>
      <c r="V4162" s="10"/>
    </row>
    <row r="4163" spans="1:22" x14ac:dyDescent="0.2">
      <c r="A4163" s="27"/>
      <c r="B4163" s="25"/>
      <c r="E4163" s="10"/>
      <c r="O4163" s="10"/>
      <c r="V4163" s="10"/>
    </row>
    <row r="4164" spans="1:22" x14ac:dyDescent="0.2">
      <c r="A4164" s="27"/>
      <c r="B4164" s="25"/>
      <c r="E4164" s="10"/>
      <c r="O4164" s="10"/>
      <c r="V4164" s="10"/>
    </row>
    <row r="4165" spans="1:22" x14ac:dyDescent="0.2">
      <c r="A4165" s="27"/>
      <c r="B4165" s="25"/>
      <c r="E4165" s="10"/>
      <c r="O4165" s="10"/>
      <c r="V4165" s="10"/>
    </row>
    <row r="4166" spans="1:22" x14ac:dyDescent="0.2">
      <c r="A4166" s="27"/>
      <c r="B4166" s="25"/>
      <c r="E4166" s="10"/>
      <c r="O4166" s="10"/>
      <c r="V4166" s="10"/>
    </row>
    <row r="4167" spans="1:22" x14ac:dyDescent="0.2">
      <c r="A4167" s="27"/>
      <c r="B4167" s="25"/>
      <c r="E4167" s="10"/>
      <c r="O4167" s="10"/>
      <c r="V4167" s="10"/>
    </row>
    <row r="4168" spans="1:22" x14ac:dyDescent="0.2">
      <c r="A4168" s="27"/>
      <c r="B4168" s="25"/>
      <c r="E4168" s="10"/>
      <c r="O4168" s="10"/>
      <c r="V4168" s="10"/>
    </row>
    <row r="4169" spans="1:22" x14ac:dyDescent="0.2">
      <c r="A4169" s="27"/>
      <c r="B4169" s="25"/>
      <c r="E4169" s="10"/>
      <c r="O4169" s="10"/>
      <c r="V4169" s="10"/>
    </row>
    <row r="4170" spans="1:22" x14ac:dyDescent="0.2">
      <c r="A4170" s="27"/>
      <c r="B4170" s="25"/>
      <c r="E4170" s="10"/>
      <c r="O4170" s="10"/>
      <c r="V4170" s="10"/>
    </row>
    <row r="4171" spans="1:22" x14ac:dyDescent="0.2">
      <c r="A4171" s="27"/>
      <c r="B4171" s="25"/>
      <c r="E4171" s="10"/>
      <c r="O4171" s="10"/>
      <c r="V4171" s="10"/>
    </row>
    <row r="4172" spans="1:22" x14ac:dyDescent="0.2">
      <c r="A4172" s="27"/>
      <c r="B4172" s="25"/>
      <c r="E4172" s="10"/>
      <c r="O4172" s="10"/>
      <c r="V4172" s="10"/>
    </row>
    <row r="4173" spans="1:22" x14ac:dyDescent="0.2">
      <c r="A4173" s="27"/>
      <c r="B4173" s="25"/>
      <c r="E4173" s="10"/>
      <c r="O4173" s="10"/>
      <c r="V4173" s="10"/>
    </row>
    <row r="4174" spans="1:22" x14ac:dyDescent="0.2">
      <c r="A4174" s="27"/>
      <c r="B4174" s="25"/>
      <c r="E4174" s="10"/>
      <c r="O4174" s="10"/>
      <c r="V4174" s="10"/>
    </row>
    <row r="4175" spans="1:22" x14ac:dyDescent="0.2">
      <c r="A4175" s="27"/>
      <c r="B4175" s="25"/>
      <c r="E4175" s="10"/>
      <c r="O4175" s="10"/>
      <c r="V4175" s="10"/>
    </row>
    <row r="4176" spans="1:22" x14ac:dyDescent="0.2">
      <c r="A4176" s="27"/>
      <c r="B4176" s="25"/>
      <c r="E4176" s="10"/>
      <c r="O4176" s="10"/>
      <c r="V4176" s="10"/>
    </row>
    <row r="4177" spans="1:22" x14ac:dyDescent="0.2">
      <c r="A4177" s="27"/>
      <c r="B4177" s="25"/>
      <c r="E4177" s="10"/>
      <c r="O4177" s="10"/>
      <c r="V4177" s="10"/>
    </row>
    <row r="4178" spans="1:22" x14ac:dyDescent="0.2">
      <c r="A4178" s="27"/>
      <c r="B4178" s="25"/>
      <c r="E4178" s="10"/>
      <c r="O4178" s="10"/>
      <c r="V4178" s="10"/>
    </row>
    <row r="4179" spans="1:22" x14ac:dyDescent="0.2">
      <c r="A4179" s="27"/>
      <c r="B4179" s="25"/>
      <c r="E4179" s="10"/>
      <c r="O4179" s="10"/>
      <c r="V4179" s="10"/>
    </row>
    <row r="4180" spans="1:22" x14ac:dyDescent="0.2">
      <c r="A4180" s="27"/>
      <c r="B4180" s="25"/>
      <c r="E4180" s="10"/>
      <c r="O4180" s="10"/>
      <c r="V4180" s="10"/>
    </row>
    <row r="4181" spans="1:22" x14ac:dyDescent="0.2">
      <c r="A4181" s="27"/>
      <c r="B4181" s="25"/>
      <c r="E4181" s="10"/>
      <c r="O4181" s="10"/>
      <c r="V4181" s="10"/>
    </row>
    <row r="4182" spans="1:22" x14ac:dyDescent="0.2">
      <c r="A4182" s="27"/>
      <c r="B4182" s="25"/>
      <c r="E4182" s="10"/>
      <c r="O4182" s="10"/>
      <c r="V4182" s="10"/>
    </row>
    <row r="4183" spans="1:22" x14ac:dyDescent="0.2">
      <c r="A4183" s="27"/>
      <c r="B4183" s="25"/>
      <c r="E4183" s="10"/>
      <c r="O4183" s="10"/>
      <c r="V4183" s="10"/>
    </row>
    <row r="4184" spans="1:22" x14ac:dyDescent="0.2">
      <c r="A4184" s="27"/>
      <c r="B4184" s="25"/>
      <c r="E4184" s="10"/>
      <c r="O4184" s="10"/>
      <c r="V4184" s="10"/>
    </row>
    <row r="4185" spans="1:22" x14ac:dyDescent="0.2">
      <c r="A4185" s="27"/>
      <c r="B4185" s="25"/>
      <c r="E4185" s="10"/>
      <c r="O4185" s="10"/>
      <c r="V4185" s="10"/>
    </row>
    <row r="4186" spans="1:22" x14ac:dyDescent="0.2">
      <c r="A4186" s="27"/>
      <c r="B4186" s="25"/>
      <c r="E4186" s="10"/>
      <c r="O4186" s="10"/>
      <c r="V4186" s="10"/>
    </row>
    <row r="4187" spans="1:22" x14ac:dyDescent="0.2">
      <c r="A4187" s="27"/>
      <c r="B4187" s="25"/>
      <c r="E4187" s="10"/>
      <c r="O4187" s="10"/>
      <c r="V4187" s="10"/>
    </row>
    <row r="4188" spans="1:22" x14ac:dyDescent="0.2">
      <c r="A4188" s="27"/>
      <c r="B4188" s="25"/>
      <c r="E4188" s="10"/>
      <c r="O4188" s="10"/>
      <c r="V4188" s="10"/>
    </row>
    <row r="4189" spans="1:22" x14ac:dyDescent="0.2">
      <c r="A4189" s="27"/>
      <c r="B4189" s="25"/>
      <c r="E4189" s="10"/>
      <c r="O4189" s="10"/>
      <c r="V4189" s="10"/>
    </row>
    <row r="4190" spans="1:22" x14ac:dyDescent="0.2">
      <c r="A4190" s="27"/>
      <c r="B4190" s="25"/>
      <c r="E4190" s="10"/>
      <c r="O4190" s="10"/>
      <c r="V4190" s="10"/>
    </row>
    <row r="4191" spans="1:22" x14ac:dyDescent="0.2">
      <c r="A4191" s="27"/>
      <c r="B4191" s="25"/>
      <c r="E4191" s="10"/>
      <c r="O4191" s="10"/>
      <c r="V4191" s="10"/>
    </row>
    <row r="4192" spans="1:22" x14ac:dyDescent="0.2">
      <c r="A4192" s="27"/>
      <c r="B4192" s="25"/>
      <c r="E4192" s="10"/>
      <c r="O4192" s="10"/>
      <c r="V4192" s="10"/>
    </row>
    <row r="4193" spans="1:22" x14ac:dyDescent="0.2">
      <c r="A4193" s="27"/>
      <c r="B4193" s="25"/>
      <c r="E4193" s="10"/>
      <c r="O4193" s="10"/>
      <c r="V4193" s="10"/>
    </row>
    <row r="4194" spans="1:22" x14ac:dyDescent="0.2">
      <c r="A4194" s="27"/>
      <c r="B4194" s="25"/>
      <c r="E4194" s="10"/>
      <c r="O4194" s="10"/>
      <c r="V4194" s="10"/>
    </row>
    <row r="4195" spans="1:22" x14ac:dyDescent="0.2">
      <c r="A4195" s="27"/>
      <c r="B4195" s="25"/>
      <c r="E4195" s="10"/>
      <c r="O4195" s="10"/>
      <c r="V4195" s="10"/>
    </row>
    <row r="4196" spans="1:22" x14ac:dyDescent="0.2">
      <c r="A4196" s="27"/>
      <c r="B4196" s="25"/>
      <c r="E4196" s="10"/>
      <c r="O4196" s="10"/>
      <c r="V4196" s="10"/>
    </row>
    <row r="4197" spans="1:22" x14ac:dyDescent="0.2">
      <c r="A4197" s="27"/>
      <c r="B4197" s="25"/>
      <c r="E4197" s="10"/>
      <c r="O4197" s="10"/>
      <c r="V4197" s="10"/>
    </row>
    <row r="4198" spans="1:22" x14ac:dyDescent="0.2">
      <c r="A4198" s="27"/>
      <c r="B4198" s="25"/>
      <c r="E4198" s="10"/>
      <c r="O4198" s="10"/>
      <c r="V4198" s="10"/>
    </row>
    <row r="4199" spans="1:22" x14ac:dyDescent="0.2">
      <c r="A4199" s="27"/>
      <c r="B4199" s="25"/>
      <c r="E4199" s="10"/>
      <c r="O4199" s="10"/>
      <c r="V4199" s="10"/>
    </row>
    <row r="4200" spans="1:22" x14ac:dyDescent="0.2">
      <c r="A4200" s="27"/>
      <c r="B4200" s="25"/>
      <c r="E4200" s="10"/>
      <c r="O4200" s="10"/>
      <c r="V4200" s="10"/>
    </row>
    <row r="4201" spans="1:22" x14ac:dyDescent="0.2">
      <c r="A4201" s="27"/>
      <c r="B4201" s="25"/>
      <c r="E4201" s="10"/>
      <c r="O4201" s="10"/>
      <c r="V4201" s="10"/>
    </row>
    <row r="4202" spans="1:22" x14ac:dyDescent="0.2">
      <c r="A4202" s="27"/>
      <c r="B4202" s="25"/>
      <c r="E4202" s="10"/>
      <c r="O4202" s="10"/>
      <c r="V4202" s="10"/>
    </row>
    <row r="4203" spans="1:22" x14ac:dyDescent="0.2">
      <c r="A4203" s="27"/>
      <c r="B4203" s="25"/>
      <c r="E4203" s="10"/>
      <c r="O4203" s="10"/>
      <c r="V4203" s="10"/>
    </row>
    <row r="4204" spans="1:22" x14ac:dyDescent="0.2">
      <c r="A4204" s="27"/>
      <c r="B4204" s="25"/>
      <c r="E4204" s="10"/>
      <c r="O4204" s="10"/>
      <c r="V4204" s="10"/>
    </row>
    <row r="4205" spans="1:22" x14ac:dyDescent="0.2">
      <c r="A4205" s="27"/>
      <c r="B4205" s="25"/>
      <c r="E4205" s="10"/>
      <c r="O4205" s="10"/>
      <c r="V4205" s="10"/>
    </row>
    <row r="4206" spans="1:22" x14ac:dyDescent="0.2">
      <c r="A4206" s="27"/>
      <c r="B4206" s="25"/>
      <c r="E4206" s="10"/>
      <c r="O4206" s="10"/>
      <c r="V4206" s="10"/>
    </row>
    <row r="4207" spans="1:22" x14ac:dyDescent="0.2">
      <c r="A4207" s="27"/>
      <c r="B4207" s="25"/>
      <c r="E4207" s="10"/>
      <c r="O4207" s="10"/>
      <c r="V4207" s="10"/>
    </row>
    <row r="4208" spans="1:22" x14ac:dyDescent="0.2">
      <c r="A4208" s="27"/>
      <c r="B4208" s="25"/>
      <c r="E4208" s="10"/>
      <c r="O4208" s="10"/>
      <c r="V4208" s="10"/>
    </row>
    <row r="4209" spans="1:22" x14ac:dyDescent="0.2">
      <c r="A4209" s="27"/>
      <c r="B4209" s="25"/>
      <c r="E4209" s="10"/>
      <c r="O4209" s="10"/>
      <c r="V4209" s="10"/>
    </row>
    <row r="4210" spans="1:22" x14ac:dyDescent="0.2">
      <c r="A4210" s="27"/>
      <c r="B4210" s="25"/>
      <c r="E4210" s="10"/>
      <c r="O4210" s="10"/>
      <c r="V4210" s="10"/>
    </row>
    <row r="4211" spans="1:22" x14ac:dyDescent="0.2">
      <c r="A4211" s="27"/>
      <c r="B4211" s="25"/>
      <c r="E4211" s="10"/>
      <c r="O4211" s="10"/>
      <c r="V4211" s="10"/>
    </row>
    <row r="4212" spans="1:22" x14ac:dyDescent="0.2">
      <c r="A4212" s="27"/>
      <c r="B4212" s="25"/>
      <c r="E4212" s="10"/>
      <c r="O4212" s="10"/>
      <c r="V4212" s="10"/>
    </row>
    <row r="4213" spans="1:22" x14ac:dyDescent="0.2">
      <c r="A4213" s="27"/>
      <c r="B4213" s="25"/>
      <c r="E4213" s="10"/>
      <c r="O4213" s="10"/>
      <c r="V4213" s="10"/>
    </row>
    <row r="4214" spans="1:22" x14ac:dyDescent="0.2">
      <c r="A4214" s="27"/>
      <c r="B4214" s="25"/>
      <c r="E4214" s="10"/>
      <c r="O4214" s="10"/>
      <c r="V4214" s="10"/>
    </row>
    <row r="4215" spans="1:22" x14ac:dyDescent="0.2">
      <c r="A4215" s="27"/>
      <c r="B4215" s="25"/>
      <c r="E4215" s="10"/>
      <c r="O4215" s="10"/>
      <c r="V4215" s="10"/>
    </row>
    <row r="4216" spans="1:22" x14ac:dyDescent="0.2">
      <c r="A4216" s="27"/>
      <c r="B4216" s="25"/>
      <c r="E4216" s="10"/>
      <c r="O4216" s="10"/>
      <c r="V4216" s="10"/>
    </row>
    <row r="4217" spans="1:22" x14ac:dyDescent="0.2">
      <c r="A4217" s="27"/>
      <c r="B4217" s="25"/>
      <c r="E4217" s="10"/>
      <c r="O4217" s="10"/>
      <c r="V4217" s="10"/>
    </row>
    <row r="4218" spans="1:22" x14ac:dyDescent="0.2">
      <c r="A4218" s="27"/>
      <c r="B4218" s="25"/>
      <c r="E4218" s="10"/>
      <c r="O4218" s="10"/>
      <c r="V4218" s="10"/>
    </row>
    <row r="4219" spans="1:22" x14ac:dyDescent="0.2">
      <c r="A4219" s="27"/>
      <c r="B4219" s="25"/>
      <c r="E4219" s="10"/>
      <c r="O4219" s="10"/>
      <c r="V4219" s="10"/>
    </row>
    <row r="4220" spans="1:22" x14ac:dyDescent="0.2">
      <c r="A4220" s="27"/>
      <c r="B4220" s="25"/>
      <c r="E4220" s="10"/>
      <c r="O4220" s="10"/>
      <c r="V4220" s="10"/>
    </row>
    <row r="4221" spans="1:22" x14ac:dyDescent="0.2">
      <c r="A4221" s="27"/>
      <c r="B4221" s="25"/>
      <c r="E4221" s="10"/>
      <c r="O4221" s="10"/>
      <c r="V4221" s="10"/>
    </row>
    <row r="4222" spans="1:22" x14ac:dyDescent="0.2">
      <c r="A4222" s="27"/>
      <c r="B4222" s="25"/>
      <c r="E4222" s="10"/>
      <c r="O4222" s="10"/>
      <c r="V4222" s="10"/>
    </row>
    <row r="4223" spans="1:22" x14ac:dyDescent="0.2">
      <c r="A4223" s="27"/>
      <c r="B4223" s="25"/>
      <c r="E4223" s="10"/>
      <c r="O4223" s="10"/>
      <c r="V4223" s="10"/>
    </row>
    <row r="4224" spans="1:22" x14ac:dyDescent="0.2">
      <c r="A4224" s="27"/>
      <c r="B4224" s="25"/>
      <c r="E4224" s="10"/>
      <c r="O4224" s="10"/>
      <c r="V4224" s="10"/>
    </row>
    <row r="4225" spans="1:22" x14ac:dyDescent="0.2">
      <c r="A4225" s="27"/>
      <c r="B4225" s="25"/>
      <c r="E4225" s="10"/>
      <c r="O4225" s="10"/>
      <c r="V4225" s="10"/>
    </row>
    <row r="4226" spans="1:22" x14ac:dyDescent="0.2">
      <c r="A4226" s="27"/>
      <c r="B4226" s="25"/>
      <c r="E4226" s="10"/>
      <c r="O4226" s="10"/>
      <c r="V4226" s="10"/>
    </row>
    <row r="4227" spans="1:22" x14ac:dyDescent="0.2">
      <c r="A4227" s="27"/>
      <c r="B4227" s="25"/>
      <c r="E4227" s="10"/>
      <c r="O4227" s="10"/>
      <c r="V4227" s="10"/>
    </row>
    <row r="4228" spans="1:22" x14ac:dyDescent="0.2">
      <c r="A4228" s="27"/>
      <c r="B4228" s="25"/>
      <c r="E4228" s="10"/>
      <c r="O4228" s="10"/>
      <c r="V4228" s="10"/>
    </row>
    <row r="4229" spans="1:22" x14ac:dyDescent="0.2">
      <c r="A4229" s="27"/>
      <c r="B4229" s="25"/>
      <c r="E4229" s="10"/>
      <c r="O4229" s="10"/>
      <c r="V4229" s="10"/>
    </row>
    <row r="4230" spans="1:22" x14ac:dyDescent="0.2">
      <c r="A4230" s="27"/>
      <c r="B4230" s="25"/>
      <c r="E4230" s="10"/>
      <c r="O4230" s="10"/>
      <c r="V4230" s="10"/>
    </row>
    <row r="4231" spans="1:22" x14ac:dyDescent="0.2">
      <c r="A4231" s="27"/>
      <c r="B4231" s="25"/>
      <c r="E4231" s="10"/>
      <c r="O4231" s="10"/>
      <c r="V4231" s="10"/>
    </row>
    <row r="4232" spans="1:22" x14ac:dyDescent="0.2">
      <c r="A4232" s="27"/>
      <c r="B4232" s="25"/>
      <c r="E4232" s="10"/>
      <c r="O4232" s="10"/>
      <c r="V4232" s="10"/>
    </row>
    <row r="4233" spans="1:22" x14ac:dyDescent="0.2">
      <c r="A4233" s="27"/>
      <c r="B4233" s="25"/>
      <c r="E4233" s="10"/>
      <c r="O4233" s="10"/>
      <c r="V4233" s="10"/>
    </row>
    <row r="4234" spans="1:22" x14ac:dyDescent="0.2">
      <c r="A4234" s="27"/>
      <c r="B4234" s="25"/>
      <c r="E4234" s="10"/>
      <c r="O4234" s="10"/>
      <c r="V4234" s="10"/>
    </row>
    <row r="4235" spans="1:22" x14ac:dyDescent="0.2">
      <c r="A4235" s="27"/>
      <c r="B4235" s="25"/>
      <c r="E4235" s="10"/>
      <c r="O4235" s="10"/>
      <c r="V4235" s="10"/>
    </row>
    <row r="4236" spans="1:22" x14ac:dyDescent="0.2">
      <c r="A4236" s="27"/>
      <c r="B4236" s="25"/>
      <c r="E4236" s="10"/>
      <c r="O4236" s="10"/>
      <c r="V4236" s="10"/>
    </row>
    <row r="4237" spans="1:22" x14ac:dyDescent="0.2">
      <c r="A4237" s="27"/>
      <c r="B4237" s="25"/>
      <c r="E4237" s="10"/>
      <c r="O4237" s="10"/>
      <c r="V4237" s="10"/>
    </row>
    <row r="4238" spans="1:22" x14ac:dyDescent="0.2">
      <c r="A4238" s="27"/>
      <c r="B4238" s="25"/>
      <c r="E4238" s="10"/>
      <c r="O4238" s="10"/>
      <c r="V4238" s="10"/>
    </row>
    <row r="4239" spans="1:22" x14ac:dyDescent="0.2">
      <c r="A4239" s="27"/>
      <c r="B4239" s="25"/>
      <c r="E4239" s="10"/>
      <c r="O4239" s="10"/>
      <c r="V4239" s="10"/>
    </row>
    <row r="4240" spans="1:22" x14ac:dyDescent="0.2">
      <c r="A4240" s="27"/>
      <c r="B4240" s="25"/>
      <c r="E4240" s="10"/>
      <c r="O4240" s="10"/>
      <c r="V4240" s="10"/>
    </row>
    <row r="4241" spans="1:22" x14ac:dyDescent="0.2">
      <c r="A4241" s="27"/>
      <c r="B4241" s="25"/>
      <c r="E4241" s="10"/>
      <c r="O4241" s="10"/>
      <c r="V4241" s="10"/>
    </row>
    <row r="4242" spans="1:22" x14ac:dyDescent="0.2">
      <c r="A4242" s="27"/>
      <c r="B4242" s="25"/>
      <c r="E4242" s="10"/>
      <c r="O4242" s="10"/>
      <c r="V4242" s="10"/>
    </row>
    <row r="4243" spans="1:22" x14ac:dyDescent="0.2">
      <c r="A4243" s="27"/>
      <c r="B4243" s="25"/>
      <c r="E4243" s="10"/>
      <c r="O4243" s="10"/>
      <c r="V4243" s="10"/>
    </row>
    <row r="4244" spans="1:22" x14ac:dyDescent="0.2">
      <c r="A4244" s="27"/>
      <c r="B4244" s="25"/>
      <c r="E4244" s="10"/>
      <c r="O4244" s="10"/>
      <c r="V4244" s="10"/>
    </row>
    <row r="4245" spans="1:22" x14ac:dyDescent="0.2">
      <c r="A4245" s="27"/>
      <c r="B4245" s="25"/>
      <c r="E4245" s="10"/>
      <c r="O4245" s="10"/>
      <c r="V4245" s="10"/>
    </row>
    <row r="4246" spans="1:22" x14ac:dyDescent="0.2">
      <c r="A4246" s="27"/>
      <c r="B4246" s="25"/>
      <c r="E4246" s="10"/>
      <c r="O4246" s="10"/>
      <c r="V4246" s="10"/>
    </row>
    <row r="4247" spans="1:22" x14ac:dyDescent="0.2">
      <c r="A4247" s="27"/>
      <c r="B4247" s="25"/>
      <c r="E4247" s="10"/>
      <c r="O4247" s="10"/>
      <c r="V4247" s="10"/>
    </row>
    <row r="4248" spans="1:22" x14ac:dyDescent="0.2">
      <c r="A4248" s="27"/>
      <c r="B4248" s="25"/>
      <c r="E4248" s="10"/>
      <c r="O4248" s="10"/>
      <c r="V4248" s="10"/>
    </row>
    <row r="4249" spans="1:22" x14ac:dyDescent="0.2">
      <c r="A4249" s="27"/>
      <c r="B4249" s="25"/>
      <c r="E4249" s="10"/>
      <c r="O4249" s="10"/>
      <c r="V4249" s="10"/>
    </row>
    <row r="4250" spans="1:22" x14ac:dyDescent="0.2">
      <c r="A4250" s="27"/>
      <c r="B4250" s="25"/>
      <c r="E4250" s="10"/>
      <c r="O4250" s="10"/>
      <c r="V4250" s="10"/>
    </row>
    <row r="4251" spans="1:22" x14ac:dyDescent="0.2">
      <c r="A4251" s="27"/>
      <c r="B4251" s="25"/>
      <c r="E4251" s="10"/>
      <c r="O4251" s="10"/>
      <c r="V4251" s="10"/>
    </row>
    <row r="4252" spans="1:22" x14ac:dyDescent="0.2">
      <c r="A4252" s="27"/>
      <c r="B4252" s="25"/>
      <c r="E4252" s="10"/>
      <c r="O4252" s="10"/>
      <c r="V4252" s="10"/>
    </row>
    <row r="4253" spans="1:22" x14ac:dyDescent="0.2">
      <c r="A4253" s="27"/>
      <c r="B4253" s="25"/>
      <c r="E4253" s="10"/>
      <c r="O4253" s="10"/>
      <c r="V4253" s="10"/>
    </row>
    <row r="4254" spans="1:22" x14ac:dyDescent="0.2">
      <c r="A4254" s="27"/>
      <c r="B4254" s="25"/>
      <c r="E4254" s="10"/>
      <c r="O4254" s="10"/>
      <c r="V4254" s="10"/>
    </row>
    <row r="4255" spans="1:22" x14ac:dyDescent="0.2">
      <c r="A4255" s="27"/>
      <c r="B4255" s="25"/>
      <c r="E4255" s="10"/>
      <c r="O4255" s="10"/>
      <c r="V4255" s="10"/>
    </row>
    <row r="4256" spans="1:22" x14ac:dyDescent="0.2">
      <c r="A4256" s="27"/>
      <c r="B4256" s="25"/>
      <c r="E4256" s="10"/>
      <c r="O4256" s="10"/>
      <c r="V4256" s="10"/>
    </row>
    <row r="4257" spans="1:22" x14ac:dyDescent="0.2">
      <c r="A4257" s="27"/>
      <c r="B4257" s="25"/>
      <c r="E4257" s="10"/>
      <c r="O4257" s="10"/>
      <c r="V4257" s="10"/>
    </row>
    <row r="4258" spans="1:22" x14ac:dyDescent="0.2">
      <c r="A4258" s="27"/>
      <c r="B4258" s="25"/>
      <c r="E4258" s="10"/>
      <c r="O4258" s="10"/>
      <c r="V4258" s="10"/>
    </row>
    <row r="4259" spans="1:22" x14ac:dyDescent="0.2">
      <c r="A4259" s="27"/>
      <c r="B4259" s="25"/>
      <c r="E4259" s="10"/>
      <c r="O4259" s="10"/>
      <c r="V4259" s="10"/>
    </row>
    <row r="4260" spans="1:22" x14ac:dyDescent="0.2">
      <c r="A4260" s="27"/>
      <c r="B4260" s="25"/>
      <c r="E4260" s="10"/>
      <c r="O4260" s="10"/>
      <c r="V4260" s="10"/>
    </row>
    <row r="4261" spans="1:22" x14ac:dyDescent="0.2">
      <c r="A4261" s="27"/>
      <c r="B4261" s="25"/>
      <c r="E4261" s="10"/>
      <c r="O4261" s="10"/>
      <c r="V4261" s="10"/>
    </row>
    <row r="4262" spans="1:22" x14ac:dyDescent="0.2">
      <c r="A4262" s="27"/>
      <c r="B4262" s="25"/>
      <c r="E4262" s="10"/>
      <c r="O4262" s="10"/>
      <c r="V4262" s="10"/>
    </row>
    <row r="4263" spans="1:22" x14ac:dyDescent="0.2">
      <c r="A4263" s="27"/>
      <c r="B4263" s="25"/>
      <c r="E4263" s="10"/>
      <c r="O4263" s="10"/>
      <c r="V4263" s="10"/>
    </row>
    <row r="4264" spans="1:22" x14ac:dyDescent="0.2">
      <c r="A4264" s="27"/>
      <c r="B4264" s="25"/>
      <c r="E4264" s="10"/>
      <c r="O4264" s="10"/>
      <c r="V4264" s="10"/>
    </row>
    <row r="4265" spans="1:22" x14ac:dyDescent="0.2">
      <c r="A4265" s="27"/>
      <c r="B4265" s="25"/>
      <c r="E4265" s="10"/>
      <c r="O4265" s="10"/>
      <c r="V4265" s="10"/>
    </row>
    <row r="4266" spans="1:22" x14ac:dyDescent="0.2">
      <c r="A4266" s="27"/>
      <c r="B4266" s="25"/>
      <c r="E4266" s="10"/>
      <c r="O4266" s="10"/>
      <c r="V4266" s="10"/>
    </row>
    <row r="4267" spans="1:22" x14ac:dyDescent="0.2">
      <c r="A4267" s="27"/>
      <c r="B4267" s="25"/>
      <c r="E4267" s="10"/>
      <c r="O4267" s="10"/>
      <c r="V4267" s="10"/>
    </row>
    <row r="4268" spans="1:22" x14ac:dyDescent="0.2">
      <c r="A4268" s="27"/>
      <c r="B4268" s="25"/>
      <c r="E4268" s="10"/>
      <c r="O4268" s="10"/>
      <c r="V4268" s="10"/>
    </row>
    <row r="4269" spans="1:22" x14ac:dyDescent="0.2">
      <c r="A4269" s="27"/>
      <c r="B4269" s="25"/>
      <c r="E4269" s="10"/>
      <c r="O4269" s="10"/>
      <c r="V4269" s="10"/>
    </row>
    <row r="4270" spans="1:22" x14ac:dyDescent="0.2">
      <c r="A4270" s="27"/>
      <c r="B4270" s="25"/>
      <c r="E4270" s="10"/>
      <c r="O4270" s="10"/>
      <c r="V4270" s="10"/>
    </row>
    <row r="4271" spans="1:22" x14ac:dyDescent="0.2">
      <c r="A4271" s="27"/>
      <c r="B4271" s="25"/>
      <c r="E4271" s="10"/>
      <c r="O4271" s="10"/>
      <c r="V4271" s="10"/>
    </row>
    <row r="4272" spans="1:22" x14ac:dyDescent="0.2">
      <c r="A4272" s="27"/>
      <c r="B4272" s="25"/>
      <c r="E4272" s="10"/>
      <c r="O4272" s="10"/>
      <c r="V4272" s="10"/>
    </row>
    <row r="4273" spans="1:22" x14ac:dyDescent="0.2">
      <c r="A4273" s="27"/>
      <c r="B4273" s="25"/>
      <c r="E4273" s="10"/>
      <c r="O4273" s="10"/>
      <c r="V4273" s="10"/>
    </row>
    <row r="4274" spans="1:22" x14ac:dyDescent="0.2">
      <c r="A4274" s="27"/>
      <c r="B4274" s="25"/>
      <c r="E4274" s="10"/>
      <c r="O4274" s="10"/>
      <c r="V4274" s="10"/>
    </row>
    <row r="4275" spans="1:22" x14ac:dyDescent="0.2">
      <c r="A4275" s="27"/>
      <c r="B4275" s="25"/>
      <c r="E4275" s="10"/>
      <c r="O4275" s="10"/>
      <c r="V4275" s="10"/>
    </row>
    <row r="4276" spans="1:22" x14ac:dyDescent="0.2">
      <c r="A4276" s="27"/>
      <c r="B4276" s="25"/>
      <c r="E4276" s="10"/>
      <c r="O4276" s="10"/>
      <c r="V4276" s="10"/>
    </row>
    <row r="4277" spans="1:22" x14ac:dyDescent="0.2">
      <c r="A4277" s="27"/>
      <c r="B4277" s="25"/>
      <c r="E4277" s="10"/>
      <c r="O4277" s="10"/>
      <c r="V4277" s="10"/>
    </row>
    <row r="4278" spans="1:22" x14ac:dyDescent="0.2">
      <c r="A4278" s="27"/>
      <c r="B4278" s="25"/>
      <c r="E4278" s="10"/>
      <c r="O4278" s="10"/>
      <c r="V4278" s="10"/>
    </row>
    <row r="4279" spans="1:22" x14ac:dyDescent="0.2">
      <c r="A4279" s="27"/>
      <c r="B4279" s="25"/>
      <c r="E4279" s="10"/>
      <c r="O4279" s="10"/>
      <c r="V4279" s="10"/>
    </row>
    <row r="4280" spans="1:22" x14ac:dyDescent="0.2">
      <c r="A4280" s="27"/>
      <c r="B4280" s="25"/>
      <c r="E4280" s="10"/>
      <c r="O4280" s="10"/>
      <c r="V4280" s="10"/>
    </row>
    <row r="4281" spans="1:22" x14ac:dyDescent="0.2">
      <c r="A4281" s="27"/>
      <c r="B4281" s="25"/>
      <c r="E4281" s="10"/>
      <c r="O4281" s="10"/>
      <c r="V4281" s="10"/>
    </row>
    <row r="4282" spans="1:22" x14ac:dyDescent="0.2">
      <c r="A4282" s="27"/>
      <c r="B4282" s="25"/>
      <c r="E4282" s="10"/>
      <c r="O4282" s="10"/>
      <c r="V4282" s="10"/>
    </row>
    <row r="4283" spans="1:22" x14ac:dyDescent="0.2">
      <c r="A4283" s="27"/>
      <c r="B4283" s="25"/>
      <c r="E4283" s="10"/>
      <c r="O4283" s="10"/>
      <c r="V4283" s="10"/>
    </row>
    <row r="4284" spans="1:22" x14ac:dyDescent="0.2">
      <c r="A4284" s="27"/>
      <c r="B4284" s="25"/>
      <c r="E4284" s="10"/>
      <c r="O4284" s="10"/>
      <c r="V4284" s="10"/>
    </row>
    <row r="4285" spans="1:22" x14ac:dyDescent="0.2">
      <c r="A4285" s="27"/>
      <c r="B4285" s="25"/>
      <c r="E4285" s="10"/>
      <c r="O4285" s="10"/>
      <c r="V4285" s="10"/>
    </row>
    <row r="4286" spans="1:22" x14ac:dyDescent="0.2">
      <c r="A4286" s="27"/>
      <c r="B4286" s="25"/>
      <c r="E4286" s="10"/>
      <c r="O4286" s="10"/>
      <c r="V4286" s="10"/>
    </row>
    <row r="4287" spans="1:22" x14ac:dyDescent="0.2">
      <c r="A4287" s="27"/>
      <c r="B4287" s="25"/>
      <c r="E4287" s="10"/>
      <c r="O4287" s="10"/>
      <c r="V4287" s="10"/>
    </row>
    <row r="4288" spans="1:22" x14ac:dyDescent="0.2">
      <c r="A4288" s="27"/>
      <c r="B4288" s="25"/>
      <c r="E4288" s="10"/>
      <c r="O4288" s="10"/>
      <c r="V4288" s="10"/>
    </row>
    <row r="4289" spans="1:22" x14ac:dyDescent="0.2">
      <c r="A4289" s="27"/>
      <c r="B4289" s="25"/>
      <c r="E4289" s="10"/>
      <c r="O4289" s="10"/>
      <c r="V4289" s="10"/>
    </row>
    <row r="4290" spans="1:22" x14ac:dyDescent="0.2">
      <c r="A4290" s="27"/>
      <c r="B4290" s="25"/>
      <c r="E4290" s="10"/>
      <c r="O4290" s="10"/>
      <c r="V4290" s="10"/>
    </row>
    <row r="4291" spans="1:22" x14ac:dyDescent="0.2">
      <c r="A4291" s="27"/>
      <c r="B4291" s="25"/>
      <c r="E4291" s="10"/>
      <c r="O4291" s="10"/>
      <c r="V4291" s="10"/>
    </row>
    <row r="4292" spans="1:22" x14ac:dyDescent="0.2">
      <c r="A4292" s="27"/>
      <c r="B4292" s="25"/>
      <c r="E4292" s="10"/>
      <c r="O4292" s="10"/>
      <c r="V4292" s="10"/>
    </row>
    <row r="4293" spans="1:22" x14ac:dyDescent="0.2">
      <c r="A4293" s="27"/>
      <c r="B4293" s="25"/>
      <c r="E4293" s="10"/>
      <c r="O4293" s="10"/>
      <c r="V4293" s="10"/>
    </row>
    <row r="4294" spans="1:22" x14ac:dyDescent="0.2">
      <c r="A4294" s="27"/>
      <c r="B4294" s="25"/>
      <c r="E4294" s="10"/>
      <c r="O4294" s="10"/>
      <c r="V4294" s="10"/>
    </row>
    <row r="4295" spans="1:22" x14ac:dyDescent="0.2">
      <c r="A4295" s="27"/>
      <c r="B4295" s="25"/>
      <c r="E4295" s="10"/>
      <c r="O4295" s="10"/>
      <c r="V4295" s="10"/>
    </row>
    <row r="4296" spans="1:22" x14ac:dyDescent="0.2">
      <c r="A4296" s="27"/>
      <c r="B4296" s="25"/>
      <c r="E4296" s="10"/>
      <c r="O4296" s="10"/>
      <c r="V4296" s="10"/>
    </row>
    <row r="4297" spans="1:22" x14ac:dyDescent="0.2">
      <c r="A4297" s="27"/>
      <c r="B4297" s="25"/>
      <c r="E4297" s="10"/>
      <c r="O4297" s="10"/>
      <c r="V4297" s="10"/>
    </row>
    <row r="4298" spans="1:22" x14ac:dyDescent="0.2">
      <c r="A4298" s="27"/>
      <c r="B4298" s="25"/>
      <c r="E4298" s="10"/>
      <c r="O4298" s="10"/>
      <c r="V4298" s="10"/>
    </row>
    <row r="4299" spans="1:22" x14ac:dyDescent="0.2">
      <c r="A4299" s="27"/>
      <c r="B4299" s="25"/>
      <c r="E4299" s="10"/>
      <c r="O4299" s="10"/>
      <c r="V4299" s="10"/>
    </row>
    <row r="4300" spans="1:22" x14ac:dyDescent="0.2">
      <c r="A4300" s="27"/>
      <c r="B4300" s="25"/>
      <c r="E4300" s="10"/>
      <c r="O4300" s="10"/>
      <c r="V4300" s="10"/>
    </row>
    <row r="4301" spans="1:22" x14ac:dyDescent="0.2">
      <c r="A4301" s="27"/>
      <c r="B4301" s="25"/>
      <c r="E4301" s="10"/>
      <c r="O4301" s="10"/>
      <c r="V4301" s="10"/>
    </row>
    <row r="4302" spans="1:22" x14ac:dyDescent="0.2">
      <c r="A4302" s="27"/>
      <c r="B4302" s="25"/>
      <c r="E4302" s="10"/>
      <c r="O4302" s="10"/>
      <c r="V4302" s="10"/>
    </row>
    <row r="4303" spans="1:22" x14ac:dyDescent="0.2">
      <c r="A4303" s="27"/>
      <c r="B4303" s="25"/>
      <c r="E4303" s="10"/>
      <c r="O4303" s="10"/>
      <c r="V4303" s="10"/>
    </row>
    <row r="4304" spans="1:22" x14ac:dyDescent="0.2">
      <c r="A4304" s="27"/>
      <c r="B4304" s="25"/>
      <c r="E4304" s="10"/>
      <c r="O4304" s="10"/>
      <c r="V4304" s="10"/>
    </row>
    <row r="4305" spans="1:22" x14ac:dyDescent="0.2">
      <c r="A4305" s="27"/>
      <c r="B4305" s="25"/>
      <c r="E4305" s="10"/>
      <c r="O4305" s="10"/>
      <c r="V4305" s="10"/>
    </row>
    <row r="4306" spans="1:22" x14ac:dyDescent="0.2">
      <c r="A4306" s="27"/>
      <c r="B4306" s="25"/>
      <c r="E4306" s="10"/>
      <c r="O4306" s="10"/>
      <c r="V4306" s="10"/>
    </row>
    <row r="4307" spans="1:22" x14ac:dyDescent="0.2">
      <c r="A4307" s="27"/>
      <c r="B4307" s="25"/>
      <c r="E4307" s="10"/>
      <c r="O4307" s="10"/>
      <c r="V4307" s="10"/>
    </row>
    <row r="4308" spans="1:22" x14ac:dyDescent="0.2">
      <c r="A4308" s="27"/>
      <c r="B4308" s="25"/>
      <c r="E4308" s="10"/>
      <c r="O4308" s="10"/>
      <c r="V4308" s="10"/>
    </row>
    <row r="4309" spans="1:22" x14ac:dyDescent="0.2">
      <c r="A4309" s="27"/>
      <c r="B4309" s="25"/>
      <c r="E4309" s="10"/>
      <c r="O4309" s="10"/>
      <c r="V4309" s="10"/>
    </row>
    <row r="4310" spans="1:22" x14ac:dyDescent="0.2">
      <c r="A4310" s="27"/>
      <c r="B4310" s="25"/>
      <c r="E4310" s="10"/>
      <c r="O4310" s="10"/>
      <c r="V4310" s="10"/>
    </row>
    <row r="4311" spans="1:22" x14ac:dyDescent="0.2">
      <c r="A4311" s="27"/>
      <c r="B4311" s="25"/>
      <c r="E4311" s="10"/>
      <c r="O4311" s="10"/>
      <c r="V4311" s="10"/>
    </row>
    <row r="4312" spans="1:22" x14ac:dyDescent="0.2">
      <c r="A4312" s="27"/>
      <c r="B4312" s="25"/>
      <c r="E4312" s="10"/>
      <c r="O4312" s="10"/>
      <c r="V4312" s="10"/>
    </row>
    <row r="4313" spans="1:22" x14ac:dyDescent="0.2">
      <c r="A4313" s="27"/>
      <c r="B4313" s="25"/>
      <c r="E4313" s="10"/>
      <c r="O4313" s="10"/>
      <c r="V4313" s="10"/>
    </row>
    <row r="4314" spans="1:22" x14ac:dyDescent="0.2">
      <c r="A4314" s="27"/>
      <c r="B4314" s="25"/>
      <c r="E4314" s="10"/>
      <c r="O4314" s="10"/>
      <c r="V4314" s="10"/>
    </row>
    <row r="4315" spans="1:22" x14ac:dyDescent="0.2">
      <c r="A4315" s="27"/>
      <c r="B4315" s="25"/>
      <c r="E4315" s="10"/>
      <c r="O4315" s="10"/>
      <c r="V4315" s="10"/>
    </row>
    <row r="4316" spans="1:22" x14ac:dyDescent="0.2">
      <c r="A4316" s="27"/>
      <c r="B4316" s="25"/>
      <c r="E4316" s="10"/>
      <c r="O4316" s="10"/>
      <c r="V4316" s="10"/>
    </row>
    <row r="4317" spans="1:22" x14ac:dyDescent="0.2">
      <c r="A4317" s="27"/>
      <c r="B4317" s="25"/>
      <c r="E4317" s="10"/>
      <c r="O4317" s="10"/>
      <c r="V4317" s="10"/>
    </row>
    <row r="4318" spans="1:22" x14ac:dyDescent="0.2">
      <c r="A4318" s="27"/>
      <c r="B4318" s="25"/>
      <c r="E4318" s="10"/>
      <c r="O4318" s="10"/>
      <c r="V4318" s="10"/>
    </row>
    <row r="4319" spans="1:22" x14ac:dyDescent="0.2">
      <c r="A4319" s="27"/>
      <c r="B4319" s="25"/>
      <c r="E4319" s="10"/>
      <c r="O4319" s="10"/>
      <c r="V4319" s="10"/>
    </row>
    <row r="4320" spans="1:22" x14ac:dyDescent="0.2">
      <c r="A4320" s="27"/>
      <c r="B4320" s="25"/>
      <c r="E4320" s="10"/>
      <c r="O4320" s="10"/>
      <c r="V4320" s="10"/>
    </row>
    <row r="4321" spans="1:22" x14ac:dyDescent="0.2">
      <c r="A4321" s="27"/>
      <c r="B4321" s="25"/>
      <c r="E4321" s="10"/>
      <c r="O4321" s="10"/>
      <c r="V4321" s="10"/>
    </row>
    <row r="4322" spans="1:22" x14ac:dyDescent="0.2">
      <c r="A4322" s="27"/>
      <c r="B4322" s="25"/>
      <c r="E4322" s="10"/>
      <c r="O4322" s="10"/>
      <c r="V4322" s="10"/>
    </row>
    <row r="4323" spans="1:22" x14ac:dyDescent="0.2">
      <c r="A4323" s="27"/>
      <c r="B4323" s="25"/>
      <c r="E4323" s="10"/>
      <c r="O4323" s="10"/>
      <c r="V4323" s="10"/>
    </row>
    <row r="4324" spans="1:22" x14ac:dyDescent="0.2">
      <c r="A4324" s="27"/>
      <c r="B4324" s="25"/>
      <c r="E4324" s="10"/>
      <c r="O4324" s="10"/>
      <c r="V4324" s="10"/>
    </row>
    <row r="4325" spans="1:22" x14ac:dyDescent="0.2">
      <c r="A4325" s="27"/>
      <c r="B4325" s="25"/>
      <c r="E4325" s="10"/>
      <c r="O4325" s="10"/>
      <c r="V4325" s="10"/>
    </row>
    <row r="4326" spans="1:22" x14ac:dyDescent="0.2">
      <c r="A4326" s="27"/>
      <c r="B4326" s="25"/>
      <c r="E4326" s="10"/>
      <c r="O4326" s="10"/>
      <c r="V4326" s="10"/>
    </row>
    <row r="4327" spans="1:22" x14ac:dyDescent="0.2">
      <c r="A4327" s="27"/>
      <c r="B4327" s="25"/>
      <c r="E4327" s="10"/>
      <c r="O4327" s="10"/>
      <c r="V4327" s="10"/>
    </row>
    <row r="4328" spans="1:22" x14ac:dyDescent="0.2">
      <c r="A4328" s="27"/>
      <c r="B4328" s="25"/>
      <c r="E4328" s="10"/>
      <c r="O4328" s="10"/>
      <c r="V4328" s="10"/>
    </row>
    <row r="4329" spans="1:22" x14ac:dyDescent="0.2">
      <c r="A4329" s="27"/>
      <c r="B4329" s="25"/>
      <c r="E4329" s="10"/>
      <c r="O4329" s="10"/>
      <c r="V4329" s="10"/>
    </row>
    <row r="4330" spans="1:22" x14ac:dyDescent="0.2">
      <c r="A4330" s="27"/>
      <c r="B4330" s="25"/>
      <c r="E4330" s="10"/>
      <c r="O4330" s="10"/>
      <c r="V4330" s="10"/>
    </row>
    <row r="4331" spans="1:22" x14ac:dyDescent="0.2">
      <c r="A4331" s="27"/>
      <c r="B4331" s="25"/>
      <c r="E4331" s="10"/>
      <c r="O4331" s="10"/>
      <c r="V4331" s="10"/>
    </row>
    <row r="4332" spans="1:22" x14ac:dyDescent="0.2">
      <c r="A4332" s="27"/>
      <c r="B4332" s="25"/>
      <c r="E4332" s="10"/>
      <c r="O4332" s="10"/>
      <c r="V4332" s="10"/>
    </row>
    <row r="4333" spans="1:22" x14ac:dyDescent="0.2">
      <c r="A4333" s="27"/>
      <c r="B4333" s="25"/>
      <c r="E4333" s="10"/>
      <c r="O4333" s="10"/>
      <c r="V4333" s="10"/>
    </row>
    <row r="4334" spans="1:22" x14ac:dyDescent="0.2">
      <c r="A4334" s="27"/>
      <c r="B4334" s="25"/>
      <c r="E4334" s="10"/>
      <c r="O4334" s="10"/>
      <c r="V4334" s="10"/>
    </row>
    <row r="4335" spans="1:22" x14ac:dyDescent="0.2">
      <c r="A4335" s="27"/>
      <c r="B4335" s="25"/>
      <c r="E4335" s="10"/>
      <c r="O4335" s="10"/>
      <c r="V4335" s="10"/>
    </row>
    <row r="4336" spans="1:22" x14ac:dyDescent="0.2">
      <c r="A4336" s="27"/>
      <c r="B4336" s="25"/>
      <c r="E4336" s="10"/>
      <c r="O4336" s="10"/>
      <c r="V4336" s="10"/>
    </row>
    <row r="4337" spans="1:22" x14ac:dyDescent="0.2">
      <c r="A4337" s="27"/>
      <c r="B4337" s="25"/>
      <c r="E4337" s="10"/>
      <c r="O4337" s="10"/>
      <c r="V4337" s="10"/>
    </row>
    <row r="4338" spans="1:22" x14ac:dyDescent="0.2">
      <c r="A4338" s="27"/>
      <c r="B4338" s="25"/>
      <c r="E4338" s="10"/>
      <c r="O4338" s="10"/>
      <c r="V4338" s="10"/>
    </row>
    <row r="4339" spans="1:22" x14ac:dyDescent="0.2">
      <c r="A4339" s="27"/>
      <c r="B4339" s="25"/>
      <c r="E4339" s="10"/>
      <c r="O4339" s="10"/>
      <c r="V4339" s="10"/>
    </row>
    <row r="4340" spans="1:22" x14ac:dyDescent="0.2">
      <c r="A4340" s="27"/>
      <c r="B4340" s="25"/>
      <c r="E4340" s="10"/>
      <c r="O4340" s="10"/>
      <c r="V4340" s="10"/>
    </row>
    <row r="4341" spans="1:22" x14ac:dyDescent="0.2">
      <c r="A4341" s="27"/>
      <c r="B4341" s="25"/>
      <c r="E4341" s="10"/>
      <c r="O4341" s="10"/>
      <c r="V4341" s="10"/>
    </row>
    <row r="4342" spans="1:22" x14ac:dyDescent="0.2">
      <c r="A4342" s="27"/>
      <c r="B4342" s="25"/>
      <c r="E4342" s="10"/>
      <c r="O4342" s="10"/>
      <c r="V4342" s="10"/>
    </row>
    <row r="4343" spans="1:22" x14ac:dyDescent="0.2">
      <c r="A4343" s="27"/>
      <c r="B4343" s="25"/>
      <c r="E4343" s="10"/>
      <c r="O4343" s="10"/>
      <c r="V4343" s="10"/>
    </row>
    <row r="4344" spans="1:22" x14ac:dyDescent="0.2">
      <c r="A4344" s="27"/>
      <c r="B4344" s="25"/>
      <c r="E4344" s="10"/>
      <c r="O4344" s="10"/>
      <c r="V4344" s="10"/>
    </row>
    <row r="4345" spans="1:22" x14ac:dyDescent="0.2">
      <c r="A4345" s="27"/>
      <c r="B4345" s="25"/>
      <c r="E4345" s="10"/>
      <c r="O4345" s="10"/>
      <c r="V4345" s="10"/>
    </row>
    <row r="4346" spans="1:22" x14ac:dyDescent="0.2">
      <c r="A4346" s="27"/>
      <c r="B4346" s="25"/>
      <c r="E4346" s="10"/>
      <c r="O4346" s="10"/>
      <c r="V4346" s="10"/>
    </row>
    <row r="4347" spans="1:22" x14ac:dyDescent="0.2">
      <c r="A4347" s="27"/>
      <c r="B4347" s="25"/>
      <c r="E4347" s="10"/>
      <c r="O4347" s="10"/>
      <c r="V4347" s="10"/>
    </row>
    <row r="4348" spans="1:22" x14ac:dyDescent="0.2">
      <c r="A4348" s="27"/>
      <c r="B4348" s="25"/>
      <c r="E4348" s="10"/>
      <c r="O4348" s="10"/>
      <c r="V4348" s="10"/>
    </row>
    <row r="4349" spans="1:22" x14ac:dyDescent="0.2">
      <c r="A4349" s="27"/>
      <c r="B4349" s="25"/>
      <c r="E4349" s="10"/>
      <c r="O4349" s="10"/>
      <c r="V4349" s="10"/>
    </row>
    <row r="4350" spans="1:22" x14ac:dyDescent="0.2">
      <c r="A4350" s="27"/>
      <c r="B4350" s="25"/>
      <c r="E4350" s="10"/>
      <c r="O4350" s="10"/>
      <c r="V4350" s="10"/>
    </row>
    <row r="4351" spans="1:22" x14ac:dyDescent="0.2">
      <c r="A4351" s="27"/>
      <c r="B4351" s="25"/>
      <c r="E4351" s="10"/>
      <c r="O4351" s="10"/>
      <c r="V4351" s="10"/>
    </row>
    <row r="4352" spans="1:22" x14ac:dyDescent="0.2">
      <c r="A4352" s="27"/>
      <c r="B4352" s="25"/>
      <c r="E4352" s="10"/>
      <c r="O4352" s="10"/>
      <c r="V4352" s="10"/>
    </row>
    <row r="4353" spans="1:22" x14ac:dyDescent="0.2">
      <c r="A4353" s="27"/>
      <c r="B4353" s="25"/>
      <c r="E4353" s="10"/>
      <c r="O4353" s="10"/>
      <c r="V4353" s="10"/>
    </row>
    <row r="4354" spans="1:22" x14ac:dyDescent="0.2">
      <c r="A4354" s="27"/>
      <c r="B4354" s="25"/>
      <c r="E4354" s="10"/>
      <c r="O4354" s="10"/>
      <c r="V4354" s="10"/>
    </row>
    <row r="4355" spans="1:22" x14ac:dyDescent="0.2">
      <c r="A4355" s="27"/>
      <c r="B4355" s="25"/>
      <c r="E4355" s="10"/>
      <c r="O4355" s="10"/>
      <c r="V4355" s="10"/>
    </row>
    <row r="4356" spans="1:22" x14ac:dyDescent="0.2">
      <c r="A4356" s="27"/>
      <c r="B4356" s="25"/>
      <c r="E4356" s="10"/>
      <c r="O4356" s="10"/>
      <c r="V4356" s="10"/>
    </row>
    <row r="4357" spans="1:22" x14ac:dyDescent="0.2">
      <c r="A4357" s="27"/>
      <c r="B4357" s="25"/>
      <c r="E4357" s="10"/>
      <c r="O4357" s="10"/>
      <c r="V4357" s="10"/>
    </row>
    <row r="4358" spans="1:22" x14ac:dyDescent="0.2">
      <c r="A4358" s="27"/>
      <c r="B4358" s="25"/>
      <c r="E4358" s="10"/>
      <c r="O4358" s="10"/>
      <c r="V4358" s="10"/>
    </row>
    <row r="4359" spans="1:22" x14ac:dyDescent="0.2">
      <c r="A4359" s="27"/>
      <c r="B4359" s="25"/>
      <c r="E4359" s="10"/>
      <c r="O4359" s="10"/>
      <c r="V4359" s="10"/>
    </row>
    <row r="4360" spans="1:22" x14ac:dyDescent="0.2">
      <c r="A4360" s="27"/>
      <c r="B4360" s="25"/>
      <c r="E4360" s="10"/>
      <c r="O4360" s="10"/>
      <c r="V4360" s="10"/>
    </row>
    <row r="4361" spans="1:22" x14ac:dyDescent="0.2">
      <c r="A4361" s="27"/>
      <c r="B4361" s="25"/>
      <c r="E4361" s="10"/>
      <c r="O4361" s="10"/>
      <c r="V4361" s="10"/>
    </row>
    <row r="4362" spans="1:22" x14ac:dyDescent="0.2">
      <c r="A4362" s="27"/>
      <c r="B4362" s="25"/>
      <c r="E4362" s="10"/>
      <c r="O4362" s="10"/>
      <c r="V4362" s="10"/>
    </row>
    <row r="4363" spans="1:22" x14ac:dyDescent="0.2">
      <c r="A4363" s="27"/>
      <c r="B4363" s="25"/>
      <c r="E4363" s="10"/>
      <c r="O4363" s="10"/>
      <c r="V4363" s="10"/>
    </row>
    <row r="4364" spans="1:22" x14ac:dyDescent="0.2">
      <c r="A4364" s="27"/>
      <c r="B4364" s="25"/>
      <c r="E4364" s="10"/>
      <c r="O4364" s="10"/>
      <c r="V4364" s="10"/>
    </row>
    <row r="4365" spans="1:22" x14ac:dyDescent="0.2">
      <c r="A4365" s="27"/>
      <c r="B4365" s="25"/>
      <c r="E4365" s="10"/>
      <c r="O4365" s="10"/>
      <c r="V4365" s="10"/>
    </row>
    <row r="4366" spans="1:22" x14ac:dyDescent="0.2">
      <c r="A4366" s="27"/>
      <c r="B4366" s="25"/>
      <c r="E4366" s="10"/>
      <c r="O4366" s="10"/>
      <c r="V4366" s="10"/>
    </row>
    <row r="4367" spans="1:22" x14ac:dyDescent="0.2">
      <c r="A4367" s="27"/>
      <c r="B4367" s="25"/>
      <c r="E4367" s="10"/>
      <c r="O4367" s="10"/>
      <c r="V4367" s="10"/>
    </row>
    <row r="4368" spans="1:22" x14ac:dyDescent="0.2">
      <c r="A4368" s="27"/>
      <c r="B4368" s="25"/>
      <c r="E4368" s="10"/>
      <c r="O4368" s="10"/>
      <c r="V4368" s="10"/>
    </row>
    <row r="4369" spans="1:22" x14ac:dyDescent="0.2">
      <c r="A4369" s="27"/>
      <c r="B4369" s="25"/>
      <c r="E4369" s="10"/>
      <c r="O4369" s="10"/>
      <c r="V4369" s="10"/>
    </row>
    <row r="4370" spans="1:22" x14ac:dyDescent="0.2">
      <c r="A4370" s="27"/>
      <c r="B4370" s="25"/>
      <c r="E4370" s="10"/>
      <c r="O4370" s="10"/>
      <c r="V4370" s="10"/>
    </row>
    <row r="4371" spans="1:22" x14ac:dyDescent="0.2">
      <c r="A4371" s="27"/>
      <c r="B4371" s="25"/>
      <c r="E4371" s="10"/>
      <c r="O4371" s="10"/>
      <c r="V4371" s="10"/>
    </row>
    <row r="4372" spans="1:22" x14ac:dyDescent="0.2">
      <c r="A4372" s="27"/>
      <c r="B4372" s="25"/>
      <c r="E4372" s="10"/>
      <c r="O4372" s="10"/>
      <c r="V4372" s="10"/>
    </row>
    <row r="4373" spans="1:22" x14ac:dyDescent="0.2">
      <c r="A4373" s="27"/>
      <c r="B4373" s="25"/>
      <c r="E4373" s="10"/>
      <c r="O4373" s="10"/>
      <c r="V4373" s="10"/>
    </row>
    <row r="4374" spans="1:22" x14ac:dyDescent="0.2">
      <c r="A4374" s="27"/>
      <c r="B4374" s="25"/>
      <c r="E4374" s="10"/>
      <c r="O4374" s="10"/>
      <c r="V4374" s="10"/>
    </row>
    <row r="4375" spans="1:22" x14ac:dyDescent="0.2">
      <c r="A4375" s="27"/>
      <c r="B4375" s="25"/>
      <c r="E4375" s="10"/>
      <c r="O4375" s="10"/>
      <c r="V4375" s="10"/>
    </row>
    <row r="4376" spans="1:22" x14ac:dyDescent="0.2">
      <c r="A4376" s="27"/>
      <c r="B4376" s="25"/>
      <c r="E4376" s="10"/>
      <c r="O4376" s="10"/>
      <c r="V4376" s="10"/>
    </row>
    <row r="4377" spans="1:22" x14ac:dyDescent="0.2">
      <c r="A4377" s="27"/>
      <c r="B4377" s="25"/>
      <c r="E4377" s="10"/>
      <c r="O4377" s="10"/>
      <c r="V4377" s="10"/>
    </row>
    <row r="4378" spans="1:22" x14ac:dyDescent="0.2">
      <c r="A4378" s="27"/>
      <c r="B4378" s="25"/>
      <c r="E4378" s="10"/>
      <c r="O4378" s="10"/>
      <c r="V4378" s="10"/>
    </row>
    <row r="4379" spans="1:22" x14ac:dyDescent="0.2">
      <c r="A4379" s="27"/>
      <c r="B4379" s="25"/>
      <c r="E4379" s="10"/>
      <c r="O4379" s="10"/>
      <c r="V4379" s="10"/>
    </row>
    <row r="4380" spans="1:22" x14ac:dyDescent="0.2">
      <c r="A4380" s="27"/>
      <c r="B4380" s="25"/>
      <c r="E4380" s="10"/>
      <c r="O4380" s="10"/>
      <c r="V4380" s="10"/>
    </row>
    <row r="4381" spans="1:22" x14ac:dyDescent="0.2">
      <c r="A4381" s="27"/>
      <c r="B4381" s="25"/>
      <c r="E4381" s="10"/>
      <c r="O4381" s="10"/>
      <c r="V4381" s="10"/>
    </row>
    <row r="4382" spans="1:22" x14ac:dyDescent="0.2">
      <c r="A4382" s="27"/>
      <c r="B4382" s="25"/>
      <c r="E4382" s="10"/>
      <c r="O4382" s="10"/>
      <c r="V4382" s="10"/>
    </row>
    <row r="4383" spans="1:22" x14ac:dyDescent="0.2">
      <c r="A4383" s="27"/>
      <c r="B4383" s="25"/>
      <c r="E4383" s="10"/>
      <c r="O4383" s="10"/>
      <c r="V4383" s="10"/>
    </row>
    <row r="4384" spans="1:22" x14ac:dyDescent="0.2">
      <c r="A4384" s="27"/>
      <c r="B4384" s="25"/>
      <c r="E4384" s="10"/>
      <c r="O4384" s="10"/>
      <c r="V4384" s="10"/>
    </row>
    <row r="4385" spans="1:22" x14ac:dyDescent="0.2">
      <c r="A4385" s="27"/>
      <c r="B4385" s="25"/>
      <c r="E4385" s="10"/>
      <c r="O4385" s="10"/>
      <c r="V4385" s="10"/>
    </row>
    <row r="4386" spans="1:22" x14ac:dyDescent="0.2">
      <c r="A4386" s="27"/>
      <c r="B4386" s="25"/>
      <c r="E4386" s="10"/>
      <c r="O4386" s="10"/>
      <c r="V4386" s="10"/>
    </row>
    <row r="4387" spans="1:22" x14ac:dyDescent="0.2">
      <c r="A4387" s="27"/>
      <c r="B4387" s="25"/>
      <c r="E4387" s="10"/>
      <c r="O4387" s="10"/>
      <c r="V4387" s="10"/>
    </row>
    <row r="4388" spans="1:22" x14ac:dyDescent="0.2">
      <c r="A4388" s="27"/>
      <c r="B4388" s="25"/>
      <c r="E4388" s="10"/>
      <c r="O4388" s="10"/>
      <c r="V4388" s="10"/>
    </row>
    <row r="4389" spans="1:22" x14ac:dyDescent="0.2">
      <c r="A4389" s="27"/>
      <c r="B4389" s="25"/>
      <c r="E4389" s="10"/>
      <c r="O4389" s="10"/>
      <c r="V4389" s="10"/>
    </row>
    <row r="4390" spans="1:22" x14ac:dyDescent="0.2">
      <c r="A4390" s="27"/>
      <c r="B4390" s="25"/>
      <c r="E4390" s="10"/>
      <c r="O4390" s="10"/>
      <c r="V4390" s="10"/>
    </row>
    <row r="4391" spans="1:22" x14ac:dyDescent="0.2">
      <c r="A4391" s="27"/>
      <c r="B4391" s="25"/>
      <c r="E4391" s="10"/>
      <c r="O4391" s="10"/>
      <c r="V4391" s="10"/>
    </row>
    <row r="4392" spans="1:22" x14ac:dyDescent="0.2">
      <c r="A4392" s="27"/>
      <c r="B4392" s="25"/>
      <c r="E4392" s="10"/>
      <c r="O4392" s="10"/>
      <c r="V4392" s="10"/>
    </row>
    <row r="4393" spans="1:22" x14ac:dyDescent="0.2">
      <c r="A4393" s="27"/>
      <c r="B4393" s="25"/>
      <c r="E4393" s="10"/>
      <c r="O4393" s="10"/>
      <c r="V4393" s="10"/>
    </row>
    <row r="4394" spans="1:22" x14ac:dyDescent="0.2">
      <c r="A4394" s="27"/>
      <c r="B4394" s="25"/>
      <c r="E4394" s="10"/>
      <c r="O4394" s="10"/>
      <c r="V4394" s="10"/>
    </row>
    <row r="4395" spans="1:22" x14ac:dyDescent="0.2">
      <c r="A4395" s="27"/>
      <c r="B4395" s="25"/>
      <c r="E4395" s="10"/>
      <c r="O4395" s="10"/>
      <c r="V4395" s="10"/>
    </row>
    <row r="4396" spans="1:22" x14ac:dyDescent="0.2">
      <c r="A4396" s="27"/>
      <c r="B4396" s="25"/>
      <c r="E4396" s="10"/>
      <c r="O4396" s="10"/>
      <c r="V4396" s="10"/>
    </row>
    <row r="4397" spans="1:22" x14ac:dyDescent="0.2">
      <c r="A4397" s="27"/>
      <c r="B4397" s="25"/>
      <c r="E4397" s="10"/>
      <c r="O4397" s="10"/>
      <c r="V4397" s="10"/>
    </row>
    <row r="4398" spans="1:22" x14ac:dyDescent="0.2">
      <c r="A4398" s="27"/>
      <c r="B4398" s="25"/>
      <c r="E4398" s="10"/>
      <c r="O4398" s="10"/>
      <c r="V4398" s="10"/>
    </row>
    <row r="4399" spans="1:22" x14ac:dyDescent="0.2">
      <c r="A4399" s="27"/>
      <c r="B4399" s="25"/>
      <c r="E4399" s="10"/>
      <c r="O4399" s="10"/>
      <c r="V4399" s="10"/>
    </row>
    <row r="4400" spans="1:22" x14ac:dyDescent="0.2">
      <c r="A4400" s="27"/>
      <c r="B4400" s="25"/>
      <c r="E4400" s="10"/>
      <c r="O4400" s="10"/>
      <c r="V4400" s="10"/>
    </row>
    <row r="4401" spans="1:22" x14ac:dyDescent="0.2">
      <c r="A4401" s="27"/>
      <c r="B4401" s="25"/>
      <c r="E4401" s="10"/>
      <c r="O4401" s="10"/>
      <c r="V4401" s="10"/>
    </row>
    <row r="4402" spans="1:22" x14ac:dyDescent="0.2">
      <c r="A4402" s="27"/>
      <c r="B4402" s="25"/>
      <c r="E4402" s="10"/>
      <c r="O4402" s="10"/>
      <c r="V4402" s="10"/>
    </row>
    <row r="4403" spans="1:22" x14ac:dyDescent="0.2">
      <c r="A4403" s="27"/>
      <c r="B4403" s="25"/>
      <c r="E4403" s="10"/>
      <c r="O4403" s="10"/>
      <c r="V4403" s="10"/>
    </row>
    <row r="4404" spans="1:22" x14ac:dyDescent="0.2">
      <c r="A4404" s="27"/>
      <c r="B4404" s="25"/>
      <c r="E4404" s="10"/>
      <c r="O4404" s="10"/>
      <c r="V4404" s="10"/>
    </row>
    <row r="4405" spans="1:22" x14ac:dyDescent="0.2">
      <c r="A4405" s="27"/>
      <c r="B4405" s="25"/>
      <c r="E4405" s="10"/>
      <c r="O4405" s="10"/>
      <c r="V4405" s="10"/>
    </row>
    <row r="4406" spans="1:22" x14ac:dyDescent="0.2">
      <c r="A4406" s="27"/>
      <c r="B4406" s="25"/>
      <c r="E4406" s="10"/>
      <c r="O4406" s="10"/>
      <c r="V4406" s="10"/>
    </row>
    <row r="4407" spans="1:22" x14ac:dyDescent="0.2">
      <c r="A4407" s="27"/>
      <c r="B4407" s="25"/>
      <c r="E4407" s="10"/>
      <c r="O4407" s="10"/>
      <c r="V4407" s="10"/>
    </row>
    <row r="4408" spans="1:22" x14ac:dyDescent="0.2">
      <c r="A4408" s="27"/>
      <c r="B4408" s="25"/>
      <c r="E4408" s="10"/>
      <c r="O4408" s="10"/>
      <c r="V4408" s="10"/>
    </row>
    <row r="4409" spans="1:22" x14ac:dyDescent="0.2">
      <c r="A4409" s="27"/>
      <c r="B4409" s="25"/>
      <c r="E4409" s="10"/>
      <c r="O4409" s="10"/>
      <c r="V4409" s="10"/>
    </row>
    <row r="4410" spans="1:22" x14ac:dyDescent="0.2">
      <c r="A4410" s="27"/>
      <c r="B4410" s="25"/>
      <c r="E4410" s="10"/>
      <c r="O4410" s="10"/>
      <c r="V4410" s="10"/>
    </row>
    <row r="4411" spans="1:22" x14ac:dyDescent="0.2">
      <c r="A4411" s="27"/>
      <c r="B4411" s="25"/>
      <c r="E4411" s="10"/>
      <c r="O4411" s="10"/>
      <c r="V4411" s="10"/>
    </row>
    <row r="4412" spans="1:22" x14ac:dyDescent="0.2">
      <c r="A4412" s="27"/>
      <c r="B4412" s="25"/>
      <c r="E4412" s="10"/>
      <c r="O4412" s="10"/>
      <c r="V4412" s="10"/>
    </row>
    <row r="4413" spans="1:22" x14ac:dyDescent="0.2">
      <c r="A4413" s="27"/>
      <c r="B4413" s="25"/>
      <c r="E4413" s="10"/>
      <c r="O4413" s="10"/>
      <c r="V4413" s="10"/>
    </row>
    <row r="4414" spans="1:22" x14ac:dyDescent="0.2">
      <c r="A4414" s="27"/>
      <c r="B4414" s="25"/>
      <c r="E4414" s="10"/>
      <c r="O4414" s="10"/>
      <c r="V4414" s="10"/>
    </row>
    <row r="4415" spans="1:22" x14ac:dyDescent="0.2">
      <c r="A4415" s="27"/>
      <c r="B4415" s="25"/>
      <c r="E4415" s="10"/>
      <c r="O4415" s="10"/>
      <c r="V4415" s="10"/>
    </row>
    <row r="4416" spans="1:22" x14ac:dyDescent="0.2">
      <c r="A4416" s="27"/>
      <c r="B4416" s="25"/>
      <c r="E4416" s="10"/>
      <c r="O4416" s="10"/>
      <c r="V4416" s="10"/>
    </row>
    <row r="4417" spans="1:22" x14ac:dyDescent="0.2">
      <c r="A4417" s="27"/>
      <c r="B4417" s="25"/>
      <c r="E4417" s="10"/>
      <c r="O4417" s="10"/>
      <c r="V4417" s="10"/>
    </row>
    <row r="4418" spans="1:22" x14ac:dyDescent="0.2">
      <c r="A4418" s="27"/>
      <c r="B4418" s="25"/>
      <c r="E4418" s="10"/>
      <c r="O4418" s="10"/>
      <c r="V4418" s="10"/>
    </row>
    <row r="4419" spans="1:22" x14ac:dyDescent="0.2">
      <c r="A4419" s="27"/>
      <c r="B4419" s="25"/>
      <c r="E4419" s="10"/>
      <c r="O4419" s="10"/>
      <c r="V4419" s="10"/>
    </row>
    <row r="4420" spans="1:22" x14ac:dyDescent="0.2">
      <c r="A4420" s="27"/>
      <c r="B4420" s="25"/>
      <c r="E4420" s="10"/>
      <c r="O4420" s="10"/>
      <c r="V4420" s="10"/>
    </row>
    <row r="4421" spans="1:22" x14ac:dyDescent="0.2">
      <c r="A4421" s="27"/>
      <c r="B4421" s="25"/>
      <c r="E4421" s="10"/>
      <c r="O4421" s="10"/>
      <c r="V4421" s="10"/>
    </row>
    <row r="4422" spans="1:22" x14ac:dyDescent="0.2">
      <c r="A4422" s="27"/>
      <c r="B4422" s="25"/>
      <c r="E4422" s="10"/>
      <c r="O4422" s="10"/>
      <c r="V4422" s="10"/>
    </row>
    <row r="4423" spans="1:22" x14ac:dyDescent="0.2">
      <c r="A4423" s="27"/>
      <c r="B4423" s="25"/>
      <c r="E4423" s="10"/>
      <c r="O4423" s="10"/>
      <c r="V4423" s="10"/>
    </row>
    <row r="4424" spans="1:22" x14ac:dyDescent="0.2">
      <c r="A4424" s="27"/>
      <c r="B4424" s="25"/>
      <c r="E4424" s="10"/>
      <c r="O4424" s="10"/>
      <c r="V4424" s="10"/>
    </row>
    <row r="4425" spans="1:22" x14ac:dyDescent="0.2">
      <c r="A4425" s="27"/>
      <c r="B4425" s="25"/>
      <c r="E4425" s="10"/>
      <c r="O4425" s="10"/>
      <c r="V4425" s="10"/>
    </row>
    <row r="4426" spans="1:22" x14ac:dyDescent="0.2">
      <c r="A4426" s="27"/>
      <c r="B4426" s="25"/>
      <c r="E4426" s="10"/>
      <c r="O4426" s="10"/>
      <c r="V4426" s="10"/>
    </row>
    <row r="4427" spans="1:22" x14ac:dyDescent="0.2">
      <c r="A4427" s="27"/>
      <c r="B4427" s="25"/>
      <c r="E4427" s="10"/>
      <c r="O4427" s="10"/>
      <c r="V4427" s="10"/>
    </row>
    <row r="4428" spans="1:22" x14ac:dyDescent="0.2">
      <c r="A4428" s="27"/>
      <c r="B4428" s="25"/>
      <c r="E4428" s="10"/>
      <c r="O4428" s="10"/>
      <c r="V4428" s="10"/>
    </row>
    <row r="4429" spans="1:22" x14ac:dyDescent="0.2">
      <c r="A4429" s="27"/>
      <c r="B4429" s="25"/>
      <c r="E4429" s="10"/>
      <c r="O4429" s="10"/>
      <c r="V4429" s="10"/>
    </row>
    <row r="4430" spans="1:22" x14ac:dyDescent="0.2">
      <c r="A4430" s="27"/>
      <c r="B4430" s="25"/>
      <c r="E4430" s="10"/>
      <c r="O4430" s="10"/>
      <c r="V4430" s="10"/>
    </row>
    <row r="4431" spans="1:22" x14ac:dyDescent="0.2">
      <c r="A4431" s="27"/>
      <c r="B4431" s="25"/>
      <c r="E4431" s="10"/>
      <c r="O4431" s="10"/>
      <c r="V4431" s="10"/>
    </row>
    <row r="4432" spans="1:22" x14ac:dyDescent="0.2">
      <c r="A4432" s="27"/>
      <c r="B4432" s="25"/>
      <c r="E4432" s="10"/>
      <c r="O4432" s="10"/>
      <c r="V4432" s="10"/>
    </row>
    <row r="4433" spans="1:22" x14ac:dyDescent="0.2">
      <c r="A4433" s="27"/>
      <c r="B4433" s="25"/>
      <c r="E4433" s="10"/>
      <c r="O4433" s="10"/>
      <c r="V4433" s="10"/>
    </row>
    <row r="4434" spans="1:22" x14ac:dyDescent="0.2">
      <c r="A4434" s="27"/>
      <c r="B4434" s="25"/>
      <c r="E4434" s="10"/>
      <c r="O4434" s="10"/>
      <c r="V4434" s="10"/>
    </row>
    <row r="4435" spans="1:22" x14ac:dyDescent="0.2">
      <c r="A4435" s="27"/>
      <c r="B4435" s="25"/>
      <c r="E4435" s="10"/>
      <c r="O4435" s="10"/>
      <c r="V4435" s="10"/>
    </row>
    <row r="4436" spans="1:22" x14ac:dyDescent="0.2">
      <c r="A4436" s="27"/>
      <c r="B4436" s="25"/>
      <c r="E4436" s="10"/>
      <c r="O4436" s="10"/>
      <c r="V4436" s="10"/>
    </row>
    <row r="4437" spans="1:22" x14ac:dyDescent="0.2">
      <c r="A4437" s="27"/>
      <c r="B4437" s="25"/>
      <c r="E4437" s="10"/>
      <c r="O4437" s="10"/>
      <c r="V4437" s="10"/>
    </row>
    <row r="4438" spans="1:22" x14ac:dyDescent="0.2">
      <c r="A4438" s="27"/>
      <c r="B4438" s="25"/>
      <c r="E4438" s="10"/>
      <c r="O4438" s="10"/>
      <c r="V4438" s="10"/>
    </row>
    <row r="4439" spans="1:22" x14ac:dyDescent="0.2">
      <c r="A4439" s="27"/>
      <c r="B4439" s="25"/>
      <c r="E4439" s="10"/>
      <c r="O4439" s="10"/>
      <c r="V4439" s="10"/>
    </row>
    <row r="4440" spans="1:22" x14ac:dyDescent="0.2">
      <c r="A4440" s="27"/>
      <c r="B4440" s="25"/>
      <c r="E4440" s="10"/>
      <c r="O4440" s="10"/>
      <c r="V4440" s="10"/>
    </row>
    <row r="4441" spans="1:22" x14ac:dyDescent="0.2">
      <c r="A4441" s="27"/>
      <c r="B4441" s="25"/>
      <c r="E4441" s="10"/>
      <c r="O4441" s="10"/>
      <c r="V4441" s="10"/>
    </row>
    <row r="4442" spans="1:22" x14ac:dyDescent="0.2">
      <c r="A4442" s="27"/>
      <c r="B4442" s="25"/>
      <c r="E4442" s="10"/>
      <c r="O4442" s="10"/>
      <c r="V4442" s="10"/>
    </row>
    <row r="4443" spans="1:22" x14ac:dyDescent="0.2">
      <c r="A4443" s="27"/>
      <c r="B4443" s="25"/>
      <c r="E4443" s="10"/>
      <c r="O4443" s="10"/>
      <c r="V4443" s="10"/>
    </row>
    <row r="4444" spans="1:22" x14ac:dyDescent="0.2">
      <c r="A4444" s="27"/>
      <c r="B4444" s="25"/>
      <c r="E4444" s="10"/>
      <c r="O4444" s="10"/>
      <c r="V4444" s="10"/>
    </row>
    <row r="4445" spans="1:22" x14ac:dyDescent="0.2">
      <c r="A4445" s="27"/>
      <c r="B4445" s="25"/>
      <c r="E4445" s="10"/>
      <c r="O4445" s="10"/>
      <c r="V4445" s="10"/>
    </row>
    <row r="4446" spans="1:22" x14ac:dyDescent="0.2">
      <c r="A4446" s="27"/>
      <c r="B4446" s="25"/>
      <c r="E4446" s="10"/>
      <c r="O4446" s="10"/>
      <c r="V4446" s="10"/>
    </row>
    <row r="4447" spans="1:22" x14ac:dyDescent="0.2">
      <c r="A4447" s="27"/>
      <c r="B4447" s="25"/>
      <c r="E4447" s="10"/>
      <c r="O4447" s="10"/>
      <c r="V4447" s="10"/>
    </row>
    <row r="4448" spans="1:22" x14ac:dyDescent="0.2">
      <c r="A4448" s="27"/>
      <c r="B4448" s="25"/>
      <c r="E4448" s="10"/>
      <c r="O4448" s="10"/>
      <c r="V4448" s="10"/>
    </row>
    <row r="4449" spans="1:22" x14ac:dyDescent="0.2">
      <c r="A4449" s="27"/>
      <c r="B4449" s="25"/>
      <c r="E4449" s="10"/>
      <c r="O4449" s="10"/>
      <c r="V4449" s="10"/>
    </row>
    <row r="4450" spans="1:22" x14ac:dyDescent="0.2">
      <c r="A4450" s="27"/>
      <c r="B4450" s="25"/>
      <c r="E4450" s="10"/>
      <c r="O4450" s="10"/>
      <c r="V4450" s="10"/>
    </row>
    <row r="4451" spans="1:22" x14ac:dyDescent="0.2">
      <c r="A4451" s="27"/>
      <c r="B4451" s="25"/>
      <c r="E4451" s="10"/>
      <c r="O4451" s="10"/>
      <c r="V4451" s="10"/>
    </row>
    <row r="4452" spans="1:22" x14ac:dyDescent="0.2">
      <c r="A4452" s="27"/>
      <c r="B4452" s="25"/>
      <c r="E4452" s="10"/>
      <c r="O4452" s="10"/>
      <c r="V4452" s="10"/>
    </row>
    <row r="4453" spans="1:22" x14ac:dyDescent="0.2">
      <c r="A4453" s="27"/>
      <c r="B4453" s="25"/>
      <c r="E4453" s="10"/>
      <c r="O4453" s="10"/>
      <c r="V4453" s="10"/>
    </row>
    <row r="4454" spans="1:22" x14ac:dyDescent="0.2">
      <c r="A4454" s="27"/>
      <c r="B4454" s="25"/>
      <c r="E4454" s="10"/>
      <c r="O4454" s="10"/>
      <c r="V4454" s="10"/>
    </row>
    <row r="4455" spans="1:22" x14ac:dyDescent="0.2">
      <c r="A4455" s="27"/>
      <c r="B4455" s="25"/>
      <c r="E4455" s="10"/>
      <c r="O4455" s="10"/>
      <c r="V4455" s="10"/>
    </row>
    <row r="4456" spans="1:22" x14ac:dyDescent="0.2">
      <c r="A4456" s="27"/>
      <c r="B4456" s="25"/>
      <c r="E4456" s="10"/>
      <c r="O4456" s="10"/>
      <c r="V4456" s="10"/>
    </row>
    <row r="4457" spans="1:22" x14ac:dyDescent="0.2">
      <c r="A4457" s="27"/>
      <c r="B4457" s="25"/>
      <c r="E4457" s="10"/>
      <c r="O4457" s="10"/>
      <c r="V4457" s="10"/>
    </row>
    <row r="4458" spans="1:22" x14ac:dyDescent="0.2">
      <c r="A4458" s="27"/>
      <c r="B4458" s="25"/>
      <c r="E4458" s="10"/>
      <c r="O4458" s="10"/>
      <c r="V4458" s="10"/>
    </row>
    <row r="4459" spans="1:22" x14ac:dyDescent="0.2">
      <c r="A4459" s="27"/>
      <c r="B4459" s="25"/>
      <c r="E4459" s="10"/>
      <c r="O4459" s="10"/>
      <c r="V4459" s="10"/>
    </row>
    <row r="4460" spans="1:22" x14ac:dyDescent="0.2">
      <c r="A4460" s="27"/>
      <c r="B4460" s="25"/>
      <c r="E4460" s="10"/>
      <c r="O4460" s="10"/>
      <c r="V4460" s="10"/>
    </row>
    <row r="4461" spans="1:22" x14ac:dyDescent="0.2">
      <c r="A4461" s="27"/>
      <c r="B4461" s="25"/>
      <c r="E4461" s="10"/>
      <c r="O4461" s="10"/>
      <c r="V4461" s="10"/>
    </row>
    <row r="4462" spans="1:22" x14ac:dyDescent="0.2">
      <c r="A4462" s="27"/>
      <c r="B4462" s="25"/>
      <c r="E4462" s="10"/>
      <c r="O4462" s="10"/>
      <c r="V4462" s="10"/>
    </row>
    <row r="4463" spans="1:22" x14ac:dyDescent="0.2">
      <c r="A4463" s="27"/>
      <c r="B4463" s="25"/>
      <c r="E4463" s="10"/>
      <c r="O4463" s="10"/>
      <c r="V4463" s="10"/>
    </row>
    <row r="4464" spans="1:22" x14ac:dyDescent="0.2">
      <c r="A4464" s="27"/>
      <c r="B4464" s="25"/>
      <c r="E4464" s="10"/>
      <c r="O4464" s="10"/>
      <c r="V4464" s="10"/>
    </row>
    <row r="4465" spans="1:22" x14ac:dyDescent="0.2">
      <c r="A4465" s="27"/>
      <c r="B4465" s="25"/>
      <c r="E4465" s="10"/>
      <c r="O4465" s="10"/>
      <c r="V4465" s="10"/>
    </row>
    <row r="4466" spans="1:22" x14ac:dyDescent="0.2">
      <c r="A4466" s="27"/>
      <c r="B4466" s="25"/>
      <c r="E4466" s="10"/>
      <c r="O4466" s="10"/>
      <c r="V4466" s="10"/>
    </row>
    <row r="4467" spans="1:22" x14ac:dyDescent="0.2">
      <c r="A4467" s="27"/>
      <c r="B4467" s="25"/>
      <c r="E4467" s="10"/>
      <c r="O4467" s="10"/>
      <c r="V4467" s="10"/>
    </row>
    <row r="4468" spans="1:22" x14ac:dyDescent="0.2">
      <c r="A4468" s="27"/>
      <c r="B4468" s="25"/>
      <c r="E4468" s="10"/>
      <c r="O4468" s="10"/>
      <c r="V4468" s="10"/>
    </row>
    <row r="4469" spans="1:22" x14ac:dyDescent="0.2">
      <c r="A4469" s="27"/>
      <c r="B4469" s="25"/>
      <c r="E4469" s="10"/>
      <c r="O4469" s="10"/>
      <c r="V4469" s="10"/>
    </row>
    <row r="4470" spans="1:22" x14ac:dyDescent="0.2">
      <c r="A4470" s="27"/>
      <c r="B4470" s="25"/>
      <c r="E4470" s="10"/>
      <c r="O4470" s="10"/>
      <c r="V4470" s="10"/>
    </row>
    <row r="4471" spans="1:22" x14ac:dyDescent="0.2">
      <c r="A4471" s="27"/>
      <c r="B4471" s="25"/>
      <c r="E4471" s="10"/>
      <c r="O4471" s="10"/>
      <c r="V4471" s="10"/>
    </row>
    <row r="4472" spans="1:22" x14ac:dyDescent="0.2">
      <c r="A4472" s="27"/>
      <c r="B4472" s="25"/>
      <c r="E4472" s="10"/>
      <c r="O4472" s="10"/>
      <c r="V4472" s="10"/>
    </row>
    <row r="4473" spans="1:22" x14ac:dyDescent="0.2">
      <c r="A4473" s="27"/>
      <c r="B4473" s="25"/>
      <c r="E4473" s="10"/>
      <c r="O4473" s="10"/>
      <c r="V4473" s="10"/>
    </row>
    <row r="4474" spans="1:22" x14ac:dyDescent="0.2">
      <c r="A4474" s="27"/>
      <c r="B4474" s="25"/>
      <c r="E4474" s="10"/>
      <c r="O4474" s="10"/>
      <c r="V4474" s="10"/>
    </row>
    <row r="4475" spans="1:22" x14ac:dyDescent="0.2">
      <c r="A4475" s="27"/>
      <c r="B4475" s="25"/>
      <c r="E4475" s="10"/>
      <c r="O4475" s="10"/>
      <c r="V4475" s="10"/>
    </row>
    <row r="4476" spans="1:22" x14ac:dyDescent="0.2">
      <c r="A4476" s="27"/>
      <c r="B4476" s="25"/>
      <c r="E4476" s="10"/>
      <c r="O4476" s="10"/>
      <c r="V4476" s="10"/>
    </row>
    <row r="4477" spans="1:22" x14ac:dyDescent="0.2">
      <c r="A4477" s="27"/>
      <c r="B4477" s="25"/>
      <c r="E4477" s="10"/>
      <c r="O4477" s="10"/>
      <c r="V4477" s="10"/>
    </row>
    <row r="4478" spans="1:22" x14ac:dyDescent="0.2">
      <c r="A4478" s="27"/>
      <c r="B4478" s="25"/>
      <c r="E4478" s="10"/>
      <c r="O4478" s="10"/>
      <c r="V4478" s="10"/>
    </row>
    <row r="4479" spans="1:22" x14ac:dyDescent="0.2">
      <c r="A4479" s="27"/>
      <c r="B4479" s="25"/>
      <c r="E4479" s="10"/>
      <c r="O4479" s="10"/>
      <c r="V4479" s="10"/>
    </row>
    <row r="4480" spans="1:22" x14ac:dyDescent="0.2">
      <c r="A4480" s="27"/>
      <c r="B4480" s="25"/>
      <c r="E4480" s="10"/>
      <c r="O4480" s="10"/>
      <c r="V4480" s="10"/>
    </row>
    <row r="4481" spans="1:22" x14ac:dyDescent="0.2">
      <c r="A4481" s="27"/>
      <c r="B4481" s="25"/>
      <c r="E4481" s="10"/>
      <c r="O4481" s="10"/>
      <c r="V4481" s="10"/>
    </row>
    <row r="4482" spans="1:22" x14ac:dyDescent="0.2">
      <c r="A4482" s="27"/>
      <c r="B4482" s="25"/>
      <c r="E4482" s="10"/>
      <c r="O4482" s="10"/>
      <c r="V4482" s="10"/>
    </row>
    <row r="4483" spans="1:22" x14ac:dyDescent="0.2">
      <c r="A4483" s="27"/>
      <c r="B4483" s="25"/>
      <c r="E4483" s="10"/>
      <c r="O4483" s="10"/>
      <c r="V4483" s="10"/>
    </row>
    <row r="4484" spans="1:22" x14ac:dyDescent="0.2">
      <c r="A4484" s="27"/>
      <c r="B4484" s="25"/>
      <c r="E4484" s="10"/>
      <c r="O4484" s="10"/>
      <c r="V4484" s="10"/>
    </row>
    <row r="4485" spans="1:22" x14ac:dyDescent="0.2">
      <c r="A4485" s="27"/>
      <c r="B4485" s="25"/>
      <c r="E4485" s="10"/>
      <c r="O4485" s="10"/>
      <c r="V4485" s="10"/>
    </row>
    <row r="4486" spans="1:22" x14ac:dyDescent="0.2">
      <c r="A4486" s="27"/>
      <c r="B4486" s="25"/>
      <c r="E4486" s="10"/>
      <c r="O4486" s="10"/>
      <c r="V4486" s="10"/>
    </row>
    <row r="4487" spans="1:22" x14ac:dyDescent="0.2">
      <c r="A4487" s="27"/>
      <c r="B4487" s="25"/>
      <c r="E4487" s="10"/>
      <c r="O4487" s="10"/>
      <c r="V4487" s="10"/>
    </row>
    <row r="4488" spans="1:22" x14ac:dyDescent="0.2">
      <c r="A4488" s="27"/>
      <c r="B4488" s="25"/>
      <c r="E4488" s="10"/>
      <c r="O4488" s="10"/>
      <c r="V4488" s="10"/>
    </row>
    <row r="4489" spans="1:22" x14ac:dyDescent="0.2">
      <c r="A4489" s="27"/>
      <c r="B4489" s="25"/>
      <c r="E4489" s="10"/>
      <c r="O4489" s="10"/>
      <c r="V4489" s="10"/>
    </row>
    <row r="4490" spans="1:22" x14ac:dyDescent="0.2">
      <c r="A4490" s="27"/>
      <c r="B4490" s="25"/>
      <c r="E4490" s="10"/>
      <c r="O4490" s="10"/>
      <c r="V4490" s="10"/>
    </row>
    <row r="4491" spans="1:22" x14ac:dyDescent="0.2">
      <c r="A4491" s="27"/>
      <c r="B4491" s="25"/>
      <c r="E4491" s="10"/>
      <c r="O4491" s="10"/>
      <c r="V4491" s="10"/>
    </row>
    <row r="4492" spans="1:22" x14ac:dyDescent="0.2">
      <c r="A4492" s="27"/>
      <c r="B4492" s="25"/>
      <c r="E4492" s="10"/>
      <c r="O4492" s="10"/>
      <c r="V4492" s="10"/>
    </row>
    <row r="4493" spans="1:22" x14ac:dyDescent="0.2">
      <c r="A4493" s="27"/>
      <c r="B4493" s="25"/>
      <c r="E4493" s="10"/>
      <c r="O4493" s="10"/>
      <c r="V4493" s="10"/>
    </row>
    <row r="4494" spans="1:22" x14ac:dyDescent="0.2">
      <c r="A4494" s="27"/>
      <c r="B4494" s="25"/>
      <c r="E4494" s="10"/>
      <c r="O4494" s="10"/>
      <c r="V4494" s="10"/>
    </row>
    <row r="4495" spans="1:22" x14ac:dyDescent="0.2">
      <c r="A4495" s="27"/>
      <c r="B4495" s="25"/>
      <c r="E4495" s="10"/>
      <c r="O4495" s="10"/>
      <c r="V4495" s="10"/>
    </row>
    <row r="4496" spans="1:22" x14ac:dyDescent="0.2">
      <c r="A4496" s="27"/>
      <c r="B4496" s="25"/>
      <c r="E4496" s="10"/>
      <c r="O4496" s="10"/>
      <c r="V4496" s="10"/>
    </row>
    <row r="4497" spans="1:22" x14ac:dyDescent="0.2">
      <c r="A4497" s="27"/>
      <c r="B4497" s="25"/>
      <c r="E4497" s="10"/>
      <c r="O4497" s="10"/>
      <c r="V4497" s="10"/>
    </row>
    <row r="4498" spans="1:22" x14ac:dyDescent="0.2">
      <c r="A4498" s="27"/>
      <c r="B4498" s="25"/>
      <c r="E4498" s="10"/>
      <c r="O4498" s="10"/>
      <c r="V4498" s="10"/>
    </row>
    <row r="4499" spans="1:22" x14ac:dyDescent="0.2">
      <c r="A4499" s="27"/>
      <c r="B4499" s="25"/>
      <c r="E4499" s="10"/>
      <c r="O4499" s="10"/>
      <c r="V4499" s="10"/>
    </row>
    <row r="4500" spans="1:22" x14ac:dyDescent="0.2">
      <c r="A4500" s="27"/>
      <c r="B4500" s="25"/>
      <c r="E4500" s="10"/>
      <c r="O4500" s="10"/>
      <c r="V4500" s="10"/>
    </row>
    <row r="4501" spans="1:22" x14ac:dyDescent="0.2">
      <c r="A4501" s="27"/>
      <c r="B4501" s="25"/>
      <c r="E4501" s="10"/>
      <c r="O4501" s="10"/>
      <c r="V4501" s="10"/>
    </row>
    <row r="4502" spans="1:22" x14ac:dyDescent="0.2">
      <c r="A4502" s="27"/>
      <c r="B4502" s="25"/>
      <c r="E4502" s="10"/>
      <c r="O4502" s="10"/>
      <c r="V4502" s="10"/>
    </row>
    <row r="4503" spans="1:22" x14ac:dyDescent="0.2">
      <c r="A4503" s="27"/>
      <c r="B4503" s="25"/>
      <c r="E4503" s="10"/>
      <c r="O4503" s="10"/>
      <c r="V4503" s="10"/>
    </row>
    <row r="4504" spans="1:22" x14ac:dyDescent="0.2">
      <c r="A4504" s="27"/>
      <c r="B4504" s="25"/>
      <c r="E4504" s="10"/>
      <c r="O4504" s="10"/>
      <c r="V4504" s="10"/>
    </row>
    <row r="4505" spans="1:22" x14ac:dyDescent="0.2">
      <c r="A4505" s="27"/>
      <c r="B4505" s="25"/>
      <c r="E4505" s="10"/>
      <c r="O4505" s="10"/>
      <c r="V4505" s="10"/>
    </row>
    <row r="4506" spans="1:22" x14ac:dyDescent="0.2">
      <c r="A4506" s="27"/>
      <c r="B4506" s="25"/>
      <c r="E4506" s="10"/>
      <c r="O4506" s="10"/>
      <c r="V4506" s="10"/>
    </row>
    <row r="4507" spans="1:22" x14ac:dyDescent="0.2">
      <c r="A4507" s="27"/>
      <c r="B4507" s="25"/>
      <c r="E4507" s="10"/>
      <c r="O4507" s="10"/>
      <c r="V4507" s="10"/>
    </row>
    <row r="4508" spans="1:22" x14ac:dyDescent="0.2">
      <c r="A4508" s="27"/>
      <c r="B4508" s="25"/>
      <c r="E4508" s="10"/>
      <c r="O4508" s="10"/>
      <c r="V4508" s="10"/>
    </row>
    <row r="4509" spans="1:22" x14ac:dyDescent="0.2">
      <c r="A4509" s="27"/>
      <c r="B4509" s="25"/>
      <c r="E4509" s="10"/>
      <c r="O4509" s="10"/>
      <c r="V4509" s="10"/>
    </row>
    <row r="4510" spans="1:22" x14ac:dyDescent="0.2">
      <c r="A4510" s="27"/>
      <c r="B4510" s="25"/>
      <c r="E4510" s="10"/>
      <c r="O4510" s="10"/>
      <c r="V4510" s="10"/>
    </row>
    <row r="4511" spans="1:22" x14ac:dyDescent="0.2">
      <c r="A4511" s="27"/>
      <c r="B4511" s="25"/>
      <c r="E4511" s="10"/>
      <c r="O4511" s="10"/>
      <c r="V4511" s="10"/>
    </row>
    <row r="4512" spans="1:22" x14ac:dyDescent="0.2">
      <c r="A4512" s="27"/>
      <c r="B4512" s="25"/>
      <c r="E4512" s="10"/>
      <c r="O4512" s="10"/>
      <c r="V4512" s="10"/>
    </row>
    <row r="4513" spans="1:22" x14ac:dyDescent="0.2">
      <c r="A4513" s="27"/>
      <c r="B4513" s="25"/>
      <c r="E4513" s="10"/>
      <c r="O4513" s="10"/>
      <c r="V4513" s="10"/>
    </row>
    <row r="4514" spans="1:22" x14ac:dyDescent="0.2">
      <c r="A4514" s="27"/>
      <c r="B4514" s="25"/>
      <c r="E4514" s="10"/>
      <c r="O4514" s="10"/>
      <c r="V4514" s="10"/>
    </row>
    <row r="4515" spans="1:22" x14ac:dyDescent="0.2">
      <c r="A4515" s="27"/>
      <c r="B4515" s="25"/>
      <c r="E4515" s="10"/>
      <c r="O4515" s="10"/>
      <c r="V4515" s="10"/>
    </row>
    <row r="4516" spans="1:22" x14ac:dyDescent="0.2">
      <c r="A4516" s="27"/>
      <c r="B4516" s="25"/>
      <c r="E4516" s="10"/>
      <c r="O4516" s="10"/>
      <c r="V4516" s="10"/>
    </row>
    <row r="4517" spans="1:22" x14ac:dyDescent="0.2">
      <c r="A4517" s="27"/>
      <c r="B4517" s="25"/>
      <c r="E4517" s="10"/>
      <c r="O4517" s="10"/>
      <c r="V4517" s="10"/>
    </row>
    <row r="4518" spans="1:22" x14ac:dyDescent="0.2">
      <c r="A4518" s="27"/>
      <c r="B4518" s="25"/>
      <c r="E4518" s="10"/>
      <c r="O4518" s="10"/>
      <c r="V4518" s="10"/>
    </row>
    <row r="4519" spans="1:22" x14ac:dyDescent="0.2">
      <c r="A4519" s="27"/>
      <c r="B4519" s="25"/>
      <c r="E4519" s="10"/>
      <c r="O4519" s="10"/>
      <c r="V4519" s="10"/>
    </row>
    <row r="4520" spans="1:22" x14ac:dyDescent="0.2">
      <c r="A4520" s="27"/>
      <c r="B4520" s="25"/>
      <c r="E4520" s="10"/>
      <c r="O4520" s="10"/>
      <c r="V4520" s="10"/>
    </row>
    <row r="4521" spans="1:22" x14ac:dyDescent="0.2">
      <c r="A4521" s="27"/>
      <c r="B4521" s="25"/>
      <c r="E4521" s="10"/>
      <c r="O4521" s="10"/>
      <c r="V4521" s="10"/>
    </row>
    <row r="4522" spans="1:22" x14ac:dyDescent="0.2">
      <c r="A4522" s="27"/>
      <c r="B4522" s="25"/>
      <c r="E4522" s="10"/>
      <c r="O4522" s="10"/>
      <c r="V4522" s="10"/>
    </row>
    <row r="4523" spans="1:22" x14ac:dyDescent="0.2">
      <c r="A4523" s="27"/>
      <c r="B4523" s="25"/>
      <c r="E4523" s="10"/>
      <c r="O4523" s="10"/>
      <c r="V4523" s="10"/>
    </row>
    <row r="4524" spans="1:22" x14ac:dyDescent="0.2">
      <c r="A4524" s="27"/>
      <c r="B4524" s="25"/>
      <c r="E4524" s="10"/>
      <c r="O4524" s="10"/>
      <c r="V4524" s="10"/>
    </row>
    <row r="4525" spans="1:22" x14ac:dyDescent="0.2">
      <c r="A4525" s="27"/>
      <c r="B4525" s="25"/>
      <c r="E4525" s="10"/>
      <c r="O4525" s="10"/>
      <c r="V4525" s="10"/>
    </row>
    <row r="4526" spans="1:22" x14ac:dyDescent="0.2">
      <c r="A4526" s="27"/>
      <c r="B4526" s="25"/>
      <c r="E4526" s="10"/>
      <c r="O4526" s="10"/>
      <c r="V4526" s="10"/>
    </row>
    <row r="4527" spans="1:22" x14ac:dyDescent="0.2">
      <c r="A4527" s="27"/>
      <c r="B4527" s="25"/>
      <c r="E4527" s="10"/>
      <c r="O4527" s="10"/>
      <c r="V4527" s="10"/>
    </row>
    <row r="4528" spans="1:22" x14ac:dyDescent="0.2">
      <c r="A4528" s="27"/>
      <c r="B4528" s="25"/>
      <c r="E4528" s="10"/>
      <c r="O4528" s="10"/>
      <c r="V4528" s="10"/>
    </row>
    <row r="4529" spans="1:22" x14ac:dyDescent="0.2">
      <c r="A4529" s="27"/>
      <c r="B4529" s="25"/>
      <c r="E4529" s="10"/>
      <c r="O4529" s="10"/>
      <c r="V4529" s="10"/>
    </row>
    <row r="4530" spans="1:22" x14ac:dyDescent="0.2">
      <c r="A4530" s="27"/>
      <c r="B4530" s="25"/>
      <c r="E4530" s="10"/>
      <c r="O4530" s="10"/>
      <c r="V4530" s="10"/>
    </row>
    <row r="4531" spans="1:22" x14ac:dyDescent="0.2">
      <c r="A4531" s="27"/>
      <c r="B4531" s="25"/>
      <c r="E4531" s="10"/>
      <c r="O4531" s="10"/>
      <c r="V4531" s="10"/>
    </row>
    <row r="4532" spans="1:22" x14ac:dyDescent="0.2">
      <c r="A4532" s="27"/>
      <c r="B4532" s="25"/>
      <c r="E4532" s="10"/>
      <c r="O4532" s="10"/>
      <c r="V4532" s="10"/>
    </row>
    <row r="4533" spans="1:22" x14ac:dyDescent="0.2">
      <c r="A4533" s="27"/>
      <c r="B4533" s="25"/>
      <c r="E4533" s="10"/>
      <c r="O4533" s="10"/>
      <c r="V4533" s="10"/>
    </row>
    <row r="4534" spans="1:22" x14ac:dyDescent="0.2">
      <c r="A4534" s="27"/>
      <c r="B4534" s="25"/>
      <c r="E4534" s="10"/>
      <c r="O4534" s="10"/>
      <c r="V4534" s="10"/>
    </row>
    <row r="4535" spans="1:22" x14ac:dyDescent="0.2">
      <c r="A4535" s="27"/>
      <c r="B4535" s="25"/>
      <c r="E4535" s="10"/>
      <c r="O4535" s="10"/>
      <c r="V4535" s="10"/>
    </row>
    <row r="4536" spans="1:22" x14ac:dyDescent="0.2">
      <c r="A4536" s="27"/>
      <c r="B4536" s="25"/>
      <c r="E4536" s="10"/>
      <c r="O4536" s="10"/>
      <c r="V4536" s="10"/>
    </row>
    <row r="4537" spans="1:22" x14ac:dyDescent="0.2">
      <c r="A4537" s="27"/>
      <c r="B4537" s="25"/>
      <c r="E4537" s="10"/>
      <c r="O4537" s="10"/>
      <c r="V4537" s="10"/>
    </row>
    <row r="4538" spans="1:22" x14ac:dyDescent="0.2">
      <c r="A4538" s="27"/>
      <c r="B4538" s="25"/>
      <c r="E4538" s="10"/>
      <c r="O4538" s="10"/>
      <c r="V4538" s="10"/>
    </row>
    <row r="4539" spans="1:22" x14ac:dyDescent="0.2">
      <c r="A4539" s="27"/>
      <c r="B4539" s="25"/>
      <c r="E4539" s="10"/>
      <c r="O4539" s="10"/>
      <c r="V4539" s="10"/>
    </row>
    <row r="4540" spans="1:22" x14ac:dyDescent="0.2">
      <c r="A4540" s="27"/>
      <c r="B4540" s="25"/>
      <c r="E4540" s="10"/>
      <c r="O4540" s="10"/>
      <c r="V4540" s="10"/>
    </row>
    <row r="4541" spans="1:22" x14ac:dyDescent="0.2">
      <c r="A4541" s="27"/>
      <c r="B4541" s="25"/>
      <c r="E4541" s="10"/>
      <c r="O4541" s="10"/>
      <c r="V4541" s="10"/>
    </row>
    <row r="4542" spans="1:22" x14ac:dyDescent="0.2">
      <c r="A4542" s="27"/>
      <c r="B4542" s="25"/>
      <c r="E4542" s="10"/>
      <c r="O4542" s="10"/>
      <c r="V4542" s="10"/>
    </row>
    <row r="4543" spans="1:22" x14ac:dyDescent="0.2">
      <c r="A4543" s="27"/>
      <c r="B4543" s="25"/>
      <c r="E4543" s="10"/>
      <c r="O4543" s="10"/>
      <c r="V4543" s="10"/>
    </row>
    <row r="4544" spans="1:22" x14ac:dyDescent="0.2">
      <c r="A4544" s="27"/>
      <c r="B4544" s="25"/>
      <c r="E4544" s="10"/>
      <c r="O4544" s="10"/>
      <c r="V4544" s="10"/>
    </row>
    <row r="4545" spans="1:22" x14ac:dyDescent="0.2">
      <c r="A4545" s="27"/>
      <c r="B4545" s="25"/>
      <c r="E4545" s="10"/>
      <c r="O4545" s="10"/>
      <c r="V4545" s="10"/>
    </row>
    <row r="4546" spans="1:22" x14ac:dyDescent="0.2">
      <c r="A4546" s="27"/>
      <c r="B4546" s="25"/>
      <c r="E4546" s="10"/>
      <c r="O4546" s="10"/>
      <c r="V4546" s="10"/>
    </row>
    <row r="4547" spans="1:22" x14ac:dyDescent="0.2">
      <c r="A4547" s="27"/>
      <c r="B4547" s="25"/>
      <c r="E4547" s="10"/>
      <c r="O4547" s="10"/>
      <c r="V4547" s="10"/>
    </row>
    <row r="4548" spans="1:22" x14ac:dyDescent="0.2">
      <c r="A4548" s="27"/>
      <c r="B4548" s="25"/>
      <c r="E4548" s="10"/>
      <c r="O4548" s="10"/>
      <c r="V4548" s="10"/>
    </row>
    <row r="4549" spans="1:22" x14ac:dyDescent="0.2">
      <c r="A4549" s="27"/>
      <c r="B4549" s="25"/>
      <c r="E4549" s="10"/>
      <c r="O4549" s="10"/>
      <c r="V4549" s="10"/>
    </row>
    <row r="4550" spans="1:22" x14ac:dyDescent="0.2">
      <c r="A4550" s="27"/>
      <c r="B4550" s="25"/>
      <c r="E4550" s="10"/>
      <c r="O4550" s="10"/>
      <c r="V4550" s="10"/>
    </row>
    <row r="4551" spans="1:22" x14ac:dyDescent="0.2">
      <c r="A4551" s="27"/>
      <c r="B4551" s="25"/>
      <c r="E4551" s="10"/>
      <c r="O4551" s="10"/>
      <c r="V4551" s="10"/>
    </row>
    <row r="4552" spans="1:22" x14ac:dyDescent="0.2">
      <c r="A4552" s="27"/>
      <c r="B4552" s="25"/>
      <c r="E4552" s="10"/>
      <c r="O4552" s="10"/>
      <c r="V4552" s="10"/>
    </row>
    <row r="4553" spans="1:22" x14ac:dyDescent="0.2">
      <c r="A4553" s="27"/>
      <c r="B4553" s="25"/>
      <c r="E4553" s="10"/>
      <c r="O4553" s="10"/>
      <c r="V4553" s="10"/>
    </row>
    <row r="4554" spans="1:22" x14ac:dyDescent="0.2">
      <c r="A4554" s="27"/>
      <c r="B4554" s="25"/>
      <c r="E4554" s="10"/>
      <c r="O4554" s="10"/>
      <c r="V4554" s="10"/>
    </row>
    <row r="4555" spans="1:22" x14ac:dyDescent="0.2">
      <c r="A4555" s="27"/>
      <c r="B4555" s="25"/>
      <c r="E4555" s="10"/>
      <c r="O4555" s="10"/>
      <c r="V4555" s="10"/>
    </row>
    <row r="4556" spans="1:22" x14ac:dyDescent="0.2">
      <c r="A4556" s="27"/>
      <c r="B4556" s="25"/>
      <c r="E4556" s="10"/>
      <c r="O4556" s="10"/>
      <c r="V4556" s="10"/>
    </row>
    <row r="4557" spans="1:22" x14ac:dyDescent="0.2">
      <c r="A4557" s="27"/>
      <c r="B4557" s="25"/>
      <c r="E4557" s="10"/>
      <c r="O4557" s="10"/>
      <c r="V4557" s="10"/>
    </row>
    <row r="4558" spans="1:22" x14ac:dyDescent="0.2">
      <c r="A4558" s="27"/>
      <c r="B4558" s="25"/>
      <c r="E4558" s="10"/>
      <c r="O4558" s="10"/>
      <c r="V4558" s="10"/>
    </row>
    <row r="4559" spans="1:22" x14ac:dyDescent="0.2">
      <c r="A4559" s="27"/>
      <c r="B4559" s="25"/>
      <c r="E4559" s="10"/>
      <c r="O4559" s="10"/>
      <c r="V4559" s="10"/>
    </row>
    <row r="4560" spans="1:22" x14ac:dyDescent="0.2">
      <c r="A4560" s="27"/>
      <c r="B4560" s="25"/>
      <c r="E4560" s="10"/>
      <c r="O4560" s="10"/>
      <c r="V4560" s="10"/>
    </row>
    <row r="4561" spans="1:22" x14ac:dyDescent="0.2">
      <c r="A4561" s="27"/>
      <c r="B4561" s="25"/>
      <c r="E4561" s="10"/>
      <c r="O4561" s="10"/>
      <c r="V4561" s="10"/>
    </row>
    <row r="4562" spans="1:22" x14ac:dyDescent="0.2">
      <c r="A4562" s="27"/>
      <c r="B4562" s="25"/>
      <c r="E4562" s="10"/>
      <c r="O4562" s="10"/>
      <c r="V4562" s="10"/>
    </row>
    <row r="4563" spans="1:22" x14ac:dyDescent="0.2">
      <c r="A4563" s="27"/>
      <c r="B4563" s="25"/>
      <c r="E4563" s="10"/>
      <c r="O4563" s="10"/>
      <c r="V4563" s="10"/>
    </row>
    <row r="4564" spans="1:22" x14ac:dyDescent="0.2">
      <c r="A4564" s="27"/>
      <c r="B4564" s="25"/>
      <c r="E4564" s="10"/>
      <c r="O4564" s="10"/>
      <c r="V4564" s="10"/>
    </row>
    <row r="4565" spans="1:22" x14ac:dyDescent="0.2">
      <c r="A4565" s="27"/>
      <c r="B4565" s="25"/>
      <c r="E4565" s="10"/>
      <c r="O4565" s="10"/>
      <c r="V4565" s="10"/>
    </row>
    <row r="4566" spans="1:22" x14ac:dyDescent="0.2">
      <c r="A4566" s="27"/>
      <c r="B4566" s="25"/>
      <c r="E4566" s="10"/>
      <c r="O4566" s="10"/>
      <c r="V4566" s="10"/>
    </row>
    <row r="4567" spans="1:22" x14ac:dyDescent="0.2">
      <c r="A4567" s="27"/>
      <c r="B4567" s="25"/>
      <c r="E4567" s="10"/>
      <c r="O4567" s="10"/>
      <c r="V4567" s="10"/>
    </row>
    <row r="4568" spans="1:22" x14ac:dyDescent="0.2">
      <c r="A4568" s="27"/>
      <c r="B4568" s="25"/>
      <c r="E4568" s="10"/>
      <c r="O4568" s="10"/>
      <c r="V4568" s="10"/>
    </row>
    <row r="4569" spans="1:22" x14ac:dyDescent="0.2">
      <c r="A4569" s="27"/>
      <c r="B4569" s="25"/>
      <c r="E4569" s="10"/>
      <c r="O4569" s="10"/>
      <c r="V4569" s="10"/>
    </row>
    <row r="4570" spans="1:22" x14ac:dyDescent="0.2">
      <c r="A4570" s="27"/>
      <c r="B4570" s="25"/>
      <c r="E4570" s="10"/>
      <c r="O4570" s="10"/>
      <c r="V4570" s="10"/>
    </row>
    <row r="4571" spans="1:22" x14ac:dyDescent="0.2">
      <c r="A4571" s="27"/>
      <c r="B4571" s="25"/>
      <c r="E4571" s="10"/>
      <c r="O4571" s="10"/>
      <c r="V4571" s="10"/>
    </row>
    <row r="4572" spans="1:22" x14ac:dyDescent="0.2">
      <c r="A4572" s="27"/>
      <c r="B4572" s="25"/>
      <c r="E4572" s="10"/>
      <c r="O4572" s="10"/>
      <c r="V4572" s="10"/>
    </row>
    <row r="4573" spans="1:22" x14ac:dyDescent="0.2">
      <c r="A4573" s="27"/>
      <c r="B4573" s="25"/>
      <c r="E4573" s="10"/>
      <c r="O4573" s="10"/>
      <c r="V4573" s="10"/>
    </row>
    <row r="4574" spans="1:22" x14ac:dyDescent="0.2">
      <c r="A4574" s="27"/>
      <c r="B4574" s="25"/>
      <c r="E4574" s="10"/>
      <c r="O4574" s="10"/>
      <c r="V4574" s="10"/>
    </row>
    <row r="4575" spans="1:22" x14ac:dyDescent="0.2">
      <c r="A4575" s="27"/>
      <c r="B4575" s="25"/>
      <c r="E4575" s="10"/>
      <c r="O4575" s="10"/>
      <c r="V4575" s="10"/>
    </row>
    <row r="4576" spans="1:22" x14ac:dyDescent="0.2">
      <c r="A4576" s="27"/>
      <c r="B4576" s="25"/>
      <c r="E4576" s="10"/>
      <c r="O4576" s="10"/>
      <c r="V4576" s="10"/>
    </row>
    <row r="4577" spans="1:22" x14ac:dyDescent="0.2">
      <c r="A4577" s="27"/>
      <c r="B4577" s="25"/>
      <c r="E4577" s="10"/>
      <c r="O4577" s="10"/>
      <c r="V4577" s="10"/>
    </row>
    <row r="4578" spans="1:22" x14ac:dyDescent="0.2">
      <c r="A4578" s="27"/>
      <c r="B4578" s="25"/>
      <c r="E4578" s="10"/>
      <c r="O4578" s="10"/>
      <c r="V4578" s="10"/>
    </row>
    <row r="4579" spans="1:22" x14ac:dyDescent="0.2">
      <c r="A4579" s="27"/>
      <c r="B4579" s="25"/>
      <c r="E4579" s="10"/>
      <c r="O4579" s="10"/>
      <c r="V4579" s="10"/>
    </row>
    <row r="4580" spans="1:22" x14ac:dyDescent="0.2">
      <c r="A4580" s="27"/>
      <c r="B4580" s="25"/>
      <c r="E4580" s="10"/>
      <c r="O4580" s="10"/>
      <c r="V4580" s="10"/>
    </row>
    <row r="4581" spans="1:22" x14ac:dyDescent="0.2">
      <c r="A4581" s="27"/>
      <c r="B4581" s="25"/>
      <c r="E4581" s="10"/>
      <c r="O4581" s="10"/>
      <c r="V4581" s="10"/>
    </row>
    <row r="4582" spans="1:22" x14ac:dyDescent="0.2">
      <c r="A4582" s="27"/>
      <c r="B4582" s="25"/>
      <c r="E4582" s="10"/>
      <c r="O4582" s="10"/>
      <c r="V4582" s="10"/>
    </row>
    <row r="4583" spans="1:22" x14ac:dyDescent="0.2">
      <c r="A4583" s="27"/>
      <c r="B4583" s="25"/>
      <c r="E4583" s="10"/>
      <c r="O4583" s="10"/>
      <c r="V4583" s="10"/>
    </row>
    <row r="4584" spans="1:22" x14ac:dyDescent="0.2">
      <c r="A4584" s="27"/>
      <c r="B4584" s="25"/>
      <c r="E4584" s="10"/>
      <c r="O4584" s="10"/>
      <c r="V4584" s="10"/>
    </row>
    <row r="4585" spans="1:22" x14ac:dyDescent="0.2">
      <c r="A4585" s="27"/>
      <c r="B4585" s="25"/>
      <c r="E4585" s="10"/>
      <c r="O4585" s="10"/>
      <c r="V4585" s="10"/>
    </row>
    <row r="4586" spans="1:22" x14ac:dyDescent="0.2">
      <c r="A4586" s="27"/>
      <c r="B4586" s="25"/>
      <c r="E4586" s="10"/>
      <c r="O4586" s="10"/>
      <c r="V4586" s="10"/>
    </row>
    <row r="4587" spans="1:22" x14ac:dyDescent="0.2">
      <c r="A4587" s="27"/>
      <c r="B4587" s="25"/>
      <c r="E4587" s="10"/>
      <c r="O4587" s="10"/>
      <c r="V4587" s="10"/>
    </row>
    <row r="4588" spans="1:22" x14ac:dyDescent="0.2">
      <c r="A4588" s="27"/>
      <c r="B4588" s="25"/>
      <c r="E4588" s="10"/>
      <c r="O4588" s="10"/>
      <c r="V4588" s="10"/>
    </row>
    <row r="4589" spans="1:22" x14ac:dyDescent="0.2">
      <c r="A4589" s="27"/>
      <c r="B4589" s="25"/>
      <c r="E4589" s="10"/>
      <c r="O4589" s="10"/>
      <c r="V4589" s="10"/>
    </row>
    <row r="4590" spans="1:22" x14ac:dyDescent="0.2">
      <c r="A4590" s="27"/>
      <c r="B4590" s="25"/>
      <c r="E4590" s="10"/>
      <c r="O4590" s="10"/>
      <c r="V4590" s="10"/>
    </row>
    <row r="4591" spans="1:22" x14ac:dyDescent="0.2">
      <c r="A4591" s="27"/>
      <c r="B4591" s="25"/>
      <c r="E4591" s="10"/>
      <c r="O4591" s="10"/>
      <c r="V4591" s="10"/>
    </row>
    <row r="4592" spans="1:22" x14ac:dyDescent="0.2">
      <c r="A4592" s="27"/>
      <c r="B4592" s="25"/>
      <c r="E4592" s="10"/>
      <c r="O4592" s="10"/>
      <c r="V4592" s="10"/>
    </row>
    <row r="4593" spans="1:22" x14ac:dyDescent="0.2">
      <c r="A4593" s="27"/>
      <c r="B4593" s="25"/>
      <c r="E4593" s="10"/>
      <c r="O4593" s="10"/>
      <c r="V4593" s="10"/>
    </row>
    <row r="4594" spans="1:22" x14ac:dyDescent="0.2">
      <c r="A4594" s="27"/>
      <c r="B4594" s="25"/>
      <c r="E4594" s="10"/>
      <c r="O4594" s="10"/>
      <c r="V4594" s="10"/>
    </row>
    <row r="4595" spans="1:22" x14ac:dyDescent="0.2">
      <c r="A4595" s="27"/>
      <c r="B4595" s="25"/>
      <c r="E4595" s="10"/>
      <c r="O4595" s="10"/>
      <c r="V4595" s="10"/>
    </row>
    <row r="4596" spans="1:22" x14ac:dyDescent="0.2">
      <c r="A4596" s="27"/>
      <c r="B4596" s="25"/>
      <c r="E4596" s="10"/>
      <c r="O4596" s="10"/>
      <c r="V4596" s="10"/>
    </row>
    <row r="4597" spans="1:22" x14ac:dyDescent="0.2">
      <c r="A4597" s="27"/>
      <c r="B4597" s="25"/>
      <c r="E4597" s="10"/>
      <c r="O4597" s="10"/>
      <c r="V4597" s="10"/>
    </row>
    <row r="4598" spans="1:22" x14ac:dyDescent="0.2">
      <c r="A4598" s="27"/>
      <c r="B4598" s="25"/>
      <c r="E4598" s="10"/>
      <c r="O4598" s="10"/>
      <c r="V4598" s="10"/>
    </row>
    <row r="4599" spans="1:22" x14ac:dyDescent="0.2">
      <c r="A4599" s="27"/>
      <c r="B4599" s="25"/>
      <c r="E4599" s="10"/>
      <c r="O4599" s="10"/>
      <c r="V4599" s="10"/>
    </row>
    <row r="4600" spans="1:22" x14ac:dyDescent="0.2">
      <c r="A4600" s="27"/>
      <c r="B4600" s="25"/>
      <c r="E4600" s="10"/>
      <c r="O4600" s="10"/>
      <c r="V4600" s="10"/>
    </row>
    <row r="4601" spans="1:22" x14ac:dyDescent="0.2">
      <c r="A4601" s="27"/>
      <c r="B4601" s="25"/>
      <c r="E4601" s="10"/>
      <c r="O4601" s="10"/>
      <c r="V4601" s="10"/>
    </row>
    <row r="4602" spans="1:22" x14ac:dyDescent="0.2">
      <c r="A4602" s="27"/>
      <c r="B4602" s="25"/>
      <c r="E4602" s="10"/>
      <c r="O4602" s="10"/>
      <c r="V4602" s="10"/>
    </row>
    <row r="4603" spans="1:22" x14ac:dyDescent="0.2">
      <c r="A4603" s="27"/>
      <c r="B4603" s="25"/>
      <c r="E4603" s="10"/>
      <c r="O4603" s="10"/>
      <c r="V4603" s="10"/>
    </row>
    <row r="4604" spans="1:22" x14ac:dyDescent="0.2">
      <c r="A4604" s="27"/>
      <c r="B4604" s="25"/>
      <c r="E4604" s="10"/>
      <c r="O4604" s="10"/>
      <c r="V4604" s="10"/>
    </row>
    <row r="4605" spans="1:22" x14ac:dyDescent="0.2">
      <c r="A4605" s="27"/>
      <c r="B4605" s="25"/>
      <c r="E4605" s="10"/>
      <c r="O4605" s="10"/>
      <c r="V4605" s="10"/>
    </row>
    <row r="4606" spans="1:22" x14ac:dyDescent="0.2">
      <c r="A4606" s="27"/>
      <c r="B4606" s="25"/>
      <c r="E4606" s="10"/>
      <c r="O4606" s="10"/>
      <c r="V4606" s="10"/>
    </row>
    <row r="4607" spans="1:22" x14ac:dyDescent="0.2">
      <c r="A4607" s="27"/>
      <c r="B4607" s="25"/>
      <c r="E4607" s="10"/>
      <c r="O4607" s="10"/>
      <c r="V4607" s="10"/>
    </row>
    <row r="4608" spans="1:22" x14ac:dyDescent="0.2">
      <c r="A4608" s="27"/>
      <c r="B4608" s="25"/>
      <c r="E4608" s="10"/>
      <c r="O4608" s="10"/>
      <c r="V4608" s="10"/>
    </row>
    <row r="4609" spans="1:22" x14ac:dyDescent="0.2">
      <c r="A4609" s="27"/>
      <c r="B4609" s="25"/>
      <c r="E4609" s="10"/>
      <c r="O4609" s="10"/>
      <c r="V4609" s="10"/>
    </row>
    <row r="4610" spans="1:22" x14ac:dyDescent="0.2">
      <c r="A4610" s="27"/>
      <c r="B4610" s="25"/>
      <c r="E4610" s="10"/>
      <c r="O4610" s="10"/>
      <c r="V4610" s="10"/>
    </row>
    <row r="4611" spans="1:22" x14ac:dyDescent="0.2">
      <c r="A4611" s="27"/>
      <c r="B4611" s="25"/>
      <c r="E4611" s="10"/>
      <c r="O4611" s="10"/>
      <c r="V4611" s="10"/>
    </row>
    <row r="4612" spans="1:22" x14ac:dyDescent="0.2">
      <c r="A4612" s="27"/>
      <c r="B4612" s="25"/>
      <c r="E4612" s="10"/>
      <c r="O4612" s="10"/>
      <c r="V4612" s="10"/>
    </row>
    <row r="4613" spans="1:22" x14ac:dyDescent="0.2">
      <c r="A4613" s="27"/>
      <c r="B4613" s="25"/>
      <c r="E4613" s="10"/>
      <c r="O4613" s="10"/>
      <c r="V4613" s="10"/>
    </row>
    <row r="4614" spans="1:22" x14ac:dyDescent="0.2">
      <c r="A4614" s="27"/>
      <c r="B4614" s="25"/>
      <c r="E4614" s="10"/>
      <c r="O4614" s="10"/>
      <c r="V4614" s="10"/>
    </row>
    <row r="4615" spans="1:22" x14ac:dyDescent="0.2">
      <c r="A4615" s="27"/>
      <c r="B4615" s="25"/>
      <c r="E4615" s="10"/>
      <c r="O4615" s="10"/>
      <c r="V4615" s="10"/>
    </row>
    <row r="4616" spans="1:22" x14ac:dyDescent="0.2">
      <c r="A4616" s="27"/>
      <c r="B4616" s="25"/>
      <c r="E4616" s="10"/>
      <c r="O4616" s="10"/>
      <c r="V4616" s="10"/>
    </row>
    <row r="4617" spans="1:22" x14ac:dyDescent="0.2">
      <c r="A4617" s="27"/>
      <c r="B4617" s="25"/>
      <c r="E4617" s="10"/>
      <c r="O4617" s="10"/>
      <c r="V4617" s="10"/>
    </row>
    <row r="4618" spans="1:22" x14ac:dyDescent="0.2">
      <c r="A4618" s="27"/>
      <c r="B4618" s="25"/>
      <c r="E4618" s="10"/>
      <c r="O4618" s="10"/>
      <c r="V4618" s="10"/>
    </row>
    <row r="4619" spans="1:22" x14ac:dyDescent="0.2">
      <c r="A4619" s="27"/>
      <c r="B4619" s="25"/>
      <c r="E4619" s="10"/>
      <c r="O4619" s="10"/>
      <c r="V4619" s="10"/>
    </row>
    <row r="4620" spans="1:22" x14ac:dyDescent="0.2">
      <c r="A4620" s="27"/>
      <c r="B4620" s="25"/>
      <c r="E4620" s="10"/>
      <c r="O4620" s="10"/>
      <c r="V4620" s="10"/>
    </row>
    <row r="4621" spans="1:22" x14ac:dyDescent="0.2">
      <c r="A4621" s="27"/>
      <c r="B4621" s="25"/>
      <c r="E4621" s="10"/>
      <c r="O4621" s="10"/>
      <c r="V4621" s="10"/>
    </row>
    <row r="4622" spans="1:22" x14ac:dyDescent="0.2">
      <c r="A4622" s="27"/>
      <c r="B4622" s="25"/>
      <c r="E4622" s="10"/>
      <c r="O4622" s="10"/>
      <c r="V4622" s="10"/>
    </row>
    <row r="4623" spans="1:22" x14ac:dyDescent="0.2">
      <c r="A4623" s="27"/>
      <c r="B4623" s="25"/>
      <c r="E4623" s="10"/>
      <c r="O4623" s="10"/>
      <c r="V4623" s="10"/>
    </row>
    <row r="4624" spans="1:22" x14ac:dyDescent="0.2">
      <c r="A4624" s="27"/>
      <c r="B4624" s="25"/>
      <c r="E4624" s="10"/>
      <c r="O4624" s="10"/>
      <c r="V4624" s="10"/>
    </row>
    <row r="4625" spans="1:22" x14ac:dyDescent="0.2">
      <c r="A4625" s="27"/>
      <c r="B4625" s="25"/>
      <c r="E4625" s="10"/>
      <c r="O4625" s="10"/>
      <c r="V4625" s="10"/>
    </row>
    <row r="4626" spans="1:22" x14ac:dyDescent="0.2">
      <c r="A4626" s="27"/>
      <c r="B4626" s="25"/>
      <c r="E4626" s="10"/>
      <c r="O4626" s="10"/>
      <c r="V4626" s="10"/>
    </row>
    <row r="4627" spans="1:22" x14ac:dyDescent="0.2">
      <c r="A4627" s="27"/>
      <c r="B4627" s="25"/>
      <c r="E4627" s="10"/>
      <c r="O4627" s="10"/>
      <c r="V4627" s="10"/>
    </row>
    <row r="4628" spans="1:22" x14ac:dyDescent="0.2">
      <c r="A4628" s="27"/>
      <c r="B4628" s="25"/>
      <c r="E4628" s="10"/>
      <c r="O4628" s="10"/>
      <c r="V4628" s="10"/>
    </row>
    <row r="4629" spans="1:22" x14ac:dyDescent="0.2">
      <c r="A4629" s="27"/>
      <c r="B4629" s="25"/>
      <c r="E4629" s="10"/>
      <c r="O4629" s="10"/>
      <c r="V4629" s="10"/>
    </row>
    <row r="4630" spans="1:22" x14ac:dyDescent="0.2">
      <c r="A4630" s="27"/>
      <c r="B4630" s="25"/>
      <c r="E4630" s="10"/>
      <c r="O4630" s="10"/>
      <c r="V4630" s="10"/>
    </row>
    <row r="4631" spans="1:22" x14ac:dyDescent="0.2">
      <c r="A4631" s="27"/>
      <c r="B4631" s="25"/>
      <c r="E4631" s="10"/>
      <c r="O4631" s="10"/>
      <c r="V4631" s="10"/>
    </row>
    <row r="4632" spans="1:22" x14ac:dyDescent="0.2">
      <c r="A4632" s="27"/>
      <c r="B4632" s="25"/>
      <c r="E4632" s="10"/>
      <c r="O4632" s="10"/>
      <c r="V4632" s="10"/>
    </row>
    <row r="4633" spans="1:22" x14ac:dyDescent="0.2">
      <c r="A4633" s="27"/>
      <c r="B4633" s="25"/>
      <c r="E4633" s="10"/>
      <c r="O4633" s="10"/>
      <c r="V4633" s="10"/>
    </row>
    <row r="4634" spans="1:22" x14ac:dyDescent="0.2">
      <c r="A4634" s="27"/>
      <c r="B4634" s="25"/>
      <c r="E4634" s="10"/>
      <c r="O4634" s="10"/>
      <c r="V4634" s="10"/>
    </row>
    <row r="4635" spans="1:22" x14ac:dyDescent="0.2">
      <c r="A4635" s="27"/>
      <c r="B4635" s="25"/>
      <c r="E4635" s="10"/>
      <c r="O4635" s="10"/>
      <c r="V4635" s="10"/>
    </row>
    <row r="4636" spans="1:22" x14ac:dyDescent="0.2">
      <c r="A4636" s="27"/>
      <c r="B4636" s="25"/>
      <c r="E4636" s="10"/>
      <c r="O4636" s="10"/>
      <c r="V4636" s="10"/>
    </row>
    <row r="4637" spans="1:22" x14ac:dyDescent="0.2">
      <c r="A4637" s="27"/>
      <c r="B4637" s="25"/>
      <c r="E4637" s="10"/>
      <c r="O4637" s="10"/>
      <c r="V4637" s="10"/>
    </row>
    <row r="4638" spans="1:22" x14ac:dyDescent="0.2">
      <c r="A4638" s="27"/>
      <c r="B4638" s="25"/>
      <c r="E4638" s="10"/>
      <c r="O4638" s="10"/>
      <c r="V4638" s="10"/>
    </row>
    <row r="4639" spans="1:22" x14ac:dyDescent="0.2">
      <c r="A4639" s="27"/>
      <c r="B4639" s="25"/>
      <c r="E4639" s="10"/>
      <c r="O4639" s="10"/>
      <c r="V4639" s="10"/>
    </row>
    <row r="4640" spans="1:22" x14ac:dyDescent="0.2">
      <c r="A4640" s="27"/>
      <c r="B4640" s="25"/>
      <c r="E4640" s="10"/>
      <c r="O4640" s="10"/>
      <c r="V4640" s="10"/>
    </row>
    <row r="4641" spans="1:22" x14ac:dyDescent="0.2">
      <c r="A4641" s="27"/>
      <c r="B4641" s="25"/>
      <c r="E4641" s="10"/>
      <c r="O4641" s="10"/>
      <c r="V4641" s="10"/>
    </row>
    <row r="4642" spans="1:22" x14ac:dyDescent="0.2">
      <c r="A4642" s="27"/>
      <c r="B4642" s="25"/>
      <c r="E4642" s="10"/>
      <c r="O4642" s="10"/>
      <c r="V4642" s="10"/>
    </row>
    <row r="4643" spans="1:22" x14ac:dyDescent="0.2">
      <c r="A4643" s="27"/>
      <c r="B4643" s="25"/>
      <c r="E4643" s="10"/>
      <c r="O4643" s="10"/>
      <c r="V4643" s="10"/>
    </row>
    <row r="4644" spans="1:22" x14ac:dyDescent="0.2">
      <c r="A4644" s="27"/>
      <c r="B4644" s="25"/>
      <c r="E4644" s="10"/>
      <c r="O4644" s="10"/>
      <c r="V4644" s="10"/>
    </row>
    <row r="4645" spans="1:22" x14ac:dyDescent="0.2">
      <c r="A4645" s="27"/>
      <c r="B4645" s="25"/>
      <c r="E4645" s="10"/>
      <c r="O4645" s="10"/>
      <c r="V4645" s="10"/>
    </row>
    <row r="4646" spans="1:22" x14ac:dyDescent="0.2">
      <c r="A4646" s="27"/>
      <c r="B4646" s="25"/>
      <c r="E4646" s="10"/>
      <c r="O4646" s="10"/>
      <c r="V4646" s="10"/>
    </row>
    <row r="4647" spans="1:22" x14ac:dyDescent="0.2">
      <c r="A4647" s="27"/>
      <c r="B4647" s="25"/>
      <c r="E4647" s="10"/>
      <c r="O4647" s="10"/>
      <c r="V4647" s="10"/>
    </row>
    <row r="4648" spans="1:22" x14ac:dyDescent="0.2">
      <c r="A4648" s="27"/>
      <c r="B4648" s="25"/>
      <c r="E4648" s="10"/>
      <c r="O4648" s="10"/>
      <c r="V4648" s="10"/>
    </row>
    <row r="4649" spans="1:22" x14ac:dyDescent="0.2">
      <c r="A4649" s="27"/>
      <c r="B4649" s="25"/>
      <c r="E4649" s="10"/>
      <c r="O4649" s="10"/>
      <c r="V4649" s="10"/>
    </row>
    <row r="4650" spans="1:22" x14ac:dyDescent="0.2">
      <c r="A4650" s="27"/>
      <c r="B4650" s="25"/>
      <c r="E4650" s="10"/>
      <c r="O4650" s="10"/>
      <c r="V4650" s="10"/>
    </row>
    <row r="4651" spans="1:22" x14ac:dyDescent="0.2">
      <c r="A4651" s="27"/>
      <c r="B4651" s="25"/>
      <c r="E4651" s="10"/>
      <c r="O4651" s="10"/>
      <c r="V4651" s="10"/>
    </row>
    <row r="4652" spans="1:22" x14ac:dyDescent="0.2">
      <c r="A4652" s="27"/>
      <c r="B4652" s="25"/>
      <c r="E4652" s="10"/>
      <c r="O4652" s="10"/>
      <c r="V4652" s="10"/>
    </row>
    <row r="4653" spans="1:22" x14ac:dyDescent="0.2">
      <c r="A4653" s="27"/>
      <c r="B4653" s="25"/>
      <c r="E4653" s="10"/>
      <c r="O4653" s="10"/>
      <c r="V4653" s="10"/>
    </row>
    <row r="4654" spans="1:22" x14ac:dyDescent="0.2">
      <c r="A4654" s="27"/>
      <c r="B4654" s="25"/>
      <c r="E4654" s="10"/>
      <c r="O4654" s="10"/>
      <c r="V4654" s="10"/>
    </row>
    <row r="4655" spans="1:22" x14ac:dyDescent="0.2">
      <c r="A4655" s="27"/>
      <c r="B4655" s="25"/>
      <c r="E4655" s="10"/>
      <c r="O4655" s="10"/>
      <c r="V4655" s="10"/>
    </row>
    <row r="4656" spans="1:22" x14ac:dyDescent="0.2">
      <c r="A4656" s="27"/>
      <c r="B4656" s="25"/>
      <c r="E4656" s="10"/>
      <c r="O4656" s="10"/>
      <c r="V4656" s="10"/>
    </row>
    <row r="4657" spans="1:22" x14ac:dyDescent="0.2">
      <c r="A4657" s="27"/>
      <c r="B4657" s="25"/>
      <c r="E4657" s="10"/>
      <c r="O4657" s="10"/>
      <c r="V4657" s="10"/>
    </row>
    <row r="4658" spans="1:22" x14ac:dyDescent="0.2">
      <c r="A4658" s="27"/>
      <c r="B4658" s="25"/>
      <c r="E4658" s="10"/>
      <c r="O4658" s="10"/>
      <c r="V4658" s="10"/>
    </row>
    <row r="4659" spans="1:22" x14ac:dyDescent="0.2">
      <c r="A4659" s="27"/>
      <c r="B4659" s="25"/>
      <c r="E4659" s="10"/>
      <c r="O4659" s="10"/>
      <c r="V4659" s="10"/>
    </row>
    <row r="4660" spans="1:22" x14ac:dyDescent="0.2">
      <c r="A4660" s="27"/>
      <c r="B4660" s="25"/>
      <c r="E4660" s="10"/>
      <c r="O4660" s="10"/>
      <c r="V4660" s="10"/>
    </row>
    <row r="4661" spans="1:22" x14ac:dyDescent="0.2">
      <c r="A4661" s="27"/>
      <c r="B4661" s="25"/>
      <c r="E4661" s="10"/>
      <c r="O4661" s="10"/>
      <c r="V4661" s="10"/>
    </row>
    <row r="4662" spans="1:22" x14ac:dyDescent="0.2">
      <c r="A4662" s="27"/>
      <c r="B4662" s="25"/>
      <c r="E4662" s="10"/>
      <c r="O4662" s="10"/>
      <c r="V4662" s="10"/>
    </row>
    <row r="4663" spans="1:22" x14ac:dyDescent="0.2">
      <c r="A4663" s="27"/>
      <c r="B4663" s="25"/>
      <c r="E4663" s="10"/>
      <c r="O4663" s="10"/>
      <c r="V4663" s="10"/>
    </row>
    <row r="4664" spans="1:22" x14ac:dyDescent="0.2">
      <c r="A4664" s="27"/>
      <c r="B4664" s="25"/>
      <c r="E4664" s="10"/>
      <c r="O4664" s="10"/>
      <c r="V4664" s="10"/>
    </row>
    <row r="4665" spans="1:22" x14ac:dyDescent="0.2">
      <c r="A4665" s="27"/>
      <c r="B4665" s="25"/>
      <c r="E4665" s="10"/>
      <c r="O4665" s="10"/>
      <c r="V4665" s="10"/>
    </row>
    <row r="4666" spans="1:22" x14ac:dyDescent="0.2">
      <c r="A4666" s="27"/>
      <c r="B4666" s="25"/>
      <c r="E4666" s="10"/>
      <c r="O4666" s="10"/>
      <c r="V4666" s="10"/>
    </row>
    <row r="4667" spans="1:22" x14ac:dyDescent="0.2">
      <c r="A4667" s="27"/>
      <c r="B4667" s="25"/>
      <c r="E4667" s="10"/>
      <c r="O4667" s="10"/>
      <c r="V4667" s="10"/>
    </row>
    <row r="4668" spans="1:22" x14ac:dyDescent="0.2">
      <c r="A4668" s="27"/>
      <c r="B4668" s="25"/>
      <c r="E4668" s="10"/>
      <c r="O4668" s="10"/>
      <c r="V4668" s="10"/>
    </row>
    <row r="4669" spans="1:22" x14ac:dyDescent="0.2">
      <c r="A4669" s="27"/>
      <c r="B4669" s="25"/>
      <c r="E4669" s="10"/>
      <c r="O4669" s="10"/>
      <c r="V4669" s="10"/>
    </row>
    <row r="4670" spans="1:22" x14ac:dyDescent="0.2">
      <c r="A4670" s="27"/>
      <c r="B4670" s="25"/>
      <c r="E4670" s="10"/>
      <c r="O4670" s="10"/>
      <c r="V4670" s="10"/>
    </row>
    <row r="4671" spans="1:22" x14ac:dyDescent="0.2">
      <c r="A4671" s="27"/>
      <c r="B4671" s="25"/>
      <c r="E4671" s="10"/>
      <c r="O4671" s="10"/>
      <c r="V4671" s="10"/>
    </row>
    <row r="4672" spans="1:22" x14ac:dyDescent="0.2">
      <c r="A4672" s="27"/>
      <c r="B4672" s="25"/>
      <c r="E4672" s="10"/>
      <c r="O4672" s="10"/>
      <c r="V4672" s="10"/>
    </row>
    <row r="4673" spans="1:22" x14ac:dyDescent="0.2">
      <c r="A4673" s="27"/>
      <c r="B4673" s="25"/>
      <c r="E4673" s="10"/>
      <c r="O4673" s="10"/>
      <c r="V4673" s="10"/>
    </row>
    <row r="4674" spans="1:22" x14ac:dyDescent="0.2">
      <c r="A4674" s="27"/>
      <c r="B4674" s="25"/>
      <c r="E4674" s="10"/>
      <c r="O4674" s="10"/>
      <c r="V4674" s="10"/>
    </row>
    <row r="4675" spans="1:22" x14ac:dyDescent="0.2">
      <c r="A4675" s="27"/>
      <c r="B4675" s="25"/>
      <c r="E4675" s="10"/>
      <c r="O4675" s="10"/>
      <c r="V4675" s="10"/>
    </row>
    <row r="4676" spans="1:22" x14ac:dyDescent="0.2">
      <c r="A4676" s="27"/>
      <c r="B4676" s="25"/>
      <c r="E4676" s="10"/>
      <c r="O4676" s="10"/>
      <c r="V4676" s="10"/>
    </row>
    <row r="4677" spans="1:22" x14ac:dyDescent="0.2">
      <c r="A4677" s="27"/>
      <c r="B4677" s="25"/>
      <c r="E4677" s="10"/>
      <c r="O4677" s="10"/>
      <c r="V4677" s="10"/>
    </row>
    <row r="4678" spans="1:22" x14ac:dyDescent="0.2">
      <c r="A4678" s="27"/>
      <c r="B4678" s="25"/>
      <c r="E4678" s="10"/>
      <c r="O4678" s="10"/>
      <c r="V4678" s="10"/>
    </row>
    <row r="4679" spans="1:22" x14ac:dyDescent="0.2">
      <c r="A4679" s="27"/>
      <c r="B4679" s="25"/>
      <c r="E4679" s="10"/>
      <c r="O4679" s="10"/>
      <c r="V4679" s="10"/>
    </row>
    <row r="4680" spans="1:22" x14ac:dyDescent="0.2">
      <c r="A4680" s="27"/>
      <c r="B4680" s="25"/>
      <c r="E4680" s="10"/>
      <c r="O4680" s="10"/>
      <c r="V4680" s="10"/>
    </row>
    <row r="4681" spans="1:22" x14ac:dyDescent="0.2">
      <c r="A4681" s="27"/>
      <c r="B4681" s="25"/>
      <c r="E4681" s="10"/>
      <c r="O4681" s="10"/>
      <c r="V4681" s="10"/>
    </row>
    <row r="4682" spans="1:22" x14ac:dyDescent="0.2">
      <c r="A4682" s="27"/>
      <c r="B4682" s="25"/>
      <c r="E4682" s="10"/>
      <c r="O4682" s="10"/>
      <c r="V4682" s="10"/>
    </row>
    <row r="4683" spans="1:22" x14ac:dyDescent="0.2">
      <c r="A4683" s="27"/>
      <c r="B4683" s="25"/>
      <c r="E4683" s="10"/>
      <c r="O4683" s="10"/>
      <c r="V4683" s="10"/>
    </row>
    <row r="4684" spans="1:22" x14ac:dyDescent="0.2">
      <c r="A4684" s="27"/>
      <c r="B4684" s="25"/>
      <c r="E4684" s="10"/>
      <c r="O4684" s="10"/>
      <c r="V4684" s="10"/>
    </row>
    <row r="4685" spans="1:22" x14ac:dyDescent="0.2">
      <c r="A4685" s="27"/>
      <c r="B4685" s="25"/>
      <c r="E4685" s="10"/>
      <c r="O4685" s="10"/>
      <c r="V4685" s="10"/>
    </row>
    <row r="4686" spans="1:22" x14ac:dyDescent="0.2">
      <c r="A4686" s="27"/>
      <c r="B4686" s="25"/>
      <c r="E4686" s="10"/>
      <c r="O4686" s="10"/>
      <c r="V4686" s="10"/>
    </row>
    <row r="4687" spans="1:22" x14ac:dyDescent="0.2">
      <c r="A4687" s="27"/>
      <c r="B4687" s="25"/>
      <c r="E4687" s="10"/>
      <c r="O4687" s="10"/>
      <c r="V4687" s="10"/>
    </row>
    <row r="4688" spans="1:22" x14ac:dyDescent="0.2">
      <c r="A4688" s="27"/>
      <c r="B4688" s="25"/>
      <c r="E4688" s="10"/>
      <c r="O4688" s="10"/>
      <c r="V4688" s="10"/>
    </row>
    <row r="4689" spans="1:22" x14ac:dyDescent="0.2">
      <c r="A4689" s="27"/>
      <c r="B4689" s="25"/>
      <c r="E4689" s="10"/>
      <c r="O4689" s="10"/>
      <c r="V4689" s="10"/>
    </row>
    <row r="4690" spans="1:22" x14ac:dyDescent="0.2">
      <c r="A4690" s="27"/>
      <c r="B4690" s="25"/>
      <c r="E4690" s="10"/>
      <c r="O4690" s="10"/>
      <c r="V4690" s="10"/>
    </row>
    <row r="4691" spans="1:22" x14ac:dyDescent="0.2">
      <c r="A4691" s="27"/>
      <c r="B4691" s="25"/>
      <c r="E4691" s="10"/>
      <c r="O4691" s="10"/>
      <c r="V4691" s="10"/>
    </row>
    <row r="4692" spans="1:22" x14ac:dyDescent="0.2">
      <c r="A4692" s="27"/>
      <c r="B4692" s="25"/>
      <c r="E4692" s="10"/>
      <c r="O4692" s="10"/>
      <c r="V4692" s="10"/>
    </row>
    <row r="4693" spans="1:22" x14ac:dyDescent="0.2">
      <c r="A4693" s="27"/>
      <c r="B4693" s="25"/>
      <c r="E4693" s="10"/>
      <c r="O4693" s="10"/>
      <c r="V4693" s="10"/>
    </row>
    <row r="4694" spans="1:22" x14ac:dyDescent="0.2">
      <c r="A4694" s="27"/>
      <c r="B4694" s="25"/>
      <c r="E4694" s="10"/>
      <c r="O4694" s="10"/>
      <c r="V4694" s="10"/>
    </row>
    <row r="4695" spans="1:22" x14ac:dyDescent="0.2">
      <c r="A4695" s="27"/>
      <c r="B4695" s="25"/>
      <c r="E4695" s="10"/>
      <c r="O4695" s="10"/>
      <c r="V4695" s="10"/>
    </row>
    <row r="4696" spans="1:22" x14ac:dyDescent="0.2">
      <c r="A4696" s="27"/>
      <c r="B4696" s="25"/>
      <c r="E4696" s="10"/>
      <c r="O4696" s="10"/>
      <c r="V4696" s="10"/>
    </row>
    <row r="4697" spans="1:22" x14ac:dyDescent="0.2">
      <c r="A4697" s="27"/>
      <c r="B4697" s="25"/>
      <c r="E4697" s="10"/>
      <c r="O4697" s="10"/>
      <c r="V4697" s="10"/>
    </row>
    <row r="4698" spans="1:22" x14ac:dyDescent="0.2">
      <c r="A4698" s="27"/>
      <c r="B4698" s="25"/>
      <c r="E4698" s="10"/>
      <c r="O4698" s="10"/>
      <c r="V4698" s="10"/>
    </row>
    <row r="4699" spans="1:22" x14ac:dyDescent="0.2">
      <c r="A4699" s="27"/>
      <c r="B4699" s="25"/>
      <c r="E4699" s="10"/>
      <c r="O4699" s="10"/>
      <c r="V4699" s="10"/>
    </row>
    <row r="4700" spans="1:22" x14ac:dyDescent="0.2">
      <c r="A4700" s="27"/>
      <c r="B4700" s="25"/>
      <c r="E4700" s="10"/>
      <c r="O4700" s="10"/>
      <c r="V4700" s="10"/>
    </row>
    <row r="4701" spans="1:22" x14ac:dyDescent="0.2">
      <c r="A4701" s="27"/>
      <c r="B4701" s="25"/>
      <c r="E4701" s="10"/>
      <c r="O4701" s="10"/>
      <c r="V4701" s="10"/>
    </row>
    <row r="4702" spans="1:22" x14ac:dyDescent="0.2">
      <c r="A4702" s="27"/>
      <c r="B4702" s="25"/>
      <c r="E4702" s="10"/>
      <c r="O4702" s="10"/>
      <c r="V4702" s="10"/>
    </row>
    <row r="4703" spans="1:22" x14ac:dyDescent="0.2">
      <c r="A4703" s="27"/>
      <c r="B4703" s="25"/>
      <c r="E4703" s="10"/>
      <c r="O4703" s="10"/>
      <c r="V4703" s="10"/>
    </row>
    <row r="4704" spans="1:22" x14ac:dyDescent="0.2">
      <c r="A4704" s="27"/>
      <c r="B4704" s="25"/>
      <c r="E4704" s="10"/>
      <c r="O4704" s="10"/>
      <c r="V4704" s="10"/>
    </row>
    <row r="4705" spans="1:22" x14ac:dyDescent="0.2">
      <c r="A4705" s="27"/>
      <c r="B4705" s="25"/>
      <c r="E4705" s="10"/>
      <c r="O4705" s="10"/>
      <c r="V4705" s="10"/>
    </row>
    <row r="4706" spans="1:22" x14ac:dyDescent="0.2">
      <c r="A4706" s="27"/>
      <c r="B4706" s="25"/>
      <c r="E4706" s="10"/>
      <c r="O4706" s="10"/>
      <c r="V4706" s="10"/>
    </row>
    <row r="4707" spans="1:22" x14ac:dyDescent="0.2">
      <c r="A4707" s="27"/>
      <c r="B4707" s="25"/>
      <c r="E4707" s="10"/>
      <c r="O4707" s="10"/>
      <c r="V4707" s="10"/>
    </row>
    <row r="4708" spans="1:22" x14ac:dyDescent="0.2">
      <c r="A4708" s="27"/>
      <c r="B4708" s="25"/>
      <c r="E4708" s="10"/>
      <c r="O4708" s="10"/>
      <c r="V4708" s="10"/>
    </row>
    <row r="4709" spans="1:22" x14ac:dyDescent="0.2">
      <c r="A4709" s="27"/>
      <c r="B4709" s="25"/>
      <c r="E4709" s="10"/>
      <c r="O4709" s="10"/>
      <c r="V4709" s="10"/>
    </row>
    <row r="4710" spans="1:22" x14ac:dyDescent="0.2">
      <c r="A4710" s="27"/>
      <c r="B4710" s="25"/>
      <c r="E4710" s="10"/>
      <c r="O4710" s="10"/>
      <c r="V4710" s="10"/>
    </row>
    <row r="4711" spans="1:22" x14ac:dyDescent="0.2">
      <c r="A4711" s="27"/>
      <c r="B4711" s="25"/>
      <c r="E4711" s="10"/>
      <c r="O4711" s="10"/>
      <c r="V4711" s="10"/>
    </row>
    <row r="4712" spans="1:22" x14ac:dyDescent="0.2">
      <c r="A4712" s="27"/>
      <c r="B4712" s="25"/>
      <c r="E4712" s="10"/>
      <c r="O4712" s="10"/>
      <c r="V4712" s="10"/>
    </row>
    <row r="4713" spans="1:22" x14ac:dyDescent="0.2">
      <c r="A4713" s="27"/>
      <c r="B4713" s="25"/>
      <c r="E4713" s="10"/>
      <c r="O4713" s="10"/>
      <c r="V4713" s="10"/>
    </row>
    <row r="4714" spans="1:22" x14ac:dyDescent="0.2">
      <c r="A4714" s="27"/>
      <c r="B4714" s="25"/>
      <c r="E4714" s="10"/>
      <c r="O4714" s="10"/>
      <c r="V4714" s="10"/>
    </row>
    <row r="4715" spans="1:22" x14ac:dyDescent="0.2">
      <c r="A4715" s="27"/>
      <c r="B4715" s="25"/>
      <c r="E4715" s="10"/>
      <c r="O4715" s="10"/>
      <c r="V4715" s="10"/>
    </row>
    <row r="4716" spans="1:22" x14ac:dyDescent="0.2">
      <c r="A4716" s="27"/>
      <c r="B4716" s="25"/>
      <c r="E4716" s="10"/>
      <c r="O4716" s="10"/>
      <c r="V4716" s="10"/>
    </row>
    <row r="4717" spans="1:22" x14ac:dyDescent="0.2">
      <c r="A4717" s="27"/>
      <c r="B4717" s="25"/>
      <c r="E4717" s="10"/>
      <c r="O4717" s="10"/>
      <c r="V4717" s="10"/>
    </row>
    <row r="4718" spans="1:22" x14ac:dyDescent="0.2">
      <c r="A4718" s="27"/>
      <c r="B4718" s="25"/>
      <c r="E4718" s="10"/>
      <c r="O4718" s="10"/>
      <c r="V4718" s="10"/>
    </row>
    <row r="4719" spans="1:22" x14ac:dyDescent="0.2">
      <c r="A4719" s="27"/>
      <c r="B4719" s="25"/>
      <c r="E4719" s="10"/>
      <c r="O4719" s="10"/>
      <c r="V4719" s="10"/>
    </row>
    <row r="4720" spans="1:22" x14ac:dyDescent="0.2">
      <c r="A4720" s="27"/>
      <c r="B4720" s="25"/>
      <c r="E4720" s="10"/>
      <c r="O4720" s="10"/>
      <c r="V4720" s="10"/>
    </row>
    <row r="4721" spans="1:22" x14ac:dyDescent="0.2">
      <c r="A4721" s="27"/>
      <c r="B4721" s="25"/>
      <c r="E4721" s="10"/>
      <c r="O4721" s="10"/>
      <c r="V4721" s="10"/>
    </row>
    <row r="4722" spans="1:22" x14ac:dyDescent="0.2">
      <c r="A4722" s="27"/>
      <c r="B4722" s="25"/>
      <c r="E4722" s="10"/>
      <c r="O4722" s="10"/>
      <c r="V4722" s="10"/>
    </row>
    <row r="4723" spans="1:22" x14ac:dyDescent="0.2">
      <c r="A4723" s="27"/>
      <c r="B4723" s="25"/>
      <c r="E4723" s="10"/>
      <c r="O4723" s="10"/>
      <c r="V4723" s="10"/>
    </row>
    <row r="4724" spans="1:22" x14ac:dyDescent="0.2">
      <c r="A4724" s="27"/>
      <c r="B4724" s="25"/>
      <c r="E4724" s="10"/>
      <c r="O4724" s="10"/>
      <c r="V4724" s="10"/>
    </row>
    <row r="4725" spans="1:22" x14ac:dyDescent="0.2">
      <c r="A4725" s="27"/>
      <c r="B4725" s="25"/>
      <c r="E4725" s="10"/>
      <c r="O4725" s="10"/>
      <c r="V4725" s="10"/>
    </row>
    <row r="4726" spans="1:22" x14ac:dyDescent="0.2">
      <c r="A4726" s="27"/>
      <c r="B4726" s="25"/>
      <c r="E4726" s="10"/>
      <c r="O4726" s="10"/>
      <c r="V4726" s="10"/>
    </row>
    <row r="4727" spans="1:22" x14ac:dyDescent="0.2">
      <c r="A4727" s="27"/>
      <c r="B4727" s="25"/>
      <c r="E4727" s="10"/>
      <c r="O4727" s="10"/>
      <c r="V4727" s="10"/>
    </row>
    <row r="4728" spans="1:22" x14ac:dyDescent="0.2">
      <c r="A4728" s="27"/>
      <c r="B4728" s="25"/>
      <c r="E4728" s="10"/>
      <c r="O4728" s="10"/>
      <c r="V4728" s="10"/>
    </row>
    <row r="4729" spans="1:22" x14ac:dyDescent="0.2">
      <c r="A4729" s="27"/>
      <c r="B4729" s="25"/>
      <c r="E4729" s="10"/>
      <c r="O4729" s="10"/>
      <c r="V4729" s="10"/>
    </row>
    <row r="4730" spans="1:22" x14ac:dyDescent="0.2">
      <c r="A4730" s="27"/>
      <c r="B4730" s="25"/>
      <c r="E4730" s="10"/>
      <c r="O4730" s="10"/>
      <c r="V4730" s="10"/>
    </row>
    <row r="4731" spans="1:22" x14ac:dyDescent="0.2">
      <c r="A4731" s="27"/>
      <c r="B4731" s="25"/>
      <c r="E4731" s="10"/>
      <c r="O4731" s="10"/>
      <c r="V4731" s="10"/>
    </row>
    <row r="4732" spans="1:22" x14ac:dyDescent="0.2">
      <c r="A4732" s="27"/>
      <c r="B4732" s="25"/>
      <c r="E4732" s="10"/>
      <c r="O4732" s="10"/>
      <c r="V4732" s="10"/>
    </row>
    <row r="4733" spans="1:22" x14ac:dyDescent="0.2">
      <c r="A4733" s="27"/>
      <c r="B4733" s="25"/>
      <c r="E4733" s="10"/>
      <c r="O4733" s="10"/>
      <c r="V4733" s="10"/>
    </row>
    <row r="4734" spans="1:22" x14ac:dyDescent="0.2">
      <c r="A4734" s="27"/>
      <c r="B4734" s="25"/>
      <c r="E4734" s="10"/>
      <c r="O4734" s="10"/>
      <c r="V4734" s="10"/>
    </row>
    <row r="4735" spans="1:22" x14ac:dyDescent="0.2">
      <c r="A4735" s="27"/>
      <c r="B4735" s="25"/>
      <c r="E4735" s="10"/>
      <c r="O4735" s="10"/>
      <c r="V4735" s="10"/>
    </row>
    <row r="4736" spans="1:22" x14ac:dyDescent="0.2">
      <c r="A4736" s="27"/>
      <c r="B4736" s="25"/>
      <c r="E4736" s="10"/>
      <c r="O4736" s="10"/>
      <c r="V4736" s="10"/>
    </row>
    <row r="4737" spans="1:22" x14ac:dyDescent="0.2">
      <c r="A4737" s="27"/>
      <c r="B4737" s="25"/>
      <c r="E4737" s="10"/>
      <c r="O4737" s="10"/>
      <c r="V4737" s="10"/>
    </row>
    <row r="4738" spans="1:22" x14ac:dyDescent="0.2">
      <c r="A4738" s="27"/>
      <c r="B4738" s="25"/>
      <c r="E4738" s="10"/>
      <c r="O4738" s="10"/>
      <c r="V4738" s="10"/>
    </row>
    <row r="4739" spans="1:22" x14ac:dyDescent="0.2">
      <c r="A4739" s="27"/>
      <c r="B4739" s="25"/>
      <c r="E4739" s="10"/>
      <c r="O4739" s="10"/>
      <c r="V4739" s="10"/>
    </row>
    <row r="4740" spans="1:22" x14ac:dyDescent="0.2">
      <c r="A4740" s="27"/>
      <c r="B4740" s="25"/>
      <c r="E4740" s="10"/>
      <c r="O4740" s="10"/>
      <c r="V4740" s="10"/>
    </row>
    <row r="4741" spans="1:22" x14ac:dyDescent="0.2">
      <c r="A4741" s="27"/>
      <c r="B4741" s="25"/>
      <c r="E4741" s="10"/>
      <c r="O4741" s="10"/>
      <c r="V4741" s="10"/>
    </row>
    <row r="4742" spans="1:22" x14ac:dyDescent="0.2">
      <c r="A4742" s="27"/>
      <c r="B4742" s="25"/>
      <c r="E4742" s="10"/>
      <c r="O4742" s="10"/>
      <c r="V4742" s="10"/>
    </row>
    <row r="4743" spans="1:22" x14ac:dyDescent="0.2">
      <c r="A4743" s="27"/>
      <c r="B4743" s="25"/>
      <c r="E4743" s="10"/>
      <c r="O4743" s="10"/>
      <c r="V4743" s="10"/>
    </row>
    <row r="4744" spans="1:22" x14ac:dyDescent="0.2">
      <c r="A4744" s="27"/>
      <c r="B4744" s="25"/>
      <c r="E4744" s="10"/>
      <c r="O4744" s="10"/>
      <c r="V4744" s="10"/>
    </row>
    <row r="4745" spans="1:22" x14ac:dyDescent="0.2">
      <c r="A4745" s="27"/>
      <c r="B4745" s="25"/>
      <c r="E4745" s="10"/>
      <c r="O4745" s="10"/>
      <c r="V4745" s="10"/>
    </row>
    <row r="4746" spans="1:22" x14ac:dyDescent="0.2">
      <c r="A4746" s="27"/>
      <c r="B4746" s="25"/>
      <c r="E4746" s="10"/>
      <c r="O4746" s="10"/>
      <c r="V4746" s="10"/>
    </row>
    <row r="4747" spans="1:22" x14ac:dyDescent="0.2">
      <c r="A4747" s="27"/>
      <c r="B4747" s="25"/>
      <c r="E4747" s="10"/>
      <c r="O4747" s="10"/>
      <c r="V4747" s="10"/>
    </row>
    <row r="4748" spans="1:22" x14ac:dyDescent="0.2">
      <c r="A4748" s="27"/>
      <c r="B4748" s="25"/>
      <c r="E4748" s="10"/>
      <c r="O4748" s="10"/>
      <c r="V4748" s="10"/>
    </row>
    <row r="4749" spans="1:22" x14ac:dyDescent="0.2">
      <c r="A4749" s="27"/>
      <c r="B4749" s="25"/>
      <c r="E4749" s="10"/>
      <c r="O4749" s="10"/>
      <c r="V4749" s="10"/>
    </row>
    <row r="4750" spans="1:22" x14ac:dyDescent="0.2">
      <c r="A4750" s="27"/>
      <c r="B4750" s="25"/>
      <c r="E4750" s="10"/>
      <c r="O4750" s="10"/>
      <c r="V4750" s="10"/>
    </row>
    <row r="4751" spans="1:22" x14ac:dyDescent="0.2">
      <c r="A4751" s="27"/>
      <c r="B4751" s="25"/>
      <c r="E4751" s="10"/>
      <c r="O4751" s="10"/>
      <c r="V4751" s="10"/>
    </row>
    <row r="4752" spans="1:22" x14ac:dyDescent="0.2">
      <c r="A4752" s="27"/>
      <c r="B4752" s="25"/>
      <c r="E4752" s="10"/>
      <c r="O4752" s="10"/>
      <c r="V4752" s="10"/>
    </row>
    <row r="4753" spans="1:22" x14ac:dyDescent="0.2">
      <c r="A4753" s="27"/>
      <c r="B4753" s="25"/>
      <c r="E4753" s="10"/>
      <c r="O4753" s="10"/>
      <c r="V4753" s="10"/>
    </row>
    <row r="4754" spans="1:22" x14ac:dyDescent="0.2">
      <c r="A4754" s="27"/>
      <c r="B4754" s="25"/>
      <c r="E4754" s="10"/>
      <c r="O4754" s="10"/>
      <c r="V4754" s="10"/>
    </row>
    <row r="4755" spans="1:22" x14ac:dyDescent="0.2">
      <c r="A4755" s="27"/>
      <c r="B4755" s="25"/>
      <c r="E4755" s="10"/>
      <c r="O4755" s="10"/>
      <c r="V4755" s="10"/>
    </row>
    <row r="4756" spans="1:22" x14ac:dyDescent="0.2">
      <c r="A4756" s="27"/>
      <c r="B4756" s="25"/>
      <c r="E4756" s="10"/>
      <c r="O4756" s="10"/>
      <c r="V4756" s="10"/>
    </row>
    <row r="4757" spans="1:22" x14ac:dyDescent="0.2">
      <c r="A4757" s="27"/>
      <c r="B4757" s="25"/>
      <c r="E4757" s="10"/>
      <c r="O4757" s="10"/>
      <c r="V4757" s="10"/>
    </row>
    <row r="4758" spans="1:22" x14ac:dyDescent="0.2">
      <c r="A4758" s="27"/>
      <c r="B4758" s="25"/>
      <c r="E4758" s="10"/>
      <c r="O4758" s="10"/>
      <c r="V4758" s="10"/>
    </row>
    <row r="4759" spans="1:22" x14ac:dyDescent="0.2">
      <c r="A4759" s="27"/>
      <c r="B4759" s="25"/>
      <c r="E4759" s="10"/>
      <c r="O4759" s="10"/>
      <c r="V4759" s="10"/>
    </row>
    <row r="4760" spans="1:22" x14ac:dyDescent="0.2">
      <c r="A4760" s="27"/>
      <c r="B4760" s="25"/>
      <c r="E4760" s="10"/>
      <c r="O4760" s="10"/>
      <c r="V4760" s="10"/>
    </row>
    <row r="4761" spans="1:22" x14ac:dyDescent="0.2">
      <c r="A4761" s="27"/>
      <c r="B4761" s="25"/>
      <c r="E4761" s="10"/>
      <c r="O4761" s="10"/>
      <c r="V4761" s="10"/>
    </row>
    <row r="4762" spans="1:22" x14ac:dyDescent="0.2">
      <c r="A4762" s="27"/>
      <c r="B4762" s="25"/>
      <c r="E4762" s="10"/>
      <c r="O4762" s="10"/>
      <c r="V4762" s="10"/>
    </row>
    <row r="4763" spans="1:22" x14ac:dyDescent="0.2">
      <c r="A4763" s="27"/>
      <c r="B4763" s="25"/>
      <c r="E4763" s="10"/>
      <c r="O4763" s="10"/>
      <c r="V4763" s="10"/>
    </row>
    <row r="4764" spans="1:22" x14ac:dyDescent="0.2">
      <c r="A4764" s="27"/>
      <c r="B4764" s="25"/>
      <c r="E4764" s="10"/>
      <c r="O4764" s="10"/>
      <c r="V4764" s="10"/>
    </row>
    <row r="4765" spans="1:22" x14ac:dyDescent="0.2">
      <c r="A4765" s="27"/>
      <c r="B4765" s="25"/>
      <c r="E4765" s="10"/>
      <c r="O4765" s="10"/>
      <c r="V4765" s="10"/>
    </row>
    <row r="4766" spans="1:22" x14ac:dyDescent="0.2">
      <c r="A4766" s="27"/>
      <c r="B4766" s="25"/>
      <c r="E4766" s="10"/>
      <c r="O4766" s="10"/>
      <c r="V4766" s="10"/>
    </row>
    <row r="4767" spans="1:22" x14ac:dyDescent="0.2">
      <c r="A4767" s="27"/>
      <c r="B4767" s="25"/>
      <c r="E4767" s="10"/>
      <c r="O4767" s="10"/>
      <c r="V4767" s="10"/>
    </row>
    <row r="4768" spans="1:22" x14ac:dyDescent="0.2">
      <c r="A4768" s="27"/>
      <c r="B4768" s="25"/>
      <c r="E4768" s="10"/>
      <c r="O4768" s="10"/>
      <c r="V4768" s="10"/>
    </row>
    <row r="4769" spans="1:22" x14ac:dyDescent="0.2">
      <c r="A4769" s="27"/>
      <c r="B4769" s="25"/>
      <c r="E4769" s="10"/>
      <c r="O4769" s="10"/>
      <c r="V4769" s="10"/>
    </row>
    <row r="4770" spans="1:22" x14ac:dyDescent="0.2">
      <c r="A4770" s="27"/>
      <c r="B4770" s="25"/>
      <c r="E4770" s="10"/>
      <c r="O4770" s="10"/>
      <c r="V4770" s="10"/>
    </row>
    <row r="4771" spans="1:22" x14ac:dyDescent="0.2">
      <c r="A4771" s="27"/>
      <c r="B4771" s="25"/>
      <c r="E4771" s="10"/>
      <c r="O4771" s="10"/>
      <c r="V4771" s="10"/>
    </row>
    <row r="4772" spans="1:22" x14ac:dyDescent="0.2">
      <c r="A4772" s="27"/>
      <c r="B4772" s="25"/>
      <c r="E4772" s="10"/>
      <c r="O4772" s="10"/>
      <c r="V4772" s="10"/>
    </row>
    <row r="4773" spans="1:22" x14ac:dyDescent="0.2">
      <c r="A4773" s="27"/>
      <c r="B4773" s="25"/>
      <c r="E4773" s="10"/>
      <c r="O4773" s="10"/>
      <c r="V4773" s="10"/>
    </row>
    <row r="4774" spans="1:22" x14ac:dyDescent="0.2">
      <c r="A4774" s="27"/>
      <c r="B4774" s="25"/>
      <c r="E4774" s="10"/>
      <c r="O4774" s="10"/>
      <c r="V4774" s="10"/>
    </row>
    <row r="4775" spans="1:22" x14ac:dyDescent="0.2">
      <c r="A4775" s="27"/>
      <c r="B4775" s="25"/>
      <c r="E4775" s="10"/>
      <c r="O4775" s="10"/>
      <c r="V4775" s="10"/>
    </row>
    <row r="4776" spans="1:22" x14ac:dyDescent="0.2">
      <c r="A4776" s="27"/>
      <c r="B4776" s="25"/>
      <c r="E4776" s="10"/>
      <c r="O4776" s="10"/>
      <c r="V4776" s="10"/>
    </row>
    <row r="4777" spans="1:22" x14ac:dyDescent="0.2">
      <c r="A4777" s="27"/>
      <c r="B4777" s="25"/>
      <c r="E4777" s="10"/>
      <c r="O4777" s="10"/>
      <c r="V4777" s="10"/>
    </row>
    <row r="4778" spans="1:22" x14ac:dyDescent="0.2">
      <c r="A4778" s="27"/>
      <c r="B4778" s="25"/>
      <c r="E4778" s="10"/>
      <c r="O4778" s="10"/>
      <c r="V4778" s="10"/>
    </row>
    <row r="4779" spans="1:22" x14ac:dyDescent="0.2">
      <c r="A4779" s="27"/>
      <c r="B4779" s="25"/>
      <c r="E4779" s="10"/>
      <c r="O4779" s="10"/>
      <c r="V4779" s="10"/>
    </row>
    <row r="4780" spans="1:22" x14ac:dyDescent="0.2">
      <c r="A4780" s="27"/>
      <c r="B4780" s="25"/>
      <c r="E4780" s="10"/>
      <c r="O4780" s="10"/>
      <c r="V4780" s="10"/>
    </row>
    <row r="4781" spans="1:22" x14ac:dyDescent="0.2">
      <c r="A4781" s="27"/>
      <c r="B4781" s="25"/>
      <c r="E4781" s="10"/>
      <c r="O4781" s="10"/>
      <c r="V4781" s="10"/>
    </row>
    <row r="4782" spans="1:22" x14ac:dyDescent="0.2">
      <c r="A4782" s="27"/>
      <c r="B4782" s="25"/>
      <c r="E4782" s="10"/>
      <c r="O4782" s="10"/>
      <c r="V4782" s="10"/>
    </row>
    <row r="4783" spans="1:22" x14ac:dyDescent="0.2">
      <c r="A4783" s="27"/>
      <c r="B4783" s="25"/>
      <c r="E4783" s="10"/>
      <c r="O4783" s="10"/>
      <c r="V4783" s="10"/>
    </row>
    <row r="4784" spans="1:22" x14ac:dyDescent="0.2">
      <c r="A4784" s="27"/>
      <c r="B4784" s="25"/>
      <c r="E4784" s="10"/>
      <c r="O4784" s="10"/>
      <c r="V4784" s="10"/>
    </row>
    <row r="4785" spans="1:22" x14ac:dyDescent="0.2">
      <c r="A4785" s="27"/>
      <c r="B4785" s="25"/>
      <c r="E4785" s="10"/>
      <c r="O4785" s="10"/>
      <c r="V4785" s="10"/>
    </row>
    <row r="4786" spans="1:22" x14ac:dyDescent="0.2">
      <c r="A4786" s="27"/>
      <c r="B4786" s="25"/>
      <c r="E4786" s="10"/>
      <c r="O4786" s="10"/>
      <c r="V4786" s="10"/>
    </row>
    <row r="4787" spans="1:22" x14ac:dyDescent="0.2">
      <c r="A4787" s="27"/>
      <c r="B4787" s="25"/>
      <c r="E4787" s="10"/>
      <c r="O4787" s="10"/>
      <c r="V4787" s="10"/>
    </row>
    <row r="4788" spans="1:22" x14ac:dyDescent="0.2">
      <c r="A4788" s="27"/>
      <c r="B4788" s="25"/>
      <c r="E4788" s="10"/>
      <c r="O4788" s="10"/>
      <c r="V4788" s="10"/>
    </row>
    <row r="4789" spans="1:22" x14ac:dyDescent="0.2">
      <c r="A4789" s="27"/>
      <c r="B4789" s="25"/>
      <c r="E4789" s="10"/>
      <c r="O4789" s="10"/>
      <c r="V4789" s="10"/>
    </row>
    <row r="4790" spans="1:22" x14ac:dyDescent="0.2">
      <c r="A4790" s="27"/>
      <c r="B4790" s="25"/>
      <c r="E4790" s="10"/>
      <c r="O4790" s="10"/>
      <c r="V4790" s="10"/>
    </row>
    <row r="4791" spans="1:22" x14ac:dyDescent="0.2">
      <c r="A4791" s="27"/>
      <c r="B4791" s="25"/>
      <c r="E4791" s="10"/>
      <c r="O4791" s="10"/>
      <c r="V4791" s="10"/>
    </row>
    <row r="4792" spans="1:22" x14ac:dyDescent="0.2">
      <c r="A4792" s="27"/>
      <c r="B4792" s="25"/>
      <c r="E4792" s="10"/>
      <c r="O4792" s="10"/>
      <c r="V4792" s="10"/>
    </row>
    <row r="4793" spans="1:22" x14ac:dyDescent="0.2">
      <c r="A4793" s="27"/>
      <c r="B4793" s="25"/>
      <c r="E4793" s="10"/>
      <c r="O4793" s="10"/>
      <c r="V4793" s="10"/>
    </row>
    <row r="4794" spans="1:22" x14ac:dyDescent="0.2">
      <c r="A4794" s="27"/>
      <c r="B4794" s="25"/>
      <c r="E4794" s="10"/>
      <c r="O4794" s="10"/>
      <c r="V4794" s="10"/>
    </row>
    <row r="4795" spans="1:22" x14ac:dyDescent="0.2">
      <c r="A4795" s="27"/>
      <c r="B4795" s="25"/>
      <c r="E4795" s="10"/>
      <c r="O4795" s="10"/>
      <c r="V4795" s="10"/>
    </row>
    <row r="4796" spans="1:22" x14ac:dyDescent="0.2">
      <c r="A4796" s="27"/>
      <c r="B4796" s="25"/>
      <c r="E4796" s="10"/>
      <c r="O4796" s="10"/>
      <c r="V4796" s="10"/>
    </row>
    <row r="4797" spans="1:22" x14ac:dyDescent="0.2">
      <c r="A4797" s="27"/>
      <c r="B4797" s="25"/>
      <c r="E4797" s="10"/>
      <c r="O4797" s="10"/>
      <c r="V4797" s="10"/>
    </row>
    <row r="4798" spans="1:22" x14ac:dyDescent="0.2">
      <c r="A4798" s="27"/>
      <c r="B4798" s="25"/>
      <c r="E4798" s="10"/>
      <c r="O4798" s="10"/>
      <c r="V4798" s="10"/>
    </row>
    <row r="4799" spans="1:22" x14ac:dyDescent="0.2">
      <c r="A4799" s="27"/>
      <c r="B4799" s="25"/>
      <c r="E4799" s="10"/>
      <c r="O4799" s="10"/>
      <c r="V4799" s="10"/>
    </row>
    <row r="4800" spans="1:22" x14ac:dyDescent="0.2">
      <c r="A4800" s="27"/>
      <c r="B4800" s="25"/>
      <c r="E4800" s="10"/>
      <c r="O4800" s="10"/>
      <c r="V4800" s="10"/>
    </row>
    <row r="4801" spans="1:22" x14ac:dyDescent="0.2">
      <c r="A4801" s="27"/>
      <c r="B4801" s="25"/>
      <c r="E4801" s="10"/>
      <c r="O4801" s="10"/>
      <c r="V4801" s="10"/>
    </row>
    <row r="4802" spans="1:22" x14ac:dyDescent="0.2">
      <c r="A4802" s="27"/>
      <c r="B4802" s="25"/>
      <c r="E4802" s="10"/>
      <c r="O4802" s="10"/>
      <c r="V4802" s="10"/>
    </row>
    <row r="4803" spans="1:22" x14ac:dyDescent="0.2">
      <c r="A4803" s="27"/>
      <c r="B4803" s="25"/>
      <c r="E4803" s="10"/>
      <c r="O4803" s="10"/>
      <c r="V4803" s="10"/>
    </row>
    <row r="4804" spans="1:22" x14ac:dyDescent="0.2">
      <c r="A4804" s="27"/>
      <c r="B4804" s="25"/>
      <c r="E4804" s="10"/>
      <c r="O4804" s="10"/>
      <c r="V4804" s="10"/>
    </row>
    <row r="4805" spans="1:22" x14ac:dyDescent="0.2">
      <c r="A4805" s="27"/>
      <c r="B4805" s="25"/>
      <c r="E4805" s="10"/>
      <c r="O4805" s="10"/>
      <c r="V4805" s="10"/>
    </row>
    <row r="4806" spans="1:22" x14ac:dyDescent="0.2">
      <c r="A4806" s="27"/>
      <c r="B4806" s="25"/>
      <c r="E4806" s="10"/>
      <c r="O4806" s="10"/>
      <c r="V4806" s="10"/>
    </row>
    <row r="4807" spans="1:22" x14ac:dyDescent="0.2">
      <c r="A4807" s="27"/>
      <c r="B4807" s="25"/>
      <c r="E4807" s="10"/>
      <c r="O4807" s="10"/>
      <c r="V4807" s="10"/>
    </row>
    <row r="4808" spans="1:22" x14ac:dyDescent="0.2">
      <c r="A4808" s="27"/>
      <c r="B4808" s="25"/>
      <c r="E4808" s="10"/>
      <c r="O4808" s="10"/>
      <c r="V4808" s="10"/>
    </row>
    <row r="4809" spans="1:22" x14ac:dyDescent="0.2">
      <c r="A4809" s="27"/>
      <c r="B4809" s="25"/>
      <c r="E4809" s="10"/>
      <c r="O4809" s="10"/>
      <c r="V4809" s="10"/>
    </row>
    <row r="4810" spans="1:22" x14ac:dyDescent="0.2">
      <c r="A4810" s="27"/>
      <c r="B4810" s="25"/>
      <c r="E4810" s="10"/>
      <c r="O4810" s="10"/>
      <c r="V4810" s="10"/>
    </row>
    <row r="4811" spans="1:22" x14ac:dyDescent="0.2">
      <c r="A4811" s="27"/>
      <c r="B4811" s="25"/>
      <c r="E4811" s="10"/>
      <c r="O4811" s="10"/>
      <c r="V4811" s="10"/>
    </row>
    <row r="4812" spans="1:22" x14ac:dyDescent="0.2">
      <c r="A4812" s="27"/>
      <c r="B4812" s="25"/>
      <c r="E4812" s="10"/>
      <c r="O4812" s="10"/>
      <c r="V4812" s="10"/>
    </row>
    <row r="4813" spans="1:22" x14ac:dyDescent="0.2">
      <c r="A4813" s="27"/>
      <c r="B4813" s="25"/>
      <c r="E4813" s="10"/>
      <c r="O4813" s="10"/>
      <c r="V4813" s="10"/>
    </row>
    <row r="4814" spans="1:22" x14ac:dyDescent="0.2">
      <c r="A4814" s="27"/>
      <c r="B4814" s="25"/>
      <c r="E4814" s="10"/>
      <c r="O4814" s="10"/>
      <c r="V4814" s="10"/>
    </row>
    <row r="4815" spans="1:22" x14ac:dyDescent="0.2">
      <c r="A4815" s="27"/>
      <c r="B4815" s="25"/>
      <c r="E4815" s="10"/>
      <c r="O4815" s="10"/>
      <c r="V4815" s="10"/>
    </row>
    <row r="4816" spans="1:22" x14ac:dyDescent="0.2">
      <c r="A4816" s="27"/>
      <c r="B4816" s="25"/>
      <c r="E4816" s="10"/>
      <c r="O4816" s="10"/>
      <c r="V4816" s="10"/>
    </row>
    <row r="4817" spans="1:22" x14ac:dyDescent="0.2">
      <c r="A4817" s="27"/>
      <c r="B4817" s="25"/>
      <c r="E4817" s="10"/>
      <c r="O4817" s="10"/>
      <c r="V4817" s="10"/>
    </row>
    <row r="4818" spans="1:22" x14ac:dyDescent="0.2">
      <c r="A4818" s="27"/>
      <c r="B4818" s="25"/>
      <c r="E4818" s="10"/>
      <c r="O4818" s="10"/>
      <c r="V4818" s="10"/>
    </row>
    <row r="4819" spans="1:22" x14ac:dyDescent="0.2">
      <c r="A4819" s="27"/>
      <c r="B4819" s="25"/>
      <c r="E4819" s="10"/>
      <c r="O4819" s="10"/>
      <c r="V4819" s="10"/>
    </row>
    <row r="4820" spans="1:22" x14ac:dyDescent="0.2">
      <c r="A4820" s="27"/>
      <c r="B4820" s="25"/>
      <c r="E4820" s="10"/>
      <c r="O4820" s="10"/>
      <c r="V4820" s="10"/>
    </row>
    <row r="4821" spans="1:22" x14ac:dyDescent="0.2">
      <c r="A4821" s="27"/>
      <c r="B4821" s="25"/>
      <c r="E4821" s="10"/>
      <c r="O4821" s="10"/>
      <c r="V4821" s="10"/>
    </row>
    <row r="4822" spans="1:22" x14ac:dyDescent="0.2">
      <c r="A4822" s="27"/>
      <c r="B4822" s="25"/>
      <c r="E4822" s="10"/>
      <c r="O4822" s="10"/>
      <c r="V4822" s="10"/>
    </row>
    <row r="4823" spans="1:22" x14ac:dyDescent="0.2">
      <c r="A4823" s="27"/>
      <c r="B4823" s="25"/>
      <c r="E4823" s="10"/>
      <c r="O4823" s="10"/>
      <c r="V4823" s="10"/>
    </row>
    <row r="4824" spans="1:22" x14ac:dyDescent="0.2">
      <c r="A4824" s="27"/>
      <c r="B4824" s="25"/>
      <c r="E4824" s="10"/>
      <c r="O4824" s="10"/>
      <c r="V4824" s="10"/>
    </row>
    <row r="4825" spans="1:22" x14ac:dyDescent="0.2">
      <c r="A4825" s="27"/>
      <c r="B4825" s="25"/>
      <c r="E4825" s="10"/>
      <c r="O4825" s="10"/>
      <c r="V4825" s="10"/>
    </row>
    <row r="4826" spans="1:22" x14ac:dyDescent="0.2">
      <c r="A4826" s="27"/>
      <c r="B4826" s="25"/>
      <c r="E4826" s="10"/>
      <c r="O4826" s="10"/>
      <c r="V4826" s="10"/>
    </row>
    <row r="4827" spans="1:22" x14ac:dyDescent="0.2">
      <c r="A4827" s="27"/>
      <c r="B4827" s="25"/>
      <c r="E4827" s="10"/>
      <c r="O4827" s="10"/>
      <c r="V4827" s="10"/>
    </row>
    <row r="4828" spans="1:22" x14ac:dyDescent="0.2">
      <c r="A4828" s="27"/>
      <c r="B4828" s="25"/>
      <c r="E4828" s="10"/>
      <c r="O4828" s="10"/>
      <c r="V4828" s="10"/>
    </row>
    <row r="4829" spans="1:22" x14ac:dyDescent="0.2">
      <c r="A4829" s="27"/>
      <c r="B4829" s="25"/>
      <c r="E4829" s="10"/>
      <c r="O4829" s="10"/>
      <c r="V4829" s="10"/>
    </row>
    <row r="4830" spans="1:22" x14ac:dyDescent="0.2">
      <c r="A4830" s="27"/>
      <c r="B4830" s="25"/>
      <c r="E4830" s="10"/>
      <c r="O4830" s="10"/>
      <c r="V4830" s="10"/>
    </row>
    <row r="4831" spans="1:22" x14ac:dyDescent="0.2">
      <c r="A4831" s="27"/>
      <c r="B4831" s="25"/>
      <c r="E4831" s="10"/>
      <c r="O4831" s="10"/>
      <c r="V4831" s="10"/>
    </row>
    <row r="4832" spans="1:22" x14ac:dyDescent="0.2">
      <c r="A4832" s="27"/>
      <c r="B4832" s="25"/>
      <c r="E4832" s="10"/>
      <c r="O4832" s="10"/>
      <c r="V4832" s="10"/>
    </row>
    <row r="4833" spans="1:22" x14ac:dyDescent="0.2">
      <c r="A4833" s="27"/>
      <c r="B4833" s="25"/>
      <c r="E4833" s="10"/>
      <c r="O4833" s="10"/>
      <c r="V4833" s="10"/>
    </row>
    <row r="4834" spans="1:22" x14ac:dyDescent="0.2">
      <c r="A4834" s="27"/>
      <c r="B4834" s="25"/>
      <c r="E4834" s="10"/>
      <c r="O4834" s="10"/>
      <c r="V4834" s="10"/>
    </row>
    <row r="4835" spans="1:22" x14ac:dyDescent="0.2">
      <c r="A4835" s="27"/>
      <c r="B4835" s="25"/>
      <c r="E4835" s="10"/>
      <c r="O4835" s="10"/>
      <c r="V4835" s="10"/>
    </row>
    <row r="4836" spans="1:22" x14ac:dyDescent="0.2">
      <c r="A4836" s="27"/>
      <c r="B4836" s="25"/>
      <c r="E4836" s="10"/>
      <c r="O4836" s="10"/>
      <c r="V4836" s="10"/>
    </row>
    <row r="4837" spans="1:22" x14ac:dyDescent="0.2">
      <c r="A4837" s="27"/>
      <c r="B4837" s="25"/>
      <c r="E4837" s="10"/>
      <c r="O4837" s="10"/>
      <c r="V4837" s="10"/>
    </row>
    <row r="4838" spans="1:22" x14ac:dyDescent="0.2">
      <c r="A4838" s="27"/>
      <c r="B4838" s="25"/>
      <c r="E4838" s="10"/>
      <c r="O4838" s="10"/>
      <c r="V4838" s="10"/>
    </row>
    <row r="4839" spans="1:22" x14ac:dyDescent="0.2">
      <c r="A4839" s="27"/>
      <c r="B4839" s="25"/>
      <c r="E4839" s="10"/>
      <c r="O4839" s="10"/>
      <c r="V4839" s="10"/>
    </row>
    <row r="4840" spans="1:22" x14ac:dyDescent="0.2">
      <c r="A4840" s="27"/>
      <c r="B4840" s="25"/>
      <c r="E4840" s="10"/>
      <c r="O4840" s="10"/>
      <c r="V4840" s="10"/>
    </row>
    <row r="4841" spans="1:22" x14ac:dyDescent="0.2">
      <c r="A4841" s="27"/>
      <c r="B4841" s="25"/>
      <c r="E4841" s="10"/>
      <c r="O4841" s="10"/>
      <c r="V4841" s="10"/>
    </row>
    <row r="4842" spans="1:22" x14ac:dyDescent="0.2">
      <c r="A4842" s="27"/>
      <c r="B4842" s="25"/>
      <c r="E4842" s="10"/>
      <c r="O4842" s="10"/>
      <c r="V4842" s="10"/>
    </row>
    <row r="4843" spans="1:22" x14ac:dyDescent="0.2">
      <c r="A4843" s="27"/>
      <c r="B4843" s="25"/>
      <c r="E4843" s="10"/>
      <c r="O4843" s="10"/>
      <c r="V4843" s="10"/>
    </row>
    <row r="4844" spans="1:22" x14ac:dyDescent="0.2">
      <c r="A4844" s="27"/>
      <c r="B4844" s="25"/>
      <c r="E4844" s="10"/>
      <c r="O4844" s="10"/>
      <c r="V4844" s="10"/>
    </row>
    <row r="4845" spans="1:22" x14ac:dyDescent="0.2">
      <c r="A4845" s="27"/>
      <c r="B4845" s="25"/>
      <c r="E4845" s="10"/>
      <c r="O4845" s="10"/>
      <c r="V4845" s="10"/>
    </row>
    <row r="4846" spans="1:22" x14ac:dyDescent="0.2">
      <c r="A4846" s="27"/>
      <c r="B4846" s="25"/>
      <c r="E4846" s="10"/>
      <c r="O4846" s="10"/>
      <c r="V4846" s="10"/>
    </row>
    <row r="4847" spans="1:22" x14ac:dyDescent="0.2">
      <c r="A4847" s="27"/>
      <c r="B4847" s="25"/>
      <c r="E4847" s="10"/>
      <c r="O4847" s="10"/>
      <c r="V4847" s="10"/>
    </row>
    <row r="4848" spans="1:22" x14ac:dyDescent="0.2">
      <c r="A4848" s="27"/>
      <c r="B4848" s="25"/>
      <c r="E4848" s="10"/>
      <c r="O4848" s="10"/>
      <c r="V4848" s="10"/>
    </row>
    <row r="4849" spans="1:22" x14ac:dyDescent="0.2">
      <c r="A4849" s="27"/>
      <c r="B4849" s="25"/>
      <c r="E4849" s="10"/>
      <c r="O4849" s="10"/>
      <c r="V4849" s="10"/>
    </row>
    <row r="4850" spans="1:22" x14ac:dyDescent="0.2">
      <c r="A4850" s="27"/>
      <c r="B4850" s="25"/>
      <c r="E4850" s="10"/>
      <c r="O4850" s="10"/>
      <c r="V4850" s="10"/>
    </row>
    <row r="4851" spans="1:22" x14ac:dyDescent="0.2">
      <c r="A4851" s="27"/>
      <c r="B4851" s="25"/>
      <c r="E4851" s="10"/>
      <c r="O4851" s="10"/>
      <c r="V4851" s="10"/>
    </row>
    <row r="4852" spans="1:22" x14ac:dyDescent="0.2">
      <c r="A4852" s="27"/>
      <c r="B4852" s="25"/>
      <c r="E4852" s="10"/>
      <c r="O4852" s="10"/>
      <c r="V4852" s="10"/>
    </row>
    <row r="4853" spans="1:22" x14ac:dyDescent="0.2">
      <c r="A4853" s="27"/>
      <c r="B4853" s="25"/>
      <c r="E4853" s="10"/>
      <c r="O4853" s="10"/>
      <c r="V4853" s="10"/>
    </row>
    <row r="4854" spans="1:22" x14ac:dyDescent="0.2">
      <c r="A4854" s="27"/>
      <c r="B4854" s="25"/>
      <c r="E4854" s="10"/>
      <c r="O4854" s="10"/>
      <c r="V4854" s="10"/>
    </row>
    <row r="4855" spans="1:22" x14ac:dyDescent="0.2">
      <c r="A4855" s="27"/>
      <c r="B4855" s="25"/>
      <c r="E4855" s="10"/>
      <c r="O4855" s="10"/>
      <c r="V4855" s="10"/>
    </row>
    <row r="4856" spans="1:22" x14ac:dyDescent="0.2">
      <c r="A4856" s="27"/>
      <c r="B4856" s="25"/>
      <c r="E4856" s="10"/>
      <c r="O4856" s="10"/>
      <c r="V4856" s="10"/>
    </row>
    <row r="4857" spans="1:22" x14ac:dyDescent="0.2">
      <c r="A4857" s="27"/>
      <c r="B4857" s="25"/>
      <c r="E4857" s="10"/>
      <c r="O4857" s="10"/>
      <c r="V4857" s="10"/>
    </row>
    <row r="4858" spans="1:22" x14ac:dyDescent="0.2">
      <c r="A4858" s="27"/>
      <c r="B4858" s="25"/>
      <c r="E4858" s="10"/>
      <c r="O4858" s="10"/>
      <c r="V4858" s="10"/>
    </row>
    <row r="4859" spans="1:22" x14ac:dyDescent="0.2">
      <c r="A4859" s="27"/>
      <c r="B4859" s="25"/>
      <c r="E4859" s="10"/>
      <c r="O4859" s="10"/>
      <c r="V4859" s="10"/>
    </row>
    <row r="4860" spans="1:22" x14ac:dyDescent="0.2">
      <c r="A4860" s="27"/>
      <c r="B4860" s="25"/>
      <c r="E4860" s="10"/>
      <c r="O4860" s="10"/>
      <c r="V4860" s="10"/>
    </row>
    <row r="4861" spans="1:22" x14ac:dyDescent="0.2">
      <c r="A4861" s="27"/>
      <c r="B4861" s="25"/>
      <c r="E4861" s="10"/>
      <c r="O4861" s="10"/>
      <c r="V4861" s="10"/>
    </row>
    <row r="4862" spans="1:22" x14ac:dyDescent="0.2">
      <c r="A4862" s="27"/>
      <c r="B4862" s="25"/>
      <c r="E4862" s="10"/>
      <c r="O4862" s="10"/>
      <c r="V4862" s="10"/>
    </row>
    <row r="4863" spans="1:22" x14ac:dyDescent="0.2">
      <c r="A4863" s="27"/>
      <c r="B4863" s="25"/>
      <c r="E4863" s="10"/>
      <c r="O4863" s="10"/>
      <c r="V4863" s="10"/>
    </row>
    <row r="4864" spans="1:22" x14ac:dyDescent="0.2">
      <c r="A4864" s="27"/>
      <c r="B4864" s="25"/>
      <c r="E4864" s="10"/>
      <c r="O4864" s="10"/>
      <c r="V4864" s="10"/>
    </row>
    <row r="4865" spans="1:22" x14ac:dyDescent="0.2">
      <c r="A4865" s="27"/>
      <c r="B4865" s="25"/>
      <c r="E4865" s="10"/>
      <c r="O4865" s="10"/>
      <c r="V4865" s="10"/>
    </row>
    <row r="4866" spans="1:22" x14ac:dyDescent="0.2">
      <c r="A4866" s="27"/>
      <c r="B4866" s="25"/>
      <c r="E4866" s="10"/>
      <c r="O4866" s="10"/>
      <c r="V4866" s="10"/>
    </row>
    <row r="4867" spans="1:22" x14ac:dyDescent="0.2">
      <c r="A4867" s="27"/>
      <c r="B4867" s="25"/>
      <c r="E4867" s="10"/>
      <c r="O4867" s="10"/>
      <c r="V4867" s="10"/>
    </row>
    <row r="4868" spans="1:22" x14ac:dyDescent="0.2">
      <c r="A4868" s="27"/>
      <c r="B4868" s="25"/>
      <c r="E4868" s="10"/>
      <c r="O4868" s="10"/>
      <c r="V4868" s="10"/>
    </row>
    <row r="4869" spans="1:22" x14ac:dyDescent="0.2">
      <c r="A4869" s="27"/>
      <c r="B4869" s="25"/>
      <c r="E4869" s="10"/>
      <c r="O4869" s="10"/>
      <c r="V4869" s="10"/>
    </row>
    <row r="4870" spans="1:22" x14ac:dyDescent="0.2">
      <c r="A4870" s="27"/>
      <c r="B4870" s="25"/>
      <c r="E4870" s="10"/>
      <c r="O4870" s="10"/>
      <c r="V4870" s="10"/>
    </row>
    <row r="4871" spans="1:22" x14ac:dyDescent="0.2">
      <c r="A4871" s="27"/>
      <c r="B4871" s="25"/>
      <c r="E4871" s="10"/>
      <c r="O4871" s="10"/>
      <c r="V4871" s="10"/>
    </row>
    <row r="4872" spans="1:22" x14ac:dyDescent="0.2">
      <c r="A4872" s="27"/>
      <c r="B4872" s="25"/>
      <c r="E4872" s="10"/>
      <c r="O4872" s="10"/>
      <c r="V4872" s="10"/>
    </row>
    <row r="4873" spans="1:22" x14ac:dyDescent="0.2">
      <c r="A4873" s="27"/>
      <c r="B4873" s="25"/>
      <c r="E4873" s="10"/>
      <c r="O4873" s="10"/>
      <c r="V4873" s="10"/>
    </row>
    <row r="4874" spans="1:22" x14ac:dyDescent="0.2">
      <c r="A4874" s="27"/>
      <c r="B4874" s="25"/>
      <c r="E4874" s="10"/>
      <c r="O4874" s="10"/>
      <c r="V4874" s="10"/>
    </row>
    <row r="4875" spans="1:22" x14ac:dyDescent="0.2">
      <c r="A4875" s="27"/>
      <c r="B4875" s="25"/>
      <c r="E4875" s="10"/>
      <c r="O4875" s="10"/>
      <c r="V4875" s="10"/>
    </row>
    <row r="4876" spans="1:22" x14ac:dyDescent="0.2">
      <c r="A4876" s="27"/>
      <c r="B4876" s="25"/>
      <c r="E4876" s="10"/>
      <c r="O4876" s="10"/>
      <c r="V4876" s="10"/>
    </row>
    <row r="4877" spans="1:22" x14ac:dyDescent="0.2">
      <c r="A4877" s="27"/>
      <c r="B4877" s="25"/>
      <c r="E4877" s="10"/>
      <c r="O4877" s="10"/>
      <c r="V4877" s="10"/>
    </row>
    <row r="4878" spans="1:22" x14ac:dyDescent="0.2">
      <c r="A4878" s="27"/>
      <c r="B4878" s="25"/>
      <c r="E4878" s="10"/>
      <c r="O4878" s="10"/>
      <c r="V4878" s="10"/>
    </row>
    <row r="4879" spans="1:22" x14ac:dyDescent="0.2">
      <c r="A4879" s="27"/>
      <c r="B4879" s="25"/>
      <c r="E4879" s="10"/>
      <c r="O4879" s="10"/>
      <c r="V4879" s="10"/>
    </row>
    <row r="4880" spans="1:22" x14ac:dyDescent="0.2">
      <c r="A4880" s="27"/>
      <c r="B4880" s="25"/>
      <c r="E4880" s="10"/>
      <c r="O4880" s="10"/>
      <c r="V4880" s="10"/>
    </row>
    <row r="4881" spans="1:22" x14ac:dyDescent="0.2">
      <c r="A4881" s="27"/>
      <c r="B4881" s="25"/>
      <c r="E4881" s="10"/>
      <c r="O4881" s="10"/>
      <c r="V4881" s="10"/>
    </row>
    <row r="4882" spans="1:22" x14ac:dyDescent="0.2">
      <c r="A4882" s="27"/>
      <c r="B4882" s="25"/>
      <c r="E4882" s="10"/>
      <c r="O4882" s="10"/>
      <c r="V4882" s="10"/>
    </row>
    <row r="4883" spans="1:22" x14ac:dyDescent="0.2">
      <c r="A4883" s="27"/>
      <c r="B4883" s="25"/>
      <c r="E4883" s="10"/>
      <c r="O4883" s="10"/>
      <c r="V4883" s="10"/>
    </row>
    <row r="4884" spans="1:22" x14ac:dyDescent="0.2">
      <c r="A4884" s="27"/>
      <c r="B4884" s="25"/>
      <c r="E4884" s="10"/>
      <c r="O4884" s="10"/>
      <c r="V4884" s="10"/>
    </row>
    <row r="4885" spans="1:22" x14ac:dyDescent="0.2">
      <c r="A4885" s="27"/>
      <c r="B4885" s="25"/>
      <c r="E4885" s="10"/>
      <c r="O4885" s="10"/>
      <c r="V4885" s="10"/>
    </row>
    <row r="4886" spans="1:22" x14ac:dyDescent="0.2">
      <c r="A4886" s="27"/>
      <c r="B4886" s="25"/>
      <c r="E4886" s="10"/>
      <c r="O4886" s="10"/>
      <c r="V4886" s="10"/>
    </row>
    <row r="4887" spans="1:22" x14ac:dyDescent="0.2">
      <c r="A4887" s="27"/>
      <c r="B4887" s="25"/>
      <c r="E4887" s="10"/>
      <c r="O4887" s="10"/>
      <c r="V4887" s="10"/>
    </row>
    <row r="4888" spans="1:22" x14ac:dyDescent="0.2">
      <c r="A4888" s="27"/>
      <c r="B4888" s="25"/>
      <c r="E4888" s="10"/>
      <c r="O4888" s="10"/>
      <c r="V4888" s="10"/>
    </row>
    <row r="4889" spans="1:22" x14ac:dyDescent="0.2">
      <c r="A4889" s="27"/>
      <c r="B4889" s="25"/>
      <c r="E4889" s="10"/>
      <c r="O4889" s="10"/>
      <c r="V4889" s="10"/>
    </row>
    <row r="4890" spans="1:22" x14ac:dyDescent="0.2">
      <c r="A4890" s="27"/>
      <c r="B4890" s="25"/>
      <c r="E4890" s="10"/>
      <c r="O4890" s="10"/>
      <c r="V4890" s="10"/>
    </row>
    <row r="4891" spans="1:22" x14ac:dyDescent="0.2">
      <c r="A4891" s="27"/>
      <c r="B4891" s="25"/>
      <c r="E4891" s="10"/>
      <c r="O4891" s="10"/>
      <c r="V4891" s="10"/>
    </row>
    <row r="4892" spans="1:22" x14ac:dyDescent="0.2">
      <c r="A4892" s="27"/>
      <c r="B4892" s="25"/>
      <c r="E4892" s="10"/>
      <c r="O4892" s="10"/>
      <c r="V4892" s="10"/>
    </row>
    <row r="4893" spans="1:22" x14ac:dyDescent="0.2">
      <c r="A4893" s="27"/>
      <c r="B4893" s="25"/>
      <c r="E4893" s="10"/>
      <c r="O4893" s="10"/>
      <c r="V4893" s="10"/>
    </row>
    <row r="4894" spans="1:22" x14ac:dyDescent="0.2">
      <c r="A4894" s="27"/>
      <c r="B4894" s="25"/>
      <c r="E4894" s="10"/>
      <c r="O4894" s="10"/>
      <c r="V4894" s="10"/>
    </row>
    <row r="4895" spans="1:22" x14ac:dyDescent="0.2">
      <c r="A4895" s="27"/>
      <c r="B4895" s="25"/>
      <c r="E4895" s="10"/>
      <c r="O4895" s="10"/>
      <c r="V4895" s="10"/>
    </row>
    <row r="4896" spans="1:22" x14ac:dyDescent="0.2">
      <c r="A4896" s="27"/>
      <c r="B4896" s="25"/>
      <c r="E4896" s="10"/>
      <c r="O4896" s="10"/>
      <c r="V4896" s="10"/>
    </row>
    <row r="4897" spans="1:22" x14ac:dyDescent="0.2">
      <c r="A4897" s="27"/>
      <c r="B4897" s="25"/>
      <c r="E4897" s="10"/>
      <c r="O4897" s="10"/>
      <c r="V4897" s="10"/>
    </row>
    <row r="4898" spans="1:22" x14ac:dyDescent="0.2">
      <c r="A4898" s="27"/>
      <c r="B4898" s="25"/>
      <c r="E4898" s="10"/>
      <c r="O4898" s="10"/>
      <c r="V4898" s="10"/>
    </row>
    <row r="4899" spans="1:22" x14ac:dyDescent="0.2">
      <c r="A4899" s="27"/>
      <c r="B4899" s="25"/>
      <c r="E4899" s="10"/>
      <c r="O4899" s="10"/>
      <c r="V4899" s="10"/>
    </row>
    <row r="4900" spans="1:22" x14ac:dyDescent="0.2">
      <c r="A4900" s="27"/>
      <c r="B4900" s="25"/>
      <c r="E4900" s="10"/>
      <c r="O4900" s="10"/>
      <c r="V4900" s="10"/>
    </row>
    <row r="4901" spans="1:22" x14ac:dyDescent="0.2">
      <c r="A4901" s="27"/>
      <c r="B4901" s="25"/>
      <c r="E4901" s="10"/>
      <c r="O4901" s="10"/>
      <c r="V4901" s="10"/>
    </row>
    <row r="4902" spans="1:22" x14ac:dyDescent="0.2">
      <c r="A4902" s="27"/>
      <c r="B4902" s="25"/>
      <c r="E4902" s="10"/>
      <c r="O4902" s="10"/>
      <c r="V4902" s="10"/>
    </row>
    <row r="4903" spans="1:22" x14ac:dyDescent="0.2">
      <c r="A4903" s="27"/>
      <c r="B4903" s="25"/>
      <c r="E4903" s="10"/>
      <c r="O4903" s="10"/>
      <c r="V4903" s="10"/>
    </row>
    <row r="4904" spans="1:22" x14ac:dyDescent="0.2">
      <c r="A4904" s="27"/>
      <c r="B4904" s="25"/>
      <c r="E4904" s="10"/>
      <c r="O4904" s="10"/>
      <c r="V4904" s="10"/>
    </row>
    <row r="4905" spans="1:22" x14ac:dyDescent="0.2">
      <c r="A4905" s="27"/>
      <c r="B4905" s="25"/>
      <c r="E4905" s="10"/>
      <c r="O4905" s="10"/>
      <c r="V4905" s="10"/>
    </row>
    <row r="4906" spans="1:22" x14ac:dyDescent="0.2">
      <c r="A4906" s="27"/>
      <c r="B4906" s="25"/>
      <c r="E4906" s="10"/>
      <c r="O4906" s="10"/>
      <c r="V4906" s="10"/>
    </row>
    <row r="4907" spans="1:22" x14ac:dyDescent="0.2">
      <c r="A4907" s="27"/>
      <c r="B4907" s="25"/>
      <c r="E4907" s="10"/>
      <c r="O4907" s="10"/>
      <c r="V4907" s="10"/>
    </row>
    <row r="4908" spans="1:22" x14ac:dyDescent="0.2">
      <c r="A4908" s="27"/>
      <c r="B4908" s="25"/>
      <c r="E4908" s="10"/>
      <c r="O4908" s="10"/>
      <c r="V4908" s="10"/>
    </row>
    <row r="4909" spans="1:22" x14ac:dyDescent="0.2">
      <c r="A4909" s="27"/>
      <c r="B4909" s="25"/>
      <c r="E4909" s="10"/>
      <c r="O4909" s="10"/>
      <c r="V4909" s="10"/>
    </row>
    <row r="4910" spans="1:22" x14ac:dyDescent="0.2">
      <c r="A4910" s="27"/>
      <c r="B4910" s="25"/>
      <c r="E4910" s="10"/>
      <c r="O4910" s="10"/>
      <c r="V4910" s="10"/>
    </row>
    <row r="4911" spans="1:22" x14ac:dyDescent="0.2">
      <c r="A4911" s="27"/>
      <c r="B4911" s="25"/>
      <c r="E4911" s="10"/>
      <c r="O4911" s="10"/>
      <c r="V4911" s="10"/>
    </row>
    <row r="4912" spans="1:22" x14ac:dyDescent="0.2">
      <c r="A4912" s="27"/>
      <c r="B4912" s="25"/>
      <c r="E4912" s="10"/>
      <c r="O4912" s="10"/>
      <c r="V4912" s="10"/>
    </row>
    <row r="4913" spans="1:22" x14ac:dyDescent="0.2">
      <c r="A4913" s="27"/>
      <c r="B4913" s="25"/>
      <c r="E4913" s="10"/>
      <c r="O4913" s="10"/>
      <c r="V4913" s="10"/>
    </row>
    <row r="4914" spans="1:22" x14ac:dyDescent="0.2">
      <c r="A4914" s="27"/>
      <c r="B4914" s="25"/>
      <c r="E4914" s="10"/>
      <c r="O4914" s="10"/>
      <c r="V4914" s="10"/>
    </row>
    <row r="4915" spans="1:22" x14ac:dyDescent="0.2">
      <c r="A4915" s="27"/>
      <c r="B4915" s="25"/>
      <c r="E4915" s="10"/>
      <c r="O4915" s="10"/>
      <c r="V4915" s="10"/>
    </row>
    <row r="4916" spans="1:22" x14ac:dyDescent="0.2">
      <c r="A4916" s="27"/>
      <c r="B4916" s="25"/>
      <c r="E4916" s="10"/>
      <c r="O4916" s="10"/>
      <c r="V4916" s="10"/>
    </row>
    <row r="4917" spans="1:22" x14ac:dyDescent="0.2">
      <c r="A4917" s="27"/>
      <c r="B4917" s="25"/>
      <c r="E4917" s="10"/>
      <c r="O4917" s="10"/>
      <c r="V4917" s="10"/>
    </row>
    <row r="4918" spans="1:22" x14ac:dyDescent="0.2">
      <c r="A4918" s="27"/>
      <c r="B4918" s="25"/>
      <c r="E4918" s="10"/>
      <c r="O4918" s="10"/>
      <c r="V4918" s="10"/>
    </row>
    <row r="4919" spans="1:22" x14ac:dyDescent="0.2">
      <c r="A4919" s="27"/>
      <c r="B4919" s="25"/>
      <c r="E4919" s="10"/>
      <c r="O4919" s="10"/>
      <c r="V4919" s="10"/>
    </row>
    <row r="4920" spans="1:22" x14ac:dyDescent="0.2">
      <c r="A4920" s="27"/>
      <c r="B4920" s="25"/>
      <c r="E4920" s="10"/>
      <c r="O4920" s="10"/>
      <c r="V4920" s="10"/>
    </row>
    <row r="4921" spans="1:22" x14ac:dyDescent="0.2">
      <c r="A4921" s="27"/>
      <c r="B4921" s="25"/>
      <c r="E4921" s="10"/>
      <c r="O4921" s="10"/>
      <c r="V4921" s="10"/>
    </row>
    <row r="4922" spans="1:22" x14ac:dyDescent="0.2">
      <c r="A4922" s="27"/>
      <c r="B4922" s="25"/>
      <c r="E4922" s="10"/>
      <c r="O4922" s="10"/>
      <c r="V4922" s="10"/>
    </row>
    <row r="4923" spans="1:22" x14ac:dyDescent="0.2">
      <c r="A4923" s="27"/>
      <c r="B4923" s="25"/>
      <c r="E4923" s="10"/>
      <c r="O4923" s="10"/>
      <c r="V4923" s="10"/>
    </row>
    <row r="4924" spans="1:22" x14ac:dyDescent="0.2">
      <c r="A4924" s="27"/>
      <c r="B4924" s="25"/>
      <c r="E4924" s="10"/>
      <c r="O4924" s="10"/>
      <c r="V4924" s="10"/>
    </row>
    <row r="4925" spans="1:22" x14ac:dyDescent="0.2">
      <c r="A4925" s="27"/>
      <c r="B4925" s="25"/>
      <c r="E4925" s="10"/>
      <c r="O4925" s="10"/>
      <c r="V4925" s="10"/>
    </row>
    <row r="4926" spans="1:22" x14ac:dyDescent="0.2">
      <c r="A4926" s="27"/>
      <c r="B4926" s="25"/>
      <c r="E4926" s="10"/>
      <c r="O4926" s="10"/>
      <c r="V4926" s="10"/>
    </row>
    <row r="4927" spans="1:22" x14ac:dyDescent="0.2">
      <c r="A4927" s="27"/>
      <c r="B4927" s="25"/>
      <c r="E4927" s="10"/>
      <c r="O4927" s="10"/>
      <c r="V4927" s="10"/>
    </row>
    <row r="4928" spans="1:22" x14ac:dyDescent="0.2">
      <c r="A4928" s="27"/>
      <c r="B4928" s="25"/>
      <c r="E4928" s="10"/>
      <c r="O4928" s="10"/>
      <c r="V4928" s="10"/>
    </row>
    <row r="4929" spans="1:22" x14ac:dyDescent="0.2">
      <c r="A4929" s="27"/>
      <c r="B4929" s="25"/>
      <c r="E4929" s="10"/>
      <c r="O4929" s="10"/>
      <c r="V4929" s="10"/>
    </row>
    <row r="4930" spans="1:22" x14ac:dyDescent="0.2">
      <c r="A4930" s="27"/>
      <c r="B4930" s="25"/>
      <c r="E4930" s="10"/>
      <c r="O4930" s="10"/>
      <c r="V4930" s="10"/>
    </row>
    <row r="4931" spans="1:22" x14ac:dyDescent="0.2">
      <c r="A4931" s="27"/>
      <c r="B4931" s="25"/>
      <c r="E4931" s="10"/>
      <c r="O4931" s="10"/>
      <c r="V4931" s="10"/>
    </row>
    <row r="4932" spans="1:22" x14ac:dyDescent="0.2">
      <c r="A4932" s="27"/>
      <c r="B4932" s="25"/>
      <c r="E4932" s="10"/>
      <c r="O4932" s="10"/>
      <c r="V4932" s="10"/>
    </row>
    <row r="4933" spans="1:22" x14ac:dyDescent="0.2">
      <c r="A4933" s="27"/>
      <c r="B4933" s="25"/>
      <c r="E4933" s="10"/>
      <c r="O4933" s="10"/>
      <c r="V4933" s="10"/>
    </row>
    <row r="4934" spans="1:22" x14ac:dyDescent="0.2">
      <c r="A4934" s="27"/>
      <c r="B4934" s="25"/>
      <c r="E4934" s="10"/>
      <c r="O4934" s="10"/>
      <c r="V4934" s="10"/>
    </row>
    <row r="4935" spans="1:22" x14ac:dyDescent="0.2">
      <c r="A4935" s="27"/>
      <c r="B4935" s="25"/>
      <c r="E4935" s="10"/>
      <c r="O4935" s="10"/>
      <c r="V4935" s="10"/>
    </row>
    <row r="4936" spans="1:22" x14ac:dyDescent="0.2">
      <c r="A4936" s="27"/>
      <c r="B4936" s="25"/>
      <c r="E4936" s="10"/>
      <c r="O4936" s="10"/>
      <c r="V4936" s="10"/>
    </row>
    <row r="4937" spans="1:22" x14ac:dyDescent="0.2">
      <c r="A4937" s="27"/>
      <c r="B4937" s="25"/>
      <c r="E4937" s="10"/>
      <c r="O4937" s="10"/>
      <c r="V4937" s="10"/>
    </row>
    <row r="4938" spans="1:22" x14ac:dyDescent="0.2">
      <c r="A4938" s="27"/>
      <c r="B4938" s="25"/>
      <c r="E4938" s="10"/>
      <c r="O4938" s="10"/>
      <c r="V4938" s="10"/>
    </row>
    <row r="4939" spans="1:22" x14ac:dyDescent="0.2">
      <c r="A4939" s="27"/>
      <c r="B4939" s="25"/>
      <c r="E4939" s="10"/>
      <c r="O4939" s="10"/>
      <c r="V4939" s="10"/>
    </row>
    <row r="4940" spans="1:22" x14ac:dyDescent="0.2">
      <c r="A4940" s="27"/>
      <c r="B4940" s="25"/>
      <c r="E4940" s="10"/>
      <c r="O4940" s="10"/>
      <c r="V4940" s="10"/>
    </row>
    <row r="4941" spans="1:22" x14ac:dyDescent="0.2">
      <c r="A4941" s="27"/>
      <c r="B4941" s="25"/>
      <c r="E4941" s="10"/>
      <c r="O4941" s="10"/>
      <c r="V4941" s="10"/>
    </row>
    <row r="4942" spans="1:22" x14ac:dyDescent="0.2">
      <c r="A4942" s="27"/>
      <c r="B4942" s="25"/>
      <c r="E4942" s="10"/>
      <c r="O4942" s="10"/>
      <c r="V4942" s="10"/>
    </row>
    <row r="4943" spans="1:22" x14ac:dyDescent="0.2">
      <c r="A4943" s="27"/>
      <c r="B4943" s="25"/>
      <c r="E4943" s="10"/>
      <c r="O4943" s="10"/>
      <c r="V4943" s="10"/>
    </row>
    <row r="4944" spans="1:22" x14ac:dyDescent="0.2">
      <c r="A4944" s="27"/>
      <c r="B4944" s="25"/>
      <c r="E4944" s="10"/>
      <c r="O4944" s="10"/>
      <c r="V4944" s="10"/>
    </row>
    <row r="4945" spans="1:22" x14ac:dyDescent="0.2">
      <c r="A4945" s="27"/>
      <c r="B4945" s="25"/>
      <c r="E4945" s="10"/>
      <c r="O4945" s="10"/>
      <c r="V4945" s="10"/>
    </row>
    <row r="4946" spans="1:22" x14ac:dyDescent="0.2">
      <c r="A4946" s="27"/>
      <c r="B4946" s="25"/>
      <c r="E4946" s="10"/>
      <c r="O4946" s="10"/>
      <c r="V4946" s="10"/>
    </row>
    <row r="4947" spans="1:22" x14ac:dyDescent="0.2">
      <c r="A4947" s="27"/>
      <c r="B4947" s="25"/>
      <c r="E4947" s="10"/>
      <c r="O4947" s="10"/>
      <c r="V4947" s="10"/>
    </row>
    <row r="4948" spans="1:22" x14ac:dyDescent="0.2">
      <c r="A4948" s="27"/>
      <c r="B4948" s="25"/>
      <c r="E4948" s="10"/>
      <c r="O4948" s="10"/>
      <c r="V4948" s="10"/>
    </row>
    <row r="4949" spans="1:22" x14ac:dyDescent="0.2">
      <c r="A4949" s="27"/>
      <c r="B4949" s="25"/>
      <c r="E4949" s="10"/>
      <c r="O4949" s="10"/>
      <c r="V4949" s="10"/>
    </row>
    <row r="4950" spans="1:22" x14ac:dyDescent="0.2">
      <c r="A4950" s="27"/>
      <c r="B4950" s="25"/>
      <c r="E4950" s="10"/>
      <c r="O4950" s="10"/>
      <c r="V4950" s="10"/>
    </row>
    <row r="4951" spans="1:22" x14ac:dyDescent="0.2">
      <c r="A4951" s="27"/>
      <c r="B4951" s="25"/>
      <c r="E4951" s="10"/>
      <c r="O4951" s="10"/>
      <c r="V4951" s="10"/>
    </row>
    <row r="4952" spans="1:22" x14ac:dyDescent="0.2">
      <c r="A4952" s="27"/>
      <c r="B4952" s="25"/>
      <c r="E4952" s="10"/>
      <c r="O4952" s="10"/>
      <c r="V4952" s="10"/>
    </row>
    <row r="4953" spans="1:22" x14ac:dyDescent="0.2">
      <c r="A4953" s="27"/>
      <c r="B4953" s="25"/>
      <c r="E4953" s="10"/>
      <c r="O4953" s="10"/>
      <c r="V4953" s="10"/>
    </row>
    <row r="4954" spans="1:22" x14ac:dyDescent="0.2">
      <c r="A4954" s="27"/>
      <c r="B4954" s="25"/>
      <c r="E4954" s="10"/>
      <c r="O4954" s="10"/>
      <c r="V4954" s="10"/>
    </row>
    <row r="4955" spans="1:22" x14ac:dyDescent="0.2">
      <c r="A4955" s="27"/>
      <c r="B4955" s="25"/>
      <c r="E4955" s="10"/>
      <c r="O4955" s="10"/>
      <c r="V4955" s="10"/>
    </row>
    <row r="4956" spans="1:22" x14ac:dyDescent="0.2">
      <c r="A4956" s="27"/>
      <c r="B4956" s="25"/>
      <c r="E4956" s="10"/>
      <c r="O4956" s="10"/>
      <c r="V4956" s="10"/>
    </row>
    <row r="4957" spans="1:22" x14ac:dyDescent="0.2">
      <c r="A4957" s="27"/>
      <c r="B4957" s="25"/>
      <c r="E4957" s="10"/>
      <c r="O4957" s="10"/>
      <c r="V4957" s="10"/>
    </row>
    <row r="4958" spans="1:22" x14ac:dyDescent="0.2">
      <c r="A4958" s="27"/>
      <c r="B4958" s="25"/>
      <c r="E4958" s="10"/>
      <c r="O4958" s="10"/>
      <c r="V4958" s="10"/>
    </row>
    <row r="4959" spans="1:22" x14ac:dyDescent="0.2">
      <c r="A4959" s="27"/>
      <c r="B4959" s="25"/>
      <c r="E4959" s="10"/>
      <c r="O4959" s="10"/>
      <c r="V4959" s="10"/>
    </row>
    <row r="4960" spans="1:22" x14ac:dyDescent="0.2">
      <c r="A4960" s="27"/>
      <c r="B4960" s="25"/>
      <c r="E4960" s="10"/>
      <c r="O4960" s="10"/>
      <c r="V4960" s="10"/>
    </row>
    <row r="4961" spans="1:22" x14ac:dyDescent="0.2">
      <c r="A4961" s="27"/>
      <c r="B4961" s="25"/>
      <c r="E4961" s="10"/>
      <c r="O4961" s="10"/>
      <c r="V4961" s="10"/>
    </row>
    <row r="4962" spans="1:22" x14ac:dyDescent="0.2">
      <c r="A4962" s="27"/>
      <c r="B4962" s="25"/>
      <c r="E4962" s="10"/>
      <c r="O4962" s="10"/>
      <c r="V4962" s="10"/>
    </row>
    <row r="4963" spans="1:22" x14ac:dyDescent="0.2">
      <c r="A4963" s="27"/>
      <c r="B4963" s="25"/>
      <c r="E4963" s="10"/>
      <c r="O4963" s="10"/>
      <c r="V4963" s="10"/>
    </row>
    <row r="4964" spans="1:22" x14ac:dyDescent="0.2">
      <c r="A4964" s="27"/>
      <c r="B4964" s="25"/>
      <c r="E4964" s="10"/>
      <c r="O4964" s="10"/>
      <c r="V4964" s="10"/>
    </row>
    <row r="4965" spans="1:22" x14ac:dyDescent="0.2">
      <c r="A4965" s="27"/>
      <c r="B4965" s="25"/>
      <c r="E4965" s="10"/>
      <c r="O4965" s="10"/>
      <c r="V4965" s="10"/>
    </row>
    <row r="4966" spans="1:22" x14ac:dyDescent="0.2">
      <c r="A4966" s="27"/>
      <c r="B4966" s="25"/>
      <c r="E4966" s="10"/>
      <c r="O4966" s="10"/>
      <c r="V4966" s="10"/>
    </row>
    <row r="4967" spans="1:22" x14ac:dyDescent="0.2">
      <c r="A4967" s="27"/>
      <c r="B4967" s="25"/>
      <c r="E4967" s="10"/>
      <c r="O4967" s="10"/>
      <c r="V4967" s="10"/>
    </row>
    <row r="4968" spans="1:22" x14ac:dyDescent="0.2">
      <c r="A4968" s="27"/>
      <c r="B4968" s="25"/>
      <c r="E4968" s="10"/>
      <c r="O4968" s="10"/>
      <c r="V4968" s="10"/>
    </row>
    <row r="4969" spans="1:22" x14ac:dyDescent="0.2">
      <c r="A4969" s="27"/>
      <c r="B4969" s="25"/>
      <c r="E4969" s="10"/>
      <c r="O4969" s="10"/>
      <c r="V4969" s="10"/>
    </row>
    <row r="4970" spans="1:22" x14ac:dyDescent="0.2">
      <c r="A4970" s="27"/>
      <c r="B4970" s="25"/>
      <c r="E4970" s="10"/>
      <c r="O4970" s="10"/>
      <c r="V4970" s="10"/>
    </row>
    <row r="4971" spans="1:22" x14ac:dyDescent="0.2">
      <c r="A4971" s="27"/>
      <c r="B4971" s="25"/>
      <c r="E4971" s="10"/>
      <c r="O4971" s="10"/>
      <c r="V4971" s="10"/>
    </row>
    <row r="4972" spans="1:22" x14ac:dyDescent="0.2">
      <c r="A4972" s="27"/>
      <c r="B4972" s="25"/>
      <c r="E4972" s="10"/>
      <c r="O4972" s="10"/>
      <c r="V4972" s="10"/>
    </row>
    <row r="4973" spans="1:22" x14ac:dyDescent="0.2">
      <c r="A4973" s="27"/>
      <c r="B4973" s="25"/>
      <c r="E4973" s="10"/>
      <c r="O4973" s="10"/>
      <c r="V4973" s="10"/>
    </row>
    <row r="4974" spans="1:22" x14ac:dyDescent="0.2">
      <c r="A4974" s="27"/>
      <c r="B4974" s="25"/>
      <c r="E4974" s="10"/>
      <c r="O4974" s="10"/>
      <c r="V4974" s="10"/>
    </row>
    <row r="4975" spans="1:22" x14ac:dyDescent="0.2">
      <c r="A4975" s="27"/>
      <c r="B4975" s="25"/>
      <c r="E4975" s="10"/>
      <c r="O4975" s="10"/>
      <c r="V4975" s="10"/>
    </row>
    <row r="4976" spans="1:22" x14ac:dyDescent="0.2">
      <c r="A4976" s="27"/>
      <c r="B4976" s="25"/>
      <c r="E4976" s="10"/>
      <c r="O4976" s="10"/>
      <c r="V4976" s="10"/>
    </row>
    <row r="4977" spans="1:22" x14ac:dyDescent="0.2">
      <c r="A4977" s="27"/>
      <c r="B4977" s="25"/>
      <c r="E4977" s="10"/>
      <c r="O4977" s="10"/>
      <c r="V4977" s="10"/>
    </row>
    <row r="4978" spans="1:22" x14ac:dyDescent="0.2">
      <c r="A4978" s="27"/>
      <c r="B4978" s="25"/>
      <c r="E4978" s="10"/>
      <c r="O4978" s="10"/>
      <c r="V4978" s="10"/>
    </row>
    <row r="4979" spans="1:22" x14ac:dyDescent="0.2">
      <c r="A4979" s="27"/>
      <c r="B4979" s="25"/>
      <c r="E4979" s="10"/>
      <c r="O4979" s="10"/>
      <c r="V4979" s="10"/>
    </row>
    <row r="4980" spans="1:22" x14ac:dyDescent="0.2">
      <c r="A4980" s="27"/>
      <c r="B4980" s="25"/>
      <c r="E4980" s="10"/>
      <c r="O4980" s="10"/>
      <c r="V4980" s="10"/>
    </row>
    <row r="4981" spans="1:22" x14ac:dyDescent="0.2">
      <c r="A4981" s="27"/>
      <c r="B4981" s="25"/>
      <c r="E4981" s="10"/>
      <c r="O4981" s="10"/>
      <c r="V4981" s="10"/>
    </row>
    <row r="4982" spans="1:22" x14ac:dyDescent="0.2">
      <c r="A4982" s="27"/>
      <c r="B4982" s="25"/>
      <c r="E4982" s="10"/>
      <c r="O4982" s="10"/>
      <c r="V4982" s="10"/>
    </row>
    <row r="4983" spans="1:22" x14ac:dyDescent="0.2">
      <c r="A4983" s="27"/>
      <c r="B4983" s="25"/>
      <c r="E4983" s="10"/>
      <c r="O4983" s="10"/>
      <c r="V4983" s="10"/>
    </row>
    <row r="4984" spans="1:22" x14ac:dyDescent="0.2">
      <c r="A4984" s="27"/>
      <c r="B4984" s="25"/>
      <c r="E4984" s="10"/>
      <c r="O4984" s="10"/>
      <c r="V4984" s="10"/>
    </row>
    <row r="4985" spans="1:22" x14ac:dyDescent="0.2">
      <c r="A4985" s="27"/>
      <c r="B4985" s="25"/>
      <c r="E4985" s="10"/>
      <c r="O4985" s="10"/>
      <c r="V4985" s="10"/>
    </row>
    <row r="4986" spans="1:22" x14ac:dyDescent="0.2">
      <c r="A4986" s="27"/>
      <c r="B4986" s="25"/>
      <c r="E4986" s="10"/>
      <c r="O4986" s="10"/>
      <c r="V4986" s="10"/>
    </row>
    <row r="4987" spans="1:22" x14ac:dyDescent="0.2">
      <c r="A4987" s="27"/>
      <c r="B4987" s="25"/>
      <c r="E4987" s="10"/>
      <c r="O4987" s="10"/>
      <c r="V4987" s="10"/>
    </row>
    <row r="4988" spans="1:22" x14ac:dyDescent="0.2">
      <c r="A4988" s="27"/>
      <c r="B4988" s="25"/>
      <c r="E4988" s="10"/>
      <c r="O4988" s="10"/>
      <c r="V4988" s="10"/>
    </row>
    <row r="4989" spans="1:22" x14ac:dyDescent="0.2">
      <c r="A4989" s="27"/>
      <c r="B4989" s="25"/>
      <c r="E4989" s="10"/>
      <c r="O4989" s="10"/>
      <c r="V4989" s="10"/>
    </row>
    <row r="4990" spans="1:22" x14ac:dyDescent="0.2">
      <c r="A4990" s="27"/>
      <c r="B4990" s="25"/>
      <c r="E4990" s="10"/>
      <c r="O4990" s="10"/>
      <c r="V4990" s="10"/>
    </row>
    <row r="4991" spans="1:22" x14ac:dyDescent="0.2">
      <c r="A4991" s="27"/>
      <c r="B4991" s="25"/>
      <c r="E4991" s="10"/>
      <c r="O4991" s="10"/>
      <c r="V4991" s="10"/>
    </row>
    <row r="4992" spans="1:22" x14ac:dyDescent="0.2">
      <c r="A4992" s="27"/>
      <c r="B4992" s="25"/>
      <c r="E4992" s="10"/>
      <c r="O4992" s="10"/>
      <c r="V4992" s="10"/>
    </row>
    <row r="4993" spans="1:22" x14ac:dyDescent="0.2">
      <c r="A4993" s="27"/>
      <c r="B4993" s="25"/>
      <c r="E4993" s="10"/>
      <c r="O4993" s="10"/>
      <c r="V4993" s="10"/>
    </row>
    <row r="4994" spans="1:22" x14ac:dyDescent="0.2">
      <c r="A4994" s="27"/>
      <c r="B4994" s="25"/>
      <c r="E4994" s="10"/>
      <c r="O4994" s="10"/>
      <c r="V4994" s="10"/>
    </row>
    <row r="4995" spans="1:22" x14ac:dyDescent="0.2">
      <c r="A4995" s="27"/>
      <c r="B4995" s="25"/>
      <c r="E4995" s="10"/>
      <c r="O4995" s="10"/>
      <c r="V4995" s="10"/>
    </row>
    <row r="4996" spans="1:22" x14ac:dyDescent="0.2">
      <c r="A4996" s="27"/>
      <c r="B4996" s="25"/>
      <c r="E4996" s="10"/>
      <c r="O4996" s="10"/>
      <c r="V4996" s="10"/>
    </row>
    <row r="4997" spans="1:22" x14ac:dyDescent="0.2">
      <c r="A4997" s="27"/>
      <c r="B4997" s="25"/>
      <c r="E4997" s="10"/>
      <c r="O4997" s="10"/>
      <c r="V4997" s="10"/>
    </row>
    <row r="4998" spans="1:22" x14ac:dyDescent="0.2">
      <c r="A4998" s="27"/>
      <c r="B4998" s="25"/>
      <c r="E4998" s="10"/>
      <c r="O4998" s="10"/>
      <c r="V4998" s="10"/>
    </row>
    <row r="4999" spans="1:22" x14ac:dyDescent="0.2">
      <c r="A4999" s="27"/>
      <c r="B4999" s="25"/>
      <c r="E4999" s="10"/>
      <c r="O4999" s="10"/>
      <c r="V4999" s="10"/>
    </row>
    <row r="5000" spans="1:22" x14ac:dyDescent="0.2">
      <c r="A5000" s="27"/>
      <c r="B5000" s="25"/>
      <c r="E5000" s="10"/>
      <c r="O5000" s="10"/>
      <c r="V5000" s="10"/>
    </row>
    <row r="5001" spans="1:22" x14ac:dyDescent="0.2">
      <c r="A5001" s="27"/>
      <c r="B5001" s="25"/>
      <c r="E5001" s="10"/>
      <c r="O5001" s="10"/>
      <c r="V5001" s="10"/>
    </row>
    <row r="5002" spans="1:22" x14ac:dyDescent="0.2">
      <c r="A5002" s="27"/>
      <c r="B5002" s="25"/>
      <c r="E5002" s="10"/>
      <c r="O5002" s="10"/>
      <c r="V5002" s="10"/>
    </row>
    <row r="5003" spans="1:22" x14ac:dyDescent="0.2">
      <c r="A5003" s="27"/>
      <c r="B5003" s="25"/>
      <c r="E5003" s="10"/>
      <c r="O5003" s="10"/>
      <c r="V5003" s="10"/>
    </row>
    <row r="5004" spans="1:22" x14ac:dyDescent="0.2">
      <c r="A5004" s="27"/>
      <c r="B5004" s="25"/>
      <c r="E5004" s="10"/>
      <c r="O5004" s="10"/>
      <c r="V5004" s="10"/>
    </row>
    <row r="5005" spans="1:22" x14ac:dyDescent="0.2">
      <c r="A5005" s="27"/>
      <c r="B5005" s="25"/>
      <c r="E5005" s="10"/>
      <c r="O5005" s="10"/>
      <c r="V5005" s="10"/>
    </row>
    <row r="5006" spans="1:22" x14ac:dyDescent="0.2">
      <c r="A5006" s="27"/>
      <c r="B5006" s="25"/>
      <c r="E5006" s="10"/>
      <c r="O5006" s="10"/>
      <c r="V5006" s="10"/>
    </row>
    <row r="5007" spans="1:22" x14ac:dyDescent="0.2">
      <c r="A5007" s="27"/>
      <c r="B5007" s="25"/>
      <c r="E5007" s="10"/>
      <c r="O5007" s="10"/>
      <c r="V5007" s="10"/>
    </row>
    <row r="5008" spans="1:22" x14ac:dyDescent="0.2">
      <c r="A5008" s="27"/>
      <c r="B5008" s="25"/>
      <c r="E5008" s="10"/>
      <c r="O5008" s="10"/>
      <c r="V5008" s="10"/>
    </row>
    <row r="5009" spans="1:22" x14ac:dyDescent="0.2">
      <c r="A5009" s="27"/>
      <c r="B5009" s="25"/>
      <c r="E5009" s="10"/>
      <c r="O5009" s="10"/>
      <c r="V5009" s="10"/>
    </row>
    <row r="5010" spans="1:22" x14ac:dyDescent="0.2">
      <c r="A5010" s="27"/>
      <c r="B5010" s="25"/>
      <c r="E5010" s="10"/>
      <c r="O5010" s="10"/>
      <c r="V5010" s="10"/>
    </row>
    <row r="5011" spans="1:22" x14ac:dyDescent="0.2">
      <c r="A5011" s="27"/>
      <c r="B5011" s="25"/>
      <c r="E5011" s="10"/>
      <c r="O5011" s="10"/>
      <c r="V5011" s="10"/>
    </row>
    <row r="5012" spans="1:22" x14ac:dyDescent="0.2">
      <c r="A5012" s="27"/>
      <c r="B5012" s="25"/>
      <c r="E5012" s="10"/>
      <c r="O5012" s="10"/>
      <c r="V5012" s="10"/>
    </row>
    <row r="5013" spans="1:22" x14ac:dyDescent="0.2">
      <c r="A5013" s="27"/>
      <c r="B5013" s="25"/>
      <c r="E5013" s="10"/>
      <c r="O5013" s="10"/>
      <c r="V5013" s="10"/>
    </row>
    <row r="5014" spans="1:22" x14ac:dyDescent="0.2">
      <c r="A5014" s="27"/>
      <c r="B5014" s="25"/>
      <c r="E5014" s="10"/>
      <c r="O5014" s="10"/>
      <c r="V5014" s="10"/>
    </row>
    <row r="5015" spans="1:22" x14ac:dyDescent="0.2">
      <c r="A5015" s="27"/>
      <c r="B5015" s="25"/>
      <c r="E5015" s="10"/>
      <c r="O5015" s="10"/>
      <c r="V5015" s="10"/>
    </row>
    <row r="5016" spans="1:22" x14ac:dyDescent="0.2">
      <c r="A5016" s="27"/>
      <c r="B5016" s="25"/>
      <c r="E5016" s="10"/>
      <c r="O5016" s="10"/>
      <c r="V5016" s="10"/>
    </row>
    <row r="5017" spans="1:22" x14ac:dyDescent="0.2">
      <c r="A5017" s="27"/>
      <c r="B5017" s="25"/>
      <c r="E5017" s="10"/>
      <c r="O5017" s="10"/>
      <c r="V5017" s="10"/>
    </row>
    <row r="5018" spans="1:22" x14ac:dyDescent="0.2">
      <c r="A5018" s="27"/>
      <c r="B5018" s="25"/>
      <c r="E5018" s="10"/>
      <c r="O5018" s="10"/>
      <c r="V5018" s="10"/>
    </row>
    <row r="5019" spans="1:22" x14ac:dyDescent="0.2">
      <c r="A5019" s="27"/>
      <c r="B5019" s="25"/>
      <c r="E5019" s="10"/>
      <c r="O5019" s="10"/>
      <c r="V5019" s="10"/>
    </row>
    <row r="5020" spans="1:22" x14ac:dyDescent="0.2">
      <c r="A5020" s="27"/>
      <c r="B5020" s="25"/>
      <c r="E5020" s="10"/>
      <c r="O5020" s="10"/>
      <c r="V5020" s="10"/>
    </row>
    <row r="5021" spans="1:22" x14ac:dyDescent="0.2">
      <c r="A5021" s="27"/>
      <c r="B5021" s="25"/>
      <c r="E5021" s="10"/>
      <c r="O5021" s="10"/>
      <c r="V5021" s="10"/>
    </row>
    <row r="5022" spans="1:22" x14ac:dyDescent="0.2">
      <c r="A5022" s="27"/>
      <c r="B5022" s="25"/>
      <c r="E5022" s="10"/>
      <c r="O5022" s="10"/>
      <c r="V5022" s="10"/>
    </row>
    <row r="5023" spans="1:22" x14ac:dyDescent="0.2">
      <c r="A5023" s="27"/>
      <c r="B5023" s="25"/>
      <c r="E5023" s="10"/>
      <c r="O5023" s="10"/>
      <c r="V5023" s="10"/>
    </row>
    <row r="5024" spans="1:22" x14ac:dyDescent="0.2">
      <c r="A5024" s="27"/>
      <c r="B5024" s="25"/>
      <c r="E5024" s="10"/>
      <c r="O5024" s="10"/>
      <c r="V5024" s="10"/>
    </row>
    <row r="5025" spans="1:22" x14ac:dyDescent="0.2">
      <c r="A5025" s="27"/>
      <c r="B5025" s="25"/>
      <c r="E5025" s="10"/>
      <c r="O5025" s="10"/>
      <c r="V5025" s="10"/>
    </row>
    <row r="5026" spans="1:22" x14ac:dyDescent="0.2">
      <c r="A5026" s="27"/>
      <c r="B5026" s="25"/>
      <c r="E5026" s="10"/>
      <c r="O5026" s="10"/>
      <c r="V5026" s="10"/>
    </row>
    <row r="5027" spans="1:22" x14ac:dyDescent="0.2">
      <c r="A5027" s="27"/>
      <c r="B5027" s="25"/>
      <c r="E5027" s="10"/>
      <c r="O5027" s="10"/>
      <c r="V5027" s="10"/>
    </row>
    <row r="5028" spans="1:22" x14ac:dyDescent="0.2">
      <c r="A5028" s="27"/>
      <c r="B5028" s="25"/>
      <c r="E5028" s="10"/>
      <c r="O5028" s="10"/>
      <c r="V5028" s="10"/>
    </row>
    <row r="5029" spans="1:22" x14ac:dyDescent="0.2">
      <c r="A5029" s="27"/>
      <c r="B5029" s="25"/>
      <c r="E5029" s="10"/>
      <c r="O5029" s="10"/>
      <c r="V5029" s="10"/>
    </row>
    <row r="5030" spans="1:22" x14ac:dyDescent="0.2">
      <c r="A5030" s="27"/>
      <c r="B5030" s="25"/>
      <c r="E5030" s="10"/>
      <c r="O5030" s="10"/>
      <c r="V5030" s="10"/>
    </row>
    <row r="5031" spans="1:22" x14ac:dyDescent="0.2">
      <c r="A5031" s="27"/>
      <c r="B5031" s="25"/>
      <c r="E5031" s="10"/>
      <c r="O5031" s="10"/>
      <c r="V5031" s="10"/>
    </row>
    <row r="5032" spans="1:22" x14ac:dyDescent="0.2">
      <c r="A5032" s="27"/>
      <c r="B5032" s="25"/>
      <c r="E5032" s="10"/>
      <c r="O5032" s="10"/>
      <c r="V5032" s="10"/>
    </row>
    <row r="5033" spans="1:22" x14ac:dyDescent="0.2">
      <c r="A5033" s="27"/>
      <c r="B5033" s="25"/>
      <c r="E5033" s="10"/>
      <c r="O5033" s="10"/>
      <c r="V5033" s="10"/>
    </row>
    <row r="5034" spans="1:22" x14ac:dyDescent="0.2">
      <c r="A5034" s="27"/>
      <c r="B5034" s="25"/>
      <c r="E5034" s="10"/>
      <c r="O5034" s="10"/>
      <c r="V5034" s="10"/>
    </row>
    <row r="5035" spans="1:22" x14ac:dyDescent="0.2">
      <c r="A5035" s="27"/>
      <c r="B5035" s="25"/>
      <c r="E5035" s="10"/>
      <c r="O5035" s="10"/>
      <c r="V5035" s="10"/>
    </row>
    <row r="5036" spans="1:22" x14ac:dyDescent="0.2">
      <c r="A5036" s="27"/>
      <c r="B5036" s="25"/>
      <c r="E5036" s="10"/>
      <c r="O5036" s="10"/>
      <c r="V5036" s="10"/>
    </row>
    <row r="5037" spans="1:22" x14ac:dyDescent="0.2">
      <c r="A5037" s="27"/>
      <c r="B5037" s="25"/>
      <c r="E5037" s="10"/>
      <c r="O5037" s="10"/>
      <c r="V5037" s="10"/>
    </row>
    <row r="5038" spans="1:22" x14ac:dyDescent="0.2">
      <c r="A5038" s="27"/>
      <c r="B5038" s="25"/>
      <c r="E5038" s="10"/>
      <c r="O5038" s="10"/>
      <c r="V5038" s="10"/>
    </row>
    <row r="5039" spans="1:22" x14ac:dyDescent="0.2">
      <c r="A5039" s="27"/>
      <c r="B5039" s="25"/>
      <c r="E5039" s="10"/>
      <c r="O5039" s="10"/>
      <c r="V5039" s="10"/>
    </row>
    <row r="5040" spans="1:22" x14ac:dyDescent="0.2">
      <c r="A5040" s="27"/>
      <c r="B5040" s="25"/>
      <c r="E5040" s="10"/>
      <c r="O5040" s="10"/>
      <c r="V5040" s="10"/>
    </row>
    <row r="5041" spans="1:22" x14ac:dyDescent="0.2">
      <c r="A5041" s="27"/>
      <c r="B5041" s="25"/>
      <c r="E5041" s="10"/>
      <c r="O5041" s="10"/>
      <c r="V5041" s="10"/>
    </row>
    <row r="5042" spans="1:22" x14ac:dyDescent="0.2">
      <c r="A5042" s="27"/>
      <c r="B5042" s="25"/>
      <c r="E5042" s="10"/>
      <c r="O5042" s="10"/>
      <c r="V5042" s="10"/>
    </row>
    <row r="5043" spans="1:22" x14ac:dyDescent="0.2">
      <c r="A5043" s="27"/>
      <c r="B5043" s="25"/>
      <c r="E5043" s="10"/>
      <c r="O5043" s="10"/>
      <c r="V5043" s="10"/>
    </row>
    <row r="5044" spans="1:22" x14ac:dyDescent="0.2">
      <c r="A5044" s="27"/>
      <c r="B5044" s="25"/>
      <c r="E5044" s="10"/>
      <c r="O5044" s="10"/>
      <c r="V5044" s="10"/>
    </row>
    <row r="5045" spans="1:22" x14ac:dyDescent="0.2">
      <c r="A5045" s="27"/>
      <c r="B5045" s="25"/>
      <c r="E5045" s="10"/>
      <c r="O5045" s="10"/>
      <c r="V5045" s="10"/>
    </row>
    <row r="5046" spans="1:22" x14ac:dyDescent="0.2">
      <c r="A5046" s="27"/>
      <c r="B5046" s="25"/>
      <c r="E5046" s="10"/>
      <c r="O5046" s="10"/>
      <c r="V5046" s="10"/>
    </row>
    <row r="5047" spans="1:22" x14ac:dyDescent="0.2">
      <c r="A5047" s="27"/>
      <c r="B5047" s="25"/>
      <c r="E5047" s="10"/>
      <c r="O5047" s="10"/>
      <c r="V5047" s="10"/>
    </row>
    <row r="5048" spans="1:22" x14ac:dyDescent="0.2">
      <c r="A5048" s="27"/>
      <c r="B5048" s="25"/>
      <c r="E5048" s="10"/>
      <c r="O5048" s="10"/>
      <c r="V5048" s="10"/>
    </row>
    <row r="5049" spans="1:22" x14ac:dyDescent="0.2">
      <c r="A5049" s="27"/>
      <c r="B5049" s="25"/>
      <c r="E5049" s="10"/>
      <c r="O5049" s="10"/>
      <c r="V5049" s="10"/>
    </row>
    <row r="5050" spans="1:22" x14ac:dyDescent="0.2">
      <c r="A5050" s="27"/>
      <c r="B5050" s="25"/>
      <c r="E5050" s="10"/>
      <c r="O5050" s="10"/>
      <c r="V5050" s="10"/>
    </row>
    <row r="5051" spans="1:22" x14ac:dyDescent="0.2">
      <c r="A5051" s="27"/>
      <c r="B5051" s="25"/>
      <c r="E5051" s="10"/>
      <c r="O5051" s="10"/>
      <c r="V5051" s="10"/>
    </row>
    <row r="5052" spans="1:22" x14ac:dyDescent="0.2">
      <c r="A5052" s="27"/>
      <c r="B5052" s="25"/>
      <c r="E5052" s="10"/>
      <c r="O5052" s="10"/>
      <c r="V5052" s="10"/>
    </row>
    <row r="5053" spans="1:22" x14ac:dyDescent="0.2">
      <c r="A5053" s="27"/>
      <c r="B5053" s="25"/>
      <c r="E5053" s="10"/>
      <c r="O5053" s="10"/>
      <c r="V5053" s="10"/>
    </row>
    <row r="5054" spans="1:22" x14ac:dyDescent="0.2">
      <c r="A5054" s="27"/>
      <c r="B5054" s="25"/>
      <c r="E5054" s="10"/>
      <c r="O5054" s="10"/>
      <c r="V5054" s="10"/>
    </row>
    <row r="5055" spans="1:22" x14ac:dyDescent="0.2">
      <c r="A5055" s="27"/>
      <c r="B5055" s="25"/>
      <c r="E5055" s="10"/>
      <c r="O5055" s="10"/>
      <c r="V5055" s="10"/>
    </row>
    <row r="5056" spans="1:22" x14ac:dyDescent="0.2">
      <c r="A5056" s="27"/>
      <c r="B5056" s="25"/>
      <c r="E5056" s="10"/>
      <c r="O5056" s="10"/>
      <c r="V5056" s="10"/>
    </row>
    <row r="5057" spans="1:22" x14ac:dyDescent="0.2">
      <c r="A5057" s="27"/>
      <c r="B5057" s="25"/>
      <c r="E5057" s="10"/>
      <c r="O5057" s="10"/>
      <c r="V5057" s="10"/>
    </row>
    <row r="5058" spans="1:22" x14ac:dyDescent="0.2">
      <c r="A5058" s="27"/>
      <c r="B5058" s="25"/>
      <c r="E5058" s="10"/>
      <c r="O5058" s="10"/>
      <c r="V5058" s="10"/>
    </row>
    <row r="5059" spans="1:22" x14ac:dyDescent="0.2">
      <c r="A5059" s="27"/>
      <c r="B5059" s="25"/>
      <c r="E5059" s="10"/>
      <c r="O5059" s="10"/>
      <c r="V5059" s="10"/>
    </row>
    <row r="5060" spans="1:22" x14ac:dyDescent="0.2">
      <c r="A5060" s="27"/>
      <c r="B5060" s="25"/>
      <c r="E5060" s="10"/>
      <c r="O5060" s="10"/>
      <c r="V5060" s="10"/>
    </row>
    <row r="5061" spans="1:22" x14ac:dyDescent="0.2">
      <c r="A5061" s="27"/>
      <c r="B5061" s="25"/>
      <c r="E5061" s="10"/>
      <c r="O5061" s="10"/>
      <c r="V5061" s="10"/>
    </row>
    <row r="5062" spans="1:22" x14ac:dyDescent="0.2">
      <c r="A5062" s="27"/>
      <c r="B5062" s="25"/>
      <c r="E5062" s="10"/>
      <c r="O5062" s="10"/>
      <c r="V5062" s="10"/>
    </row>
    <row r="5063" spans="1:22" x14ac:dyDescent="0.2">
      <c r="A5063" s="27"/>
      <c r="B5063" s="25"/>
      <c r="E5063" s="10"/>
      <c r="O5063" s="10"/>
      <c r="V5063" s="10"/>
    </row>
    <row r="5064" spans="1:22" x14ac:dyDescent="0.2">
      <c r="A5064" s="27"/>
      <c r="B5064" s="25"/>
      <c r="E5064" s="10"/>
      <c r="O5064" s="10"/>
      <c r="V5064" s="10"/>
    </row>
    <row r="5065" spans="1:22" x14ac:dyDescent="0.2">
      <c r="A5065" s="27"/>
      <c r="B5065" s="25"/>
      <c r="E5065" s="10"/>
      <c r="O5065" s="10"/>
      <c r="V5065" s="10"/>
    </row>
    <row r="5066" spans="1:22" x14ac:dyDescent="0.2">
      <c r="A5066" s="27"/>
      <c r="B5066" s="25"/>
      <c r="E5066" s="10"/>
      <c r="O5066" s="10"/>
      <c r="V5066" s="10"/>
    </row>
    <row r="5067" spans="1:22" x14ac:dyDescent="0.2">
      <c r="A5067" s="27"/>
      <c r="B5067" s="25"/>
      <c r="E5067" s="10"/>
      <c r="O5067" s="10"/>
      <c r="V5067" s="10"/>
    </row>
    <row r="5068" spans="1:22" x14ac:dyDescent="0.2">
      <c r="A5068" s="27"/>
      <c r="B5068" s="25"/>
      <c r="E5068" s="10"/>
      <c r="O5068" s="10"/>
      <c r="V5068" s="10"/>
    </row>
    <row r="5069" spans="1:22" x14ac:dyDescent="0.2">
      <c r="A5069" s="27"/>
      <c r="B5069" s="25"/>
      <c r="E5069" s="10"/>
      <c r="O5069" s="10"/>
      <c r="V5069" s="10"/>
    </row>
    <row r="5070" spans="1:22" x14ac:dyDescent="0.2">
      <c r="A5070" s="27"/>
      <c r="B5070" s="25"/>
      <c r="E5070" s="10"/>
      <c r="O5070" s="10"/>
      <c r="V5070" s="10"/>
    </row>
    <row r="5071" spans="1:22" x14ac:dyDescent="0.2">
      <c r="A5071" s="27"/>
      <c r="B5071" s="25"/>
      <c r="E5071" s="10"/>
      <c r="O5071" s="10"/>
      <c r="V5071" s="10"/>
    </row>
    <row r="5072" spans="1:22" x14ac:dyDescent="0.2">
      <c r="A5072" s="27"/>
      <c r="B5072" s="25"/>
      <c r="E5072" s="10"/>
      <c r="O5072" s="10"/>
      <c r="V5072" s="10"/>
    </row>
    <row r="5073" spans="1:22" x14ac:dyDescent="0.2">
      <c r="A5073" s="27"/>
      <c r="B5073" s="25"/>
      <c r="E5073" s="10"/>
      <c r="O5073" s="10"/>
      <c r="V5073" s="10"/>
    </row>
    <row r="5074" spans="1:22" x14ac:dyDescent="0.2">
      <c r="A5074" s="27"/>
      <c r="B5074" s="25"/>
      <c r="E5074" s="10"/>
      <c r="O5074" s="10"/>
      <c r="V5074" s="10"/>
    </row>
    <row r="5075" spans="1:22" x14ac:dyDescent="0.2">
      <c r="A5075" s="27"/>
      <c r="B5075" s="25"/>
      <c r="E5075" s="10"/>
      <c r="O5075" s="10"/>
      <c r="V5075" s="10"/>
    </row>
    <row r="5076" spans="1:22" x14ac:dyDescent="0.2">
      <c r="A5076" s="27"/>
      <c r="B5076" s="25"/>
      <c r="E5076" s="10"/>
      <c r="O5076" s="10"/>
      <c r="V5076" s="10"/>
    </row>
    <row r="5077" spans="1:22" x14ac:dyDescent="0.2">
      <c r="A5077" s="27"/>
      <c r="B5077" s="25"/>
      <c r="E5077" s="10"/>
      <c r="O5077" s="10"/>
      <c r="V5077" s="10"/>
    </row>
    <row r="5078" spans="1:22" x14ac:dyDescent="0.2">
      <c r="A5078" s="27"/>
      <c r="B5078" s="25"/>
      <c r="E5078" s="10"/>
      <c r="O5078" s="10"/>
      <c r="V5078" s="10"/>
    </row>
    <row r="5079" spans="1:22" x14ac:dyDescent="0.2">
      <c r="A5079" s="27"/>
      <c r="B5079" s="25"/>
      <c r="E5079" s="10"/>
      <c r="O5079" s="10"/>
      <c r="V5079" s="10"/>
    </row>
    <row r="5080" spans="1:22" x14ac:dyDescent="0.2">
      <c r="A5080" s="27"/>
      <c r="B5080" s="25"/>
      <c r="E5080" s="10"/>
      <c r="O5080" s="10"/>
      <c r="V5080" s="10"/>
    </row>
    <row r="5081" spans="1:22" x14ac:dyDescent="0.2">
      <c r="A5081" s="27"/>
      <c r="B5081" s="25"/>
      <c r="E5081" s="10"/>
      <c r="O5081" s="10"/>
      <c r="V5081" s="10"/>
    </row>
    <row r="5082" spans="1:22" x14ac:dyDescent="0.2">
      <c r="A5082" s="27"/>
      <c r="B5082" s="25"/>
      <c r="E5082" s="10"/>
      <c r="O5082" s="10"/>
      <c r="V5082" s="10"/>
    </row>
    <row r="5083" spans="1:22" x14ac:dyDescent="0.2">
      <c r="A5083" s="27"/>
      <c r="B5083" s="25"/>
      <c r="E5083" s="10"/>
      <c r="O5083" s="10"/>
      <c r="V5083" s="10"/>
    </row>
    <row r="5084" spans="1:22" x14ac:dyDescent="0.2">
      <c r="A5084" s="27"/>
      <c r="B5084" s="25"/>
      <c r="E5084" s="10"/>
      <c r="O5084" s="10"/>
      <c r="V5084" s="10"/>
    </row>
    <row r="5085" spans="1:22" x14ac:dyDescent="0.2">
      <c r="A5085" s="27"/>
      <c r="B5085" s="25"/>
      <c r="E5085" s="10"/>
      <c r="O5085" s="10"/>
      <c r="V5085" s="10"/>
    </row>
    <row r="5086" spans="1:22" x14ac:dyDescent="0.2">
      <c r="A5086" s="27"/>
      <c r="B5086" s="25"/>
      <c r="E5086" s="10"/>
      <c r="O5086" s="10"/>
      <c r="V5086" s="10"/>
    </row>
    <row r="5087" spans="1:22" x14ac:dyDescent="0.2">
      <c r="A5087" s="27"/>
      <c r="B5087" s="25"/>
      <c r="E5087" s="10"/>
      <c r="O5087" s="10"/>
      <c r="V5087" s="10"/>
    </row>
    <row r="5088" spans="1:22" x14ac:dyDescent="0.2">
      <c r="A5088" s="27"/>
      <c r="B5088" s="25"/>
      <c r="E5088" s="10"/>
      <c r="O5088" s="10"/>
      <c r="V5088" s="10"/>
    </row>
    <row r="5089" spans="1:22" x14ac:dyDescent="0.2">
      <c r="A5089" s="27"/>
      <c r="B5089" s="25"/>
      <c r="E5089" s="10"/>
      <c r="O5089" s="10"/>
      <c r="V5089" s="10"/>
    </row>
    <row r="5090" spans="1:22" x14ac:dyDescent="0.2">
      <c r="A5090" s="27"/>
      <c r="B5090" s="25"/>
      <c r="E5090" s="10"/>
      <c r="O5090" s="10"/>
      <c r="V5090" s="10"/>
    </row>
    <row r="5091" spans="1:22" x14ac:dyDescent="0.2">
      <c r="A5091" s="27"/>
      <c r="B5091" s="25"/>
      <c r="E5091" s="10"/>
      <c r="O5091" s="10"/>
      <c r="V5091" s="10"/>
    </row>
    <row r="5092" spans="1:22" x14ac:dyDescent="0.2">
      <c r="A5092" s="27"/>
      <c r="B5092" s="25"/>
      <c r="E5092" s="10"/>
      <c r="O5092" s="10"/>
      <c r="V5092" s="10"/>
    </row>
    <row r="5093" spans="1:22" x14ac:dyDescent="0.2">
      <c r="A5093" s="27"/>
      <c r="B5093" s="25"/>
      <c r="E5093" s="10"/>
      <c r="O5093" s="10"/>
      <c r="V5093" s="10"/>
    </row>
    <row r="5094" spans="1:22" x14ac:dyDescent="0.2">
      <c r="A5094" s="27"/>
      <c r="B5094" s="25"/>
      <c r="E5094" s="10"/>
      <c r="O5094" s="10"/>
      <c r="V5094" s="10"/>
    </row>
    <row r="5095" spans="1:22" x14ac:dyDescent="0.2">
      <c r="A5095" s="27"/>
      <c r="B5095" s="25"/>
      <c r="E5095" s="10"/>
      <c r="O5095" s="10"/>
      <c r="V5095" s="10"/>
    </row>
    <row r="5096" spans="1:22" x14ac:dyDescent="0.2">
      <c r="A5096" s="27"/>
      <c r="B5096" s="25"/>
      <c r="E5096" s="10"/>
      <c r="O5096" s="10"/>
      <c r="V5096" s="10"/>
    </row>
    <row r="5097" spans="1:22" x14ac:dyDescent="0.2">
      <c r="A5097" s="27"/>
      <c r="B5097" s="25"/>
      <c r="E5097" s="10"/>
      <c r="O5097" s="10"/>
      <c r="V5097" s="10"/>
    </row>
    <row r="5098" spans="1:22" x14ac:dyDescent="0.2">
      <c r="B5098" s="25"/>
      <c r="E5098" s="10"/>
      <c r="O5098" s="10"/>
      <c r="V5098" s="10"/>
    </row>
    <row r="5099" spans="1:22" x14ac:dyDescent="0.2">
      <c r="B5099" s="25"/>
      <c r="E5099" s="10"/>
      <c r="O5099" s="10"/>
      <c r="V5099" s="10"/>
    </row>
    <row r="5100" spans="1:22" x14ac:dyDescent="0.2">
      <c r="B5100" s="25"/>
      <c r="E5100" s="10"/>
      <c r="O5100" s="10"/>
      <c r="V5100" s="10"/>
    </row>
    <row r="5101" spans="1:22" x14ac:dyDescent="0.2">
      <c r="B5101" s="25"/>
      <c r="E5101" s="10"/>
      <c r="O5101" s="10"/>
      <c r="V5101" s="10"/>
    </row>
    <row r="5102" spans="1:22" x14ac:dyDescent="0.2">
      <c r="B5102" s="25"/>
      <c r="E5102" s="10"/>
      <c r="O5102" s="10"/>
      <c r="V5102" s="10"/>
    </row>
    <row r="5103" spans="1:22" x14ac:dyDescent="0.2">
      <c r="B5103" s="25"/>
      <c r="E5103" s="10"/>
      <c r="O5103" s="10"/>
      <c r="V5103" s="10"/>
    </row>
    <row r="5104" spans="1:22" x14ac:dyDescent="0.2">
      <c r="B5104" s="25"/>
      <c r="E5104" s="10"/>
      <c r="O5104" s="10"/>
      <c r="V5104" s="10"/>
    </row>
    <row r="5105" spans="2:22" x14ac:dyDescent="0.2">
      <c r="B5105" s="25"/>
      <c r="E5105" s="10"/>
      <c r="O5105" s="10"/>
      <c r="V5105" s="10"/>
    </row>
    <row r="5106" spans="2:22" x14ac:dyDescent="0.2">
      <c r="B5106" s="25"/>
      <c r="E5106" s="10"/>
      <c r="O5106" s="10"/>
      <c r="V5106" s="10"/>
    </row>
    <row r="5107" spans="2:22" x14ac:dyDescent="0.2">
      <c r="B5107" s="25"/>
      <c r="E5107" s="10"/>
      <c r="O5107" s="10"/>
      <c r="V5107" s="10"/>
    </row>
    <row r="5108" spans="2:22" x14ac:dyDescent="0.2">
      <c r="B5108" s="25"/>
      <c r="E5108" s="10"/>
      <c r="O5108" s="10"/>
      <c r="V5108" s="10"/>
    </row>
    <row r="5109" spans="2:22" x14ac:dyDescent="0.2">
      <c r="B5109" s="25"/>
      <c r="E5109" s="10"/>
      <c r="O5109" s="10"/>
      <c r="V5109" s="10"/>
    </row>
    <row r="5110" spans="2:22" x14ac:dyDescent="0.2">
      <c r="B5110" s="25"/>
      <c r="E5110" s="10"/>
      <c r="O5110" s="10"/>
      <c r="V5110" s="10"/>
    </row>
    <row r="5111" spans="2:22" x14ac:dyDescent="0.2">
      <c r="B5111" s="25"/>
      <c r="E5111" s="10"/>
      <c r="O5111" s="10"/>
      <c r="V5111" s="10"/>
    </row>
    <row r="5112" spans="2:22" x14ac:dyDescent="0.2">
      <c r="B5112" s="25"/>
      <c r="E5112" s="10"/>
      <c r="O5112" s="10"/>
      <c r="V5112" s="10"/>
    </row>
    <row r="5113" spans="2:22" x14ac:dyDescent="0.2">
      <c r="B5113" s="25"/>
      <c r="E5113" s="10"/>
      <c r="O5113" s="10"/>
      <c r="V5113" s="10"/>
    </row>
    <row r="5114" spans="2:22" x14ac:dyDescent="0.2">
      <c r="B5114" s="25"/>
      <c r="E5114" s="10"/>
      <c r="O5114" s="10"/>
      <c r="V5114" s="10"/>
    </row>
    <row r="5115" spans="2:22" x14ac:dyDescent="0.2">
      <c r="B5115" s="25"/>
      <c r="E5115" s="10"/>
      <c r="O5115" s="10"/>
      <c r="V5115" s="10"/>
    </row>
    <row r="5116" spans="2:22" x14ac:dyDescent="0.2">
      <c r="B5116" s="25"/>
      <c r="E5116" s="10"/>
      <c r="O5116" s="10"/>
      <c r="V5116" s="10"/>
    </row>
    <row r="5117" spans="2:22" x14ac:dyDescent="0.2">
      <c r="B5117" s="25"/>
      <c r="E5117" s="10"/>
      <c r="O5117" s="10"/>
      <c r="V5117" s="10"/>
    </row>
    <row r="5118" spans="2:22" x14ac:dyDescent="0.2">
      <c r="B5118" s="25"/>
      <c r="E5118" s="10"/>
      <c r="O5118" s="10"/>
      <c r="V5118" s="10"/>
    </row>
    <row r="5119" spans="2:22" x14ac:dyDescent="0.2">
      <c r="B5119" s="25"/>
      <c r="E5119" s="10"/>
      <c r="O5119" s="10"/>
      <c r="V5119" s="10"/>
    </row>
    <row r="5120" spans="2:22" x14ac:dyDescent="0.2">
      <c r="B5120" s="25"/>
      <c r="E5120" s="10"/>
      <c r="O5120" s="10"/>
      <c r="V5120" s="10"/>
    </row>
    <row r="5121" spans="2:22" x14ac:dyDescent="0.2">
      <c r="B5121" s="25"/>
      <c r="E5121" s="10"/>
      <c r="O5121" s="10"/>
      <c r="V5121" s="10"/>
    </row>
    <row r="5122" spans="2:22" x14ac:dyDescent="0.2">
      <c r="B5122" s="25"/>
      <c r="E5122" s="10"/>
      <c r="O5122" s="10"/>
      <c r="V5122" s="10"/>
    </row>
    <row r="5123" spans="2:22" x14ac:dyDescent="0.2">
      <c r="B5123" s="25"/>
      <c r="E5123" s="10"/>
      <c r="O5123" s="10"/>
      <c r="V5123" s="10"/>
    </row>
    <row r="5124" spans="2:22" x14ac:dyDescent="0.2">
      <c r="B5124" s="25"/>
      <c r="E5124" s="10"/>
      <c r="O5124" s="10"/>
      <c r="V5124" s="10"/>
    </row>
    <row r="5125" spans="2:22" x14ac:dyDescent="0.2">
      <c r="B5125" s="25"/>
      <c r="E5125" s="10"/>
      <c r="O5125" s="10"/>
      <c r="V5125" s="10"/>
    </row>
    <row r="5126" spans="2:22" x14ac:dyDescent="0.2">
      <c r="B5126" s="25"/>
      <c r="E5126" s="10"/>
      <c r="O5126" s="10"/>
      <c r="V5126" s="10"/>
    </row>
    <row r="5127" spans="2:22" x14ac:dyDescent="0.2">
      <c r="B5127" s="25"/>
      <c r="E5127" s="10"/>
      <c r="O5127" s="10"/>
      <c r="V5127" s="10"/>
    </row>
    <row r="5128" spans="2:22" x14ac:dyDescent="0.2">
      <c r="B5128" s="25"/>
      <c r="E5128" s="10"/>
      <c r="O5128" s="10"/>
      <c r="V5128" s="10"/>
    </row>
    <row r="5129" spans="2:22" x14ac:dyDescent="0.2">
      <c r="B5129" s="25"/>
      <c r="E5129" s="10"/>
      <c r="O5129" s="10"/>
      <c r="V5129" s="10"/>
    </row>
    <row r="5130" spans="2:22" x14ac:dyDescent="0.2">
      <c r="B5130" s="25"/>
      <c r="E5130" s="10"/>
      <c r="O5130" s="10"/>
      <c r="V5130" s="10"/>
    </row>
    <row r="5131" spans="2:22" x14ac:dyDescent="0.2">
      <c r="B5131" s="25"/>
      <c r="E5131" s="10"/>
      <c r="O5131" s="10"/>
      <c r="V5131" s="10"/>
    </row>
    <row r="5132" spans="2:22" x14ac:dyDescent="0.2">
      <c r="B5132" s="25"/>
      <c r="E5132" s="10"/>
      <c r="O5132" s="10"/>
      <c r="V5132" s="10"/>
    </row>
    <row r="5133" spans="2:22" x14ac:dyDescent="0.2">
      <c r="B5133" s="25"/>
      <c r="E5133" s="10"/>
      <c r="O5133" s="10"/>
      <c r="V5133" s="10"/>
    </row>
    <row r="5134" spans="2:22" x14ac:dyDescent="0.2">
      <c r="B5134" s="25"/>
      <c r="E5134" s="10"/>
      <c r="O5134" s="10"/>
      <c r="V5134" s="10"/>
    </row>
    <row r="5135" spans="2:22" x14ac:dyDescent="0.2">
      <c r="B5135" s="25"/>
      <c r="E5135" s="10"/>
      <c r="O5135" s="10"/>
      <c r="V5135" s="10"/>
    </row>
    <row r="5136" spans="2:22" x14ac:dyDescent="0.2">
      <c r="B5136" s="25"/>
      <c r="E5136" s="10"/>
      <c r="O5136" s="10"/>
      <c r="V5136" s="10"/>
    </row>
    <row r="5137" spans="2:22" x14ac:dyDescent="0.2">
      <c r="B5137" s="25"/>
      <c r="E5137" s="10"/>
      <c r="O5137" s="10"/>
      <c r="V5137" s="10"/>
    </row>
    <row r="5138" spans="2:22" x14ac:dyDescent="0.2">
      <c r="B5138" s="25"/>
      <c r="E5138" s="10"/>
      <c r="O5138" s="10"/>
      <c r="V5138" s="10"/>
    </row>
    <row r="5139" spans="2:22" x14ac:dyDescent="0.2">
      <c r="B5139" s="25"/>
      <c r="E5139" s="10"/>
      <c r="O5139" s="10"/>
      <c r="V5139" s="10"/>
    </row>
    <row r="5140" spans="2:22" x14ac:dyDescent="0.2">
      <c r="B5140" s="25"/>
      <c r="E5140" s="10"/>
      <c r="O5140" s="10"/>
      <c r="V5140" s="10"/>
    </row>
    <row r="5141" spans="2:22" x14ac:dyDescent="0.2">
      <c r="B5141" s="25"/>
      <c r="E5141" s="10"/>
      <c r="O5141" s="10"/>
      <c r="V5141" s="10"/>
    </row>
    <row r="5142" spans="2:22" x14ac:dyDescent="0.2">
      <c r="B5142" s="25"/>
      <c r="E5142" s="10"/>
      <c r="O5142" s="10"/>
      <c r="V5142" s="10"/>
    </row>
    <row r="5143" spans="2:22" x14ac:dyDescent="0.2">
      <c r="B5143" s="25"/>
      <c r="E5143" s="10"/>
      <c r="O5143" s="10"/>
      <c r="V5143" s="10"/>
    </row>
    <row r="5144" spans="2:22" x14ac:dyDescent="0.2">
      <c r="B5144" s="25"/>
      <c r="E5144" s="10"/>
      <c r="O5144" s="10"/>
      <c r="V5144" s="10"/>
    </row>
    <row r="5145" spans="2:22" x14ac:dyDescent="0.2">
      <c r="B5145" s="25"/>
      <c r="E5145" s="10"/>
      <c r="O5145" s="10"/>
      <c r="V5145" s="10"/>
    </row>
    <row r="5146" spans="2:22" x14ac:dyDescent="0.2">
      <c r="B5146" s="25"/>
      <c r="E5146" s="10"/>
      <c r="O5146" s="10"/>
      <c r="V5146" s="10"/>
    </row>
    <row r="5147" spans="2:22" x14ac:dyDescent="0.2">
      <c r="B5147" s="25"/>
      <c r="E5147" s="10"/>
      <c r="O5147" s="10"/>
      <c r="V5147" s="10"/>
    </row>
    <row r="5148" spans="2:22" x14ac:dyDescent="0.2">
      <c r="B5148" s="25"/>
      <c r="E5148" s="10"/>
      <c r="O5148" s="10"/>
      <c r="V5148" s="10"/>
    </row>
    <row r="5149" spans="2:22" x14ac:dyDescent="0.2">
      <c r="B5149" s="25"/>
      <c r="E5149" s="10"/>
      <c r="O5149" s="10"/>
      <c r="V5149" s="10"/>
    </row>
    <row r="5150" spans="2:22" x14ac:dyDescent="0.2">
      <c r="B5150" s="25"/>
      <c r="E5150" s="10"/>
      <c r="O5150" s="10"/>
      <c r="V5150" s="10"/>
    </row>
    <row r="5151" spans="2:22" x14ac:dyDescent="0.2">
      <c r="B5151" s="25"/>
      <c r="E5151" s="10"/>
      <c r="O5151" s="10"/>
      <c r="V5151" s="10"/>
    </row>
    <row r="5152" spans="2:22" x14ac:dyDescent="0.2">
      <c r="B5152" s="25"/>
      <c r="E5152" s="10"/>
      <c r="O5152" s="10"/>
      <c r="V5152" s="10"/>
    </row>
    <row r="5153" spans="2:22" x14ac:dyDescent="0.2">
      <c r="B5153" s="25"/>
      <c r="E5153" s="10"/>
      <c r="O5153" s="10"/>
      <c r="V5153" s="10"/>
    </row>
    <row r="5154" spans="2:22" x14ac:dyDescent="0.2">
      <c r="B5154" s="25"/>
      <c r="E5154" s="10"/>
      <c r="O5154" s="10"/>
      <c r="V5154" s="10"/>
    </row>
    <row r="5155" spans="2:22" x14ac:dyDescent="0.2">
      <c r="B5155" s="25"/>
      <c r="E5155" s="10"/>
      <c r="O5155" s="10"/>
      <c r="V5155" s="10"/>
    </row>
    <row r="5156" spans="2:22" x14ac:dyDescent="0.2">
      <c r="B5156" s="25"/>
      <c r="E5156" s="10"/>
      <c r="O5156" s="10"/>
      <c r="V5156" s="10"/>
    </row>
    <row r="5157" spans="2:22" x14ac:dyDescent="0.2">
      <c r="B5157" s="25"/>
      <c r="E5157" s="10"/>
      <c r="O5157" s="10"/>
      <c r="V5157" s="10"/>
    </row>
    <row r="5158" spans="2:22" x14ac:dyDescent="0.2">
      <c r="B5158" s="25"/>
      <c r="E5158" s="10"/>
      <c r="O5158" s="10"/>
      <c r="V5158" s="10"/>
    </row>
    <row r="5159" spans="2:22" x14ac:dyDescent="0.2">
      <c r="B5159" s="25"/>
      <c r="E5159" s="10"/>
      <c r="O5159" s="10"/>
      <c r="V5159" s="10"/>
    </row>
    <row r="5160" spans="2:22" x14ac:dyDescent="0.2">
      <c r="B5160" s="25"/>
      <c r="E5160" s="10"/>
      <c r="O5160" s="10"/>
      <c r="V5160" s="10"/>
    </row>
    <row r="5161" spans="2:22" x14ac:dyDescent="0.2">
      <c r="B5161" s="25"/>
      <c r="E5161" s="10"/>
      <c r="O5161" s="10"/>
      <c r="V5161" s="10"/>
    </row>
    <row r="5162" spans="2:22" x14ac:dyDescent="0.2">
      <c r="B5162" s="25"/>
      <c r="E5162" s="10"/>
      <c r="O5162" s="10"/>
      <c r="V5162" s="10"/>
    </row>
    <row r="5163" spans="2:22" x14ac:dyDescent="0.2">
      <c r="B5163" s="25"/>
      <c r="E5163" s="10"/>
      <c r="O5163" s="10"/>
      <c r="V5163" s="10"/>
    </row>
    <row r="5164" spans="2:22" x14ac:dyDescent="0.2">
      <c r="B5164" s="25"/>
      <c r="E5164" s="10"/>
      <c r="O5164" s="10"/>
      <c r="V5164" s="10"/>
    </row>
    <row r="5165" spans="2:22" x14ac:dyDescent="0.2">
      <c r="B5165" s="25"/>
      <c r="E5165" s="10"/>
      <c r="O5165" s="10"/>
      <c r="V5165" s="10"/>
    </row>
    <row r="5166" spans="2:22" x14ac:dyDescent="0.2">
      <c r="B5166" s="25"/>
      <c r="E5166" s="10"/>
      <c r="O5166" s="10"/>
      <c r="V5166" s="10"/>
    </row>
    <row r="5167" spans="2:22" x14ac:dyDescent="0.2">
      <c r="B5167" s="25"/>
      <c r="E5167" s="10"/>
      <c r="O5167" s="10"/>
      <c r="V5167" s="10"/>
    </row>
    <row r="5168" spans="2:22" x14ac:dyDescent="0.2">
      <c r="B5168" s="25"/>
      <c r="E5168" s="10"/>
      <c r="O5168" s="10"/>
      <c r="V5168" s="10"/>
    </row>
    <row r="5169" spans="2:22" x14ac:dyDescent="0.2">
      <c r="B5169" s="25"/>
      <c r="E5169" s="10"/>
      <c r="O5169" s="10"/>
      <c r="V5169" s="10"/>
    </row>
    <row r="5170" spans="2:22" x14ac:dyDescent="0.2">
      <c r="B5170" s="25"/>
      <c r="E5170" s="10"/>
      <c r="O5170" s="10"/>
      <c r="V5170" s="10"/>
    </row>
    <row r="5171" spans="2:22" x14ac:dyDescent="0.2">
      <c r="B5171" s="25"/>
      <c r="E5171" s="10"/>
      <c r="O5171" s="10"/>
      <c r="V5171" s="10"/>
    </row>
    <row r="5172" spans="2:22" x14ac:dyDescent="0.2">
      <c r="B5172" s="25"/>
      <c r="E5172" s="10"/>
      <c r="O5172" s="10"/>
      <c r="V5172" s="10"/>
    </row>
    <row r="5173" spans="2:22" x14ac:dyDescent="0.2">
      <c r="B5173" s="25"/>
      <c r="E5173" s="10"/>
      <c r="O5173" s="10"/>
      <c r="V5173" s="10"/>
    </row>
    <row r="5174" spans="2:22" x14ac:dyDescent="0.2">
      <c r="B5174" s="25"/>
      <c r="E5174" s="10"/>
      <c r="O5174" s="10"/>
      <c r="V5174" s="10"/>
    </row>
    <row r="5175" spans="2:22" x14ac:dyDescent="0.2">
      <c r="B5175" s="25"/>
      <c r="E5175" s="10"/>
      <c r="O5175" s="10"/>
      <c r="V5175" s="10"/>
    </row>
    <row r="5176" spans="2:22" x14ac:dyDescent="0.2">
      <c r="B5176" s="25"/>
      <c r="E5176" s="10"/>
      <c r="O5176" s="10"/>
      <c r="V5176" s="10"/>
    </row>
    <row r="5177" spans="2:22" x14ac:dyDescent="0.2">
      <c r="B5177" s="25"/>
      <c r="E5177" s="10"/>
      <c r="O5177" s="10"/>
      <c r="V5177" s="10"/>
    </row>
    <row r="5178" spans="2:22" x14ac:dyDescent="0.2">
      <c r="B5178" s="25"/>
      <c r="E5178" s="10"/>
      <c r="O5178" s="10"/>
      <c r="V5178" s="10"/>
    </row>
    <row r="5179" spans="2:22" x14ac:dyDescent="0.2">
      <c r="B5179" s="25"/>
      <c r="E5179" s="10"/>
      <c r="O5179" s="10"/>
      <c r="V5179" s="10"/>
    </row>
    <row r="5180" spans="2:22" x14ac:dyDescent="0.2">
      <c r="B5180" s="25"/>
      <c r="E5180" s="10"/>
      <c r="O5180" s="10"/>
      <c r="V5180" s="10"/>
    </row>
    <row r="5181" spans="2:22" x14ac:dyDescent="0.2">
      <c r="B5181" s="25"/>
      <c r="E5181" s="10"/>
      <c r="O5181" s="10"/>
      <c r="V5181" s="10"/>
    </row>
    <row r="5182" spans="2:22" x14ac:dyDescent="0.2">
      <c r="B5182" s="25"/>
      <c r="E5182" s="10"/>
      <c r="O5182" s="10"/>
      <c r="V5182" s="10"/>
    </row>
    <row r="5183" spans="2:22" x14ac:dyDescent="0.2">
      <c r="B5183" s="25"/>
      <c r="E5183" s="10"/>
      <c r="O5183" s="10"/>
      <c r="V5183" s="10"/>
    </row>
    <row r="5184" spans="2:22" x14ac:dyDescent="0.2">
      <c r="B5184" s="25"/>
      <c r="E5184" s="10"/>
      <c r="O5184" s="10"/>
      <c r="V5184" s="10"/>
    </row>
    <row r="5185" spans="2:22" x14ac:dyDescent="0.2">
      <c r="B5185" s="25"/>
      <c r="E5185" s="10"/>
      <c r="O5185" s="10"/>
      <c r="V5185" s="10"/>
    </row>
    <row r="5186" spans="2:22" x14ac:dyDescent="0.2">
      <c r="B5186" s="25"/>
      <c r="E5186" s="10"/>
      <c r="O5186" s="10"/>
      <c r="V5186" s="10"/>
    </row>
    <row r="5187" spans="2:22" x14ac:dyDescent="0.2">
      <c r="B5187" s="25"/>
      <c r="E5187" s="10"/>
      <c r="O5187" s="10"/>
      <c r="V5187" s="10"/>
    </row>
    <row r="5188" spans="2:22" x14ac:dyDescent="0.2">
      <c r="B5188" s="25"/>
      <c r="E5188" s="10"/>
      <c r="O5188" s="10"/>
      <c r="V5188" s="10"/>
    </row>
    <row r="5189" spans="2:22" x14ac:dyDescent="0.2">
      <c r="B5189" s="25"/>
      <c r="E5189" s="10"/>
      <c r="O5189" s="10"/>
      <c r="V5189" s="10"/>
    </row>
    <row r="5190" spans="2:22" x14ac:dyDescent="0.2">
      <c r="B5190" s="25"/>
      <c r="E5190" s="10"/>
      <c r="O5190" s="10"/>
      <c r="V5190" s="10"/>
    </row>
    <row r="5191" spans="2:22" x14ac:dyDescent="0.2">
      <c r="B5191" s="25"/>
      <c r="E5191" s="10"/>
      <c r="O5191" s="10"/>
      <c r="V5191" s="10"/>
    </row>
    <row r="5192" spans="2:22" x14ac:dyDescent="0.2">
      <c r="B5192" s="25"/>
      <c r="E5192" s="10"/>
      <c r="O5192" s="10"/>
      <c r="V5192" s="10"/>
    </row>
    <row r="5193" spans="2:22" x14ac:dyDescent="0.2">
      <c r="B5193" s="25"/>
      <c r="E5193" s="10"/>
      <c r="O5193" s="10"/>
      <c r="V5193" s="10"/>
    </row>
    <row r="5194" spans="2:22" x14ac:dyDescent="0.2">
      <c r="B5194" s="25"/>
      <c r="E5194" s="10"/>
      <c r="O5194" s="10"/>
      <c r="V5194" s="10"/>
    </row>
    <row r="5195" spans="2:22" x14ac:dyDescent="0.2">
      <c r="B5195" s="25"/>
      <c r="E5195" s="10"/>
      <c r="O5195" s="10"/>
      <c r="V5195" s="10"/>
    </row>
    <row r="5196" spans="2:22" x14ac:dyDescent="0.2">
      <c r="B5196" s="25"/>
      <c r="E5196" s="10"/>
      <c r="O5196" s="10"/>
      <c r="V5196" s="10"/>
    </row>
    <row r="5197" spans="2:22" x14ac:dyDescent="0.2">
      <c r="B5197" s="25"/>
      <c r="E5197" s="10"/>
      <c r="O5197" s="10"/>
      <c r="V5197" s="10"/>
    </row>
    <row r="5198" spans="2:22" x14ac:dyDescent="0.2">
      <c r="B5198" s="25"/>
      <c r="E5198" s="10"/>
      <c r="O5198" s="10"/>
      <c r="V5198" s="10"/>
    </row>
    <row r="5199" spans="2:22" x14ac:dyDescent="0.2">
      <c r="B5199" s="25"/>
      <c r="E5199" s="10"/>
      <c r="O5199" s="10"/>
      <c r="V5199" s="10"/>
    </row>
    <row r="5200" spans="2:22" x14ac:dyDescent="0.2">
      <c r="B5200" s="25"/>
      <c r="E5200" s="10"/>
      <c r="O5200" s="10"/>
      <c r="V5200" s="10"/>
    </row>
    <row r="5201" spans="2:22" x14ac:dyDescent="0.2">
      <c r="B5201" s="25"/>
      <c r="E5201" s="10"/>
      <c r="O5201" s="10"/>
      <c r="V5201" s="10"/>
    </row>
    <row r="5202" spans="2:22" x14ac:dyDescent="0.2">
      <c r="B5202" s="25"/>
      <c r="E5202" s="10"/>
      <c r="O5202" s="10"/>
      <c r="V5202" s="10"/>
    </row>
    <row r="5203" spans="2:22" x14ac:dyDescent="0.2">
      <c r="B5203" s="25"/>
      <c r="E5203" s="10"/>
      <c r="O5203" s="10"/>
      <c r="V5203" s="10"/>
    </row>
    <row r="5204" spans="2:22" x14ac:dyDescent="0.2">
      <c r="B5204" s="25"/>
      <c r="E5204" s="10"/>
      <c r="O5204" s="10"/>
      <c r="V5204" s="10"/>
    </row>
    <row r="5205" spans="2:22" x14ac:dyDescent="0.2">
      <c r="B5205" s="25"/>
      <c r="E5205" s="10"/>
      <c r="O5205" s="10"/>
      <c r="V5205" s="10"/>
    </row>
    <row r="5206" spans="2:22" x14ac:dyDescent="0.2">
      <c r="B5206" s="25"/>
      <c r="E5206" s="10"/>
      <c r="O5206" s="10"/>
      <c r="V5206" s="10"/>
    </row>
    <row r="5207" spans="2:22" x14ac:dyDescent="0.2">
      <c r="B5207" s="25"/>
      <c r="E5207" s="10"/>
      <c r="O5207" s="10"/>
      <c r="V5207" s="10"/>
    </row>
    <row r="5208" spans="2:22" x14ac:dyDescent="0.2">
      <c r="B5208" s="25"/>
      <c r="E5208" s="10"/>
      <c r="O5208" s="10"/>
      <c r="V5208" s="10"/>
    </row>
    <row r="5209" spans="2:22" x14ac:dyDescent="0.2">
      <c r="B5209" s="25"/>
      <c r="E5209" s="10"/>
      <c r="O5209" s="10"/>
      <c r="V5209" s="10"/>
    </row>
    <row r="5210" spans="2:22" x14ac:dyDescent="0.2">
      <c r="B5210" s="25"/>
      <c r="E5210" s="10"/>
      <c r="O5210" s="10"/>
      <c r="V5210" s="10"/>
    </row>
    <row r="5211" spans="2:22" x14ac:dyDescent="0.2">
      <c r="B5211" s="25"/>
      <c r="E5211" s="10"/>
      <c r="O5211" s="10"/>
      <c r="V5211" s="10"/>
    </row>
    <row r="5212" spans="2:22" x14ac:dyDescent="0.2">
      <c r="B5212" s="25"/>
      <c r="E5212" s="10"/>
      <c r="O5212" s="10"/>
      <c r="V5212" s="10"/>
    </row>
    <row r="5213" spans="2:22" x14ac:dyDescent="0.2">
      <c r="B5213" s="25"/>
      <c r="E5213" s="10"/>
      <c r="O5213" s="10"/>
      <c r="V5213" s="10"/>
    </row>
    <row r="5214" spans="2:22" x14ac:dyDescent="0.2">
      <c r="B5214" s="25"/>
      <c r="E5214" s="10"/>
      <c r="O5214" s="10"/>
      <c r="V5214" s="10"/>
    </row>
    <row r="5215" spans="2:22" x14ac:dyDescent="0.2">
      <c r="B5215" s="25"/>
      <c r="E5215" s="10"/>
      <c r="O5215" s="10"/>
      <c r="V5215" s="10"/>
    </row>
    <row r="5216" spans="2:22" x14ac:dyDescent="0.2">
      <c r="B5216" s="25"/>
      <c r="E5216" s="10"/>
      <c r="O5216" s="10"/>
      <c r="V5216" s="10"/>
    </row>
    <row r="5217" spans="2:22" x14ac:dyDescent="0.2">
      <c r="B5217" s="25"/>
      <c r="E5217" s="10"/>
      <c r="O5217" s="10"/>
      <c r="V5217" s="10"/>
    </row>
    <row r="5218" spans="2:22" x14ac:dyDescent="0.2">
      <c r="B5218" s="25"/>
      <c r="E5218" s="10"/>
      <c r="O5218" s="10"/>
      <c r="V5218" s="10"/>
    </row>
    <row r="5219" spans="2:22" x14ac:dyDescent="0.2">
      <c r="B5219" s="25"/>
      <c r="E5219" s="10"/>
      <c r="O5219" s="10"/>
      <c r="V5219" s="10"/>
    </row>
    <row r="5220" spans="2:22" x14ac:dyDescent="0.2">
      <c r="B5220" s="25"/>
      <c r="E5220" s="10"/>
      <c r="O5220" s="10"/>
      <c r="V5220" s="10"/>
    </row>
    <row r="5221" spans="2:22" x14ac:dyDescent="0.2">
      <c r="B5221" s="25"/>
      <c r="E5221" s="10"/>
      <c r="O5221" s="10"/>
      <c r="V5221" s="10"/>
    </row>
    <row r="5222" spans="2:22" x14ac:dyDescent="0.2">
      <c r="B5222" s="25"/>
      <c r="E5222" s="10"/>
      <c r="O5222" s="10"/>
      <c r="V5222" s="10"/>
    </row>
    <row r="5223" spans="2:22" x14ac:dyDescent="0.2">
      <c r="B5223" s="25"/>
      <c r="E5223" s="10"/>
      <c r="O5223" s="10"/>
      <c r="V5223" s="10"/>
    </row>
    <row r="5224" spans="2:22" x14ac:dyDescent="0.2">
      <c r="B5224" s="25"/>
      <c r="E5224" s="10"/>
      <c r="O5224" s="10"/>
      <c r="V5224" s="10"/>
    </row>
    <row r="5225" spans="2:22" x14ac:dyDescent="0.2">
      <c r="B5225" s="25"/>
      <c r="E5225" s="10"/>
      <c r="O5225" s="10"/>
      <c r="V5225" s="10"/>
    </row>
    <row r="5226" spans="2:22" x14ac:dyDescent="0.2">
      <c r="B5226" s="25"/>
      <c r="E5226" s="10"/>
      <c r="O5226" s="10"/>
      <c r="V5226" s="10"/>
    </row>
    <row r="5227" spans="2:22" x14ac:dyDescent="0.2">
      <c r="B5227" s="25"/>
      <c r="E5227" s="10"/>
      <c r="O5227" s="10"/>
      <c r="V5227" s="10"/>
    </row>
    <row r="5228" spans="2:22" x14ac:dyDescent="0.2">
      <c r="B5228" s="25"/>
      <c r="E5228" s="10"/>
      <c r="O5228" s="10"/>
      <c r="V5228" s="10"/>
    </row>
    <row r="5229" spans="2:22" x14ac:dyDescent="0.2">
      <c r="B5229" s="25"/>
      <c r="E5229" s="10"/>
      <c r="O5229" s="10"/>
      <c r="V5229" s="10"/>
    </row>
    <row r="5230" spans="2:22" x14ac:dyDescent="0.2">
      <c r="B5230" s="25"/>
      <c r="E5230" s="10"/>
      <c r="O5230" s="10"/>
      <c r="V5230" s="10"/>
    </row>
    <row r="5231" spans="2:22" x14ac:dyDescent="0.2">
      <c r="B5231" s="25"/>
      <c r="E5231" s="10"/>
      <c r="O5231" s="10"/>
      <c r="V5231" s="10"/>
    </row>
    <row r="5232" spans="2:22" x14ac:dyDescent="0.2">
      <c r="B5232" s="25"/>
      <c r="E5232" s="10"/>
      <c r="O5232" s="10"/>
      <c r="V5232" s="10"/>
    </row>
    <row r="5233" spans="2:22" x14ac:dyDescent="0.2">
      <c r="B5233" s="25"/>
      <c r="E5233" s="10"/>
      <c r="O5233" s="10"/>
      <c r="V5233" s="10"/>
    </row>
    <row r="5234" spans="2:22" x14ac:dyDescent="0.2">
      <c r="B5234" s="25"/>
      <c r="E5234" s="10"/>
      <c r="O5234" s="10"/>
      <c r="V5234" s="10"/>
    </row>
    <row r="5235" spans="2:22" x14ac:dyDescent="0.2">
      <c r="B5235" s="25"/>
      <c r="E5235" s="10"/>
      <c r="O5235" s="10"/>
      <c r="V5235" s="10"/>
    </row>
    <row r="5236" spans="2:22" x14ac:dyDescent="0.2">
      <c r="B5236" s="25"/>
      <c r="E5236" s="10"/>
      <c r="O5236" s="10"/>
      <c r="V5236" s="10"/>
    </row>
    <row r="5237" spans="2:22" x14ac:dyDescent="0.2">
      <c r="B5237" s="25"/>
      <c r="E5237" s="10"/>
      <c r="O5237" s="10"/>
      <c r="V5237" s="10"/>
    </row>
    <row r="5238" spans="2:22" x14ac:dyDescent="0.2">
      <c r="B5238" s="25"/>
      <c r="E5238" s="10"/>
      <c r="O5238" s="10"/>
      <c r="V5238" s="10"/>
    </row>
    <row r="5239" spans="2:22" x14ac:dyDescent="0.2">
      <c r="B5239" s="25"/>
      <c r="E5239" s="10"/>
      <c r="O5239" s="10"/>
      <c r="V5239" s="10"/>
    </row>
    <row r="5240" spans="2:22" x14ac:dyDescent="0.2">
      <c r="B5240" s="25"/>
      <c r="E5240" s="10"/>
      <c r="O5240" s="10"/>
      <c r="V5240" s="10"/>
    </row>
    <row r="5241" spans="2:22" x14ac:dyDescent="0.2">
      <c r="B5241" s="25"/>
      <c r="E5241" s="10"/>
      <c r="O5241" s="10"/>
      <c r="V5241" s="10"/>
    </row>
    <row r="5242" spans="2:22" x14ac:dyDescent="0.2">
      <c r="B5242" s="25"/>
      <c r="E5242" s="10"/>
      <c r="O5242" s="10"/>
      <c r="V5242" s="10"/>
    </row>
    <row r="5243" spans="2:22" x14ac:dyDescent="0.2">
      <c r="B5243" s="25"/>
      <c r="E5243" s="10"/>
      <c r="O5243" s="10"/>
      <c r="V5243" s="10"/>
    </row>
    <row r="5244" spans="2:22" x14ac:dyDescent="0.2">
      <c r="B5244" s="25"/>
      <c r="E5244" s="10"/>
      <c r="O5244" s="10"/>
      <c r="V5244" s="10"/>
    </row>
    <row r="5245" spans="2:22" x14ac:dyDescent="0.2">
      <c r="B5245" s="25"/>
      <c r="E5245" s="10"/>
      <c r="O5245" s="10"/>
      <c r="V5245" s="10"/>
    </row>
    <row r="5246" spans="2:22" x14ac:dyDescent="0.2">
      <c r="B5246" s="25"/>
      <c r="E5246" s="10"/>
      <c r="O5246" s="10"/>
      <c r="V5246" s="10"/>
    </row>
    <row r="5247" spans="2:22" x14ac:dyDescent="0.2">
      <c r="B5247" s="25"/>
      <c r="E5247" s="10"/>
      <c r="O5247" s="10"/>
      <c r="V5247" s="10"/>
    </row>
    <row r="5248" spans="2:22" x14ac:dyDescent="0.2">
      <c r="B5248" s="25"/>
      <c r="E5248" s="10"/>
      <c r="O5248" s="10"/>
      <c r="V5248" s="10"/>
    </row>
    <row r="5249" spans="2:22" x14ac:dyDescent="0.2">
      <c r="B5249" s="25"/>
      <c r="E5249" s="10"/>
      <c r="O5249" s="10"/>
      <c r="V5249" s="10"/>
    </row>
    <row r="5250" spans="2:22" x14ac:dyDescent="0.2">
      <c r="B5250" s="25"/>
      <c r="E5250" s="10"/>
      <c r="O5250" s="10"/>
      <c r="V5250" s="10"/>
    </row>
    <row r="5251" spans="2:22" x14ac:dyDescent="0.2">
      <c r="B5251" s="25"/>
      <c r="E5251" s="10"/>
      <c r="O5251" s="10"/>
      <c r="V5251" s="10"/>
    </row>
    <row r="5252" spans="2:22" x14ac:dyDescent="0.2">
      <c r="B5252" s="25"/>
      <c r="E5252" s="10"/>
      <c r="O5252" s="10"/>
      <c r="V5252" s="10"/>
    </row>
    <row r="5253" spans="2:22" x14ac:dyDescent="0.2">
      <c r="B5253" s="25"/>
      <c r="E5253" s="10"/>
      <c r="O5253" s="10"/>
      <c r="V5253" s="10"/>
    </row>
    <row r="5254" spans="2:22" x14ac:dyDescent="0.2">
      <c r="B5254" s="25"/>
      <c r="E5254" s="10"/>
      <c r="O5254" s="10"/>
      <c r="V5254" s="10"/>
    </row>
    <row r="5255" spans="2:22" x14ac:dyDescent="0.2">
      <c r="B5255" s="25"/>
      <c r="E5255" s="10"/>
      <c r="O5255" s="10"/>
      <c r="V5255" s="10"/>
    </row>
    <row r="5256" spans="2:22" x14ac:dyDescent="0.2">
      <c r="B5256" s="25"/>
      <c r="E5256" s="10"/>
      <c r="O5256" s="10"/>
      <c r="V5256" s="10"/>
    </row>
    <row r="5257" spans="2:22" x14ac:dyDescent="0.2">
      <c r="B5257" s="25"/>
      <c r="E5257" s="10"/>
      <c r="O5257" s="10"/>
      <c r="V5257" s="10"/>
    </row>
    <row r="5258" spans="2:22" x14ac:dyDescent="0.2">
      <c r="B5258" s="25"/>
      <c r="E5258" s="10"/>
      <c r="O5258" s="10"/>
      <c r="V5258" s="10"/>
    </row>
    <row r="5259" spans="2:22" x14ac:dyDescent="0.2">
      <c r="B5259" s="25"/>
      <c r="E5259" s="10"/>
      <c r="O5259" s="10"/>
      <c r="V5259" s="10"/>
    </row>
    <row r="5260" spans="2:22" x14ac:dyDescent="0.2">
      <c r="B5260" s="25"/>
      <c r="E5260" s="10"/>
      <c r="O5260" s="10"/>
      <c r="V5260" s="10"/>
    </row>
    <row r="5261" spans="2:22" x14ac:dyDescent="0.2">
      <c r="B5261" s="25"/>
      <c r="E5261" s="10"/>
      <c r="O5261" s="10"/>
      <c r="V5261" s="10"/>
    </row>
    <row r="5262" spans="2:22" x14ac:dyDescent="0.2">
      <c r="B5262" s="25"/>
      <c r="E5262" s="10"/>
      <c r="O5262" s="10"/>
      <c r="V5262" s="10"/>
    </row>
    <row r="5263" spans="2:22" x14ac:dyDescent="0.2">
      <c r="B5263" s="25"/>
      <c r="E5263" s="10"/>
      <c r="O5263" s="10"/>
      <c r="V5263" s="10"/>
    </row>
    <row r="5264" spans="2:22" x14ac:dyDescent="0.2">
      <c r="B5264" s="25"/>
      <c r="E5264" s="10"/>
      <c r="O5264" s="10"/>
      <c r="V5264" s="10"/>
    </row>
    <row r="5265" spans="2:22" x14ac:dyDescent="0.2">
      <c r="B5265" s="25"/>
      <c r="E5265" s="10"/>
      <c r="O5265" s="10"/>
      <c r="V5265" s="10"/>
    </row>
    <row r="5266" spans="2:22" x14ac:dyDescent="0.2">
      <c r="B5266" s="25"/>
      <c r="E5266" s="10"/>
      <c r="O5266" s="10"/>
      <c r="V5266" s="10"/>
    </row>
    <row r="5267" spans="2:22" x14ac:dyDescent="0.2">
      <c r="B5267" s="25"/>
      <c r="E5267" s="10"/>
      <c r="O5267" s="10"/>
      <c r="V5267" s="10"/>
    </row>
    <row r="5268" spans="2:22" x14ac:dyDescent="0.2">
      <c r="B5268" s="25"/>
      <c r="E5268" s="10"/>
      <c r="O5268" s="10"/>
      <c r="V5268" s="10"/>
    </row>
    <row r="5269" spans="2:22" x14ac:dyDescent="0.2">
      <c r="B5269" s="25"/>
      <c r="E5269" s="10"/>
      <c r="O5269" s="10"/>
      <c r="V5269" s="10"/>
    </row>
    <row r="5270" spans="2:22" x14ac:dyDescent="0.2">
      <c r="B5270" s="25"/>
      <c r="E5270" s="10"/>
      <c r="O5270" s="10"/>
      <c r="V5270" s="10"/>
    </row>
    <row r="5271" spans="2:22" x14ac:dyDescent="0.2">
      <c r="B5271" s="25"/>
      <c r="E5271" s="10"/>
      <c r="O5271" s="10"/>
      <c r="V5271" s="10"/>
    </row>
    <row r="5272" spans="2:22" x14ac:dyDescent="0.2">
      <c r="B5272" s="25"/>
      <c r="E5272" s="10"/>
      <c r="O5272" s="10"/>
      <c r="V5272" s="10"/>
    </row>
    <row r="5273" spans="2:22" x14ac:dyDescent="0.2">
      <c r="B5273" s="25"/>
      <c r="E5273" s="10"/>
      <c r="O5273" s="10"/>
      <c r="V5273" s="10"/>
    </row>
    <row r="5274" spans="2:22" x14ac:dyDescent="0.2">
      <c r="B5274" s="25"/>
      <c r="E5274" s="10"/>
      <c r="O5274" s="10"/>
      <c r="V5274" s="10"/>
    </row>
    <row r="5275" spans="2:22" x14ac:dyDescent="0.2">
      <c r="B5275" s="25"/>
      <c r="E5275" s="10"/>
      <c r="O5275" s="10"/>
      <c r="V5275" s="10"/>
    </row>
    <row r="5276" spans="2:22" x14ac:dyDescent="0.2">
      <c r="B5276" s="25"/>
      <c r="E5276" s="10"/>
      <c r="O5276" s="10"/>
      <c r="V5276" s="10"/>
    </row>
    <row r="5277" spans="2:22" x14ac:dyDescent="0.2">
      <c r="B5277" s="25"/>
      <c r="E5277" s="10"/>
      <c r="O5277" s="10"/>
      <c r="V5277" s="10"/>
    </row>
    <row r="5278" spans="2:22" x14ac:dyDescent="0.2">
      <c r="B5278" s="25"/>
      <c r="E5278" s="10"/>
      <c r="O5278" s="10"/>
      <c r="V5278" s="10"/>
    </row>
    <row r="5279" spans="2:22" x14ac:dyDescent="0.2">
      <c r="B5279" s="25"/>
      <c r="E5279" s="10"/>
      <c r="O5279" s="10"/>
      <c r="V5279" s="10"/>
    </row>
    <row r="5280" spans="2:22" x14ac:dyDescent="0.2">
      <c r="B5280" s="25"/>
      <c r="E5280" s="10"/>
      <c r="O5280" s="10"/>
      <c r="V5280" s="10"/>
    </row>
    <row r="5281" spans="2:22" x14ac:dyDescent="0.2">
      <c r="B5281" s="25"/>
      <c r="E5281" s="10"/>
      <c r="O5281" s="10"/>
      <c r="V5281" s="10"/>
    </row>
    <row r="5282" spans="2:22" x14ac:dyDescent="0.2">
      <c r="B5282" s="25"/>
      <c r="E5282" s="10"/>
      <c r="O5282" s="10"/>
      <c r="V5282" s="10"/>
    </row>
    <row r="5283" spans="2:22" x14ac:dyDescent="0.2">
      <c r="B5283" s="25"/>
      <c r="E5283" s="10"/>
      <c r="O5283" s="10"/>
      <c r="V5283" s="10"/>
    </row>
    <row r="5284" spans="2:22" x14ac:dyDescent="0.2">
      <c r="B5284" s="25"/>
      <c r="E5284" s="10"/>
      <c r="O5284" s="10"/>
      <c r="V5284" s="10"/>
    </row>
    <row r="5285" spans="2:22" x14ac:dyDescent="0.2">
      <c r="B5285" s="25"/>
      <c r="E5285" s="10"/>
      <c r="O5285" s="10"/>
      <c r="V5285" s="10"/>
    </row>
    <row r="5286" spans="2:22" x14ac:dyDescent="0.2">
      <c r="B5286" s="25"/>
      <c r="E5286" s="10"/>
      <c r="O5286" s="10"/>
      <c r="V5286" s="10"/>
    </row>
    <row r="5287" spans="2:22" x14ac:dyDescent="0.2">
      <c r="B5287" s="25"/>
      <c r="E5287" s="10"/>
      <c r="O5287" s="10"/>
      <c r="V5287" s="10"/>
    </row>
    <row r="5288" spans="2:22" x14ac:dyDescent="0.2">
      <c r="B5288" s="25"/>
      <c r="E5288" s="10"/>
      <c r="O5288" s="10"/>
      <c r="V5288" s="10"/>
    </row>
    <row r="5289" spans="2:22" x14ac:dyDescent="0.2">
      <c r="B5289" s="25"/>
      <c r="E5289" s="10"/>
      <c r="O5289" s="10"/>
      <c r="V5289" s="10"/>
    </row>
    <row r="5290" spans="2:22" x14ac:dyDescent="0.2">
      <c r="B5290" s="25"/>
      <c r="E5290" s="10"/>
      <c r="O5290" s="10"/>
      <c r="V5290" s="10"/>
    </row>
    <row r="5291" spans="2:22" x14ac:dyDescent="0.2">
      <c r="B5291" s="25"/>
      <c r="E5291" s="10"/>
      <c r="O5291" s="10"/>
      <c r="V5291" s="10"/>
    </row>
    <row r="5292" spans="2:22" x14ac:dyDescent="0.2">
      <c r="B5292" s="25"/>
      <c r="E5292" s="10"/>
      <c r="O5292" s="10"/>
      <c r="V5292" s="10"/>
    </row>
    <row r="5293" spans="2:22" x14ac:dyDescent="0.2">
      <c r="B5293" s="25"/>
      <c r="E5293" s="10"/>
      <c r="O5293" s="10"/>
      <c r="V5293" s="10"/>
    </row>
    <row r="5294" spans="2:22" x14ac:dyDescent="0.2">
      <c r="B5294" s="25"/>
      <c r="E5294" s="10"/>
      <c r="O5294" s="10"/>
      <c r="V5294" s="10"/>
    </row>
    <row r="5295" spans="2:22" x14ac:dyDescent="0.2">
      <c r="B5295" s="25"/>
      <c r="E5295" s="10"/>
      <c r="O5295" s="10"/>
      <c r="V5295" s="10"/>
    </row>
    <row r="5296" spans="2:22" x14ac:dyDescent="0.2">
      <c r="B5296" s="25"/>
      <c r="E5296" s="10"/>
      <c r="O5296" s="10"/>
      <c r="V5296" s="10"/>
    </row>
    <row r="5297" spans="2:22" x14ac:dyDescent="0.2">
      <c r="B5297" s="25"/>
      <c r="E5297" s="10"/>
      <c r="O5297" s="10"/>
      <c r="V5297" s="10"/>
    </row>
    <row r="5298" spans="2:22" x14ac:dyDescent="0.2">
      <c r="B5298" s="25"/>
      <c r="E5298" s="10"/>
      <c r="O5298" s="10"/>
      <c r="V5298" s="10"/>
    </row>
    <row r="5299" spans="2:22" x14ac:dyDescent="0.2">
      <c r="B5299" s="25"/>
      <c r="E5299" s="10"/>
      <c r="O5299" s="10"/>
      <c r="V5299" s="10"/>
    </row>
    <row r="5300" spans="2:22" x14ac:dyDescent="0.2">
      <c r="B5300" s="25"/>
      <c r="E5300" s="10"/>
      <c r="O5300" s="10"/>
      <c r="V5300" s="10"/>
    </row>
    <row r="5301" spans="2:22" x14ac:dyDescent="0.2">
      <c r="B5301" s="25"/>
      <c r="E5301" s="10"/>
      <c r="O5301" s="10"/>
      <c r="V5301" s="10"/>
    </row>
    <row r="5302" spans="2:22" x14ac:dyDescent="0.2">
      <c r="B5302" s="25"/>
      <c r="E5302" s="10"/>
      <c r="O5302" s="10"/>
      <c r="V5302" s="10"/>
    </row>
    <row r="5303" spans="2:22" x14ac:dyDescent="0.2">
      <c r="B5303" s="25"/>
      <c r="E5303" s="10"/>
      <c r="O5303" s="10"/>
      <c r="V5303" s="10"/>
    </row>
    <row r="5304" spans="2:22" x14ac:dyDescent="0.2">
      <c r="B5304" s="25"/>
      <c r="E5304" s="10"/>
      <c r="O5304" s="10"/>
      <c r="V5304" s="10"/>
    </row>
    <row r="5305" spans="2:22" x14ac:dyDescent="0.2">
      <c r="B5305" s="25"/>
      <c r="E5305" s="10"/>
      <c r="O5305" s="10"/>
      <c r="V5305" s="10"/>
    </row>
    <row r="5306" spans="2:22" x14ac:dyDescent="0.2">
      <c r="B5306" s="25"/>
      <c r="E5306" s="10"/>
      <c r="O5306" s="10"/>
      <c r="V5306" s="10"/>
    </row>
    <row r="5307" spans="2:22" x14ac:dyDescent="0.2">
      <c r="B5307" s="25"/>
      <c r="E5307" s="10"/>
      <c r="O5307" s="10"/>
      <c r="V5307" s="10"/>
    </row>
    <row r="5308" spans="2:22" x14ac:dyDescent="0.2">
      <c r="B5308" s="25"/>
      <c r="E5308" s="10"/>
      <c r="O5308" s="10"/>
      <c r="V5308" s="10"/>
    </row>
    <row r="5309" spans="2:22" x14ac:dyDescent="0.2">
      <c r="B5309" s="25"/>
      <c r="E5309" s="10"/>
      <c r="O5309" s="10"/>
      <c r="V5309" s="10"/>
    </row>
    <row r="5310" spans="2:22" x14ac:dyDescent="0.2">
      <c r="B5310" s="25"/>
      <c r="E5310" s="10"/>
      <c r="O5310" s="10"/>
      <c r="V5310" s="10"/>
    </row>
    <row r="5311" spans="2:22" x14ac:dyDescent="0.2">
      <c r="B5311" s="25"/>
      <c r="E5311" s="10"/>
      <c r="O5311" s="10"/>
      <c r="V5311" s="10"/>
    </row>
    <row r="5312" spans="2:22" x14ac:dyDescent="0.2">
      <c r="B5312" s="25"/>
      <c r="E5312" s="10"/>
      <c r="O5312" s="10"/>
      <c r="V5312" s="10"/>
    </row>
    <row r="5313" spans="2:22" x14ac:dyDescent="0.2">
      <c r="B5313" s="25"/>
      <c r="E5313" s="10"/>
      <c r="O5313" s="10"/>
      <c r="V5313" s="10"/>
    </row>
    <row r="5314" spans="2:22" x14ac:dyDescent="0.2">
      <c r="B5314" s="25"/>
      <c r="E5314" s="10"/>
      <c r="O5314" s="10"/>
      <c r="V5314" s="10"/>
    </row>
    <row r="5315" spans="2:22" x14ac:dyDescent="0.2">
      <c r="B5315" s="25"/>
      <c r="E5315" s="10"/>
      <c r="O5315" s="10"/>
      <c r="V5315" s="10"/>
    </row>
    <row r="5316" spans="2:22" x14ac:dyDescent="0.2">
      <c r="B5316" s="25"/>
      <c r="E5316" s="10"/>
      <c r="O5316" s="10"/>
      <c r="V5316" s="10"/>
    </row>
    <row r="5317" spans="2:22" x14ac:dyDescent="0.2">
      <c r="B5317" s="25"/>
      <c r="E5317" s="10"/>
      <c r="O5317" s="10"/>
      <c r="V5317" s="10"/>
    </row>
    <row r="5318" spans="2:22" x14ac:dyDescent="0.2">
      <c r="B5318" s="25"/>
      <c r="E5318" s="10"/>
      <c r="O5318" s="10"/>
      <c r="V5318" s="10"/>
    </row>
    <row r="5319" spans="2:22" x14ac:dyDescent="0.2">
      <c r="B5319" s="25"/>
      <c r="E5319" s="10"/>
      <c r="O5319" s="10"/>
      <c r="V5319" s="10"/>
    </row>
    <row r="5320" spans="2:22" x14ac:dyDescent="0.2">
      <c r="B5320" s="25"/>
      <c r="E5320" s="10"/>
      <c r="O5320" s="10"/>
      <c r="V5320" s="10"/>
    </row>
    <row r="5321" spans="2:22" x14ac:dyDescent="0.2">
      <c r="B5321" s="25"/>
      <c r="E5321" s="10"/>
      <c r="O5321" s="10"/>
      <c r="V5321" s="10"/>
    </row>
    <row r="5322" spans="2:22" x14ac:dyDescent="0.2">
      <c r="B5322" s="25"/>
      <c r="E5322" s="10"/>
      <c r="O5322" s="10"/>
      <c r="V5322" s="10"/>
    </row>
    <row r="5323" spans="2:22" x14ac:dyDescent="0.2">
      <c r="B5323" s="25"/>
      <c r="E5323" s="10"/>
      <c r="O5323" s="10"/>
      <c r="V5323" s="10"/>
    </row>
    <row r="5324" spans="2:22" x14ac:dyDescent="0.2">
      <c r="B5324" s="25"/>
      <c r="E5324" s="10"/>
      <c r="O5324" s="10"/>
      <c r="V5324" s="10"/>
    </row>
    <row r="5325" spans="2:22" x14ac:dyDescent="0.2">
      <c r="B5325" s="25"/>
      <c r="E5325" s="10"/>
      <c r="O5325" s="10"/>
      <c r="V5325" s="10"/>
    </row>
    <row r="5326" spans="2:22" x14ac:dyDescent="0.2">
      <c r="B5326" s="25"/>
      <c r="E5326" s="10"/>
      <c r="O5326" s="10"/>
      <c r="V5326" s="10"/>
    </row>
    <row r="5327" spans="2:22" x14ac:dyDescent="0.2">
      <c r="B5327" s="25"/>
      <c r="E5327" s="10"/>
      <c r="O5327" s="10"/>
      <c r="V5327" s="10"/>
    </row>
    <row r="5328" spans="2:22" x14ac:dyDescent="0.2">
      <c r="B5328" s="25"/>
      <c r="E5328" s="10"/>
      <c r="O5328" s="10"/>
      <c r="V5328" s="10"/>
    </row>
    <row r="5329" spans="2:22" x14ac:dyDescent="0.2">
      <c r="B5329" s="25"/>
      <c r="E5329" s="10"/>
      <c r="O5329" s="10"/>
      <c r="V5329" s="10"/>
    </row>
    <row r="5330" spans="2:22" x14ac:dyDescent="0.2">
      <c r="B5330" s="25"/>
      <c r="E5330" s="10"/>
      <c r="O5330" s="10"/>
      <c r="V5330" s="10"/>
    </row>
    <row r="5331" spans="2:22" x14ac:dyDescent="0.2">
      <c r="B5331" s="25"/>
      <c r="E5331" s="10"/>
      <c r="O5331" s="10"/>
      <c r="V5331" s="10"/>
    </row>
    <row r="5332" spans="2:22" x14ac:dyDescent="0.2">
      <c r="B5332" s="25"/>
      <c r="E5332" s="10"/>
      <c r="O5332" s="10"/>
      <c r="V5332" s="10"/>
    </row>
    <row r="5333" spans="2:22" x14ac:dyDescent="0.2">
      <c r="B5333" s="25"/>
      <c r="E5333" s="10"/>
      <c r="O5333" s="10"/>
      <c r="V5333" s="10"/>
    </row>
    <row r="5334" spans="2:22" x14ac:dyDescent="0.2">
      <c r="B5334" s="25"/>
      <c r="E5334" s="10"/>
      <c r="O5334" s="10"/>
      <c r="V5334" s="10"/>
    </row>
    <row r="5335" spans="2:22" x14ac:dyDescent="0.2">
      <c r="B5335" s="25"/>
      <c r="E5335" s="10"/>
      <c r="O5335" s="10"/>
      <c r="V5335" s="10"/>
    </row>
    <row r="5336" spans="2:22" x14ac:dyDescent="0.2">
      <c r="B5336" s="25"/>
      <c r="E5336" s="10"/>
      <c r="O5336" s="10"/>
      <c r="V5336" s="10"/>
    </row>
    <row r="5337" spans="2:22" x14ac:dyDescent="0.2">
      <c r="B5337" s="25"/>
      <c r="E5337" s="10"/>
      <c r="O5337" s="10"/>
      <c r="V5337" s="10"/>
    </row>
    <row r="5338" spans="2:22" x14ac:dyDescent="0.2">
      <c r="B5338" s="25"/>
      <c r="E5338" s="10"/>
      <c r="O5338" s="10"/>
      <c r="V5338" s="10"/>
    </row>
    <row r="5339" spans="2:22" x14ac:dyDescent="0.2">
      <c r="B5339" s="25"/>
      <c r="E5339" s="10"/>
      <c r="O5339" s="10"/>
      <c r="V5339" s="10"/>
    </row>
    <row r="5340" spans="2:22" x14ac:dyDescent="0.2">
      <c r="B5340" s="25"/>
      <c r="E5340" s="10"/>
      <c r="O5340" s="10"/>
      <c r="V5340" s="10"/>
    </row>
    <row r="5341" spans="2:22" x14ac:dyDescent="0.2">
      <c r="B5341" s="25"/>
      <c r="E5341" s="10"/>
      <c r="O5341" s="10"/>
      <c r="V5341" s="10"/>
    </row>
    <row r="5342" spans="2:22" x14ac:dyDescent="0.2">
      <c r="B5342" s="25"/>
      <c r="E5342" s="10"/>
      <c r="O5342" s="10"/>
      <c r="V5342" s="10"/>
    </row>
    <row r="5343" spans="2:22" x14ac:dyDescent="0.2">
      <c r="B5343" s="25"/>
      <c r="E5343" s="10"/>
      <c r="O5343" s="10"/>
      <c r="V5343" s="10"/>
    </row>
    <row r="5344" spans="2:22" x14ac:dyDescent="0.2">
      <c r="B5344" s="25"/>
      <c r="E5344" s="10"/>
      <c r="O5344" s="10"/>
      <c r="V5344" s="10"/>
    </row>
    <row r="5345" spans="2:22" x14ac:dyDescent="0.2">
      <c r="B5345" s="25"/>
      <c r="E5345" s="10"/>
      <c r="O5345" s="10"/>
      <c r="V5345" s="10"/>
    </row>
    <row r="5346" spans="2:22" x14ac:dyDescent="0.2">
      <c r="B5346" s="25"/>
      <c r="E5346" s="10"/>
      <c r="O5346" s="10"/>
      <c r="V5346" s="10"/>
    </row>
    <row r="5347" spans="2:22" x14ac:dyDescent="0.2">
      <c r="B5347" s="25"/>
      <c r="E5347" s="10"/>
      <c r="O5347" s="10"/>
      <c r="V5347" s="10"/>
    </row>
    <row r="5348" spans="2:22" x14ac:dyDescent="0.2">
      <c r="B5348" s="25"/>
      <c r="E5348" s="10"/>
      <c r="O5348" s="10"/>
      <c r="V5348" s="10"/>
    </row>
    <row r="5349" spans="2:22" x14ac:dyDescent="0.2">
      <c r="B5349" s="25"/>
      <c r="E5349" s="10"/>
      <c r="O5349" s="10"/>
      <c r="V5349" s="10"/>
    </row>
    <row r="5350" spans="2:22" x14ac:dyDescent="0.2">
      <c r="B5350" s="25"/>
      <c r="E5350" s="10"/>
      <c r="O5350" s="10"/>
      <c r="V5350" s="10"/>
    </row>
    <row r="5351" spans="2:22" x14ac:dyDescent="0.2">
      <c r="B5351" s="25"/>
      <c r="E5351" s="10"/>
      <c r="O5351" s="10"/>
      <c r="V5351" s="10"/>
    </row>
    <row r="5352" spans="2:22" x14ac:dyDescent="0.2">
      <c r="B5352" s="25"/>
      <c r="E5352" s="10"/>
      <c r="O5352" s="10"/>
      <c r="V5352" s="10"/>
    </row>
    <row r="5353" spans="2:22" x14ac:dyDescent="0.2">
      <c r="B5353" s="25"/>
      <c r="E5353" s="10"/>
      <c r="O5353" s="10"/>
      <c r="V5353" s="10"/>
    </row>
    <row r="5354" spans="2:22" x14ac:dyDescent="0.2">
      <c r="B5354" s="25"/>
      <c r="E5354" s="10"/>
      <c r="O5354" s="10"/>
      <c r="V5354" s="10"/>
    </row>
    <row r="5355" spans="2:22" x14ac:dyDescent="0.2">
      <c r="B5355" s="25"/>
      <c r="E5355" s="10"/>
      <c r="O5355" s="10"/>
      <c r="V5355" s="10"/>
    </row>
    <row r="5356" spans="2:22" x14ac:dyDescent="0.2">
      <c r="B5356" s="25"/>
      <c r="E5356" s="10"/>
      <c r="O5356" s="10"/>
      <c r="V5356" s="10"/>
    </row>
    <row r="5357" spans="2:22" x14ac:dyDescent="0.2">
      <c r="B5357" s="25"/>
      <c r="E5357" s="10"/>
      <c r="O5357" s="10"/>
      <c r="V5357" s="10"/>
    </row>
    <row r="5358" spans="2:22" x14ac:dyDescent="0.2">
      <c r="B5358" s="25"/>
      <c r="E5358" s="10"/>
      <c r="O5358" s="10"/>
      <c r="V5358" s="10"/>
    </row>
    <row r="5359" spans="2:22" x14ac:dyDescent="0.2">
      <c r="B5359" s="25"/>
      <c r="E5359" s="10"/>
      <c r="O5359" s="10"/>
      <c r="V5359" s="10"/>
    </row>
    <row r="5360" spans="2:22" x14ac:dyDescent="0.2">
      <c r="B5360" s="25"/>
      <c r="E5360" s="10"/>
      <c r="O5360" s="10"/>
      <c r="V5360" s="10"/>
    </row>
    <row r="5361" spans="2:22" x14ac:dyDescent="0.2">
      <c r="B5361" s="25"/>
      <c r="E5361" s="10"/>
      <c r="O5361" s="10"/>
      <c r="V5361" s="10"/>
    </row>
    <row r="5362" spans="2:22" x14ac:dyDescent="0.2">
      <c r="B5362" s="25"/>
      <c r="E5362" s="10"/>
      <c r="O5362" s="10"/>
      <c r="V5362" s="10"/>
    </row>
    <row r="5363" spans="2:22" x14ac:dyDescent="0.2">
      <c r="B5363" s="25"/>
      <c r="E5363" s="10"/>
      <c r="O5363" s="10"/>
      <c r="V5363" s="10"/>
    </row>
    <row r="5364" spans="2:22" x14ac:dyDescent="0.2">
      <c r="B5364" s="25"/>
      <c r="E5364" s="10"/>
      <c r="O5364" s="10"/>
      <c r="V5364" s="10"/>
    </row>
    <row r="5365" spans="2:22" x14ac:dyDescent="0.2">
      <c r="B5365" s="25"/>
      <c r="E5365" s="10"/>
      <c r="O5365" s="10"/>
      <c r="V5365" s="10"/>
    </row>
    <row r="5366" spans="2:22" x14ac:dyDescent="0.2">
      <c r="B5366" s="25"/>
      <c r="E5366" s="10"/>
      <c r="O5366" s="10"/>
      <c r="V5366" s="10"/>
    </row>
    <row r="5367" spans="2:22" x14ac:dyDescent="0.2">
      <c r="B5367" s="25"/>
      <c r="E5367" s="10"/>
      <c r="O5367" s="10"/>
      <c r="V5367" s="10"/>
    </row>
    <row r="5368" spans="2:22" x14ac:dyDescent="0.2">
      <c r="B5368" s="25"/>
      <c r="E5368" s="10"/>
      <c r="O5368" s="10"/>
      <c r="V5368" s="10"/>
    </row>
    <row r="5369" spans="2:22" x14ac:dyDescent="0.2">
      <c r="B5369" s="25"/>
      <c r="E5369" s="10"/>
      <c r="O5369" s="10"/>
      <c r="V5369" s="10"/>
    </row>
    <row r="5370" spans="2:22" x14ac:dyDescent="0.2">
      <c r="B5370" s="25"/>
      <c r="E5370" s="10"/>
      <c r="O5370" s="10"/>
      <c r="V5370" s="10"/>
    </row>
    <row r="5371" spans="2:22" x14ac:dyDescent="0.2">
      <c r="B5371" s="25"/>
      <c r="E5371" s="10"/>
      <c r="O5371" s="10"/>
      <c r="V5371" s="10"/>
    </row>
    <row r="5372" spans="2:22" x14ac:dyDescent="0.2">
      <c r="B5372" s="25"/>
      <c r="E5372" s="10"/>
      <c r="O5372" s="10"/>
      <c r="V5372" s="10"/>
    </row>
    <row r="5373" spans="2:22" x14ac:dyDescent="0.2">
      <c r="B5373" s="25"/>
      <c r="E5373" s="10"/>
      <c r="O5373" s="10"/>
      <c r="V5373" s="10"/>
    </row>
    <row r="5374" spans="2:22" x14ac:dyDescent="0.2">
      <c r="B5374" s="25"/>
      <c r="E5374" s="10"/>
      <c r="O5374" s="10"/>
      <c r="V5374" s="10"/>
    </row>
    <row r="5375" spans="2:22" x14ac:dyDescent="0.2">
      <c r="B5375" s="25"/>
      <c r="E5375" s="10"/>
      <c r="O5375" s="10"/>
      <c r="V5375" s="10"/>
    </row>
    <row r="5376" spans="2:22" x14ac:dyDescent="0.2">
      <c r="B5376" s="25"/>
      <c r="E5376" s="10"/>
      <c r="O5376" s="10"/>
      <c r="V5376" s="10"/>
    </row>
    <row r="5377" spans="2:22" x14ac:dyDescent="0.2">
      <c r="B5377" s="25"/>
      <c r="E5377" s="10"/>
      <c r="O5377" s="10"/>
      <c r="V5377" s="10"/>
    </row>
    <row r="5378" spans="2:22" x14ac:dyDescent="0.2">
      <c r="B5378" s="25"/>
      <c r="E5378" s="10"/>
      <c r="O5378" s="10"/>
      <c r="V5378" s="10"/>
    </row>
    <row r="5379" spans="2:22" x14ac:dyDescent="0.2">
      <c r="B5379" s="25"/>
      <c r="E5379" s="10"/>
      <c r="O5379" s="10"/>
      <c r="V5379" s="10"/>
    </row>
    <row r="5380" spans="2:22" x14ac:dyDescent="0.2">
      <c r="B5380" s="25"/>
      <c r="E5380" s="10"/>
      <c r="O5380" s="10"/>
      <c r="V5380" s="10"/>
    </row>
    <row r="5381" spans="2:22" x14ac:dyDescent="0.2">
      <c r="B5381" s="25"/>
      <c r="E5381" s="10"/>
      <c r="O5381" s="10"/>
      <c r="V5381" s="10"/>
    </row>
    <row r="5382" spans="2:22" x14ac:dyDescent="0.2">
      <c r="B5382" s="25"/>
      <c r="E5382" s="10"/>
      <c r="O5382" s="10"/>
      <c r="V5382" s="10"/>
    </row>
    <row r="5383" spans="2:22" x14ac:dyDescent="0.2">
      <c r="B5383" s="25"/>
      <c r="E5383" s="10"/>
      <c r="O5383" s="10"/>
      <c r="V5383" s="10"/>
    </row>
    <row r="5384" spans="2:22" x14ac:dyDescent="0.2">
      <c r="B5384" s="25"/>
      <c r="E5384" s="10"/>
      <c r="O5384" s="10"/>
      <c r="V5384" s="10"/>
    </row>
    <row r="5385" spans="2:22" x14ac:dyDescent="0.2">
      <c r="B5385" s="25"/>
      <c r="E5385" s="10"/>
      <c r="O5385" s="10"/>
      <c r="V5385" s="10"/>
    </row>
    <row r="5386" spans="2:22" x14ac:dyDescent="0.2">
      <c r="B5386" s="25"/>
      <c r="E5386" s="10"/>
      <c r="O5386" s="10"/>
      <c r="V5386" s="10"/>
    </row>
    <row r="5387" spans="2:22" x14ac:dyDescent="0.2">
      <c r="B5387" s="25"/>
      <c r="E5387" s="10"/>
      <c r="O5387" s="10"/>
      <c r="V5387" s="10"/>
    </row>
    <row r="5388" spans="2:22" x14ac:dyDescent="0.2">
      <c r="B5388" s="25"/>
      <c r="E5388" s="10"/>
      <c r="O5388" s="10"/>
      <c r="V5388" s="10"/>
    </row>
    <row r="5389" spans="2:22" x14ac:dyDescent="0.2">
      <c r="B5389" s="25"/>
      <c r="E5389" s="10"/>
      <c r="O5389" s="10"/>
      <c r="V5389" s="10"/>
    </row>
    <row r="5390" spans="2:22" x14ac:dyDescent="0.2">
      <c r="B5390" s="25"/>
      <c r="E5390" s="10"/>
      <c r="O5390" s="10"/>
      <c r="V5390" s="10"/>
    </row>
    <row r="5391" spans="2:22" x14ac:dyDescent="0.2">
      <c r="B5391" s="25"/>
      <c r="E5391" s="10"/>
      <c r="O5391" s="10"/>
      <c r="V5391" s="10"/>
    </row>
    <row r="5392" spans="2:22" x14ac:dyDescent="0.2">
      <c r="B5392" s="25"/>
      <c r="E5392" s="10"/>
      <c r="O5392" s="10"/>
      <c r="V5392" s="10"/>
    </row>
    <row r="5393" spans="2:22" x14ac:dyDescent="0.2">
      <c r="B5393" s="25"/>
      <c r="E5393" s="10"/>
      <c r="O5393" s="10"/>
      <c r="V5393" s="10"/>
    </row>
    <row r="5394" spans="2:22" x14ac:dyDescent="0.2">
      <c r="B5394" s="25"/>
      <c r="E5394" s="10"/>
      <c r="O5394" s="10"/>
      <c r="V5394" s="10"/>
    </row>
    <row r="5395" spans="2:22" x14ac:dyDescent="0.2">
      <c r="B5395" s="25"/>
      <c r="E5395" s="10"/>
      <c r="O5395" s="10"/>
      <c r="V5395" s="10"/>
    </row>
    <row r="5396" spans="2:22" x14ac:dyDescent="0.2">
      <c r="B5396" s="25"/>
      <c r="E5396" s="10"/>
      <c r="O5396" s="10"/>
      <c r="V5396" s="10"/>
    </row>
    <row r="5397" spans="2:22" x14ac:dyDescent="0.2">
      <c r="B5397" s="25"/>
      <c r="E5397" s="10"/>
      <c r="O5397" s="10"/>
      <c r="V5397" s="10"/>
    </row>
    <row r="5398" spans="2:22" x14ac:dyDescent="0.2">
      <c r="B5398" s="25"/>
      <c r="E5398" s="10"/>
      <c r="O5398" s="10"/>
      <c r="V5398" s="10"/>
    </row>
    <row r="5399" spans="2:22" x14ac:dyDescent="0.2">
      <c r="B5399" s="25"/>
      <c r="E5399" s="10"/>
      <c r="O5399" s="10"/>
      <c r="V5399" s="10"/>
    </row>
    <row r="5400" spans="2:22" x14ac:dyDescent="0.2">
      <c r="B5400" s="25"/>
      <c r="E5400" s="10"/>
      <c r="O5400" s="10"/>
      <c r="V5400" s="10"/>
    </row>
    <row r="5401" spans="2:22" x14ac:dyDescent="0.2">
      <c r="B5401" s="25"/>
      <c r="E5401" s="10"/>
      <c r="O5401" s="10"/>
      <c r="V5401" s="10"/>
    </row>
    <row r="5402" spans="2:22" x14ac:dyDescent="0.2">
      <c r="B5402" s="25"/>
      <c r="E5402" s="10"/>
      <c r="O5402" s="10"/>
      <c r="V5402" s="10"/>
    </row>
    <row r="5403" spans="2:22" x14ac:dyDescent="0.2">
      <c r="B5403" s="25"/>
      <c r="E5403" s="10"/>
      <c r="O5403" s="10"/>
      <c r="V5403" s="10"/>
    </row>
    <row r="5404" spans="2:22" x14ac:dyDescent="0.2">
      <c r="B5404" s="25"/>
      <c r="E5404" s="10"/>
      <c r="O5404" s="10"/>
      <c r="V5404" s="10"/>
    </row>
    <row r="5405" spans="2:22" x14ac:dyDescent="0.2">
      <c r="B5405" s="25"/>
      <c r="E5405" s="10"/>
      <c r="O5405" s="10"/>
      <c r="V5405" s="10"/>
    </row>
    <row r="5406" spans="2:22" x14ac:dyDescent="0.2">
      <c r="B5406" s="25"/>
      <c r="E5406" s="10"/>
      <c r="O5406" s="10"/>
      <c r="V5406" s="10"/>
    </row>
    <row r="5407" spans="2:22" x14ac:dyDescent="0.2">
      <c r="B5407" s="25"/>
      <c r="E5407" s="10"/>
      <c r="O5407" s="10"/>
      <c r="V5407" s="10"/>
    </row>
    <row r="5408" spans="2:22" x14ac:dyDescent="0.2">
      <c r="B5408" s="25"/>
      <c r="E5408" s="10"/>
      <c r="O5408" s="10"/>
      <c r="V5408" s="10"/>
    </row>
    <row r="5409" spans="2:22" x14ac:dyDescent="0.2">
      <c r="B5409" s="25"/>
      <c r="E5409" s="10"/>
      <c r="O5409" s="10"/>
      <c r="V5409" s="10"/>
    </row>
    <row r="5410" spans="2:22" x14ac:dyDescent="0.2">
      <c r="B5410" s="25"/>
      <c r="E5410" s="10"/>
      <c r="O5410" s="10"/>
      <c r="V5410" s="10"/>
    </row>
    <row r="5411" spans="2:22" x14ac:dyDescent="0.2">
      <c r="B5411" s="25"/>
      <c r="E5411" s="10"/>
      <c r="O5411" s="10"/>
      <c r="V5411" s="10"/>
    </row>
    <row r="5412" spans="2:22" x14ac:dyDescent="0.2">
      <c r="B5412" s="25"/>
      <c r="E5412" s="10"/>
      <c r="O5412" s="10"/>
      <c r="V5412" s="10"/>
    </row>
    <row r="5413" spans="2:22" x14ac:dyDescent="0.2">
      <c r="B5413" s="25"/>
      <c r="E5413" s="10"/>
      <c r="O5413" s="10"/>
      <c r="V5413" s="10"/>
    </row>
    <row r="5414" spans="2:22" x14ac:dyDescent="0.2">
      <c r="B5414" s="25"/>
      <c r="E5414" s="10"/>
      <c r="O5414" s="10"/>
      <c r="V5414" s="10"/>
    </row>
    <row r="5415" spans="2:22" x14ac:dyDescent="0.2">
      <c r="B5415" s="25"/>
      <c r="E5415" s="10"/>
      <c r="O5415" s="10"/>
      <c r="V5415" s="10"/>
    </row>
    <row r="5416" spans="2:22" x14ac:dyDescent="0.2">
      <c r="B5416" s="25"/>
      <c r="E5416" s="10"/>
      <c r="O5416" s="10"/>
      <c r="V5416" s="10"/>
    </row>
    <row r="5417" spans="2:22" x14ac:dyDescent="0.2">
      <c r="B5417" s="25"/>
      <c r="E5417" s="10"/>
      <c r="O5417" s="10"/>
      <c r="V5417" s="10"/>
    </row>
    <row r="5418" spans="2:22" x14ac:dyDescent="0.2">
      <c r="B5418" s="25"/>
      <c r="E5418" s="10"/>
      <c r="O5418" s="10"/>
      <c r="V5418" s="10"/>
    </row>
    <row r="5419" spans="2:22" x14ac:dyDescent="0.2">
      <c r="B5419" s="25"/>
      <c r="E5419" s="10"/>
      <c r="O5419" s="10"/>
      <c r="V5419" s="10"/>
    </row>
    <row r="5420" spans="2:22" x14ac:dyDescent="0.2">
      <c r="B5420" s="25"/>
      <c r="E5420" s="10"/>
      <c r="O5420" s="10"/>
      <c r="V5420" s="10"/>
    </row>
    <row r="5421" spans="2:22" x14ac:dyDescent="0.2">
      <c r="B5421" s="25"/>
      <c r="E5421" s="10"/>
      <c r="O5421" s="10"/>
      <c r="V5421" s="10"/>
    </row>
    <row r="5422" spans="2:22" x14ac:dyDescent="0.2">
      <c r="B5422" s="25"/>
      <c r="E5422" s="10"/>
      <c r="O5422" s="10"/>
      <c r="V5422" s="10"/>
    </row>
    <row r="5423" spans="2:22" x14ac:dyDescent="0.2">
      <c r="B5423" s="25"/>
      <c r="E5423" s="10"/>
      <c r="O5423" s="10"/>
      <c r="V5423" s="10"/>
    </row>
    <row r="5424" spans="2:22" x14ac:dyDescent="0.2">
      <c r="B5424" s="25"/>
      <c r="E5424" s="10"/>
      <c r="O5424" s="10"/>
      <c r="V5424" s="10"/>
    </row>
    <row r="5425" spans="2:22" x14ac:dyDescent="0.2">
      <c r="B5425" s="25"/>
      <c r="E5425" s="10"/>
      <c r="O5425" s="10"/>
      <c r="V5425" s="10"/>
    </row>
    <row r="5426" spans="2:22" x14ac:dyDescent="0.2">
      <c r="B5426" s="25"/>
      <c r="E5426" s="10"/>
      <c r="O5426" s="10"/>
      <c r="V5426" s="10"/>
    </row>
    <row r="5427" spans="2:22" x14ac:dyDescent="0.2">
      <c r="B5427" s="25"/>
      <c r="E5427" s="10"/>
      <c r="O5427" s="10"/>
      <c r="V5427" s="10"/>
    </row>
    <row r="5428" spans="2:22" x14ac:dyDescent="0.2">
      <c r="B5428" s="25"/>
      <c r="E5428" s="10"/>
      <c r="O5428" s="10"/>
      <c r="V5428" s="10"/>
    </row>
    <row r="5429" spans="2:22" x14ac:dyDescent="0.2">
      <c r="B5429" s="25"/>
      <c r="E5429" s="10"/>
      <c r="O5429" s="10"/>
      <c r="V5429" s="10"/>
    </row>
    <row r="5430" spans="2:22" x14ac:dyDescent="0.2">
      <c r="B5430" s="25"/>
      <c r="E5430" s="10"/>
      <c r="O5430" s="10"/>
      <c r="V5430" s="10"/>
    </row>
    <row r="5431" spans="2:22" x14ac:dyDescent="0.2">
      <c r="B5431" s="25"/>
      <c r="E5431" s="10"/>
      <c r="O5431" s="10"/>
      <c r="V5431" s="10"/>
    </row>
    <row r="5432" spans="2:22" x14ac:dyDescent="0.2">
      <c r="B5432" s="25"/>
      <c r="E5432" s="10"/>
      <c r="O5432" s="10"/>
      <c r="V5432" s="10"/>
    </row>
    <row r="5433" spans="2:22" x14ac:dyDescent="0.2">
      <c r="B5433" s="25"/>
      <c r="E5433" s="10"/>
      <c r="O5433" s="10"/>
      <c r="V5433" s="10"/>
    </row>
    <row r="5434" spans="2:22" x14ac:dyDescent="0.2">
      <c r="B5434" s="25"/>
      <c r="E5434" s="10"/>
      <c r="O5434" s="10"/>
      <c r="V5434" s="10"/>
    </row>
    <row r="5435" spans="2:22" x14ac:dyDescent="0.2">
      <c r="B5435" s="25"/>
      <c r="E5435" s="10"/>
      <c r="O5435" s="10"/>
      <c r="V5435" s="10"/>
    </row>
    <row r="5436" spans="2:22" x14ac:dyDescent="0.2">
      <c r="B5436" s="25"/>
      <c r="E5436" s="10"/>
      <c r="O5436" s="10"/>
      <c r="V5436" s="10"/>
    </row>
    <row r="5437" spans="2:22" x14ac:dyDescent="0.2">
      <c r="B5437" s="25"/>
      <c r="E5437" s="10"/>
      <c r="O5437" s="10"/>
      <c r="V5437" s="10"/>
    </row>
    <row r="5438" spans="2:22" x14ac:dyDescent="0.2">
      <c r="B5438" s="25"/>
      <c r="E5438" s="10"/>
      <c r="O5438" s="10"/>
      <c r="V5438" s="10"/>
    </row>
    <row r="5439" spans="2:22" x14ac:dyDescent="0.2">
      <c r="B5439" s="25"/>
      <c r="E5439" s="10"/>
      <c r="O5439" s="10"/>
      <c r="V5439" s="10"/>
    </row>
    <row r="5440" spans="2:22" x14ac:dyDescent="0.2">
      <c r="B5440" s="25"/>
      <c r="E5440" s="10"/>
      <c r="O5440" s="10"/>
      <c r="V5440" s="10"/>
    </row>
    <row r="5441" spans="2:22" x14ac:dyDescent="0.2">
      <c r="B5441" s="25"/>
      <c r="E5441" s="10"/>
      <c r="O5441" s="10"/>
      <c r="V5441" s="10"/>
    </row>
    <row r="5442" spans="2:22" x14ac:dyDescent="0.2">
      <c r="B5442" s="25"/>
      <c r="E5442" s="10"/>
      <c r="O5442" s="10"/>
      <c r="V5442" s="10"/>
    </row>
    <row r="5443" spans="2:22" x14ac:dyDescent="0.2">
      <c r="B5443" s="25"/>
      <c r="E5443" s="10"/>
      <c r="O5443" s="10"/>
      <c r="V5443" s="10"/>
    </row>
    <row r="5444" spans="2:22" x14ac:dyDescent="0.2">
      <c r="B5444" s="25"/>
      <c r="E5444" s="10"/>
      <c r="O5444" s="10"/>
      <c r="V5444" s="10"/>
    </row>
    <row r="5445" spans="2:22" x14ac:dyDescent="0.2">
      <c r="B5445" s="25"/>
      <c r="E5445" s="10"/>
      <c r="O5445" s="10"/>
      <c r="V5445" s="10"/>
    </row>
    <row r="5446" spans="2:22" x14ac:dyDescent="0.2">
      <c r="B5446" s="25"/>
      <c r="E5446" s="10"/>
      <c r="O5446" s="10"/>
      <c r="V5446" s="10"/>
    </row>
    <row r="5447" spans="2:22" x14ac:dyDescent="0.2">
      <c r="B5447" s="25"/>
      <c r="E5447" s="10"/>
      <c r="O5447" s="10"/>
      <c r="V5447" s="10"/>
    </row>
    <row r="5448" spans="2:22" x14ac:dyDescent="0.2">
      <c r="B5448" s="25"/>
      <c r="E5448" s="10"/>
      <c r="O5448" s="10"/>
      <c r="V5448" s="10"/>
    </row>
    <row r="5449" spans="2:22" x14ac:dyDescent="0.2">
      <c r="B5449" s="25"/>
      <c r="E5449" s="10"/>
      <c r="O5449" s="10"/>
      <c r="V5449" s="10"/>
    </row>
    <row r="5450" spans="2:22" x14ac:dyDescent="0.2">
      <c r="B5450" s="25"/>
      <c r="E5450" s="10"/>
      <c r="O5450" s="10"/>
      <c r="V5450" s="10"/>
    </row>
    <row r="5451" spans="2:22" x14ac:dyDescent="0.2">
      <c r="B5451" s="25"/>
      <c r="E5451" s="10"/>
      <c r="O5451" s="10"/>
      <c r="V5451" s="10"/>
    </row>
    <row r="5452" spans="2:22" x14ac:dyDescent="0.2">
      <c r="B5452" s="25"/>
      <c r="E5452" s="10"/>
      <c r="O5452" s="10"/>
      <c r="V5452" s="10"/>
    </row>
    <row r="5453" spans="2:22" x14ac:dyDescent="0.2">
      <c r="B5453" s="25"/>
      <c r="E5453" s="10"/>
      <c r="O5453" s="10"/>
      <c r="V5453" s="10"/>
    </row>
    <row r="5454" spans="2:22" x14ac:dyDescent="0.2">
      <c r="B5454" s="25"/>
      <c r="E5454" s="10"/>
      <c r="O5454" s="10"/>
      <c r="V5454" s="10"/>
    </row>
    <row r="5455" spans="2:22" x14ac:dyDescent="0.2">
      <c r="B5455" s="25"/>
      <c r="E5455" s="10"/>
      <c r="O5455" s="10"/>
      <c r="V5455" s="10"/>
    </row>
    <row r="5456" spans="2:22" x14ac:dyDescent="0.2">
      <c r="B5456" s="25"/>
      <c r="E5456" s="10"/>
      <c r="O5456" s="10"/>
      <c r="V5456" s="10"/>
    </row>
    <row r="5457" spans="2:22" x14ac:dyDescent="0.2">
      <c r="B5457" s="25"/>
      <c r="E5457" s="10"/>
      <c r="O5457" s="10"/>
      <c r="V5457" s="10"/>
    </row>
    <row r="5458" spans="2:22" x14ac:dyDescent="0.2">
      <c r="B5458" s="25"/>
      <c r="E5458" s="10"/>
      <c r="O5458" s="10"/>
      <c r="V5458" s="10"/>
    </row>
    <row r="5459" spans="2:22" x14ac:dyDescent="0.2">
      <c r="B5459" s="25"/>
      <c r="E5459" s="10"/>
      <c r="O5459" s="10"/>
      <c r="V5459" s="10"/>
    </row>
    <row r="5460" spans="2:22" x14ac:dyDescent="0.2">
      <c r="B5460" s="25"/>
      <c r="E5460" s="10"/>
      <c r="O5460" s="10"/>
      <c r="V5460" s="10"/>
    </row>
    <row r="5461" spans="2:22" x14ac:dyDescent="0.2">
      <c r="B5461" s="25"/>
      <c r="E5461" s="10"/>
      <c r="O5461" s="10"/>
      <c r="V5461" s="10"/>
    </row>
    <row r="5462" spans="2:22" x14ac:dyDescent="0.2">
      <c r="B5462" s="25"/>
      <c r="E5462" s="10"/>
      <c r="O5462" s="10"/>
      <c r="V5462" s="10"/>
    </row>
    <row r="5463" spans="2:22" x14ac:dyDescent="0.2">
      <c r="B5463" s="25"/>
      <c r="E5463" s="10"/>
      <c r="O5463" s="10"/>
      <c r="V5463" s="10"/>
    </row>
    <row r="5464" spans="2:22" x14ac:dyDescent="0.2">
      <c r="B5464" s="25"/>
      <c r="E5464" s="10"/>
      <c r="O5464" s="10"/>
      <c r="V5464" s="10"/>
    </row>
    <row r="5465" spans="2:22" x14ac:dyDescent="0.2">
      <c r="B5465" s="25"/>
      <c r="E5465" s="10"/>
      <c r="O5465" s="10"/>
      <c r="V5465" s="10"/>
    </row>
    <row r="5466" spans="2:22" x14ac:dyDescent="0.2">
      <c r="B5466" s="25"/>
      <c r="E5466" s="10"/>
      <c r="O5466" s="10"/>
      <c r="V5466" s="10"/>
    </row>
    <row r="5467" spans="2:22" x14ac:dyDescent="0.2">
      <c r="B5467" s="25"/>
      <c r="E5467" s="10"/>
      <c r="O5467" s="10"/>
      <c r="V5467" s="10"/>
    </row>
    <row r="5468" spans="2:22" x14ac:dyDescent="0.2">
      <c r="B5468" s="25"/>
      <c r="E5468" s="10"/>
      <c r="O5468" s="10"/>
      <c r="V5468" s="10"/>
    </row>
    <row r="5469" spans="2:22" x14ac:dyDescent="0.2">
      <c r="B5469" s="25"/>
      <c r="E5469" s="10"/>
      <c r="O5469" s="10"/>
      <c r="V5469" s="10"/>
    </row>
    <row r="5470" spans="2:22" x14ac:dyDescent="0.2">
      <c r="B5470" s="25"/>
      <c r="E5470" s="10"/>
      <c r="O5470" s="10"/>
      <c r="V5470" s="10"/>
    </row>
    <row r="5471" spans="2:22" x14ac:dyDescent="0.2">
      <c r="B5471" s="25"/>
      <c r="E5471" s="10"/>
      <c r="O5471" s="10"/>
      <c r="V5471" s="10"/>
    </row>
    <row r="5472" spans="2:22" x14ac:dyDescent="0.2">
      <c r="B5472" s="25"/>
      <c r="E5472" s="10"/>
      <c r="O5472" s="10"/>
      <c r="V5472" s="10"/>
    </row>
    <row r="5473" spans="2:22" x14ac:dyDescent="0.2">
      <c r="B5473" s="25"/>
      <c r="E5473" s="10"/>
      <c r="O5473" s="10"/>
      <c r="V5473" s="10"/>
    </row>
    <row r="5474" spans="2:22" x14ac:dyDescent="0.2">
      <c r="B5474" s="25"/>
      <c r="E5474" s="10"/>
      <c r="O5474" s="10"/>
      <c r="V5474" s="10"/>
    </row>
    <row r="5475" spans="2:22" x14ac:dyDescent="0.2">
      <c r="B5475" s="25"/>
      <c r="E5475" s="10"/>
      <c r="O5475" s="10"/>
      <c r="V5475" s="10"/>
    </row>
    <row r="5476" spans="2:22" x14ac:dyDescent="0.2">
      <c r="B5476" s="25"/>
      <c r="E5476" s="10"/>
      <c r="O5476" s="10"/>
      <c r="V5476" s="10"/>
    </row>
    <row r="5477" spans="2:22" x14ac:dyDescent="0.2">
      <c r="B5477" s="25"/>
      <c r="E5477" s="10"/>
      <c r="O5477" s="10"/>
      <c r="V5477" s="10"/>
    </row>
    <row r="5478" spans="2:22" x14ac:dyDescent="0.2">
      <c r="B5478" s="25"/>
      <c r="E5478" s="10"/>
      <c r="O5478" s="10"/>
      <c r="V5478" s="10"/>
    </row>
    <row r="5479" spans="2:22" x14ac:dyDescent="0.2">
      <c r="B5479" s="25"/>
      <c r="E5479" s="10"/>
      <c r="O5479" s="10"/>
      <c r="V5479" s="10"/>
    </row>
    <row r="5480" spans="2:22" x14ac:dyDescent="0.2">
      <c r="B5480" s="25"/>
      <c r="E5480" s="10"/>
      <c r="O5480" s="10"/>
      <c r="V5480" s="10"/>
    </row>
    <row r="5481" spans="2:22" x14ac:dyDescent="0.2">
      <c r="B5481" s="25"/>
      <c r="E5481" s="10"/>
      <c r="O5481" s="10"/>
      <c r="V5481" s="10"/>
    </row>
    <row r="5482" spans="2:22" x14ac:dyDescent="0.2">
      <c r="B5482" s="25"/>
      <c r="E5482" s="10"/>
      <c r="O5482" s="10"/>
      <c r="V5482" s="10"/>
    </row>
    <row r="5483" spans="2:22" x14ac:dyDescent="0.2">
      <c r="B5483" s="25"/>
      <c r="E5483" s="10"/>
      <c r="O5483" s="10"/>
      <c r="V5483" s="10"/>
    </row>
    <row r="5484" spans="2:22" x14ac:dyDescent="0.2">
      <c r="B5484" s="25"/>
      <c r="E5484" s="10"/>
      <c r="O5484" s="10"/>
      <c r="V5484" s="10"/>
    </row>
    <row r="5485" spans="2:22" x14ac:dyDescent="0.2">
      <c r="B5485" s="25"/>
      <c r="E5485" s="10"/>
      <c r="O5485" s="10"/>
      <c r="V5485" s="10"/>
    </row>
    <row r="5486" spans="2:22" x14ac:dyDescent="0.2">
      <c r="B5486" s="25"/>
      <c r="E5486" s="10"/>
      <c r="O5486" s="10"/>
      <c r="V5486" s="10"/>
    </row>
    <row r="5487" spans="2:22" x14ac:dyDescent="0.2">
      <c r="B5487" s="25"/>
      <c r="E5487" s="10"/>
      <c r="O5487" s="10"/>
      <c r="V5487" s="10"/>
    </row>
    <row r="5488" spans="2:22" x14ac:dyDescent="0.2">
      <c r="B5488" s="25"/>
      <c r="E5488" s="10"/>
      <c r="O5488" s="10"/>
      <c r="V5488" s="10"/>
    </row>
    <row r="5489" spans="2:22" x14ac:dyDescent="0.2">
      <c r="B5489" s="25"/>
      <c r="E5489" s="10"/>
      <c r="O5489" s="10"/>
      <c r="V5489" s="10"/>
    </row>
    <row r="5490" spans="2:22" x14ac:dyDescent="0.2">
      <c r="B5490" s="25"/>
      <c r="E5490" s="10"/>
      <c r="O5490" s="10"/>
      <c r="V5490" s="10"/>
    </row>
    <row r="5491" spans="2:22" x14ac:dyDescent="0.2">
      <c r="B5491" s="25"/>
      <c r="E5491" s="10"/>
      <c r="O5491" s="10"/>
      <c r="V5491" s="10"/>
    </row>
    <row r="5492" spans="2:22" x14ac:dyDescent="0.2">
      <c r="B5492" s="25"/>
      <c r="E5492" s="10"/>
      <c r="O5492" s="10"/>
      <c r="V5492" s="10"/>
    </row>
    <row r="5493" spans="2:22" x14ac:dyDescent="0.2">
      <c r="B5493" s="25"/>
      <c r="E5493" s="10"/>
      <c r="O5493" s="10"/>
      <c r="V5493" s="10"/>
    </row>
    <row r="5494" spans="2:22" x14ac:dyDescent="0.2">
      <c r="B5494" s="25"/>
      <c r="E5494" s="10"/>
      <c r="O5494" s="10"/>
      <c r="V5494" s="10"/>
    </row>
    <row r="5495" spans="2:22" x14ac:dyDescent="0.2">
      <c r="B5495" s="25"/>
      <c r="E5495" s="10"/>
      <c r="O5495" s="10"/>
      <c r="V5495" s="10"/>
    </row>
    <row r="5496" spans="2:22" x14ac:dyDescent="0.2">
      <c r="B5496" s="25"/>
      <c r="E5496" s="10"/>
      <c r="O5496" s="10"/>
      <c r="V5496" s="10"/>
    </row>
    <row r="5497" spans="2:22" x14ac:dyDescent="0.2">
      <c r="B5497" s="25"/>
      <c r="E5497" s="10"/>
      <c r="O5497" s="10"/>
      <c r="V5497" s="10"/>
    </row>
    <row r="5498" spans="2:22" x14ac:dyDescent="0.2">
      <c r="B5498" s="25"/>
      <c r="E5498" s="10"/>
      <c r="O5498" s="10"/>
      <c r="V5498" s="10"/>
    </row>
    <row r="5499" spans="2:22" x14ac:dyDescent="0.2">
      <c r="B5499" s="25"/>
      <c r="E5499" s="10"/>
      <c r="O5499" s="10"/>
      <c r="V5499" s="10"/>
    </row>
    <row r="5500" spans="2:22" x14ac:dyDescent="0.2">
      <c r="B5500" s="25"/>
      <c r="E5500" s="10"/>
      <c r="O5500" s="10"/>
      <c r="V5500" s="10"/>
    </row>
    <row r="5501" spans="2:22" x14ac:dyDescent="0.2">
      <c r="B5501" s="25"/>
      <c r="E5501" s="10"/>
      <c r="O5501" s="10"/>
      <c r="V5501" s="10"/>
    </row>
    <row r="5502" spans="2:22" x14ac:dyDescent="0.2">
      <c r="B5502" s="25"/>
      <c r="E5502" s="10"/>
      <c r="O5502" s="10"/>
      <c r="V5502" s="10"/>
    </row>
    <row r="5503" spans="2:22" x14ac:dyDescent="0.2">
      <c r="B5503" s="25"/>
      <c r="E5503" s="10"/>
      <c r="O5503" s="10"/>
      <c r="V5503" s="10"/>
    </row>
    <row r="5504" spans="2:22" x14ac:dyDescent="0.2">
      <c r="B5504" s="25"/>
      <c r="E5504" s="10"/>
      <c r="O5504" s="10"/>
      <c r="V5504" s="10"/>
    </row>
    <row r="5505" spans="2:22" x14ac:dyDescent="0.2">
      <c r="B5505" s="25"/>
      <c r="E5505" s="10"/>
      <c r="O5505" s="10"/>
      <c r="V5505" s="10"/>
    </row>
    <row r="5506" spans="2:22" x14ac:dyDescent="0.2">
      <c r="B5506" s="25"/>
      <c r="E5506" s="10"/>
      <c r="O5506" s="10"/>
      <c r="V5506" s="10"/>
    </row>
    <row r="5507" spans="2:22" x14ac:dyDescent="0.2">
      <c r="B5507" s="25"/>
      <c r="E5507" s="10"/>
      <c r="O5507" s="10"/>
      <c r="V5507" s="10"/>
    </row>
    <row r="5508" spans="2:22" x14ac:dyDescent="0.2">
      <c r="B5508" s="25"/>
      <c r="E5508" s="10"/>
      <c r="O5508" s="10"/>
      <c r="V5508" s="10"/>
    </row>
    <row r="5509" spans="2:22" x14ac:dyDescent="0.2">
      <c r="B5509" s="25"/>
      <c r="E5509" s="10"/>
      <c r="O5509" s="10"/>
      <c r="V5509" s="10"/>
    </row>
    <row r="5510" spans="2:22" x14ac:dyDescent="0.2">
      <c r="B5510" s="25"/>
      <c r="E5510" s="10"/>
      <c r="O5510" s="10"/>
      <c r="V5510" s="10"/>
    </row>
    <row r="5511" spans="2:22" x14ac:dyDescent="0.2">
      <c r="B5511" s="25"/>
      <c r="E5511" s="10"/>
      <c r="O5511" s="10"/>
      <c r="V5511" s="10"/>
    </row>
    <row r="5512" spans="2:22" x14ac:dyDescent="0.2">
      <c r="B5512" s="25"/>
      <c r="E5512" s="10"/>
      <c r="O5512" s="10"/>
      <c r="V5512" s="10"/>
    </row>
    <row r="5513" spans="2:22" x14ac:dyDescent="0.2">
      <c r="B5513" s="25"/>
      <c r="E5513" s="10"/>
      <c r="O5513" s="10"/>
      <c r="V5513" s="10"/>
    </row>
    <row r="5514" spans="2:22" x14ac:dyDescent="0.2">
      <c r="B5514" s="25"/>
      <c r="E5514" s="10"/>
      <c r="O5514" s="10"/>
      <c r="V5514" s="10"/>
    </row>
    <row r="5515" spans="2:22" x14ac:dyDescent="0.2">
      <c r="B5515" s="25"/>
      <c r="E5515" s="10"/>
      <c r="O5515" s="10"/>
      <c r="V5515" s="10"/>
    </row>
    <row r="5516" spans="2:22" x14ac:dyDescent="0.2">
      <c r="B5516" s="25"/>
      <c r="E5516" s="10"/>
      <c r="O5516" s="10"/>
      <c r="V5516" s="10"/>
    </row>
    <row r="5517" spans="2:22" x14ac:dyDescent="0.2">
      <c r="B5517" s="25"/>
      <c r="E5517" s="10"/>
      <c r="O5517" s="10"/>
      <c r="V5517" s="10"/>
    </row>
    <row r="5518" spans="2:22" x14ac:dyDescent="0.2">
      <c r="B5518" s="25"/>
      <c r="E5518" s="10"/>
      <c r="O5518" s="10"/>
      <c r="V5518" s="10"/>
    </row>
    <row r="5519" spans="2:22" x14ac:dyDescent="0.2">
      <c r="B5519" s="25"/>
      <c r="E5519" s="10"/>
      <c r="O5519" s="10"/>
      <c r="V5519" s="10"/>
    </row>
    <row r="5520" spans="2:22" x14ac:dyDescent="0.2">
      <c r="B5520" s="25"/>
      <c r="E5520" s="10"/>
      <c r="O5520" s="10"/>
      <c r="V5520" s="10"/>
    </row>
    <row r="5521" spans="2:22" x14ac:dyDescent="0.2">
      <c r="B5521" s="25"/>
      <c r="E5521" s="10"/>
      <c r="O5521" s="10"/>
      <c r="V5521" s="10"/>
    </row>
    <row r="5522" spans="2:22" x14ac:dyDescent="0.2">
      <c r="B5522" s="25"/>
      <c r="E5522" s="10"/>
      <c r="O5522" s="10"/>
      <c r="V5522" s="10"/>
    </row>
    <row r="5523" spans="2:22" x14ac:dyDescent="0.2">
      <c r="B5523" s="25"/>
      <c r="E5523" s="10"/>
      <c r="O5523" s="10"/>
      <c r="V5523" s="10"/>
    </row>
    <row r="5524" spans="2:22" x14ac:dyDescent="0.2">
      <c r="B5524" s="25"/>
      <c r="E5524" s="10"/>
      <c r="O5524" s="10"/>
      <c r="V5524" s="10"/>
    </row>
    <row r="5525" spans="2:22" x14ac:dyDescent="0.2">
      <c r="B5525" s="25"/>
      <c r="E5525" s="10"/>
      <c r="O5525" s="10"/>
      <c r="V5525" s="10"/>
    </row>
    <row r="5526" spans="2:22" x14ac:dyDescent="0.2">
      <c r="B5526" s="25"/>
      <c r="E5526" s="10"/>
      <c r="O5526" s="10"/>
      <c r="V5526" s="10"/>
    </row>
    <row r="5527" spans="2:22" x14ac:dyDescent="0.2">
      <c r="B5527" s="25"/>
      <c r="E5527" s="10"/>
      <c r="O5527" s="10"/>
      <c r="V5527" s="10"/>
    </row>
    <row r="5528" spans="2:22" x14ac:dyDescent="0.2">
      <c r="B5528" s="25"/>
      <c r="E5528" s="10"/>
      <c r="O5528" s="10"/>
      <c r="V5528" s="10"/>
    </row>
    <row r="5529" spans="2:22" x14ac:dyDescent="0.2">
      <c r="B5529" s="25"/>
      <c r="E5529" s="10"/>
      <c r="O5529" s="10"/>
      <c r="V5529" s="10"/>
    </row>
    <row r="5530" spans="2:22" x14ac:dyDescent="0.2">
      <c r="B5530" s="25"/>
      <c r="E5530" s="10"/>
      <c r="O5530" s="10"/>
      <c r="V5530" s="10"/>
    </row>
    <row r="5531" spans="2:22" x14ac:dyDescent="0.2">
      <c r="B5531" s="25"/>
      <c r="E5531" s="10"/>
      <c r="O5531" s="10"/>
      <c r="V5531" s="10"/>
    </row>
    <row r="5532" spans="2:22" x14ac:dyDescent="0.2">
      <c r="B5532" s="25"/>
      <c r="E5532" s="10"/>
      <c r="O5532" s="10"/>
      <c r="V5532" s="10"/>
    </row>
    <row r="5533" spans="2:22" x14ac:dyDescent="0.2">
      <c r="B5533" s="25"/>
      <c r="E5533" s="10"/>
      <c r="O5533" s="10"/>
      <c r="V5533" s="10"/>
    </row>
    <row r="5534" spans="2:22" x14ac:dyDescent="0.2">
      <c r="B5534" s="25"/>
      <c r="E5534" s="10"/>
      <c r="O5534" s="10"/>
      <c r="V5534" s="10"/>
    </row>
    <row r="5535" spans="2:22" x14ac:dyDescent="0.2">
      <c r="B5535" s="25"/>
      <c r="E5535" s="10"/>
      <c r="O5535" s="10"/>
      <c r="V5535" s="10"/>
    </row>
    <row r="5536" spans="2:22" x14ac:dyDescent="0.2">
      <c r="B5536" s="25"/>
      <c r="E5536" s="10"/>
      <c r="O5536" s="10"/>
      <c r="V5536" s="10"/>
    </row>
    <row r="5537" spans="2:22" x14ac:dyDescent="0.2">
      <c r="B5537" s="25"/>
      <c r="E5537" s="10"/>
      <c r="O5537" s="10"/>
      <c r="V5537" s="10"/>
    </row>
    <row r="5538" spans="2:22" x14ac:dyDescent="0.2">
      <c r="B5538" s="25"/>
      <c r="E5538" s="10"/>
      <c r="O5538" s="10"/>
      <c r="V5538" s="10"/>
    </row>
    <row r="5539" spans="2:22" x14ac:dyDescent="0.2">
      <c r="B5539" s="25"/>
      <c r="E5539" s="10"/>
      <c r="O5539" s="10"/>
      <c r="V5539" s="10"/>
    </row>
    <row r="5540" spans="2:22" x14ac:dyDescent="0.2">
      <c r="B5540" s="25"/>
      <c r="E5540" s="10"/>
      <c r="O5540" s="10"/>
      <c r="V5540" s="10"/>
    </row>
    <row r="5541" spans="2:22" x14ac:dyDescent="0.2">
      <c r="B5541" s="25"/>
      <c r="E5541" s="10"/>
      <c r="O5541" s="10"/>
      <c r="V5541" s="10"/>
    </row>
    <row r="5542" spans="2:22" x14ac:dyDescent="0.2">
      <c r="B5542" s="25"/>
      <c r="E5542" s="10"/>
      <c r="O5542" s="10"/>
      <c r="V5542" s="10"/>
    </row>
    <row r="5543" spans="2:22" x14ac:dyDescent="0.2">
      <c r="B5543" s="25"/>
      <c r="E5543" s="10"/>
      <c r="O5543" s="10"/>
      <c r="V5543" s="10"/>
    </row>
    <row r="5544" spans="2:22" x14ac:dyDescent="0.2">
      <c r="B5544" s="25"/>
      <c r="E5544" s="10"/>
      <c r="O5544" s="10"/>
      <c r="V5544" s="10"/>
    </row>
    <row r="5545" spans="2:22" x14ac:dyDescent="0.2">
      <c r="B5545" s="25"/>
      <c r="E5545" s="10"/>
      <c r="O5545" s="10"/>
      <c r="V5545" s="10"/>
    </row>
    <row r="5546" spans="2:22" x14ac:dyDescent="0.2">
      <c r="B5546" s="25"/>
      <c r="E5546" s="10"/>
      <c r="O5546" s="10"/>
      <c r="V5546" s="10"/>
    </row>
    <row r="5547" spans="2:22" x14ac:dyDescent="0.2">
      <c r="B5547" s="25"/>
      <c r="E5547" s="10"/>
      <c r="O5547" s="10"/>
      <c r="V5547" s="10"/>
    </row>
    <row r="5548" spans="2:22" x14ac:dyDescent="0.2">
      <c r="B5548" s="25"/>
      <c r="E5548" s="10"/>
      <c r="O5548" s="10"/>
      <c r="V5548" s="10"/>
    </row>
    <row r="5549" spans="2:22" x14ac:dyDescent="0.2">
      <c r="B5549" s="25"/>
      <c r="E5549" s="10"/>
      <c r="O5549" s="10"/>
      <c r="V5549" s="10"/>
    </row>
    <row r="5550" spans="2:22" x14ac:dyDescent="0.2">
      <c r="B5550" s="25"/>
      <c r="E5550" s="10"/>
      <c r="O5550" s="10"/>
      <c r="V5550" s="10"/>
    </row>
    <row r="5551" spans="2:22" x14ac:dyDescent="0.2">
      <c r="B5551" s="25"/>
      <c r="E5551" s="10"/>
      <c r="O5551" s="10"/>
      <c r="V5551" s="10"/>
    </row>
    <row r="5552" spans="2:22" x14ac:dyDescent="0.2">
      <c r="B5552" s="25"/>
      <c r="E5552" s="10"/>
      <c r="O5552" s="10"/>
      <c r="V5552" s="10"/>
    </row>
    <row r="5553" spans="2:22" x14ac:dyDescent="0.2">
      <c r="B5553" s="25"/>
      <c r="E5553" s="10"/>
      <c r="O5553" s="10"/>
      <c r="V5553" s="10"/>
    </row>
    <row r="5554" spans="2:22" x14ac:dyDescent="0.2">
      <c r="B5554" s="25"/>
      <c r="E5554" s="10"/>
      <c r="O5554" s="10"/>
      <c r="V5554" s="10"/>
    </row>
    <row r="5555" spans="2:22" x14ac:dyDescent="0.2">
      <c r="B5555" s="25"/>
      <c r="E5555" s="10"/>
      <c r="O5555" s="10"/>
      <c r="V5555" s="10"/>
    </row>
    <row r="5556" spans="2:22" x14ac:dyDescent="0.2">
      <c r="B5556" s="25"/>
      <c r="E5556" s="10"/>
      <c r="O5556" s="10"/>
      <c r="V5556" s="10"/>
    </row>
    <row r="5557" spans="2:22" x14ac:dyDescent="0.2">
      <c r="B5557" s="25"/>
      <c r="E5557" s="10"/>
      <c r="O5557" s="10"/>
      <c r="V5557" s="10"/>
    </row>
    <row r="5558" spans="2:22" x14ac:dyDescent="0.2">
      <c r="B5558" s="25"/>
      <c r="E5558" s="10"/>
      <c r="O5558" s="10"/>
      <c r="V5558" s="10"/>
    </row>
    <row r="5559" spans="2:22" x14ac:dyDescent="0.2">
      <c r="B5559" s="25"/>
      <c r="E5559" s="10"/>
      <c r="O5559" s="10"/>
      <c r="V5559" s="10"/>
    </row>
    <row r="5560" spans="2:22" x14ac:dyDescent="0.2">
      <c r="B5560" s="25"/>
      <c r="E5560" s="10"/>
      <c r="O5560" s="10"/>
      <c r="V5560" s="10"/>
    </row>
    <row r="5561" spans="2:22" x14ac:dyDescent="0.2">
      <c r="B5561" s="25"/>
      <c r="E5561" s="10"/>
      <c r="O5561" s="10"/>
      <c r="V5561" s="10"/>
    </row>
    <row r="5562" spans="2:22" x14ac:dyDescent="0.2">
      <c r="B5562" s="25"/>
      <c r="E5562" s="10"/>
      <c r="O5562" s="10"/>
      <c r="V5562" s="10"/>
    </row>
    <row r="5563" spans="2:22" x14ac:dyDescent="0.2">
      <c r="B5563" s="25"/>
      <c r="E5563" s="10"/>
      <c r="O5563" s="10"/>
      <c r="V5563" s="10"/>
    </row>
    <row r="5564" spans="2:22" x14ac:dyDescent="0.2">
      <c r="B5564" s="25"/>
      <c r="E5564" s="10"/>
      <c r="O5564" s="10"/>
      <c r="V5564" s="10"/>
    </row>
    <row r="5565" spans="2:22" x14ac:dyDescent="0.2">
      <c r="B5565" s="25"/>
      <c r="E5565" s="10"/>
      <c r="O5565" s="10"/>
      <c r="V5565" s="10"/>
    </row>
    <row r="5566" spans="2:22" x14ac:dyDescent="0.2">
      <c r="B5566" s="25"/>
      <c r="E5566" s="10"/>
      <c r="O5566" s="10"/>
      <c r="V5566" s="10"/>
    </row>
    <row r="5567" spans="2:22" x14ac:dyDescent="0.2">
      <c r="B5567" s="25"/>
      <c r="E5567" s="10"/>
      <c r="O5567" s="10"/>
      <c r="V5567" s="10"/>
    </row>
    <row r="5568" spans="2:22" x14ac:dyDescent="0.2">
      <c r="B5568" s="25"/>
      <c r="E5568" s="10"/>
      <c r="O5568" s="10"/>
      <c r="V5568" s="10"/>
    </row>
    <row r="5569" spans="2:22" x14ac:dyDescent="0.2">
      <c r="B5569" s="25"/>
      <c r="E5569" s="10"/>
      <c r="O5569" s="10"/>
      <c r="V5569" s="10"/>
    </row>
    <row r="5570" spans="2:22" x14ac:dyDescent="0.2">
      <c r="B5570" s="25"/>
      <c r="E5570" s="10"/>
      <c r="O5570" s="10"/>
      <c r="V5570" s="10"/>
    </row>
    <row r="5571" spans="2:22" x14ac:dyDescent="0.2">
      <c r="B5571" s="25"/>
      <c r="E5571" s="10"/>
      <c r="O5571" s="10"/>
      <c r="V5571" s="10"/>
    </row>
    <row r="5572" spans="2:22" x14ac:dyDescent="0.2">
      <c r="B5572" s="25"/>
      <c r="E5572" s="10"/>
      <c r="O5572" s="10"/>
      <c r="V5572" s="10"/>
    </row>
    <row r="5573" spans="2:22" x14ac:dyDescent="0.2">
      <c r="B5573" s="25"/>
      <c r="E5573" s="10"/>
      <c r="O5573" s="10"/>
      <c r="V5573" s="10"/>
    </row>
    <row r="5574" spans="2:22" x14ac:dyDescent="0.2">
      <c r="B5574" s="25"/>
      <c r="E5574" s="10"/>
      <c r="O5574" s="10"/>
      <c r="V5574" s="10"/>
    </row>
    <row r="5575" spans="2:22" x14ac:dyDescent="0.2">
      <c r="B5575" s="25"/>
      <c r="E5575" s="10"/>
      <c r="O5575" s="10"/>
      <c r="V5575" s="10"/>
    </row>
    <row r="5576" spans="2:22" x14ac:dyDescent="0.2">
      <c r="B5576" s="25"/>
      <c r="E5576" s="10"/>
      <c r="O5576" s="10"/>
      <c r="V5576" s="10"/>
    </row>
    <row r="5577" spans="2:22" x14ac:dyDescent="0.2">
      <c r="B5577" s="25"/>
      <c r="E5577" s="10"/>
      <c r="O5577" s="10"/>
      <c r="V5577" s="10"/>
    </row>
    <row r="5578" spans="2:22" x14ac:dyDescent="0.2">
      <c r="B5578" s="25"/>
      <c r="E5578" s="10"/>
      <c r="O5578" s="10"/>
      <c r="V5578" s="10"/>
    </row>
    <row r="5579" spans="2:22" x14ac:dyDescent="0.2">
      <c r="B5579" s="25"/>
      <c r="E5579" s="10"/>
      <c r="O5579" s="10"/>
      <c r="V5579" s="10"/>
    </row>
    <row r="5580" spans="2:22" x14ac:dyDescent="0.2">
      <c r="B5580" s="25"/>
      <c r="E5580" s="10"/>
      <c r="O5580" s="10"/>
      <c r="V5580" s="10"/>
    </row>
    <row r="5581" spans="2:22" x14ac:dyDescent="0.2">
      <c r="B5581" s="25"/>
      <c r="E5581" s="10"/>
      <c r="O5581" s="10"/>
      <c r="V5581" s="10"/>
    </row>
    <row r="5582" spans="2:22" x14ac:dyDescent="0.2">
      <c r="B5582" s="25"/>
      <c r="E5582" s="10"/>
      <c r="O5582" s="10"/>
      <c r="V5582" s="10"/>
    </row>
    <row r="5583" spans="2:22" x14ac:dyDescent="0.2">
      <c r="B5583" s="25"/>
      <c r="E5583" s="10"/>
      <c r="O5583" s="10"/>
      <c r="V5583" s="10"/>
    </row>
    <row r="5584" spans="2:22" x14ac:dyDescent="0.2">
      <c r="B5584" s="25"/>
      <c r="E5584" s="10"/>
      <c r="O5584" s="10"/>
      <c r="V5584" s="10"/>
    </row>
    <row r="5585" spans="2:22" x14ac:dyDescent="0.2">
      <c r="B5585" s="25"/>
      <c r="E5585" s="10"/>
      <c r="O5585" s="10"/>
      <c r="V5585" s="10"/>
    </row>
    <row r="5586" spans="2:22" x14ac:dyDescent="0.2">
      <c r="B5586" s="25"/>
      <c r="E5586" s="10"/>
      <c r="O5586" s="10"/>
      <c r="V5586" s="10"/>
    </row>
    <row r="5587" spans="2:22" x14ac:dyDescent="0.2">
      <c r="B5587" s="25"/>
      <c r="E5587" s="10"/>
      <c r="O5587" s="10"/>
      <c r="V5587" s="10"/>
    </row>
    <row r="5588" spans="2:22" x14ac:dyDescent="0.2">
      <c r="B5588" s="25"/>
      <c r="E5588" s="10"/>
      <c r="O5588" s="10"/>
      <c r="V5588" s="10"/>
    </row>
    <row r="5589" spans="2:22" x14ac:dyDescent="0.2">
      <c r="B5589" s="25"/>
      <c r="E5589" s="10"/>
      <c r="O5589" s="10"/>
      <c r="V5589" s="10"/>
    </row>
    <row r="5590" spans="2:22" x14ac:dyDescent="0.2">
      <c r="B5590" s="25"/>
      <c r="E5590" s="10"/>
      <c r="O5590" s="10"/>
      <c r="V5590" s="10"/>
    </row>
    <row r="5591" spans="2:22" x14ac:dyDescent="0.2">
      <c r="B5591" s="25"/>
      <c r="E5591" s="10"/>
      <c r="O5591" s="10"/>
      <c r="V5591" s="10"/>
    </row>
    <row r="5592" spans="2:22" x14ac:dyDescent="0.2">
      <c r="B5592" s="25"/>
      <c r="E5592" s="10"/>
      <c r="O5592" s="10"/>
      <c r="V5592" s="10"/>
    </row>
    <row r="5593" spans="2:22" x14ac:dyDescent="0.2">
      <c r="B5593" s="25"/>
      <c r="E5593" s="10"/>
      <c r="O5593" s="10"/>
      <c r="V5593" s="10"/>
    </row>
    <row r="5594" spans="2:22" x14ac:dyDescent="0.2">
      <c r="B5594" s="25"/>
      <c r="E5594" s="10"/>
      <c r="O5594" s="10"/>
      <c r="V5594" s="10"/>
    </row>
    <row r="5595" spans="2:22" x14ac:dyDescent="0.2">
      <c r="B5595" s="25"/>
      <c r="E5595" s="10"/>
      <c r="O5595" s="10"/>
      <c r="V5595" s="10"/>
    </row>
    <row r="5596" spans="2:22" x14ac:dyDescent="0.2">
      <c r="B5596" s="25"/>
      <c r="E5596" s="10"/>
      <c r="O5596" s="10"/>
      <c r="V5596" s="10"/>
    </row>
    <row r="5597" spans="2:22" x14ac:dyDescent="0.2">
      <c r="B5597" s="25"/>
      <c r="E5597" s="10"/>
      <c r="O5597" s="10"/>
      <c r="V5597" s="10"/>
    </row>
    <row r="5598" spans="2:22" x14ac:dyDescent="0.2">
      <c r="B5598" s="25"/>
      <c r="E5598" s="10"/>
      <c r="O5598" s="10"/>
      <c r="V5598" s="10"/>
    </row>
    <row r="5599" spans="2:22" x14ac:dyDescent="0.2">
      <c r="B5599" s="25"/>
      <c r="E5599" s="10"/>
      <c r="O5599" s="10"/>
      <c r="V5599" s="10"/>
    </row>
    <row r="5600" spans="2:22" x14ac:dyDescent="0.2">
      <c r="B5600" s="25"/>
      <c r="E5600" s="10"/>
      <c r="O5600" s="10"/>
      <c r="V5600" s="10"/>
    </row>
    <row r="5601" spans="2:22" x14ac:dyDescent="0.2">
      <c r="B5601" s="25"/>
      <c r="E5601" s="10"/>
      <c r="O5601" s="10"/>
      <c r="V5601" s="10"/>
    </row>
    <row r="5602" spans="2:22" x14ac:dyDescent="0.2">
      <c r="B5602" s="25"/>
      <c r="E5602" s="10"/>
      <c r="O5602" s="10"/>
      <c r="V5602" s="10"/>
    </row>
    <row r="5603" spans="2:22" x14ac:dyDescent="0.2">
      <c r="B5603" s="25"/>
      <c r="E5603" s="10"/>
      <c r="O5603" s="10"/>
      <c r="V5603" s="10"/>
    </row>
    <row r="5604" spans="2:22" x14ac:dyDescent="0.2">
      <c r="B5604" s="25"/>
      <c r="E5604" s="10"/>
      <c r="O5604" s="10"/>
      <c r="V5604" s="10"/>
    </row>
    <row r="5605" spans="2:22" x14ac:dyDescent="0.2">
      <c r="B5605" s="25"/>
      <c r="E5605" s="10"/>
      <c r="O5605" s="10"/>
      <c r="V5605" s="10"/>
    </row>
    <row r="5606" spans="2:22" x14ac:dyDescent="0.2">
      <c r="B5606" s="25"/>
      <c r="E5606" s="10"/>
      <c r="O5606" s="10"/>
      <c r="V5606" s="10"/>
    </row>
    <row r="5607" spans="2:22" x14ac:dyDescent="0.2">
      <c r="B5607" s="25"/>
      <c r="E5607" s="10"/>
      <c r="O5607" s="10"/>
      <c r="V5607" s="10"/>
    </row>
    <row r="5608" spans="2:22" x14ac:dyDescent="0.2">
      <c r="B5608" s="25"/>
      <c r="E5608" s="10"/>
      <c r="O5608" s="10"/>
      <c r="V5608" s="10"/>
    </row>
    <row r="5609" spans="2:22" x14ac:dyDescent="0.2">
      <c r="B5609" s="25"/>
      <c r="E5609" s="10"/>
      <c r="O5609" s="10"/>
      <c r="V5609" s="10"/>
    </row>
    <row r="5610" spans="2:22" x14ac:dyDescent="0.2">
      <c r="B5610" s="25"/>
      <c r="E5610" s="10"/>
      <c r="O5610" s="10"/>
      <c r="V5610" s="10"/>
    </row>
    <row r="5611" spans="2:22" x14ac:dyDescent="0.2">
      <c r="B5611" s="25"/>
      <c r="E5611" s="10"/>
      <c r="O5611" s="10"/>
      <c r="V5611" s="10"/>
    </row>
    <row r="5612" spans="2:22" x14ac:dyDescent="0.2">
      <c r="B5612" s="25"/>
      <c r="E5612" s="10"/>
      <c r="O5612" s="10"/>
      <c r="V5612" s="10"/>
    </row>
    <row r="5613" spans="2:22" x14ac:dyDescent="0.2">
      <c r="B5613" s="25"/>
      <c r="E5613" s="10"/>
      <c r="O5613" s="10"/>
      <c r="V5613" s="10"/>
    </row>
    <row r="5614" spans="2:22" x14ac:dyDescent="0.2">
      <c r="B5614" s="25"/>
      <c r="E5614" s="10"/>
      <c r="O5614" s="10"/>
      <c r="V5614" s="10"/>
    </row>
    <row r="5615" spans="2:22" x14ac:dyDescent="0.2">
      <c r="B5615" s="25"/>
      <c r="E5615" s="10"/>
      <c r="O5615" s="10"/>
      <c r="V5615" s="10"/>
    </row>
    <row r="5616" spans="2:22" x14ac:dyDescent="0.2">
      <c r="B5616" s="25"/>
      <c r="E5616" s="10"/>
      <c r="O5616" s="10"/>
      <c r="V5616" s="10"/>
    </row>
    <row r="5617" spans="2:22" x14ac:dyDescent="0.2">
      <c r="B5617" s="25"/>
      <c r="E5617" s="10"/>
      <c r="O5617" s="10"/>
      <c r="V5617" s="10"/>
    </row>
    <row r="5618" spans="2:22" x14ac:dyDescent="0.2">
      <c r="B5618" s="25"/>
      <c r="E5618" s="10"/>
      <c r="O5618" s="10"/>
      <c r="V5618" s="10"/>
    </row>
    <row r="5619" spans="2:22" x14ac:dyDescent="0.2">
      <c r="B5619" s="25"/>
      <c r="E5619" s="10"/>
      <c r="O5619" s="10"/>
      <c r="V5619" s="10"/>
    </row>
    <row r="5620" spans="2:22" x14ac:dyDescent="0.2">
      <c r="B5620" s="25"/>
      <c r="E5620" s="10"/>
      <c r="O5620" s="10"/>
      <c r="V5620" s="10"/>
    </row>
    <row r="5621" spans="2:22" x14ac:dyDescent="0.2">
      <c r="B5621" s="25"/>
      <c r="E5621" s="10"/>
      <c r="O5621" s="10"/>
      <c r="V5621" s="10"/>
    </row>
    <row r="5622" spans="2:22" x14ac:dyDescent="0.2">
      <c r="B5622" s="25"/>
      <c r="E5622" s="10"/>
      <c r="O5622" s="10"/>
      <c r="V5622" s="10"/>
    </row>
    <row r="5623" spans="2:22" x14ac:dyDescent="0.2">
      <c r="B5623" s="25"/>
      <c r="E5623" s="10"/>
      <c r="O5623" s="10"/>
      <c r="V5623" s="10"/>
    </row>
    <row r="5624" spans="2:22" x14ac:dyDescent="0.2">
      <c r="B5624" s="25"/>
      <c r="E5624" s="10"/>
      <c r="O5624" s="10"/>
      <c r="V5624" s="10"/>
    </row>
    <row r="5625" spans="2:22" x14ac:dyDescent="0.2">
      <c r="B5625" s="25"/>
      <c r="E5625" s="10"/>
      <c r="O5625" s="10"/>
      <c r="V5625" s="10"/>
    </row>
    <row r="5626" spans="2:22" x14ac:dyDescent="0.2">
      <c r="B5626" s="25"/>
      <c r="E5626" s="10"/>
      <c r="O5626" s="10"/>
      <c r="V5626" s="10"/>
    </row>
    <row r="5627" spans="2:22" x14ac:dyDescent="0.2">
      <c r="B5627" s="25"/>
      <c r="E5627" s="10"/>
      <c r="O5627" s="10"/>
      <c r="V5627" s="10"/>
    </row>
    <row r="5628" spans="2:22" x14ac:dyDescent="0.2">
      <c r="B5628" s="25"/>
      <c r="E5628" s="10"/>
      <c r="O5628" s="10"/>
      <c r="V5628" s="10"/>
    </row>
    <row r="5629" spans="2:22" x14ac:dyDescent="0.2">
      <c r="B5629" s="25"/>
      <c r="E5629" s="10"/>
      <c r="O5629" s="10"/>
      <c r="V5629" s="10"/>
    </row>
    <row r="5630" spans="2:22" x14ac:dyDescent="0.2">
      <c r="B5630" s="25"/>
      <c r="E5630" s="10"/>
      <c r="O5630" s="10"/>
      <c r="V5630" s="10"/>
    </row>
    <row r="5631" spans="2:22" x14ac:dyDescent="0.2">
      <c r="B5631" s="25"/>
      <c r="E5631" s="10"/>
      <c r="O5631" s="10"/>
      <c r="V5631" s="10"/>
    </row>
    <row r="5632" spans="2:22" x14ac:dyDescent="0.2">
      <c r="B5632" s="25"/>
      <c r="E5632" s="10"/>
      <c r="O5632" s="10"/>
      <c r="V5632" s="10"/>
    </row>
    <row r="5633" spans="2:22" x14ac:dyDescent="0.2">
      <c r="B5633" s="25"/>
      <c r="E5633" s="10"/>
      <c r="O5633" s="10"/>
      <c r="V5633" s="10"/>
    </row>
    <row r="5634" spans="2:22" x14ac:dyDescent="0.2">
      <c r="B5634" s="25"/>
      <c r="E5634" s="10"/>
      <c r="O5634" s="10"/>
      <c r="V5634" s="10"/>
    </row>
    <row r="5635" spans="2:22" x14ac:dyDescent="0.2">
      <c r="B5635" s="25"/>
      <c r="E5635" s="10"/>
      <c r="O5635" s="10"/>
      <c r="V5635" s="10"/>
    </row>
    <row r="5636" spans="2:22" x14ac:dyDescent="0.2">
      <c r="B5636" s="25"/>
      <c r="E5636" s="10"/>
      <c r="O5636" s="10"/>
      <c r="V5636" s="10"/>
    </row>
    <row r="5637" spans="2:22" x14ac:dyDescent="0.2">
      <c r="B5637" s="25"/>
      <c r="E5637" s="10"/>
      <c r="O5637" s="10"/>
      <c r="V5637" s="10"/>
    </row>
    <row r="5638" spans="2:22" x14ac:dyDescent="0.2">
      <c r="B5638" s="25"/>
      <c r="E5638" s="10"/>
      <c r="O5638" s="10"/>
      <c r="V5638" s="10"/>
    </row>
    <row r="5639" spans="2:22" x14ac:dyDescent="0.2">
      <c r="B5639" s="25"/>
      <c r="E5639" s="10"/>
      <c r="O5639" s="10"/>
      <c r="V5639" s="10"/>
    </row>
    <row r="5640" spans="2:22" x14ac:dyDescent="0.2">
      <c r="B5640" s="25"/>
      <c r="E5640" s="10"/>
      <c r="O5640" s="10"/>
      <c r="V5640" s="10"/>
    </row>
    <row r="5641" spans="2:22" x14ac:dyDescent="0.2">
      <c r="B5641" s="25"/>
      <c r="E5641" s="10"/>
      <c r="O5641" s="10"/>
      <c r="V5641" s="10"/>
    </row>
    <row r="5642" spans="2:22" x14ac:dyDescent="0.2">
      <c r="B5642" s="25"/>
      <c r="E5642" s="10"/>
      <c r="O5642" s="10"/>
      <c r="V5642" s="10"/>
    </row>
    <row r="5643" spans="2:22" x14ac:dyDescent="0.2">
      <c r="B5643" s="25"/>
      <c r="E5643" s="10"/>
      <c r="O5643" s="10"/>
      <c r="V5643" s="10"/>
    </row>
    <row r="5644" spans="2:22" x14ac:dyDescent="0.2">
      <c r="B5644" s="25"/>
      <c r="E5644" s="10"/>
      <c r="O5644" s="10"/>
      <c r="V5644" s="10"/>
    </row>
    <row r="5645" spans="2:22" x14ac:dyDescent="0.2">
      <c r="B5645" s="25"/>
      <c r="E5645" s="10"/>
      <c r="O5645" s="10"/>
      <c r="V5645" s="10"/>
    </row>
    <row r="5646" spans="2:22" x14ac:dyDescent="0.2">
      <c r="B5646" s="25"/>
      <c r="E5646" s="10"/>
      <c r="O5646" s="10"/>
      <c r="V5646" s="10"/>
    </row>
    <row r="5647" spans="2:22" x14ac:dyDescent="0.2">
      <c r="B5647" s="25"/>
      <c r="E5647" s="10"/>
      <c r="O5647" s="10"/>
      <c r="V5647" s="10"/>
    </row>
    <row r="5648" spans="2:22" x14ac:dyDescent="0.2">
      <c r="B5648" s="25"/>
      <c r="E5648" s="10"/>
      <c r="O5648" s="10"/>
      <c r="V5648" s="10"/>
    </row>
    <row r="5649" spans="2:22" x14ac:dyDescent="0.2">
      <c r="B5649" s="25"/>
      <c r="E5649" s="10"/>
      <c r="O5649" s="10"/>
      <c r="V5649" s="10"/>
    </row>
    <row r="5650" spans="2:22" x14ac:dyDescent="0.2">
      <c r="B5650" s="25"/>
      <c r="E5650" s="10"/>
      <c r="O5650" s="10"/>
      <c r="V5650" s="10"/>
    </row>
    <row r="5651" spans="2:22" x14ac:dyDescent="0.2">
      <c r="B5651" s="25"/>
      <c r="E5651" s="10"/>
      <c r="O5651" s="10"/>
      <c r="V5651" s="10"/>
    </row>
    <row r="5652" spans="2:22" x14ac:dyDescent="0.2">
      <c r="B5652" s="25"/>
      <c r="E5652" s="10"/>
      <c r="O5652" s="10"/>
      <c r="V5652" s="10"/>
    </row>
    <row r="5653" spans="2:22" x14ac:dyDescent="0.2">
      <c r="B5653" s="25"/>
      <c r="E5653" s="10"/>
      <c r="O5653" s="10"/>
      <c r="V5653" s="10"/>
    </row>
    <row r="5654" spans="2:22" x14ac:dyDescent="0.2">
      <c r="B5654" s="25"/>
      <c r="E5654" s="10"/>
      <c r="O5654" s="10"/>
      <c r="V5654" s="10"/>
    </row>
    <row r="5655" spans="2:22" x14ac:dyDescent="0.2">
      <c r="B5655" s="25"/>
      <c r="E5655" s="10"/>
      <c r="O5655" s="10"/>
      <c r="V5655" s="10"/>
    </row>
    <row r="5656" spans="2:22" x14ac:dyDescent="0.2">
      <c r="B5656" s="25"/>
      <c r="E5656" s="10"/>
      <c r="O5656" s="10"/>
      <c r="V5656" s="10"/>
    </row>
    <row r="5657" spans="2:22" x14ac:dyDescent="0.2">
      <c r="B5657" s="25"/>
      <c r="E5657" s="10"/>
      <c r="O5657" s="10"/>
      <c r="V5657" s="10"/>
    </row>
    <row r="5658" spans="2:22" x14ac:dyDescent="0.2">
      <c r="B5658" s="25"/>
      <c r="E5658" s="10"/>
      <c r="O5658" s="10"/>
      <c r="V5658" s="10"/>
    </row>
    <row r="5659" spans="2:22" x14ac:dyDescent="0.2">
      <c r="B5659" s="25"/>
      <c r="E5659" s="10"/>
      <c r="O5659" s="10"/>
      <c r="V5659" s="10"/>
    </row>
    <row r="5660" spans="2:22" x14ac:dyDescent="0.2">
      <c r="B5660" s="25"/>
      <c r="E5660" s="10"/>
      <c r="O5660" s="10"/>
      <c r="V5660" s="10"/>
    </row>
    <row r="5661" spans="2:22" x14ac:dyDescent="0.2">
      <c r="B5661" s="25"/>
      <c r="E5661" s="10"/>
      <c r="O5661" s="10"/>
      <c r="V5661" s="10"/>
    </row>
    <row r="5662" spans="2:22" x14ac:dyDescent="0.2">
      <c r="B5662" s="25"/>
      <c r="E5662" s="10"/>
      <c r="O5662" s="10"/>
      <c r="V5662" s="10"/>
    </row>
    <row r="5663" spans="2:22" x14ac:dyDescent="0.2">
      <c r="B5663" s="25"/>
      <c r="E5663" s="10"/>
      <c r="O5663" s="10"/>
      <c r="V5663" s="10"/>
    </row>
    <row r="5664" spans="2:22" x14ac:dyDescent="0.2">
      <c r="B5664" s="25"/>
      <c r="E5664" s="10"/>
      <c r="O5664" s="10"/>
      <c r="V5664" s="10"/>
    </row>
    <row r="5665" spans="2:22" x14ac:dyDescent="0.2">
      <c r="B5665" s="25"/>
      <c r="E5665" s="10"/>
      <c r="O5665" s="10"/>
      <c r="V5665" s="10"/>
    </row>
    <row r="5666" spans="2:22" x14ac:dyDescent="0.2">
      <c r="B5666" s="25"/>
      <c r="E5666" s="10"/>
      <c r="O5666" s="10"/>
      <c r="V5666" s="10"/>
    </row>
    <row r="5667" spans="2:22" x14ac:dyDescent="0.2">
      <c r="B5667" s="25"/>
      <c r="E5667" s="10"/>
      <c r="O5667" s="10"/>
      <c r="V5667" s="10"/>
    </row>
    <row r="5668" spans="2:22" x14ac:dyDescent="0.2">
      <c r="B5668" s="25"/>
      <c r="E5668" s="10"/>
      <c r="O5668" s="10"/>
      <c r="V5668" s="10"/>
    </row>
    <row r="5669" spans="2:22" x14ac:dyDescent="0.2">
      <c r="B5669" s="25"/>
      <c r="E5669" s="10"/>
      <c r="O5669" s="10"/>
      <c r="V5669" s="10"/>
    </row>
    <row r="5670" spans="2:22" x14ac:dyDescent="0.2">
      <c r="B5670" s="25"/>
      <c r="E5670" s="10"/>
      <c r="O5670" s="10"/>
      <c r="V5670" s="10"/>
    </row>
    <row r="5671" spans="2:22" x14ac:dyDescent="0.2">
      <c r="B5671" s="25"/>
      <c r="E5671" s="10"/>
      <c r="O5671" s="10"/>
      <c r="V5671" s="10"/>
    </row>
    <row r="5672" spans="2:22" x14ac:dyDescent="0.2">
      <c r="B5672" s="25"/>
      <c r="E5672" s="10"/>
      <c r="O5672" s="10"/>
      <c r="V5672" s="10"/>
    </row>
    <row r="5673" spans="2:22" x14ac:dyDescent="0.2">
      <c r="B5673" s="25"/>
      <c r="E5673" s="10"/>
      <c r="O5673" s="10"/>
      <c r="V5673" s="10"/>
    </row>
    <row r="5674" spans="2:22" x14ac:dyDescent="0.2">
      <c r="B5674" s="25"/>
      <c r="E5674" s="10"/>
      <c r="O5674" s="10"/>
      <c r="V5674" s="10"/>
    </row>
    <row r="5675" spans="2:22" x14ac:dyDescent="0.2">
      <c r="B5675" s="25"/>
      <c r="E5675" s="10"/>
      <c r="O5675" s="10"/>
      <c r="V5675" s="10"/>
    </row>
    <row r="5676" spans="2:22" x14ac:dyDescent="0.2">
      <c r="B5676" s="25"/>
      <c r="E5676" s="10"/>
      <c r="O5676" s="10"/>
      <c r="V5676" s="10"/>
    </row>
    <row r="5677" spans="2:22" x14ac:dyDescent="0.2">
      <c r="B5677" s="25"/>
      <c r="E5677" s="10"/>
      <c r="O5677" s="10"/>
      <c r="V5677" s="10"/>
    </row>
    <row r="5678" spans="2:22" x14ac:dyDescent="0.2">
      <c r="B5678" s="25"/>
      <c r="E5678" s="10"/>
      <c r="O5678" s="10"/>
      <c r="V5678" s="10"/>
    </row>
    <row r="5679" spans="2:22" x14ac:dyDescent="0.2">
      <c r="B5679" s="25"/>
      <c r="E5679" s="10"/>
      <c r="O5679" s="10"/>
      <c r="V5679" s="10"/>
    </row>
    <row r="5680" spans="2:22" x14ac:dyDescent="0.2">
      <c r="B5680" s="25"/>
      <c r="E5680" s="10"/>
      <c r="O5680" s="10"/>
      <c r="V5680" s="10"/>
    </row>
    <row r="5681" spans="2:22" x14ac:dyDescent="0.2">
      <c r="B5681" s="25"/>
      <c r="E5681" s="10"/>
      <c r="O5681" s="10"/>
      <c r="V5681" s="10"/>
    </row>
    <row r="5682" spans="2:22" x14ac:dyDescent="0.2">
      <c r="B5682" s="25"/>
      <c r="E5682" s="10"/>
      <c r="O5682" s="10"/>
      <c r="V5682" s="10"/>
    </row>
    <row r="5683" spans="2:22" x14ac:dyDescent="0.2">
      <c r="B5683" s="25"/>
      <c r="E5683" s="10"/>
      <c r="O5683" s="10"/>
      <c r="V5683" s="10"/>
    </row>
    <row r="5684" spans="2:22" x14ac:dyDescent="0.2">
      <c r="B5684" s="25"/>
      <c r="E5684" s="10"/>
      <c r="O5684" s="10"/>
      <c r="V5684" s="10"/>
    </row>
    <row r="5685" spans="2:22" x14ac:dyDescent="0.2">
      <c r="B5685" s="25"/>
      <c r="E5685" s="10"/>
      <c r="O5685" s="10"/>
      <c r="V5685" s="10"/>
    </row>
    <row r="5686" spans="2:22" x14ac:dyDescent="0.2">
      <c r="B5686" s="25"/>
      <c r="E5686" s="10"/>
      <c r="O5686" s="10"/>
      <c r="V5686" s="10"/>
    </row>
    <row r="5687" spans="2:22" x14ac:dyDescent="0.2">
      <c r="B5687" s="25"/>
      <c r="E5687" s="10"/>
      <c r="O5687" s="10"/>
      <c r="V5687" s="10"/>
    </row>
    <row r="5688" spans="2:22" x14ac:dyDescent="0.2">
      <c r="B5688" s="25"/>
      <c r="E5688" s="10"/>
      <c r="O5688" s="10"/>
      <c r="V5688" s="10"/>
    </row>
    <row r="5689" spans="2:22" x14ac:dyDescent="0.2">
      <c r="B5689" s="25"/>
      <c r="E5689" s="10"/>
      <c r="O5689" s="10"/>
      <c r="V5689" s="10"/>
    </row>
    <row r="5690" spans="2:22" x14ac:dyDescent="0.2">
      <c r="B5690" s="25"/>
      <c r="E5690" s="10"/>
      <c r="O5690" s="10"/>
      <c r="V5690" s="10"/>
    </row>
    <row r="5691" spans="2:22" x14ac:dyDescent="0.2">
      <c r="B5691" s="25"/>
      <c r="E5691" s="10"/>
      <c r="O5691" s="10"/>
      <c r="V5691" s="10"/>
    </row>
    <row r="5692" spans="2:22" x14ac:dyDescent="0.2">
      <c r="B5692" s="25"/>
      <c r="E5692" s="10"/>
      <c r="O5692" s="10"/>
      <c r="V5692" s="10"/>
    </row>
    <row r="5693" spans="2:22" x14ac:dyDescent="0.2">
      <c r="B5693" s="25"/>
      <c r="E5693" s="10"/>
      <c r="O5693" s="10"/>
      <c r="V5693" s="10"/>
    </row>
    <row r="5694" spans="2:22" x14ac:dyDescent="0.2">
      <c r="B5694" s="25"/>
      <c r="E5694" s="10"/>
      <c r="O5694" s="10"/>
      <c r="V5694" s="10"/>
    </row>
    <row r="5695" spans="2:22" x14ac:dyDescent="0.2">
      <c r="B5695" s="25"/>
      <c r="E5695" s="10"/>
      <c r="O5695" s="10"/>
      <c r="V5695" s="10"/>
    </row>
    <row r="5696" spans="2:22" x14ac:dyDescent="0.2">
      <c r="B5696" s="25"/>
      <c r="E5696" s="10"/>
      <c r="O5696" s="10"/>
      <c r="V5696" s="10"/>
    </row>
    <row r="5697" spans="2:22" x14ac:dyDescent="0.2">
      <c r="B5697" s="25"/>
      <c r="E5697" s="10"/>
      <c r="O5697" s="10"/>
      <c r="V5697" s="10"/>
    </row>
    <row r="5698" spans="2:22" x14ac:dyDescent="0.2">
      <c r="B5698" s="25"/>
      <c r="E5698" s="10"/>
      <c r="O5698" s="10"/>
      <c r="V5698" s="10"/>
    </row>
    <row r="5699" spans="2:22" x14ac:dyDescent="0.2">
      <c r="B5699" s="25"/>
      <c r="E5699" s="10"/>
      <c r="O5699" s="10"/>
      <c r="V5699" s="10"/>
    </row>
    <row r="5700" spans="2:22" x14ac:dyDescent="0.2">
      <c r="B5700" s="25"/>
      <c r="E5700" s="10"/>
      <c r="O5700" s="10"/>
      <c r="V5700" s="10"/>
    </row>
    <row r="5701" spans="2:22" x14ac:dyDescent="0.2">
      <c r="B5701" s="25"/>
      <c r="E5701" s="10"/>
      <c r="O5701" s="10"/>
      <c r="V5701" s="10"/>
    </row>
    <row r="5702" spans="2:22" x14ac:dyDescent="0.2">
      <c r="B5702" s="25"/>
      <c r="E5702" s="10"/>
      <c r="O5702" s="10"/>
      <c r="V5702" s="10"/>
    </row>
    <row r="5703" spans="2:22" x14ac:dyDescent="0.2">
      <c r="B5703" s="25"/>
      <c r="E5703" s="10"/>
      <c r="O5703" s="10"/>
      <c r="V5703" s="10"/>
    </row>
    <row r="5704" spans="2:22" x14ac:dyDescent="0.2">
      <c r="B5704" s="25"/>
      <c r="E5704" s="10"/>
      <c r="O5704" s="10"/>
      <c r="V5704" s="10"/>
    </row>
    <row r="5705" spans="2:22" x14ac:dyDescent="0.2">
      <c r="B5705" s="25"/>
      <c r="E5705" s="10"/>
      <c r="O5705" s="10"/>
      <c r="V5705" s="10"/>
    </row>
    <row r="5706" spans="2:22" x14ac:dyDescent="0.2">
      <c r="B5706" s="25"/>
      <c r="E5706" s="10"/>
      <c r="O5706" s="10"/>
      <c r="V5706" s="10"/>
    </row>
    <row r="5707" spans="2:22" x14ac:dyDescent="0.2">
      <c r="B5707" s="25"/>
      <c r="E5707" s="10"/>
      <c r="O5707" s="10"/>
      <c r="V5707" s="10"/>
    </row>
    <row r="5708" spans="2:22" x14ac:dyDescent="0.2">
      <c r="B5708" s="25"/>
      <c r="E5708" s="10"/>
      <c r="O5708" s="10"/>
      <c r="V5708" s="10"/>
    </row>
    <row r="5709" spans="2:22" x14ac:dyDescent="0.2">
      <c r="B5709" s="25"/>
      <c r="E5709" s="10"/>
      <c r="O5709" s="10"/>
      <c r="V5709" s="10"/>
    </row>
    <row r="5710" spans="2:22" x14ac:dyDescent="0.2">
      <c r="B5710" s="25"/>
      <c r="E5710" s="10"/>
      <c r="O5710" s="10"/>
      <c r="V5710" s="10"/>
    </row>
    <row r="5711" spans="2:22" x14ac:dyDescent="0.2">
      <c r="B5711" s="25"/>
      <c r="E5711" s="10"/>
      <c r="O5711" s="10"/>
      <c r="V5711" s="10"/>
    </row>
    <row r="5712" spans="2:22" x14ac:dyDescent="0.2">
      <c r="B5712" s="25"/>
      <c r="E5712" s="10"/>
      <c r="O5712" s="10"/>
      <c r="V5712" s="10"/>
    </row>
    <row r="5713" spans="2:22" x14ac:dyDescent="0.2">
      <c r="B5713" s="25"/>
      <c r="E5713" s="10"/>
      <c r="O5713" s="10"/>
      <c r="V5713" s="10"/>
    </row>
    <row r="5714" spans="2:22" x14ac:dyDescent="0.2">
      <c r="B5714" s="25"/>
      <c r="E5714" s="10"/>
      <c r="O5714" s="10"/>
      <c r="V5714" s="10"/>
    </row>
    <row r="5715" spans="2:22" x14ac:dyDescent="0.2">
      <c r="B5715" s="25"/>
      <c r="E5715" s="10"/>
      <c r="O5715" s="10"/>
      <c r="V5715" s="10"/>
    </row>
    <row r="5716" spans="2:22" x14ac:dyDescent="0.2">
      <c r="B5716" s="25"/>
      <c r="E5716" s="10"/>
      <c r="O5716" s="10"/>
      <c r="V5716" s="10"/>
    </row>
    <row r="5717" spans="2:22" x14ac:dyDescent="0.2">
      <c r="B5717" s="25"/>
      <c r="E5717" s="10"/>
      <c r="O5717" s="10"/>
      <c r="V5717" s="10"/>
    </row>
    <row r="5718" spans="2:22" x14ac:dyDescent="0.2">
      <c r="B5718" s="25"/>
      <c r="E5718" s="10"/>
      <c r="O5718" s="10"/>
      <c r="V5718" s="10"/>
    </row>
    <row r="5719" spans="2:22" x14ac:dyDescent="0.2">
      <c r="B5719" s="25"/>
      <c r="E5719" s="10"/>
      <c r="O5719" s="10"/>
      <c r="V5719" s="10"/>
    </row>
    <row r="5720" spans="2:22" x14ac:dyDescent="0.2">
      <c r="B5720" s="25"/>
      <c r="E5720" s="10"/>
      <c r="O5720" s="10"/>
      <c r="V5720" s="10"/>
    </row>
    <row r="5721" spans="2:22" x14ac:dyDescent="0.2">
      <c r="B5721" s="25"/>
      <c r="E5721" s="10"/>
      <c r="O5721" s="10"/>
      <c r="V5721" s="10"/>
    </row>
    <row r="5722" spans="2:22" x14ac:dyDescent="0.2">
      <c r="B5722" s="25"/>
      <c r="E5722" s="10"/>
      <c r="O5722" s="10"/>
      <c r="V5722" s="10"/>
    </row>
    <row r="5723" spans="2:22" x14ac:dyDescent="0.2">
      <c r="B5723" s="25"/>
      <c r="E5723" s="10"/>
      <c r="O5723" s="10"/>
      <c r="V5723" s="10"/>
    </row>
    <row r="5724" spans="2:22" x14ac:dyDescent="0.2">
      <c r="B5724" s="25"/>
      <c r="E5724" s="10"/>
      <c r="O5724" s="10"/>
      <c r="V5724" s="10"/>
    </row>
    <row r="5725" spans="2:22" x14ac:dyDescent="0.2">
      <c r="B5725" s="25"/>
      <c r="E5725" s="10"/>
      <c r="O5725" s="10"/>
      <c r="V5725" s="10"/>
    </row>
    <row r="5726" spans="2:22" x14ac:dyDescent="0.2">
      <c r="B5726" s="25"/>
      <c r="E5726" s="10"/>
      <c r="O5726" s="10"/>
      <c r="V5726" s="10"/>
    </row>
    <row r="5727" spans="2:22" x14ac:dyDescent="0.2">
      <c r="B5727" s="25"/>
      <c r="E5727" s="10"/>
      <c r="O5727" s="10"/>
      <c r="V5727" s="10"/>
    </row>
    <row r="5728" spans="2:22" x14ac:dyDescent="0.2">
      <c r="B5728" s="25"/>
      <c r="E5728" s="10"/>
      <c r="O5728" s="10"/>
      <c r="V5728" s="10"/>
    </row>
    <row r="5729" spans="2:22" x14ac:dyDescent="0.2">
      <c r="B5729" s="25"/>
      <c r="E5729" s="10"/>
      <c r="O5729" s="10"/>
      <c r="V5729" s="10"/>
    </row>
    <row r="5730" spans="2:22" x14ac:dyDescent="0.2">
      <c r="B5730" s="25"/>
      <c r="E5730" s="10"/>
      <c r="O5730" s="10"/>
      <c r="V5730" s="10"/>
    </row>
    <row r="5731" spans="2:22" x14ac:dyDescent="0.2">
      <c r="B5731" s="25"/>
      <c r="E5731" s="10"/>
      <c r="O5731" s="10"/>
      <c r="V5731" s="10"/>
    </row>
    <row r="5732" spans="2:22" x14ac:dyDescent="0.2">
      <c r="B5732" s="25"/>
      <c r="E5732" s="10"/>
      <c r="O5732" s="10"/>
      <c r="V5732" s="10"/>
    </row>
    <row r="5733" spans="2:22" x14ac:dyDescent="0.2">
      <c r="B5733" s="25"/>
      <c r="E5733" s="10"/>
      <c r="O5733" s="10"/>
      <c r="V5733" s="10"/>
    </row>
    <row r="5734" spans="2:22" x14ac:dyDescent="0.2">
      <c r="B5734" s="25"/>
      <c r="E5734" s="10"/>
      <c r="O5734" s="10"/>
      <c r="V5734" s="10"/>
    </row>
    <row r="5735" spans="2:22" x14ac:dyDescent="0.2">
      <c r="B5735" s="25"/>
      <c r="E5735" s="10"/>
      <c r="O5735" s="10"/>
      <c r="V5735" s="10"/>
    </row>
    <row r="5736" spans="2:22" x14ac:dyDescent="0.2">
      <c r="B5736" s="25"/>
      <c r="E5736" s="10"/>
      <c r="O5736" s="10"/>
      <c r="V5736" s="10"/>
    </row>
    <row r="5737" spans="2:22" x14ac:dyDescent="0.2">
      <c r="B5737" s="25"/>
      <c r="E5737" s="10"/>
      <c r="O5737" s="10"/>
      <c r="V5737" s="10"/>
    </row>
    <row r="5738" spans="2:22" x14ac:dyDescent="0.2">
      <c r="B5738" s="25"/>
      <c r="E5738" s="10"/>
      <c r="O5738" s="10"/>
      <c r="V5738" s="10"/>
    </row>
    <row r="5739" spans="2:22" x14ac:dyDescent="0.2">
      <c r="B5739" s="25"/>
      <c r="E5739" s="10"/>
      <c r="O5739" s="10"/>
      <c r="V5739" s="10"/>
    </row>
    <row r="5740" spans="2:22" x14ac:dyDescent="0.2">
      <c r="B5740" s="25"/>
      <c r="E5740" s="10"/>
      <c r="O5740" s="10"/>
      <c r="V5740" s="10"/>
    </row>
    <row r="5741" spans="2:22" x14ac:dyDescent="0.2">
      <c r="B5741" s="25"/>
      <c r="E5741" s="10"/>
      <c r="O5741" s="10"/>
      <c r="V5741" s="10"/>
    </row>
    <row r="5742" spans="2:22" x14ac:dyDescent="0.2">
      <c r="B5742" s="25"/>
      <c r="E5742" s="10"/>
      <c r="O5742" s="10"/>
      <c r="V5742" s="10"/>
    </row>
    <row r="5743" spans="2:22" x14ac:dyDescent="0.2">
      <c r="B5743" s="25"/>
      <c r="E5743" s="10"/>
      <c r="O5743" s="10"/>
      <c r="V5743" s="10"/>
    </row>
    <row r="5744" spans="2:22" x14ac:dyDescent="0.2">
      <c r="B5744" s="25"/>
      <c r="E5744" s="10"/>
      <c r="O5744" s="10"/>
      <c r="V5744" s="10"/>
    </row>
    <row r="5745" spans="2:22" x14ac:dyDescent="0.2">
      <c r="B5745" s="25"/>
      <c r="E5745" s="10"/>
      <c r="O5745" s="10"/>
      <c r="V5745" s="10"/>
    </row>
    <row r="5746" spans="2:22" x14ac:dyDescent="0.2">
      <c r="B5746" s="25"/>
      <c r="E5746" s="10"/>
      <c r="O5746" s="10"/>
      <c r="V5746" s="10"/>
    </row>
    <row r="5747" spans="2:22" x14ac:dyDescent="0.2">
      <c r="B5747" s="25"/>
      <c r="E5747" s="10"/>
      <c r="O5747" s="10"/>
      <c r="V5747" s="10"/>
    </row>
    <row r="5748" spans="2:22" x14ac:dyDescent="0.2">
      <c r="B5748" s="25"/>
      <c r="E5748" s="10"/>
      <c r="O5748" s="10"/>
      <c r="V5748" s="10"/>
    </row>
    <row r="5749" spans="2:22" x14ac:dyDescent="0.2">
      <c r="B5749" s="25"/>
      <c r="E5749" s="10"/>
      <c r="O5749" s="10"/>
      <c r="V5749" s="10"/>
    </row>
    <row r="5750" spans="2:22" x14ac:dyDescent="0.2">
      <c r="B5750" s="25"/>
      <c r="E5750" s="10"/>
      <c r="O5750" s="10"/>
      <c r="V5750" s="10"/>
    </row>
    <row r="5751" spans="2:22" x14ac:dyDescent="0.2">
      <c r="B5751" s="25"/>
      <c r="E5751" s="10"/>
      <c r="O5751" s="10"/>
      <c r="V5751" s="10"/>
    </row>
    <row r="5752" spans="2:22" x14ac:dyDescent="0.2">
      <c r="B5752" s="25"/>
      <c r="E5752" s="10"/>
      <c r="O5752" s="10"/>
      <c r="V5752" s="10"/>
    </row>
    <row r="5753" spans="2:22" x14ac:dyDescent="0.2">
      <c r="B5753" s="25"/>
      <c r="E5753" s="10"/>
      <c r="O5753" s="10"/>
      <c r="V5753" s="10"/>
    </row>
    <row r="5754" spans="2:22" x14ac:dyDescent="0.2">
      <c r="B5754" s="25"/>
      <c r="E5754" s="10"/>
      <c r="O5754" s="10"/>
      <c r="V5754" s="10"/>
    </row>
    <row r="5755" spans="2:22" x14ac:dyDescent="0.2">
      <c r="B5755" s="25"/>
      <c r="E5755" s="10"/>
      <c r="O5755" s="10"/>
      <c r="V5755" s="10"/>
    </row>
    <row r="5756" spans="2:22" x14ac:dyDescent="0.2">
      <c r="B5756" s="25"/>
      <c r="E5756" s="10"/>
      <c r="O5756" s="10"/>
      <c r="V5756" s="10"/>
    </row>
    <row r="5757" spans="2:22" x14ac:dyDescent="0.2">
      <c r="B5757" s="25"/>
      <c r="E5757" s="10"/>
      <c r="O5757" s="10"/>
      <c r="V5757" s="10"/>
    </row>
    <row r="5758" spans="2:22" x14ac:dyDescent="0.2">
      <c r="B5758" s="25"/>
      <c r="E5758" s="10"/>
      <c r="O5758" s="10"/>
      <c r="V5758" s="10"/>
    </row>
    <row r="5759" spans="2:22" x14ac:dyDescent="0.2">
      <c r="B5759" s="25"/>
      <c r="E5759" s="10"/>
      <c r="O5759" s="10"/>
      <c r="V5759" s="10"/>
    </row>
    <row r="5760" spans="2:22" x14ac:dyDescent="0.2">
      <c r="B5760" s="25"/>
      <c r="E5760" s="10"/>
      <c r="O5760" s="10"/>
      <c r="V5760" s="10"/>
    </row>
    <row r="5761" spans="2:22" x14ac:dyDescent="0.2">
      <c r="B5761" s="25"/>
      <c r="E5761" s="10"/>
      <c r="O5761" s="10"/>
      <c r="V5761" s="10"/>
    </row>
    <row r="5762" spans="2:22" x14ac:dyDescent="0.2">
      <c r="B5762" s="25"/>
      <c r="E5762" s="10"/>
      <c r="O5762" s="10"/>
      <c r="V5762" s="10"/>
    </row>
    <row r="5763" spans="2:22" x14ac:dyDescent="0.2">
      <c r="B5763" s="25"/>
      <c r="E5763" s="10"/>
      <c r="O5763" s="10"/>
      <c r="V5763" s="10"/>
    </row>
    <row r="5764" spans="2:22" x14ac:dyDescent="0.2">
      <c r="B5764" s="25"/>
      <c r="E5764" s="10"/>
      <c r="O5764" s="10"/>
      <c r="V5764" s="10"/>
    </row>
    <row r="5765" spans="2:22" x14ac:dyDescent="0.2">
      <c r="B5765" s="25"/>
      <c r="E5765" s="10"/>
      <c r="O5765" s="10"/>
      <c r="V5765" s="10"/>
    </row>
    <row r="5766" spans="2:22" x14ac:dyDescent="0.2">
      <c r="B5766" s="25"/>
      <c r="E5766" s="10"/>
      <c r="O5766" s="10"/>
      <c r="V5766" s="10"/>
    </row>
    <row r="5767" spans="2:22" x14ac:dyDescent="0.2">
      <c r="B5767" s="25"/>
      <c r="E5767" s="10"/>
      <c r="O5767" s="10"/>
      <c r="V5767" s="10"/>
    </row>
    <row r="5768" spans="2:22" x14ac:dyDescent="0.2">
      <c r="B5768" s="25"/>
      <c r="E5768" s="10"/>
      <c r="O5768" s="10"/>
      <c r="V5768" s="10"/>
    </row>
    <row r="5769" spans="2:22" x14ac:dyDescent="0.2">
      <c r="B5769" s="25"/>
      <c r="E5769" s="10"/>
      <c r="O5769" s="10"/>
      <c r="V5769" s="10"/>
    </row>
    <row r="5770" spans="2:22" x14ac:dyDescent="0.2">
      <c r="B5770" s="25"/>
      <c r="E5770" s="10"/>
      <c r="O5770" s="10"/>
      <c r="V5770" s="10"/>
    </row>
    <row r="5771" spans="2:22" x14ac:dyDescent="0.2">
      <c r="B5771" s="25"/>
      <c r="E5771" s="10"/>
      <c r="O5771" s="10"/>
      <c r="V5771" s="10"/>
    </row>
    <row r="5772" spans="2:22" x14ac:dyDescent="0.2">
      <c r="B5772" s="25"/>
      <c r="E5772" s="10"/>
      <c r="O5772" s="10"/>
      <c r="V5772" s="10"/>
    </row>
    <row r="5773" spans="2:22" x14ac:dyDescent="0.2">
      <c r="B5773" s="25"/>
      <c r="E5773" s="10"/>
      <c r="O5773" s="10"/>
      <c r="V5773" s="10"/>
    </row>
    <row r="5774" spans="2:22" x14ac:dyDescent="0.2">
      <c r="B5774" s="25"/>
      <c r="E5774" s="10"/>
      <c r="O5774" s="10"/>
      <c r="V5774" s="10"/>
    </row>
    <row r="5775" spans="2:22" x14ac:dyDescent="0.2">
      <c r="B5775" s="25"/>
      <c r="E5775" s="10"/>
      <c r="O5775" s="10"/>
      <c r="V5775" s="10"/>
    </row>
    <row r="5776" spans="2:22" x14ac:dyDescent="0.2">
      <c r="B5776" s="25"/>
      <c r="E5776" s="10"/>
      <c r="O5776" s="10"/>
      <c r="V5776" s="10"/>
    </row>
    <row r="5777" spans="2:22" x14ac:dyDescent="0.2">
      <c r="B5777" s="25"/>
      <c r="E5777" s="10"/>
      <c r="O5777" s="10"/>
      <c r="V5777" s="10"/>
    </row>
    <row r="5778" spans="2:22" x14ac:dyDescent="0.2">
      <c r="B5778" s="25"/>
      <c r="E5778" s="10"/>
      <c r="O5778" s="10"/>
      <c r="V5778" s="10"/>
    </row>
    <row r="5779" spans="2:22" x14ac:dyDescent="0.2">
      <c r="B5779" s="25"/>
      <c r="E5779" s="10"/>
      <c r="O5779" s="10"/>
      <c r="V5779" s="10"/>
    </row>
    <row r="5780" spans="2:22" x14ac:dyDescent="0.2">
      <c r="B5780" s="25"/>
      <c r="E5780" s="10"/>
      <c r="O5780" s="10"/>
      <c r="V5780" s="10"/>
    </row>
    <row r="5781" spans="2:22" x14ac:dyDescent="0.2">
      <c r="B5781" s="25"/>
      <c r="E5781" s="10"/>
      <c r="O5781" s="10"/>
      <c r="V5781" s="10"/>
    </row>
    <row r="5782" spans="2:22" x14ac:dyDescent="0.2">
      <c r="B5782" s="25"/>
      <c r="E5782" s="10"/>
      <c r="O5782" s="10"/>
      <c r="V5782" s="10"/>
    </row>
    <row r="5783" spans="2:22" x14ac:dyDescent="0.2">
      <c r="B5783" s="25"/>
      <c r="E5783" s="10"/>
      <c r="O5783" s="10"/>
      <c r="V5783" s="10"/>
    </row>
    <row r="5784" spans="2:22" x14ac:dyDescent="0.2">
      <c r="B5784" s="25"/>
      <c r="E5784" s="10"/>
      <c r="O5784" s="10"/>
      <c r="V5784" s="10"/>
    </row>
    <row r="5785" spans="2:22" x14ac:dyDescent="0.2">
      <c r="B5785" s="25"/>
      <c r="E5785" s="10"/>
      <c r="O5785" s="10"/>
      <c r="V5785" s="10"/>
    </row>
    <row r="5786" spans="2:22" x14ac:dyDescent="0.2">
      <c r="B5786" s="25"/>
      <c r="E5786" s="10"/>
      <c r="O5786" s="10"/>
      <c r="V5786" s="10"/>
    </row>
    <row r="5787" spans="2:22" x14ac:dyDescent="0.2">
      <c r="B5787" s="25"/>
      <c r="E5787" s="10"/>
      <c r="O5787" s="10"/>
      <c r="V5787" s="10"/>
    </row>
    <row r="5788" spans="2:22" x14ac:dyDescent="0.2">
      <c r="B5788" s="25"/>
      <c r="E5788" s="10"/>
      <c r="O5788" s="10"/>
      <c r="V5788" s="10"/>
    </row>
    <row r="5789" spans="2:22" x14ac:dyDescent="0.2">
      <c r="B5789" s="25"/>
      <c r="E5789" s="10"/>
      <c r="O5789" s="10"/>
      <c r="V5789" s="10"/>
    </row>
    <row r="5790" spans="2:22" x14ac:dyDescent="0.2">
      <c r="B5790" s="25"/>
      <c r="E5790" s="10"/>
      <c r="O5790" s="10"/>
      <c r="V5790" s="10"/>
    </row>
    <row r="5791" spans="2:22" x14ac:dyDescent="0.2">
      <c r="B5791" s="25"/>
      <c r="E5791" s="10"/>
      <c r="O5791" s="10"/>
      <c r="V5791" s="10"/>
    </row>
    <row r="5792" spans="2:22" x14ac:dyDescent="0.2">
      <c r="B5792" s="25"/>
      <c r="E5792" s="10"/>
      <c r="O5792" s="10"/>
      <c r="V5792" s="10"/>
    </row>
    <row r="5793" spans="2:22" x14ac:dyDescent="0.2">
      <c r="B5793" s="25"/>
      <c r="E5793" s="10"/>
      <c r="O5793" s="10"/>
      <c r="V5793" s="10"/>
    </row>
    <row r="5794" spans="2:22" x14ac:dyDescent="0.2">
      <c r="B5794" s="25"/>
      <c r="E5794" s="10"/>
      <c r="O5794" s="10"/>
      <c r="V5794" s="10"/>
    </row>
    <row r="5795" spans="2:22" x14ac:dyDescent="0.2">
      <c r="B5795" s="25"/>
      <c r="E5795" s="10"/>
      <c r="O5795" s="10"/>
      <c r="V5795" s="10"/>
    </row>
    <row r="5796" spans="2:22" x14ac:dyDescent="0.2">
      <c r="B5796" s="25"/>
      <c r="E5796" s="10"/>
      <c r="O5796" s="10"/>
      <c r="V5796" s="10"/>
    </row>
    <row r="5797" spans="2:22" x14ac:dyDescent="0.2">
      <c r="B5797" s="25"/>
      <c r="E5797" s="10"/>
      <c r="O5797" s="10"/>
      <c r="V5797" s="10"/>
    </row>
    <row r="5798" spans="2:22" x14ac:dyDescent="0.2">
      <c r="B5798" s="25"/>
      <c r="E5798" s="10"/>
      <c r="O5798" s="10"/>
      <c r="V5798" s="10"/>
    </row>
    <row r="5799" spans="2:22" x14ac:dyDescent="0.2">
      <c r="B5799" s="25"/>
      <c r="E5799" s="10"/>
      <c r="O5799" s="10"/>
      <c r="V5799" s="10"/>
    </row>
    <row r="5800" spans="2:22" x14ac:dyDescent="0.2">
      <c r="B5800" s="25"/>
      <c r="E5800" s="10"/>
      <c r="O5800" s="10"/>
      <c r="V5800" s="10"/>
    </row>
    <row r="5801" spans="2:22" x14ac:dyDescent="0.2">
      <c r="B5801" s="25"/>
      <c r="E5801" s="10"/>
      <c r="O5801" s="10"/>
      <c r="V5801" s="10"/>
    </row>
    <row r="5802" spans="2:22" x14ac:dyDescent="0.2">
      <c r="B5802" s="25"/>
      <c r="E5802" s="10"/>
      <c r="O5802" s="10"/>
      <c r="V5802" s="10"/>
    </row>
    <row r="5803" spans="2:22" x14ac:dyDescent="0.2">
      <c r="B5803" s="25"/>
      <c r="E5803" s="10"/>
      <c r="O5803" s="10"/>
      <c r="V5803" s="10"/>
    </row>
    <row r="5804" spans="2:22" x14ac:dyDescent="0.2">
      <c r="B5804" s="25"/>
      <c r="E5804" s="10"/>
      <c r="O5804" s="10"/>
      <c r="V5804" s="10"/>
    </row>
    <row r="5805" spans="2:22" x14ac:dyDescent="0.2">
      <c r="B5805" s="25"/>
      <c r="E5805" s="10"/>
      <c r="O5805" s="10"/>
      <c r="V5805" s="10"/>
    </row>
    <row r="5806" spans="2:22" x14ac:dyDescent="0.2">
      <c r="B5806" s="25"/>
      <c r="E5806" s="10"/>
      <c r="O5806" s="10"/>
      <c r="V5806" s="10"/>
    </row>
    <row r="5807" spans="2:22" x14ac:dyDescent="0.2">
      <c r="B5807" s="25"/>
      <c r="E5807" s="10"/>
      <c r="O5807" s="10"/>
      <c r="V5807" s="10"/>
    </row>
    <row r="5808" spans="2:22" x14ac:dyDescent="0.2">
      <c r="B5808" s="25"/>
      <c r="E5808" s="10"/>
      <c r="O5808" s="10"/>
      <c r="V5808" s="10"/>
    </row>
    <row r="5809" spans="2:22" x14ac:dyDescent="0.2">
      <c r="B5809" s="25"/>
      <c r="E5809" s="10"/>
      <c r="O5809" s="10"/>
      <c r="V5809" s="10"/>
    </row>
    <row r="5810" spans="2:22" x14ac:dyDescent="0.2">
      <c r="B5810" s="25"/>
      <c r="E5810" s="10"/>
      <c r="O5810" s="10"/>
      <c r="V5810" s="10"/>
    </row>
    <row r="5811" spans="2:22" x14ac:dyDescent="0.2">
      <c r="B5811" s="25"/>
      <c r="E5811" s="10"/>
      <c r="O5811" s="10"/>
      <c r="V5811" s="10"/>
    </row>
    <row r="5812" spans="2:22" x14ac:dyDescent="0.2">
      <c r="B5812" s="25"/>
      <c r="E5812" s="10"/>
      <c r="O5812" s="10"/>
      <c r="V5812" s="10"/>
    </row>
    <row r="5813" spans="2:22" x14ac:dyDescent="0.2">
      <c r="B5813" s="25"/>
      <c r="E5813" s="10"/>
      <c r="O5813" s="10"/>
      <c r="V5813" s="10"/>
    </row>
    <row r="5814" spans="2:22" x14ac:dyDescent="0.2">
      <c r="B5814" s="25"/>
      <c r="E5814" s="10"/>
      <c r="O5814" s="10"/>
      <c r="V5814" s="10"/>
    </row>
    <row r="5815" spans="2:22" x14ac:dyDescent="0.2">
      <c r="B5815" s="25"/>
      <c r="E5815" s="10"/>
      <c r="O5815" s="10"/>
      <c r="V5815" s="10"/>
    </row>
    <row r="5816" spans="2:22" x14ac:dyDescent="0.2">
      <c r="B5816" s="25"/>
      <c r="E5816" s="10"/>
      <c r="O5816" s="10"/>
      <c r="V5816" s="10"/>
    </row>
    <row r="5817" spans="2:22" x14ac:dyDescent="0.2">
      <c r="B5817" s="25"/>
      <c r="E5817" s="10"/>
      <c r="O5817" s="10"/>
      <c r="V5817" s="10"/>
    </row>
    <row r="5818" spans="2:22" x14ac:dyDescent="0.2">
      <c r="B5818" s="25"/>
      <c r="E5818" s="10"/>
      <c r="O5818" s="10"/>
      <c r="V5818" s="10"/>
    </row>
    <row r="5819" spans="2:22" x14ac:dyDescent="0.2">
      <c r="B5819" s="25"/>
      <c r="E5819" s="10"/>
      <c r="O5819" s="10"/>
      <c r="V5819" s="10"/>
    </row>
    <row r="5820" spans="2:22" x14ac:dyDescent="0.2">
      <c r="B5820" s="25"/>
      <c r="E5820" s="10"/>
      <c r="O5820" s="10"/>
      <c r="V5820" s="10"/>
    </row>
    <row r="5821" spans="2:22" x14ac:dyDescent="0.2">
      <c r="B5821" s="25"/>
      <c r="E5821" s="10"/>
      <c r="O5821" s="10"/>
      <c r="V5821" s="10"/>
    </row>
    <row r="5822" spans="2:22" x14ac:dyDescent="0.2">
      <c r="B5822" s="25"/>
      <c r="E5822" s="10"/>
      <c r="O5822" s="10"/>
      <c r="V5822" s="10"/>
    </row>
    <row r="5823" spans="2:22" x14ac:dyDescent="0.2">
      <c r="B5823" s="25"/>
      <c r="E5823" s="10"/>
      <c r="O5823" s="10"/>
      <c r="V5823" s="10"/>
    </row>
    <row r="5824" spans="2:22" x14ac:dyDescent="0.2">
      <c r="B5824" s="25"/>
      <c r="E5824" s="10"/>
      <c r="O5824" s="10"/>
      <c r="V5824" s="10"/>
    </row>
    <row r="5825" spans="2:22" x14ac:dyDescent="0.2">
      <c r="B5825" s="25"/>
      <c r="E5825" s="10"/>
      <c r="O5825" s="10"/>
      <c r="V5825" s="10"/>
    </row>
    <row r="5826" spans="2:22" x14ac:dyDescent="0.2">
      <c r="B5826" s="25"/>
      <c r="E5826" s="10"/>
      <c r="O5826" s="10"/>
      <c r="V5826" s="10"/>
    </row>
    <row r="5827" spans="2:22" x14ac:dyDescent="0.2">
      <c r="B5827" s="25"/>
      <c r="E5827" s="10"/>
      <c r="O5827" s="10"/>
      <c r="V5827" s="10"/>
    </row>
    <row r="5828" spans="2:22" x14ac:dyDescent="0.2">
      <c r="B5828" s="25"/>
      <c r="E5828" s="10"/>
      <c r="O5828" s="10"/>
      <c r="V5828" s="10"/>
    </row>
    <row r="5829" spans="2:22" x14ac:dyDescent="0.2">
      <c r="B5829" s="25"/>
      <c r="E5829" s="10"/>
      <c r="O5829" s="10"/>
      <c r="V5829" s="10"/>
    </row>
    <row r="5830" spans="2:22" x14ac:dyDescent="0.2">
      <c r="B5830" s="25"/>
      <c r="E5830" s="10"/>
      <c r="O5830" s="10"/>
      <c r="V5830" s="10"/>
    </row>
    <row r="5831" spans="2:22" x14ac:dyDescent="0.2">
      <c r="B5831" s="25"/>
      <c r="E5831" s="10"/>
      <c r="O5831" s="10"/>
      <c r="V5831" s="10"/>
    </row>
    <row r="5832" spans="2:22" x14ac:dyDescent="0.2">
      <c r="B5832" s="25"/>
      <c r="E5832" s="10"/>
      <c r="O5832" s="10"/>
      <c r="V5832" s="10"/>
    </row>
    <row r="5833" spans="2:22" x14ac:dyDescent="0.2">
      <c r="B5833" s="25"/>
      <c r="E5833" s="10"/>
      <c r="O5833" s="10"/>
      <c r="V5833" s="10"/>
    </row>
    <row r="5834" spans="2:22" x14ac:dyDescent="0.2">
      <c r="B5834" s="25"/>
      <c r="E5834" s="10"/>
      <c r="O5834" s="10"/>
      <c r="V5834" s="10"/>
    </row>
    <row r="5835" spans="2:22" x14ac:dyDescent="0.2">
      <c r="B5835" s="25"/>
      <c r="E5835" s="10"/>
      <c r="O5835" s="10"/>
      <c r="V5835" s="10"/>
    </row>
    <row r="5836" spans="2:22" x14ac:dyDescent="0.2">
      <c r="B5836" s="25"/>
      <c r="E5836" s="10"/>
      <c r="O5836" s="10"/>
      <c r="V5836" s="10"/>
    </row>
    <row r="5837" spans="2:22" x14ac:dyDescent="0.2">
      <c r="B5837" s="25"/>
      <c r="E5837" s="10"/>
      <c r="O5837" s="10"/>
      <c r="V5837" s="10"/>
    </row>
    <row r="5838" spans="2:22" x14ac:dyDescent="0.2">
      <c r="B5838" s="25"/>
      <c r="E5838" s="10"/>
      <c r="O5838" s="10"/>
      <c r="V5838" s="10"/>
    </row>
    <row r="5839" spans="2:22" x14ac:dyDescent="0.2">
      <c r="B5839" s="25"/>
      <c r="E5839" s="10"/>
      <c r="O5839" s="10"/>
      <c r="V5839" s="10"/>
    </row>
    <row r="5840" spans="2:22" x14ac:dyDescent="0.2">
      <c r="B5840" s="25"/>
      <c r="E5840" s="10"/>
      <c r="O5840" s="10"/>
      <c r="V5840" s="10"/>
    </row>
    <row r="5841" spans="2:22" x14ac:dyDescent="0.2">
      <c r="B5841" s="25"/>
      <c r="E5841" s="10"/>
      <c r="O5841" s="10"/>
      <c r="V5841" s="10"/>
    </row>
    <row r="5842" spans="2:22" x14ac:dyDescent="0.2">
      <c r="B5842" s="25"/>
      <c r="E5842" s="10"/>
      <c r="O5842" s="10"/>
      <c r="V5842" s="10"/>
    </row>
    <row r="5843" spans="2:22" x14ac:dyDescent="0.2">
      <c r="B5843" s="25"/>
      <c r="E5843" s="10"/>
      <c r="O5843" s="10"/>
      <c r="V5843" s="10"/>
    </row>
    <row r="5844" spans="2:22" x14ac:dyDescent="0.2">
      <c r="B5844" s="25"/>
      <c r="E5844" s="10"/>
      <c r="O5844" s="10"/>
      <c r="V5844" s="10"/>
    </row>
    <row r="5845" spans="2:22" x14ac:dyDescent="0.2">
      <c r="B5845" s="25"/>
      <c r="E5845" s="10"/>
      <c r="O5845" s="10"/>
      <c r="V5845" s="10"/>
    </row>
    <row r="5846" spans="2:22" x14ac:dyDescent="0.2">
      <c r="B5846" s="25"/>
      <c r="E5846" s="10"/>
      <c r="O5846" s="10"/>
      <c r="V5846" s="10"/>
    </row>
    <row r="5847" spans="2:22" x14ac:dyDescent="0.2">
      <c r="B5847" s="25"/>
      <c r="E5847" s="10"/>
      <c r="O5847" s="10"/>
      <c r="V5847" s="10"/>
    </row>
    <row r="5848" spans="2:22" x14ac:dyDescent="0.2">
      <c r="B5848" s="25"/>
      <c r="E5848" s="10"/>
      <c r="O5848" s="10"/>
      <c r="V5848" s="10"/>
    </row>
    <row r="5849" spans="2:22" x14ac:dyDescent="0.2">
      <c r="B5849" s="25"/>
      <c r="E5849" s="10"/>
      <c r="O5849" s="10"/>
      <c r="V5849" s="10"/>
    </row>
    <row r="5850" spans="2:22" x14ac:dyDescent="0.2">
      <c r="B5850" s="25"/>
      <c r="E5850" s="10"/>
      <c r="O5850" s="10"/>
      <c r="V5850" s="10"/>
    </row>
    <row r="5851" spans="2:22" x14ac:dyDescent="0.2">
      <c r="B5851" s="25"/>
      <c r="E5851" s="10"/>
      <c r="O5851" s="10"/>
      <c r="V5851" s="10"/>
    </row>
    <row r="5852" spans="2:22" x14ac:dyDescent="0.2">
      <c r="B5852" s="25"/>
      <c r="E5852" s="10"/>
      <c r="O5852" s="10"/>
      <c r="V5852" s="10"/>
    </row>
    <row r="5853" spans="2:22" x14ac:dyDescent="0.2">
      <c r="B5853" s="25"/>
      <c r="E5853" s="10"/>
      <c r="O5853" s="10"/>
      <c r="V5853" s="10"/>
    </row>
    <row r="5854" spans="2:22" x14ac:dyDescent="0.2">
      <c r="B5854" s="25"/>
      <c r="E5854" s="10"/>
      <c r="O5854" s="10"/>
      <c r="V5854" s="10"/>
    </row>
    <row r="5855" spans="2:22" x14ac:dyDescent="0.2">
      <c r="B5855" s="25"/>
      <c r="E5855" s="10"/>
      <c r="O5855" s="10"/>
      <c r="V5855" s="10"/>
    </row>
    <row r="5856" spans="2:22" x14ac:dyDescent="0.2">
      <c r="B5856" s="25"/>
      <c r="E5856" s="10"/>
      <c r="O5856" s="10"/>
      <c r="V5856" s="10"/>
    </row>
    <row r="5857" spans="2:22" x14ac:dyDescent="0.2">
      <c r="B5857" s="25"/>
      <c r="E5857" s="10"/>
      <c r="O5857" s="10"/>
      <c r="V5857" s="10"/>
    </row>
    <row r="5858" spans="2:22" x14ac:dyDescent="0.2">
      <c r="B5858" s="25"/>
      <c r="E5858" s="10"/>
      <c r="O5858" s="10"/>
      <c r="V5858" s="10"/>
    </row>
    <row r="5859" spans="2:22" x14ac:dyDescent="0.2">
      <c r="B5859" s="25"/>
      <c r="E5859" s="10"/>
      <c r="O5859" s="10"/>
      <c r="V5859" s="10"/>
    </row>
    <row r="5860" spans="2:22" x14ac:dyDescent="0.2">
      <c r="B5860" s="25"/>
      <c r="E5860" s="10"/>
      <c r="O5860" s="10"/>
      <c r="V5860" s="10"/>
    </row>
    <row r="5861" spans="2:22" x14ac:dyDescent="0.2">
      <c r="B5861" s="25"/>
      <c r="E5861" s="10"/>
      <c r="O5861" s="10"/>
      <c r="V5861" s="10"/>
    </row>
    <row r="5862" spans="2:22" x14ac:dyDescent="0.2">
      <c r="B5862" s="25"/>
      <c r="E5862" s="10"/>
      <c r="O5862" s="10"/>
      <c r="V5862" s="10"/>
    </row>
    <row r="5863" spans="2:22" x14ac:dyDescent="0.2">
      <c r="B5863" s="25"/>
      <c r="E5863" s="10"/>
      <c r="O5863" s="10"/>
      <c r="V5863" s="10"/>
    </row>
    <row r="5864" spans="2:22" x14ac:dyDescent="0.2">
      <c r="B5864" s="25"/>
      <c r="E5864" s="10"/>
      <c r="O5864" s="10"/>
      <c r="V5864" s="10"/>
    </row>
    <row r="5865" spans="2:22" x14ac:dyDescent="0.2">
      <c r="B5865" s="25"/>
      <c r="E5865" s="10"/>
      <c r="O5865" s="10"/>
      <c r="V5865" s="10"/>
    </row>
    <row r="5866" spans="2:22" x14ac:dyDescent="0.2">
      <c r="B5866" s="25"/>
      <c r="E5866" s="10"/>
      <c r="O5866" s="10"/>
      <c r="V5866" s="10"/>
    </row>
    <row r="5867" spans="2:22" x14ac:dyDescent="0.2">
      <c r="B5867" s="25"/>
      <c r="E5867" s="10"/>
      <c r="O5867" s="10"/>
      <c r="V5867" s="10"/>
    </row>
    <row r="5868" spans="2:22" x14ac:dyDescent="0.2">
      <c r="B5868" s="25"/>
      <c r="E5868" s="10"/>
      <c r="O5868" s="10"/>
      <c r="V5868" s="10"/>
    </row>
    <row r="5869" spans="2:22" x14ac:dyDescent="0.2">
      <c r="B5869" s="25"/>
      <c r="E5869" s="10"/>
      <c r="O5869" s="10"/>
      <c r="V5869" s="10"/>
    </row>
    <row r="5870" spans="2:22" x14ac:dyDescent="0.2">
      <c r="B5870" s="25"/>
      <c r="E5870" s="10"/>
      <c r="O5870" s="10"/>
      <c r="V5870" s="10"/>
    </row>
    <row r="5871" spans="2:22" x14ac:dyDescent="0.2">
      <c r="B5871" s="25"/>
      <c r="E5871" s="10"/>
      <c r="O5871" s="10"/>
      <c r="V5871" s="10"/>
    </row>
    <row r="5872" spans="2:22" x14ac:dyDescent="0.2">
      <c r="B5872" s="25"/>
      <c r="E5872" s="10"/>
      <c r="O5872" s="10"/>
      <c r="V5872" s="10"/>
    </row>
    <row r="5873" spans="2:22" x14ac:dyDescent="0.2">
      <c r="B5873" s="25"/>
      <c r="E5873" s="10"/>
      <c r="O5873" s="10"/>
      <c r="V5873" s="10"/>
    </row>
    <row r="5874" spans="2:22" x14ac:dyDescent="0.2">
      <c r="B5874" s="25"/>
      <c r="E5874" s="10"/>
      <c r="O5874" s="10"/>
      <c r="V5874" s="10"/>
    </row>
    <row r="5875" spans="2:22" x14ac:dyDescent="0.2">
      <c r="B5875" s="25"/>
      <c r="E5875" s="10"/>
      <c r="O5875" s="10"/>
      <c r="V5875" s="10"/>
    </row>
    <row r="5876" spans="2:22" x14ac:dyDescent="0.2">
      <c r="B5876" s="25"/>
      <c r="E5876" s="10"/>
      <c r="O5876" s="10"/>
      <c r="V5876" s="10"/>
    </row>
    <row r="5877" spans="2:22" x14ac:dyDescent="0.2">
      <c r="B5877" s="25"/>
      <c r="E5877" s="10"/>
      <c r="O5877" s="10"/>
      <c r="V5877" s="10"/>
    </row>
    <row r="5878" spans="2:22" x14ac:dyDescent="0.2">
      <c r="B5878" s="25"/>
      <c r="E5878" s="10"/>
      <c r="O5878" s="10"/>
      <c r="V5878" s="10"/>
    </row>
    <row r="5879" spans="2:22" x14ac:dyDescent="0.2">
      <c r="B5879" s="25"/>
      <c r="E5879" s="10"/>
      <c r="O5879" s="10"/>
      <c r="V5879" s="10"/>
    </row>
    <row r="5880" spans="2:22" x14ac:dyDescent="0.2">
      <c r="B5880" s="25"/>
      <c r="E5880" s="10"/>
      <c r="O5880" s="10"/>
      <c r="V5880" s="10"/>
    </row>
    <row r="5881" spans="2:22" x14ac:dyDescent="0.2">
      <c r="B5881" s="25"/>
      <c r="E5881" s="10"/>
      <c r="O5881" s="10"/>
      <c r="V5881" s="10"/>
    </row>
    <row r="5882" spans="2:22" x14ac:dyDescent="0.2">
      <c r="B5882" s="25"/>
      <c r="E5882" s="10"/>
      <c r="O5882" s="10"/>
      <c r="V5882" s="10"/>
    </row>
    <row r="5883" spans="2:22" x14ac:dyDescent="0.2">
      <c r="B5883" s="25"/>
      <c r="E5883" s="10"/>
      <c r="O5883" s="10"/>
      <c r="V5883" s="10"/>
    </row>
    <row r="5884" spans="2:22" x14ac:dyDescent="0.2">
      <c r="B5884" s="25"/>
      <c r="E5884" s="10"/>
      <c r="O5884" s="10"/>
      <c r="V5884" s="10"/>
    </row>
    <row r="5885" spans="2:22" x14ac:dyDescent="0.2">
      <c r="B5885" s="25"/>
      <c r="E5885" s="10"/>
      <c r="O5885" s="10"/>
      <c r="V5885" s="10"/>
    </row>
    <row r="5886" spans="2:22" x14ac:dyDescent="0.2">
      <c r="B5886" s="25"/>
      <c r="E5886" s="10"/>
      <c r="O5886" s="10"/>
      <c r="V5886" s="10"/>
    </row>
    <row r="5887" spans="2:22" x14ac:dyDescent="0.2">
      <c r="B5887" s="25"/>
      <c r="E5887" s="10"/>
      <c r="O5887" s="10"/>
      <c r="V5887" s="10"/>
    </row>
    <row r="5888" spans="2:22" x14ac:dyDescent="0.2">
      <c r="B5888" s="25"/>
      <c r="E5888" s="10"/>
      <c r="O5888" s="10"/>
      <c r="V5888" s="10"/>
    </row>
    <row r="5889" spans="2:22" x14ac:dyDescent="0.2">
      <c r="B5889" s="25"/>
      <c r="E5889" s="10"/>
      <c r="O5889" s="10"/>
      <c r="V5889" s="10"/>
    </row>
    <row r="5890" spans="2:22" x14ac:dyDescent="0.2">
      <c r="B5890" s="25"/>
      <c r="E5890" s="10"/>
      <c r="O5890" s="10"/>
      <c r="V5890" s="10"/>
    </row>
    <row r="5891" spans="2:22" x14ac:dyDescent="0.2">
      <c r="B5891" s="25"/>
      <c r="E5891" s="10"/>
      <c r="O5891" s="10"/>
      <c r="V5891" s="10"/>
    </row>
    <row r="5892" spans="2:22" x14ac:dyDescent="0.2">
      <c r="B5892" s="25"/>
      <c r="E5892" s="10"/>
      <c r="O5892" s="10"/>
      <c r="V5892" s="10"/>
    </row>
    <row r="5893" spans="2:22" x14ac:dyDescent="0.2">
      <c r="B5893" s="25"/>
      <c r="E5893" s="10"/>
      <c r="O5893" s="10"/>
      <c r="V5893" s="10"/>
    </row>
    <row r="5894" spans="2:22" x14ac:dyDescent="0.2">
      <c r="B5894" s="25"/>
      <c r="E5894" s="10"/>
      <c r="O5894" s="10"/>
      <c r="V5894" s="10"/>
    </row>
    <row r="5895" spans="2:22" x14ac:dyDescent="0.2">
      <c r="B5895" s="25"/>
      <c r="E5895" s="10"/>
      <c r="O5895" s="10"/>
      <c r="V5895" s="10"/>
    </row>
    <row r="5896" spans="2:22" x14ac:dyDescent="0.2">
      <c r="B5896" s="25"/>
      <c r="E5896" s="10"/>
      <c r="O5896" s="10"/>
      <c r="V5896" s="10"/>
    </row>
    <row r="5897" spans="2:22" x14ac:dyDescent="0.2">
      <c r="B5897" s="25"/>
      <c r="E5897" s="10"/>
      <c r="O5897" s="10"/>
      <c r="V5897" s="10"/>
    </row>
    <row r="5898" spans="2:22" x14ac:dyDescent="0.2">
      <c r="B5898" s="25"/>
      <c r="E5898" s="10"/>
      <c r="O5898" s="10"/>
      <c r="V5898" s="10"/>
    </row>
    <row r="5899" spans="2:22" x14ac:dyDescent="0.2">
      <c r="B5899" s="25"/>
      <c r="E5899" s="10"/>
      <c r="O5899" s="10"/>
      <c r="V5899" s="10"/>
    </row>
    <row r="5900" spans="2:22" x14ac:dyDescent="0.2">
      <c r="B5900" s="25"/>
      <c r="E5900" s="10"/>
      <c r="O5900" s="10"/>
      <c r="V5900" s="10"/>
    </row>
    <row r="5901" spans="2:22" x14ac:dyDescent="0.2">
      <c r="B5901" s="25"/>
      <c r="E5901" s="10"/>
      <c r="O5901" s="10"/>
      <c r="V5901" s="10"/>
    </row>
    <row r="5902" spans="2:22" x14ac:dyDescent="0.2">
      <c r="B5902" s="25"/>
      <c r="E5902" s="10"/>
      <c r="O5902" s="10"/>
      <c r="V5902" s="10"/>
    </row>
    <row r="5903" spans="2:22" x14ac:dyDescent="0.2">
      <c r="B5903" s="25"/>
      <c r="E5903" s="10"/>
      <c r="O5903" s="10"/>
      <c r="V5903" s="10"/>
    </row>
    <row r="5904" spans="2:22" x14ac:dyDescent="0.2">
      <c r="B5904" s="25"/>
      <c r="E5904" s="10"/>
      <c r="O5904" s="10"/>
      <c r="V5904" s="10"/>
    </row>
    <row r="5905" spans="2:22" x14ac:dyDescent="0.2">
      <c r="B5905" s="25"/>
      <c r="E5905" s="10"/>
      <c r="O5905" s="10"/>
      <c r="V5905" s="10"/>
    </row>
    <row r="5906" spans="2:22" x14ac:dyDescent="0.2">
      <c r="B5906" s="25"/>
      <c r="E5906" s="10"/>
      <c r="O5906" s="10"/>
      <c r="V5906" s="10"/>
    </row>
    <row r="5907" spans="2:22" x14ac:dyDescent="0.2">
      <c r="B5907" s="25"/>
      <c r="E5907" s="10"/>
      <c r="O5907" s="10"/>
      <c r="V5907" s="10"/>
    </row>
    <row r="5908" spans="2:22" x14ac:dyDescent="0.2">
      <c r="B5908" s="25"/>
      <c r="E5908" s="10"/>
      <c r="O5908" s="10"/>
      <c r="V5908" s="10"/>
    </row>
    <row r="5909" spans="2:22" x14ac:dyDescent="0.2">
      <c r="B5909" s="25"/>
      <c r="E5909" s="10"/>
      <c r="O5909" s="10"/>
      <c r="V5909" s="10"/>
    </row>
    <row r="5910" spans="2:22" x14ac:dyDescent="0.2">
      <c r="B5910" s="25"/>
      <c r="E5910" s="10"/>
      <c r="O5910" s="10"/>
      <c r="V5910" s="10"/>
    </row>
    <row r="5911" spans="2:22" x14ac:dyDescent="0.2">
      <c r="B5911" s="25"/>
      <c r="E5911" s="10"/>
      <c r="O5911" s="10"/>
      <c r="V5911" s="10"/>
    </row>
    <row r="5912" spans="2:22" x14ac:dyDescent="0.2">
      <c r="B5912" s="25"/>
      <c r="E5912" s="10"/>
      <c r="O5912" s="10"/>
      <c r="V5912" s="10"/>
    </row>
    <row r="5913" spans="2:22" x14ac:dyDescent="0.2">
      <c r="B5913" s="25"/>
      <c r="E5913" s="10"/>
      <c r="O5913" s="10"/>
      <c r="V5913" s="10"/>
    </row>
    <row r="5914" spans="2:22" x14ac:dyDescent="0.2">
      <c r="B5914" s="25"/>
      <c r="E5914" s="10"/>
      <c r="O5914" s="10"/>
      <c r="V5914" s="10"/>
    </row>
    <row r="5915" spans="2:22" x14ac:dyDescent="0.2">
      <c r="B5915" s="25"/>
      <c r="E5915" s="10"/>
      <c r="O5915" s="10"/>
      <c r="V5915" s="10"/>
    </row>
    <row r="5916" spans="2:22" x14ac:dyDescent="0.2">
      <c r="B5916" s="25"/>
      <c r="E5916" s="10"/>
      <c r="O5916" s="10"/>
      <c r="V5916" s="10"/>
    </row>
    <row r="5917" spans="2:22" x14ac:dyDescent="0.2">
      <c r="B5917" s="25"/>
      <c r="E5917" s="10"/>
      <c r="O5917" s="10"/>
      <c r="V5917" s="10"/>
    </row>
    <row r="5918" spans="2:22" x14ac:dyDescent="0.2">
      <c r="B5918" s="25"/>
      <c r="E5918" s="10"/>
      <c r="O5918" s="10"/>
      <c r="V5918" s="10"/>
    </row>
    <row r="5919" spans="2:22" x14ac:dyDescent="0.2">
      <c r="B5919" s="25"/>
      <c r="E5919" s="10"/>
      <c r="O5919" s="10"/>
      <c r="V5919" s="10"/>
    </row>
    <row r="5920" spans="2:22" x14ac:dyDescent="0.2">
      <c r="B5920" s="25"/>
      <c r="E5920" s="10"/>
      <c r="O5920" s="10"/>
      <c r="V5920" s="10"/>
    </row>
    <row r="5921" spans="2:22" x14ac:dyDescent="0.2">
      <c r="B5921" s="25"/>
      <c r="E5921" s="10"/>
      <c r="O5921" s="10"/>
      <c r="V5921" s="10"/>
    </row>
    <row r="5922" spans="2:22" x14ac:dyDescent="0.2">
      <c r="B5922" s="25"/>
      <c r="E5922" s="10"/>
      <c r="O5922" s="10"/>
      <c r="V5922" s="10"/>
    </row>
    <row r="5923" spans="2:22" x14ac:dyDescent="0.2">
      <c r="B5923" s="25"/>
      <c r="E5923" s="10"/>
      <c r="O5923" s="10"/>
      <c r="V5923" s="10"/>
    </row>
    <row r="5924" spans="2:22" x14ac:dyDescent="0.2">
      <c r="B5924" s="25"/>
      <c r="E5924" s="10"/>
      <c r="O5924" s="10"/>
      <c r="V5924" s="10"/>
    </row>
    <row r="5925" spans="2:22" x14ac:dyDescent="0.2">
      <c r="B5925" s="25"/>
      <c r="E5925" s="10"/>
      <c r="O5925" s="10"/>
      <c r="V5925" s="10"/>
    </row>
    <row r="5926" spans="2:22" x14ac:dyDescent="0.2">
      <c r="B5926" s="25"/>
      <c r="E5926" s="10"/>
      <c r="O5926" s="10"/>
      <c r="V5926" s="10"/>
    </row>
    <row r="5927" spans="2:22" x14ac:dyDescent="0.2">
      <c r="B5927" s="25"/>
      <c r="E5927" s="10"/>
      <c r="O5927" s="10"/>
      <c r="V5927" s="10"/>
    </row>
    <row r="5928" spans="2:22" x14ac:dyDescent="0.2">
      <c r="B5928" s="25"/>
      <c r="E5928" s="10"/>
      <c r="O5928" s="10"/>
      <c r="V5928" s="10"/>
    </row>
    <row r="5929" spans="2:22" x14ac:dyDescent="0.2">
      <c r="B5929" s="25"/>
      <c r="E5929" s="10"/>
      <c r="O5929" s="10"/>
      <c r="V5929" s="10"/>
    </row>
    <row r="5930" spans="2:22" x14ac:dyDescent="0.2">
      <c r="B5930" s="25"/>
      <c r="E5930" s="10"/>
      <c r="O5930" s="10"/>
      <c r="V5930" s="10"/>
    </row>
    <row r="5931" spans="2:22" x14ac:dyDescent="0.2">
      <c r="B5931" s="25"/>
      <c r="E5931" s="10"/>
      <c r="O5931" s="10"/>
      <c r="V5931" s="10"/>
    </row>
    <row r="5932" spans="2:22" x14ac:dyDescent="0.2">
      <c r="B5932" s="25"/>
      <c r="E5932" s="10"/>
      <c r="O5932" s="10"/>
      <c r="V5932" s="10"/>
    </row>
    <row r="5933" spans="2:22" x14ac:dyDescent="0.2">
      <c r="B5933" s="25"/>
      <c r="E5933" s="10"/>
      <c r="O5933" s="10"/>
      <c r="V5933" s="10"/>
    </row>
    <row r="5934" spans="2:22" x14ac:dyDescent="0.2">
      <c r="B5934" s="25"/>
      <c r="E5934" s="10"/>
      <c r="O5934" s="10"/>
      <c r="V5934" s="10"/>
    </row>
    <row r="5935" spans="2:22" x14ac:dyDescent="0.2">
      <c r="B5935" s="25"/>
      <c r="E5935" s="10"/>
      <c r="O5935" s="10"/>
      <c r="V5935" s="10"/>
    </row>
    <row r="5936" spans="2:22" x14ac:dyDescent="0.2">
      <c r="B5936" s="25"/>
      <c r="E5936" s="10"/>
      <c r="O5936" s="10"/>
      <c r="V5936" s="10"/>
    </row>
    <row r="5937" spans="2:22" x14ac:dyDescent="0.2">
      <c r="B5937" s="25"/>
      <c r="E5937" s="10"/>
      <c r="O5937" s="10"/>
      <c r="V5937" s="10"/>
    </row>
    <row r="5938" spans="2:22" x14ac:dyDescent="0.2">
      <c r="B5938" s="25"/>
      <c r="E5938" s="10"/>
      <c r="O5938" s="10"/>
      <c r="V5938" s="10"/>
    </row>
    <row r="5939" spans="2:22" x14ac:dyDescent="0.2">
      <c r="B5939" s="25"/>
      <c r="E5939" s="10"/>
      <c r="O5939" s="10"/>
      <c r="V5939" s="10"/>
    </row>
    <row r="5940" spans="2:22" x14ac:dyDescent="0.2">
      <c r="B5940" s="25"/>
      <c r="E5940" s="10"/>
      <c r="O5940" s="10"/>
      <c r="V5940" s="10"/>
    </row>
    <row r="5941" spans="2:22" x14ac:dyDescent="0.2">
      <c r="B5941" s="25"/>
      <c r="E5941" s="10"/>
      <c r="O5941" s="10"/>
      <c r="V5941" s="10"/>
    </row>
    <row r="5942" spans="2:22" x14ac:dyDescent="0.2">
      <c r="B5942" s="25"/>
      <c r="E5942" s="10"/>
      <c r="O5942" s="10"/>
      <c r="V5942" s="10"/>
    </row>
    <row r="5943" spans="2:22" x14ac:dyDescent="0.2">
      <c r="B5943" s="25"/>
      <c r="E5943" s="10"/>
      <c r="O5943" s="10"/>
      <c r="V5943" s="10"/>
    </row>
    <row r="5944" spans="2:22" x14ac:dyDescent="0.2">
      <c r="B5944" s="25"/>
      <c r="E5944" s="10"/>
      <c r="O5944" s="10"/>
      <c r="V5944" s="10"/>
    </row>
    <row r="5945" spans="2:22" x14ac:dyDescent="0.2">
      <c r="B5945" s="25"/>
      <c r="E5945" s="10"/>
      <c r="O5945" s="10"/>
      <c r="V5945" s="10"/>
    </row>
    <row r="5946" spans="2:22" x14ac:dyDescent="0.2">
      <c r="B5946" s="25"/>
      <c r="E5946" s="10"/>
      <c r="O5946" s="10"/>
      <c r="V5946" s="10"/>
    </row>
    <row r="5947" spans="2:22" x14ac:dyDescent="0.2">
      <c r="B5947" s="25"/>
      <c r="E5947" s="10"/>
      <c r="O5947" s="10"/>
      <c r="V5947" s="10"/>
    </row>
    <row r="5948" spans="2:22" x14ac:dyDescent="0.2">
      <c r="B5948" s="25"/>
      <c r="E5948" s="10"/>
      <c r="O5948" s="10"/>
      <c r="V5948" s="10"/>
    </row>
    <row r="5949" spans="2:22" x14ac:dyDescent="0.2">
      <c r="B5949" s="25"/>
      <c r="E5949" s="10"/>
      <c r="O5949" s="10"/>
      <c r="V5949" s="10"/>
    </row>
    <row r="5950" spans="2:22" x14ac:dyDescent="0.2">
      <c r="B5950" s="25"/>
      <c r="E5950" s="10"/>
      <c r="O5950" s="10"/>
      <c r="V5950" s="10"/>
    </row>
    <row r="5951" spans="2:22" x14ac:dyDescent="0.2">
      <c r="B5951" s="25"/>
      <c r="E5951" s="10"/>
      <c r="O5951" s="10"/>
      <c r="V5951" s="10"/>
    </row>
    <row r="5952" spans="2:22" x14ac:dyDescent="0.2">
      <c r="B5952" s="25"/>
      <c r="E5952" s="10"/>
      <c r="O5952" s="10"/>
      <c r="V5952" s="10"/>
    </row>
    <row r="5953" spans="2:22" x14ac:dyDescent="0.2">
      <c r="B5953" s="25"/>
      <c r="E5953" s="10"/>
      <c r="O5953" s="10"/>
      <c r="V5953" s="10"/>
    </row>
    <row r="5954" spans="2:22" x14ac:dyDescent="0.2">
      <c r="B5954" s="25"/>
      <c r="E5954" s="10"/>
      <c r="O5954" s="10"/>
      <c r="V5954" s="10"/>
    </row>
    <row r="5955" spans="2:22" x14ac:dyDescent="0.2">
      <c r="B5955" s="25"/>
      <c r="E5955" s="10"/>
      <c r="O5955" s="10"/>
      <c r="V5955" s="10"/>
    </row>
    <row r="5956" spans="2:22" x14ac:dyDescent="0.2">
      <c r="B5956" s="25"/>
      <c r="E5956" s="10"/>
      <c r="O5956" s="10"/>
      <c r="V5956" s="10"/>
    </row>
    <row r="5957" spans="2:22" x14ac:dyDescent="0.2">
      <c r="B5957" s="25"/>
      <c r="E5957" s="10"/>
      <c r="O5957" s="10"/>
      <c r="V5957" s="10"/>
    </row>
    <row r="5958" spans="2:22" x14ac:dyDescent="0.2">
      <c r="B5958" s="25"/>
      <c r="E5958" s="10"/>
      <c r="O5958" s="10"/>
      <c r="V5958" s="10"/>
    </row>
    <row r="5959" spans="2:22" x14ac:dyDescent="0.2">
      <c r="B5959" s="25"/>
      <c r="E5959" s="10"/>
      <c r="O5959" s="10"/>
      <c r="V5959" s="10"/>
    </row>
    <row r="5960" spans="2:22" x14ac:dyDescent="0.2">
      <c r="B5960" s="25"/>
      <c r="E5960" s="10"/>
      <c r="O5960" s="10"/>
      <c r="V5960" s="10"/>
    </row>
    <row r="5961" spans="2:22" x14ac:dyDescent="0.2">
      <c r="B5961" s="25"/>
      <c r="E5961" s="10"/>
      <c r="O5961" s="10"/>
      <c r="V5961" s="10"/>
    </row>
    <row r="5962" spans="2:22" x14ac:dyDescent="0.2">
      <c r="B5962" s="25"/>
      <c r="E5962" s="10"/>
      <c r="O5962" s="10"/>
      <c r="V5962" s="10"/>
    </row>
    <row r="5963" spans="2:22" x14ac:dyDescent="0.2">
      <c r="B5963" s="25"/>
      <c r="E5963" s="10"/>
      <c r="O5963" s="10"/>
      <c r="V5963" s="10"/>
    </row>
    <row r="5964" spans="2:22" x14ac:dyDescent="0.2">
      <c r="B5964" s="25"/>
      <c r="E5964" s="10"/>
      <c r="O5964" s="10"/>
      <c r="V5964" s="10"/>
    </row>
    <row r="5965" spans="2:22" x14ac:dyDescent="0.2">
      <c r="B5965" s="25"/>
      <c r="E5965" s="10"/>
      <c r="O5965" s="10"/>
      <c r="V5965" s="10"/>
    </row>
    <row r="5966" spans="2:22" x14ac:dyDescent="0.2">
      <c r="B5966" s="25"/>
      <c r="E5966" s="10"/>
      <c r="O5966" s="10"/>
      <c r="V5966" s="10"/>
    </row>
    <row r="5967" spans="2:22" x14ac:dyDescent="0.2">
      <c r="B5967" s="25"/>
      <c r="E5967" s="10"/>
      <c r="O5967" s="10"/>
      <c r="V5967" s="10"/>
    </row>
    <row r="5968" spans="2:22" x14ac:dyDescent="0.2">
      <c r="B5968" s="25"/>
      <c r="E5968" s="10"/>
      <c r="O5968" s="10"/>
      <c r="V5968" s="10"/>
    </row>
    <row r="5969" spans="2:22" x14ac:dyDescent="0.2">
      <c r="B5969" s="25"/>
      <c r="E5969" s="10"/>
      <c r="O5969" s="10"/>
      <c r="V5969" s="10"/>
    </row>
    <row r="5970" spans="2:22" x14ac:dyDescent="0.2">
      <c r="B5970" s="25"/>
      <c r="E5970" s="10"/>
      <c r="O5970" s="10"/>
      <c r="V5970" s="10"/>
    </row>
    <row r="5971" spans="2:22" x14ac:dyDescent="0.2">
      <c r="B5971" s="25"/>
      <c r="E5971" s="10"/>
      <c r="O5971" s="10"/>
      <c r="V5971" s="10"/>
    </row>
    <row r="5972" spans="2:22" x14ac:dyDescent="0.2">
      <c r="B5972" s="25"/>
      <c r="E5972" s="10"/>
      <c r="O5972" s="10"/>
      <c r="V5972" s="10"/>
    </row>
    <row r="5973" spans="2:22" x14ac:dyDescent="0.2">
      <c r="B5973" s="25"/>
      <c r="E5973" s="10"/>
      <c r="O5973" s="10"/>
      <c r="V5973" s="10"/>
    </row>
    <row r="5974" spans="2:22" x14ac:dyDescent="0.2">
      <c r="B5974" s="25"/>
      <c r="E5974" s="10"/>
      <c r="O5974" s="10"/>
      <c r="V5974" s="10"/>
    </row>
    <row r="5975" spans="2:22" x14ac:dyDescent="0.2">
      <c r="B5975" s="25"/>
      <c r="E5975" s="10"/>
      <c r="O5975" s="10"/>
      <c r="V5975" s="10"/>
    </row>
    <row r="5976" spans="2:22" x14ac:dyDescent="0.2">
      <c r="B5976" s="25"/>
      <c r="E5976" s="10"/>
      <c r="O5976" s="10"/>
      <c r="V5976" s="10"/>
    </row>
    <row r="5977" spans="2:22" x14ac:dyDescent="0.2">
      <c r="B5977" s="25"/>
      <c r="E5977" s="10"/>
      <c r="O5977" s="10"/>
      <c r="V5977" s="10"/>
    </row>
    <row r="5978" spans="2:22" x14ac:dyDescent="0.2">
      <c r="B5978" s="25"/>
      <c r="E5978" s="10"/>
      <c r="O5978" s="10"/>
      <c r="V5978" s="10"/>
    </row>
    <row r="5979" spans="2:22" x14ac:dyDescent="0.2">
      <c r="B5979" s="25"/>
      <c r="E5979" s="10"/>
      <c r="O5979" s="10"/>
      <c r="V5979" s="10"/>
    </row>
    <row r="5980" spans="2:22" x14ac:dyDescent="0.2">
      <c r="B5980" s="25"/>
      <c r="E5980" s="10"/>
      <c r="O5980" s="10"/>
      <c r="V5980" s="10"/>
    </row>
    <row r="5981" spans="2:22" x14ac:dyDescent="0.2">
      <c r="B5981" s="25"/>
      <c r="E5981" s="10"/>
      <c r="O5981" s="10"/>
      <c r="V5981" s="10"/>
    </row>
    <row r="5982" spans="2:22" x14ac:dyDescent="0.2">
      <c r="B5982" s="25"/>
      <c r="E5982" s="10"/>
      <c r="O5982" s="10"/>
      <c r="V5982" s="10"/>
    </row>
    <row r="5983" spans="2:22" x14ac:dyDescent="0.2">
      <c r="B5983" s="25"/>
      <c r="E5983" s="10"/>
      <c r="O5983" s="10"/>
      <c r="V5983" s="10"/>
    </row>
    <row r="5984" spans="2:22" x14ac:dyDescent="0.2">
      <c r="B5984" s="25"/>
      <c r="E5984" s="10"/>
      <c r="O5984" s="10"/>
      <c r="V5984" s="10"/>
    </row>
    <row r="5985" spans="2:22" x14ac:dyDescent="0.2">
      <c r="B5985" s="25"/>
      <c r="E5985" s="10"/>
      <c r="O5985" s="10"/>
      <c r="V5985" s="10"/>
    </row>
    <row r="5986" spans="2:22" x14ac:dyDescent="0.2">
      <c r="B5986" s="25"/>
      <c r="E5986" s="10"/>
      <c r="O5986" s="10"/>
      <c r="V5986" s="10"/>
    </row>
    <row r="5987" spans="2:22" x14ac:dyDescent="0.2">
      <c r="B5987" s="25"/>
      <c r="E5987" s="10"/>
      <c r="O5987" s="10"/>
      <c r="V5987" s="10"/>
    </row>
    <row r="5988" spans="2:22" x14ac:dyDescent="0.2">
      <c r="B5988" s="25"/>
      <c r="E5988" s="10"/>
      <c r="O5988" s="10"/>
      <c r="V5988" s="10"/>
    </row>
    <row r="5989" spans="2:22" x14ac:dyDescent="0.2">
      <c r="B5989" s="25"/>
      <c r="E5989" s="10"/>
      <c r="O5989" s="10"/>
      <c r="V5989" s="10"/>
    </row>
    <row r="5990" spans="2:22" x14ac:dyDescent="0.2">
      <c r="B5990" s="25"/>
      <c r="E5990" s="10"/>
      <c r="O5990" s="10"/>
      <c r="V5990" s="10"/>
    </row>
    <row r="5991" spans="2:22" x14ac:dyDescent="0.2">
      <c r="B5991" s="25"/>
      <c r="E5991" s="10"/>
      <c r="O5991" s="10"/>
      <c r="V5991" s="10"/>
    </row>
    <row r="5992" spans="2:22" x14ac:dyDescent="0.2">
      <c r="B5992" s="25"/>
      <c r="E5992" s="10"/>
      <c r="O5992" s="10"/>
      <c r="V5992" s="10"/>
    </row>
    <row r="5993" spans="2:22" x14ac:dyDescent="0.2">
      <c r="B5993" s="25"/>
      <c r="E5993" s="10"/>
      <c r="O5993" s="10"/>
      <c r="V5993" s="10"/>
    </row>
    <row r="5994" spans="2:22" x14ac:dyDescent="0.2">
      <c r="B5994" s="25"/>
      <c r="E5994" s="10"/>
      <c r="O5994" s="10"/>
      <c r="V5994" s="10"/>
    </row>
    <row r="5995" spans="2:22" x14ac:dyDescent="0.2">
      <c r="B5995" s="25"/>
      <c r="E5995" s="10"/>
      <c r="O5995" s="10"/>
      <c r="V5995" s="10"/>
    </row>
    <row r="5996" spans="2:22" x14ac:dyDescent="0.2">
      <c r="B5996" s="25"/>
      <c r="E5996" s="10"/>
      <c r="O5996" s="10"/>
      <c r="V5996" s="10"/>
    </row>
    <row r="5997" spans="2:22" x14ac:dyDescent="0.2">
      <c r="B5997" s="25"/>
      <c r="E5997" s="10"/>
      <c r="O5997" s="10"/>
      <c r="V5997" s="10"/>
    </row>
    <row r="5998" spans="2:22" x14ac:dyDescent="0.2">
      <c r="B5998" s="25"/>
      <c r="E5998" s="10"/>
      <c r="O5998" s="10"/>
      <c r="V5998" s="10"/>
    </row>
    <row r="5999" spans="2:22" x14ac:dyDescent="0.2">
      <c r="B5999" s="25"/>
      <c r="E5999" s="10"/>
      <c r="O5999" s="10"/>
      <c r="V5999" s="10"/>
    </row>
    <row r="6000" spans="2:22" x14ac:dyDescent="0.2">
      <c r="B6000" s="25"/>
      <c r="E6000" s="10"/>
      <c r="O6000" s="10"/>
      <c r="V6000" s="10"/>
    </row>
    <row r="6001" spans="2:22" x14ac:dyDescent="0.2">
      <c r="B6001" s="25"/>
      <c r="E6001" s="10"/>
      <c r="O6001" s="10"/>
      <c r="V6001" s="10"/>
    </row>
    <row r="6002" spans="2:22" x14ac:dyDescent="0.2">
      <c r="B6002" s="25"/>
      <c r="E6002" s="10"/>
      <c r="O6002" s="10"/>
      <c r="V6002" s="10"/>
    </row>
    <row r="6003" spans="2:22" x14ac:dyDescent="0.2">
      <c r="B6003" s="25"/>
      <c r="E6003" s="10"/>
      <c r="O6003" s="10"/>
      <c r="V6003" s="10"/>
    </row>
    <row r="6004" spans="2:22" x14ac:dyDescent="0.2">
      <c r="B6004" s="25"/>
      <c r="E6004" s="10"/>
      <c r="O6004" s="10"/>
      <c r="V6004" s="10"/>
    </row>
    <row r="6005" spans="2:22" x14ac:dyDescent="0.2">
      <c r="B6005" s="25"/>
      <c r="E6005" s="10"/>
      <c r="O6005" s="10"/>
      <c r="V6005" s="10"/>
    </row>
    <row r="6006" spans="2:22" x14ac:dyDescent="0.2">
      <c r="B6006" s="25"/>
      <c r="E6006" s="10"/>
      <c r="O6006" s="10"/>
      <c r="V6006" s="10"/>
    </row>
    <row r="6007" spans="2:22" x14ac:dyDescent="0.2">
      <c r="B6007" s="25"/>
      <c r="E6007" s="10"/>
      <c r="O6007" s="10"/>
      <c r="V6007" s="10"/>
    </row>
    <row r="6008" spans="2:22" x14ac:dyDescent="0.2">
      <c r="B6008" s="25"/>
      <c r="E6008" s="10"/>
      <c r="O6008" s="10"/>
      <c r="V6008" s="10"/>
    </row>
    <row r="6009" spans="2:22" x14ac:dyDescent="0.2">
      <c r="B6009" s="25"/>
      <c r="E6009" s="10"/>
      <c r="O6009" s="10"/>
      <c r="V6009" s="10"/>
    </row>
    <row r="6010" spans="2:22" x14ac:dyDescent="0.2">
      <c r="B6010" s="25"/>
      <c r="E6010" s="10"/>
      <c r="O6010" s="10"/>
      <c r="V6010" s="10"/>
    </row>
    <row r="6011" spans="2:22" x14ac:dyDescent="0.2">
      <c r="B6011" s="25"/>
      <c r="E6011" s="10"/>
      <c r="O6011" s="10"/>
      <c r="V6011" s="10"/>
    </row>
    <row r="6012" spans="2:22" x14ac:dyDescent="0.2">
      <c r="B6012" s="25"/>
      <c r="E6012" s="10"/>
      <c r="O6012" s="10"/>
      <c r="V6012" s="10"/>
    </row>
    <row r="6013" spans="2:22" x14ac:dyDescent="0.2">
      <c r="B6013" s="25"/>
      <c r="E6013" s="10"/>
      <c r="O6013" s="10"/>
      <c r="V6013" s="10"/>
    </row>
    <row r="6014" spans="2:22" x14ac:dyDescent="0.2">
      <c r="B6014" s="25"/>
      <c r="E6014" s="10"/>
      <c r="O6014" s="10"/>
      <c r="V6014" s="10"/>
    </row>
    <row r="6015" spans="2:22" x14ac:dyDescent="0.2">
      <c r="B6015" s="25"/>
      <c r="E6015" s="10"/>
      <c r="O6015" s="10"/>
      <c r="V6015" s="10"/>
    </row>
    <row r="6016" spans="2:22" x14ac:dyDescent="0.2">
      <c r="B6016" s="25"/>
      <c r="E6016" s="10"/>
      <c r="O6016" s="10"/>
      <c r="V6016" s="10"/>
    </row>
    <row r="6017" spans="2:22" x14ac:dyDescent="0.2">
      <c r="B6017" s="25"/>
      <c r="E6017" s="10"/>
      <c r="O6017" s="10"/>
      <c r="V6017" s="10"/>
    </row>
    <row r="6018" spans="2:22" x14ac:dyDescent="0.2">
      <c r="B6018" s="25"/>
      <c r="E6018" s="10"/>
      <c r="O6018" s="10"/>
      <c r="V6018" s="10"/>
    </row>
    <row r="6019" spans="2:22" x14ac:dyDescent="0.2">
      <c r="B6019" s="25"/>
      <c r="E6019" s="10"/>
      <c r="O6019" s="10"/>
      <c r="V6019" s="10"/>
    </row>
    <row r="6020" spans="2:22" x14ac:dyDescent="0.2">
      <c r="B6020" s="25"/>
      <c r="E6020" s="10"/>
      <c r="O6020" s="10"/>
      <c r="V6020" s="10"/>
    </row>
    <row r="6021" spans="2:22" x14ac:dyDescent="0.2">
      <c r="B6021" s="25"/>
      <c r="E6021" s="10"/>
      <c r="O6021" s="10"/>
      <c r="V6021" s="10"/>
    </row>
    <row r="6022" spans="2:22" x14ac:dyDescent="0.2">
      <c r="B6022" s="25"/>
      <c r="E6022" s="10"/>
      <c r="O6022" s="10"/>
      <c r="V6022" s="10"/>
    </row>
    <row r="6023" spans="2:22" x14ac:dyDescent="0.2">
      <c r="B6023" s="25"/>
      <c r="E6023" s="10"/>
      <c r="O6023" s="10"/>
      <c r="V6023" s="10"/>
    </row>
    <row r="6024" spans="2:22" x14ac:dyDescent="0.2">
      <c r="B6024" s="25"/>
      <c r="E6024" s="10"/>
      <c r="O6024" s="10"/>
      <c r="V6024" s="10"/>
    </row>
    <row r="6025" spans="2:22" x14ac:dyDescent="0.2">
      <c r="B6025" s="25"/>
      <c r="E6025" s="10"/>
      <c r="O6025" s="10"/>
      <c r="V6025" s="10"/>
    </row>
    <row r="6026" spans="2:22" x14ac:dyDescent="0.2">
      <c r="B6026" s="25"/>
      <c r="E6026" s="10"/>
      <c r="O6026" s="10"/>
      <c r="V6026" s="10"/>
    </row>
    <row r="6027" spans="2:22" x14ac:dyDescent="0.2">
      <c r="B6027" s="25"/>
      <c r="E6027" s="10"/>
      <c r="O6027" s="10"/>
      <c r="V6027" s="10"/>
    </row>
    <row r="6028" spans="2:22" x14ac:dyDescent="0.2">
      <c r="B6028" s="25"/>
      <c r="E6028" s="10"/>
      <c r="O6028" s="10"/>
      <c r="V6028" s="10"/>
    </row>
    <row r="6029" spans="2:22" x14ac:dyDescent="0.2">
      <c r="B6029" s="25"/>
      <c r="E6029" s="10"/>
      <c r="O6029" s="10"/>
      <c r="V6029" s="10"/>
    </row>
    <row r="6030" spans="2:22" x14ac:dyDescent="0.2">
      <c r="B6030" s="25"/>
      <c r="E6030" s="10"/>
      <c r="O6030" s="10"/>
      <c r="V6030" s="10"/>
    </row>
    <row r="6031" spans="2:22" x14ac:dyDescent="0.2">
      <c r="B6031" s="25"/>
      <c r="E6031" s="10"/>
      <c r="O6031" s="10"/>
      <c r="V6031" s="10"/>
    </row>
    <row r="6032" spans="2:22" x14ac:dyDescent="0.2">
      <c r="B6032" s="25"/>
      <c r="E6032" s="10"/>
      <c r="O6032" s="10"/>
      <c r="V6032" s="10"/>
    </row>
    <row r="6033" spans="2:22" x14ac:dyDescent="0.2">
      <c r="B6033" s="25"/>
      <c r="E6033" s="10"/>
      <c r="O6033" s="10"/>
      <c r="V6033" s="10"/>
    </row>
    <row r="6034" spans="2:22" x14ac:dyDescent="0.2">
      <c r="B6034" s="25"/>
      <c r="E6034" s="10"/>
      <c r="O6034" s="10"/>
      <c r="V6034" s="10"/>
    </row>
    <row r="6035" spans="2:22" x14ac:dyDescent="0.2">
      <c r="B6035" s="25"/>
      <c r="E6035" s="10"/>
      <c r="O6035" s="10"/>
      <c r="V6035" s="10"/>
    </row>
    <row r="6036" spans="2:22" x14ac:dyDescent="0.2">
      <c r="B6036" s="25"/>
      <c r="E6036" s="10"/>
      <c r="O6036" s="10"/>
      <c r="V6036" s="10"/>
    </row>
    <row r="6037" spans="2:22" x14ac:dyDescent="0.2">
      <c r="B6037" s="25"/>
      <c r="E6037" s="10"/>
      <c r="O6037" s="10"/>
      <c r="V6037" s="10"/>
    </row>
    <row r="6038" spans="2:22" x14ac:dyDescent="0.2">
      <c r="B6038" s="25"/>
      <c r="E6038" s="10"/>
      <c r="O6038" s="10"/>
      <c r="V6038" s="10"/>
    </row>
    <row r="6039" spans="2:22" x14ac:dyDescent="0.2">
      <c r="B6039" s="25"/>
      <c r="E6039" s="10"/>
      <c r="O6039" s="10"/>
      <c r="V6039" s="10"/>
    </row>
    <row r="6040" spans="2:22" x14ac:dyDescent="0.2">
      <c r="B6040" s="25"/>
      <c r="E6040" s="10"/>
      <c r="O6040" s="10"/>
      <c r="V6040" s="10"/>
    </row>
    <row r="6041" spans="2:22" x14ac:dyDescent="0.2">
      <c r="B6041" s="25"/>
      <c r="E6041" s="10"/>
      <c r="O6041" s="10"/>
      <c r="V6041" s="10"/>
    </row>
    <row r="6042" spans="2:22" x14ac:dyDescent="0.2">
      <c r="B6042" s="25"/>
      <c r="E6042" s="10"/>
      <c r="O6042" s="10"/>
      <c r="V6042" s="10"/>
    </row>
    <row r="6043" spans="2:22" x14ac:dyDescent="0.2">
      <c r="B6043" s="25"/>
      <c r="E6043" s="10"/>
      <c r="O6043" s="10"/>
      <c r="V6043" s="10"/>
    </row>
    <row r="6044" spans="2:22" x14ac:dyDescent="0.2">
      <c r="B6044" s="25"/>
      <c r="E6044" s="10"/>
      <c r="O6044" s="10"/>
      <c r="V6044" s="10"/>
    </row>
    <row r="6045" spans="2:22" x14ac:dyDescent="0.2">
      <c r="B6045" s="25"/>
      <c r="E6045" s="10"/>
      <c r="O6045" s="10"/>
      <c r="V6045" s="10"/>
    </row>
    <row r="6046" spans="2:22" x14ac:dyDescent="0.2">
      <c r="B6046" s="25"/>
      <c r="E6046" s="10"/>
      <c r="O6046" s="10"/>
      <c r="V6046" s="10"/>
    </row>
    <row r="6047" spans="2:22" x14ac:dyDescent="0.2">
      <c r="B6047" s="25"/>
      <c r="E6047" s="10"/>
      <c r="O6047" s="10"/>
      <c r="V6047" s="10"/>
    </row>
    <row r="6048" spans="2:22" x14ac:dyDescent="0.2">
      <c r="B6048" s="25"/>
      <c r="E6048" s="10"/>
      <c r="O6048" s="10"/>
      <c r="V6048" s="10"/>
    </row>
    <row r="6049" spans="2:22" x14ac:dyDescent="0.2">
      <c r="B6049" s="25"/>
      <c r="E6049" s="10"/>
      <c r="O6049" s="10"/>
      <c r="V6049" s="10"/>
    </row>
    <row r="6050" spans="2:22" x14ac:dyDescent="0.2">
      <c r="B6050" s="25"/>
      <c r="E6050" s="10"/>
      <c r="O6050" s="10"/>
      <c r="V6050" s="10"/>
    </row>
    <row r="6051" spans="2:22" x14ac:dyDescent="0.2">
      <c r="B6051" s="25"/>
      <c r="E6051" s="10"/>
      <c r="O6051" s="10"/>
      <c r="V6051" s="10"/>
    </row>
    <row r="6052" spans="2:22" x14ac:dyDescent="0.2">
      <c r="B6052" s="25"/>
      <c r="E6052" s="10"/>
      <c r="O6052" s="10"/>
      <c r="V6052" s="10"/>
    </row>
    <row r="6053" spans="2:22" x14ac:dyDescent="0.2">
      <c r="B6053" s="25"/>
      <c r="E6053" s="10"/>
      <c r="O6053" s="10"/>
      <c r="V6053" s="10"/>
    </row>
    <row r="6054" spans="2:22" x14ac:dyDescent="0.2">
      <c r="B6054" s="25"/>
      <c r="E6054" s="10"/>
      <c r="O6054" s="10"/>
      <c r="V6054" s="10"/>
    </row>
    <row r="6055" spans="2:22" x14ac:dyDescent="0.2">
      <c r="B6055" s="25"/>
      <c r="E6055" s="10"/>
      <c r="O6055" s="10"/>
      <c r="V6055" s="10"/>
    </row>
    <row r="6056" spans="2:22" x14ac:dyDescent="0.2">
      <c r="B6056" s="25"/>
      <c r="E6056" s="10"/>
      <c r="O6056" s="10"/>
      <c r="V6056" s="10"/>
    </row>
    <row r="6057" spans="2:22" x14ac:dyDescent="0.2">
      <c r="B6057" s="25"/>
      <c r="E6057" s="10"/>
      <c r="O6057" s="10"/>
      <c r="V6057" s="10"/>
    </row>
    <row r="6058" spans="2:22" x14ac:dyDescent="0.2">
      <c r="B6058" s="25"/>
      <c r="E6058" s="10"/>
      <c r="O6058" s="10"/>
      <c r="V6058" s="10"/>
    </row>
    <row r="6059" spans="2:22" x14ac:dyDescent="0.2">
      <c r="B6059" s="25"/>
      <c r="E6059" s="10"/>
      <c r="O6059" s="10"/>
      <c r="V6059" s="10"/>
    </row>
    <row r="6060" spans="2:22" x14ac:dyDescent="0.2">
      <c r="B6060" s="25"/>
      <c r="E6060" s="10"/>
      <c r="O6060" s="10"/>
      <c r="V6060" s="10"/>
    </row>
    <row r="6061" spans="2:22" x14ac:dyDescent="0.2">
      <c r="B6061" s="25"/>
      <c r="E6061" s="10"/>
      <c r="O6061" s="10"/>
      <c r="V6061" s="10"/>
    </row>
    <row r="6062" spans="2:22" x14ac:dyDescent="0.2">
      <c r="B6062" s="25"/>
      <c r="E6062" s="10"/>
      <c r="O6062" s="10"/>
      <c r="V6062" s="10"/>
    </row>
    <row r="6063" spans="2:22" x14ac:dyDescent="0.2">
      <c r="B6063" s="25"/>
      <c r="E6063" s="10"/>
      <c r="O6063" s="10"/>
      <c r="V6063" s="10"/>
    </row>
    <row r="6064" spans="2:22" x14ac:dyDescent="0.2">
      <c r="B6064" s="25"/>
      <c r="E6064" s="10"/>
      <c r="O6064" s="10"/>
      <c r="V6064" s="10"/>
    </row>
    <row r="6065" spans="2:22" x14ac:dyDescent="0.2">
      <c r="B6065" s="25"/>
      <c r="E6065" s="10"/>
      <c r="O6065" s="10"/>
      <c r="V6065" s="10"/>
    </row>
    <row r="6066" spans="2:22" x14ac:dyDescent="0.2">
      <c r="B6066" s="25"/>
      <c r="E6066" s="10"/>
      <c r="O6066" s="10"/>
      <c r="V6066" s="10"/>
    </row>
    <row r="6067" spans="2:22" x14ac:dyDescent="0.2">
      <c r="B6067" s="25"/>
      <c r="E6067" s="10"/>
      <c r="O6067" s="10"/>
      <c r="V6067" s="10"/>
    </row>
    <row r="6068" spans="2:22" x14ac:dyDescent="0.2">
      <c r="B6068" s="25"/>
      <c r="E6068" s="10"/>
      <c r="O6068" s="10"/>
      <c r="V6068" s="10"/>
    </row>
    <row r="6069" spans="2:22" x14ac:dyDescent="0.2">
      <c r="B6069" s="25"/>
      <c r="E6069" s="10"/>
      <c r="O6069" s="10"/>
      <c r="V6069" s="10"/>
    </row>
    <row r="6070" spans="2:22" x14ac:dyDescent="0.2">
      <c r="B6070" s="25"/>
      <c r="E6070" s="10"/>
      <c r="O6070" s="10"/>
      <c r="V6070" s="10"/>
    </row>
    <row r="6071" spans="2:22" x14ac:dyDescent="0.2">
      <c r="B6071" s="25"/>
      <c r="E6071" s="10"/>
      <c r="O6071" s="10"/>
      <c r="V6071" s="10"/>
    </row>
    <row r="6072" spans="2:22" x14ac:dyDescent="0.2">
      <c r="B6072" s="25"/>
      <c r="E6072" s="10"/>
      <c r="O6072" s="10"/>
      <c r="V6072" s="10"/>
    </row>
    <row r="6073" spans="2:22" x14ac:dyDescent="0.2">
      <c r="B6073" s="25"/>
      <c r="E6073" s="10"/>
      <c r="O6073" s="10"/>
      <c r="V6073" s="10"/>
    </row>
    <row r="6074" spans="2:22" x14ac:dyDescent="0.2">
      <c r="B6074" s="25"/>
      <c r="E6074" s="10"/>
      <c r="O6074" s="10"/>
      <c r="V6074" s="10"/>
    </row>
    <row r="6075" spans="2:22" x14ac:dyDescent="0.2">
      <c r="B6075" s="25"/>
      <c r="E6075" s="10"/>
      <c r="O6075" s="10"/>
      <c r="V6075" s="10"/>
    </row>
    <row r="6076" spans="2:22" x14ac:dyDescent="0.2">
      <c r="B6076" s="25"/>
      <c r="E6076" s="10"/>
      <c r="O6076" s="10"/>
      <c r="V6076" s="10"/>
    </row>
    <row r="6077" spans="2:22" x14ac:dyDescent="0.2">
      <c r="B6077" s="25"/>
      <c r="E6077" s="10"/>
      <c r="O6077" s="10"/>
      <c r="V6077" s="10"/>
    </row>
    <row r="6078" spans="2:22" x14ac:dyDescent="0.2">
      <c r="B6078" s="25"/>
      <c r="E6078" s="10"/>
      <c r="O6078" s="10"/>
      <c r="V6078" s="10"/>
    </row>
    <row r="6079" spans="2:22" x14ac:dyDescent="0.2">
      <c r="B6079" s="25"/>
      <c r="E6079" s="10"/>
      <c r="O6079" s="10"/>
      <c r="V6079" s="10"/>
    </row>
    <row r="6080" spans="2:22" x14ac:dyDescent="0.2">
      <c r="B6080" s="25"/>
      <c r="E6080" s="10"/>
      <c r="O6080" s="10"/>
      <c r="V6080" s="10"/>
    </row>
    <row r="6081" spans="2:22" x14ac:dyDescent="0.2">
      <c r="B6081" s="25"/>
      <c r="E6081" s="10"/>
      <c r="O6081" s="10"/>
      <c r="V6081" s="10"/>
    </row>
    <row r="6082" spans="2:22" x14ac:dyDescent="0.2">
      <c r="B6082" s="25"/>
      <c r="E6082" s="10"/>
      <c r="O6082" s="10"/>
      <c r="V6082" s="10"/>
    </row>
    <row r="6083" spans="2:22" x14ac:dyDescent="0.2">
      <c r="B6083" s="25"/>
      <c r="E6083" s="10"/>
      <c r="O6083" s="10"/>
      <c r="V6083" s="10"/>
    </row>
    <row r="6084" spans="2:22" x14ac:dyDescent="0.2">
      <c r="B6084" s="25"/>
      <c r="E6084" s="10"/>
      <c r="O6084" s="10"/>
      <c r="V6084" s="10"/>
    </row>
    <row r="6085" spans="2:22" x14ac:dyDescent="0.2">
      <c r="B6085" s="25"/>
      <c r="E6085" s="10"/>
      <c r="O6085" s="10"/>
      <c r="V6085" s="10"/>
    </row>
    <row r="6086" spans="2:22" x14ac:dyDescent="0.2">
      <c r="B6086" s="25"/>
      <c r="E6086" s="10"/>
      <c r="O6086" s="10"/>
      <c r="V6086" s="10"/>
    </row>
    <row r="6087" spans="2:22" x14ac:dyDescent="0.2">
      <c r="B6087" s="25"/>
      <c r="E6087" s="10"/>
      <c r="O6087" s="10"/>
      <c r="V6087" s="10"/>
    </row>
    <row r="6088" spans="2:22" x14ac:dyDescent="0.2">
      <c r="B6088" s="25"/>
      <c r="E6088" s="10"/>
      <c r="O6088" s="10"/>
      <c r="V6088" s="10"/>
    </row>
    <row r="6089" spans="2:22" x14ac:dyDescent="0.2">
      <c r="B6089" s="25"/>
      <c r="E6089" s="10"/>
      <c r="O6089" s="10"/>
      <c r="V6089" s="10"/>
    </row>
    <row r="6090" spans="2:22" x14ac:dyDescent="0.2">
      <c r="B6090" s="25"/>
      <c r="E6090" s="10"/>
      <c r="O6090" s="10"/>
      <c r="V6090" s="10"/>
    </row>
    <row r="6091" spans="2:22" x14ac:dyDescent="0.2">
      <c r="B6091" s="25"/>
      <c r="E6091" s="10"/>
      <c r="O6091" s="10"/>
      <c r="V6091" s="10"/>
    </row>
    <row r="6092" spans="2:22" x14ac:dyDescent="0.2">
      <c r="B6092" s="25"/>
      <c r="E6092" s="10"/>
      <c r="O6092" s="10"/>
      <c r="V6092" s="10"/>
    </row>
    <row r="6093" spans="2:22" x14ac:dyDescent="0.2">
      <c r="B6093" s="25"/>
      <c r="E6093" s="10"/>
      <c r="O6093" s="10"/>
      <c r="V6093" s="10"/>
    </row>
    <row r="6094" spans="2:22" x14ac:dyDescent="0.2">
      <c r="B6094" s="25"/>
      <c r="E6094" s="10"/>
      <c r="O6094" s="10"/>
      <c r="V6094" s="10"/>
    </row>
    <row r="6095" spans="2:22" x14ac:dyDescent="0.2">
      <c r="B6095" s="25"/>
      <c r="E6095" s="10"/>
      <c r="O6095" s="10"/>
      <c r="V6095" s="10"/>
    </row>
    <row r="6096" spans="2:22" x14ac:dyDescent="0.2">
      <c r="B6096" s="25"/>
      <c r="E6096" s="10"/>
      <c r="O6096" s="10"/>
      <c r="V6096" s="10"/>
    </row>
    <row r="6097" spans="2:22" x14ac:dyDescent="0.2">
      <c r="B6097" s="25"/>
      <c r="E6097" s="10"/>
      <c r="O6097" s="10"/>
      <c r="V6097" s="10"/>
    </row>
    <row r="6098" spans="2:22" x14ac:dyDescent="0.2">
      <c r="B6098" s="25"/>
      <c r="E6098" s="10"/>
      <c r="O6098" s="10"/>
      <c r="V6098" s="10"/>
    </row>
    <row r="6099" spans="2:22" x14ac:dyDescent="0.2">
      <c r="B6099" s="25"/>
      <c r="E6099" s="10"/>
      <c r="O6099" s="10"/>
      <c r="V6099" s="10"/>
    </row>
    <row r="6100" spans="2:22" x14ac:dyDescent="0.2">
      <c r="B6100" s="25"/>
      <c r="E6100" s="10"/>
      <c r="O6100" s="10"/>
      <c r="V6100" s="10"/>
    </row>
    <row r="6101" spans="2:22" x14ac:dyDescent="0.2">
      <c r="B6101" s="25"/>
      <c r="E6101" s="10"/>
      <c r="O6101" s="10"/>
      <c r="V6101" s="10"/>
    </row>
    <row r="6102" spans="2:22" x14ac:dyDescent="0.2">
      <c r="B6102" s="25"/>
      <c r="E6102" s="10"/>
      <c r="O6102" s="10"/>
      <c r="V6102" s="10"/>
    </row>
    <row r="6103" spans="2:22" x14ac:dyDescent="0.2">
      <c r="B6103" s="25"/>
      <c r="E6103" s="10"/>
      <c r="O6103" s="10"/>
      <c r="V6103" s="10"/>
    </row>
    <row r="6104" spans="2:22" x14ac:dyDescent="0.2">
      <c r="B6104" s="25"/>
      <c r="E6104" s="10"/>
      <c r="O6104" s="10"/>
      <c r="V6104" s="10"/>
    </row>
    <row r="6105" spans="2:22" x14ac:dyDescent="0.2">
      <c r="B6105" s="25"/>
      <c r="E6105" s="10"/>
      <c r="O6105" s="10"/>
      <c r="V6105" s="10"/>
    </row>
    <row r="6106" spans="2:22" x14ac:dyDescent="0.2">
      <c r="B6106" s="25"/>
      <c r="E6106" s="10"/>
      <c r="O6106" s="10"/>
      <c r="V6106" s="10"/>
    </row>
    <row r="6107" spans="2:22" x14ac:dyDescent="0.2">
      <c r="B6107" s="25"/>
      <c r="E6107" s="10"/>
      <c r="O6107" s="10"/>
      <c r="V6107" s="10"/>
    </row>
    <row r="6108" spans="2:22" x14ac:dyDescent="0.2">
      <c r="B6108" s="25"/>
      <c r="E6108" s="10"/>
      <c r="O6108" s="10"/>
      <c r="V6108" s="10"/>
    </row>
    <row r="6109" spans="2:22" x14ac:dyDescent="0.2">
      <c r="B6109" s="25"/>
      <c r="E6109" s="10"/>
      <c r="O6109" s="10"/>
      <c r="V6109" s="10"/>
    </row>
    <row r="6110" spans="2:22" x14ac:dyDescent="0.2">
      <c r="B6110" s="25"/>
      <c r="E6110" s="10"/>
      <c r="O6110" s="10"/>
      <c r="V6110" s="10"/>
    </row>
    <row r="6111" spans="2:22" x14ac:dyDescent="0.2">
      <c r="B6111" s="25"/>
      <c r="E6111" s="10"/>
      <c r="O6111" s="10"/>
      <c r="V6111" s="10"/>
    </row>
    <row r="6112" spans="2:22" x14ac:dyDescent="0.2">
      <c r="B6112" s="25"/>
      <c r="E6112" s="10"/>
      <c r="O6112" s="10"/>
      <c r="V6112" s="10"/>
    </row>
    <row r="6113" spans="2:22" x14ac:dyDescent="0.2">
      <c r="B6113" s="25"/>
      <c r="E6113" s="10"/>
      <c r="O6113" s="10"/>
      <c r="V6113" s="10"/>
    </row>
    <row r="6114" spans="2:22" x14ac:dyDescent="0.2">
      <c r="B6114" s="25"/>
      <c r="E6114" s="10"/>
      <c r="O6114" s="10"/>
      <c r="V6114" s="10"/>
    </row>
    <row r="6115" spans="2:22" x14ac:dyDescent="0.2">
      <c r="B6115" s="25"/>
      <c r="E6115" s="10"/>
      <c r="O6115" s="10"/>
      <c r="V6115" s="10"/>
    </row>
    <row r="6116" spans="2:22" x14ac:dyDescent="0.2">
      <c r="B6116" s="25"/>
      <c r="E6116" s="10"/>
      <c r="O6116" s="10"/>
      <c r="V6116" s="10"/>
    </row>
    <row r="6117" spans="2:22" x14ac:dyDescent="0.2">
      <c r="B6117" s="25"/>
      <c r="E6117" s="10"/>
      <c r="O6117" s="10"/>
      <c r="V6117" s="10"/>
    </row>
    <row r="6118" spans="2:22" x14ac:dyDescent="0.2">
      <c r="B6118" s="25"/>
      <c r="E6118" s="10"/>
      <c r="O6118" s="10"/>
      <c r="V6118" s="10"/>
    </row>
    <row r="6119" spans="2:22" x14ac:dyDescent="0.2">
      <c r="B6119" s="25"/>
      <c r="E6119" s="10"/>
      <c r="O6119" s="10"/>
      <c r="V6119" s="10"/>
    </row>
    <row r="6120" spans="2:22" x14ac:dyDescent="0.2">
      <c r="B6120" s="25"/>
      <c r="E6120" s="10"/>
      <c r="O6120" s="10"/>
      <c r="V6120" s="10"/>
    </row>
    <row r="6121" spans="2:22" x14ac:dyDescent="0.2">
      <c r="B6121" s="25"/>
      <c r="E6121" s="10"/>
      <c r="O6121" s="10"/>
      <c r="V6121" s="10"/>
    </row>
    <row r="6122" spans="2:22" x14ac:dyDescent="0.2">
      <c r="B6122" s="25"/>
      <c r="E6122" s="10"/>
      <c r="O6122" s="10"/>
      <c r="V6122" s="10"/>
    </row>
    <row r="6123" spans="2:22" x14ac:dyDescent="0.2">
      <c r="B6123" s="25"/>
      <c r="E6123" s="10"/>
      <c r="O6123" s="10"/>
      <c r="V6123" s="10"/>
    </row>
    <row r="6124" spans="2:22" x14ac:dyDescent="0.2">
      <c r="B6124" s="25"/>
      <c r="E6124" s="10"/>
      <c r="O6124" s="10"/>
      <c r="V6124" s="10"/>
    </row>
    <row r="6125" spans="2:22" x14ac:dyDescent="0.2">
      <c r="B6125" s="25"/>
      <c r="E6125" s="10"/>
      <c r="O6125" s="10"/>
      <c r="V6125" s="10"/>
    </row>
    <row r="6126" spans="2:22" x14ac:dyDescent="0.2">
      <c r="B6126" s="25"/>
      <c r="E6126" s="10"/>
      <c r="O6126" s="10"/>
      <c r="V6126" s="10"/>
    </row>
    <row r="6127" spans="2:22" x14ac:dyDescent="0.2">
      <c r="B6127" s="25"/>
      <c r="E6127" s="10"/>
      <c r="O6127" s="10"/>
      <c r="V6127" s="10"/>
    </row>
    <row r="6128" spans="2:22" x14ac:dyDescent="0.2">
      <c r="B6128" s="25"/>
      <c r="E6128" s="10"/>
      <c r="O6128" s="10"/>
      <c r="V6128" s="10"/>
    </row>
    <row r="6129" spans="2:22" x14ac:dyDescent="0.2">
      <c r="B6129" s="25"/>
      <c r="E6129" s="10"/>
      <c r="O6129" s="10"/>
      <c r="V6129" s="10"/>
    </row>
    <row r="6130" spans="2:22" x14ac:dyDescent="0.2">
      <c r="B6130" s="25"/>
      <c r="E6130" s="10"/>
      <c r="O6130" s="10"/>
      <c r="V6130" s="10"/>
    </row>
    <row r="6131" spans="2:22" x14ac:dyDescent="0.2">
      <c r="B6131" s="25"/>
      <c r="E6131" s="10"/>
      <c r="O6131" s="10"/>
      <c r="V6131" s="10"/>
    </row>
    <row r="6132" spans="2:22" x14ac:dyDescent="0.2">
      <c r="B6132" s="25"/>
      <c r="E6132" s="10"/>
      <c r="O6132" s="10"/>
      <c r="V6132" s="10"/>
    </row>
    <row r="6133" spans="2:22" x14ac:dyDescent="0.2">
      <c r="B6133" s="25"/>
      <c r="E6133" s="10"/>
      <c r="O6133" s="10"/>
      <c r="V6133" s="10"/>
    </row>
    <row r="6134" spans="2:22" x14ac:dyDescent="0.2">
      <c r="B6134" s="25"/>
      <c r="E6134" s="10"/>
      <c r="O6134" s="10"/>
      <c r="V6134" s="10"/>
    </row>
    <row r="6135" spans="2:22" x14ac:dyDescent="0.2">
      <c r="B6135" s="25"/>
      <c r="E6135" s="10"/>
      <c r="O6135" s="10"/>
      <c r="V6135" s="10"/>
    </row>
    <row r="6136" spans="2:22" x14ac:dyDescent="0.2">
      <c r="B6136" s="25"/>
      <c r="E6136" s="10"/>
      <c r="O6136" s="10"/>
      <c r="V6136" s="10"/>
    </row>
    <row r="6137" spans="2:22" x14ac:dyDescent="0.2">
      <c r="B6137" s="25"/>
      <c r="E6137" s="10"/>
      <c r="O6137" s="10"/>
      <c r="V6137" s="10"/>
    </row>
    <row r="6138" spans="2:22" x14ac:dyDescent="0.2">
      <c r="B6138" s="25"/>
      <c r="E6138" s="10"/>
      <c r="O6138" s="10"/>
      <c r="V6138" s="10"/>
    </row>
    <row r="6139" spans="2:22" x14ac:dyDescent="0.2">
      <c r="B6139" s="25"/>
      <c r="E6139" s="10"/>
      <c r="O6139" s="10"/>
      <c r="V6139" s="10"/>
    </row>
    <row r="6140" spans="2:22" x14ac:dyDescent="0.2">
      <c r="B6140" s="25"/>
      <c r="E6140" s="10"/>
      <c r="O6140" s="10"/>
      <c r="V6140" s="10"/>
    </row>
    <row r="6141" spans="2:22" x14ac:dyDescent="0.2">
      <c r="B6141" s="25"/>
      <c r="E6141" s="10"/>
      <c r="O6141" s="10"/>
      <c r="V6141" s="10"/>
    </row>
    <row r="6142" spans="2:22" x14ac:dyDescent="0.2">
      <c r="B6142" s="25"/>
      <c r="E6142" s="10"/>
      <c r="O6142" s="10"/>
      <c r="V6142" s="10"/>
    </row>
    <row r="6143" spans="2:22" x14ac:dyDescent="0.2">
      <c r="B6143" s="25"/>
      <c r="E6143" s="10"/>
      <c r="O6143" s="10"/>
      <c r="V6143" s="10"/>
    </row>
    <row r="6144" spans="2:22" x14ac:dyDescent="0.2">
      <c r="B6144" s="25"/>
      <c r="E6144" s="10"/>
      <c r="O6144" s="10"/>
      <c r="V6144" s="10"/>
    </row>
    <row r="6145" spans="2:22" x14ac:dyDescent="0.2">
      <c r="B6145" s="25"/>
      <c r="E6145" s="10"/>
      <c r="O6145" s="10"/>
      <c r="V6145" s="10"/>
    </row>
    <row r="6146" spans="2:22" x14ac:dyDescent="0.2">
      <c r="B6146" s="25"/>
      <c r="E6146" s="10"/>
      <c r="O6146" s="10"/>
      <c r="V6146" s="10"/>
    </row>
    <row r="6147" spans="2:22" x14ac:dyDescent="0.2">
      <c r="B6147" s="25"/>
      <c r="E6147" s="10"/>
      <c r="O6147" s="10"/>
      <c r="V6147" s="10"/>
    </row>
    <row r="6148" spans="2:22" x14ac:dyDescent="0.2">
      <c r="B6148" s="25"/>
      <c r="E6148" s="10"/>
      <c r="O6148" s="10"/>
      <c r="V6148" s="10"/>
    </row>
    <row r="6149" spans="2:22" x14ac:dyDescent="0.2">
      <c r="B6149" s="25"/>
      <c r="E6149" s="10"/>
      <c r="O6149" s="10"/>
      <c r="V6149" s="10"/>
    </row>
    <row r="6150" spans="2:22" x14ac:dyDescent="0.2">
      <c r="B6150" s="25"/>
      <c r="E6150" s="10"/>
      <c r="O6150" s="10"/>
      <c r="V6150" s="10"/>
    </row>
    <row r="6151" spans="2:22" x14ac:dyDescent="0.2">
      <c r="B6151" s="25"/>
      <c r="E6151" s="10"/>
      <c r="O6151" s="10"/>
      <c r="V6151" s="10"/>
    </row>
    <row r="6152" spans="2:22" x14ac:dyDescent="0.2">
      <c r="B6152" s="25"/>
      <c r="E6152" s="10"/>
      <c r="O6152" s="10"/>
      <c r="V6152" s="10"/>
    </row>
    <row r="6153" spans="2:22" x14ac:dyDescent="0.2">
      <c r="B6153" s="25"/>
      <c r="E6153" s="10"/>
      <c r="O6153" s="10"/>
      <c r="V6153" s="10"/>
    </row>
    <row r="6154" spans="2:22" x14ac:dyDescent="0.2">
      <c r="B6154" s="25"/>
      <c r="E6154" s="10"/>
      <c r="O6154" s="10"/>
      <c r="V6154" s="10"/>
    </row>
    <row r="6155" spans="2:22" x14ac:dyDescent="0.2">
      <c r="B6155" s="25"/>
      <c r="E6155" s="10"/>
      <c r="O6155" s="10"/>
      <c r="V6155" s="10"/>
    </row>
    <row r="6156" spans="2:22" x14ac:dyDescent="0.2">
      <c r="B6156" s="25"/>
      <c r="E6156" s="10"/>
      <c r="O6156" s="10"/>
      <c r="V6156" s="10"/>
    </row>
    <row r="6157" spans="2:22" x14ac:dyDescent="0.2">
      <c r="B6157" s="25"/>
      <c r="E6157" s="10"/>
      <c r="O6157" s="10"/>
      <c r="V6157" s="10"/>
    </row>
    <row r="6158" spans="2:22" x14ac:dyDescent="0.2">
      <c r="B6158" s="25"/>
      <c r="E6158" s="10"/>
      <c r="O6158" s="10"/>
      <c r="V6158" s="10"/>
    </row>
    <row r="6159" spans="2:22" x14ac:dyDescent="0.2">
      <c r="B6159" s="25"/>
      <c r="E6159" s="10"/>
      <c r="O6159" s="10"/>
      <c r="V6159" s="10"/>
    </row>
    <row r="6160" spans="2:22" x14ac:dyDescent="0.2">
      <c r="B6160" s="25"/>
      <c r="E6160" s="10"/>
      <c r="O6160" s="10"/>
      <c r="V6160" s="10"/>
    </row>
    <row r="6161" spans="2:22" x14ac:dyDescent="0.2">
      <c r="B6161" s="25"/>
      <c r="E6161" s="10"/>
      <c r="O6161" s="10"/>
      <c r="V6161" s="10"/>
    </row>
    <row r="6162" spans="2:22" x14ac:dyDescent="0.2">
      <c r="B6162" s="25"/>
      <c r="E6162" s="10"/>
      <c r="O6162" s="10"/>
      <c r="V6162" s="10"/>
    </row>
    <row r="6163" spans="2:22" x14ac:dyDescent="0.2">
      <c r="B6163" s="25"/>
      <c r="E6163" s="10"/>
      <c r="O6163" s="10"/>
      <c r="V6163" s="10"/>
    </row>
    <row r="6164" spans="2:22" x14ac:dyDescent="0.2">
      <c r="B6164" s="25"/>
      <c r="E6164" s="10"/>
      <c r="O6164" s="10"/>
      <c r="V6164" s="10"/>
    </row>
    <row r="6165" spans="2:22" x14ac:dyDescent="0.2">
      <c r="B6165" s="25"/>
      <c r="E6165" s="10"/>
      <c r="O6165" s="10"/>
      <c r="V6165" s="10"/>
    </row>
    <row r="6166" spans="2:22" x14ac:dyDescent="0.2">
      <c r="B6166" s="25"/>
      <c r="E6166" s="10"/>
      <c r="O6166" s="10"/>
      <c r="V6166" s="10"/>
    </row>
    <row r="6167" spans="2:22" x14ac:dyDescent="0.2">
      <c r="B6167" s="25"/>
      <c r="E6167" s="10"/>
      <c r="O6167" s="10"/>
      <c r="V6167" s="10"/>
    </row>
    <row r="6168" spans="2:22" x14ac:dyDescent="0.2">
      <c r="B6168" s="25"/>
      <c r="E6168" s="10"/>
      <c r="O6168" s="10"/>
      <c r="V6168" s="10"/>
    </row>
    <row r="6169" spans="2:22" x14ac:dyDescent="0.2">
      <c r="B6169" s="25"/>
      <c r="E6169" s="10"/>
      <c r="O6169" s="10"/>
      <c r="V6169" s="10"/>
    </row>
    <row r="6170" spans="2:22" x14ac:dyDescent="0.2">
      <c r="B6170" s="25"/>
      <c r="E6170" s="10"/>
      <c r="O6170" s="10"/>
      <c r="V6170" s="10"/>
    </row>
    <row r="6171" spans="2:22" x14ac:dyDescent="0.2">
      <c r="B6171" s="25"/>
      <c r="E6171" s="10"/>
      <c r="O6171" s="10"/>
      <c r="V6171" s="10"/>
    </row>
    <row r="6172" spans="2:22" x14ac:dyDescent="0.2">
      <c r="B6172" s="25"/>
      <c r="E6172" s="10"/>
      <c r="O6172" s="10"/>
      <c r="V6172" s="10"/>
    </row>
    <row r="6173" spans="2:22" x14ac:dyDescent="0.2">
      <c r="B6173" s="25"/>
      <c r="E6173" s="10"/>
      <c r="O6173" s="10"/>
      <c r="V6173" s="10"/>
    </row>
    <row r="6174" spans="2:22" x14ac:dyDescent="0.2">
      <c r="B6174" s="25"/>
      <c r="E6174" s="10"/>
      <c r="O6174" s="10"/>
      <c r="V6174" s="10"/>
    </row>
    <row r="6175" spans="2:22" x14ac:dyDescent="0.2">
      <c r="B6175" s="25"/>
      <c r="E6175" s="10"/>
      <c r="O6175" s="10"/>
      <c r="V6175" s="10"/>
    </row>
    <row r="6176" spans="2:22" x14ac:dyDescent="0.2">
      <c r="B6176" s="25"/>
      <c r="E6176" s="10"/>
      <c r="O6176" s="10"/>
      <c r="V6176" s="10"/>
    </row>
    <row r="6177" spans="2:22" x14ac:dyDescent="0.2">
      <c r="B6177" s="25"/>
      <c r="E6177" s="10"/>
      <c r="O6177" s="10"/>
      <c r="V6177" s="10"/>
    </row>
    <row r="6178" spans="2:22" x14ac:dyDescent="0.2">
      <c r="B6178" s="25"/>
      <c r="E6178" s="10"/>
      <c r="O6178" s="10"/>
      <c r="V6178" s="10"/>
    </row>
    <row r="6179" spans="2:22" x14ac:dyDescent="0.2">
      <c r="B6179" s="25"/>
      <c r="E6179" s="10"/>
      <c r="O6179" s="10"/>
      <c r="V6179" s="10"/>
    </row>
    <row r="6180" spans="2:22" x14ac:dyDescent="0.2">
      <c r="B6180" s="25"/>
      <c r="E6180" s="10"/>
      <c r="O6180" s="10"/>
      <c r="V6180" s="10"/>
    </row>
    <row r="6181" spans="2:22" x14ac:dyDescent="0.2">
      <c r="B6181" s="25"/>
      <c r="E6181" s="10"/>
      <c r="O6181" s="10"/>
      <c r="V6181" s="10"/>
    </row>
    <row r="6182" spans="2:22" x14ac:dyDescent="0.2">
      <c r="B6182" s="25"/>
      <c r="E6182" s="10"/>
      <c r="O6182" s="10"/>
      <c r="V6182" s="10"/>
    </row>
    <row r="6183" spans="2:22" x14ac:dyDescent="0.2">
      <c r="B6183" s="25"/>
      <c r="E6183" s="10"/>
      <c r="O6183" s="10"/>
      <c r="V6183" s="10"/>
    </row>
    <row r="6184" spans="2:22" x14ac:dyDescent="0.2">
      <c r="B6184" s="25"/>
      <c r="E6184" s="10"/>
      <c r="O6184" s="10"/>
      <c r="V6184" s="10"/>
    </row>
    <row r="6185" spans="2:22" x14ac:dyDescent="0.2">
      <c r="B6185" s="25"/>
      <c r="E6185" s="10"/>
      <c r="O6185" s="10"/>
      <c r="V6185" s="10"/>
    </row>
    <row r="6186" spans="2:22" x14ac:dyDescent="0.2">
      <c r="B6186" s="25"/>
      <c r="E6186" s="10"/>
      <c r="O6186" s="10"/>
      <c r="V6186" s="10"/>
    </row>
    <row r="6187" spans="2:22" x14ac:dyDescent="0.2">
      <c r="B6187" s="25"/>
      <c r="E6187" s="10"/>
      <c r="O6187" s="10"/>
      <c r="V6187" s="10"/>
    </row>
    <row r="6188" spans="2:22" x14ac:dyDescent="0.2">
      <c r="B6188" s="25"/>
      <c r="E6188" s="10"/>
      <c r="O6188" s="10"/>
      <c r="V6188" s="10"/>
    </row>
    <row r="6189" spans="2:22" x14ac:dyDescent="0.2">
      <c r="B6189" s="25"/>
      <c r="E6189" s="10"/>
      <c r="O6189" s="10"/>
      <c r="V6189" s="10"/>
    </row>
    <row r="6190" spans="2:22" x14ac:dyDescent="0.2">
      <c r="B6190" s="25"/>
      <c r="E6190" s="10"/>
      <c r="O6190" s="10"/>
      <c r="V6190" s="10"/>
    </row>
    <row r="6191" spans="2:22" x14ac:dyDescent="0.2">
      <c r="B6191" s="25"/>
      <c r="E6191" s="10"/>
      <c r="O6191" s="10"/>
      <c r="V6191" s="10"/>
    </row>
    <row r="6192" spans="2:22" x14ac:dyDescent="0.2">
      <c r="B6192" s="25"/>
      <c r="E6192" s="10"/>
      <c r="O6192" s="10"/>
      <c r="V6192" s="10"/>
    </row>
    <row r="6193" spans="2:22" x14ac:dyDescent="0.2">
      <c r="B6193" s="25"/>
      <c r="E6193" s="10"/>
      <c r="O6193" s="10"/>
      <c r="V6193" s="10"/>
    </row>
    <row r="6194" spans="2:22" x14ac:dyDescent="0.2">
      <c r="B6194" s="25"/>
      <c r="E6194" s="10"/>
      <c r="O6194" s="10"/>
      <c r="V6194" s="10"/>
    </row>
    <row r="6195" spans="2:22" x14ac:dyDescent="0.2">
      <c r="B6195" s="25"/>
      <c r="E6195" s="10"/>
      <c r="O6195" s="10"/>
      <c r="V6195" s="10"/>
    </row>
    <row r="6196" spans="2:22" x14ac:dyDescent="0.2">
      <c r="B6196" s="25"/>
      <c r="E6196" s="10"/>
      <c r="O6196" s="10"/>
      <c r="V6196" s="10"/>
    </row>
    <row r="6197" spans="2:22" x14ac:dyDescent="0.2">
      <c r="B6197" s="25"/>
      <c r="E6197" s="10"/>
      <c r="O6197" s="10"/>
      <c r="V6197" s="10"/>
    </row>
    <row r="6198" spans="2:22" x14ac:dyDescent="0.2">
      <c r="B6198" s="25"/>
      <c r="E6198" s="10"/>
      <c r="O6198" s="10"/>
      <c r="V6198" s="10"/>
    </row>
    <row r="6199" spans="2:22" x14ac:dyDescent="0.2">
      <c r="B6199" s="25"/>
      <c r="E6199" s="10"/>
      <c r="O6199" s="10"/>
      <c r="V6199" s="10"/>
    </row>
    <row r="6200" spans="2:22" x14ac:dyDescent="0.2">
      <c r="B6200" s="25"/>
      <c r="E6200" s="10"/>
      <c r="O6200" s="10"/>
      <c r="V6200" s="10"/>
    </row>
    <row r="6201" spans="2:22" x14ac:dyDescent="0.2">
      <c r="B6201" s="25"/>
      <c r="E6201" s="10"/>
      <c r="O6201" s="10"/>
      <c r="V6201" s="10"/>
    </row>
    <row r="6202" spans="2:22" x14ac:dyDescent="0.2">
      <c r="B6202" s="25"/>
      <c r="E6202" s="10"/>
      <c r="O6202" s="10"/>
      <c r="V6202" s="10"/>
    </row>
    <row r="6203" spans="2:22" x14ac:dyDescent="0.2">
      <c r="B6203" s="25"/>
      <c r="E6203" s="10"/>
      <c r="O6203" s="10"/>
      <c r="V6203" s="10"/>
    </row>
    <row r="6204" spans="2:22" x14ac:dyDescent="0.2">
      <c r="B6204" s="25"/>
      <c r="E6204" s="10"/>
      <c r="O6204" s="10"/>
      <c r="V6204" s="10"/>
    </row>
    <row r="6205" spans="2:22" x14ac:dyDescent="0.2">
      <c r="B6205" s="25"/>
      <c r="E6205" s="10"/>
      <c r="O6205" s="10"/>
      <c r="V6205" s="10"/>
    </row>
    <row r="6206" spans="2:22" x14ac:dyDescent="0.2">
      <c r="B6206" s="25"/>
      <c r="E6206" s="10"/>
      <c r="O6206" s="10"/>
      <c r="V6206" s="10"/>
    </row>
    <row r="6207" spans="2:22" x14ac:dyDescent="0.2">
      <c r="B6207" s="25"/>
      <c r="E6207" s="10"/>
      <c r="O6207" s="10"/>
      <c r="V6207" s="10"/>
    </row>
    <row r="6208" spans="2:22" x14ac:dyDescent="0.2">
      <c r="B6208" s="25"/>
      <c r="E6208" s="10"/>
      <c r="O6208" s="10"/>
      <c r="V6208" s="10"/>
    </row>
    <row r="6209" spans="2:22" x14ac:dyDescent="0.2">
      <c r="B6209" s="25"/>
      <c r="E6209" s="10"/>
      <c r="O6209" s="10"/>
      <c r="V6209" s="10"/>
    </row>
    <row r="6210" spans="2:22" x14ac:dyDescent="0.2">
      <c r="B6210" s="25"/>
      <c r="E6210" s="10"/>
      <c r="O6210" s="10"/>
      <c r="V6210" s="10"/>
    </row>
    <row r="6211" spans="2:22" x14ac:dyDescent="0.2">
      <c r="B6211" s="25"/>
      <c r="E6211" s="10"/>
      <c r="O6211" s="10"/>
      <c r="V6211" s="10"/>
    </row>
    <row r="6212" spans="2:22" x14ac:dyDescent="0.2">
      <c r="B6212" s="25"/>
      <c r="E6212" s="10"/>
      <c r="O6212" s="10"/>
      <c r="V6212" s="10"/>
    </row>
    <row r="6213" spans="2:22" x14ac:dyDescent="0.2">
      <c r="B6213" s="25"/>
      <c r="E6213" s="10"/>
      <c r="O6213" s="10"/>
      <c r="V6213" s="10"/>
    </row>
    <row r="6214" spans="2:22" x14ac:dyDescent="0.2">
      <c r="B6214" s="25"/>
      <c r="E6214" s="10"/>
      <c r="O6214" s="10"/>
      <c r="V6214" s="10"/>
    </row>
    <row r="6215" spans="2:22" x14ac:dyDescent="0.2">
      <c r="B6215" s="25"/>
      <c r="E6215" s="10"/>
      <c r="O6215" s="10"/>
      <c r="V6215" s="10"/>
    </row>
    <row r="6216" spans="2:22" x14ac:dyDescent="0.2">
      <c r="B6216" s="25"/>
      <c r="E6216" s="10"/>
      <c r="O6216" s="10"/>
      <c r="V6216" s="10"/>
    </row>
    <row r="6217" spans="2:22" x14ac:dyDescent="0.2">
      <c r="B6217" s="25"/>
      <c r="E6217" s="10"/>
      <c r="O6217" s="10"/>
      <c r="V6217" s="10"/>
    </row>
    <row r="6218" spans="2:22" x14ac:dyDescent="0.2">
      <c r="B6218" s="25"/>
      <c r="E6218" s="10"/>
      <c r="O6218" s="10"/>
      <c r="V6218" s="10"/>
    </row>
    <row r="6219" spans="2:22" x14ac:dyDescent="0.2">
      <c r="B6219" s="25"/>
      <c r="E6219" s="10"/>
      <c r="O6219" s="10"/>
      <c r="V6219" s="10"/>
    </row>
    <row r="6220" spans="2:22" x14ac:dyDescent="0.2">
      <c r="B6220" s="25"/>
      <c r="E6220" s="10"/>
      <c r="O6220" s="10"/>
      <c r="V6220" s="10"/>
    </row>
    <row r="6221" spans="2:22" x14ac:dyDescent="0.2">
      <c r="B6221" s="25"/>
      <c r="E6221" s="10"/>
      <c r="O6221" s="10"/>
      <c r="V6221" s="10"/>
    </row>
    <row r="6222" spans="2:22" x14ac:dyDescent="0.2">
      <c r="B6222" s="25"/>
      <c r="E6222" s="10"/>
      <c r="O6222" s="10"/>
      <c r="V6222" s="10"/>
    </row>
    <row r="6223" spans="2:22" x14ac:dyDescent="0.2">
      <c r="B6223" s="25"/>
      <c r="E6223" s="10"/>
      <c r="O6223" s="10"/>
      <c r="V6223" s="10"/>
    </row>
    <row r="6224" spans="2:22" x14ac:dyDescent="0.2">
      <c r="B6224" s="25"/>
      <c r="E6224" s="10"/>
      <c r="O6224" s="10"/>
      <c r="V6224" s="10"/>
    </row>
    <row r="6225" spans="2:22" x14ac:dyDescent="0.2">
      <c r="B6225" s="25"/>
      <c r="E6225" s="10"/>
      <c r="O6225" s="10"/>
      <c r="V6225" s="10"/>
    </row>
    <row r="6226" spans="2:22" x14ac:dyDescent="0.2">
      <c r="B6226" s="25"/>
      <c r="E6226" s="10"/>
      <c r="O6226" s="10"/>
      <c r="V6226" s="10"/>
    </row>
    <row r="6227" spans="2:22" x14ac:dyDescent="0.2">
      <c r="B6227" s="25"/>
      <c r="E6227" s="10"/>
      <c r="O6227" s="10"/>
      <c r="V6227" s="10"/>
    </row>
    <row r="6228" spans="2:22" x14ac:dyDescent="0.2">
      <c r="B6228" s="25"/>
      <c r="E6228" s="10"/>
      <c r="O6228" s="10"/>
      <c r="V6228" s="10"/>
    </row>
    <row r="6229" spans="2:22" x14ac:dyDescent="0.2">
      <c r="B6229" s="25"/>
      <c r="E6229" s="10"/>
      <c r="O6229" s="10"/>
      <c r="V6229" s="10"/>
    </row>
    <row r="6230" spans="2:22" x14ac:dyDescent="0.2">
      <c r="B6230" s="25"/>
      <c r="E6230" s="10"/>
      <c r="O6230" s="10"/>
      <c r="V6230" s="10"/>
    </row>
    <row r="6231" spans="2:22" x14ac:dyDescent="0.2">
      <c r="B6231" s="25"/>
      <c r="E6231" s="10"/>
      <c r="O6231" s="10"/>
      <c r="V6231" s="10"/>
    </row>
    <row r="6232" spans="2:22" x14ac:dyDescent="0.2">
      <c r="B6232" s="25"/>
      <c r="E6232" s="10"/>
      <c r="O6232" s="10"/>
      <c r="V6232" s="10"/>
    </row>
    <row r="6233" spans="2:22" x14ac:dyDescent="0.2">
      <c r="B6233" s="25"/>
      <c r="E6233" s="10"/>
      <c r="O6233" s="10"/>
      <c r="V6233" s="10"/>
    </row>
    <row r="6234" spans="2:22" x14ac:dyDescent="0.2">
      <c r="B6234" s="25"/>
      <c r="E6234" s="10"/>
      <c r="O6234" s="10"/>
      <c r="V6234" s="10"/>
    </row>
    <row r="6235" spans="2:22" x14ac:dyDescent="0.2">
      <c r="B6235" s="25"/>
      <c r="E6235" s="10"/>
      <c r="O6235" s="10"/>
      <c r="V6235" s="10"/>
    </row>
    <row r="6236" spans="2:22" x14ac:dyDescent="0.2">
      <c r="B6236" s="25"/>
      <c r="E6236" s="10"/>
      <c r="O6236" s="10"/>
      <c r="V6236" s="10"/>
    </row>
    <row r="6237" spans="2:22" x14ac:dyDescent="0.2">
      <c r="B6237" s="25"/>
      <c r="E6237" s="10"/>
      <c r="O6237" s="10"/>
      <c r="V6237" s="10"/>
    </row>
    <row r="6238" spans="2:22" x14ac:dyDescent="0.2">
      <c r="B6238" s="25"/>
      <c r="E6238" s="10"/>
      <c r="O6238" s="10"/>
      <c r="V6238" s="10"/>
    </row>
    <row r="6239" spans="2:22" x14ac:dyDescent="0.2">
      <c r="B6239" s="25"/>
      <c r="E6239" s="10"/>
      <c r="O6239" s="10"/>
      <c r="V6239" s="10"/>
    </row>
    <row r="6240" spans="2:22" x14ac:dyDescent="0.2">
      <c r="B6240" s="25"/>
      <c r="E6240" s="10"/>
      <c r="O6240" s="10"/>
      <c r="V6240" s="10"/>
    </row>
    <row r="6241" spans="2:22" x14ac:dyDescent="0.2">
      <c r="B6241" s="25"/>
      <c r="E6241" s="10"/>
      <c r="O6241" s="10"/>
      <c r="V6241" s="10"/>
    </row>
    <row r="6242" spans="2:22" x14ac:dyDescent="0.2">
      <c r="B6242" s="25"/>
      <c r="E6242" s="10"/>
      <c r="O6242" s="10"/>
      <c r="V6242" s="10"/>
    </row>
    <row r="6243" spans="2:22" x14ac:dyDescent="0.2">
      <c r="B6243" s="25"/>
      <c r="E6243" s="10"/>
      <c r="O6243" s="10"/>
      <c r="V6243" s="10"/>
    </row>
    <row r="6244" spans="2:22" x14ac:dyDescent="0.2">
      <c r="B6244" s="25"/>
      <c r="E6244" s="10"/>
      <c r="O6244" s="10"/>
      <c r="V6244" s="10"/>
    </row>
    <row r="6245" spans="2:22" x14ac:dyDescent="0.2">
      <c r="B6245" s="25"/>
      <c r="E6245" s="10"/>
      <c r="O6245" s="10"/>
      <c r="V6245" s="10"/>
    </row>
    <row r="6246" spans="2:22" x14ac:dyDescent="0.2">
      <c r="B6246" s="25"/>
      <c r="E6246" s="10"/>
      <c r="O6246" s="10"/>
      <c r="V6246" s="10"/>
    </row>
    <row r="6247" spans="2:22" x14ac:dyDescent="0.2">
      <c r="B6247" s="25"/>
      <c r="E6247" s="10"/>
      <c r="O6247" s="10"/>
      <c r="V6247" s="10"/>
    </row>
    <row r="6248" spans="2:22" x14ac:dyDescent="0.2">
      <c r="B6248" s="25"/>
      <c r="E6248" s="10"/>
      <c r="O6248" s="10"/>
      <c r="V6248" s="10"/>
    </row>
    <row r="6249" spans="2:22" x14ac:dyDescent="0.2">
      <c r="B6249" s="25"/>
      <c r="E6249" s="10"/>
      <c r="O6249" s="10"/>
      <c r="V6249" s="10"/>
    </row>
    <row r="6250" spans="2:22" x14ac:dyDescent="0.2">
      <c r="B6250" s="25"/>
      <c r="E6250" s="10"/>
      <c r="O6250" s="10"/>
      <c r="V6250" s="10"/>
    </row>
    <row r="6251" spans="2:22" x14ac:dyDescent="0.2">
      <c r="B6251" s="25"/>
      <c r="E6251" s="10"/>
      <c r="O6251" s="10"/>
      <c r="V6251" s="10"/>
    </row>
    <row r="6252" spans="2:22" x14ac:dyDescent="0.2">
      <c r="B6252" s="25"/>
      <c r="E6252" s="10"/>
      <c r="O6252" s="10"/>
      <c r="V6252" s="10"/>
    </row>
    <row r="6253" spans="2:22" x14ac:dyDescent="0.2">
      <c r="B6253" s="25"/>
      <c r="E6253" s="10"/>
      <c r="O6253" s="10"/>
      <c r="V6253" s="10"/>
    </row>
    <row r="6254" spans="2:22" x14ac:dyDescent="0.2">
      <c r="B6254" s="25"/>
      <c r="E6254" s="10"/>
      <c r="O6254" s="10"/>
      <c r="V6254" s="10"/>
    </row>
    <row r="6255" spans="2:22" x14ac:dyDescent="0.2">
      <c r="B6255" s="25"/>
      <c r="E6255" s="10"/>
      <c r="O6255" s="10"/>
      <c r="V6255" s="10"/>
    </row>
    <row r="6256" spans="2:22" x14ac:dyDescent="0.2">
      <c r="B6256" s="25"/>
      <c r="E6256" s="10"/>
      <c r="O6256" s="10"/>
      <c r="V6256" s="10"/>
    </row>
    <row r="6257" spans="2:22" x14ac:dyDescent="0.2">
      <c r="B6257" s="25"/>
      <c r="E6257" s="10"/>
      <c r="O6257" s="10"/>
      <c r="V6257" s="10"/>
    </row>
    <row r="6258" spans="2:22" x14ac:dyDescent="0.2">
      <c r="B6258" s="25"/>
      <c r="E6258" s="10"/>
      <c r="O6258" s="10"/>
      <c r="V6258" s="10"/>
    </row>
    <row r="6259" spans="2:22" x14ac:dyDescent="0.2">
      <c r="B6259" s="25"/>
      <c r="E6259" s="10"/>
      <c r="O6259" s="10"/>
      <c r="V6259" s="10"/>
    </row>
    <row r="6260" spans="2:22" x14ac:dyDescent="0.2">
      <c r="B6260" s="25"/>
      <c r="E6260" s="10"/>
      <c r="O6260" s="10"/>
      <c r="V6260" s="10"/>
    </row>
    <row r="6261" spans="2:22" x14ac:dyDescent="0.2">
      <c r="B6261" s="25"/>
      <c r="E6261" s="10"/>
      <c r="O6261" s="10"/>
      <c r="V6261" s="10"/>
    </row>
    <row r="6262" spans="2:22" x14ac:dyDescent="0.2">
      <c r="B6262" s="25"/>
      <c r="E6262" s="10"/>
      <c r="O6262" s="10"/>
      <c r="V6262" s="10"/>
    </row>
    <row r="6263" spans="2:22" x14ac:dyDescent="0.2">
      <c r="B6263" s="25"/>
      <c r="E6263" s="10"/>
      <c r="O6263" s="10"/>
      <c r="V6263" s="10"/>
    </row>
    <row r="6264" spans="2:22" x14ac:dyDescent="0.2">
      <c r="B6264" s="25"/>
      <c r="E6264" s="10"/>
      <c r="O6264" s="10"/>
      <c r="V6264" s="10"/>
    </row>
    <row r="6265" spans="2:22" x14ac:dyDescent="0.2">
      <c r="B6265" s="25"/>
      <c r="E6265" s="10"/>
      <c r="O6265" s="10"/>
      <c r="V6265" s="10"/>
    </row>
    <row r="6266" spans="2:22" x14ac:dyDescent="0.2">
      <c r="B6266" s="25"/>
      <c r="E6266" s="10"/>
      <c r="O6266" s="10"/>
      <c r="V6266" s="10"/>
    </row>
    <row r="6267" spans="2:22" x14ac:dyDescent="0.2">
      <c r="B6267" s="25"/>
      <c r="E6267" s="10"/>
      <c r="O6267" s="10"/>
      <c r="V6267" s="10"/>
    </row>
    <row r="6268" spans="2:22" x14ac:dyDescent="0.2">
      <c r="B6268" s="25"/>
      <c r="E6268" s="10"/>
      <c r="O6268" s="10"/>
      <c r="V6268" s="10"/>
    </row>
    <row r="6269" spans="2:22" x14ac:dyDescent="0.2">
      <c r="B6269" s="25"/>
      <c r="E6269" s="10"/>
      <c r="O6269" s="10"/>
      <c r="V6269" s="10"/>
    </row>
    <row r="6270" spans="2:22" x14ac:dyDescent="0.2">
      <c r="B6270" s="25"/>
      <c r="E6270" s="10"/>
      <c r="O6270" s="10"/>
      <c r="V6270" s="10"/>
    </row>
    <row r="6271" spans="2:22" x14ac:dyDescent="0.2">
      <c r="B6271" s="25"/>
      <c r="E6271" s="10"/>
      <c r="O6271" s="10"/>
      <c r="V6271" s="10"/>
    </row>
    <row r="6272" spans="2:22" x14ac:dyDescent="0.2">
      <c r="B6272" s="25"/>
      <c r="E6272" s="10"/>
      <c r="O6272" s="10"/>
      <c r="V6272" s="10"/>
    </row>
    <row r="6273" spans="2:22" x14ac:dyDescent="0.2">
      <c r="B6273" s="25"/>
      <c r="E6273" s="10"/>
      <c r="O6273" s="10"/>
      <c r="V6273" s="10"/>
    </row>
    <row r="6274" spans="2:22" x14ac:dyDescent="0.2">
      <c r="B6274" s="25"/>
      <c r="E6274" s="10"/>
      <c r="O6274" s="10"/>
      <c r="V6274" s="10"/>
    </row>
    <row r="6275" spans="2:22" x14ac:dyDescent="0.2">
      <c r="B6275" s="25"/>
      <c r="E6275" s="10"/>
      <c r="O6275" s="10"/>
      <c r="V6275" s="10"/>
    </row>
    <row r="6276" spans="2:22" x14ac:dyDescent="0.2">
      <c r="B6276" s="25"/>
      <c r="E6276" s="10"/>
      <c r="O6276" s="10"/>
      <c r="V6276" s="10"/>
    </row>
    <row r="6277" spans="2:22" x14ac:dyDescent="0.2">
      <c r="B6277" s="25"/>
      <c r="E6277" s="10"/>
      <c r="O6277" s="10"/>
      <c r="V6277" s="10"/>
    </row>
    <row r="6278" spans="2:22" x14ac:dyDescent="0.2">
      <c r="B6278" s="25"/>
      <c r="E6278" s="10"/>
      <c r="O6278" s="10"/>
      <c r="V6278" s="10"/>
    </row>
    <row r="6279" spans="2:22" x14ac:dyDescent="0.2">
      <c r="B6279" s="25"/>
      <c r="E6279" s="10"/>
      <c r="O6279" s="10"/>
      <c r="V6279" s="10"/>
    </row>
    <row r="6280" spans="2:22" x14ac:dyDescent="0.2">
      <c r="B6280" s="25"/>
      <c r="E6280" s="10"/>
      <c r="O6280" s="10"/>
      <c r="V6280" s="10"/>
    </row>
    <row r="6281" spans="2:22" x14ac:dyDescent="0.2">
      <c r="B6281" s="25"/>
      <c r="E6281" s="10"/>
      <c r="O6281" s="10"/>
      <c r="V6281" s="10"/>
    </row>
    <row r="6282" spans="2:22" x14ac:dyDescent="0.2">
      <c r="B6282" s="25"/>
      <c r="E6282" s="10"/>
      <c r="O6282" s="10"/>
      <c r="V6282" s="10"/>
    </row>
    <row r="6283" spans="2:22" x14ac:dyDescent="0.2">
      <c r="B6283" s="25"/>
      <c r="E6283" s="10"/>
      <c r="O6283" s="10"/>
      <c r="V6283" s="10"/>
    </row>
    <row r="6284" spans="2:22" x14ac:dyDescent="0.2">
      <c r="B6284" s="25"/>
      <c r="E6284" s="10"/>
      <c r="O6284" s="10"/>
      <c r="V6284" s="10"/>
    </row>
    <row r="6285" spans="2:22" x14ac:dyDescent="0.2">
      <c r="B6285" s="25"/>
      <c r="E6285" s="10"/>
      <c r="O6285" s="10"/>
      <c r="V6285" s="10"/>
    </row>
    <row r="6286" spans="2:22" x14ac:dyDescent="0.2">
      <c r="B6286" s="25"/>
      <c r="E6286" s="10"/>
      <c r="O6286" s="10"/>
      <c r="V6286" s="10"/>
    </row>
    <row r="6287" spans="2:22" x14ac:dyDescent="0.2">
      <c r="B6287" s="25"/>
      <c r="E6287" s="10"/>
      <c r="O6287" s="10"/>
      <c r="V6287" s="10"/>
    </row>
    <row r="6288" spans="2:22" x14ac:dyDescent="0.2">
      <c r="B6288" s="25"/>
      <c r="E6288" s="10"/>
      <c r="O6288" s="10"/>
      <c r="V6288" s="10"/>
    </row>
    <row r="6289" spans="2:22" x14ac:dyDescent="0.2">
      <c r="B6289" s="25"/>
      <c r="E6289" s="10"/>
      <c r="O6289" s="10"/>
      <c r="V6289" s="10"/>
    </row>
    <row r="6290" spans="2:22" x14ac:dyDescent="0.2">
      <c r="B6290" s="25"/>
      <c r="E6290" s="10"/>
      <c r="O6290" s="10"/>
      <c r="V6290" s="10"/>
    </row>
    <row r="6291" spans="2:22" x14ac:dyDescent="0.2">
      <c r="B6291" s="25"/>
      <c r="E6291" s="10"/>
      <c r="O6291" s="10"/>
      <c r="V6291" s="10"/>
    </row>
    <row r="6292" spans="2:22" x14ac:dyDescent="0.2">
      <c r="B6292" s="25"/>
      <c r="E6292" s="10"/>
      <c r="O6292" s="10"/>
      <c r="V6292" s="10"/>
    </row>
    <row r="6293" spans="2:22" x14ac:dyDescent="0.2">
      <c r="B6293" s="25"/>
      <c r="E6293" s="10"/>
      <c r="O6293" s="10"/>
      <c r="V6293" s="10"/>
    </row>
    <row r="6294" spans="2:22" x14ac:dyDescent="0.2">
      <c r="B6294" s="25"/>
      <c r="E6294" s="10"/>
      <c r="O6294" s="10"/>
      <c r="V6294" s="10"/>
    </row>
    <row r="6295" spans="2:22" x14ac:dyDescent="0.2">
      <c r="B6295" s="25"/>
      <c r="E6295" s="10"/>
      <c r="O6295" s="10"/>
      <c r="V6295" s="10"/>
    </row>
    <row r="6296" spans="2:22" x14ac:dyDescent="0.2">
      <c r="B6296" s="25"/>
      <c r="E6296" s="10"/>
      <c r="O6296" s="10"/>
      <c r="V6296" s="10"/>
    </row>
    <row r="6297" spans="2:22" x14ac:dyDescent="0.2">
      <c r="B6297" s="25"/>
      <c r="E6297" s="10"/>
      <c r="O6297" s="10"/>
      <c r="V6297" s="10"/>
    </row>
    <row r="6298" spans="2:22" x14ac:dyDescent="0.2">
      <c r="B6298" s="25"/>
      <c r="E6298" s="10"/>
      <c r="O6298" s="10"/>
      <c r="V6298" s="10"/>
    </row>
    <row r="6299" spans="2:22" x14ac:dyDescent="0.2">
      <c r="B6299" s="25"/>
      <c r="E6299" s="10"/>
      <c r="O6299" s="10"/>
      <c r="V6299" s="10"/>
    </row>
    <row r="6300" spans="2:22" x14ac:dyDescent="0.2">
      <c r="B6300" s="25"/>
      <c r="E6300" s="10"/>
      <c r="O6300" s="10"/>
      <c r="V6300" s="10"/>
    </row>
    <row r="6301" spans="2:22" x14ac:dyDescent="0.2">
      <c r="B6301" s="25"/>
      <c r="E6301" s="10"/>
      <c r="O6301" s="10"/>
      <c r="V6301" s="10"/>
    </row>
    <row r="6302" spans="2:22" x14ac:dyDescent="0.2">
      <c r="B6302" s="25"/>
      <c r="E6302" s="10"/>
      <c r="O6302" s="10"/>
      <c r="V6302" s="10"/>
    </row>
    <row r="6303" spans="2:22" x14ac:dyDescent="0.2">
      <c r="B6303" s="25"/>
      <c r="E6303" s="10"/>
      <c r="O6303" s="10"/>
      <c r="V6303" s="10"/>
    </row>
    <row r="6304" spans="2:22" x14ac:dyDescent="0.2">
      <c r="B6304" s="25"/>
      <c r="E6304" s="10"/>
      <c r="O6304" s="10"/>
      <c r="V6304" s="10"/>
    </row>
    <row r="6305" spans="2:22" x14ac:dyDescent="0.2">
      <c r="B6305" s="25"/>
      <c r="E6305" s="10"/>
      <c r="O6305" s="10"/>
      <c r="V6305" s="10"/>
    </row>
    <row r="6306" spans="2:22" x14ac:dyDescent="0.2">
      <c r="B6306" s="25"/>
      <c r="E6306" s="10"/>
      <c r="O6306" s="10"/>
      <c r="V6306" s="10"/>
    </row>
    <row r="6307" spans="2:22" x14ac:dyDescent="0.2">
      <c r="B6307" s="25"/>
      <c r="E6307" s="10"/>
      <c r="O6307" s="10"/>
      <c r="V6307" s="10"/>
    </row>
    <row r="6308" spans="2:22" x14ac:dyDescent="0.2">
      <c r="B6308" s="25"/>
      <c r="E6308" s="10"/>
      <c r="O6308" s="10"/>
      <c r="V6308" s="10"/>
    </row>
    <row r="6309" spans="2:22" x14ac:dyDescent="0.2">
      <c r="B6309" s="25"/>
      <c r="E6309" s="10"/>
      <c r="O6309" s="10"/>
      <c r="V6309" s="10"/>
    </row>
    <row r="6310" spans="2:22" x14ac:dyDescent="0.2">
      <c r="B6310" s="25"/>
      <c r="E6310" s="10"/>
      <c r="O6310" s="10"/>
      <c r="V6310" s="10"/>
    </row>
    <row r="6311" spans="2:22" x14ac:dyDescent="0.2">
      <c r="B6311" s="25"/>
      <c r="E6311" s="10"/>
      <c r="O6311" s="10"/>
      <c r="V6311" s="10"/>
    </row>
    <row r="6312" spans="2:22" x14ac:dyDescent="0.2">
      <c r="B6312" s="25"/>
      <c r="E6312" s="10"/>
      <c r="O6312" s="10"/>
      <c r="V6312" s="10"/>
    </row>
    <row r="6313" spans="2:22" x14ac:dyDescent="0.2">
      <c r="B6313" s="25"/>
      <c r="E6313" s="10"/>
      <c r="O6313" s="10"/>
      <c r="V6313" s="10"/>
    </row>
    <row r="6314" spans="2:22" x14ac:dyDescent="0.2">
      <c r="B6314" s="25"/>
      <c r="E6314" s="10"/>
      <c r="O6314" s="10"/>
      <c r="V6314" s="10"/>
    </row>
    <row r="6315" spans="2:22" x14ac:dyDescent="0.2">
      <c r="B6315" s="25"/>
      <c r="E6315" s="10"/>
      <c r="O6315" s="10"/>
      <c r="V6315" s="10"/>
    </row>
    <row r="6316" spans="2:22" x14ac:dyDescent="0.2">
      <c r="B6316" s="25"/>
      <c r="E6316" s="10"/>
      <c r="O6316" s="10"/>
      <c r="V6316" s="10"/>
    </row>
    <row r="6317" spans="2:22" x14ac:dyDescent="0.2">
      <c r="B6317" s="25"/>
      <c r="E6317" s="10"/>
      <c r="O6317" s="10"/>
      <c r="V6317" s="10"/>
    </row>
    <row r="6318" spans="2:22" x14ac:dyDescent="0.2">
      <c r="B6318" s="25"/>
      <c r="E6318" s="10"/>
      <c r="O6318" s="10"/>
      <c r="V6318" s="10"/>
    </row>
    <row r="6319" spans="2:22" x14ac:dyDescent="0.2">
      <c r="B6319" s="25"/>
      <c r="E6319" s="10"/>
      <c r="O6319" s="10"/>
      <c r="V6319" s="10"/>
    </row>
    <row r="6320" spans="2:22" x14ac:dyDescent="0.2">
      <c r="B6320" s="25"/>
      <c r="E6320" s="10"/>
      <c r="O6320" s="10"/>
      <c r="V6320" s="10"/>
    </row>
    <row r="6321" spans="2:22" x14ac:dyDescent="0.2">
      <c r="B6321" s="25"/>
      <c r="E6321" s="10"/>
      <c r="O6321" s="10"/>
      <c r="V6321" s="10"/>
    </row>
    <row r="6322" spans="2:22" x14ac:dyDescent="0.2">
      <c r="B6322" s="25"/>
      <c r="E6322" s="10"/>
      <c r="O6322" s="10"/>
      <c r="V6322" s="10"/>
    </row>
    <row r="6323" spans="2:22" x14ac:dyDescent="0.2">
      <c r="B6323" s="25"/>
      <c r="E6323" s="10"/>
      <c r="O6323" s="10"/>
      <c r="V6323" s="10"/>
    </row>
    <row r="6324" spans="2:22" x14ac:dyDescent="0.2">
      <c r="B6324" s="25"/>
      <c r="E6324" s="10"/>
      <c r="O6324" s="10"/>
      <c r="V6324" s="10"/>
    </row>
    <row r="6325" spans="2:22" x14ac:dyDescent="0.2">
      <c r="B6325" s="25"/>
      <c r="E6325" s="10"/>
      <c r="O6325" s="10"/>
      <c r="V6325" s="10"/>
    </row>
    <row r="6326" spans="2:22" x14ac:dyDescent="0.2">
      <c r="B6326" s="25"/>
      <c r="E6326" s="10"/>
      <c r="O6326" s="10"/>
      <c r="V6326" s="10"/>
    </row>
    <row r="6327" spans="2:22" x14ac:dyDescent="0.2">
      <c r="B6327" s="25"/>
      <c r="E6327" s="10"/>
      <c r="O6327" s="10"/>
      <c r="V6327" s="10"/>
    </row>
    <row r="6328" spans="2:22" x14ac:dyDescent="0.2">
      <c r="B6328" s="25"/>
      <c r="E6328" s="10"/>
      <c r="O6328" s="10"/>
      <c r="V6328" s="10"/>
    </row>
    <row r="6329" spans="2:22" x14ac:dyDescent="0.2">
      <c r="B6329" s="25"/>
      <c r="E6329" s="10"/>
      <c r="O6329" s="10"/>
      <c r="V6329" s="10"/>
    </row>
    <row r="6330" spans="2:22" x14ac:dyDescent="0.2">
      <c r="B6330" s="25"/>
      <c r="E6330" s="10"/>
      <c r="O6330" s="10"/>
      <c r="V6330" s="10"/>
    </row>
    <row r="6331" spans="2:22" x14ac:dyDescent="0.2">
      <c r="B6331" s="25"/>
      <c r="E6331" s="10"/>
      <c r="O6331" s="10"/>
      <c r="V6331" s="10"/>
    </row>
    <row r="6332" spans="2:22" x14ac:dyDescent="0.2">
      <c r="B6332" s="25"/>
      <c r="E6332" s="10"/>
      <c r="O6332" s="10"/>
      <c r="V6332" s="10"/>
    </row>
    <row r="6333" spans="2:22" x14ac:dyDescent="0.2">
      <c r="B6333" s="25"/>
      <c r="E6333" s="10"/>
      <c r="O6333" s="10"/>
      <c r="V6333" s="10"/>
    </row>
    <row r="6334" spans="2:22" x14ac:dyDescent="0.2">
      <c r="B6334" s="25"/>
      <c r="E6334" s="10"/>
      <c r="O6334" s="10"/>
      <c r="V6334" s="10"/>
    </row>
    <row r="6335" spans="2:22" x14ac:dyDescent="0.2">
      <c r="B6335" s="25"/>
      <c r="E6335" s="10"/>
      <c r="O6335" s="10"/>
      <c r="V6335" s="10"/>
    </row>
    <row r="6336" spans="2:22" x14ac:dyDescent="0.2">
      <c r="B6336" s="25"/>
      <c r="E6336" s="10"/>
      <c r="O6336" s="10"/>
      <c r="V6336" s="10"/>
    </row>
    <row r="6337" spans="2:22" x14ac:dyDescent="0.2">
      <c r="B6337" s="25"/>
      <c r="E6337" s="10"/>
      <c r="O6337" s="10"/>
      <c r="V6337" s="10"/>
    </row>
    <row r="6338" spans="2:22" x14ac:dyDescent="0.2">
      <c r="B6338" s="25"/>
      <c r="E6338" s="10"/>
      <c r="O6338" s="10"/>
      <c r="V6338" s="10"/>
    </row>
    <row r="6339" spans="2:22" x14ac:dyDescent="0.2">
      <c r="B6339" s="25"/>
      <c r="E6339" s="10"/>
      <c r="O6339" s="10"/>
      <c r="V6339" s="10"/>
    </row>
    <row r="6340" spans="2:22" x14ac:dyDescent="0.2">
      <c r="B6340" s="25"/>
      <c r="E6340" s="10"/>
      <c r="O6340" s="10"/>
      <c r="V6340" s="10"/>
    </row>
    <row r="6341" spans="2:22" x14ac:dyDescent="0.2">
      <c r="B6341" s="25"/>
      <c r="E6341" s="10"/>
      <c r="O6341" s="10"/>
      <c r="V6341" s="10"/>
    </row>
    <row r="6342" spans="2:22" x14ac:dyDescent="0.2">
      <c r="B6342" s="25"/>
      <c r="E6342" s="10"/>
      <c r="O6342" s="10"/>
      <c r="V6342" s="10"/>
    </row>
    <row r="6343" spans="2:22" x14ac:dyDescent="0.2">
      <c r="B6343" s="25"/>
      <c r="E6343" s="10"/>
      <c r="O6343" s="10"/>
      <c r="V6343" s="10"/>
    </row>
    <row r="6344" spans="2:22" x14ac:dyDescent="0.2">
      <c r="B6344" s="25"/>
      <c r="E6344" s="10"/>
      <c r="O6344" s="10"/>
      <c r="V6344" s="10"/>
    </row>
    <row r="6345" spans="2:22" x14ac:dyDescent="0.2">
      <c r="B6345" s="25"/>
      <c r="E6345" s="10"/>
      <c r="O6345" s="10"/>
      <c r="V6345" s="10"/>
    </row>
    <row r="6346" spans="2:22" x14ac:dyDescent="0.2">
      <c r="B6346" s="25"/>
      <c r="E6346" s="10"/>
      <c r="O6346" s="10"/>
      <c r="V6346" s="10"/>
    </row>
    <row r="6347" spans="2:22" x14ac:dyDescent="0.2">
      <c r="B6347" s="25"/>
      <c r="E6347" s="10"/>
      <c r="O6347" s="10"/>
      <c r="V6347" s="10"/>
    </row>
    <row r="6348" spans="2:22" x14ac:dyDescent="0.2">
      <c r="B6348" s="25"/>
      <c r="E6348" s="10"/>
      <c r="O6348" s="10"/>
      <c r="V6348" s="10"/>
    </row>
    <row r="6349" spans="2:22" x14ac:dyDescent="0.2">
      <c r="B6349" s="25"/>
      <c r="E6349" s="10"/>
      <c r="O6349" s="10"/>
      <c r="V6349" s="10"/>
    </row>
    <row r="6350" spans="2:22" x14ac:dyDescent="0.2">
      <c r="B6350" s="25"/>
      <c r="E6350" s="10"/>
      <c r="O6350" s="10"/>
      <c r="V6350" s="10"/>
    </row>
    <row r="6351" spans="2:22" x14ac:dyDescent="0.2">
      <c r="B6351" s="25"/>
      <c r="E6351" s="10"/>
      <c r="O6351" s="10"/>
      <c r="V6351" s="10"/>
    </row>
    <row r="6352" spans="2:22" x14ac:dyDescent="0.2">
      <c r="B6352" s="25"/>
      <c r="E6352" s="10"/>
      <c r="O6352" s="10"/>
      <c r="V6352" s="10"/>
    </row>
    <row r="6353" spans="2:22" x14ac:dyDescent="0.2">
      <c r="B6353" s="25"/>
      <c r="E6353" s="10"/>
      <c r="O6353" s="10"/>
      <c r="V6353" s="10"/>
    </row>
    <row r="6354" spans="2:22" x14ac:dyDescent="0.2">
      <c r="B6354" s="25"/>
      <c r="E6354" s="10"/>
      <c r="O6354" s="10"/>
      <c r="V6354" s="10"/>
    </row>
    <row r="6355" spans="2:22" x14ac:dyDescent="0.2">
      <c r="B6355" s="25"/>
      <c r="E6355" s="10"/>
      <c r="O6355" s="10"/>
      <c r="V6355" s="10"/>
    </row>
    <row r="6356" spans="2:22" x14ac:dyDescent="0.2">
      <c r="B6356" s="25"/>
      <c r="E6356" s="10"/>
      <c r="O6356" s="10"/>
      <c r="V6356" s="10"/>
    </row>
    <row r="6357" spans="2:22" x14ac:dyDescent="0.2">
      <c r="B6357" s="25"/>
      <c r="E6357" s="10"/>
      <c r="O6357" s="10"/>
      <c r="V6357" s="10"/>
    </row>
    <row r="6358" spans="2:22" x14ac:dyDescent="0.2">
      <c r="B6358" s="25"/>
      <c r="E6358" s="10"/>
      <c r="O6358" s="10"/>
      <c r="V6358" s="10"/>
    </row>
    <row r="6359" spans="2:22" x14ac:dyDescent="0.2">
      <c r="B6359" s="25"/>
      <c r="E6359" s="10"/>
      <c r="O6359" s="10"/>
      <c r="V6359" s="10"/>
    </row>
    <row r="6360" spans="2:22" x14ac:dyDescent="0.2">
      <c r="B6360" s="25"/>
      <c r="E6360" s="10"/>
      <c r="O6360" s="10"/>
      <c r="V6360" s="10"/>
    </row>
    <row r="6361" spans="2:22" x14ac:dyDescent="0.2">
      <c r="B6361" s="25"/>
      <c r="E6361" s="10"/>
      <c r="O6361" s="10"/>
      <c r="V6361" s="10"/>
    </row>
    <row r="6362" spans="2:22" x14ac:dyDescent="0.2">
      <c r="B6362" s="25"/>
      <c r="E6362" s="10"/>
      <c r="O6362" s="10"/>
      <c r="V6362" s="10"/>
    </row>
    <row r="6363" spans="2:22" x14ac:dyDescent="0.2">
      <c r="B6363" s="25"/>
      <c r="E6363" s="10"/>
      <c r="O6363" s="10"/>
      <c r="V6363" s="10"/>
    </row>
    <row r="6364" spans="2:22" x14ac:dyDescent="0.2">
      <c r="B6364" s="25"/>
      <c r="E6364" s="10"/>
      <c r="O6364" s="10"/>
      <c r="V6364" s="10"/>
    </row>
    <row r="6365" spans="2:22" x14ac:dyDescent="0.2">
      <c r="B6365" s="25"/>
      <c r="E6365" s="10"/>
      <c r="O6365" s="10"/>
      <c r="V6365" s="10"/>
    </row>
    <row r="6366" spans="2:22" x14ac:dyDescent="0.2">
      <c r="B6366" s="25"/>
      <c r="E6366" s="10"/>
      <c r="O6366" s="10"/>
      <c r="V6366" s="10"/>
    </row>
    <row r="6367" spans="2:22" x14ac:dyDescent="0.2">
      <c r="B6367" s="25"/>
      <c r="E6367" s="10"/>
      <c r="O6367" s="10"/>
      <c r="V6367" s="10"/>
    </row>
    <row r="6368" spans="2:22" x14ac:dyDescent="0.2">
      <c r="B6368" s="25"/>
      <c r="E6368" s="10"/>
      <c r="O6368" s="10"/>
      <c r="V6368" s="10"/>
    </row>
    <row r="6369" spans="2:22" x14ac:dyDescent="0.2">
      <c r="B6369" s="25"/>
      <c r="E6369" s="10"/>
      <c r="O6369" s="10"/>
      <c r="V6369" s="10"/>
    </row>
    <row r="6370" spans="2:22" x14ac:dyDescent="0.2">
      <c r="B6370" s="25"/>
      <c r="E6370" s="10"/>
      <c r="O6370" s="10"/>
      <c r="V6370" s="10"/>
    </row>
    <row r="6371" spans="2:22" x14ac:dyDescent="0.2">
      <c r="B6371" s="25"/>
      <c r="E6371" s="10"/>
      <c r="O6371" s="10"/>
      <c r="V6371" s="10"/>
    </row>
    <row r="6372" spans="2:22" x14ac:dyDescent="0.2">
      <c r="B6372" s="25"/>
      <c r="E6372" s="10"/>
      <c r="O6372" s="10"/>
      <c r="V6372" s="10"/>
    </row>
    <row r="6373" spans="2:22" x14ac:dyDescent="0.2">
      <c r="B6373" s="25"/>
      <c r="E6373" s="10"/>
      <c r="O6373" s="10"/>
      <c r="V6373" s="10"/>
    </row>
    <row r="6374" spans="2:22" x14ac:dyDescent="0.2">
      <c r="B6374" s="25"/>
      <c r="E6374" s="10"/>
      <c r="O6374" s="10"/>
      <c r="V6374" s="10"/>
    </row>
    <row r="6375" spans="2:22" x14ac:dyDescent="0.2">
      <c r="B6375" s="25"/>
      <c r="E6375" s="10"/>
      <c r="O6375" s="10"/>
      <c r="V6375" s="10"/>
    </row>
    <row r="6376" spans="2:22" x14ac:dyDescent="0.2">
      <c r="B6376" s="25"/>
      <c r="E6376" s="10"/>
      <c r="O6376" s="10"/>
      <c r="V6376" s="10"/>
    </row>
    <row r="6377" spans="2:22" x14ac:dyDescent="0.2">
      <c r="B6377" s="25"/>
      <c r="E6377" s="10"/>
      <c r="O6377" s="10"/>
      <c r="V6377" s="10"/>
    </row>
    <row r="6378" spans="2:22" x14ac:dyDescent="0.2">
      <c r="B6378" s="25"/>
      <c r="E6378" s="10"/>
      <c r="O6378" s="10"/>
      <c r="V6378" s="10"/>
    </row>
    <row r="6379" spans="2:22" x14ac:dyDescent="0.2">
      <c r="B6379" s="25"/>
      <c r="E6379" s="10"/>
      <c r="O6379" s="10"/>
      <c r="V6379" s="10"/>
    </row>
    <row r="6380" spans="2:22" x14ac:dyDescent="0.2">
      <c r="B6380" s="25"/>
      <c r="E6380" s="10"/>
      <c r="O6380" s="10"/>
      <c r="V6380" s="10"/>
    </row>
    <row r="6381" spans="2:22" x14ac:dyDescent="0.2">
      <c r="B6381" s="25"/>
      <c r="E6381" s="10"/>
      <c r="O6381" s="10"/>
      <c r="V6381" s="10"/>
    </row>
    <row r="6382" spans="2:22" x14ac:dyDescent="0.2">
      <c r="B6382" s="25"/>
      <c r="E6382" s="10"/>
      <c r="O6382" s="10"/>
      <c r="V6382" s="10"/>
    </row>
    <row r="6383" spans="2:22" x14ac:dyDescent="0.2">
      <c r="B6383" s="25"/>
      <c r="E6383" s="10"/>
      <c r="O6383" s="10"/>
      <c r="V6383" s="10"/>
    </row>
    <row r="6384" spans="2:22" x14ac:dyDescent="0.2">
      <c r="B6384" s="25"/>
      <c r="E6384" s="10"/>
      <c r="O6384" s="10"/>
      <c r="V6384" s="10"/>
    </row>
    <row r="6385" spans="2:22" x14ac:dyDescent="0.2">
      <c r="B6385" s="25"/>
      <c r="E6385" s="10"/>
      <c r="O6385" s="10"/>
      <c r="V6385" s="10"/>
    </row>
    <row r="6386" spans="2:22" x14ac:dyDescent="0.2">
      <c r="B6386" s="25"/>
      <c r="E6386" s="10"/>
      <c r="O6386" s="10"/>
      <c r="V6386" s="10"/>
    </row>
    <row r="6387" spans="2:22" x14ac:dyDescent="0.2">
      <c r="B6387" s="25"/>
      <c r="E6387" s="10"/>
      <c r="O6387" s="10"/>
      <c r="V6387" s="10"/>
    </row>
    <row r="6388" spans="2:22" x14ac:dyDescent="0.2">
      <c r="B6388" s="25"/>
      <c r="E6388" s="10"/>
      <c r="O6388" s="10"/>
      <c r="V6388" s="10"/>
    </row>
    <row r="6389" spans="2:22" x14ac:dyDescent="0.2">
      <c r="B6389" s="25"/>
      <c r="E6389" s="10"/>
      <c r="O6389" s="10"/>
      <c r="V6389" s="10"/>
    </row>
    <row r="6390" spans="2:22" x14ac:dyDescent="0.2">
      <c r="B6390" s="25"/>
      <c r="E6390" s="10"/>
      <c r="O6390" s="10"/>
      <c r="V6390" s="10"/>
    </row>
    <row r="6391" spans="2:22" x14ac:dyDescent="0.2">
      <c r="B6391" s="25"/>
      <c r="E6391" s="10"/>
      <c r="O6391" s="10"/>
      <c r="V6391" s="10"/>
    </row>
    <row r="6392" spans="2:22" x14ac:dyDescent="0.2">
      <c r="B6392" s="25"/>
      <c r="E6392" s="10"/>
      <c r="O6392" s="10"/>
      <c r="V6392" s="10"/>
    </row>
    <row r="6393" spans="2:22" x14ac:dyDescent="0.2">
      <c r="B6393" s="25"/>
      <c r="E6393" s="10"/>
      <c r="O6393" s="10"/>
      <c r="V6393" s="10"/>
    </row>
    <row r="6394" spans="2:22" x14ac:dyDescent="0.2">
      <c r="B6394" s="25"/>
      <c r="E6394" s="10"/>
      <c r="O6394" s="10"/>
      <c r="V6394" s="10"/>
    </row>
    <row r="6395" spans="2:22" x14ac:dyDescent="0.2">
      <c r="B6395" s="25"/>
      <c r="E6395" s="10"/>
      <c r="O6395" s="10"/>
      <c r="V6395" s="10"/>
    </row>
    <row r="6396" spans="2:22" x14ac:dyDescent="0.2">
      <c r="B6396" s="25"/>
      <c r="E6396" s="10"/>
      <c r="O6396" s="10"/>
      <c r="V6396" s="10"/>
    </row>
    <row r="6397" spans="2:22" x14ac:dyDescent="0.2">
      <c r="B6397" s="25"/>
      <c r="E6397" s="10"/>
      <c r="O6397" s="10"/>
      <c r="V6397" s="10"/>
    </row>
    <row r="6398" spans="2:22" x14ac:dyDescent="0.2">
      <c r="B6398" s="25"/>
      <c r="E6398" s="10"/>
      <c r="O6398" s="10"/>
      <c r="V6398" s="10"/>
    </row>
    <row r="6399" spans="2:22" x14ac:dyDescent="0.2">
      <c r="B6399" s="25"/>
      <c r="E6399" s="10"/>
      <c r="O6399" s="10"/>
      <c r="V6399" s="10"/>
    </row>
    <row r="6400" spans="2:22" x14ac:dyDescent="0.2">
      <c r="B6400" s="25"/>
      <c r="E6400" s="10"/>
      <c r="O6400" s="10"/>
      <c r="V6400" s="10"/>
    </row>
    <row r="6401" spans="2:22" x14ac:dyDescent="0.2">
      <c r="B6401" s="25"/>
      <c r="E6401" s="10"/>
      <c r="O6401" s="10"/>
      <c r="V6401" s="10"/>
    </row>
    <row r="6402" spans="2:22" x14ac:dyDescent="0.2">
      <c r="B6402" s="25"/>
      <c r="E6402" s="10"/>
      <c r="O6402" s="10"/>
      <c r="V6402" s="10"/>
    </row>
    <row r="6403" spans="2:22" x14ac:dyDescent="0.2">
      <c r="B6403" s="25"/>
      <c r="E6403" s="10"/>
      <c r="O6403" s="10"/>
      <c r="V6403" s="10"/>
    </row>
    <row r="6404" spans="2:22" x14ac:dyDescent="0.2">
      <c r="B6404" s="25"/>
      <c r="E6404" s="10"/>
      <c r="O6404" s="10"/>
      <c r="V6404" s="10"/>
    </row>
    <row r="6405" spans="2:22" x14ac:dyDescent="0.2">
      <c r="B6405" s="25"/>
      <c r="E6405" s="10"/>
      <c r="O6405" s="10"/>
      <c r="V6405" s="10"/>
    </row>
    <row r="6406" spans="2:22" x14ac:dyDescent="0.2">
      <c r="B6406" s="25"/>
      <c r="E6406" s="10"/>
      <c r="O6406" s="10"/>
      <c r="V6406" s="10"/>
    </row>
    <row r="6407" spans="2:22" x14ac:dyDescent="0.2">
      <c r="B6407" s="25"/>
      <c r="E6407" s="10"/>
      <c r="O6407" s="10"/>
      <c r="V6407" s="10"/>
    </row>
    <row r="6408" spans="2:22" x14ac:dyDescent="0.2">
      <c r="B6408" s="25"/>
      <c r="E6408" s="10"/>
      <c r="O6408" s="10"/>
      <c r="V6408" s="10"/>
    </row>
    <row r="6409" spans="2:22" x14ac:dyDescent="0.2">
      <c r="B6409" s="25"/>
      <c r="E6409" s="10"/>
      <c r="O6409" s="10"/>
      <c r="V6409" s="10"/>
    </row>
    <row r="6410" spans="2:22" x14ac:dyDescent="0.2">
      <c r="B6410" s="25"/>
      <c r="E6410" s="10"/>
      <c r="O6410" s="10"/>
      <c r="V6410" s="10"/>
    </row>
    <row r="6411" spans="2:22" x14ac:dyDescent="0.2">
      <c r="B6411" s="25"/>
      <c r="E6411" s="10"/>
      <c r="O6411" s="10"/>
      <c r="V6411" s="10"/>
    </row>
    <row r="6412" spans="2:22" x14ac:dyDescent="0.2">
      <c r="B6412" s="25"/>
      <c r="E6412" s="10"/>
      <c r="O6412" s="10"/>
      <c r="V6412" s="10"/>
    </row>
    <row r="6413" spans="2:22" x14ac:dyDescent="0.2">
      <c r="B6413" s="25"/>
      <c r="E6413" s="10"/>
      <c r="O6413" s="10"/>
      <c r="V6413" s="10"/>
    </row>
    <row r="6414" spans="2:22" x14ac:dyDescent="0.2">
      <c r="B6414" s="25"/>
      <c r="E6414" s="10"/>
      <c r="O6414" s="10"/>
      <c r="V6414" s="10"/>
    </row>
    <row r="6415" spans="2:22" x14ac:dyDescent="0.2">
      <c r="B6415" s="25"/>
      <c r="E6415" s="10"/>
      <c r="O6415" s="10"/>
      <c r="V6415" s="10"/>
    </row>
    <row r="6416" spans="2:22" x14ac:dyDescent="0.2">
      <c r="B6416" s="25"/>
      <c r="E6416" s="10"/>
      <c r="O6416" s="10"/>
      <c r="V6416" s="10"/>
    </row>
    <row r="6417" spans="2:22" x14ac:dyDescent="0.2">
      <c r="B6417" s="25"/>
      <c r="E6417" s="10"/>
      <c r="O6417" s="10"/>
      <c r="V6417" s="10"/>
    </row>
    <row r="6418" spans="2:22" x14ac:dyDescent="0.2">
      <c r="B6418" s="25"/>
      <c r="E6418" s="10"/>
      <c r="O6418" s="10"/>
      <c r="V6418" s="10"/>
    </row>
    <row r="6419" spans="2:22" x14ac:dyDescent="0.2">
      <c r="B6419" s="25"/>
      <c r="E6419" s="10"/>
      <c r="O6419" s="10"/>
      <c r="V6419" s="10"/>
    </row>
    <row r="6420" spans="2:22" x14ac:dyDescent="0.2">
      <c r="B6420" s="25"/>
      <c r="E6420" s="10"/>
      <c r="O6420" s="10"/>
      <c r="V6420" s="10"/>
    </row>
    <row r="6421" spans="2:22" x14ac:dyDescent="0.2">
      <c r="B6421" s="25"/>
      <c r="E6421" s="10"/>
      <c r="O6421" s="10"/>
      <c r="V6421" s="10"/>
    </row>
    <row r="6422" spans="2:22" x14ac:dyDescent="0.2">
      <c r="B6422" s="25"/>
      <c r="E6422" s="10"/>
      <c r="O6422" s="10"/>
      <c r="V6422" s="10"/>
    </row>
    <row r="6423" spans="2:22" x14ac:dyDescent="0.2">
      <c r="B6423" s="25"/>
      <c r="E6423" s="10"/>
      <c r="O6423" s="10"/>
      <c r="V6423" s="10"/>
    </row>
    <row r="6424" spans="2:22" x14ac:dyDescent="0.2">
      <c r="B6424" s="25"/>
      <c r="E6424" s="10"/>
      <c r="O6424" s="10"/>
      <c r="V6424" s="10"/>
    </row>
    <row r="6425" spans="2:22" x14ac:dyDescent="0.2">
      <c r="B6425" s="25"/>
      <c r="E6425" s="10"/>
      <c r="O6425" s="10"/>
      <c r="V6425" s="10"/>
    </row>
    <row r="6426" spans="2:22" x14ac:dyDescent="0.2">
      <c r="B6426" s="25"/>
      <c r="E6426" s="10"/>
      <c r="O6426" s="10"/>
      <c r="V6426" s="10"/>
    </row>
    <row r="6427" spans="2:22" x14ac:dyDescent="0.2">
      <c r="B6427" s="25"/>
      <c r="E6427" s="10"/>
      <c r="O6427" s="10"/>
      <c r="V6427" s="10"/>
    </row>
    <row r="6428" spans="2:22" x14ac:dyDescent="0.2">
      <c r="B6428" s="25"/>
      <c r="E6428" s="10"/>
      <c r="O6428" s="10"/>
      <c r="V6428" s="10"/>
    </row>
    <row r="6429" spans="2:22" x14ac:dyDescent="0.2">
      <c r="B6429" s="25"/>
      <c r="E6429" s="10"/>
      <c r="O6429" s="10"/>
      <c r="V6429" s="10"/>
    </row>
    <row r="6430" spans="2:22" x14ac:dyDescent="0.2">
      <c r="B6430" s="25"/>
      <c r="E6430" s="10"/>
      <c r="O6430" s="10"/>
      <c r="V6430" s="10"/>
    </row>
    <row r="6431" spans="2:22" x14ac:dyDescent="0.2">
      <c r="B6431" s="25"/>
      <c r="E6431" s="10"/>
      <c r="O6431" s="10"/>
      <c r="V6431" s="10"/>
    </row>
    <row r="6432" spans="2:22" x14ac:dyDescent="0.2">
      <c r="B6432" s="25"/>
      <c r="E6432" s="10"/>
      <c r="O6432" s="10"/>
      <c r="V6432" s="10"/>
    </row>
    <row r="6433" spans="2:22" x14ac:dyDescent="0.2">
      <c r="B6433" s="25"/>
      <c r="E6433" s="10"/>
      <c r="O6433" s="10"/>
      <c r="V6433" s="10"/>
    </row>
    <row r="6434" spans="2:22" x14ac:dyDescent="0.2">
      <c r="B6434" s="25"/>
      <c r="E6434" s="10"/>
      <c r="O6434" s="10"/>
      <c r="V6434" s="10"/>
    </row>
    <row r="6435" spans="2:22" x14ac:dyDescent="0.2">
      <c r="B6435" s="25"/>
      <c r="E6435" s="10"/>
      <c r="O6435" s="10"/>
      <c r="V6435" s="10"/>
    </row>
    <row r="6436" spans="2:22" x14ac:dyDescent="0.2">
      <c r="B6436" s="25"/>
      <c r="E6436" s="10"/>
      <c r="O6436" s="10"/>
      <c r="V6436" s="10"/>
    </row>
    <row r="6437" spans="2:22" x14ac:dyDescent="0.2">
      <c r="B6437" s="25"/>
      <c r="E6437" s="10"/>
      <c r="O6437" s="10"/>
      <c r="V6437" s="10"/>
    </row>
    <row r="6438" spans="2:22" x14ac:dyDescent="0.2">
      <c r="B6438" s="25"/>
      <c r="E6438" s="10"/>
      <c r="O6438" s="10"/>
      <c r="V6438" s="10"/>
    </row>
    <row r="6439" spans="2:22" x14ac:dyDescent="0.2">
      <c r="B6439" s="25"/>
      <c r="E6439" s="10"/>
      <c r="O6439" s="10"/>
      <c r="V6439" s="10"/>
    </row>
    <row r="6440" spans="2:22" x14ac:dyDescent="0.2">
      <c r="B6440" s="25"/>
      <c r="E6440" s="10"/>
      <c r="O6440" s="10"/>
      <c r="V6440" s="10"/>
    </row>
    <row r="6441" spans="2:22" x14ac:dyDescent="0.2">
      <c r="B6441" s="25"/>
      <c r="E6441" s="10"/>
      <c r="O6441" s="10"/>
      <c r="V6441" s="10"/>
    </row>
    <row r="6442" spans="2:22" x14ac:dyDescent="0.2">
      <c r="B6442" s="25"/>
      <c r="E6442" s="10"/>
      <c r="O6442" s="10"/>
      <c r="V6442" s="10"/>
    </row>
    <row r="6443" spans="2:22" x14ac:dyDescent="0.2">
      <c r="B6443" s="25"/>
      <c r="E6443" s="10"/>
      <c r="O6443" s="10"/>
      <c r="V6443" s="10"/>
    </row>
    <row r="6444" spans="2:22" x14ac:dyDescent="0.2">
      <c r="B6444" s="25"/>
      <c r="E6444" s="10"/>
      <c r="O6444" s="10"/>
      <c r="V6444" s="10"/>
    </row>
    <row r="6445" spans="2:22" x14ac:dyDescent="0.2">
      <c r="B6445" s="25"/>
      <c r="E6445" s="10"/>
      <c r="O6445" s="10"/>
      <c r="V6445" s="10"/>
    </row>
    <row r="6446" spans="2:22" x14ac:dyDescent="0.2">
      <c r="B6446" s="25"/>
      <c r="E6446" s="10"/>
      <c r="O6446" s="10"/>
      <c r="V6446" s="10"/>
    </row>
    <row r="6447" spans="2:22" x14ac:dyDescent="0.2">
      <c r="B6447" s="25"/>
      <c r="E6447" s="10"/>
      <c r="O6447" s="10"/>
      <c r="V6447" s="10"/>
    </row>
    <row r="6448" spans="2:22" x14ac:dyDescent="0.2">
      <c r="B6448" s="25"/>
      <c r="E6448" s="10"/>
      <c r="O6448" s="10"/>
      <c r="V6448" s="10"/>
    </row>
    <row r="6449" spans="2:22" x14ac:dyDescent="0.2">
      <c r="B6449" s="25"/>
      <c r="E6449" s="10"/>
      <c r="O6449" s="10"/>
      <c r="V6449" s="10"/>
    </row>
    <row r="6450" spans="2:22" x14ac:dyDescent="0.2">
      <c r="B6450" s="25"/>
      <c r="E6450" s="10"/>
      <c r="O6450" s="10"/>
      <c r="V6450" s="10"/>
    </row>
    <row r="6451" spans="2:22" x14ac:dyDescent="0.2">
      <c r="B6451" s="25"/>
      <c r="E6451" s="10"/>
      <c r="O6451" s="10"/>
      <c r="V6451" s="10"/>
    </row>
    <row r="6452" spans="2:22" x14ac:dyDescent="0.2">
      <c r="B6452" s="25"/>
      <c r="E6452" s="10"/>
      <c r="O6452" s="10"/>
      <c r="V6452" s="10"/>
    </row>
    <row r="6453" spans="2:22" x14ac:dyDescent="0.2">
      <c r="B6453" s="25"/>
      <c r="E6453" s="10"/>
      <c r="O6453" s="10"/>
      <c r="V6453" s="10"/>
    </row>
    <row r="6454" spans="2:22" x14ac:dyDescent="0.2">
      <c r="B6454" s="25"/>
      <c r="E6454" s="10"/>
      <c r="O6454" s="10"/>
      <c r="V6454" s="10"/>
    </row>
    <row r="6455" spans="2:22" x14ac:dyDescent="0.2">
      <c r="B6455" s="25"/>
      <c r="E6455" s="10"/>
      <c r="O6455" s="10"/>
      <c r="V6455" s="10"/>
    </row>
    <row r="6456" spans="2:22" x14ac:dyDescent="0.2">
      <c r="B6456" s="25"/>
      <c r="E6456" s="10"/>
      <c r="O6456" s="10"/>
      <c r="V6456" s="10"/>
    </row>
    <row r="6457" spans="2:22" x14ac:dyDescent="0.2">
      <c r="B6457" s="25"/>
      <c r="E6457" s="10"/>
      <c r="O6457" s="10"/>
      <c r="V6457" s="10"/>
    </row>
    <row r="6458" spans="2:22" x14ac:dyDescent="0.2">
      <c r="B6458" s="25"/>
      <c r="E6458" s="10"/>
      <c r="O6458" s="10"/>
      <c r="V6458" s="10"/>
    </row>
    <row r="6459" spans="2:22" x14ac:dyDescent="0.2">
      <c r="B6459" s="25"/>
      <c r="E6459" s="10"/>
      <c r="O6459" s="10"/>
      <c r="V6459" s="10"/>
    </row>
    <row r="6460" spans="2:22" x14ac:dyDescent="0.2">
      <c r="B6460" s="25"/>
      <c r="E6460" s="10"/>
      <c r="O6460" s="10"/>
      <c r="V6460" s="10"/>
    </row>
    <row r="6461" spans="2:22" x14ac:dyDescent="0.2">
      <c r="B6461" s="25"/>
      <c r="E6461" s="10"/>
      <c r="O6461" s="10"/>
      <c r="V6461" s="10"/>
    </row>
    <row r="6462" spans="2:22" x14ac:dyDescent="0.2">
      <c r="B6462" s="25"/>
      <c r="E6462" s="10"/>
      <c r="O6462" s="10"/>
      <c r="V6462" s="10"/>
    </row>
    <row r="6463" spans="2:22" x14ac:dyDescent="0.2">
      <c r="B6463" s="25"/>
      <c r="E6463" s="10"/>
      <c r="O6463" s="10"/>
      <c r="V6463" s="10"/>
    </row>
    <row r="6464" spans="2:22" x14ac:dyDescent="0.2">
      <c r="B6464" s="25"/>
      <c r="E6464" s="10"/>
      <c r="O6464" s="10"/>
      <c r="V6464" s="10"/>
    </row>
    <row r="6465" spans="2:22" x14ac:dyDescent="0.2">
      <c r="B6465" s="25"/>
      <c r="E6465" s="10"/>
      <c r="O6465" s="10"/>
      <c r="V6465" s="10"/>
    </row>
    <row r="6466" spans="2:22" x14ac:dyDescent="0.2">
      <c r="B6466" s="25"/>
      <c r="E6466" s="10"/>
      <c r="O6466" s="10"/>
      <c r="V6466" s="10"/>
    </row>
    <row r="6467" spans="2:22" x14ac:dyDescent="0.2">
      <c r="B6467" s="25"/>
      <c r="E6467" s="10"/>
      <c r="O6467" s="10"/>
      <c r="V6467" s="10"/>
    </row>
    <row r="6468" spans="2:22" x14ac:dyDescent="0.2">
      <c r="B6468" s="25"/>
      <c r="E6468" s="10"/>
      <c r="O6468" s="10"/>
      <c r="V6468" s="10"/>
    </row>
    <row r="6469" spans="2:22" x14ac:dyDescent="0.2">
      <c r="B6469" s="25"/>
      <c r="E6469" s="10"/>
      <c r="O6469" s="10"/>
      <c r="V6469" s="10"/>
    </row>
    <row r="6470" spans="2:22" x14ac:dyDescent="0.2">
      <c r="B6470" s="25"/>
      <c r="E6470" s="10"/>
      <c r="O6470" s="10"/>
      <c r="V6470" s="10"/>
    </row>
    <row r="6471" spans="2:22" x14ac:dyDescent="0.2">
      <c r="B6471" s="25"/>
      <c r="E6471" s="10"/>
      <c r="O6471" s="10"/>
      <c r="V6471" s="10"/>
    </row>
    <row r="6472" spans="2:22" x14ac:dyDescent="0.2">
      <c r="B6472" s="25"/>
      <c r="E6472" s="10"/>
      <c r="O6472" s="10"/>
      <c r="V6472" s="10"/>
    </row>
    <row r="6473" spans="2:22" x14ac:dyDescent="0.2">
      <c r="B6473" s="25"/>
      <c r="E6473" s="10"/>
      <c r="O6473" s="10"/>
      <c r="V6473" s="10"/>
    </row>
    <row r="6474" spans="2:22" x14ac:dyDescent="0.2">
      <c r="B6474" s="25"/>
      <c r="E6474" s="10"/>
      <c r="O6474" s="10"/>
      <c r="V6474" s="10"/>
    </row>
    <row r="6475" spans="2:22" x14ac:dyDescent="0.2">
      <c r="B6475" s="25"/>
      <c r="E6475" s="10"/>
      <c r="O6475" s="10"/>
      <c r="V6475" s="10"/>
    </row>
    <row r="6476" spans="2:22" x14ac:dyDescent="0.2">
      <c r="B6476" s="25"/>
      <c r="E6476" s="10"/>
      <c r="O6476" s="10"/>
      <c r="V6476" s="10"/>
    </row>
    <row r="6477" spans="2:22" x14ac:dyDescent="0.2">
      <c r="B6477" s="25"/>
      <c r="E6477" s="10"/>
      <c r="O6477" s="10"/>
      <c r="V6477" s="10"/>
    </row>
    <row r="6478" spans="2:22" x14ac:dyDescent="0.2">
      <c r="B6478" s="25"/>
      <c r="E6478" s="10"/>
      <c r="O6478" s="10"/>
      <c r="V6478" s="10"/>
    </row>
    <row r="6479" spans="2:22" x14ac:dyDescent="0.2">
      <c r="B6479" s="25"/>
      <c r="E6479" s="10"/>
      <c r="O6479" s="10"/>
      <c r="V6479" s="10"/>
    </row>
    <row r="6480" spans="2:22" x14ac:dyDescent="0.2">
      <c r="B6480" s="25"/>
      <c r="E6480" s="10"/>
      <c r="O6480" s="10"/>
      <c r="V6480" s="10"/>
    </row>
    <row r="6481" spans="2:22" x14ac:dyDescent="0.2">
      <c r="B6481" s="25"/>
      <c r="E6481" s="10"/>
      <c r="O6481" s="10"/>
      <c r="V6481" s="10"/>
    </row>
    <row r="6482" spans="2:22" x14ac:dyDescent="0.2">
      <c r="B6482" s="25"/>
      <c r="E6482" s="10"/>
      <c r="O6482" s="10"/>
      <c r="V6482" s="10"/>
    </row>
    <row r="6483" spans="2:22" x14ac:dyDescent="0.2">
      <c r="B6483" s="25"/>
      <c r="E6483" s="10"/>
      <c r="O6483" s="10"/>
      <c r="V6483" s="10"/>
    </row>
    <row r="6484" spans="2:22" x14ac:dyDescent="0.2">
      <c r="B6484" s="25"/>
      <c r="E6484" s="10"/>
      <c r="O6484" s="10"/>
      <c r="V6484" s="10"/>
    </row>
    <row r="6485" spans="2:22" x14ac:dyDescent="0.2">
      <c r="B6485" s="25"/>
      <c r="E6485" s="10"/>
      <c r="O6485" s="10"/>
      <c r="V6485" s="10"/>
    </row>
    <row r="6486" spans="2:22" x14ac:dyDescent="0.2">
      <c r="B6486" s="25"/>
      <c r="E6486" s="10"/>
      <c r="O6486" s="10"/>
      <c r="V6486" s="10"/>
    </row>
    <row r="6487" spans="2:22" x14ac:dyDescent="0.2">
      <c r="B6487" s="25"/>
      <c r="E6487" s="10"/>
      <c r="O6487" s="10"/>
      <c r="V6487" s="10"/>
    </row>
    <row r="6488" spans="2:22" x14ac:dyDescent="0.2">
      <c r="B6488" s="25"/>
      <c r="E6488" s="10"/>
      <c r="O6488" s="10"/>
      <c r="V6488" s="10"/>
    </row>
    <row r="6489" spans="2:22" x14ac:dyDescent="0.2">
      <c r="B6489" s="25"/>
      <c r="E6489" s="10"/>
      <c r="O6489" s="10"/>
      <c r="V6489" s="10"/>
    </row>
    <row r="6490" spans="2:22" x14ac:dyDescent="0.2">
      <c r="B6490" s="25"/>
      <c r="E6490" s="10"/>
      <c r="O6490" s="10"/>
      <c r="V6490" s="10"/>
    </row>
    <row r="6491" spans="2:22" x14ac:dyDescent="0.2">
      <c r="B6491" s="25"/>
      <c r="E6491" s="10"/>
      <c r="O6491" s="10"/>
      <c r="V6491" s="10"/>
    </row>
    <row r="6492" spans="2:22" x14ac:dyDescent="0.2">
      <c r="B6492" s="25"/>
      <c r="E6492" s="10"/>
      <c r="O6492" s="10"/>
      <c r="V6492" s="10"/>
    </row>
    <row r="6493" spans="2:22" x14ac:dyDescent="0.2">
      <c r="B6493" s="25"/>
      <c r="E6493" s="10"/>
      <c r="O6493" s="10"/>
      <c r="V6493" s="10"/>
    </row>
    <row r="6494" spans="2:22" x14ac:dyDescent="0.2">
      <c r="B6494" s="25"/>
      <c r="E6494" s="10"/>
      <c r="O6494" s="10"/>
      <c r="V6494" s="10"/>
    </row>
    <row r="6495" spans="2:22" x14ac:dyDescent="0.2">
      <c r="B6495" s="25"/>
      <c r="E6495" s="10"/>
      <c r="O6495" s="10"/>
      <c r="V6495" s="10"/>
    </row>
    <row r="6496" spans="2:22" x14ac:dyDescent="0.2">
      <c r="B6496" s="25"/>
      <c r="E6496" s="10"/>
      <c r="O6496" s="10"/>
      <c r="V6496" s="10"/>
    </row>
    <row r="6497" spans="2:22" x14ac:dyDescent="0.2">
      <c r="B6497" s="25"/>
      <c r="E6497" s="10"/>
      <c r="O6497" s="10"/>
      <c r="V6497" s="10"/>
    </row>
    <row r="6498" spans="2:22" x14ac:dyDescent="0.2">
      <c r="B6498" s="25"/>
      <c r="E6498" s="10"/>
      <c r="O6498" s="10"/>
      <c r="V6498" s="10"/>
    </row>
    <row r="6499" spans="2:22" x14ac:dyDescent="0.2">
      <c r="B6499" s="25"/>
      <c r="E6499" s="10"/>
      <c r="O6499" s="10"/>
      <c r="V6499" s="10"/>
    </row>
    <row r="6500" spans="2:22" x14ac:dyDescent="0.2">
      <c r="B6500" s="25"/>
      <c r="E6500" s="10"/>
      <c r="O6500" s="10"/>
      <c r="V6500" s="10"/>
    </row>
    <row r="6501" spans="2:22" x14ac:dyDescent="0.2">
      <c r="B6501" s="25"/>
      <c r="E6501" s="10"/>
      <c r="O6501" s="10"/>
      <c r="V6501" s="10"/>
    </row>
    <row r="6502" spans="2:22" x14ac:dyDescent="0.2">
      <c r="B6502" s="25"/>
      <c r="E6502" s="10"/>
      <c r="O6502" s="10"/>
      <c r="V6502" s="10"/>
    </row>
    <row r="6503" spans="2:22" x14ac:dyDescent="0.2">
      <c r="B6503" s="25"/>
      <c r="E6503" s="10"/>
      <c r="O6503" s="10"/>
      <c r="V6503" s="10"/>
    </row>
    <row r="6504" spans="2:22" x14ac:dyDescent="0.2">
      <c r="B6504" s="25"/>
      <c r="E6504" s="10"/>
      <c r="O6504" s="10"/>
      <c r="V6504" s="10"/>
    </row>
    <row r="6505" spans="2:22" x14ac:dyDescent="0.2">
      <c r="B6505" s="25"/>
      <c r="E6505" s="10"/>
      <c r="O6505" s="10"/>
      <c r="V6505" s="10"/>
    </row>
    <row r="6506" spans="2:22" x14ac:dyDescent="0.2">
      <c r="B6506" s="25"/>
      <c r="E6506" s="10"/>
      <c r="O6506" s="10"/>
      <c r="V6506" s="10"/>
    </row>
    <row r="6507" spans="2:22" x14ac:dyDescent="0.2">
      <c r="B6507" s="25"/>
      <c r="E6507" s="10"/>
      <c r="O6507" s="10"/>
      <c r="V6507" s="10"/>
    </row>
    <row r="6508" spans="2:22" x14ac:dyDescent="0.2">
      <c r="B6508" s="25"/>
      <c r="E6508" s="10"/>
      <c r="O6508" s="10"/>
      <c r="V6508" s="10"/>
    </row>
    <row r="6509" spans="2:22" x14ac:dyDescent="0.2">
      <c r="B6509" s="25"/>
      <c r="E6509" s="10"/>
      <c r="O6509" s="10"/>
      <c r="V6509" s="10"/>
    </row>
    <row r="6510" spans="2:22" x14ac:dyDescent="0.2">
      <c r="B6510" s="25"/>
      <c r="E6510" s="10"/>
      <c r="O6510" s="10"/>
      <c r="V6510" s="10"/>
    </row>
    <row r="6511" spans="2:22" x14ac:dyDescent="0.2">
      <c r="B6511" s="25"/>
      <c r="E6511" s="10"/>
      <c r="O6511" s="10"/>
      <c r="V6511" s="10"/>
    </row>
    <row r="6512" spans="2:22" x14ac:dyDescent="0.2">
      <c r="B6512" s="25"/>
      <c r="E6512" s="10"/>
      <c r="O6512" s="10"/>
      <c r="V6512" s="10"/>
    </row>
    <row r="6513" spans="2:22" x14ac:dyDescent="0.2">
      <c r="B6513" s="25"/>
      <c r="E6513" s="10"/>
      <c r="O6513" s="10"/>
      <c r="V6513" s="10"/>
    </row>
    <row r="6514" spans="2:22" x14ac:dyDescent="0.2">
      <c r="B6514" s="25"/>
      <c r="E6514" s="10"/>
      <c r="O6514" s="10"/>
      <c r="V6514" s="10"/>
    </row>
    <row r="6515" spans="2:22" x14ac:dyDescent="0.2">
      <c r="B6515" s="25"/>
      <c r="E6515" s="10"/>
      <c r="O6515" s="10"/>
      <c r="V6515" s="10"/>
    </row>
    <row r="6516" spans="2:22" x14ac:dyDescent="0.2">
      <c r="B6516" s="25"/>
      <c r="E6516" s="10"/>
      <c r="O6516" s="10"/>
      <c r="V6516" s="10"/>
    </row>
    <row r="6517" spans="2:22" x14ac:dyDescent="0.2">
      <c r="B6517" s="25"/>
      <c r="E6517" s="10"/>
      <c r="O6517" s="10"/>
      <c r="V6517" s="10"/>
    </row>
    <row r="6518" spans="2:22" x14ac:dyDescent="0.2">
      <c r="B6518" s="25"/>
      <c r="E6518" s="10"/>
      <c r="O6518" s="10"/>
      <c r="V6518" s="10"/>
    </row>
    <row r="6519" spans="2:22" x14ac:dyDescent="0.2">
      <c r="B6519" s="25"/>
      <c r="E6519" s="10"/>
      <c r="O6519" s="10"/>
      <c r="V6519" s="10"/>
    </row>
    <row r="6520" spans="2:22" x14ac:dyDescent="0.2">
      <c r="B6520" s="25"/>
      <c r="E6520" s="10"/>
      <c r="O6520" s="10"/>
      <c r="V6520" s="10"/>
    </row>
    <row r="6521" spans="2:22" x14ac:dyDescent="0.2">
      <c r="B6521" s="25"/>
      <c r="E6521" s="10"/>
      <c r="O6521" s="10"/>
      <c r="V6521" s="10"/>
    </row>
    <row r="6522" spans="2:22" x14ac:dyDescent="0.2">
      <c r="B6522" s="25"/>
      <c r="E6522" s="10"/>
      <c r="O6522" s="10"/>
      <c r="V6522" s="10"/>
    </row>
    <row r="6523" spans="2:22" x14ac:dyDescent="0.2">
      <c r="B6523" s="25"/>
      <c r="E6523" s="10"/>
      <c r="O6523" s="10"/>
      <c r="V6523" s="10"/>
    </row>
    <row r="6524" spans="2:22" x14ac:dyDescent="0.2">
      <c r="B6524" s="25"/>
      <c r="E6524" s="10"/>
      <c r="O6524" s="10"/>
      <c r="V6524" s="10"/>
    </row>
    <row r="6525" spans="2:22" x14ac:dyDescent="0.2">
      <c r="B6525" s="25"/>
      <c r="E6525" s="10"/>
      <c r="O6525" s="10"/>
      <c r="V6525" s="10"/>
    </row>
    <row r="6526" spans="2:22" x14ac:dyDescent="0.2">
      <c r="B6526" s="25"/>
      <c r="E6526" s="10"/>
      <c r="O6526" s="10"/>
      <c r="V6526" s="10"/>
    </row>
    <row r="6527" spans="2:22" x14ac:dyDescent="0.2">
      <c r="B6527" s="25"/>
      <c r="E6527" s="10"/>
      <c r="O6527" s="10"/>
      <c r="V6527" s="10"/>
    </row>
    <row r="6528" spans="2:22" x14ac:dyDescent="0.2">
      <c r="B6528" s="25"/>
      <c r="E6528" s="10"/>
      <c r="O6528" s="10"/>
      <c r="V6528" s="10"/>
    </row>
    <row r="6529" spans="2:22" x14ac:dyDescent="0.2">
      <c r="B6529" s="25"/>
      <c r="E6529" s="10"/>
      <c r="O6529" s="10"/>
      <c r="V6529" s="10"/>
    </row>
    <row r="6530" spans="2:22" x14ac:dyDescent="0.2">
      <c r="B6530" s="25"/>
      <c r="E6530" s="10"/>
      <c r="O6530" s="10"/>
      <c r="V6530" s="10"/>
    </row>
    <row r="6531" spans="2:22" x14ac:dyDescent="0.2">
      <c r="B6531" s="25"/>
      <c r="E6531" s="10"/>
      <c r="O6531" s="10"/>
      <c r="V6531" s="10"/>
    </row>
    <row r="6532" spans="2:22" x14ac:dyDescent="0.2">
      <c r="B6532" s="25"/>
      <c r="E6532" s="10"/>
      <c r="O6532" s="10"/>
      <c r="V6532" s="10"/>
    </row>
    <row r="6533" spans="2:22" x14ac:dyDescent="0.2">
      <c r="B6533" s="25"/>
      <c r="E6533" s="10"/>
      <c r="O6533" s="10"/>
      <c r="V6533" s="10"/>
    </row>
    <row r="6534" spans="2:22" x14ac:dyDescent="0.2">
      <c r="B6534" s="25"/>
      <c r="E6534" s="10"/>
      <c r="O6534" s="10"/>
      <c r="V6534" s="10"/>
    </row>
    <row r="6535" spans="2:22" x14ac:dyDescent="0.2">
      <c r="B6535" s="25"/>
      <c r="E6535" s="10"/>
      <c r="O6535" s="10"/>
      <c r="V6535" s="10"/>
    </row>
    <row r="6536" spans="2:22" x14ac:dyDescent="0.2">
      <c r="B6536" s="25"/>
      <c r="E6536" s="10"/>
      <c r="O6536" s="10"/>
      <c r="V6536" s="10"/>
    </row>
    <row r="6537" spans="2:22" x14ac:dyDescent="0.2">
      <c r="B6537" s="25"/>
      <c r="E6537" s="10"/>
      <c r="O6537" s="10"/>
      <c r="V6537" s="10"/>
    </row>
    <row r="6538" spans="2:22" x14ac:dyDescent="0.2">
      <c r="B6538" s="25"/>
      <c r="E6538" s="10"/>
      <c r="O6538" s="10"/>
      <c r="V6538" s="10"/>
    </row>
    <row r="6539" spans="2:22" x14ac:dyDescent="0.2">
      <c r="B6539" s="25"/>
      <c r="E6539" s="10"/>
      <c r="O6539" s="10"/>
      <c r="V6539" s="10"/>
    </row>
    <row r="6540" spans="2:22" x14ac:dyDescent="0.2">
      <c r="B6540" s="25"/>
      <c r="E6540" s="10"/>
      <c r="O6540" s="10"/>
      <c r="V6540" s="10"/>
    </row>
    <row r="6541" spans="2:22" x14ac:dyDescent="0.2">
      <c r="B6541" s="25"/>
      <c r="E6541" s="10"/>
      <c r="O6541" s="10"/>
      <c r="V6541" s="10"/>
    </row>
    <row r="6542" spans="2:22" x14ac:dyDescent="0.2">
      <c r="B6542" s="25"/>
      <c r="E6542" s="10"/>
      <c r="O6542" s="10"/>
      <c r="V6542" s="10"/>
    </row>
    <row r="6543" spans="2:22" x14ac:dyDescent="0.2">
      <c r="B6543" s="25"/>
      <c r="E6543" s="10"/>
      <c r="O6543" s="10"/>
      <c r="V6543" s="10"/>
    </row>
    <row r="6544" spans="2:22" x14ac:dyDescent="0.2">
      <c r="B6544" s="25"/>
      <c r="E6544" s="10"/>
      <c r="O6544" s="10"/>
      <c r="V6544" s="10"/>
    </row>
    <row r="6545" spans="2:22" x14ac:dyDescent="0.2">
      <c r="B6545" s="25"/>
      <c r="E6545" s="10"/>
      <c r="O6545" s="10"/>
      <c r="V6545" s="10"/>
    </row>
    <row r="6546" spans="2:22" x14ac:dyDescent="0.2">
      <c r="B6546" s="25"/>
      <c r="E6546" s="10"/>
      <c r="O6546" s="10"/>
      <c r="V6546" s="10"/>
    </row>
    <row r="6547" spans="2:22" x14ac:dyDescent="0.2">
      <c r="B6547" s="25"/>
      <c r="E6547" s="10"/>
      <c r="O6547" s="10"/>
      <c r="V6547" s="10"/>
    </row>
    <row r="6548" spans="2:22" x14ac:dyDescent="0.2">
      <c r="B6548" s="25"/>
      <c r="E6548" s="10"/>
      <c r="O6548" s="10"/>
      <c r="V6548" s="10"/>
    </row>
    <row r="6549" spans="2:22" x14ac:dyDescent="0.2">
      <c r="B6549" s="25"/>
      <c r="E6549" s="10"/>
      <c r="O6549" s="10"/>
      <c r="V6549" s="10"/>
    </row>
    <row r="6550" spans="2:22" x14ac:dyDescent="0.2">
      <c r="B6550" s="25"/>
      <c r="E6550" s="10"/>
      <c r="O6550" s="10"/>
      <c r="V6550" s="10"/>
    </row>
    <row r="6551" spans="2:22" x14ac:dyDescent="0.2">
      <c r="B6551" s="25"/>
      <c r="E6551" s="10"/>
      <c r="O6551" s="10"/>
      <c r="V6551" s="10"/>
    </row>
    <row r="6552" spans="2:22" x14ac:dyDescent="0.2">
      <c r="B6552" s="25"/>
      <c r="E6552" s="10"/>
      <c r="O6552" s="10"/>
      <c r="V6552" s="10"/>
    </row>
    <row r="6553" spans="2:22" x14ac:dyDescent="0.2">
      <c r="B6553" s="25"/>
      <c r="E6553" s="10"/>
      <c r="O6553" s="10"/>
      <c r="V6553" s="10"/>
    </row>
    <row r="6554" spans="2:22" x14ac:dyDescent="0.2">
      <c r="B6554" s="25"/>
      <c r="E6554" s="10"/>
      <c r="O6554" s="10"/>
      <c r="V6554" s="10"/>
    </row>
    <row r="6555" spans="2:22" x14ac:dyDescent="0.2">
      <c r="B6555" s="25"/>
      <c r="E6555" s="10"/>
      <c r="O6555" s="10"/>
      <c r="V6555" s="10"/>
    </row>
    <row r="6556" spans="2:22" x14ac:dyDescent="0.2">
      <c r="B6556" s="25"/>
      <c r="E6556" s="10"/>
      <c r="O6556" s="10"/>
      <c r="V6556" s="10"/>
    </row>
    <row r="6557" spans="2:22" x14ac:dyDescent="0.2">
      <c r="B6557" s="25"/>
      <c r="E6557" s="10"/>
      <c r="O6557" s="10"/>
      <c r="V6557" s="10"/>
    </row>
    <row r="6558" spans="2:22" x14ac:dyDescent="0.2">
      <c r="B6558" s="25"/>
      <c r="E6558" s="10"/>
      <c r="O6558" s="10"/>
      <c r="V6558" s="10"/>
    </row>
    <row r="6559" spans="2:22" x14ac:dyDescent="0.2">
      <c r="B6559" s="25"/>
      <c r="E6559" s="10"/>
      <c r="O6559" s="10"/>
      <c r="V6559" s="10"/>
    </row>
    <row r="6560" spans="2:22" x14ac:dyDescent="0.2">
      <c r="B6560" s="25"/>
      <c r="E6560" s="10"/>
      <c r="O6560" s="10"/>
      <c r="V6560" s="10"/>
    </row>
    <row r="6561" spans="2:22" x14ac:dyDescent="0.2">
      <c r="B6561" s="25"/>
      <c r="E6561" s="10"/>
      <c r="O6561" s="10"/>
      <c r="V6561" s="10"/>
    </row>
    <row r="6562" spans="2:22" x14ac:dyDescent="0.2">
      <c r="B6562" s="25"/>
      <c r="E6562" s="10"/>
      <c r="O6562" s="10"/>
      <c r="V6562" s="10"/>
    </row>
    <row r="6563" spans="2:22" x14ac:dyDescent="0.2">
      <c r="B6563" s="25"/>
      <c r="E6563" s="10"/>
      <c r="O6563" s="10"/>
      <c r="V6563" s="10"/>
    </row>
    <row r="6564" spans="2:22" x14ac:dyDescent="0.2">
      <c r="B6564" s="25"/>
      <c r="E6564" s="10"/>
      <c r="O6564" s="10"/>
      <c r="V6564" s="10"/>
    </row>
    <row r="6565" spans="2:22" x14ac:dyDescent="0.2">
      <c r="B6565" s="25"/>
      <c r="E6565" s="10"/>
      <c r="O6565" s="10"/>
      <c r="V6565" s="10"/>
    </row>
    <row r="6566" spans="2:22" x14ac:dyDescent="0.2">
      <c r="B6566" s="25"/>
      <c r="E6566" s="10"/>
      <c r="O6566" s="10"/>
      <c r="V6566" s="10"/>
    </row>
    <row r="6567" spans="2:22" x14ac:dyDescent="0.2">
      <c r="B6567" s="25"/>
      <c r="E6567" s="10"/>
      <c r="O6567" s="10"/>
      <c r="V6567" s="10"/>
    </row>
    <row r="6568" spans="2:22" x14ac:dyDescent="0.2">
      <c r="B6568" s="25"/>
      <c r="E6568" s="10"/>
      <c r="O6568" s="10"/>
      <c r="V6568" s="10"/>
    </row>
    <row r="6569" spans="2:22" x14ac:dyDescent="0.2">
      <c r="B6569" s="25"/>
      <c r="E6569" s="10"/>
      <c r="O6569" s="10"/>
      <c r="V6569" s="10"/>
    </row>
    <row r="6570" spans="2:22" x14ac:dyDescent="0.2">
      <c r="B6570" s="25"/>
      <c r="E6570" s="10"/>
      <c r="O6570" s="10"/>
      <c r="V6570" s="10"/>
    </row>
    <row r="6571" spans="2:22" x14ac:dyDescent="0.2">
      <c r="B6571" s="25"/>
      <c r="E6571" s="10"/>
      <c r="O6571" s="10"/>
      <c r="V6571" s="10"/>
    </row>
    <row r="6572" spans="2:22" x14ac:dyDescent="0.2">
      <c r="B6572" s="25"/>
      <c r="E6572" s="10"/>
      <c r="O6572" s="10"/>
      <c r="V6572" s="10"/>
    </row>
    <row r="6573" spans="2:22" x14ac:dyDescent="0.2">
      <c r="B6573" s="25"/>
      <c r="E6573" s="10"/>
      <c r="O6573" s="10"/>
      <c r="V6573" s="10"/>
    </row>
    <row r="6574" spans="2:22" x14ac:dyDescent="0.2">
      <c r="B6574" s="25"/>
      <c r="E6574" s="10"/>
      <c r="O6574" s="10"/>
      <c r="V6574" s="10"/>
    </row>
    <row r="6575" spans="2:22" x14ac:dyDescent="0.2">
      <c r="B6575" s="25"/>
      <c r="E6575" s="10"/>
      <c r="O6575" s="10"/>
      <c r="V6575" s="10"/>
    </row>
    <row r="6576" spans="2:22" x14ac:dyDescent="0.2">
      <c r="B6576" s="25"/>
      <c r="E6576" s="10"/>
      <c r="O6576" s="10"/>
      <c r="V6576" s="10"/>
    </row>
    <row r="6577" spans="2:22" x14ac:dyDescent="0.2">
      <c r="B6577" s="25"/>
      <c r="E6577" s="10"/>
      <c r="O6577" s="10"/>
      <c r="V6577" s="10"/>
    </row>
    <row r="6578" spans="2:22" x14ac:dyDescent="0.2">
      <c r="B6578" s="25"/>
      <c r="E6578" s="10"/>
      <c r="O6578" s="10"/>
      <c r="V6578" s="10"/>
    </row>
    <row r="6579" spans="2:22" x14ac:dyDescent="0.2">
      <c r="B6579" s="25"/>
      <c r="E6579" s="10"/>
      <c r="O6579" s="10"/>
      <c r="V6579" s="10"/>
    </row>
    <row r="6580" spans="2:22" x14ac:dyDescent="0.2">
      <c r="B6580" s="25"/>
      <c r="E6580" s="10"/>
      <c r="O6580" s="10"/>
      <c r="V6580" s="10"/>
    </row>
    <row r="6581" spans="2:22" x14ac:dyDescent="0.2">
      <c r="B6581" s="25"/>
      <c r="E6581" s="10"/>
      <c r="O6581" s="10"/>
      <c r="V6581" s="10"/>
    </row>
    <row r="6582" spans="2:22" x14ac:dyDescent="0.2">
      <c r="B6582" s="25"/>
      <c r="E6582" s="10"/>
      <c r="O6582" s="10"/>
      <c r="V6582" s="10"/>
    </row>
    <row r="6583" spans="2:22" x14ac:dyDescent="0.2">
      <c r="B6583" s="25"/>
      <c r="E6583" s="10"/>
      <c r="O6583" s="10"/>
      <c r="V6583" s="10"/>
    </row>
    <row r="6584" spans="2:22" x14ac:dyDescent="0.2">
      <c r="B6584" s="25"/>
      <c r="E6584" s="10"/>
      <c r="O6584" s="10"/>
      <c r="V6584" s="10"/>
    </row>
    <row r="6585" spans="2:22" x14ac:dyDescent="0.2">
      <c r="B6585" s="25"/>
      <c r="E6585" s="10"/>
      <c r="O6585" s="10"/>
      <c r="V6585" s="10"/>
    </row>
    <row r="6586" spans="2:22" x14ac:dyDescent="0.2">
      <c r="B6586" s="25"/>
      <c r="E6586" s="10"/>
      <c r="O6586" s="10"/>
      <c r="V6586" s="10"/>
    </row>
    <row r="6587" spans="2:22" x14ac:dyDescent="0.2">
      <c r="B6587" s="25"/>
      <c r="E6587" s="10"/>
      <c r="O6587" s="10"/>
      <c r="V6587" s="10"/>
    </row>
    <row r="6588" spans="2:22" x14ac:dyDescent="0.2">
      <c r="B6588" s="25"/>
      <c r="E6588" s="10"/>
      <c r="O6588" s="10"/>
      <c r="V6588" s="10"/>
    </row>
    <row r="6589" spans="2:22" x14ac:dyDescent="0.2">
      <c r="B6589" s="25"/>
      <c r="E6589" s="10"/>
      <c r="O6589" s="10"/>
      <c r="V6589" s="10"/>
    </row>
    <row r="6590" spans="2:22" x14ac:dyDescent="0.2">
      <c r="B6590" s="25"/>
      <c r="E6590" s="10"/>
      <c r="O6590" s="10"/>
      <c r="V6590" s="10"/>
    </row>
    <row r="6591" spans="2:22" x14ac:dyDescent="0.2">
      <c r="B6591" s="25"/>
      <c r="E6591" s="10"/>
      <c r="O6591" s="10"/>
      <c r="V6591" s="10"/>
    </row>
    <row r="6592" spans="2:22" x14ac:dyDescent="0.2">
      <c r="B6592" s="25"/>
      <c r="E6592" s="10"/>
      <c r="O6592" s="10"/>
      <c r="V6592" s="10"/>
    </row>
    <row r="6593" spans="2:22" x14ac:dyDescent="0.2">
      <c r="B6593" s="25"/>
      <c r="E6593" s="10"/>
      <c r="O6593" s="10"/>
      <c r="V6593" s="10"/>
    </row>
    <row r="6594" spans="2:22" x14ac:dyDescent="0.2">
      <c r="B6594" s="25"/>
      <c r="E6594" s="10"/>
      <c r="O6594" s="10"/>
      <c r="V6594" s="10"/>
    </row>
    <row r="6595" spans="2:22" x14ac:dyDescent="0.2">
      <c r="B6595" s="25"/>
      <c r="E6595" s="10"/>
      <c r="O6595" s="10"/>
      <c r="V6595" s="10"/>
    </row>
    <row r="6596" spans="2:22" x14ac:dyDescent="0.2">
      <c r="B6596" s="25"/>
      <c r="E6596" s="10"/>
      <c r="O6596" s="10"/>
      <c r="V6596" s="10"/>
    </row>
    <row r="6597" spans="2:22" x14ac:dyDescent="0.2">
      <c r="B6597" s="25"/>
      <c r="E6597" s="10"/>
      <c r="O6597" s="10"/>
      <c r="V6597" s="10"/>
    </row>
    <row r="6598" spans="2:22" x14ac:dyDescent="0.2">
      <c r="B6598" s="25"/>
      <c r="E6598" s="10"/>
      <c r="O6598" s="10"/>
      <c r="V6598" s="10"/>
    </row>
    <row r="6599" spans="2:22" x14ac:dyDescent="0.2">
      <c r="B6599" s="25"/>
      <c r="E6599" s="10"/>
      <c r="O6599" s="10"/>
      <c r="V6599" s="10"/>
    </row>
    <row r="6600" spans="2:22" x14ac:dyDescent="0.2">
      <c r="B6600" s="25"/>
      <c r="E6600" s="10"/>
      <c r="O6600" s="10"/>
      <c r="V6600" s="10"/>
    </row>
    <row r="6601" spans="2:22" x14ac:dyDescent="0.2">
      <c r="B6601" s="25"/>
      <c r="E6601" s="10"/>
      <c r="O6601" s="10"/>
      <c r="V6601" s="10"/>
    </row>
    <row r="6602" spans="2:22" x14ac:dyDescent="0.2">
      <c r="B6602" s="25"/>
      <c r="E6602" s="10"/>
      <c r="O6602" s="10"/>
      <c r="V6602" s="10"/>
    </row>
    <row r="6603" spans="2:22" x14ac:dyDescent="0.2">
      <c r="B6603" s="25"/>
      <c r="E6603" s="10"/>
      <c r="O6603" s="10"/>
      <c r="V6603" s="10"/>
    </row>
    <row r="6604" spans="2:22" x14ac:dyDescent="0.2">
      <c r="B6604" s="25"/>
      <c r="E6604" s="10"/>
      <c r="O6604" s="10"/>
      <c r="V6604" s="10"/>
    </row>
    <row r="6605" spans="2:22" x14ac:dyDescent="0.2">
      <c r="B6605" s="25"/>
      <c r="E6605" s="10"/>
      <c r="O6605" s="10"/>
      <c r="V6605" s="10"/>
    </row>
    <row r="6606" spans="2:22" x14ac:dyDescent="0.2">
      <c r="B6606" s="25"/>
      <c r="E6606" s="10"/>
      <c r="O6606" s="10"/>
      <c r="V6606" s="10"/>
    </row>
    <row r="6607" spans="2:22" x14ac:dyDescent="0.2">
      <c r="B6607" s="25"/>
      <c r="E6607" s="10"/>
      <c r="O6607" s="10"/>
      <c r="V6607" s="10"/>
    </row>
    <row r="6608" spans="2:22" x14ac:dyDescent="0.2">
      <c r="B6608" s="25"/>
      <c r="E6608" s="10"/>
      <c r="O6608" s="10"/>
      <c r="V6608" s="10"/>
    </row>
    <row r="6609" spans="2:22" x14ac:dyDescent="0.2">
      <c r="B6609" s="25"/>
      <c r="E6609" s="10"/>
      <c r="O6609" s="10"/>
      <c r="V6609" s="10"/>
    </row>
    <row r="6610" spans="2:22" x14ac:dyDescent="0.2">
      <c r="B6610" s="25"/>
      <c r="E6610" s="10"/>
      <c r="O6610" s="10"/>
      <c r="V6610" s="10"/>
    </row>
    <row r="6611" spans="2:22" x14ac:dyDescent="0.2">
      <c r="B6611" s="25"/>
      <c r="E6611" s="10"/>
      <c r="O6611" s="10"/>
      <c r="V6611" s="10"/>
    </row>
    <row r="6612" spans="2:22" x14ac:dyDescent="0.2">
      <c r="B6612" s="25"/>
      <c r="E6612" s="10"/>
      <c r="O6612" s="10"/>
      <c r="V6612" s="10"/>
    </row>
    <row r="6613" spans="2:22" x14ac:dyDescent="0.2">
      <c r="B6613" s="25"/>
      <c r="E6613" s="10"/>
      <c r="O6613" s="10"/>
      <c r="V6613" s="10"/>
    </row>
    <row r="6614" spans="2:22" x14ac:dyDescent="0.2">
      <c r="B6614" s="25"/>
      <c r="E6614" s="10"/>
      <c r="O6614" s="10"/>
      <c r="V6614" s="10"/>
    </row>
    <row r="6615" spans="2:22" x14ac:dyDescent="0.2">
      <c r="B6615" s="25"/>
      <c r="E6615" s="10"/>
      <c r="O6615" s="10"/>
      <c r="V6615" s="10"/>
    </row>
    <row r="6616" spans="2:22" x14ac:dyDescent="0.2">
      <c r="B6616" s="25"/>
      <c r="E6616" s="10"/>
      <c r="O6616" s="10"/>
      <c r="V6616" s="10"/>
    </row>
    <row r="6617" spans="2:22" x14ac:dyDescent="0.2">
      <c r="B6617" s="25"/>
      <c r="E6617" s="10"/>
      <c r="O6617" s="10"/>
      <c r="V6617" s="10"/>
    </row>
    <row r="6618" spans="2:22" x14ac:dyDescent="0.2">
      <c r="B6618" s="25"/>
      <c r="E6618" s="10"/>
      <c r="O6618" s="10"/>
      <c r="V6618" s="10"/>
    </row>
    <row r="6619" spans="2:22" x14ac:dyDescent="0.2">
      <c r="B6619" s="25"/>
      <c r="E6619" s="10"/>
      <c r="O6619" s="10"/>
      <c r="V6619" s="10"/>
    </row>
    <row r="6620" spans="2:22" x14ac:dyDescent="0.2">
      <c r="B6620" s="25"/>
      <c r="E6620" s="10"/>
      <c r="O6620" s="10"/>
      <c r="V6620" s="10"/>
    </row>
    <row r="6621" spans="2:22" x14ac:dyDescent="0.2">
      <c r="B6621" s="25"/>
      <c r="E6621" s="10"/>
      <c r="O6621" s="10"/>
      <c r="V6621" s="10"/>
    </row>
    <row r="6622" spans="2:22" x14ac:dyDescent="0.2">
      <c r="B6622" s="25"/>
      <c r="E6622" s="10"/>
      <c r="O6622" s="10"/>
      <c r="V6622" s="10"/>
    </row>
    <row r="6623" spans="2:22" x14ac:dyDescent="0.2">
      <c r="B6623" s="25"/>
      <c r="E6623" s="10"/>
      <c r="O6623" s="10"/>
      <c r="V6623" s="10"/>
    </row>
    <row r="6624" spans="2:22" x14ac:dyDescent="0.2">
      <c r="B6624" s="25"/>
      <c r="E6624" s="10"/>
      <c r="O6624" s="10"/>
      <c r="V6624" s="10"/>
    </row>
    <row r="6625" spans="2:22" x14ac:dyDescent="0.2">
      <c r="B6625" s="25"/>
      <c r="E6625" s="10"/>
      <c r="O6625" s="10"/>
      <c r="V6625" s="10"/>
    </row>
    <row r="6626" spans="2:22" x14ac:dyDescent="0.2">
      <c r="B6626" s="25"/>
      <c r="E6626" s="10"/>
      <c r="O6626" s="10"/>
      <c r="V6626" s="10"/>
    </row>
    <row r="6627" spans="2:22" x14ac:dyDescent="0.2">
      <c r="B6627" s="25"/>
      <c r="E6627" s="10"/>
      <c r="O6627" s="10"/>
      <c r="V6627" s="10"/>
    </row>
    <row r="6628" spans="2:22" x14ac:dyDescent="0.2">
      <c r="B6628" s="25"/>
      <c r="E6628" s="10"/>
      <c r="O6628" s="10"/>
      <c r="V6628" s="10"/>
    </row>
    <row r="6629" spans="2:22" x14ac:dyDescent="0.2">
      <c r="B6629" s="25"/>
      <c r="E6629" s="10"/>
      <c r="O6629" s="10"/>
      <c r="V6629" s="10"/>
    </row>
    <row r="6630" spans="2:22" x14ac:dyDescent="0.2">
      <c r="B6630" s="25"/>
      <c r="E6630" s="10"/>
      <c r="O6630" s="10"/>
      <c r="V6630" s="10"/>
    </row>
    <row r="6631" spans="2:22" x14ac:dyDescent="0.2">
      <c r="B6631" s="25"/>
      <c r="E6631" s="10"/>
      <c r="O6631" s="10"/>
      <c r="V6631" s="10"/>
    </row>
    <row r="6632" spans="2:22" x14ac:dyDescent="0.2">
      <c r="B6632" s="25"/>
      <c r="E6632" s="10"/>
      <c r="O6632" s="10"/>
      <c r="V6632" s="10"/>
    </row>
    <row r="6633" spans="2:22" x14ac:dyDescent="0.2">
      <c r="B6633" s="25"/>
      <c r="E6633" s="10"/>
      <c r="O6633" s="10"/>
      <c r="V6633" s="10"/>
    </row>
    <row r="6634" spans="2:22" x14ac:dyDescent="0.2">
      <c r="B6634" s="25"/>
      <c r="E6634" s="10"/>
      <c r="O6634" s="10"/>
      <c r="V6634" s="10"/>
    </row>
    <row r="6635" spans="2:22" x14ac:dyDescent="0.2">
      <c r="B6635" s="25"/>
      <c r="E6635" s="10"/>
      <c r="O6635" s="10"/>
      <c r="V6635" s="10"/>
    </row>
    <row r="6636" spans="2:22" x14ac:dyDescent="0.2">
      <c r="B6636" s="25"/>
      <c r="E6636" s="10"/>
      <c r="O6636" s="10"/>
      <c r="V6636" s="10"/>
    </row>
    <row r="6637" spans="2:22" x14ac:dyDescent="0.2">
      <c r="B6637" s="25"/>
      <c r="E6637" s="10"/>
      <c r="O6637" s="10"/>
      <c r="V6637" s="10"/>
    </row>
    <row r="6638" spans="2:22" x14ac:dyDescent="0.2">
      <c r="B6638" s="25"/>
      <c r="E6638" s="10"/>
      <c r="O6638" s="10"/>
      <c r="V6638" s="10"/>
    </row>
    <row r="6639" spans="2:22" x14ac:dyDescent="0.2">
      <c r="B6639" s="25"/>
      <c r="E6639" s="10"/>
      <c r="O6639" s="10"/>
      <c r="V6639" s="10"/>
    </row>
    <row r="6640" spans="2:22" x14ac:dyDescent="0.2">
      <c r="B6640" s="25"/>
      <c r="E6640" s="10"/>
      <c r="O6640" s="10"/>
      <c r="V6640" s="10"/>
    </row>
    <row r="6641" spans="2:22" x14ac:dyDescent="0.2">
      <c r="B6641" s="25"/>
      <c r="E6641" s="10"/>
      <c r="O6641" s="10"/>
      <c r="V6641" s="10"/>
    </row>
    <row r="6642" spans="2:22" x14ac:dyDescent="0.2">
      <c r="B6642" s="25"/>
      <c r="E6642" s="10"/>
      <c r="O6642" s="10"/>
      <c r="V6642" s="10"/>
    </row>
    <row r="6643" spans="2:22" x14ac:dyDescent="0.2">
      <c r="B6643" s="25"/>
      <c r="E6643" s="10"/>
      <c r="O6643" s="10"/>
      <c r="V6643" s="10"/>
    </row>
    <row r="6644" spans="2:22" x14ac:dyDescent="0.2">
      <c r="B6644" s="25"/>
      <c r="E6644" s="10"/>
      <c r="O6644" s="10"/>
      <c r="V6644" s="10"/>
    </row>
    <row r="6645" spans="2:22" x14ac:dyDescent="0.2">
      <c r="B6645" s="25"/>
      <c r="E6645" s="10"/>
      <c r="O6645" s="10"/>
      <c r="V6645" s="10"/>
    </row>
    <row r="6646" spans="2:22" x14ac:dyDescent="0.2">
      <c r="B6646" s="25"/>
      <c r="E6646" s="10"/>
      <c r="O6646" s="10"/>
      <c r="V6646" s="10"/>
    </row>
    <row r="6647" spans="2:22" x14ac:dyDescent="0.2">
      <c r="B6647" s="25"/>
      <c r="E6647" s="10"/>
      <c r="O6647" s="10"/>
      <c r="V6647" s="10"/>
    </row>
    <row r="6648" spans="2:22" x14ac:dyDescent="0.2">
      <c r="B6648" s="25"/>
      <c r="E6648" s="10"/>
      <c r="O6648" s="10"/>
      <c r="V6648" s="10"/>
    </row>
    <row r="6649" spans="2:22" x14ac:dyDescent="0.2">
      <c r="B6649" s="25"/>
      <c r="E6649" s="10"/>
      <c r="O6649" s="10"/>
      <c r="V6649" s="10"/>
    </row>
    <row r="6650" spans="2:22" x14ac:dyDescent="0.2">
      <c r="B6650" s="25"/>
      <c r="E6650" s="10"/>
      <c r="O6650" s="10"/>
      <c r="V6650" s="10"/>
    </row>
    <row r="6651" spans="2:22" x14ac:dyDescent="0.2">
      <c r="B6651" s="25"/>
      <c r="E6651" s="10"/>
      <c r="O6651" s="10"/>
      <c r="V6651" s="10"/>
    </row>
    <row r="6652" spans="2:22" x14ac:dyDescent="0.2">
      <c r="B6652" s="25"/>
      <c r="E6652" s="10"/>
      <c r="O6652" s="10"/>
      <c r="V6652" s="10"/>
    </row>
    <row r="6653" spans="2:22" x14ac:dyDescent="0.2">
      <c r="B6653" s="25"/>
      <c r="E6653" s="10"/>
      <c r="O6653" s="10"/>
      <c r="V6653" s="10"/>
    </row>
    <row r="6654" spans="2:22" x14ac:dyDescent="0.2">
      <c r="B6654" s="25"/>
      <c r="E6654" s="10"/>
      <c r="O6654" s="10"/>
      <c r="V6654" s="10"/>
    </row>
    <row r="6655" spans="2:22" x14ac:dyDescent="0.2">
      <c r="B6655" s="25"/>
      <c r="E6655" s="10"/>
      <c r="O6655" s="10"/>
      <c r="V6655" s="10"/>
    </row>
    <row r="6656" spans="2:22" x14ac:dyDescent="0.2">
      <c r="B6656" s="25"/>
      <c r="E6656" s="10"/>
      <c r="O6656" s="10"/>
      <c r="V6656" s="10"/>
    </row>
    <row r="6657" spans="2:22" x14ac:dyDescent="0.2">
      <c r="B6657" s="25"/>
      <c r="E6657" s="10"/>
      <c r="O6657" s="10"/>
      <c r="V6657" s="10"/>
    </row>
    <row r="6658" spans="2:22" x14ac:dyDescent="0.2">
      <c r="B6658" s="25"/>
      <c r="E6658" s="10"/>
      <c r="O6658" s="10"/>
      <c r="V6658" s="10"/>
    </row>
    <row r="6659" spans="2:22" x14ac:dyDescent="0.2">
      <c r="B6659" s="25"/>
      <c r="E6659" s="10"/>
      <c r="O6659" s="10"/>
      <c r="V6659" s="10"/>
    </row>
    <row r="6660" spans="2:22" x14ac:dyDescent="0.2">
      <c r="B6660" s="25"/>
      <c r="E6660" s="10"/>
      <c r="O6660" s="10"/>
      <c r="V6660" s="10"/>
    </row>
    <row r="6661" spans="2:22" x14ac:dyDescent="0.2">
      <c r="B6661" s="25"/>
      <c r="E6661" s="10"/>
      <c r="O6661" s="10"/>
      <c r="V6661" s="10"/>
    </row>
    <row r="6662" spans="2:22" x14ac:dyDescent="0.2">
      <c r="B6662" s="25"/>
      <c r="E6662" s="10"/>
      <c r="O6662" s="10"/>
      <c r="V6662" s="10"/>
    </row>
    <row r="6663" spans="2:22" x14ac:dyDescent="0.2">
      <c r="B6663" s="25"/>
      <c r="E6663" s="10"/>
      <c r="O6663" s="10"/>
      <c r="V6663" s="10"/>
    </row>
    <row r="6664" spans="2:22" x14ac:dyDescent="0.2">
      <c r="B6664" s="25"/>
      <c r="E6664" s="10"/>
      <c r="O6664" s="10"/>
      <c r="V6664" s="10"/>
    </row>
    <row r="6665" spans="2:22" x14ac:dyDescent="0.2">
      <c r="B6665" s="25"/>
      <c r="E6665" s="10"/>
      <c r="O6665" s="10"/>
      <c r="V6665" s="10"/>
    </row>
    <row r="6666" spans="2:22" x14ac:dyDescent="0.2">
      <c r="B6666" s="25"/>
      <c r="E6666" s="10"/>
      <c r="O6666" s="10"/>
      <c r="V6666" s="10"/>
    </row>
    <row r="6667" spans="2:22" x14ac:dyDescent="0.2">
      <c r="B6667" s="25"/>
      <c r="E6667" s="10"/>
      <c r="O6667" s="10"/>
      <c r="V6667" s="10"/>
    </row>
    <row r="6668" spans="2:22" x14ac:dyDescent="0.2">
      <c r="B6668" s="25"/>
      <c r="E6668" s="10"/>
      <c r="O6668" s="10"/>
      <c r="V6668" s="10"/>
    </row>
    <row r="6669" spans="2:22" x14ac:dyDescent="0.2">
      <c r="B6669" s="25"/>
      <c r="E6669" s="10"/>
      <c r="O6669" s="10"/>
      <c r="V6669" s="10"/>
    </row>
    <row r="6670" spans="2:22" x14ac:dyDescent="0.2">
      <c r="B6670" s="25"/>
      <c r="E6670" s="10"/>
      <c r="O6670" s="10"/>
      <c r="V6670" s="10"/>
    </row>
    <row r="6671" spans="2:22" x14ac:dyDescent="0.2">
      <c r="B6671" s="25"/>
      <c r="E6671" s="10"/>
      <c r="O6671" s="10"/>
      <c r="V6671" s="10"/>
    </row>
    <row r="6672" spans="2:22" x14ac:dyDescent="0.2">
      <c r="B6672" s="25"/>
      <c r="E6672" s="10"/>
      <c r="O6672" s="10"/>
      <c r="V6672" s="10"/>
    </row>
    <row r="6673" spans="2:22" x14ac:dyDescent="0.2">
      <c r="B6673" s="25"/>
      <c r="E6673" s="10"/>
      <c r="O6673" s="10"/>
      <c r="V6673" s="10"/>
    </row>
    <row r="6674" spans="2:22" x14ac:dyDescent="0.2">
      <c r="B6674" s="25"/>
      <c r="E6674" s="10"/>
      <c r="O6674" s="10"/>
      <c r="V6674" s="10"/>
    </row>
    <row r="6675" spans="2:22" x14ac:dyDescent="0.2">
      <c r="B6675" s="25"/>
      <c r="E6675" s="10"/>
      <c r="O6675" s="10"/>
      <c r="V6675" s="10"/>
    </row>
    <row r="6676" spans="2:22" x14ac:dyDescent="0.2">
      <c r="B6676" s="25"/>
      <c r="E6676" s="10"/>
      <c r="O6676" s="10"/>
      <c r="V6676" s="10"/>
    </row>
    <row r="6677" spans="2:22" x14ac:dyDescent="0.2">
      <c r="B6677" s="25"/>
      <c r="E6677" s="10"/>
      <c r="O6677" s="10"/>
      <c r="V6677" s="10"/>
    </row>
    <row r="6678" spans="2:22" x14ac:dyDescent="0.2">
      <c r="B6678" s="25"/>
      <c r="E6678" s="10"/>
      <c r="O6678" s="10"/>
      <c r="V6678" s="10"/>
    </row>
    <row r="6679" spans="2:22" x14ac:dyDescent="0.2">
      <c r="B6679" s="25"/>
      <c r="E6679" s="10"/>
      <c r="O6679" s="10"/>
      <c r="V6679" s="10"/>
    </row>
    <row r="6680" spans="2:22" x14ac:dyDescent="0.2">
      <c r="B6680" s="25"/>
      <c r="E6680" s="10"/>
      <c r="O6680" s="10"/>
      <c r="V6680" s="10"/>
    </row>
    <row r="6681" spans="2:22" x14ac:dyDescent="0.2">
      <c r="B6681" s="25"/>
      <c r="E6681" s="10"/>
      <c r="O6681" s="10"/>
      <c r="V6681" s="10"/>
    </row>
    <row r="6682" spans="2:22" x14ac:dyDescent="0.2">
      <c r="B6682" s="25"/>
      <c r="E6682" s="10"/>
      <c r="O6682" s="10"/>
      <c r="V6682" s="10"/>
    </row>
    <row r="6683" spans="2:22" x14ac:dyDescent="0.2">
      <c r="B6683" s="25"/>
      <c r="E6683" s="10"/>
      <c r="O6683" s="10"/>
      <c r="V6683" s="10"/>
    </row>
    <row r="6684" spans="2:22" x14ac:dyDescent="0.2">
      <c r="B6684" s="25"/>
      <c r="E6684" s="10"/>
      <c r="O6684" s="10"/>
      <c r="V6684" s="10"/>
    </row>
    <row r="6685" spans="2:22" x14ac:dyDescent="0.2">
      <c r="B6685" s="25"/>
      <c r="E6685" s="10"/>
      <c r="O6685" s="10"/>
      <c r="V6685" s="10"/>
    </row>
    <row r="6686" spans="2:22" x14ac:dyDescent="0.2">
      <c r="B6686" s="25"/>
      <c r="E6686" s="10"/>
      <c r="O6686" s="10"/>
      <c r="V6686" s="10"/>
    </row>
    <row r="6687" spans="2:22" x14ac:dyDescent="0.2">
      <c r="B6687" s="25"/>
      <c r="E6687" s="10"/>
      <c r="O6687" s="10"/>
      <c r="V6687" s="10"/>
    </row>
    <row r="6688" spans="2:22" x14ac:dyDescent="0.2">
      <c r="B6688" s="25"/>
      <c r="E6688" s="10"/>
      <c r="O6688" s="10"/>
      <c r="V6688" s="10"/>
    </row>
    <row r="6689" spans="2:22" x14ac:dyDescent="0.2">
      <c r="B6689" s="25"/>
      <c r="E6689" s="10"/>
      <c r="V6689" s="10"/>
    </row>
    <row r="6690" spans="2:22" x14ac:dyDescent="0.2">
      <c r="B6690" s="25"/>
      <c r="E6690" s="10"/>
      <c r="O6690" s="10"/>
      <c r="V6690" s="10"/>
    </row>
    <row r="6691" spans="2:22" x14ac:dyDescent="0.2">
      <c r="B6691" s="25"/>
      <c r="E6691" s="10"/>
      <c r="O6691" s="10"/>
      <c r="V6691" s="10"/>
    </row>
    <row r="6692" spans="2:22" x14ac:dyDescent="0.2">
      <c r="B6692" s="25"/>
      <c r="E6692" s="10"/>
      <c r="O6692" s="10"/>
      <c r="V6692" s="10"/>
    </row>
    <row r="6693" spans="2:22" x14ac:dyDescent="0.2">
      <c r="B6693" s="25"/>
      <c r="E6693" s="10"/>
      <c r="O6693" s="10"/>
      <c r="V6693" s="10"/>
    </row>
    <row r="6694" spans="2:22" x14ac:dyDescent="0.2">
      <c r="B6694" s="25"/>
      <c r="E6694" s="10"/>
      <c r="O6694" s="10"/>
      <c r="V6694" s="10"/>
    </row>
    <row r="6695" spans="2:22" x14ac:dyDescent="0.2">
      <c r="B6695" s="25"/>
      <c r="E6695" s="10"/>
      <c r="O6695" s="10"/>
      <c r="V6695" s="10"/>
    </row>
    <row r="6696" spans="2:22" x14ac:dyDescent="0.2">
      <c r="B6696" s="25"/>
      <c r="E6696" s="10"/>
      <c r="O6696" s="10"/>
      <c r="V6696" s="10"/>
    </row>
    <row r="6697" spans="2:22" x14ac:dyDescent="0.2">
      <c r="B6697" s="25"/>
      <c r="E6697" s="10"/>
      <c r="O6697" s="10"/>
      <c r="V6697" s="10"/>
    </row>
    <row r="6698" spans="2:22" x14ac:dyDescent="0.2">
      <c r="B6698" s="25"/>
      <c r="E6698" s="10"/>
      <c r="O6698" s="10"/>
      <c r="V6698" s="10"/>
    </row>
    <row r="6699" spans="2:22" x14ac:dyDescent="0.2">
      <c r="B6699" s="25"/>
      <c r="E6699" s="10"/>
      <c r="O6699" s="10"/>
      <c r="V6699" s="10"/>
    </row>
    <row r="6700" spans="2:22" x14ac:dyDescent="0.2">
      <c r="B6700" s="25"/>
      <c r="E6700" s="10"/>
      <c r="O6700" s="10"/>
      <c r="V6700" s="10"/>
    </row>
    <row r="6701" spans="2:22" x14ac:dyDescent="0.2">
      <c r="B6701" s="25"/>
      <c r="E6701" s="10"/>
      <c r="O6701" s="10"/>
      <c r="V6701" s="10"/>
    </row>
    <row r="6702" spans="2:22" x14ac:dyDescent="0.2">
      <c r="B6702" s="25"/>
      <c r="E6702" s="10"/>
      <c r="O6702" s="10"/>
      <c r="V6702" s="10"/>
    </row>
    <row r="6703" spans="2:22" x14ac:dyDescent="0.2">
      <c r="B6703" s="25"/>
      <c r="E6703" s="10"/>
      <c r="O6703" s="10"/>
      <c r="V6703" s="10"/>
    </row>
    <row r="6704" spans="2:22" x14ac:dyDescent="0.2">
      <c r="B6704" s="25"/>
      <c r="E6704" s="10"/>
      <c r="O6704" s="10"/>
      <c r="V6704" s="10"/>
    </row>
    <row r="6705" spans="2:22" x14ac:dyDescent="0.2">
      <c r="B6705" s="25"/>
      <c r="E6705" s="10"/>
      <c r="O6705" s="10"/>
      <c r="V6705" s="10"/>
    </row>
    <row r="6706" spans="2:22" x14ac:dyDescent="0.2">
      <c r="B6706" s="25"/>
      <c r="E6706" s="10"/>
      <c r="O6706" s="10"/>
      <c r="V6706" s="10"/>
    </row>
    <row r="6707" spans="2:22" x14ac:dyDescent="0.2">
      <c r="B6707" s="25"/>
      <c r="E6707" s="10"/>
      <c r="O6707" s="10"/>
      <c r="V6707" s="10"/>
    </row>
    <row r="6708" spans="2:22" x14ac:dyDescent="0.2">
      <c r="B6708" s="25"/>
      <c r="E6708" s="10"/>
      <c r="O6708" s="10"/>
      <c r="V6708" s="10"/>
    </row>
    <row r="6709" spans="2:22" x14ac:dyDescent="0.2">
      <c r="B6709" s="25"/>
      <c r="E6709" s="10"/>
      <c r="O6709" s="10"/>
      <c r="V6709" s="10"/>
    </row>
    <row r="6710" spans="2:22" x14ac:dyDescent="0.2">
      <c r="B6710" s="25"/>
      <c r="E6710" s="10"/>
      <c r="O6710" s="10"/>
      <c r="V6710" s="10"/>
    </row>
    <row r="6711" spans="2:22" x14ac:dyDescent="0.2">
      <c r="B6711" s="25"/>
      <c r="E6711" s="10"/>
      <c r="O6711" s="10"/>
      <c r="V6711" s="10"/>
    </row>
    <row r="6712" spans="2:22" x14ac:dyDescent="0.2">
      <c r="B6712" s="25"/>
      <c r="E6712" s="10"/>
      <c r="O6712" s="10"/>
      <c r="V6712" s="10"/>
    </row>
    <row r="6713" spans="2:22" x14ac:dyDescent="0.2">
      <c r="B6713" s="25"/>
      <c r="E6713" s="10"/>
      <c r="O6713" s="10"/>
      <c r="V6713" s="10"/>
    </row>
    <row r="6714" spans="2:22" x14ac:dyDescent="0.2">
      <c r="B6714" s="25"/>
      <c r="E6714" s="10"/>
      <c r="O6714" s="10"/>
      <c r="V6714" s="10"/>
    </row>
    <row r="6715" spans="2:22" x14ac:dyDescent="0.2">
      <c r="B6715" s="25"/>
      <c r="E6715" s="10"/>
      <c r="O6715" s="10"/>
      <c r="V6715" s="10"/>
    </row>
    <row r="6716" spans="2:22" x14ac:dyDescent="0.2">
      <c r="B6716" s="25"/>
      <c r="E6716" s="10"/>
      <c r="O6716" s="10"/>
      <c r="V6716" s="10"/>
    </row>
    <row r="6717" spans="2:22" x14ac:dyDescent="0.2">
      <c r="B6717" s="25"/>
      <c r="E6717" s="10"/>
      <c r="O6717" s="10"/>
      <c r="V6717" s="10"/>
    </row>
    <row r="6718" spans="2:22" x14ac:dyDescent="0.2">
      <c r="B6718" s="25"/>
      <c r="E6718" s="10"/>
      <c r="O6718" s="10"/>
      <c r="V6718" s="10"/>
    </row>
    <row r="6719" spans="2:22" x14ac:dyDescent="0.2">
      <c r="B6719" s="25"/>
      <c r="E6719" s="10"/>
      <c r="O6719" s="10"/>
      <c r="V6719" s="10"/>
    </row>
    <row r="6720" spans="2:22" x14ac:dyDescent="0.2">
      <c r="B6720" s="25"/>
      <c r="E6720" s="10"/>
      <c r="O6720" s="10"/>
      <c r="V6720" s="10"/>
    </row>
    <row r="6721" spans="2:22" x14ac:dyDescent="0.2">
      <c r="B6721" s="25"/>
      <c r="E6721" s="10"/>
      <c r="O6721" s="10"/>
      <c r="V6721" s="10"/>
    </row>
    <row r="6722" spans="2:22" x14ac:dyDescent="0.2">
      <c r="B6722" s="25"/>
      <c r="E6722" s="10"/>
      <c r="O6722" s="10"/>
      <c r="V6722" s="10"/>
    </row>
    <row r="6723" spans="2:22" x14ac:dyDescent="0.2">
      <c r="B6723" s="25"/>
      <c r="E6723" s="10"/>
      <c r="O6723" s="10"/>
      <c r="V6723" s="10"/>
    </row>
    <row r="6724" spans="2:22" x14ac:dyDescent="0.2">
      <c r="B6724" s="25"/>
      <c r="E6724" s="10"/>
      <c r="O6724" s="10"/>
      <c r="V6724" s="10"/>
    </row>
    <row r="6725" spans="2:22" x14ac:dyDescent="0.2">
      <c r="B6725" s="25"/>
      <c r="E6725" s="10"/>
      <c r="O6725" s="10"/>
      <c r="V6725" s="10"/>
    </row>
    <row r="6726" spans="2:22" x14ac:dyDescent="0.2">
      <c r="B6726" s="25"/>
      <c r="E6726" s="10"/>
      <c r="O6726" s="10"/>
      <c r="V6726" s="10"/>
    </row>
    <row r="6727" spans="2:22" x14ac:dyDescent="0.2">
      <c r="B6727" s="25"/>
      <c r="E6727" s="10"/>
      <c r="O6727" s="10"/>
      <c r="V6727" s="10"/>
    </row>
    <row r="6728" spans="2:22" x14ac:dyDescent="0.2">
      <c r="B6728" s="25"/>
      <c r="E6728" s="10"/>
      <c r="O6728" s="10"/>
      <c r="V6728" s="10"/>
    </row>
    <row r="6729" spans="2:22" x14ac:dyDescent="0.2">
      <c r="B6729" s="25"/>
      <c r="E6729" s="10"/>
      <c r="O6729" s="10"/>
      <c r="V6729" s="10"/>
    </row>
    <row r="6730" spans="2:22" x14ac:dyDescent="0.2">
      <c r="B6730" s="25"/>
      <c r="E6730" s="10"/>
      <c r="O6730" s="10"/>
      <c r="V6730" s="10"/>
    </row>
    <row r="6731" spans="2:22" x14ac:dyDescent="0.2">
      <c r="B6731" s="25"/>
      <c r="E6731" s="10"/>
      <c r="O6731" s="10"/>
      <c r="V6731" s="10"/>
    </row>
    <row r="6732" spans="2:22" x14ac:dyDescent="0.2">
      <c r="B6732" s="25"/>
      <c r="E6732" s="10"/>
      <c r="O6732" s="10"/>
      <c r="V6732" s="10"/>
    </row>
    <row r="6733" spans="2:22" x14ac:dyDescent="0.2">
      <c r="B6733" s="25"/>
      <c r="E6733" s="10"/>
      <c r="O6733" s="10"/>
      <c r="V6733" s="10"/>
    </row>
    <row r="6734" spans="2:22" x14ac:dyDescent="0.2">
      <c r="B6734" s="25"/>
      <c r="E6734" s="10"/>
      <c r="O6734" s="10"/>
      <c r="V6734" s="10"/>
    </row>
    <row r="6735" spans="2:22" x14ac:dyDescent="0.2">
      <c r="B6735" s="25"/>
      <c r="E6735" s="10"/>
      <c r="O6735" s="10"/>
      <c r="V6735" s="10"/>
    </row>
    <row r="6736" spans="2:22" x14ac:dyDescent="0.2">
      <c r="B6736" s="25"/>
      <c r="E6736" s="10"/>
      <c r="O6736" s="10"/>
      <c r="V6736" s="10"/>
    </row>
    <row r="6737" spans="2:22" x14ac:dyDescent="0.2">
      <c r="B6737" s="25"/>
      <c r="E6737" s="10"/>
      <c r="O6737" s="10"/>
      <c r="V6737" s="10"/>
    </row>
    <row r="6738" spans="2:22" x14ac:dyDescent="0.2">
      <c r="B6738" s="25"/>
      <c r="E6738" s="10"/>
      <c r="O6738" s="10"/>
      <c r="V6738" s="10"/>
    </row>
    <row r="6739" spans="2:22" x14ac:dyDescent="0.2">
      <c r="B6739" s="25"/>
      <c r="E6739" s="10"/>
      <c r="O6739" s="10"/>
      <c r="V6739" s="10"/>
    </row>
    <row r="6740" spans="2:22" x14ac:dyDescent="0.2">
      <c r="B6740" s="25"/>
      <c r="E6740" s="10"/>
      <c r="O6740" s="10"/>
      <c r="V6740" s="10"/>
    </row>
    <row r="6741" spans="2:22" x14ac:dyDescent="0.2">
      <c r="B6741" s="25"/>
      <c r="E6741" s="10"/>
      <c r="O6741" s="10"/>
      <c r="V6741" s="10"/>
    </row>
    <row r="6742" spans="2:22" x14ac:dyDescent="0.2">
      <c r="B6742" s="25"/>
      <c r="E6742" s="10"/>
      <c r="O6742" s="10"/>
      <c r="V6742" s="10"/>
    </row>
    <row r="6743" spans="2:22" x14ac:dyDescent="0.2">
      <c r="B6743" s="25"/>
      <c r="E6743" s="10"/>
      <c r="O6743" s="10"/>
      <c r="V6743" s="10"/>
    </row>
    <row r="6744" spans="2:22" x14ac:dyDescent="0.2">
      <c r="B6744" s="25"/>
      <c r="E6744" s="10"/>
      <c r="O6744" s="10"/>
      <c r="V6744" s="10"/>
    </row>
    <row r="6745" spans="2:22" x14ac:dyDescent="0.2">
      <c r="B6745" s="25"/>
      <c r="E6745" s="10"/>
      <c r="O6745" s="10"/>
      <c r="V6745" s="10"/>
    </row>
    <row r="6746" spans="2:22" x14ac:dyDescent="0.2">
      <c r="B6746" s="25"/>
      <c r="E6746" s="10"/>
      <c r="O6746" s="10"/>
      <c r="V6746" s="10"/>
    </row>
    <row r="6747" spans="2:22" x14ac:dyDescent="0.2">
      <c r="B6747" s="25"/>
      <c r="E6747" s="10"/>
      <c r="O6747" s="10"/>
      <c r="V6747" s="10"/>
    </row>
    <row r="6748" spans="2:22" x14ac:dyDescent="0.2">
      <c r="B6748" s="25"/>
      <c r="E6748" s="10"/>
      <c r="O6748" s="10"/>
      <c r="V6748" s="10"/>
    </row>
    <row r="6749" spans="2:22" x14ac:dyDescent="0.2">
      <c r="B6749" s="25"/>
      <c r="E6749" s="10"/>
      <c r="O6749" s="10"/>
      <c r="V6749" s="10"/>
    </row>
    <row r="6750" spans="2:22" x14ac:dyDescent="0.2">
      <c r="B6750" s="25"/>
      <c r="E6750" s="10"/>
      <c r="O6750" s="10"/>
      <c r="V6750" s="10"/>
    </row>
    <row r="6751" spans="2:22" x14ac:dyDescent="0.2">
      <c r="B6751" s="25"/>
      <c r="E6751" s="10"/>
      <c r="O6751" s="10"/>
      <c r="V6751" s="10"/>
    </row>
    <row r="6752" spans="2:22" x14ac:dyDescent="0.2">
      <c r="B6752" s="25"/>
      <c r="E6752" s="10"/>
      <c r="O6752" s="10"/>
      <c r="V6752" s="10"/>
    </row>
    <row r="6753" spans="2:22" x14ac:dyDescent="0.2">
      <c r="B6753" s="25"/>
      <c r="E6753" s="10"/>
      <c r="O6753" s="10"/>
      <c r="V6753" s="10"/>
    </row>
    <row r="6754" spans="2:22" x14ac:dyDescent="0.2">
      <c r="B6754" s="25"/>
      <c r="E6754" s="10"/>
      <c r="O6754" s="10"/>
      <c r="V6754" s="10"/>
    </row>
    <row r="6755" spans="2:22" x14ac:dyDescent="0.2">
      <c r="B6755" s="25"/>
      <c r="E6755" s="10"/>
      <c r="O6755" s="10"/>
      <c r="V6755" s="10"/>
    </row>
    <row r="6756" spans="2:22" x14ac:dyDescent="0.2">
      <c r="B6756" s="25"/>
      <c r="E6756" s="10"/>
      <c r="O6756" s="10"/>
      <c r="V6756" s="10"/>
    </row>
    <row r="6757" spans="2:22" x14ac:dyDescent="0.2">
      <c r="B6757" s="25"/>
      <c r="E6757" s="10"/>
      <c r="O6757" s="10"/>
      <c r="V6757" s="10"/>
    </row>
    <row r="6758" spans="2:22" x14ac:dyDescent="0.2">
      <c r="B6758" s="25"/>
      <c r="E6758" s="10"/>
      <c r="O6758" s="10"/>
      <c r="V6758" s="10"/>
    </row>
    <row r="6759" spans="2:22" x14ac:dyDescent="0.2">
      <c r="B6759" s="25"/>
      <c r="E6759" s="10"/>
      <c r="O6759" s="10"/>
      <c r="V6759" s="10"/>
    </row>
    <row r="6760" spans="2:22" x14ac:dyDescent="0.2">
      <c r="B6760" s="25"/>
      <c r="E6760" s="10"/>
      <c r="O6760" s="10"/>
      <c r="V6760" s="10"/>
    </row>
    <row r="6761" spans="2:22" x14ac:dyDescent="0.2">
      <c r="B6761" s="25"/>
      <c r="E6761" s="10"/>
      <c r="O6761" s="10"/>
      <c r="V6761" s="10"/>
    </row>
    <row r="6762" spans="2:22" x14ac:dyDescent="0.2">
      <c r="B6762" s="25"/>
      <c r="E6762" s="10"/>
      <c r="O6762" s="10"/>
      <c r="V6762" s="10"/>
    </row>
    <row r="6763" spans="2:22" x14ac:dyDescent="0.2">
      <c r="B6763" s="25"/>
      <c r="E6763" s="10"/>
      <c r="O6763" s="10"/>
      <c r="V6763" s="10"/>
    </row>
    <row r="6764" spans="2:22" x14ac:dyDescent="0.2">
      <c r="B6764" s="25"/>
      <c r="E6764" s="10"/>
      <c r="O6764" s="10"/>
      <c r="V6764" s="10"/>
    </row>
    <row r="6765" spans="2:22" x14ac:dyDescent="0.2">
      <c r="B6765" s="25"/>
      <c r="E6765" s="10"/>
      <c r="O6765" s="10"/>
      <c r="V6765" s="10"/>
    </row>
    <row r="6766" spans="2:22" x14ac:dyDescent="0.2">
      <c r="B6766" s="25"/>
      <c r="E6766" s="10"/>
      <c r="O6766" s="10"/>
      <c r="V6766" s="10"/>
    </row>
    <row r="6767" spans="2:22" x14ac:dyDescent="0.2">
      <c r="B6767" s="25"/>
      <c r="E6767" s="10"/>
      <c r="O6767" s="10"/>
      <c r="V6767" s="10"/>
    </row>
    <row r="6768" spans="2:22" x14ac:dyDescent="0.2">
      <c r="B6768" s="25"/>
      <c r="E6768" s="10"/>
      <c r="O6768" s="10"/>
      <c r="V6768" s="10"/>
    </row>
    <row r="6769" spans="2:22" x14ac:dyDescent="0.2">
      <c r="B6769" s="25"/>
      <c r="E6769" s="10"/>
      <c r="O6769" s="10"/>
      <c r="V6769" s="10"/>
    </row>
    <row r="6770" spans="2:22" x14ac:dyDescent="0.2">
      <c r="B6770" s="25"/>
      <c r="E6770" s="10"/>
      <c r="O6770" s="10"/>
      <c r="V6770" s="10"/>
    </row>
    <row r="6771" spans="2:22" x14ac:dyDescent="0.2">
      <c r="B6771" s="25"/>
      <c r="E6771" s="10"/>
      <c r="O6771" s="10"/>
      <c r="V6771" s="10"/>
    </row>
    <row r="6772" spans="2:22" x14ac:dyDescent="0.2">
      <c r="B6772" s="25"/>
      <c r="E6772" s="10"/>
      <c r="O6772" s="10"/>
      <c r="V6772" s="10"/>
    </row>
    <row r="6773" spans="2:22" x14ac:dyDescent="0.2">
      <c r="B6773" s="25"/>
      <c r="E6773" s="10"/>
      <c r="O6773" s="10"/>
      <c r="V6773" s="10"/>
    </row>
    <row r="6774" spans="2:22" x14ac:dyDescent="0.2">
      <c r="B6774" s="25"/>
      <c r="E6774" s="10"/>
      <c r="O6774" s="10"/>
      <c r="V6774" s="10"/>
    </row>
    <row r="6775" spans="2:22" x14ac:dyDescent="0.2">
      <c r="B6775" s="25"/>
      <c r="E6775" s="10"/>
      <c r="O6775" s="10"/>
      <c r="V6775" s="10"/>
    </row>
    <row r="6776" spans="2:22" x14ac:dyDescent="0.2">
      <c r="B6776" s="25"/>
      <c r="E6776" s="10"/>
      <c r="O6776" s="10"/>
      <c r="V6776" s="10"/>
    </row>
    <row r="6777" spans="2:22" x14ac:dyDescent="0.2">
      <c r="B6777" s="25"/>
      <c r="E6777" s="10"/>
      <c r="O6777" s="10"/>
      <c r="V6777" s="10"/>
    </row>
    <row r="6778" spans="2:22" x14ac:dyDescent="0.2">
      <c r="B6778" s="25"/>
      <c r="E6778" s="10"/>
      <c r="O6778" s="10"/>
      <c r="V6778" s="10"/>
    </row>
    <row r="6779" spans="2:22" x14ac:dyDescent="0.2">
      <c r="B6779" s="25"/>
      <c r="E6779" s="10"/>
      <c r="O6779" s="10"/>
      <c r="V6779" s="10"/>
    </row>
    <row r="6780" spans="2:22" x14ac:dyDescent="0.2">
      <c r="B6780" s="25"/>
      <c r="E6780" s="10"/>
      <c r="O6780" s="10"/>
      <c r="V6780" s="10"/>
    </row>
    <row r="6781" spans="2:22" x14ac:dyDescent="0.2">
      <c r="B6781" s="25"/>
      <c r="E6781" s="10"/>
      <c r="O6781" s="10"/>
      <c r="V6781" s="10"/>
    </row>
    <row r="6782" spans="2:22" x14ac:dyDescent="0.2">
      <c r="B6782" s="25"/>
      <c r="E6782" s="10"/>
      <c r="O6782" s="10"/>
      <c r="V6782" s="10"/>
    </row>
    <row r="6783" spans="2:22" x14ac:dyDescent="0.2">
      <c r="B6783" s="25"/>
      <c r="E6783" s="10"/>
      <c r="O6783" s="10"/>
      <c r="V6783" s="10"/>
    </row>
    <row r="6784" spans="2:22" x14ac:dyDescent="0.2">
      <c r="B6784" s="25"/>
      <c r="E6784" s="10"/>
      <c r="O6784" s="10"/>
      <c r="V6784" s="10"/>
    </row>
    <row r="6785" spans="2:22" x14ac:dyDescent="0.2">
      <c r="B6785" s="25"/>
      <c r="E6785" s="10"/>
      <c r="O6785" s="10"/>
      <c r="V6785" s="10"/>
    </row>
    <row r="6786" spans="2:22" x14ac:dyDescent="0.2">
      <c r="B6786" s="25"/>
      <c r="E6786" s="10"/>
      <c r="O6786" s="10"/>
      <c r="V6786" s="10"/>
    </row>
    <row r="6787" spans="2:22" x14ac:dyDescent="0.2">
      <c r="B6787" s="25"/>
      <c r="E6787" s="10"/>
      <c r="O6787" s="10"/>
      <c r="V6787" s="10"/>
    </row>
    <row r="6788" spans="2:22" x14ac:dyDescent="0.2">
      <c r="B6788" s="25"/>
      <c r="E6788" s="10"/>
      <c r="O6788" s="10"/>
      <c r="V6788" s="10"/>
    </row>
    <row r="6789" spans="2:22" x14ac:dyDescent="0.2">
      <c r="B6789" s="25"/>
      <c r="E6789" s="10"/>
      <c r="O6789" s="10"/>
      <c r="V6789" s="10"/>
    </row>
    <row r="6790" spans="2:22" x14ac:dyDescent="0.2">
      <c r="B6790" s="25"/>
      <c r="E6790" s="10"/>
      <c r="O6790" s="10"/>
      <c r="V6790" s="10"/>
    </row>
    <row r="6791" spans="2:22" x14ac:dyDescent="0.2">
      <c r="B6791" s="25"/>
      <c r="E6791" s="10"/>
      <c r="O6791" s="10"/>
      <c r="V6791" s="10"/>
    </row>
    <row r="6792" spans="2:22" x14ac:dyDescent="0.2">
      <c r="B6792" s="25"/>
      <c r="E6792" s="10"/>
      <c r="O6792" s="10"/>
      <c r="V6792" s="10"/>
    </row>
    <row r="6793" spans="2:22" x14ac:dyDescent="0.2">
      <c r="B6793" s="25"/>
      <c r="E6793" s="10"/>
      <c r="O6793" s="10"/>
      <c r="V6793" s="10"/>
    </row>
    <row r="6794" spans="2:22" x14ac:dyDescent="0.2">
      <c r="B6794" s="25"/>
      <c r="E6794" s="10"/>
      <c r="O6794" s="10"/>
      <c r="V6794" s="10"/>
    </row>
    <row r="6795" spans="2:22" x14ac:dyDescent="0.2">
      <c r="B6795" s="25"/>
      <c r="E6795" s="10"/>
      <c r="O6795" s="10"/>
      <c r="V6795" s="10"/>
    </row>
    <row r="6796" spans="2:22" x14ac:dyDescent="0.2">
      <c r="B6796" s="25"/>
      <c r="E6796" s="10"/>
      <c r="O6796" s="10"/>
      <c r="V6796" s="10"/>
    </row>
    <row r="6797" spans="2:22" x14ac:dyDescent="0.2">
      <c r="B6797" s="25"/>
      <c r="E6797" s="10"/>
      <c r="O6797" s="10"/>
      <c r="V6797" s="10"/>
    </row>
    <row r="6798" spans="2:22" x14ac:dyDescent="0.2">
      <c r="B6798" s="25"/>
      <c r="E6798" s="10"/>
      <c r="O6798" s="10"/>
      <c r="V6798" s="10"/>
    </row>
    <row r="6799" spans="2:22" x14ac:dyDescent="0.2">
      <c r="B6799" s="25"/>
      <c r="E6799" s="10"/>
      <c r="O6799" s="10"/>
      <c r="V6799" s="10"/>
    </row>
    <row r="6800" spans="2:22" x14ac:dyDescent="0.2">
      <c r="B6800" s="25"/>
      <c r="E6800" s="10"/>
      <c r="O6800" s="10"/>
      <c r="V6800" s="10"/>
    </row>
    <row r="6801" spans="2:22" x14ac:dyDescent="0.2">
      <c r="B6801" s="25"/>
      <c r="E6801" s="10"/>
      <c r="O6801" s="10"/>
      <c r="V6801" s="10"/>
    </row>
    <row r="6802" spans="2:22" x14ac:dyDescent="0.2">
      <c r="B6802" s="25"/>
      <c r="E6802" s="10"/>
      <c r="O6802" s="10"/>
      <c r="V6802" s="10"/>
    </row>
    <row r="6803" spans="2:22" x14ac:dyDescent="0.2">
      <c r="B6803" s="25"/>
      <c r="E6803" s="10"/>
      <c r="O6803" s="10"/>
      <c r="V6803" s="10"/>
    </row>
    <row r="6804" spans="2:22" x14ac:dyDescent="0.2">
      <c r="B6804" s="25"/>
      <c r="E6804" s="10"/>
      <c r="O6804" s="10"/>
      <c r="V6804" s="10"/>
    </row>
    <row r="6805" spans="2:22" x14ac:dyDescent="0.2">
      <c r="B6805" s="25"/>
      <c r="E6805" s="10"/>
      <c r="O6805" s="10"/>
      <c r="V6805" s="10"/>
    </row>
    <row r="6806" spans="2:22" x14ac:dyDescent="0.2">
      <c r="B6806" s="25"/>
      <c r="E6806" s="10"/>
      <c r="O6806" s="10"/>
      <c r="V6806" s="10"/>
    </row>
    <row r="6807" spans="2:22" x14ac:dyDescent="0.2">
      <c r="B6807" s="25"/>
      <c r="E6807" s="10"/>
      <c r="O6807" s="10"/>
      <c r="V6807" s="10"/>
    </row>
    <row r="6808" spans="2:22" x14ac:dyDescent="0.2">
      <c r="B6808" s="25"/>
      <c r="E6808" s="10"/>
      <c r="O6808" s="10"/>
      <c r="V6808" s="10"/>
    </row>
    <row r="6809" spans="2:22" x14ac:dyDescent="0.2">
      <c r="B6809" s="25"/>
      <c r="E6809" s="10"/>
      <c r="O6809" s="10"/>
      <c r="V6809" s="10"/>
    </row>
    <row r="6810" spans="2:22" x14ac:dyDescent="0.2">
      <c r="B6810" s="25"/>
      <c r="E6810" s="10"/>
      <c r="O6810" s="10"/>
      <c r="V6810" s="10"/>
    </row>
    <row r="6811" spans="2:22" x14ac:dyDescent="0.2">
      <c r="B6811" s="25"/>
      <c r="E6811" s="10"/>
      <c r="O6811" s="10"/>
      <c r="V6811" s="10"/>
    </row>
    <row r="6812" spans="2:22" x14ac:dyDescent="0.2">
      <c r="B6812" s="25"/>
      <c r="E6812" s="10"/>
      <c r="O6812" s="10"/>
      <c r="V6812" s="10"/>
    </row>
    <row r="6813" spans="2:22" x14ac:dyDescent="0.2">
      <c r="B6813" s="25"/>
      <c r="E6813" s="10"/>
      <c r="O6813" s="10"/>
      <c r="V6813" s="10"/>
    </row>
    <row r="6814" spans="2:22" x14ac:dyDescent="0.2">
      <c r="B6814" s="25"/>
      <c r="E6814" s="10"/>
      <c r="O6814" s="10"/>
      <c r="V6814" s="10"/>
    </row>
    <row r="6815" spans="2:22" x14ac:dyDescent="0.2">
      <c r="B6815" s="25"/>
      <c r="E6815" s="10"/>
      <c r="O6815" s="10"/>
      <c r="V6815" s="10"/>
    </row>
    <row r="6816" spans="2:22" x14ac:dyDescent="0.2">
      <c r="B6816" s="25"/>
      <c r="E6816" s="10"/>
      <c r="O6816" s="10"/>
      <c r="V6816" s="10"/>
    </row>
    <row r="6817" spans="2:22" x14ac:dyDescent="0.2">
      <c r="B6817" s="25"/>
      <c r="E6817" s="10"/>
      <c r="O6817" s="10"/>
      <c r="V6817" s="10"/>
    </row>
    <row r="6818" spans="2:22" x14ac:dyDescent="0.2">
      <c r="B6818" s="25"/>
      <c r="E6818" s="10"/>
      <c r="O6818" s="10"/>
      <c r="V6818" s="10"/>
    </row>
    <row r="6819" spans="2:22" x14ac:dyDescent="0.2">
      <c r="B6819" s="25"/>
      <c r="E6819" s="10"/>
      <c r="O6819" s="10"/>
      <c r="V6819" s="10"/>
    </row>
    <row r="6820" spans="2:22" x14ac:dyDescent="0.2">
      <c r="B6820" s="25"/>
      <c r="E6820" s="10"/>
      <c r="O6820" s="10"/>
      <c r="V6820" s="10"/>
    </row>
    <row r="6821" spans="2:22" x14ac:dyDescent="0.2">
      <c r="B6821" s="25"/>
      <c r="E6821" s="10"/>
      <c r="O6821" s="10"/>
      <c r="V6821" s="10"/>
    </row>
    <row r="6822" spans="2:22" x14ac:dyDescent="0.2">
      <c r="B6822" s="25"/>
      <c r="E6822" s="10"/>
      <c r="O6822" s="10"/>
      <c r="V6822" s="10"/>
    </row>
    <row r="6823" spans="2:22" x14ac:dyDescent="0.2">
      <c r="B6823" s="25"/>
      <c r="E6823" s="10"/>
      <c r="O6823" s="10"/>
      <c r="V6823" s="10"/>
    </row>
    <row r="6824" spans="2:22" x14ac:dyDescent="0.2">
      <c r="B6824" s="25"/>
      <c r="E6824" s="10"/>
      <c r="O6824" s="10"/>
      <c r="V6824" s="10"/>
    </row>
    <row r="6825" spans="2:22" x14ac:dyDescent="0.2">
      <c r="B6825" s="25"/>
      <c r="E6825" s="10"/>
      <c r="O6825" s="10"/>
      <c r="V6825" s="10"/>
    </row>
    <row r="6826" spans="2:22" x14ac:dyDescent="0.2">
      <c r="B6826" s="25"/>
      <c r="E6826" s="10"/>
      <c r="O6826" s="10"/>
      <c r="V6826" s="10"/>
    </row>
    <row r="6827" spans="2:22" x14ac:dyDescent="0.2">
      <c r="B6827" s="25"/>
      <c r="E6827" s="10"/>
      <c r="O6827" s="10"/>
      <c r="V6827" s="10"/>
    </row>
    <row r="6828" spans="2:22" x14ac:dyDescent="0.2">
      <c r="B6828" s="25"/>
      <c r="E6828" s="10"/>
      <c r="O6828" s="10"/>
      <c r="V6828" s="10"/>
    </row>
    <row r="6829" spans="2:22" x14ac:dyDescent="0.2">
      <c r="B6829" s="25"/>
      <c r="E6829" s="10"/>
      <c r="O6829" s="10"/>
      <c r="V6829" s="10"/>
    </row>
    <row r="6830" spans="2:22" x14ac:dyDescent="0.2">
      <c r="B6830" s="25"/>
      <c r="E6830" s="10"/>
      <c r="O6830" s="10"/>
      <c r="V6830" s="10"/>
    </row>
    <row r="6831" spans="2:22" x14ac:dyDescent="0.2">
      <c r="B6831" s="25"/>
      <c r="E6831" s="10"/>
      <c r="O6831" s="10"/>
      <c r="V6831" s="10"/>
    </row>
    <row r="6832" spans="2:22" x14ac:dyDescent="0.2">
      <c r="B6832" s="25"/>
      <c r="E6832" s="10"/>
      <c r="O6832" s="10"/>
      <c r="V6832" s="10"/>
    </row>
    <row r="6833" spans="2:22" x14ac:dyDescent="0.2">
      <c r="B6833" s="25"/>
      <c r="E6833" s="10"/>
      <c r="O6833" s="10"/>
      <c r="V6833" s="10"/>
    </row>
    <row r="6834" spans="2:22" x14ac:dyDescent="0.2">
      <c r="B6834" s="25"/>
      <c r="E6834" s="10"/>
      <c r="O6834" s="10"/>
      <c r="V6834" s="10"/>
    </row>
    <row r="6835" spans="2:22" x14ac:dyDescent="0.2">
      <c r="B6835" s="25"/>
      <c r="E6835" s="10"/>
      <c r="O6835" s="10"/>
      <c r="V6835" s="10"/>
    </row>
    <row r="6836" spans="2:22" x14ac:dyDescent="0.2">
      <c r="B6836" s="25"/>
      <c r="E6836" s="10"/>
      <c r="O6836" s="10"/>
      <c r="V6836" s="10"/>
    </row>
    <row r="6837" spans="2:22" x14ac:dyDescent="0.2">
      <c r="B6837" s="25"/>
      <c r="E6837" s="10"/>
      <c r="O6837" s="10"/>
      <c r="V6837" s="10"/>
    </row>
    <row r="6838" spans="2:22" x14ac:dyDescent="0.2">
      <c r="B6838" s="25"/>
      <c r="E6838" s="10"/>
      <c r="O6838" s="10"/>
      <c r="V6838" s="10"/>
    </row>
    <row r="6839" spans="2:22" x14ac:dyDescent="0.2">
      <c r="B6839" s="25"/>
      <c r="E6839" s="10"/>
      <c r="O6839" s="10"/>
      <c r="V6839" s="10"/>
    </row>
    <row r="6840" spans="2:22" x14ac:dyDescent="0.2">
      <c r="B6840" s="25"/>
      <c r="E6840" s="10"/>
      <c r="O6840" s="10"/>
      <c r="V6840" s="10"/>
    </row>
    <row r="6841" spans="2:22" x14ac:dyDescent="0.2">
      <c r="B6841" s="25"/>
      <c r="E6841" s="10"/>
      <c r="O6841" s="10"/>
      <c r="V6841" s="10"/>
    </row>
    <row r="6842" spans="2:22" x14ac:dyDescent="0.2">
      <c r="B6842" s="25"/>
      <c r="E6842" s="10"/>
      <c r="O6842" s="10"/>
      <c r="V6842" s="10"/>
    </row>
    <row r="6843" spans="2:22" x14ac:dyDescent="0.2">
      <c r="B6843" s="25"/>
      <c r="E6843" s="10"/>
      <c r="O6843" s="10"/>
      <c r="V6843" s="10"/>
    </row>
    <row r="6844" spans="2:22" x14ac:dyDescent="0.2">
      <c r="B6844" s="25"/>
      <c r="E6844" s="10"/>
      <c r="O6844" s="10"/>
      <c r="V6844" s="10"/>
    </row>
    <row r="6845" spans="2:22" x14ac:dyDescent="0.2">
      <c r="B6845" s="25"/>
      <c r="E6845" s="10"/>
      <c r="O6845" s="10"/>
      <c r="V6845" s="10"/>
    </row>
    <row r="6846" spans="2:22" x14ac:dyDescent="0.2">
      <c r="B6846" s="25"/>
      <c r="E6846" s="10"/>
      <c r="O6846" s="10"/>
      <c r="V6846" s="10"/>
    </row>
    <row r="6847" spans="2:22" x14ac:dyDescent="0.2">
      <c r="B6847" s="25"/>
      <c r="E6847" s="10"/>
      <c r="O6847" s="10"/>
      <c r="V6847" s="10"/>
    </row>
    <row r="6848" spans="2:22" x14ac:dyDescent="0.2">
      <c r="B6848" s="25"/>
      <c r="E6848" s="10"/>
      <c r="O6848" s="10"/>
      <c r="V6848" s="10"/>
    </row>
    <row r="6849" spans="2:22" x14ac:dyDescent="0.2">
      <c r="B6849" s="25"/>
      <c r="E6849" s="10"/>
      <c r="O6849" s="10"/>
      <c r="V6849" s="10"/>
    </row>
    <row r="6850" spans="2:22" x14ac:dyDescent="0.2">
      <c r="B6850" s="25"/>
      <c r="E6850" s="10"/>
      <c r="O6850" s="10"/>
      <c r="V6850" s="10"/>
    </row>
    <row r="6851" spans="2:22" x14ac:dyDescent="0.2">
      <c r="B6851" s="25"/>
      <c r="E6851" s="10"/>
      <c r="O6851" s="10"/>
      <c r="V6851" s="10"/>
    </row>
    <row r="6852" spans="2:22" x14ac:dyDescent="0.2">
      <c r="B6852" s="25"/>
      <c r="E6852" s="10"/>
      <c r="O6852" s="10"/>
      <c r="V6852" s="10"/>
    </row>
    <row r="6853" spans="2:22" x14ac:dyDescent="0.2">
      <c r="B6853" s="25"/>
      <c r="E6853" s="10"/>
      <c r="O6853" s="10"/>
      <c r="V6853" s="10"/>
    </row>
    <row r="6854" spans="2:22" x14ac:dyDescent="0.2">
      <c r="B6854" s="25"/>
      <c r="E6854" s="10"/>
      <c r="O6854" s="10"/>
      <c r="V6854" s="10"/>
    </row>
    <row r="6855" spans="2:22" x14ac:dyDescent="0.2">
      <c r="B6855" s="25"/>
      <c r="E6855" s="10"/>
      <c r="O6855" s="10"/>
      <c r="V6855" s="10"/>
    </row>
    <row r="6856" spans="2:22" x14ac:dyDescent="0.2">
      <c r="B6856" s="25"/>
      <c r="E6856" s="10"/>
      <c r="O6856" s="10"/>
      <c r="V6856" s="10"/>
    </row>
    <row r="6857" spans="2:22" x14ac:dyDescent="0.2">
      <c r="B6857" s="25"/>
      <c r="E6857" s="10"/>
      <c r="O6857" s="10"/>
      <c r="V6857" s="10"/>
    </row>
    <row r="6858" spans="2:22" x14ac:dyDescent="0.2">
      <c r="B6858" s="25"/>
      <c r="E6858" s="10"/>
      <c r="O6858" s="10"/>
      <c r="V6858" s="10"/>
    </row>
    <row r="6859" spans="2:22" x14ac:dyDescent="0.2">
      <c r="B6859" s="25"/>
      <c r="E6859" s="10"/>
      <c r="O6859" s="10"/>
      <c r="V6859" s="10"/>
    </row>
    <row r="6860" spans="2:22" x14ac:dyDescent="0.2">
      <c r="B6860" s="25"/>
      <c r="E6860" s="10"/>
      <c r="O6860" s="10"/>
      <c r="V6860" s="10"/>
    </row>
    <row r="6861" spans="2:22" x14ac:dyDescent="0.2">
      <c r="B6861" s="25"/>
      <c r="E6861" s="10"/>
      <c r="O6861" s="10"/>
      <c r="V6861" s="10"/>
    </row>
    <row r="6862" spans="2:22" x14ac:dyDescent="0.2">
      <c r="B6862" s="25"/>
      <c r="E6862" s="10"/>
      <c r="O6862" s="10"/>
      <c r="V6862" s="10"/>
    </row>
    <row r="6863" spans="2:22" x14ac:dyDescent="0.2">
      <c r="B6863" s="25"/>
      <c r="E6863" s="10"/>
      <c r="O6863" s="10"/>
      <c r="V6863" s="10"/>
    </row>
    <row r="6864" spans="2:22" x14ac:dyDescent="0.2">
      <c r="B6864" s="25"/>
      <c r="E6864" s="10"/>
      <c r="O6864" s="10"/>
      <c r="V6864" s="10"/>
    </row>
    <row r="6865" spans="2:22" x14ac:dyDescent="0.2">
      <c r="B6865" s="25"/>
      <c r="E6865" s="10"/>
      <c r="O6865" s="10"/>
      <c r="V6865" s="10"/>
    </row>
    <row r="6866" spans="2:22" x14ac:dyDescent="0.2">
      <c r="B6866" s="25"/>
      <c r="E6866" s="10"/>
      <c r="O6866" s="10"/>
      <c r="V6866" s="10"/>
    </row>
    <row r="6867" spans="2:22" x14ac:dyDescent="0.2">
      <c r="B6867" s="25"/>
      <c r="E6867" s="10"/>
      <c r="O6867" s="10"/>
      <c r="V6867" s="10"/>
    </row>
    <row r="6868" spans="2:22" x14ac:dyDescent="0.2">
      <c r="B6868" s="25"/>
      <c r="E6868" s="10"/>
      <c r="O6868" s="10"/>
      <c r="V6868" s="10"/>
    </row>
    <row r="6869" spans="2:22" x14ac:dyDescent="0.2">
      <c r="B6869" s="25"/>
      <c r="E6869" s="10"/>
      <c r="O6869" s="10"/>
      <c r="V6869" s="10"/>
    </row>
    <row r="6870" spans="2:22" x14ac:dyDescent="0.2">
      <c r="B6870" s="25"/>
      <c r="E6870" s="10"/>
      <c r="O6870" s="10"/>
      <c r="V6870" s="10"/>
    </row>
    <row r="6871" spans="2:22" x14ac:dyDescent="0.2">
      <c r="B6871" s="25"/>
      <c r="E6871" s="10"/>
      <c r="O6871" s="10"/>
      <c r="V6871" s="10"/>
    </row>
    <row r="6872" spans="2:22" x14ac:dyDescent="0.2">
      <c r="B6872" s="25"/>
      <c r="E6872" s="10"/>
      <c r="O6872" s="10"/>
      <c r="V6872" s="10"/>
    </row>
    <row r="6873" spans="2:22" x14ac:dyDescent="0.2">
      <c r="B6873" s="25"/>
      <c r="E6873" s="10"/>
      <c r="O6873" s="10"/>
      <c r="V6873" s="10"/>
    </row>
    <row r="6874" spans="2:22" x14ac:dyDescent="0.2">
      <c r="B6874" s="25"/>
      <c r="E6874" s="10"/>
      <c r="O6874" s="10"/>
      <c r="V6874" s="10"/>
    </row>
    <row r="6875" spans="2:22" x14ac:dyDescent="0.2">
      <c r="B6875" s="25"/>
      <c r="E6875" s="10"/>
      <c r="O6875" s="10"/>
      <c r="V6875" s="10"/>
    </row>
    <row r="6876" spans="2:22" x14ac:dyDescent="0.2">
      <c r="B6876" s="25"/>
      <c r="E6876" s="10"/>
      <c r="O6876" s="10"/>
      <c r="V6876" s="10"/>
    </row>
    <row r="6877" spans="2:22" x14ac:dyDescent="0.2">
      <c r="B6877" s="25"/>
      <c r="E6877" s="10"/>
      <c r="O6877" s="10"/>
      <c r="V6877" s="10"/>
    </row>
    <row r="6878" spans="2:22" x14ac:dyDescent="0.2">
      <c r="B6878" s="25"/>
      <c r="E6878" s="10"/>
      <c r="O6878" s="10"/>
      <c r="V6878" s="10"/>
    </row>
    <row r="6879" spans="2:22" x14ac:dyDescent="0.2">
      <c r="B6879" s="25"/>
      <c r="E6879" s="10"/>
      <c r="O6879" s="10"/>
      <c r="V6879" s="10"/>
    </row>
    <row r="6880" spans="2:22" x14ac:dyDescent="0.2">
      <c r="B6880" s="25"/>
      <c r="E6880" s="10"/>
      <c r="O6880" s="10"/>
      <c r="V6880" s="10"/>
    </row>
    <row r="6881" spans="2:22" x14ac:dyDescent="0.2">
      <c r="B6881" s="25"/>
      <c r="E6881" s="10"/>
      <c r="O6881" s="10"/>
      <c r="V6881" s="10"/>
    </row>
    <row r="6882" spans="2:22" x14ac:dyDescent="0.2">
      <c r="B6882" s="25"/>
      <c r="E6882" s="10"/>
      <c r="O6882" s="10"/>
      <c r="V6882" s="10"/>
    </row>
    <row r="6883" spans="2:22" x14ac:dyDescent="0.2">
      <c r="B6883" s="25"/>
      <c r="E6883" s="10"/>
      <c r="O6883" s="10"/>
      <c r="V6883" s="10"/>
    </row>
    <row r="6884" spans="2:22" x14ac:dyDescent="0.2">
      <c r="B6884" s="25"/>
      <c r="E6884" s="10"/>
      <c r="O6884" s="10"/>
      <c r="V6884" s="10"/>
    </row>
    <row r="6885" spans="2:22" x14ac:dyDescent="0.2">
      <c r="B6885" s="25"/>
      <c r="E6885" s="10"/>
      <c r="O6885" s="10"/>
      <c r="V6885" s="10"/>
    </row>
    <row r="6886" spans="2:22" x14ac:dyDescent="0.2">
      <c r="B6886" s="25"/>
      <c r="E6886" s="10"/>
      <c r="O6886" s="10"/>
      <c r="V6886" s="10"/>
    </row>
    <row r="6887" spans="2:22" x14ac:dyDescent="0.2">
      <c r="B6887" s="25"/>
      <c r="E6887" s="10"/>
      <c r="O6887" s="10"/>
      <c r="V6887" s="10"/>
    </row>
    <row r="6888" spans="2:22" x14ac:dyDescent="0.2">
      <c r="B6888" s="25"/>
      <c r="E6888" s="10"/>
      <c r="O6888" s="10"/>
      <c r="V6888" s="10"/>
    </row>
    <row r="6889" spans="2:22" x14ac:dyDescent="0.2">
      <c r="B6889" s="25"/>
      <c r="E6889" s="10"/>
      <c r="O6889" s="10"/>
      <c r="V6889" s="10"/>
    </row>
    <row r="6890" spans="2:22" x14ac:dyDescent="0.2">
      <c r="B6890" s="25"/>
      <c r="E6890" s="10"/>
      <c r="O6890" s="10"/>
      <c r="V6890" s="10"/>
    </row>
    <row r="6891" spans="2:22" x14ac:dyDescent="0.2">
      <c r="B6891" s="25"/>
      <c r="E6891" s="10"/>
      <c r="O6891" s="10"/>
      <c r="V6891" s="10"/>
    </row>
    <row r="6892" spans="2:22" x14ac:dyDescent="0.2">
      <c r="B6892" s="25"/>
      <c r="E6892" s="10"/>
      <c r="O6892" s="10"/>
      <c r="V6892" s="10"/>
    </row>
    <row r="6893" spans="2:22" x14ac:dyDescent="0.2">
      <c r="B6893" s="25"/>
      <c r="E6893" s="10"/>
      <c r="O6893" s="10"/>
      <c r="V6893" s="10"/>
    </row>
    <row r="6894" spans="2:22" x14ac:dyDescent="0.2">
      <c r="B6894" s="25"/>
      <c r="E6894" s="10"/>
      <c r="O6894" s="10"/>
      <c r="V6894" s="10"/>
    </row>
    <row r="6895" spans="2:22" x14ac:dyDescent="0.2">
      <c r="B6895" s="25"/>
      <c r="E6895" s="10"/>
      <c r="O6895" s="10"/>
      <c r="V6895" s="10"/>
    </row>
    <row r="6896" spans="2:22" x14ac:dyDescent="0.2">
      <c r="B6896" s="25"/>
      <c r="E6896" s="10"/>
      <c r="O6896" s="10"/>
      <c r="V6896" s="10"/>
    </row>
    <row r="6897" spans="2:22" x14ac:dyDescent="0.2">
      <c r="B6897" s="25"/>
      <c r="E6897" s="10"/>
      <c r="O6897" s="10"/>
      <c r="V6897" s="10"/>
    </row>
    <row r="6898" spans="2:22" x14ac:dyDescent="0.2">
      <c r="B6898" s="25"/>
      <c r="E6898" s="10"/>
      <c r="O6898" s="10"/>
      <c r="V6898" s="10"/>
    </row>
    <row r="6899" spans="2:22" x14ac:dyDescent="0.2">
      <c r="B6899" s="25"/>
      <c r="E6899" s="10"/>
      <c r="O6899" s="10"/>
      <c r="V6899" s="10"/>
    </row>
    <row r="6900" spans="2:22" x14ac:dyDescent="0.2">
      <c r="B6900" s="25"/>
      <c r="E6900" s="10"/>
      <c r="O6900" s="10"/>
      <c r="V6900" s="10"/>
    </row>
    <row r="6901" spans="2:22" x14ac:dyDescent="0.2">
      <c r="B6901" s="25"/>
      <c r="E6901" s="10"/>
      <c r="O6901" s="10"/>
      <c r="V6901" s="10"/>
    </row>
    <row r="6902" spans="2:22" x14ac:dyDescent="0.2">
      <c r="B6902" s="25"/>
      <c r="E6902" s="10"/>
      <c r="O6902" s="10"/>
      <c r="V6902" s="10"/>
    </row>
    <row r="6903" spans="2:22" x14ac:dyDescent="0.2">
      <c r="B6903" s="25"/>
      <c r="E6903" s="10"/>
      <c r="O6903" s="10"/>
      <c r="V6903" s="10"/>
    </row>
    <row r="6904" spans="2:22" x14ac:dyDescent="0.2">
      <c r="B6904" s="25"/>
      <c r="E6904" s="10"/>
      <c r="O6904" s="10"/>
      <c r="V6904" s="10"/>
    </row>
    <row r="6905" spans="2:22" x14ac:dyDescent="0.2">
      <c r="B6905" s="25"/>
      <c r="E6905" s="10"/>
      <c r="O6905" s="10"/>
      <c r="V6905" s="10"/>
    </row>
    <row r="6906" spans="2:22" x14ac:dyDescent="0.2">
      <c r="B6906" s="25"/>
      <c r="E6906" s="10"/>
      <c r="O6906" s="10"/>
      <c r="V6906" s="10"/>
    </row>
    <row r="6907" spans="2:22" x14ac:dyDescent="0.2">
      <c r="B6907" s="25"/>
      <c r="E6907" s="10"/>
      <c r="O6907" s="10"/>
      <c r="V6907" s="10"/>
    </row>
    <row r="6908" spans="2:22" x14ac:dyDescent="0.2">
      <c r="B6908" s="25"/>
      <c r="E6908" s="10"/>
      <c r="O6908" s="10"/>
      <c r="V6908" s="10"/>
    </row>
    <row r="6909" spans="2:22" x14ac:dyDescent="0.2">
      <c r="B6909" s="25"/>
      <c r="E6909" s="10"/>
      <c r="O6909" s="10"/>
      <c r="V6909" s="10"/>
    </row>
    <row r="6910" spans="2:22" x14ac:dyDescent="0.2">
      <c r="B6910" s="25"/>
      <c r="E6910" s="10"/>
      <c r="O6910" s="10"/>
      <c r="V6910" s="10"/>
    </row>
    <row r="6911" spans="2:22" x14ac:dyDescent="0.2">
      <c r="B6911" s="25"/>
      <c r="E6911" s="10"/>
      <c r="O6911" s="10"/>
      <c r="V6911" s="10"/>
    </row>
    <row r="6912" spans="2:22" x14ac:dyDescent="0.2">
      <c r="B6912" s="25"/>
      <c r="E6912" s="10"/>
      <c r="O6912" s="10"/>
      <c r="V6912" s="10"/>
    </row>
    <row r="6913" spans="2:22" x14ac:dyDescent="0.2">
      <c r="B6913" s="25"/>
      <c r="E6913" s="10"/>
      <c r="O6913" s="10"/>
      <c r="V6913" s="10"/>
    </row>
    <row r="6914" spans="2:22" x14ac:dyDescent="0.2">
      <c r="B6914" s="25"/>
      <c r="E6914" s="10"/>
      <c r="O6914" s="10"/>
      <c r="V6914" s="10"/>
    </row>
    <row r="6915" spans="2:22" x14ac:dyDescent="0.2">
      <c r="B6915" s="25"/>
      <c r="E6915" s="10"/>
      <c r="O6915" s="10"/>
      <c r="V6915" s="10"/>
    </row>
    <row r="6916" spans="2:22" x14ac:dyDescent="0.2">
      <c r="B6916" s="25"/>
      <c r="E6916" s="10"/>
      <c r="O6916" s="10"/>
      <c r="V6916" s="10"/>
    </row>
    <row r="6917" spans="2:22" x14ac:dyDescent="0.2">
      <c r="B6917" s="25"/>
      <c r="E6917" s="10"/>
      <c r="O6917" s="10"/>
      <c r="V6917" s="10"/>
    </row>
    <row r="6918" spans="2:22" x14ac:dyDescent="0.2">
      <c r="B6918" s="25"/>
      <c r="E6918" s="10"/>
      <c r="O6918" s="10"/>
      <c r="V6918" s="10"/>
    </row>
    <row r="6919" spans="2:22" x14ac:dyDescent="0.2">
      <c r="B6919" s="25"/>
      <c r="E6919" s="10"/>
      <c r="O6919" s="10"/>
      <c r="V6919" s="10"/>
    </row>
    <row r="6920" spans="2:22" x14ac:dyDescent="0.2">
      <c r="B6920" s="25"/>
      <c r="E6920" s="10"/>
      <c r="O6920" s="10"/>
      <c r="V6920" s="10"/>
    </row>
    <row r="6921" spans="2:22" x14ac:dyDescent="0.2">
      <c r="B6921" s="25"/>
      <c r="E6921" s="10"/>
      <c r="O6921" s="10"/>
      <c r="V6921" s="10"/>
    </row>
    <row r="6922" spans="2:22" x14ac:dyDescent="0.2">
      <c r="B6922" s="25"/>
      <c r="E6922" s="10"/>
      <c r="O6922" s="10"/>
      <c r="V6922" s="10"/>
    </row>
    <row r="6923" spans="2:22" x14ac:dyDescent="0.2">
      <c r="B6923" s="25"/>
      <c r="E6923" s="10"/>
      <c r="O6923" s="10"/>
      <c r="V6923" s="10"/>
    </row>
    <row r="6924" spans="2:22" x14ac:dyDescent="0.2">
      <c r="B6924" s="25"/>
      <c r="E6924" s="10"/>
      <c r="O6924" s="10"/>
      <c r="V6924" s="10"/>
    </row>
    <row r="6925" spans="2:22" x14ac:dyDescent="0.2">
      <c r="B6925" s="25"/>
      <c r="E6925" s="10"/>
      <c r="O6925" s="10"/>
      <c r="V6925" s="10"/>
    </row>
    <row r="6926" spans="2:22" x14ac:dyDescent="0.2">
      <c r="B6926" s="25"/>
      <c r="E6926" s="10"/>
      <c r="O6926" s="10"/>
      <c r="V6926" s="10"/>
    </row>
    <row r="6927" spans="2:22" x14ac:dyDescent="0.2">
      <c r="B6927" s="25"/>
      <c r="E6927" s="10"/>
      <c r="O6927" s="10"/>
      <c r="V6927" s="10"/>
    </row>
    <row r="6928" spans="2:22" x14ac:dyDescent="0.2">
      <c r="B6928" s="25"/>
      <c r="E6928" s="10"/>
      <c r="O6928" s="10"/>
      <c r="V6928" s="10"/>
    </row>
    <row r="6929" spans="2:22" x14ac:dyDescent="0.2">
      <c r="B6929" s="25"/>
      <c r="E6929" s="10"/>
      <c r="O6929" s="10"/>
      <c r="V6929" s="10"/>
    </row>
    <row r="6930" spans="2:22" x14ac:dyDescent="0.2">
      <c r="B6930" s="25"/>
      <c r="E6930" s="10"/>
      <c r="O6930" s="10"/>
      <c r="V6930" s="10"/>
    </row>
    <row r="6931" spans="2:22" x14ac:dyDescent="0.2">
      <c r="B6931" s="25"/>
      <c r="E6931" s="10"/>
      <c r="O6931" s="10"/>
      <c r="V6931" s="10"/>
    </row>
    <row r="6932" spans="2:22" x14ac:dyDescent="0.2">
      <c r="B6932" s="25"/>
      <c r="E6932" s="10"/>
      <c r="O6932" s="10"/>
      <c r="V6932" s="10"/>
    </row>
    <row r="6933" spans="2:22" x14ac:dyDescent="0.2">
      <c r="B6933" s="25"/>
      <c r="E6933" s="10"/>
      <c r="O6933" s="10"/>
      <c r="V6933" s="10"/>
    </row>
    <row r="6934" spans="2:22" x14ac:dyDescent="0.2">
      <c r="B6934" s="25"/>
      <c r="E6934" s="10"/>
      <c r="O6934" s="10"/>
      <c r="V6934" s="10"/>
    </row>
    <row r="6935" spans="2:22" x14ac:dyDescent="0.2">
      <c r="B6935" s="25"/>
      <c r="E6935" s="10"/>
      <c r="O6935" s="10"/>
      <c r="V6935" s="10"/>
    </row>
    <row r="6936" spans="2:22" x14ac:dyDescent="0.2">
      <c r="B6936" s="25"/>
      <c r="E6936" s="10"/>
      <c r="O6936" s="10"/>
      <c r="V6936" s="10"/>
    </row>
    <row r="6937" spans="2:22" x14ac:dyDescent="0.2">
      <c r="B6937" s="25"/>
      <c r="E6937" s="10"/>
      <c r="O6937" s="10"/>
      <c r="V6937" s="10"/>
    </row>
    <row r="6938" spans="2:22" x14ac:dyDescent="0.2">
      <c r="B6938" s="25"/>
      <c r="E6938" s="10"/>
      <c r="O6938" s="10"/>
      <c r="V6938" s="10"/>
    </row>
    <row r="6939" spans="2:22" x14ac:dyDescent="0.2">
      <c r="B6939" s="25"/>
      <c r="E6939" s="10"/>
      <c r="O6939" s="10"/>
      <c r="V6939" s="10"/>
    </row>
    <row r="6940" spans="2:22" x14ac:dyDescent="0.2">
      <c r="B6940" s="25"/>
      <c r="E6940" s="10"/>
      <c r="O6940" s="10"/>
      <c r="V6940" s="10"/>
    </row>
    <row r="6941" spans="2:22" x14ac:dyDescent="0.2">
      <c r="B6941" s="25"/>
      <c r="E6941" s="10"/>
      <c r="O6941" s="10"/>
      <c r="V6941" s="10"/>
    </row>
    <row r="6942" spans="2:22" x14ac:dyDescent="0.2">
      <c r="B6942" s="25"/>
      <c r="E6942" s="10"/>
      <c r="O6942" s="10"/>
      <c r="V6942" s="10"/>
    </row>
    <row r="6943" spans="2:22" x14ac:dyDescent="0.2">
      <c r="B6943" s="25"/>
      <c r="E6943" s="10"/>
      <c r="O6943" s="10"/>
      <c r="V6943" s="10"/>
    </row>
    <row r="6944" spans="2:22" x14ac:dyDescent="0.2">
      <c r="B6944" s="25"/>
      <c r="E6944" s="10"/>
      <c r="O6944" s="10"/>
      <c r="V6944" s="10"/>
    </row>
    <row r="6945" spans="2:22" x14ac:dyDescent="0.2">
      <c r="B6945" s="25"/>
      <c r="E6945" s="10"/>
      <c r="O6945" s="10"/>
      <c r="V6945" s="10"/>
    </row>
    <row r="6946" spans="2:22" x14ac:dyDescent="0.2">
      <c r="B6946" s="25"/>
      <c r="E6946" s="10"/>
      <c r="O6946" s="10"/>
      <c r="V6946" s="10"/>
    </row>
    <row r="6947" spans="2:22" x14ac:dyDescent="0.2">
      <c r="B6947" s="25"/>
      <c r="E6947" s="10"/>
      <c r="O6947" s="10"/>
      <c r="V6947" s="10"/>
    </row>
    <row r="6948" spans="2:22" x14ac:dyDescent="0.2">
      <c r="B6948" s="25"/>
      <c r="E6948" s="10"/>
      <c r="O6948" s="10"/>
      <c r="V6948" s="10"/>
    </row>
    <row r="6949" spans="2:22" x14ac:dyDescent="0.2">
      <c r="B6949" s="25"/>
      <c r="E6949" s="10"/>
      <c r="O6949" s="10"/>
      <c r="V6949" s="10"/>
    </row>
    <row r="6950" spans="2:22" x14ac:dyDescent="0.2">
      <c r="B6950" s="25"/>
      <c r="E6950" s="10"/>
      <c r="O6950" s="10"/>
      <c r="V6950" s="10"/>
    </row>
    <row r="6951" spans="2:22" x14ac:dyDescent="0.2">
      <c r="B6951" s="25"/>
      <c r="E6951" s="10"/>
      <c r="O6951" s="10"/>
      <c r="V6951" s="10"/>
    </row>
    <row r="6952" spans="2:22" x14ac:dyDescent="0.2">
      <c r="B6952" s="25"/>
      <c r="E6952" s="10"/>
      <c r="O6952" s="10"/>
      <c r="V6952" s="10"/>
    </row>
    <row r="6953" spans="2:22" x14ac:dyDescent="0.2">
      <c r="B6953" s="25"/>
      <c r="E6953" s="10"/>
      <c r="O6953" s="10"/>
      <c r="V6953" s="10"/>
    </row>
    <row r="6954" spans="2:22" x14ac:dyDescent="0.2">
      <c r="B6954" s="25"/>
      <c r="E6954" s="10"/>
      <c r="O6954" s="10"/>
      <c r="V6954" s="10"/>
    </row>
    <row r="6955" spans="2:22" x14ac:dyDescent="0.2">
      <c r="B6955" s="25"/>
      <c r="E6955" s="10"/>
      <c r="O6955" s="10"/>
      <c r="V6955" s="10"/>
    </row>
    <row r="6956" spans="2:22" x14ac:dyDescent="0.2">
      <c r="B6956" s="25"/>
      <c r="E6956" s="10"/>
      <c r="O6956" s="10"/>
      <c r="V6956" s="10"/>
    </row>
    <row r="6957" spans="2:22" x14ac:dyDescent="0.2">
      <c r="B6957" s="25"/>
      <c r="E6957" s="10"/>
      <c r="O6957" s="10"/>
      <c r="V6957" s="10"/>
    </row>
    <row r="6958" spans="2:22" x14ac:dyDescent="0.2">
      <c r="B6958" s="25"/>
      <c r="E6958" s="10"/>
      <c r="O6958" s="10"/>
      <c r="V6958" s="10"/>
    </row>
    <row r="6959" spans="2:22" x14ac:dyDescent="0.2">
      <c r="B6959" s="25"/>
      <c r="E6959" s="10"/>
      <c r="O6959" s="10"/>
      <c r="V6959" s="10"/>
    </row>
    <row r="6960" spans="2:22" x14ac:dyDescent="0.2">
      <c r="B6960" s="25"/>
      <c r="E6960" s="10"/>
      <c r="O6960" s="10"/>
      <c r="V6960" s="10"/>
    </row>
    <row r="6961" spans="2:22" x14ac:dyDescent="0.2">
      <c r="B6961" s="25"/>
      <c r="E6961" s="10"/>
      <c r="O6961" s="10"/>
      <c r="V6961" s="10"/>
    </row>
    <row r="6962" spans="2:22" x14ac:dyDescent="0.2">
      <c r="B6962" s="25"/>
      <c r="E6962" s="10"/>
      <c r="O6962" s="10"/>
      <c r="V6962" s="10"/>
    </row>
    <row r="6963" spans="2:22" x14ac:dyDescent="0.2">
      <c r="B6963" s="25"/>
      <c r="E6963" s="10"/>
      <c r="O6963" s="10"/>
      <c r="V6963" s="10"/>
    </row>
    <row r="6964" spans="2:22" x14ac:dyDescent="0.2">
      <c r="B6964" s="25"/>
      <c r="E6964" s="10"/>
      <c r="O6964" s="10"/>
      <c r="V6964" s="10"/>
    </row>
    <row r="6965" spans="2:22" x14ac:dyDescent="0.2">
      <c r="B6965" s="25"/>
      <c r="E6965" s="10"/>
      <c r="O6965" s="10"/>
      <c r="V6965" s="10"/>
    </row>
    <row r="6966" spans="2:22" x14ac:dyDescent="0.2">
      <c r="B6966" s="25"/>
      <c r="E6966" s="10"/>
      <c r="O6966" s="10"/>
      <c r="V6966" s="10"/>
    </row>
    <row r="6967" spans="2:22" x14ac:dyDescent="0.2">
      <c r="B6967" s="25"/>
      <c r="E6967" s="10"/>
      <c r="O6967" s="10"/>
      <c r="V6967" s="10"/>
    </row>
    <row r="6968" spans="2:22" x14ac:dyDescent="0.2">
      <c r="B6968" s="25"/>
      <c r="E6968" s="10"/>
      <c r="O6968" s="10"/>
      <c r="V6968" s="10"/>
    </row>
    <row r="6969" spans="2:22" x14ac:dyDescent="0.2">
      <c r="B6969" s="25"/>
      <c r="E6969" s="10"/>
      <c r="O6969" s="10"/>
      <c r="V6969" s="10"/>
    </row>
    <row r="6970" spans="2:22" x14ac:dyDescent="0.2">
      <c r="B6970" s="25"/>
      <c r="E6970" s="10"/>
      <c r="O6970" s="10"/>
      <c r="V6970" s="10"/>
    </row>
    <row r="6971" spans="2:22" x14ac:dyDescent="0.2">
      <c r="B6971" s="25"/>
      <c r="E6971" s="10"/>
      <c r="O6971" s="10"/>
      <c r="V6971" s="10"/>
    </row>
    <row r="6972" spans="2:22" x14ac:dyDescent="0.2">
      <c r="B6972" s="25"/>
      <c r="E6972" s="10"/>
      <c r="O6972" s="10"/>
      <c r="V6972" s="10"/>
    </row>
    <row r="6973" spans="2:22" x14ac:dyDescent="0.2">
      <c r="B6973" s="25"/>
      <c r="E6973" s="10"/>
      <c r="O6973" s="10"/>
      <c r="V6973" s="10"/>
    </row>
    <row r="6974" spans="2:22" x14ac:dyDescent="0.2">
      <c r="B6974" s="25"/>
      <c r="E6974" s="10"/>
      <c r="O6974" s="10"/>
      <c r="V6974" s="10"/>
    </row>
    <row r="6975" spans="2:22" x14ac:dyDescent="0.2">
      <c r="B6975" s="25"/>
      <c r="E6975" s="10"/>
      <c r="O6975" s="10"/>
      <c r="V6975" s="10"/>
    </row>
    <row r="6976" spans="2:22" x14ac:dyDescent="0.2">
      <c r="B6976" s="25"/>
      <c r="E6976" s="10"/>
      <c r="O6976" s="10"/>
      <c r="V6976" s="10"/>
    </row>
    <row r="6977" spans="2:22" x14ac:dyDescent="0.2">
      <c r="B6977" s="25"/>
      <c r="E6977" s="10"/>
      <c r="O6977" s="10"/>
      <c r="V6977" s="10"/>
    </row>
    <row r="6978" spans="2:22" x14ac:dyDescent="0.2">
      <c r="B6978" s="25"/>
      <c r="E6978" s="10"/>
      <c r="O6978" s="10"/>
      <c r="V6978" s="10"/>
    </row>
    <row r="6979" spans="2:22" x14ac:dyDescent="0.2">
      <c r="B6979" s="25"/>
      <c r="E6979" s="10"/>
      <c r="O6979" s="10"/>
      <c r="V6979" s="10"/>
    </row>
    <row r="6980" spans="2:22" x14ac:dyDescent="0.2">
      <c r="B6980" s="25"/>
      <c r="E6980" s="10"/>
      <c r="O6980" s="10"/>
      <c r="V6980" s="10"/>
    </row>
    <row r="6981" spans="2:22" x14ac:dyDescent="0.2">
      <c r="B6981" s="25"/>
      <c r="E6981" s="10"/>
      <c r="O6981" s="10"/>
      <c r="V6981" s="10"/>
    </row>
    <row r="6982" spans="2:22" x14ac:dyDescent="0.2">
      <c r="B6982" s="25"/>
      <c r="E6982" s="10"/>
      <c r="O6982" s="10"/>
      <c r="V6982" s="10"/>
    </row>
    <row r="6983" spans="2:22" x14ac:dyDescent="0.2">
      <c r="B6983" s="25"/>
      <c r="E6983" s="10"/>
      <c r="O6983" s="10"/>
      <c r="V6983" s="10"/>
    </row>
    <row r="6984" spans="2:22" x14ac:dyDescent="0.2">
      <c r="B6984" s="25"/>
      <c r="E6984" s="10"/>
      <c r="O6984" s="10"/>
      <c r="V6984" s="10"/>
    </row>
    <row r="6985" spans="2:22" x14ac:dyDescent="0.2">
      <c r="B6985" s="25"/>
      <c r="E6985" s="10"/>
      <c r="O6985" s="10"/>
      <c r="V6985" s="10"/>
    </row>
    <row r="6986" spans="2:22" x14ac:dyDescent="0.2">
      <c r="B6986" s="25"/>
      <c r="E6986" s="10"/>
      <c r="O6986" s="10"/>
      <c r="V6986" s="10"/>
    </row>
    <row r="6987" spans="2:22" x14ac:dyDescent="0.2">
      <c r="B6987" s="25"/>
      <c r="E6987" s="10"/>
      <c r="O6987" s="10"/>
      <c r="V6987" s="10"/>
    </row>
    <row r="6988" spans="2:22" x14ac:dyDescent="0.2">
      <c r="B6988" s="25"/>
      <c r="E6988" s="10"/>
      <c r="O6988" s="10"/>
      <c r="V6988" s="10"/>
    </row>
    <row r="6989" spans="2:22" x14ac:dyDescent="0.2">
      <c r="B6989" s="25"/>
      <c r="E6989" s="10"/>
      <c r="O6989" s="10"/>
      <c r="V6989" s="10"/>
    </row>
    <row r="6990" spans="2:22" x14ac:dyDescent="0.2">
      <c r="B6990" s="25"/>
      <c r="E6990" s="10"/>
      <c r="O6990" s="10"/>
      <c r="V6990" s="10"/>
    </row>
    <row r="6991" spans="2:22" x14ac:dyDescent="0.2">
      <c r="B6991" s="25"/>
      <c r="E6991" s="10"/>
      <c r="O6991" s="10"/>
      <c r="V6991" s="10"/>
    </row>
    <row r="6992" spans="2:22" x14ac:dyDescent="0.2">
      <c r="B6992" s="25"/>
      <c r="E6992" s="10"/>
      <c r="O6992" s="10"/>
      <c r="V6992" s="10"/>
    </row>
    <row r="6993" spans="2:22" x14ac:dyDescent="0.2">
      <c r="B6993" s="25"/>
      <c r="E6993" s="10"/>
      <c r="O6993" s="10"/>
      <c r="V6993" s="10"/>
    </row>
    <row r="6994" spans="2:22" x14ac:dyDescent="0.2">
      <c r="B6994" s="25"/>
      <c r="E6994" s="10"/>
      <c r="O6994" s="10"/>
      <c r="V6994" s="10"/>
    </row>
    <row r="6995" spans="2:22" x14ac:dyDescent="0.2">
      <c r="B6995" s="25"/>
      <c r="E6995" s="10"/>
      <c r="O6995" s="10"/>
      <c r="V6995" s="10"/>
    </row>
    <row r="6996" spans="2:22" x14ac:dyDescent="0.2">
      <c r="B6996" s="25"/>
      <c r="E6996" s="10"/>
      <c r="O6996" s="10"/>
      <c r="V6996" s="10"/>
    </row>
    <row r="6997" spans="2:22" x14ac:dyDescent="0.2">
      <c r="B6997" s="25"/>
      <c r="E6997" s="10"/>
      <c r="O6997" s="10"/>
      <c r="V6997" s="10"/>
    </row>
    <row r="6998" spans="2:22" x14ac:dyDescent="0.2">
      <c r="B6998" s="25"/>
      <c r="E6998" s="10"/>
      <c r="O6998" s="10"/>
      <c r="V6998" s="10"/>
    </row>
    <row r="6999" spans="2:22" x14ac:dyDescent="0.2">
      <c r="B6999" s="25"/>
      <c r="E6999" s="10"/>
      <c r="O6999" s="10"/>
      <c r="V6999" s="10"/>
    </row>
    <row r="7000" spans="2:22" x14ac:dyDescent="0.2">
      <c r="B7000" s="25"/>
      <c r="E7000" s="10"/>
      <c r="O7000" s="10"/>
      <c r="V7000" s="10"/>
    </row>
    <row r="7001" spans="2:22" x14ac:dyDescent="0.2">
      <c r="B7001" s="25"/>
      <c r="E7001" s="10"/>
      <c r="O7001" s="10"/>
      <c r="V7001" s="10"/>
    </row>
    <row r="7002" spans="2:22" x14ac:dyDescent="0.2">
      <c r="B7002" s="25"/>
      <c r="E7002" s="10"/>
      <c r="O7002" s="10"/>
      <c r="V7002" s="10"/>
    </row>
    <row r="7003" spans="2:22" x14ac:dyDescent="0.2">
      <c r="B7003" s="25"/>
      <c r="E7003" s="10"/>
      <c r="O7003" s="10"/>
      <c r="V7003" s="10"/>
    </row>
    <row r="7004" spans="2:22" x14ac:dyDescent="0.2">
      <c r="B7004" s="25"/>
      <c r="E7004" s="10"/>
      <c r="O7004" s="10"/>
      <c r="V7004" s="10"/>
    </row>
    <row r="7005" spans="2:22" x14ac:dyDescent="0.2">
      <c r="B7005" s="25"/>
      <c r="E7005" s="10"/>
      <c r="O7005" s="10"/>
      <c r="V7005" s="10"/>
    </row>
    <row r="7006" spans="2:22" x14ac:dyDescent="0.2">
      <c r="B7006" s="25"/>
      <c r="E7006" s="10"/>
      <c r="O7006" s="10"/>
      <c r="V7006" s="10"/>
    </row>
    <row r="7007" spans="2:22" x14ac:dyDescent="0.2">
      <c r="B7007" s="25"/>
      <c r="E7007" s="10"/>
      <c r="O7007" s="10"/>
      <c r="V7007" s="10"/>
    </row>
    <row r="7008" spans="2:22" x14ac:dyDescent="0.2">
      <c r="B7008" s="25"/>
      <c r="E7008" s="10"/>
      <c r="O7008" s="10"/>
      <c r="V7008" s="10"/>
    </row>
    <row r="7009" spans="2:22" x14ac:dyDescent="0.2">
      <c r="B7009" s="25"/>
      <c r="E7009" s="10"/>
      <c r="O7009" s="10"/>
      <c r="V7009" s="10"/>
    </row>
    <row r="7010" spans="2:22" x14ac:dyDescent="0.2">
      <c r="B7010" s="25"/>
      <c r="E7010" s="10"/>
      <c r="O7010" s="10"/>
      <c r="V7010" s="10"/>
    </row>
    <row r="7011" spans="2:22" x14ac:dyDescent="0.2">
      <c r="B7011" s="25"/>
      <c r="E7011" s="10"/>
      <c r="O7011" s="10"/>
      <c r="V7011" s="10"/>
    </row>
    <row r="7012" spans="2:22" x14ac:dyDescent="0.2">
      <c r="B7012" s="25"/>
      <c r="E7012" s="10"/>
      <c r="O7012" s="10"/>
      <c r="V7012" s="10"/>
    </row>
    <row r="7013" spans="2:22" x14ac:dyDescent="0.2">
      <c r="B7013" s="25"/>
      <c r="E7013" s="10"/>
      <c r="O7013" s="10"/>
      <c r="V7013" s="10"/>
    </row>
    <row r="7014" spans="2:22" x14ac:dyDescent="0.2">
      <c r="B7014" s="25"/>
      <c r="E7014" s="10"/>
      <c r="V7014" s="10"/>
    </row>
    <row r="7015" spans="2:22" x14ac:dyDescent="0.2">
      <c r="B7015" s="25"/>
      <c r="E7015" s="10"/>
      <c r="O7015" s="10"/>
      <c r="V7015" s="10"/>
    </row>
    <row r="7016" spans="2:22" x14ac:dyDescent="0.2">
      <c r="B7016" s="25"/>
      <c r="E7016" s="10"/>
      <c r="O7016" s="10"/>
      <c r="V7016" s="10"/>
    </row>
    <row r="7017" spans="2:22" x14ac:dyDescent="0.2">
      <c r="B7017" s="25"/>
      <c r="E7017" s="10"/>
      <c r="O7017" s="10"/>
      <c r="V7017" s="10"/>
    </row>
    <row r="7018" spans="2:22" x14ac:dyDescent="0.2">
      <c r="B7018" s="25"/>
      <c r="E7018" s="10"/>
      <c r="V7018" s="10"/>
    </row>
    <row r="7019" spans="2:22" x14ac:dyDescent="0.2">
      <c r="B7019" s="25"/>
      <c r="E7019" s="10"/>
      <c r="O7019" s="10"/>
      <c r="V7019" s="10"/>
    </row>
    <row r="7020" spans="2:22" x14ac:dyDescent="0.2">
      <c r="B7020" s="25"/>
      <c r="E7020" s="10"/>
      <c r="O7020" s="10"/>
      <c r="V7020" s="10"/>
    </row>
    <row r="7021" spans="2:22" x14ac:dyDescent="0.2">
      <c r="B7021" s="25"/>
      <c r="E7021" s="10"/>
      <c r="O7021" s="10"/>
      <c r="V7021" s="10"/>
    </row>
    <row r="7022" spans="2:22" x14ac:dyDescent="0.2">
      <c r="B7022" s="25"/>
      <c r="E7022" s="10"/>
      <c r="O7022" s="10"/>
      <c r="V7022" s="10"/>
    </row>
    <row r="7023" spans="2:22" x14ac:dyDescent="0.2">
      <c r="B7023" s="25"/>
      <c r="E7023" s="10"/>
      <c r="O7023" s="10"/>
      <c r="V7023" s="10"/>
    </row>
    <row r="7024" spans="2:22" x14ac:dyDescent="0.2">
      <c r="B7024" s="25"/>
      <c r="E7024" s="10"/>
      <c r="O7024" s="10"/>
      <c r="V7024" s="10"/>
    </row>
    <row r="7025" spans="2:22" x14ac:dyDescent="0.2">
      <c r="B7025" s="25"/>
      <c r="E7025" s="10"/>
      <c r="O7025" s="10"/>
      <c r="V7025" s="10"/>
    </row>
    <row r="7026" spans="2:22" x14ac:dyDescent="0.2">
      <c r="B7026" s="25"/>
      <c r="E7026" s="10"/>
      <c r="O7026" s="10"/>
      <c r="V7026" s="10"/>
    </row>
    <row r="7027" spans="2:22" x14ac:dyDescent="0.2">
      <c r="B7027" s="25"/>
      <c r="E7027" s="10"/>
      <c r="O7027" s="10"/>
      <c r="V7027" s="10"/>
    </row>
    <row r="7028" spans="2:22" x14ac:dyDescent="0.2">
      <c r="B7028" s="25"/>
      <c r="E7028" s="10"/>
      <c r="O7028" s="10"/>
      <c r="V7028" s="10"/>
    </row>
    <row r="7029" spans="2:22" x14ac:dyDescent="0.2">
      <c r="B7029" s="25"/>
      <c r="E7029" s="10"/>
      <c r="O7029" s="10"/>
      <c r="V7029" s="10"/>
    </row>
    <row r="7030" spans="2:22" x14ac:dyDescent="0.2">
      <c r="B7030" s="25"/>
      <c r="E7030" s="10"/>
      <c r="O7030" s="10"/>
      <c r="V7030" s="10"/>
    </row>
    <row r="7031" spans="2:22" x14ac:dyDescent="0.2">
      <c r="B7031" s="25"/>
      <c r="E7031" s="10"/>
      <c r="O7031" s="10"/>
      <c r="V7031" s="10"/>
    </row>
    <row r="7032" spans="2:22" x14ac:dyDescent="0.2">
      <c r="B7032" s="25"/>
      <c r="E7032" s="10"/>
      <c r="O7032" s="10"/>
      <c r="V7032" s="10"/>
    </row>
    <row r="7033" spans="2:22" x14ac:dyDescent="0.2">
      <c r="B7033" s="25"/>
      <c r="E7033" s="10"/>
      <c r="O7033" s="10"/>
      <c r="V7033" s="10"/>
    </row>
    <row r="7034" spans="2:22" x14ac:dyDescent="0.2">
      <c r="B7034" s="25"/>
      <c r="E7034" s="10"/>
      <c r="O7034" s="10"/>
      <c r="V7034" s="10"/>
    </row>
    <row r="7035" spans="2:22" x14ac:dyDescent="0.2">
      <c r="B7035" s="25"/>
      <c r="E7035" s="10"/>
      <c r="O7035" s="10"/>
      <c r="V7035" s="10"/>
    </row>
    <row r="7036" spans="2:22" x14ac:dyDescent="0.2">
      <c r="B7036" s="25"/>
      <c r="E7036" s="10"/>
      <c r="O7036" s="10"/>
      <c r="V7036" s="10"/>
    </row>
    <row r="7037" spans="2:22" x14ac:dyDescent="0.2">
      <c r="B7037" s="25"/>
      <c r="E7037" s="10"/>
      <c r="O7037" s="10"/>
      <c r="V7037" s="10"/>
    </row>
    <row r="7038" spans="2:22" x14ac:dyDescent="0.2">
      <c r="B7038" s="25"/>
      <c r="E7038" s="10"/>
      <c r="O7038" s="10"/>
      <c r="V7038" s="10"/>
    </row>
    <row r="7039" spans="2:22" x14ac:dyDescent="0.2">
      <c r="B7039" s="25"/>
      <c r="E7039" s="10"/>
      <c r="O7039" s="10"/>
      <c r="V7039" s="10"/>
    </row>
    <row r="7040" spans="2:22" x14ac:dyDescent="0.2">
      <c r="B7040" s="25"/>
      <c r="E7040" s="10"/>
      <c r="O7040" s="10"/>
      <c r="V7040" s="10"/>
    </row>
    <row r="7041" spans="2:22" x14ac:dyDescent="0.2">
      <c r="B7041" s="25"/>
      <c r="E7041" s="10"/>
      <c r="O7041" s="10"/>
      <c r="V7041" s="10"/>
    </row>
    <row r="7042" spans="2:22" x14ac:dyDescent="0.2">
      <c r="B7042" s="25"/>
      <c r="E7042" s="10"/>
      <c r="O7042" s="10"/>
      <c r="V7042" s="10"/>
    </row>
    <row r="7043" spans="2:22" x14ac:dyDescent="0.2">
      <c r="B7043" s="25"/>
      <c r="E7043" s="10"/>
      <c r="O7043" s="10"/>
      <c r="V7043" s="10"/>
    </row>
    <row r="7044" spans="2:22" x14ac:dyDescent="0.2">
      <c r="B7044" s="25"/>
      <c r="E7044" s="10"/>
      <c r="O7044" s="10"/>
      <c r="V7044" s="10"/>
    </row>
    <row r="7045" spans="2:22" x14ac:dyDescent="0.2">
      <c r="B7045" s="25"/>
      <c r="E7045" s="10"/>
      <c r="O7045" s="10"/>
      <c r="V7045" s="10"/>
    </row>
    <row r="7046" spans="2:22" x14ac:dyDescent="0.2">
      <c r="B7046" s="25"/>
      <c r="E7046" s="10"/>
      <c r="O7046" s="10"/>
      <c r="V7046" s="10"/>
    </row>
    <row r="7047" spans="2:22" x14ac:dyDescent="0.2">
      <c r="B7047" s="25"/>
      <c r="E7047" s="10"/>
      <c r="O7047" s="10"/>
      <c r="V7047" s="10"/>
    </row>
    <row r="7048" spans="2:22" x14ac:dyDescent="0.2">
      <c r="B7048" s="25"/>
      <c r="E7048" s="10"/>
      <c r="O7048" s="10"/>
      <c r="V7048" s="10"/>
    </row>
    <row r="7049" spans="2:22" x14ac:dyDescent="0.2">
      <c r="B7049" s="25"/>
      <c r="E7049" s="10"/>
      <c r="O7049" s="10"/>
      <c r="V7049" s="10"/>
    </row>
    <row r="7050" spans="2:22" x14ac:dyDescent="0.2">
      <c r="B7050" s="25"/>
      <c r="E7050" s="10"/>
      <c r="O7050" s="10"/>
      <c r="V7050" s="10"/>
    </row>
    <row r="7051" spans="2:22" x14ac:dyDescent="0.2">
      <c r="B7051" s="25"/>
      <c r="E7051" s="10"/>
      <c r="O7051" s="10"/>
      <c r="V7051" s="10"/>
    </row>
    <row r="7052" spans="2:22" x14ac:dyDescent="0.2">
      <c r="B7052" s="25"/>
      <c r="E7052" s="10"/>
      <c r="O7052" s="10"/>
      <c r="V7052" s="10"/>
    </row>
    <row r="7053" spans="2:22" x14ac:dyDescent="0.2">
      <c r="B7053" s="25"/>
      <c r="E7053" s="10"/>
      <c r="O7053" s="10"/>
      <c r="V7053" s="10"/>
    </row>
    <row r="7054" spans="2:22" x14ac:dyDescent="0.2">
      <c r="B7054" s="25"/>
      <c r="E7054" s="10"/>
      <c r="O7054" s="10"/>
      <c r="V7054" s="10"/>
    </row>
    <row r="7055" spans="2:22" x14ac:dyDescent="0.2">
      <c r="B7055" s="25"/>
      <c r="E7055" s="10"/>
      <c r="O7055" s="10"/>
      <c r="V7055" s="10"/>
    </row>
    <row r="7056" spans="2:22" x14ac:dyDescent="0.2">
      <c r="B7056" s="25"/>
      <c r="E7056" s="10"/>
      <c r="O7056" s="10"/>
      <c r="V7056" s="10"/>
    </row>
    <row r="7057" spans="2:22" x14ac:dyDescent="0.2">
      <c r="B7057" s="25"/>
      <c r="E7057" s="10"/>
      <c r="O7057" s="10"/>
      <c r="V7057" s="10"/>
    </row>
    <row r="7058" spans="2:22" x14ac:dyDescent="0.2">
      <c r="B7058" s="25"/>
      <c r="E7058" s="10"/>
      <c r="O7058" s="10"/>
      <c r="V7058" s="10"/>
    </row>
    <row r="7059" spans="2:22" x14ac:dyDescent="0.2">
      <c r="B7059" s="25"/>
      <c r="E7059" s="10"/>
      <c r="O7059" s="10"/>
      <c r="V7059" s="10"/>
    </row>
    <row r="7060" spans="2:22" x14ac:dyDescent="0.2">
      <c r="B7060" s="25"/>
      <c r="E7060" s="10"/>
      <c r="O7060" s="10"/>
      <c r="V7060" s="10"/>
    </row>
    <row r="7061" spans="2:22" x14ac:dyDescent="0.2">
      <c r="B7061" s="25"/>
      <c r="E7061" s="10"/>
      <c r="O7061" s="10"/>
      <c r="V7061" s="10"/>
    </row>
    <row r="7062" spans="2:22" x14ac:dyDescent="0.2">
      <c r="B7062" s="25"/>
      <c r="E7062" s="10"/>
      <c r="O7062" s="10"/>
      <c r="V7062" s="10"/>
    </row>
    <row r="7063" spans="2:22" x14ac:dyDescent="0.2">
      <c r="B7063" s="25"/>
      <c r="E7063" s="10"/>
      <c r="O7063" s="10"/>
      <c r="V7063" s="10"/>
    </row>
    <row r="7064" spans="2:22" x14ac:dyDescent="0.2">
      <c r="B7064" s="25"/>
      <c r="E7064" s="10"/>
      <c r="O7064" s="10"/>
      <c r="V7064" s="10"/>
    </row>
    <row r="7065" spans="2:22" x14ac:dyDescent="0.2">
      <c r="B7065" s="25"/>
      <c r="E7065" s="10"/>
      <c r="O7065" s="10"/>
      <c r="V7065" s="10"/>
    </row>
    <row r="7066" spans="2:22" x14ac:dyDescent="0.2">
      <c r="B7066" s="25"/>
      <c r="E7066" s="10"/>
      <c r="O7066" s="10"/>
      <c r="V7066" s="10"/>
    </row>
    <row r="7067" spans="2:22" x14ac:dyDescent="0.2">
      <c r="B7067" s="25"/>
      <c r="E7067" s="10"/>
      <c r="O7067" s="10"/>
      <c r="V7067" s="10"/>
    </row>
    <row r="7068" spans="2:22" x14ac:dyDescent="0.2">
      <c r="B7068" s="25"/>
      <c r="E7068" s="10"/>
      <c r="O7068" s="10"/>
      <c r="V7068" s="10"/>
    </row>
    <row r="7069" spans="2:22" x14ac:dyDescent="0.2">
      <c r="B7069" s="25"/>
      <c r="E7069" s="10"/>
      <c r="O7069" s="10"/>
      <c r="V7069" s="10"/>
    </row>
    <row r="7070" spans="2:22" x14ac:dyDescent="0.2">
      <c r="B7070" s="25"/>
      <c r="E7070" s="10"/>
      <c r="O7070" s="10"/>
      <c r="V7070" s="10"/>
    </row>
    <row r="7071" spans="2:22" x14ac:dyDescent="0.2">
      <c r="B7071" s="25"/>
      <c r="E7071" s="10"/>
      <c r="O7071" s="10"/>
      <c r="V7071" s="10"/>
    </row>
    <row r="7072" spans="2:22" x14ac:dyDescent="0.2">
      <c r="B7072" s="25"/>
      <c r="E7072" s="10"/>
      <c r="O7072" s="10"/>
      <c r="V7072" s="10"/>
    </row>
    <row r="7073" spans="2:22" x14ac:dyDescent="0.2">
      <c r="B7073" s="25"/>
      <c r="E7073" s="10"/>
      <c r="O7073" s="10"/>
      <c r="V7073" s="10"/>
    </row>
    <row r="7074" spans="2:22" x14ac:dyDescent="0.2">
      <c r="B7074" s="25"/>
      <c r="E7074" s="10"/>
      <c r="O7074" s="10"/>
      <c r="V7074" s="10"/>
    </row>
    <row r="7075" spans="2:22" x14ac:dyDescent="0.2">
      <c r="B7075" s="25"/>
      <c r="E7075" s="10"/>
      <c r="O7075" s="10"/>
      <c r="V7075" s="10"/>
    </row>
    <row r="7076" spans="2:22" x14ac:dyDescent="0.2">
      <c r="B7076" s="25"/>
      <c r="E7076" s="10"/>
      <c r="O7076" s="10"/>
      <c r="V7076" s="10"/>
    </row>
    <row r="7077" spans="2:22" x14ac:dyDescent="0.2">
      <c r="B7077" s="25"/>
      <c r="E7077" s="10"/>
      <c r="O7077" s="10"/>
      <c r="V7077" s="10"/>
    </row>
    <row r="7078" spans="2:22" x14ac:dyDescent="0.2">
      <c r="B7078" s="25"/>
      <c r="E7078" s="10"/>
      <c r="O7078" s="10"/>
      <c r="V7078" s="10"/>
    </row>
    <row r="7079" spans="2:22" x14ac:dyDescent="0.2">
      <c r="B7079" s="25"/>
      <c r="E7079" s="10"/>
      <c r="O7079" s="10"/>
      <c r="V7079" s="10"/>
    </row>
    <row r="7080" spans="2:22" x14ac:dyDescent="0.2">
      <c r="B7080" s="25"/>
      <c r="E7080" s="10"/>
      <c r="O7080" s="10"/>
      <c r="V7080" s="10"/>
    </row>
    <row r="7081" spans="2:22" x14ac:dyDescent="0.2">
      <c r="B7081" s="25"/>
      <c r="E7081" s="10"/>
      <c r="O7081" s="10"/>
      <c r="V7081" s="10"/>
    </row>
    <row r="7082" spans="2:22" x14ac:dyDescent="0.2">
      <c r="B7082" s="25"/>
      <c r="E7082" s="10"/>
      <c r="O7082" s="10"/>
      <c r="V7082" s="10"/>
    </row>
    <row r="7083" spans="2:22" x14ac:dyDescent="0.2">
      <c r="B7083" s="25"/>
      <c r="E7083" s="10"/>
      <c r="O7083" s="10"/>
      <c r="V7083" s="10"/>
    </row>
    <row r="7084" spans="2:22" x14ac:dyDescent="0.2">
      <c r="B7084" s="25"/>
      <c r="E7084" s="10"/>
      <c r="O7084" s="10"/>
      <c r="V7084" s="10"/>
    </row>
    <row r="7085" spans="2:22" x14ac:dyDescent="0.2">
      <c r="B7085" s="25"/>
      <c r="E7085" s="10"/>
      <c r="O7085" s="10"/>
      <c r="V7085" s="10"/>
    </row>
    <row r="7086" spans="2:22" x14ac:dyDescent="0.2">
      <c r="B7086" s="25"/>
      <c r="E7086" s="10"/>
      <c r="O7086" s="10"/>
      <c r="V7086" s="10"/>
    </row>
    <row r="7087" spans="2:22" x14ac:dyDescent="0.2">
      <c r="B7087" s="25"/>
      <c r="E7087" s="10"/>
      <c r="O7087" s="10"/>
      <c r="V7087" s="10"/>
    </row>
    <row r="7088" spans="2:22" x14ac:dyDescent="0.2">
      <c r="B7088" s="25"/>
      <c r="E7088" s="10"/>
      <c r="O7088" s="10"/>
      <c r="V7088" s="10"/>
    </row>
    <row r="7089" spans="2:22" x14ac:dyDescent="0.2">
      <c r="B7089" s="25"/>
      <c r="E7089" s="10"/>
      <c r="O7089" s="10"/>
      <c r="V7089" s="10"/>
    </row>
    <row r="7090" spans="2:22" x14ac:dyDescent="0.2">
      <c r="B7090" s="25"/>
      <c r="E7090" s="10"/>
      <c r="O7090" s="10"/>
      <c r="V7090" s="10"/>
    </row>
    <row r="7091" spans="2:22" x14ac:dyDescent="0.2">
      <c r="B7091" s="25"/>
      <c r="E7091" s="10"/>
      <c r="O7091" s="10"/>
      <c r="V7091" s="10"/>
    </row>
    <row r="7092" spans="2:22" x14ac:dyDescent="0.2">
      <c r="B7092" s="25"/>
      <c r="E7092" s="10"/>
      <c r="O7092" s="10"/>
      <c r="V7092" s="10"/>
    </row>
    <row r="7093" spans="2:22" x14ac:dyDescent="0.2">
      <c r="B7093" s="25"/>
      <c r="E7093" s="10"/>
      <c r="O7093" s="10"/>
      <c r="V7093" s="10"/>
    </row>
    <row r="7094" spans="2:22" x14ac:dyDescent="0.2">
      <c r="B7094" s="25"/>
      <c r="E7094" s="10"/>
      <c r="O7094" s="10"/>
      <c r="V7094" s="10"/>
    </row>
    <row r="7095" spans="2:22" x14ac:dyDescent="0.2">
      <c r="B7095" s="25"/>
      <c r="E7095" s="10"/>
      <c r="O7095" s="10"/>
      <c r="V7095" s="10"/>
    </row>
    <row r="7096" spans="2:22" x14ac:dyDescent="0.2">
      <c r="B7096" s="25"/>
      <c r="E7096" s="10"/>
      <c r="O7096" s="10"/>
      <c r="V7096" s="10"/>
    </row>
    <row r="7097" spans="2:22" x14ac:dyDescent="0.2">
      <c r="B7097" s="25"/>
      <c r="E7097" s="10"/>
      <c r="O7097" s="10"/>
      <c r="V7097" s="10"/>
    </row>
    <row r="7098" spans="2:22" x14ac:dyDescent="0.2">
      <c r="B7098" s="25"/>
      <c r="E7098" s="10"/>
      <c r="O7098" s="10"/>
      <c r="V7098" s="10"/>
    </row>
    <row r="7099" spans="2:22" x14ac:dyDescent="0.2">
      <c r="B7099" s="25"/>
      <c r="E7099" s="10"/>
      <c r="O7099" s="10"/>
      <c r="V7099" s="10"/>
    </row>
    <row r="7100" spans="2:22" x14ac:dyDescent="0.2">
      <c r="B7100" s="25"/>
      <c r="E7100" s="10"/>
      <c r="O7100" s="10"/>
      <c r="V7100" s="10"/>
    </row>
    <row r="7101" spans="2:22" x14ac:dyDescent="0.2">
      <c r="B7101" s="25"/>
      <c r="E7101" s="10"/>
      <c r="O7101" s="10"/>
      <c r="V7101" s="10"/>
    </row>
    <row r="7102" spans="2:22" x14ac:dyDescent="0.2">
      <c r="B7102" s="25"/>
      <c r="E7102" s="10"/>
      <c r="O7102" s="10"/>
      <c r="V7102" s="10"/>
    </row>
    <row r="7103" spans="2:22" x14ac:dyDescent="0.2">
      <c r="B7103" s="25"/>
      <c r="E7103" s="10"/>
      <c r="O7103" s="10"/>
      <c r="V7103" s="10"/>
    </row>
    <row r="7104" spans="2:22" x14ac:dyDescent="0.2">
      <c r="B7104" s="25"/>
      <c r="E7104" s="10"/>
      <c r="O7104" s="10"/>
      <c r="V7104" s="10"/>
    </row>
    <row r="7105" spans="2:22" x14ac:dyDescent="0.2">
      <c r="B7105" s="25"/>
      <c r="E7105" s="10"/>
      <c r="O7105" s="10"/>
      <c r="V7105" s="10"/>
    </row>
    <row r="7106" spans="2:22" x14ac:dyDescent="0.2">
      <c r="B7106" s="25"/>
      <c r="E7106" s="10"/>
      <c r="O7106" s="10"/>
      <c r="V7106" s="10"/>
    </row>
    <row r="7107" spans="2:22" x14ac:dyDescent="0.2">
      <c r="B7107" s="25"/>
      <c r="E7107" s="10"/>
      <c r="O7107" s="10"/>
      <c r="V7107" s="10"/>
    </row>
    <row r="7108" spans="2:22" x14ac:dyDescent="0.2">
      <c r="B7108" s="25"/>
      <c r="E7108" s="10"/>
      <c r="O7108" s="10"/>
      <c r="V7108" s="10"/>
    </row>
    <row r="7109" spans="2:22" x14ac:dyDescent="0.2">
      <c r="B7109" s="25"/>
      <c r="E7109" s="10"/>
      <c r="O7109" s="10"/>
      <c r="V7109" s="10"/>
    </row>
    <row r="7110" spans="2:22" x14ac:dyDescent="0.2">
      <c r="B7110" s="25"/>
      <c r="E7110" s="10"/>
      <c r="O7110" s="10"/>
      <c r="V7110" s="10"/>
    </row>
    <row r="7111" spans="2:22" x14ac:dyDescent="0.2">
      <c r="B7111" s="25"/>
      <c r="E7111" s="10"/>
      <c r="O7111" s="10"/>
      <c r="V7111" s="10"/>
    </row>
    <row r="7112" spans="2:22" x14ac:dyDescent="0.2">
      <c r="B7112" s="25"/>
      <c r="E7112" s="10"/>
      <c r="O7112" s="10"/>
      <c r="V7112" s="10"/>
    </row>
    <row r="7113" spans="2:22" x14ac:dyDescent="0.2">
      <c r="B7113" s="25"/>
      <c r="E7113" s="10"/>
      <c r="O7113" s="10"/>
      <c r="V7113" s="10"/>
    </row>
    <row r="7114" spans="2:22" x14ac:dyDescent="0.2">
      <c r="B7114" s="25"/>
      <c r="E7114" s="10"/>
      <c r="O7114" s="10"/>
      <c r="V7114" s="10"/>
    </row>
    <row r="7115" spans="2:22" x14ac:dyDescent="0.2">
      <c r="B7115" s="25"/>
      <c r="E7115" s="10"/>
      <c r="O7115" s="10"/>
      <c r="V7115" s="10"/>
    </row>
    <row r="7116" spans="2:22" x14ac:dyDescent="0.2">
      <c r="B7116" s="25"/>
      <c r="E7116" s="10"/>
      <c r="O7116" s="10"/>
      <c r="V7116" s="10"/>
    </row>
    <row r="7117" spans="2:22" x14ac:dyDescent="0.2">
      <c r="B7117" s="25"/>
      <c r="E7117" s="10"/>
      <c r="O7117" s="10"/>
      <c r="V7117" s="10"/>
    </row>
    <row r="7118" spans="2:22" x14ac:dyDescent="0.2">
      <c r="B7118" s="25"/>
      <c r="E7118" s="10"/>
      <c r="O7118" s="10"/>
      <c r="V7118" s="10"/>
    </row>
    <row r="7119" spans="2:22" x14ac:dyDescent="0.2">
      <c r="B7119" s="25"/>
      <c r="E7119" s="10"/>
      <c r="O7119" s="10"/>
      <c r="V7119" s="10"/>
    </row>
    <row r="7120" spans="2:22" x14ac:dyDescent="0.2">
      <c r="B7120" s="25"/>
      <c r="E7120" s="10"/>
      <c r="O7120" s="10"/>
      <c r="V7120" s="10"/>
    </row>
    <row r="7121" spans="2:22" x14ac:dyDescent="0.2">
      <c r="B7121" s="25"/>
      <c r="E7121" s="10"/>
      <c r="O7121" s="10"/>
      <c r="V7121" s="10"/>
    </row>
    <row r="7122" spans="2:22" x14ac:dyDescent="0.2">
      <c r="B7122" s="25"/>
      <c r="E7122" s="10"/>
      <c r="O7122" s="10"/>
      <c r="V7122" s="10"/>
    </row>
    <row r="7123" spans="2:22" x14ac:dyDescent="0.2">
      <c r="B7123" s="25"/>
      <c r="E7123" s="10"/>
      <c r="O7123" s="10"/>
      <c r="V7123" s="10"/>
    </row>
    <row r="7124" spans="2:22" x14ac:dyDescent="0.2">
      <c r="B7124" s="25"/>
      <c r="E7124" s="10"/>
      <c r="O7124" s="10"/>
      <c r="V7124" s="10"/>
    </row>
    <row r="7125" spans="2:22" x14ac:dyDescent="0.2">
      <c r="B7125" s="25"/>
      <c r="E7125" s="10"/>
      <c r="O7125" s="10"/>
      <c r="V7125" s="10"/>
    </row>
    <row r="7126" spans="2:22" x14ac:dyDescent="0.2">
      <c r="B7126" s="25"/>
      <c r="E7126" s="10"/>
      <c r="O7126" s="10"/>
      <c r="V7126" s="10"/>
    </row>
    <row r="7127" spans="2:22" x14ac:dyDescent="0.2">
      <c r="B7127" s="25"/>
      <c r="E7127" s="10"/>
      <c r="O7127" s="10"/>
      <c r="V7127" s="10"/>
    </row>
    <row r="7128" spans="2:22" x14ac:dyDescent="0.2">
      <c r="B7128" s="25"/>
      <c r="E7128" s="10"/>
      <c r="O7128" s="10"/>
      <c r="V7128" s="10"/>
    </row>
    <row r="7129" spans="2:22" x14ac:dyDescent="0.2">
      <c r="B7129" s="25"/>
      <c r="E7129" s="10"/>
      <c r="O7129" s="10"/>
      <c r="V7129" s="10"/>
    </row>
    <row r="7130" spans="2:22" x14ac:dyDescent="0.2">
      <c r="B7130" s="25"/>
      <c r="E7130" s="10"/>
      <c r="O7130" s="10"/>
      <c r="V7130" s="10"/>
    </row>
    <row r="7131" spans="2:22" x14ac:dyDescent="0.2">
      <c r="B7131" s="25"/>
      <c r="E7131" s="10"/>
      <c r="O7131" s="10"/>
      <c r="V7131" s="10"/>
    </row>
    <row r="7132" spans="2:22" x14ac:dyDescent="0.2">
      <c r="B7132" s="25"/>
      <c r="E7132" s="10"/>
      <c r="O7132" s="10"/>
      <c r="V7132" s="10"/>
    </row>
    <row r="7133" spans="2:22" x14ac:dyDescent="0.2">
      <c r="B7133" s="25"/>
      <c r="E7133" s="10"/>
      <c r="O7133" s="10"/>
      <c r="V7133" s="10"/>
    </row>
    <row r="7134" spans="2:22" x14ac:dyDescent="0.2">
      <c r="B7134" s="25"/>
      <c r="E7134" s="10"/>
      <c r="O7134" s="10"/>
      <c r="V7134" s="10"/>
    </row>
    <row r="7135" spans="2:22" x14ac:dyDescent="0.2">
      <c r="B7135" s="25"/>
      <c r="E7135" s="10"/>
      <c r="O7135" s="10"/>
      <c r="V7135" s="10"/>
    </row>
    <row r="7136" spans="2:22" x14ac:dyDescent="0.2">
      <c r="B7136" s="25"/>
      <c r="E7136" s="10"/>
      <c r="O7136" s="10"/>
      <c r="V7136" s="10"/>
    </row>
    <row r="7137" spans="2:22" x14ac:dyDescent="0.2">
      <c r="B7137" s="25"/>
      <c r="E7137" s="10"/>
      <c r="O7137" s="10"/>
      <c r="V7137" s="10"/>
    </row>
    <row r="7138" spans="2:22" x14ac:dyDescent="0.2">
      <c r="B7138" s="25"/>
      <c r="E7138" s="10"/>
      <c r="O7138" s="10"/>
      <c r="V7138" s="10"/>
    </row>
    <row r="7139" spans="2:22" x14ac:dyDescent="0.2">
      <c r="B7139" s="25"/>
      <c r="E7139" s="10"/>
      <c r="O7139" s="10"/>
      <c r="V7139" s="10"/>
    </row>
    <row r="7140" spans="2:22" x14ac:dyDescent="0.2">
      <c r="B7140" s="25"/>
      <c r="E7140" s="10"/>
      <c r="O7140" s="10"/>
      <c r="V7140" s="10"/>
    </row>
    <row r="7141" spans="2:22" x14ac:dyDescent="0.2">
      <c r="B7141" s="25"/>
      <c r="E7141" s="10"/>
      <c r="O7141" s="10"/>
      <c r="V7141" s="10"/>
    </row>
    <row r="7142" spans="2:22" x14ac:dyDescent="0.2">
      <c r="B7142" s="25"/>
      <c r="E7142" s="10"/>
      <c r="O7142" s="10"/>
      <c r="V7142" s="10"/>
    </row>
    <row r="7143" spans="2:22" x14ac:dyDescent="0.2">
      <c r="B7143" s="25"/>
      <c r="E7143" s="10"/>
      <c r="O7143" s="10"/>
      <c r="V7143" s="10"/>
    </row>
    <row r="7144" spans="2:22" x14ac:dyDescent="0.2">
      <c r="B7144" s="25"/>
      <c r="E7144" s="10"/>
      <c r="O7144" s="10"/>
      <c r="V7144" s="10"/>
    </row>
    <row r="7145" spans="2:22" x14ac:dyDescent="0.2">
      <c r="B7145" s="25"/>
      <c r="E7145" s="10"/>
      <c r="O7145" s="10"/>
      <c r="V7145" s="10"/>
    </row>
    <row r="7146" spans="2:22" x14ac:dyDescent="0.2">
      <c r="B7146" s="25"/>
      <c r="E7146" s="10"/>
      <c r="O7146" s="10"/>
      <c r="V7146" s="10"/>
    </row>
    <row r="7147" spans="2:22" x14ac:dyDescent="0.2">
      <c r="B7147" s="25"/>
      <c r="E7147" s="10"/>
      <c r="O7147" s="10"/>
      <c r="V7147" s="10"/>
    </row>
    <row r="7148" spans="2:22" x14ac:dyDescent="0.2">
      <c r="B7148" s="25"/>
      <c r="E7148" s="10"/>
      <c r="O7148" s="10"/>
      <c r="V7148" s="10"/>
    </row>
    <row r="7149" spans="2:22" x14ac:dyDescent="0.2">
      <c r="B7149" s="25"/>
      <c r="E7149" s="10"/>
      <c r="O7149" s="10"/>
      <c r="V7149" s="10"/>
    </row>
    <row r="7150" spans="2:22" x14ac:dyDescent="0.2">
      <c r="B7150" s="25"/>
      <c r="E7150" s="10"/>
      <c r="O7150" s="10"/>
      <c r="V7150" s="10"/>
    </row>
    <row r="7151" spans="2:22" x14ac:dyDescent="0.2">
      <c r="B7151" s="25"/>
      <c r="E7151" s="10"/>
      <c r="O7151" s="10"/>
      <c r="V7151" s="10"/>
    </row>
    <row r="7152" spans="2:22" x14ac:dyDescent="0.2">
      <c r="B7152" s="25"/>
      <c r="E7152" s="10"/>
      <c r="O7152" s="10"/>
      <c r="V7152" s="10"/>
    </row>
    <row r="7153" spans="2:22" x14ac:dyDescent="0.2">
      <c r="B7153" s="25"/>
      <c r="E7153" s="10"/>
      <c r="O7153" s="10"/>
      <c r="V7153" s="10"/>
    </row>
    <row r="7154" spans="2:22" x14ac:dyDescent="0.2">
      <c r="B7154" s="25"/>
      <c r="E7154" s="10"/>
      <c r="O7154" s="10"/>
      <c r="V7154" s="10"/>
    </row>
    <row r="7155" spans="2:22" x14ac:dyDescent="0.2">
      <c r="B7155" s="25"/>
      <c r="E7155" s="10"/>
      <c r="O7155" s="10"/>
      <c r="V7155" s="10"/>
    </row>
    <row r="7156" spans="2:22" x14ac:dyDescent="0.2">
      <c r="B7156" s="25"/>
      <c r="E7156" s="10"/>
      <c r="O7156" s="10"/>
      <c r="V7156" s="10"/>
    </row>
    <row r="7157" spans="2:22" x14ac:dyDescent="0.2">
      <c r="B7157" s="25"/>
      <c r="E7157" s="10"/>
      <c r="O7157" s="10"/>
      <c r="V7157" s="10"/>
    </row>
    <row r="7158" spans="2:22" x14ac:dyDescent="0.2">
      <c r="B7158" s="25"/>
      <c r="E7158" s="10"/>
      <c r="O7158" s="10"/>
      <c r="V7158" s="10"/>
    </row>
    <row r="7159" spans="2:22" x14ac:dyDescent="0.2">
      <c r="B7159" s="25"/>
      <c r="E7159" s="10"/>
      <c r="O7159" s="10"/>
      <c r="V7159" s="10"/>
    </row>
    <row r="7160" spans="2:22" x14ac:dyDescent="0.2">
      <c r="B7160" s="25"/>
      <c r="E7160" s="10"/>
      <c r="O7160" s="10"/>
      <c r="V7160" s="10"/>
    </row>
    <row r="7161" spans="2:22" x14ac:dyDescent="0.2">
      <c r="B7161" s="25"/>
      <c r="E7161" s="10"/>
      <c r="O7161" s="10"/>
      <c r="V7161" s="10"/>
    </row>
    <row r="7162" spans="2:22" x14ac:dyDescent="0.2">
      <c r="B7162" s="25"/>
      <c r="E7162" s="10"/>
      <c r="O7162" s="10"/>
      <c r="V7162" s="10"/>
    </row>
    <row r="7163" spans="2:22" x14ac:dyDescent="0.2">
      <c r="B7163" s="25"/>
      <c r="E7163" s="10"/>
      <c r="O7163" s="10"/>
      <c r="V7163" s="10"/>
    </row>
  </sheetData>
  <autoFilter ref="B2:AG5097" xr:uid="{92032476-ED38-9241-8A6F-DD9FF3F67C19}">
    <sortState ref="B3:AG5097">
      <sortCondition ref="P2:P5097"/>
    </sortState>
  </autoFilter>
  <sortState ref="B3:AH336">
    <sortCondition ref="AH3:AH336"/>
  </sortState>
  <mergeCells count="1">
    <mergeCell ref="A1:A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loadFromFile">
                <anchor moveWithCells="1" sizeWithCells="1">
                  <from>
                    <xdr:col>1</xdr:col>
                    <xdr:colOff>38100</xdr:colOff>
                    <xdr:row>0</xdr:row>
                    <xdr:rowOff>0</xdr:rowOff>
                  </from>
                  <to>
                    <xdr:col>1</xdr:col>
                    <xdr:colOff>977900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filterData">
                <anchor moveWithCells="1" sizeWithCells="1">
                  <from>
                    <xdr:col>1</xdr:col>
                    <xdr:colOff>1016000</xdr:colOff>
                    <xdr:row>0</xdr:row>
                    <xdr:rowOff>0</xdr:rowOff>
                  </from>
                  <to>
                    <xdr:col>2</xdr:col>
                    <xdr:colOff>292100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buildMailer">
                <anchor moveWithCells="1" sizeWithCells="1">
                  <from>
                    <xdr:col>2</xdr:col>
                    <xdr:colOff>317500</xdr:colOff>
                    <xdr:row>0</xdr:row>
                    <xdr:rowOff>0</xdr:rowOff>
                  </from>
                  <to>
                    <xdr:col>3</xdr:col>
                    <xdr:colOff>876300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D915C-5305-F947-A99A-E1B89D2CC83D}">
  <sheetPr codeName="Sheet1">
    <tabColor rgb="FF00B0F0"/>
  </sheetPr>
  <dimension ref="A1:F728"/>
  <sheetViews>
    <sheetView workbookViewId="0"/>
  </sheetViews>
  <sheetFormatPr baseColWidth="10" defaultRowHeight="16" x14ac:dyDescent="0.2"/>
  <sheetData>
    <row r="1" spans="1:6" ht="24" x14ac:dyDescent="0.3">
      <c r="A1" s="3"/>
    </row>
    <row r="3" spans="1:6" ht="16" customHeight="1" x14ac:dyDescent="0.25">
      <c r="A3" s="4"/>
    </row>
    <row r="4" spans="1:6" ht="19" x14ac:dyDescent="0.25">
      <c r="A4" s="4"/>
      <c r="B4" s="4"/>
      <c r="C4" s="4"/>
      <c r="D4" s="4"/>
      <c r="E4" s="4"/>
      <c r="F4" s="4"/>
    </row>
    <row r="5" spans="1:6" x14ac:dyDescent="0.2">
      <c r="A5" s="5"/>
      <c r="B5" s="5"/>
      <c r="C5" s="8"/>
      <c r="D5" s="5"/>
      <c r="E5" s="5"/>
      <c r="F5" s="5"/>
    </row>
    <row r="6" spans="1:6" ht="19" x14ac:dyDescent="0.25">
      <c r="A6" s="4"/>
    </row>
    <row r="7" spans="1:6" x14ac:dyDescent="0.2">
      <c r="A7" s="5"/>
      <c r="B7" s="5"/>
      <c r="C7" s="8"/>
      <c r="D7" s="5"/>
      <c r="E7" s="5"/>
      <c r="F7" s="5"/>
    </row>
    <row r="8" spans="1:6" ht="19" x14ac:dyDescent="0.25">
      <c r="A8" s="4"/>
    </row>
    <row r="9" spans="1:6" x14ac:dyDescent="0.2">
      <c r="A9" s="5"/>
      <c r="B9" s="5"/>
      <c r="C9" s="8"/>
      <c r="D9" s="5"/>
      <c r="E9" s="5"/>
      <c r="F9" s="5"/>
    </row>
    <row r="10" spans="1:6" ht="19" x14ac:dyDescent="0.25">
      <c r="A10" s="4"/>
    </row>
    <row r="11" spans="1:6" x14ac:dyDescent="0.2">
      <c r="A11" s="5"/>
      <c r="B11" s="5"/>
      <c r="C11" s="8"/>
      <c r="D11" s="5"/>
      <c r="E11" s="5"/>
      <c r="F11" s="5"/>
    </row>
    <row r="12" spans="1:6" ht="19" x14ac:dyDescent="0.25">
      <c r="A12" s="4"/>
    </row>
    <row r="13" spans="1:6" x14ac:dyDescent="0.2">
      <c r="A13" s="5"/>
      <c r="B13" s="5"/>
      <c r="C13" s="8"/>
      <c r="D13" s="5"/>
      <c r="E13" s="5"/>
      <c r="F13" s="5"/>
    </row>
    <row r="14" spans="1:6" ht="19" x14ac:dyDescent="0.25">
      <c r="A14" s="4"/>
    </row>
    <row r="15" spans="1:6" x14ac:dyDescent="0.2">
      <c r="A15" s="5"/>
      <c r="B15" s="5"/>
      <c r="C15" s="8"/>
      <c r="D15" s="5"/>
      <c r="E15" s="5"/>
      <c r="F15" s="5"/>
    </row>
    <row r="16" spans="1:6" ht="19" x14ac:dyDescent="0.25">
      <c r="A16" s="4"/>
    </row>
    <row r="17" spans="1:6" x14ac:dyDescent="0.2">
      <c r="A17" s="5"/>
      <c r="B17" s="5"/>
      <c r="C17" s="8"/>
      <c r="D17" s="5"/>
      <c r="E17" s="5"/>
      <c r="F17" s="5"/>
    </row>
    <row r="18" spans="1:6" ht="19" x14ac:dyDescent="0.25">
      <c r="A18" s="4"/>
    </row>
    <row r="19" spans="1:6" x14ac:dyDescent="0.2">
      <c r="A19" s="5"/>
      <c r="B19" s="5"/>
      <c r="C19" s="8"/>
      <c r="D19" s="5"/>
      <c r="E19" s="5"/>
      <c r="F19" s="5"/>
    </row>
    <row r="20" spans="1:6" ht="19" x14ac:dyDescent="0.25">
      <c r="A20" s="4"/>
    </row>
    <row r="21" spans="1:6" x14ac:dyDescent="0.2">
      <c r="A21" s="5"/>
      <c r="B21" s="5"/>
      <c r="C21" s="8"/>
      <c r="D21" s="5"/>
      <c r="E21" s="5"/>
      <c r="F21" s="5"/>
    </row>
    <row r="22" spans="1:6" ht="19" x14ac:dyDescent="0.25">
      <c r="A22" s="4"/>
    </row>
    <row r="23" spans="1:6" x14ac:dyDescent="0.2">
      <c r="A23" s="5"/>
      <c r="B23" s="5"/>
      <c r="C23" s="8"/>
      <c r="D23" s="5"/>
      <c r="E23" s="5"/>
      <c r="F23" s="5"/>
    </row>
    <row r="24" spans="1:6" ht="19" x14ac:dyDescent="0.25">
      <c r="A24" s="4"/>
    </row>
    <row r="25" spans="1:6" x14ac:dyDescent="0.2">
      <c r="A25" s="5"/>
      <c r="B25" s="5"/>
      <c r="C25" s="8"/>
      <c r="D25" s="5"/>
      <c r="E25" s="5"/>
      <c r="F25" s="5"/>
    </row>
    <row r="26" spans="1:6" ht="19" x14ac:dyDescent="0.25">
      <c r="A26" s="4"/>
    </row>
    <row r="27" spans="1:6" x14ac:dyDescent="0.2">
      <c r="A27" s="5"/>
      <c r="B27" s="5"/>
      <c r="C27" s="8"/>
      <c r="D27" s="5"/>
      <c r="E27" s="5"/>
      <c r="F27" s="5"/>
    </row>
    <row r="28" spans="1:6" ht="19" x14ac:dyDescent="0.25">
      <c r="A28" s="4"/>
    </row>
    <row r="29" spans="1:6" x14ac:dyDescent="0.2">
      <c r="A29" s="5"/>
      <c r="B29" s="5"/>
      <c r="C29" s="8"/>
      <c r="D29" s="5"/>
      <c r="E29" s="5"/>
      <c r="F29" s="5"/>
    </row>
    <row r="30" spans="1:6" ht="19" x14ac:dyDescent="0.25">
      <c r="A30" s="4"/>
    </row>
    <row r="31" spans="1:6" x14ac:dyDescent="0.2">
      <c r="A31" s="5"/>
      <c r="B31" s="5"/>
      <c r="C31" s="8"/>
      <c r="D31" s="5"/>
      <c r="E31" s="5"/>
      <c r="F31" s="5"/>
    </row>
    <row r="32" spans="1:6" ht="19" x14ac:dyDescent="0.25">
      <c r="A32" s="4"/>
    </row>
    <row r="33" spans="1:6" x14ac:dyDescent="0.2">
      <c r="A33" s="5"/>
      <c r="B33" s="5"/>
      <c r="C33" s="8"/>
      <c r="D33" s="5"/>
      <c r="E33" s="5"/>
      <c r="F33" s="5"/>
    </row>
    <row r="34" spans="1:6" ht="19" x14ac:dyDescent="0.25">
      <c r="A34" s="4"/>
    </row>
    <row r="35" spans="1:6" x14ac:dyDescent="0.2">
      <c r="A35" s="5"/>
      <c r="B35" s="5"/>
      <c r="C35" s="8"/>
      <c r="D35" s="5"/>
      <c r="E35" s="5"/>
      <c r="F35" s="5"/>
    </row>
    <row r="36" spans="1:6" ht="19" x14ac:dyDescent="0.25">
      <c r="A36" s="4"/>
    </row>
    <row r="37" spans="1:6" x14ac:dyDescent="0.2">
      <c r="A37" s="5"/>
      <c r="B37" s="5"/>
      <c r="C37" s="8"/>
      <c r="D37" s="5"/>
      <c r="E37" s="5"/>
      <c r="F37" s="5"/>
    </row>
    <row r="38" spans="1:6" ht="19" x14ac:dyDescent="0.25">
      <c r="A38" s="4"/>
    </row>
    <row r="39" spans="1:6" x14ac:dyDescent="0.2">
      <c r="A39" s="5"/>
      <c r="B39" s="5"/>
      <c r="C39" s="8"/>
      <c r="D39" s="5"/>
      <c r="E39" s="5"/>
      <c r="F39" s="5"/>
    </row>
    <row r="40" spans="1:6" ht="19" x14ac:dyDescent="0.25">
      <c r="A40" s="4"/>
    </row>
    <row r="41" spans="1:6" x14ac:dyDescent="0.2">
      <c r="A41" s="5"/>
      <c r="B41" s="5"/>
      <c r="C41" s="8"/>
      <c r="D41" s="5"/>
      <c r="E41" s="5"/>
      <c r="F41" s="5"/>
    </row>
    <row r="42" spans="1:6" ht="19" x14ac:dyDescent="0.25">
      <c r="A42" s="4"/>
    </row>
    <row r="43" spans="1:6" x14ac:dyDescent="0.2">
      <c r="A43" s="5"/>
      <c r="B43" s="5"/>
      <c r="C43" s="8"/>
      <c r="D43" s="5"/>
      <c r="E43" s="5"/>
      <c r="F43" s="5"/>
    </row>
    <row r="44" spans="1:6" ht="19" x14ac:dyDescent="0.25">
      <c r="A44" s="4"/>
    </row>
    <row r="45" spans="1:6" x14ac:dyDescent="0.2">
      <c r="A45" s="5"/>
      <c r="B45" s="5"/>
      <c r="C45" s="8"/>
      <c r="D45" s="5"/>
      <c r="E45" s="5"/>
      <c r="F45" s="5"/>
    </row>
    <row r="46" spans="1:6" ht="19" x14ac:dyDescent="0.25">
      <c r="A46" s="4"/>
    </row>
    <row r="47" spans="1:6" x14ac:dyDescent="0.2">
      <c r="A47" s="5"/>
      <c r="B47" s="5"/>
      <c r="C47" s="8"/>
      <c r="D47" s="5"/>
      <c r="E47" s="5"/>
      <c r="F47" s="5"/>
    </row>
    <row r="48" spans="1:6" ht="19" x14ac:dyDescent="0.25">
      <c r="A48" s="4"/>
    </row>
    <row r="49" spans="1:6" x14ac:dyDescent="0.2">
      <c r="A49" s="5"/>
      <c r="B49" s="5"/>
      <c r="C49" s="8"/>
      <c r="D49" s="5"/>
      <c r="E49" s="5"/>
      <c r="F49" s="5"/>
    </row>
    <row r="50" spans="1:6" ht="19" x14ac:dyDescent="0.25">
      <c r="A50" s="4"/>
    </row>
    <row r="51" spans="1:6" x14ac:dyDescent="0.2">
      <c r="A51" s="5"/>
      <c r="B51" s="5"/>
      <c r="C51" s="8"/>
      <c r="D51" s="5"/>
      <c r="E51" s="5"/>
      <c r="F51" s="5"/>
    </row>
    <row r="52" spans="1:6" ht="19" x14ac:dyDescent="0.25">
      <c r="A52" s="4"/>
    </row>
    <row r="53" spans="1:6" x14ac:dyDescent="0.2">
      <c r="A53" s="5"/>
      <c r="B53" s="5"/>
      <c r="C53" s="8"/>
      <c r="D53" s="5"/>
      <c r="E53" s="5"/>
      <c r="F53" s="5"/>
    </row>
    <row r="54" spans="1:6" ht="19" x14ac:dyDescent="0.25">
      <c r="A54" s="4"/>
    </row>
    <row r="55" spans="1:6" x14ac:dyDescent="0.2">
      <c r="A55" s="5"/>
      <c r="B55" s="5"/>
      <c r="C55" s="8"/>
      <c r="D55" s="5"/>
      <c r="E55" s="5"/>
      <c r="F55" s="5"/>
    </row>
    <row r="56" spans="1:6" ht="19" x14ac:dyDescent="0.25">
      <c r="A56" s="4"/>
    </row>
    <row r="57" spans="1:6" x14ac:dyDescent="0.2">
      <c r="A57" s="5"/>
      <c r="B57" s="5"/>
      <c r="C57" s="8"/>
      <c r="D57" s="5"/>
      <c r="E57" s="5"/>
      <c r="F57" s="5"/>
    </row>
    <row r="58" spans="1:6" ht="19" x14ac:dyDescent="0.25">
      <c r="A58" s="4"/>
    </row>
    <row r="59" spans="1:6" x14ac:dyDescent="0.2">
      <c r="A59" s="5"/>
      <c r="B59" s="5"/>
      <c r="C59" s="8"/>
      <c r="D59" s="5"/>
      <c r="E59" s="5"/>
      <c r="F59" s="5"/>
    </row>
    <row r="60" spans="1:6" ht="19" x14ac:dyDescent="0.25">
      <c r="A60" s="4"/>
    </row>
    <row r="61" spans="1:6" x14ac:dyDescent="0.2">
      <c r="A61" s="5"/>
      <c r="B61" s="5"/>
      <c r="C61" s="8"/>
      <c r="D61" s="5"/>
      <c r="E61" s="5"/>
      <c r="F61" s="5"/>
    </row>
    <row r="62" spans="1:6" ht="19" x14ac:dyDescent="0.25">
      <c r="A62" s="4"/>
    </row>
    <row r="63" spans="1:6" x14ac:dyDescent="0.2">
      <c r="A63" s="5"/>
      <c r="B63" s="5"/>
      <c r="C63" s="8"/>
      <c r="D63" s="5"/>
      <c r="E63" s="5"/>
      <c r="F63" s="5"/>
    </row>
    <row r="64" spans="1:6" ht="19" x14ac:dyDescent="0.25">
      <c r="A64" s="4"/>
    </row>
    <row r="65" spans="1:6" x14ac:dyDescent="0.2">
      <c r="A65" s="5"/>
      <c r="B65" s="5"/>
      <c r="C65" s="8"/>
      <c r="D65" s="5"/>
      <c r="E65" s="5"/>
      <c r="F65" s="5"/>
    </row>
    <row r="66" spans="1:6" ht="19" x14ac:dyDescent="0.25">
      <c r="A66" s="4"/>
    </row>
    <row r="67" spans="1:6" x14ac:dyDescent="0.2">
      <c r="A67" s="5"/>
      <c r="B67" s="5"/>
      <c r="C67" s="8"/>
      <c r="D67" s="5"/>
      <c r="E67" s="5"/>
      <c r="F67" s="5"/>
    </row>
    <row r="68" spans="1:6" ht="19" x14ac:dyDescent="0.25">
      <c r="A68" s="4"/>
    </row>
    <row r="69" spans="1:6" x14ac:dyDescent="0.2">
      <c r="A69" s="5"/>
      <c r="B69" s="5"/>
      <c r="C69" s="8"/>
      <c r="D69" s="5"/>
      <c r="E69" s="5"/>
      <c r="F69" s="5"/>
    </row>
    <row r="70" spans="1:6" ht="19" x14ac:dyDescent="0.25">
      <c r="A70" s="4"/>
    </row>
    <row r="71" spans="1:6" x14ac:dyDescent="0.2">
      <c r="A71" s="5"/>
      <c r="B71" s="5"/>
      <c r="C71" s="8"/>
      <c r="D71" s="5"/>
      <c r="E71" s="5"/>
      <c r="F71" s="5"/>
    </row>
    <row r="72" spans="1:6" ht="19" x14ac:dyDescent="0.25">
      <c r="A72" s="4"/>
    </row>
    <row r="73" spans="1:6" x14ac:dyDescent="0.2">
      <c r="A73" s="5"/>
      <c r="B73" s="5"/>
      <c r="C73" s="8"/>
      <c r="D73" s="5"/>
      <c r="E73" s="5"/>
      <c r="F73" s="5"/>
    </row>
    <row r="74" spans="1:6" ht="19" x14ac:dyDescent="0.25">
      <c r="A74" s="4"/>
    </row>
    <row r="75" spans="1:6" x14ac:dyDescent="0.2">
      <c r="A75" s="5"/>
      <c r="B75" s="5"/>
      <c r="C75" s="8"/>
      <c r="D75" s="5"/>
      <c r="E75" s="5"/>
      <c r="F75" s="5"/>
    </row>
    <row r="76" spans="1:6" ht="19" x14ac:dyDescent="0.25">
      <c r="A76" s="4"/>
    </row>
    <row r="77" spans="1:6" x14ac:dyDescent="0.2">
      <c r="A77" s="5"/>
      <c r="B77" s="5"/>
      <c r="C77" s="8"/>
      <c r="D77" s="5"/>
      <c r="E77" s="5"/>
      <c r="F77" s="5"/>
    </row>
    <row r="78" spans="1:6" ht="19" x14ac:dyDescent="0.25">
      <c r="A78" s="4"/>
    </row>
    <row r="79" spans="1:6" x14ac:dyDescent="0.2">
      <c r="A79" s="5"/>
      <c r="B79" s="5"/>
      <c r="C79" s="8"/>
      <c r="D79" s="5"/>
      <c r="E79" s="5"/>
      <c r="F79" s="5"/>
    </row>
    <row r="80" spans="1:6" ht="19" x14ac:dyDescent="0.25">
      <c r="A80" s="4"/>
    </row>
    <row r="81" spans="1:6" x14ac:dyDescent="0.2">
      <c r="A81" s="5"/>
      <c r="B81" s="5"/>
      <c r="C81" s="8"/>
      <c r="D81" s="5"/>
      <c r="E81" s="5"/>
      <c r="F81" s="5"/>
    </row>
    <row r="82" spans="1:6" ht="19" x14ac:dyDescent="0.25">
      <c r="A82" s="4"/>
    </row>
    <row r="83" spans="1:6" x14ac:dyDescent="0.2">
      <c r="A83" s="5"/>
      <c r="B83" s="5"/>
      <c r="C83" s="8"/>
      <c r="D83" s="5"/>
      <c r="E83" s="5"/>
      <c r="F83" s="5"/>
    </row>
    <row r="84" spans="1:6" ht="19" x14ac:dyDescent="0.25">
      <c r="A84" s="4"/>
    </row>
    <row r="85" spans="1:6" x14ac:dyDescent="0.2">
      <c r="A85" s="5"/>
      <c r="B85" s="5"/>
      <c r="C85" s="8"/>
      <c r="D85" s="5"/>
      <c r="E85" s="5"/>
      <c r="F85" s="5"/>
    </row>
    <row r="86" spans="1:6" ht="19" x14ac:dyDescent="0.25">
      <c r="A86" s="4"/>
    </row>
    <row r="87" spans="1:6" x14ac:dyDescent="0.2">
      <c r="A87" s="5"/>
      <c r="B87" s="5"/>
      <c r="C87" s="8"/>
      <c r="D87" s="5"/>
      <c r="E87" s="5"/>
      <c r="F87" s="5"/>
    </row>
    <row r="88" spans="1:6" ht="19" x14ac:dyDescent="0.25">
      <c r="A88" s="4"/>
    </row>
    <row r="89" spans="1:6" x14ac:dyDescent="0.2">
      <c r="A89" s="5"/>
      <c r="B89" s="5"/>
      <c r="C89" s="8"/>
      <c r="D89" s="5"/>
      <c r="E89" s="5"/>
      <c r="F89" s="5"/>
    </row>
    <row r="90" spans="1:6" ht="19" x14ac:dyDescent="0.25">
      <c r="A90" s="4"/>
    </row>
    <row r="91" spans="1:6" x14ac:dyDescent="0.2">
      <c r="A91" s="5"/>
      <c r="B91" s="5"/>
      <c r="C91" s="8"/>
      <c r="D91" s="5"/>
      <c r="E91" s="5"/>
      <c r="F91" s="5"/>
    </row>
    <row r="92" spans="1:6" ht="19" x14ac:dyDescent="0.25">
      <c r="A92" s="4"/>
    </row>
    <row r="93" spans="1:6" x14ac:dyDescent="0.2">
      <c r="A93" s="5"/>
      <c r="B93" s="5"/>
      <c r="C93" s="8"/>
      <c r="D93" s="5"/>
      <c r="E93" s="5"/>
      <c r="F93" s="5"/>
    </row>
    <row r="94" spans="1:6" ht="19" x14ac:dyDescent="0.25">
      <c r="A94" s="4"/>
    </row>
    <row r="95" spans="1:6" x14ac:dyDescent="0.2">
      <c r="A95" s="5"/>
      <c r="B95" s="5"/>
      <c r="C95" s="8"/>
      <c r="D95" s="5"/>
      <c r="E95" s="5"/>
      <c r="F95" s="5"/>
    </row>
    <row r="96" spans="1:6" ht="19" x14ac:dyDescent="0.25">
      <c r="A96" s="4"/>
    </row>
    <row r="97" spans="1:6" x14ac:dyDescent="0.2">
      <c r="A97" s="5"/>
      <c r="B97" s="5"/>
      <c r="C97" s="8"/>
      <c r="D97" s="5"/>
      <c r="E97" s="5"/>
      <c r="F97" s="5"/>
    </row>
    <row r="98" spans="1:6" ht="19" x14ac:dyDescent="0.25">
      <c r="A98" s="4"/>
    </row>
    <row r="99" spans="1:6" x14ac:dyDescent="0.2">
      <c r="A99" s="5"/>
      <c r="B99" s="5"/>
      <c r="C99" s="8"/>
      <c r="D99" s="5"/>
      <c r="E99" s="5"/>
      <c r="F99" s="5"/>
    </row>
    <row r="100" spans="1:6" ht="19" x14ac:dyDescent="0.25">
      <c r="A100" s="4"/>
    </row>
    <row r="101" spans="1:6" x14ac:dyDescent="0.2">
      <c r="A101" s="5"/>
      <c r="B101" s="5"/>
      <c r="C101" s="8"/>
      <c r="D101" s="5"/>
      <c r="E101" s="5"/>
      <c r="F101" s="5"/>
    </row>
    <row r="102" spans="1:6" ht="19" x14ac:dyDescent="0.25">
      <c r="A102" s="4"/>
    </row>
    <row r="103" spans="1:6" x14ac:dyDescent="0.2">
      <c r="A103" s="5"/>
      <c r="B103" s="5"/>
      <c r="C103" s="8"/>
      <c r="D103" s="5"/>
      <c r="E103" s="5"/>
      <c r="F103" s="5"/>
    </row>
    <row r="104" spans="1:6" ht="19" x14ac:dyDescent="0.25">
      <c r="A104" s="4"/>
    </row>
    <row r="105" spans="1:6" x14ac:dyDescent="0.2">
      <c r="A105" s="5"/>
      <c r="B105" s="5"/>
      <c r="C105" s="8"/>
      <c r="D105" s="5"/>
      <c r="E105" s="5"/>
      <c r="F105" s="5"/>
    </row>
    <row r="106" spans="1:6" ht="19" x14ac:dyDescent="0.25">
      <c r="A106" s="4"/>
    </row>
    <row r="107" spans="1:6" x14ac:dyDescent="0.2">
      <c r="A107" s="5"/>
      <c r="B107" s="5"/>
      <c r="C107" s="8"/>
      <c r="D107" s="5"/>
      <c r="E107" s="5"/>
      <c r="F107" s="5"/>
    </row>
    <row r="108" spans="1:6" ht="19" x14ac:dyDescent="0.25">
      <c r="A108" s="4"/>
    </row>
    <row r="109" spans="1:6" x14ac:dyDescent="0.2">
      <c r="A109" s="5"/>
      <c r="B109" s="5"/>
      <c r="C109" s="8"/>
      <c r="D109" s="5"/>
      <c r="E109" s="5"/>
      <c r="F109" s="5"/>
    </row>
    <row r="110" spans="1:6" ht="19" x14ac:dyDescent="0.25">
      <c r="A110" s="4"/>
    </row>
    <row r="111" spans="1:6" x14ac:dyDescent="0.2">
      <c r="A111" s="5"/>
      <c r="B111" s="5"/>
      <c r="C111" s="8"/>
      <c r="D111" s="5"/>
      <c r="E111" s="5"/>
      <c r="F111" s="5"/>
    </row>
    <row r="112" spans="1:6" ht="19" x14ac:dyDescent="0.25">
      <c r="A112" s="4"/>
    </row>
    <row r="113" spans="1:6" x14ac:dyDescent="0.2">
      <c r="A113" s="5"/>
      <c r="B113" s="5"/>
      <c r="C113" s="8"/>
      <c r="D113" s="5"/>
      <c r="E113" s="5"/>
      <c r="F113" s="5"/>
    </row>
    <row r="114" spans="1:6" ht="19" x14ac:dyDescent="0.25">
      <c r="A114" s="4"/>
    </row>
    <row r="115" spans="1:6" x14ac:dyDescent="0.2">
      <c r="A115" s="5"/>
      <c r="B115" s="5"/>
      <c r="C115" s="8"/>
      <c r="D115" s="5"/>
      <c r="E115" s="5"/>
      <c r="F115" s="5"/>
    </row>
    <row r="116" spans="1:6" ht="19" x14ac:dyDescent="0.25">
      <c r="A116" s="4"/>
    </row>
    <row r="117" spans="1:6" x14ac:dyDescent="0.2">
      <c r="A117" s="5"/>
      <c r="B117" s="5"/>
      <c r="C117" s="8"/>
      <c r="D117" s="5"/>
      <c r="E117" s="5"/>
      <c r="F117" s="5"/>
    </row>
    <row r="118" spans="1:6" ht="19" x14ac:dyDescent="0.25">
      <c r="A118" s="4"/>
    </row>
    <row r="119" spans="1:6" x14ac:dyDescent="0.2">
      <c r="A119" s="5"/>
      <c r="B119" s="5"/>
      <c r="C119" s="8"/>
      <c r="D119" s="5"/>
      <c r="E119" s="5"/>
      <c r="F119" s="5"/>
    </row>
    <row r="120" spans="1:6" ht="19" x14ac:dyDescent="0.25">
      <c r="A120" s="4"/>
    </row>
    <row r="121" spans="1:6" x14ac:dyDescent="0.2">
      <c r="A121" s="5"/>
      <c r="B121" s="5"/>
      <c r="C121" s="8"/>
      <c r="D121" s="5"/>
      <c r="E121" s="5"/>
      <c r="F121" s="5"/>
    </row>
    <row r="122" spans="1:6" ht="19" x14ac:dyDescent="0.25">
      <c r="A122" s="4"/>
    </row>
    <row r="123" spans="1:6" x14ac:dyDescent="0.2">
      <c r="A123" s="5"/>
      <c r="B123" s="5"/>
      <c r="C123" s="8"/>
      <c r="D123" s="5"/>
      <c r="E123" s="5"/>
      <c r="F123" s="5"/>
    </row>
    <row r="124" spans="1:6" ht="19" x14ac:dyDescent="0.25">
      <c r="A124" s="4"/>
    </row>
    <row r="125" spans="1:6" x14ac:dyDescent="0.2">
      <c r="A125" s="5"/>
      <c r="B125" s="5"/>
      <c r="C125" s="8"/>
      <c r="D125" s="5"/>
      <c r="E125" s="5"/>
      <c r="F125" s="5"/>
    </row>
    <row r="126" spans="1:6" ht="19" x14ac:dyDescent="0.25">
      <c r="A126" s="4"/>
    </row>
    <row r="127" spans="1:6" x14ac:dyDescent="0.2">
      <c r="A127" s="5"/>
      <c r="B127" s="5"/>
      <c r="C127" s="8"/>
      <c r="D127" s="5"/>
      <c r="E127" s="5"/>
      <c r="F127" s="5"/>
    </row>
    <row r="128" spans="1:6" ht="19" x14ac:dyDescent="0.25">
      <c r="A128" s="4"/>
    </row>
    <row r="129" spans="1:6" x14ac:dyDescent="0.2">
      <c r="A129" s="5"/>
      <c r="B129" s="5"/>
      <c r="C129" s="8"/>
      <c r="D129" s="5"/>
      <c r="E129" s="5"/>
      <c r="F129" s="5"/>
    </row>
    <row r="130" spans="1:6" ht="19" x14ac:dyDescent="0.25">
      <c r="A130" s="4"/>
    </row>
    <row r="131" spans="1:6" x14ac:dyDescent="0.2">
      <c r="A131" s="5"/>
      <c r="B131" s="5"/>
      <c r="C131" s="8"/>
      <c r="D131" s="5"/>
      <c r="E131" s="5"/>
      <c r="F131" s="5"/>
    </row>
    <row r="132" spans="1:6" ht="19" x14ac:dyDescent="0.25">
      <c r="A132" s="4"/>
    </row>
    <row r="133" spans="1:6" x14ac:dyDescent="0.2">
      <c r="A133" s="5"/>
      <c r="B133" s="5"/>
      <c r="C133" s="8"/>
      <c r="D133" s="5"/>
      <c r="E133" s="5"/>
      <c r="F133" s="5"/>
    </row>
    <row r="134" spans="1:6" ht="19" x14ac:dyDescent="0.25">
      <c r="A134" s="4"/>
    </row>
    <row r="135" spans="1:6" x14ac:dyDescent="0.2">
      <c r="A135" s="5"/>
      <c r="B135" s="5"/>
      <c r="C135" s="8"/>
      <c r="D135" s="5"/>
      <c r="E135" s="5"/>
      <c r="F135" s="5"/>
    </row>
    <row r="136" spans="1:6" ht="19" x14ac:dyDescent="0.25">
      <c r="A136" s="4"/>
    </row>
    <row r="137" spans="1:6" x14ac:dyDescent="0.2">
      <c r="A137" s="5"/>
      <c r="B137" s="5"/>
      <c r="C137" s="8"/>
      <c r="D137" s="5"/>
      <c r="E137" s="5"/>
      <c r="F137" s="5"/>
    </row>
    <row r="138" spans="1:6" ht="19" x14ac:dyDescent="0.25">
      <c r="A138" s="4"/>
    </row>
    <row r="139" spans="1:6" x14ac:dyDescent="0.2">
      <c r="A139" s="5"/>
      <c r="B139" s="5"/>
      <c r="C139" s="8"/>
      <c r="D139" s="5"/>
      <c r="E139" s="5"/>
      <c r="F139" s="5"/>
    </row>
    <row r="140" spans="1:6" ht="19" x14ac:dyDescent="0.25">
      <c r="A140" s="4"/>
    </row>
    <row r="141" spans="1:6" x14ac:dyDescent="0.2">
      <c r="A141" s="5"/>
      <c r="B141" s="5"/>
      <c r="C141" s="8"/>
      <c r="D141" s="5"/>
      <c r="E141" s="5"/>
      <c r="F141" s="5"/>
    </row>
    <row r="142" spans="1:6" ht="19" x14ac:dyDescent="0.25">
      <c r="A142" s="4"/>
    </row>
    <row r="143" spans="1:6" x14ac:dyDescent="0.2">
      <c r="A143" s="5"/>
      <c r="B143" s="5"/>
      <c r="C143" s="8"/>
      <c r="D143" s="5"/>
      <c r="E143" s="5"/>
      <c r="F143" s="5"/>
    </row>
    <row r="144" spans="1:6" ht="19" x14ac:dyDescent="0.25">
      <c r="A144" s="4"/>
    </row>
    <row r="145" spans="1:6" x14ac:dyDescent="0.2">
      <c r="A145" s="5"/>
      <c r="B145" s="5"/>
      <c r="C145" s="8"/>
      <c r="D145" s="5"/>
      <c r="E145" s="5"/>
      <c r="F145" s="5"/>
    </row>
    <row r="146" spans="1:6" ht="19" x14ac:dyDescent="0.25">
      <c r="A146" s="4"/>
    </row>
    <row r="147" spans="1:6" x14ac:dyDescent="0.2">
      <c r="A147" s="5"/>
      <c r="B147" s="5"/>
      <c r="C147" s="8"/>
      <c r="D147" s="5"/>
      <c r="E147" s="5"/>
      <c r="F147" s="5"/>
    </row>
    <row r="148" spans="1:6" ht="19" x14ac:dyDescent="0.25">
      <c r="A148" s="4"/>
    </row>
    <row r="149" spans="1:6" x14ac:dyDescent="0.2">
      <c r="A149" s="5"/>
      <c r="B149" s="5"/>
      <c r="C149" s="8"/>
      <c r="D149" s="5"/>
      <c r="E149" s="5"/>
      <c r="F149" s="5"/>
    </row>
    <row r="150" spans="1:6" ht="19" x14ac:dyDescent="0.25">
      <c r="A150" s="4"/>
    </row>
    <row r="151" spans="1:6" x14ac:dyDescent="0.2">
      <c r="A151" s="5"/>
      <c r="B151" s="5"/>
      <c r="C151" s="8"/>
      <c r="D151" s="5"/>
      <c r="E151" s="5"/>
      <c r="F151" s="5"/>
    </row>
    <row r="152" spans="1:6" ht="19" x14ac:dyDescent="0.25">
      <c r="A152" s="4"/>
    </row>
    <row r="153" spans="1:6" x14ac:dyDescent="0.2">
      <c r="A153" s="5"/>
      <c r="B153" s="5"/>
      <c r="C153" s="8"/>
      <c r="D153" s="5"/>
      <c r="E153" s="5"/>
      <c r="F153" s="5"/>
    </row>
    <row r="154" spans="1:6" ht="19" x14ac:dyDescent="0.25">
      <c r="A154" s="4"/>
    </row>
    <row r="155" spans="1:6" x14ac:dyDescent="0.2">
      <c r="A155" s="5"/>
      <c r="B155" s="5"/>
      <c r="C155" s="8"/>
      <c r="D155" s="5"/>
      <c r="E155" s="5"/>
      <c r="F155" s="5"/>
    </row>
    <row r="156" spans="1:6" ht="19" x14ac:dyDescent="0.25">
      <c r="A156" s="4"/>
    </row>
    <row r="157" spans="1:6" x14ac:dyDescent="0.2">
      <c r="A157" s="5"/>
      <c r="B157" s="5"/>
      <c r="C157" s="8"/>
      <c r="D157" s="5"/>
      <c r="E157" s="5"/>
      <c r="F157" s="5"/>
    </row>
    <row r="158" spans="1:6" ht="19" x14ac:dyDescent="0.25">
      <c r="A158" s="4"/>
    </row>
    <row r="159" spans="1:6" x14ac:dyDescent="0.2">
      <c r="A159" s="5"/>
      <c r="B159" s="5"/>
      <c r="C159" s="8"/>
      <c r="D159" s="5"/>
      <c r="E159" s="5"/>
      <c r="F159" s="5"/>
    </row>
    <row r="160" spans="1:6" ht="19" x14ac:dyDescent="0.25">
      <c r="A160" s="4"/>
    </row>
    <row r="161" spans="1:6" x14ac:dyDescent="0.2">
      <c r="A161" s="5"/>
      <c r="B161" s="5"/>
      <c r="C161" s="8"/>
      <c r="D161" s="5"/>
      <c r="E161" s="5"/>
      <c r="F161" s="5"/>
    </row>
    <row r="162" spans="1:6" ht="19" x14ac:dyDescent="0.25">
      <c r="A162" s="4"/>
    </row>
    <row r="163" spans="1:6" x14ac:dyDescent="0.2">
      <c r="A163" s="5"/>
      <c r="B163" s="5"/>
      <c r="C163" s="8"/>
      <c r="D163" s="5"/>
      <c r="E163" s="5"/>
      <c r="F163" s="5"/>
    </row>
    <row r="164" spans="1:6" ht="19" x14ac:dyDescent="0.25">
      <c r="A164" s="4"/>
    </row>
    <row r="165" spans="1:6" x14ac:dyDescent="0.2">
      <c r="A165" s="5"/>
      <c r="B165" s="5"/>
      <c r="C165" s="8"/>
      <c r="D165" s="5"/>
      <c r="E165" s="5"/>
      <c r="F165" s="5"/>
    </row>
    <row r="166" spans="1:6" ht="19" x14ac:dyDescent="0.25">
      <c r="A166" s="4"/>
    </row>
    <row r="167" spans="1:6" x14ac:dyDescent="0.2">
      <c r="A167" s="5"/>
      <c r="B167" s="5"/>
      <c r="C167" s="8"/>
      <c r="D167" s="5"/>
      <c r="E167" s="5"/>
      <c r="F167" s="5"/>
    </row>
    <row r="168" spans="1:6" ht="19" x14ac:dyDescent="0.25">
      <c r="A168" s="4"/>
    </row>
    <row r="169" spans="1:6" x14ac:dyDescent="0.2">
      <c r="A169" s="5"/>
      <c r="B169" s="5"/>
      <c r="C169" s="8"/>
      <c r="D169" s="5"/>
      <c r="E169" s="5"/>
      <c r="F169" s="5"/>
    </row>
    <row r="170" spans="1:6" ht="19" x14ac:dyDescent="0.25">
      <c r="A170" s="4"/>
    </row>
    <row r="171" spans="1:6" x14ac:dyDescent="0.2">
      <c r="A171" s="5"/>
      <c r="B171" s="5"/>
      <c r="C171" s="8"/>
      <c r="D171" s="5"/>
      <c r="E171" s="5"/>
      <c r="F171" s="5"/>
    </row>
    <row r="172" spans="1:6" ht="19" x14ac:dyDescent="0.25">
      <c r="A172" s="4"/>
    </row>
    <row r="173" spans="1:6" x14ac:dyDescent="0.2">
      <c r="A173" s="5"/>
      <c r="B173" s="5"/>
      <c r="C173" s="8"/>
      <c r="D173" s="5"/>
      <c r="E173" s="5"/>
      <c r="F173" s="5"/>
    </row>
    <row r="174" spans="1:6" ht="19" x14ac:dyDescent="0.25">
      <c r="A174" s="4"/>
    </row>
    <row r="175" spans="1:6" x14ac:dyDescent="0.2">
      <c r="A175" s="5"/>
      <c r="B175" s="5"/>
      <c r="C175" s="8"/>
      <c r="D175" s="5"/>
      <c r="E175" s="5"/>
      <c r="F175" s="5"/>
    </row>
    <row r="176" spans="1:6" ht="19" x14ac:dyDescent="0.25">
      <c r="A176" s="4"/>
    </row>
    <row r="177" spans="1:6" x14ac:dyDescent="0.2">
      <c r="A177" s="5"/>
      <c r="B177" s="5"/>
      <c r="C177" s="8"/>
      <c r="D177" s="5"/>
      <c r="E177" s="5"/>
      <c r="F177" s="5"/>
    </row>
    <row r="178" spans="1:6" ht="19" x14ac:dyDescent="0.25">
      <c r="A178" s="4"/>
    </row>
    <row r="179" spans="1:6" x14ac:dyDescent="0.2">
      <c r="A179" s="5"/>
      <c r="B179" s="5"/>
      <c r="C179" s="8"/>
      <c r="D179" s="5"/>
      <c r="E179" s="5"/>
      <c r="F179" s="5"/>
    </row>
    <row r="180" spans="1:6" ht="19" x14ac:dyDescent="0.25">
      <c r="A180" s="4"/>
    </row>
    <row r="181" spans="1:6" x14ac:dyDescent="0.2">
      <c r="A181" s="5"/>
      <c r="B181" s="5"/>
      <c r="C181" s="8"/>
      <c r="D181" s="5"/>
      <c r="E181" s="5"/>
      <c r="F181" s="5"/>
    </row>
    <row r="182" spans="1:6" ht="19" x14ac:dyDescent="0.25">
      <c r="A182" s="4"/>
    </row>
    <row r="183" spans="1:6" x14ac:dyDescent="0.2">
      <c r="A183" s="5"/>
      <c r="B183" s="5"/>
      <c r="C183" s="8"/>
      <c r="D183" s="5"/>
      <c r="E183" s="5"/>
      <c r="F183" s="5"/>
    </row>
    <row r="184" spans="1:6" ht="19" x14ac:dyDescent="0.25">
      <c r="A184" s="4"/>
    </row>
    <row r="185" spans="1:6" x14ac:dyDescent="0.2">
      <c r="A185" s="5"/>
      <c r="B185" s="5"/>
      <c r="C185" s="8"/>
      <c r="D185" s="5"/>
      <c r="E185" s="5"/>
      <c r="F185" s="5"/>
    </row>
    <row r="186" spans="1:6" ht="19" x14ac:dyDescent="0.25">
      <c r="A186" s="4"/>
    </row>
    <row r="187" spans="1:6" x14ac:dyDescent="0.2">
      <c r="A187" s="5"/>
      <c r="B187" s="5"/>
      <c r="C187" s="8"/>
      <c r="D187" s="5"/>
      <c r="E187" s="5"/>
      <c r="F187" s="5"/>
    </row>
    <row r="188" spans="1:6" ht="19" x14ac:dyDescent="0.25">
      <c r="A188" s="4"/>
    </row>
    <row r="189" spans="1:6" x14ac:dyDescent="0.2">
      <c r="A189" s="5"/>
      <c r="B189" s="5"/>
      <c r="C189" s="8"/>
      <c r="D189" s="5"/>
      <c r="E189" s="5"/>
      <c r="F189" s="5"/>
    </row>
    <row r="190" spans="1:6" ht="19" x14ac:dyDescent="0.25">
      <c r="A190" s="4"/>
    </row>
    <row r="191" spans="1:6" x14ac:dyDescent="0.2">
      <c r="A191" s="5"/>
      <c r="B191" s="5"/>
      <c r="C191" s="8"/>
      <c r="D191" s="5"/>
      <c r="E191" s="5"/>
      <c r="F191" s="5"/>
    </row>
    <row r="192" spans="1:6" ht="19" x14ac:dyDescent="0.25">
      <c r="A192" s="4"/>
    </row>
    <row r="193" spans="1:6" x14ac:dyDescent="0.2">
      <c r="A193" s="5"/>
      <c r="B193" s="5"/>
      <c r="C193" s="8"/>
      <c r="D193" s="5"/>
      <c r="E193" s="5"/>
      <c r="F193" s="5"/>
    </row>
    <row r="194" spans="1:6" ht="19" x14ac:dyDescent="0.25">
      <c r="A194" s="4"/>
    </row>
    <row r="195" spans="1:6" x14ac:dyDescent="0.2">
      <c r="A195" s="5"/>
      <c r="B195" s="5"/>
      <c r="C195" s="8"/>
      <c r="D195" s="5"/>
      <c r="E195" s="5"/>
      <c r="F195" s="5"/>
    </row>
    <row r="196" spans="1:6" ht="19" x14ac:dyDescent="0.25">
      <c r="A196" s="4"/>
    </row>
    <row r="197" spans="1:6" x14ac:dyDescent="0.2">
      <c r="A197" s="5"/>
      <c r="B197" s="5"/>
      <c r="C197" s="8"/>
      <c r="D197" s="5"/>
      <c r="E197" s="5"/>
      <c r="F197" s="5"/>
    </row>
    <row r="198" spans="1:6" ht="19" x14ac:dyDescent="0.25">
      <c r="A198" s="4"/>
    </row>
    <row r="199" spans="1:6" x14ac:dyDescent="0.2">
      <c r="A199" s="5"/>
      <c r="B199" s="5"/>
      <c r="C199" s="8"/>
      <c r="D199" s="5"/>
      <c r="E199" s="5"/>
      <c r="F199" s="5"/>
    </row>
    <row r="200" spans="1:6" ht="19" x14ac:dyDescent="0.25">
      <c r="A200" s="4"/>
    </row>
    <row r="201" spans="1:6" x14ac:dyDescent="0.2">
      <c r="A201" s="5"/>
      <c r="B201" s="5"/>
      <c r="C201" s="8"/>
      <c r="D201" s="5"/>
      <c r="E201" s="5"/>
      <c r="F201" s="5"/>
    </row>
    <row r="202" spans="1:6" ht="19" x14ac:dyDescent="0.25">
      <c r="A202" s="4"/>
    </row>
    <row r="203" spans="1:6" x14ac:dyDescent="0.2">
      <c r="A203" s="5"/>
      <c r="B203" s="5"/>
      <c r="C203" s="8"/>
      <c r="D203" s="5"/>
      <c r="E203" s="5"/>
      <c r="F203" s="5"/>
    </row>
    <row r="204" spans="1:6" ht="19" x14ac:dyDescent="0.25">
      <c r="A204" s="4"/>
    </row>
    <row r="206" spans="1:6" x14ac:dyDescent="0.2">
      <c r="C206" s="1"/>
    </row>
    <row r="209" spans="3:3" x14ac:dyDescent="0.2">
      <c r="C209" s="1"/>
    </row>
    <row r="212" spans="3:3" x14ac:dyDescent="0.2">
      <c r="C212" s="1"/>
    </row>
    <row r="215" spans="3:3" x14ac:dyDescent="0.2">
      <c r="C215" s="1"/>
    </row>
    <row r="218" spans="3:3" x14ac:dyDescent="0.2">
      <c r="C218" s="1"/>
    </row>
    <row r="221" spans="3:3" x14ac:dyDescent="0.2">
      <c r="C221" s="1"/>
    </row>
    <row r="224" spans="3:3" x14ac:dyDescent="0.2">
      <c r="C224" s="1"/>
    </row>
    <row r="227" spans="3:3" x14ac:dyDescent="0.2">
      <c r="C227" s="1"/>
    </row>
    <row r="230" spans="3:3" x14ac:dyDescent="0.2">
      <c r="C230" s="1"/>
    </row>
    <row r="233" spans="3:3" x14ac:dyDescent="0.2">
      <c r="C233" s="1"/>
    </row>
    <row r="236" spans="3:3" x14ac:dyDescent="0.2">
      <c r="C236" s="1"/>
    </row>
    <row r="239" spans="3:3" x14ac:dyDescent="0.2">
      <c r="C239" s="1"/>
    </row>
    <row r="242" spans="3:3" x14ac:dyDescent="0.2">
      <c r="C242" s="1"/>
    </row>
    <row r="245" spans="3:3" x14ac:dyDescent="0.2">
      <c r="C245" s="1"/>
    </row>
    <row r="248" spans="3:3" x14ac:dyDescent="0.2">
      <c r="C248" s="1"/>
    </row>
    <row r="251" spans="3:3" x14ac:dyDescent="0.2">
      <c r="C251" s="1"/>
    </row>
    <row r="254" spans="3:3" x14ac:dyDescent="0.2">
      <c r="C254" s="1"/>
    </row>
    <row r="257" spans="3:3" x14ac:dyDescent="0.2">
      <c r="C257" s="1"/>
    </row>
    <row r="260" spans="3:3" x14ac:dyDescent="0.2">
      <c r="C260" s="1"/>
    </row>
    <row r="263" spans="3:3" x14ac:dyDescent="0.2">
      <c r="C263" s="1"/>
    </row>
    <row r="266" spans="3:3" x14ac:dyDescent="0.2">
      <c r="C266" s="1"/>
    </row>
    <row r="269" spans="3:3" x14ac:dyDescent="0.2">
      <c r="C269" s="1"/>
    </row>
    <row r="272" spans="3:3" x14ac:dyDescent="0.2">
      <c r="C272" s="1"/>
    </row>
    <row r="275" spans="3:3" x14ac:dyDescent="0.2">
      <c r="C275" s="1"/>
    </row>
    <row r="278" spans="3:3" x14ac:dyDescent="0.2">
      <c r="C278" s="1"/>
    </row>
    <row r="281" spans="3:3" x14ac:dyDescent="0.2">
      <c r="C281" s="1"/>
    </row>
    <row r="284" spans="3:3" x14ac:dyDescent="0.2">
      <c r="C284" s="1"/>
    </row>
    <row r="287" spans="3:3" x14ac:dyDescent="0.2">
      <c r="C287" s="1"/>
    </row>
    <row r="290" spans="3:3" x14ac:dyDescent="0.2">
      <c r="C290" s="1"/>
    </row>
    <row r="293" spans="3:3" x14ac:dyDescent="0.2">
      <c r="C293" s="1"/>
    </row>
    <row r="296" spans="3:3" x14ac:dyDescent="0.2">
      <c r="C296" s="1"/>
    </row>
    <row r="299" spans="3:3" x14ac:dyDescent="0.2">
      <c r="C299" s="1"/>
    </row>
    <row r="302" spans="3:3" x14ac:dyDescent="0.2">
      <c r="C302" s="1"/>
    </row>
    <row r="305" spans="3:3" x14ac:dyDescent="0.2">
      <c r="C305" s="1"/>
    </row>
    <row r="308" spans="3:3" x14ac:dyDescent="0.2">
      <c r="C308" s="1"/>
    </row>
    <row r="311" spans="3:3" x14ac:dyDescent="0.2">
      <c r="C311" s="1"/>
    </row>
    <row r="314" spans="3:3" x14ac:dyDescent="0.2">
      <c r="C314" s="1"/>
    </row>
    <row r="317" spans="3:3" x14ac:dyDescent="0.2">
      <c r="C317" s="1"/>
    </row>
    <row r="320" spans="3:3" x14ac:dyDescent="0.2">
      <c r="C320" s="1"/>
    </row>
    <row r="323" spans="3:3" x14ac:dyDescent="0.2">
      <c r="C323" s="1"/>
    </row>
    <row r="326" spans="3:3" x14ac:dyDescent="0.2">
      <c r="C326" s="1"/>
    </row>
    <row r="329" spans="3:3" x14ac:dyDescent="0.2">
      <c r="C329" s="1"/>
    </row>
    <row r="332" spans="3:3" x14ac:dyDescent="0.2">
      <c r="C332" s="1"/>
    </row>
    <row r="335" spans="3:3" x14ac:dyDescent="0.2">
      <c r="C335" s="1"/>
    </row>
    <row r="338" spans="3:3" x14ac:dyDescent="0.2">
      <c r="C338" s="1"/>
    </row>
    <row r="341" spans="3:3" x14ac:dyDescent="0.2">
      <c r="C341" s="1"/>
    </row>
    <row r="344" spans="3:3" x14ac:dyDescent="0.2">
      <c r="C344" s="1"/>
    </row>
    <row r="347" spans="3:3" x14ac:dyDescent="0.2">
      <c r="C347" s="1"/>
    </row>
    <row r="350" spans="3:3" x14ac:dyDescent="0.2">
      <c r="C350" s="1"/>
    </row>
    <row r="353" spans="3:3" x14ac:dyDescent="0.2">
      <c r="C353" s="1"/>
    </row>
    <row r="356" spans="3:3" x14ac:dyDescent="0.2">
      <c r="C356" s="1"/>
    </row>
    <row r="359" spans="3:3" x14ac:dyDescent="0.2">
      <c r="C359" s="1"/>
    </row>
    <row r="362" spans="3:3" x14ac:dyDescent="0.2">
      <c r="C362" s="1"/>
    </row>
    <row r="365" spans="3:3" x14ac:dyDescent="0.2">
      <c r="C365" s="1"/>
    </row>
    <row r="368" spans="3:3" x14ac:dyDescent="0.2">
      <c r="C368" s="1"/>
    </row>
    <row r="371" spans="3:3" x14ac:dyDescent="0.2">
      <c r="C371" s="1"/>
    </row>
    <row r="374" spans="3:3" x14ac:dyDescent="0.2">
      <c r="C374" s="1"/>
    </row>
    <row r="377" spans="3:3" x14ac:dyDescent="0.2">
      <c r="C377" s="1"/>
    </row>
    <row r="380" spans="3:3" x14ac:dyDescent="0.2">
      <c r="C380" s="1"/>
    </row>
    <row r="383" spans="3:3" x14ac:dyDescent="0.2">
      <c r="C383" s="1"/>
    </row>
    <row r="386" spans="3:3" x14ac:dyDescent="0.2">
      <c r="C386" s="1"/>
    </row>
    <row r="389" spans="3:3" x14ac:dyDescent="0.2">
      <c r="C389" s="1"/>
    </row>
    <row r="392" spans="3:3" x14ac:dyDescent="0.2">
      <c r="C392" s="1"/>
    </row>
    <row r="395" spans="3:3" x14ac:dyDescent="0.2">
      <c r="C395" s="1"/>
    </row>
    <row r="398" spans="3:3" x14ac:dyDescent="0.2">
      <c r="C398" s="1"/>
    </row>
    <row r="401" spans="3:3" x14ac:dyDescent="0.2">
      <c r="C401" s="1"/>
    </row>
    <row r="404" spans="3:3" x14ac:dyDescent="0.2">
      <c r="C404" s="1"/>
    </row>
    <row r="407" spans="3:3" x14ac:dyDescent="0.2">
      <c r="C407" s="1"/>
    </row>
    <row r="410" spans="3:3" x14ac:dyDescent="0.2">
      <c r="C410" s="1"/>
    </row>
    <row r="413" spans="3:3" x14ac:dyDescent="0.2">
      <c r="C413" s="1"/>
    </row>
    <row r="416" spans="3:3" x14ac:dyDescent="0.2">
      <c r="C416" s="1"/>
    </row>
    <row r="419" spans="3:3" x14ac:dyDescent="0.2">
      <c r="C419" s="1"/>
    </row>
    <row r="422" spans="3:3" x14ac:dyDescent="0.2">
      <c r="C422" s="1"/>
    </row>
    <row r="425" spans="3:3" x14ac:dyDescent="0.2">
      <c r="C425" s="1"/>
    </row>
    <row r="428" spans="3:3" x14ac:dyDescent="0.2">
      <c r="C428" s="1"/>
    </row>
    <row r="431" spans="3:3" x14ac:dyDescent="0.2">
      <c r="C431" s="1"/>
    </row>
    <row r="434" spans="3:3" x14ac:dyDescent="0.2">
      <c r="C434" s="1"/>
    </row>
    <row r="437" spans="3:3" x14ac:dyDescent="0.2">
      <c r="C437" s="1"/>
    </row>
    <row r="440" spans="3:3" x14ac:dyDescent="0.2">
      <c r="C440" s="1"/>
    </row>
    <row r="443" spans="3:3" x14ac:dyDescent="0.2">
      <c r="C443" s="1"/>
    </row>
    <row r="446" spans="3:3" x14ac:dyDescent="0.2">
      <c r="C446" s="1"/>
    </row>
    <row r="449" spans="3:3" x14ac:dyDescent="0.2">
      <c r="C449" s="1"/>
    </row>
    <row r="452" spans="3:3" x14ac:dyDescent="0.2">
      <c r="C452" s="1"/>
    </row>
    <row r="455" spans="3:3" x14ac:dyDescent="0.2">
      <c r="C455" s="1"/>
    </row>
    <row r="458" spans="3:3" x14ac:dyDescent="0.2">
      <c r="C458" s="1"/>
    </row>
    <row r="461" spans="3:3" x14ac:dyDescent="0.2">
      <c r="C461" s="1"/>
    </row>
    <row r="464" spans="3:3" x14ac:dyDescent="0.2">
      <c r="C464" s="1"/>
    </row>
    <row r="467" spans="3:3" x14ac:dyDescent="0.2">
      <c r="C467" s="1"/>
    </row>
    <row r="470" spans="3:3" x14ac:dyDescent="0.2">
      <c r="C470" s="1"/>
    </row>
    <row r="473" spans="3:3" x14ac:dyDescent="0.2">
      <c r="C473" s="1"/>
    </row>
    <row r="476" spans="3:3" x14ac:dyDescent="0.2">
      <c r="C476" s="1"/>
    </row>
    <row r="479" spans="3:3" x14ac:dyDescent="0.2">
      <c r="C479" s="1"/>
    </row>
    <row r="482" spans="3:3" x14ac:dyDescent="0.2">
      <c r="C482" s="1"/>
    </row>
    <row r="485" spans="3:3" x14ac:dyDescent="0.2">
      <c r="C485" s="1"/>
    </row>
    <row r="488" spans="3:3" x14ac:dyDescent="0.2">
      <c r="C488" s="1"/>
    </row>
    <row r="491" spans="3:3" x14ac:dyDescent="0.2">
      <c r="C491" s="1"/>
    </row>
    <row r="494" spans="3:3" x14ac:dyDescent="0.2">
      <c r="C494" s="1"/>
    </row>
    <row r="497" spans="3:3" x14ac:dyDescent="0.2">
      <c r="C497" s="1"/>
    </row>
    <row r="500" spans="3:3" x14ac:dyDescent="0.2">
      <c r="C500" s="1"/>
    </row>
    <row r="503" spans="3:3" x14ac:dyDescent="0.2">
      <c r="C503" s="1"/>
    </row>
    <row r="506" spans="3:3" x14ac:dyDescent="0.2">
      <c r="C506" s="1"/>
    </row>
    <row r="509" spans="3:3" x14ac:dyDescent="0.2">
      <c r="C509" s="1"/>
    </row>
    <row r="512" spans="3:3" x14ac:dyDescent="0.2">
      <c r="C512" s="1"/>
    </row>
    <row r="515" spans="3:3" x14ac:dyDescent="0.2">
      <c r="C515" s="1"/>
    </row>
    <row r="518" spans="3:3" x14ac:dyDescent="0.2">
      <c r="C518" s="1"/>
    </row>
    <row r="521" spans="3:3" x14ac:dyDescent="0.2">
      <c r="C521" s="1"/>
    </row>
    <row r="524" spans="3:3" x14ac:dyDescent="0.2">
      <c r="C524" s="1"/>
    </row>
    <row r="527" spans="3:3" x14ac:dyDescent="0.2">
      <c r="C527" s="1"/>
    </row>
    <row r="530" spans="3:3" x14ac:dyDescent="0.2">
      <c r="C530" s="1"/>
    </row>
    <row r="533" spans="3:3" x14ac:dyDescent="0.2">
      <c r="C533" s="1"/>
    </row>
    <row r="536" spans="3:3" x14ac:dyDescent="0.2">
      <c r="C536" s="1"/>
    </row>
    <row r="539" spans="3:3" x14ac:dyDescent="0.2">
      <c r="C539" s="1"/>
    </row>
    <row r="542" spans="3:3" x14ac:dyDescent="0.2">
      <c r="C542" s="1"/>
    </row>
    <row r="545" spans="3:3" x14ac:dyDescent="0.2">
      <c r="C545" s="1"/>
    </row>
    <row r="548" spans="3:3" x14ac:dyDescent="0.2">
      <c r="C548" s="1"/>
    </row>
    <row r="551" spans="3:3" x14ac:dyDescent="0.2">
      <c r="C551" s="1"/>
    </row>
    <row r="554" spans="3:3" x14ac:dyDescent="0.2">
      <c r="C554" s="1"/>
    </row>
    <row r="557" spans="3:3" x14ac:dyDescent="0.2">
      <c r="C557" s="1"/>
    </row>
    <row r="560" spans="3:3" x14ac:dyDescent="0.2">
      <c r="C560" s="1"/>
    </row>
    <row r="563" spans="3:3" x14ac:dyDescent="0.2">
      <c r="C563" s="1"/>
    </row>
    <row r="566" spans="3:3" x14ac:dyDescent="0.2">
      <c r="C566" s="1"/>
    </row>
    <row r="569" spans="3:3" x14ac:dyDescent="0.2">
      <c r="C569" s="1"/>
    </row>
    <row r="572" spans="3:3" x14ac:dyDescent="0.2">
      <c r="C572" s="1"/>
    </row>
    <row r="575" spans="3:3" x14ac:dyDescent="0.2">
      <c r="C575" s="1"/>
    </row>
    <row r="578" spans="3:3" x14ac:dyDescent="0.2">
      <c r="C578" s="1"/>
    </row>
    <row r="581" spans="3:3" x14ac:dyDescent="0.2">
      <c r="C581" s="1"/>
    </row>
    <row r="584" spans="3:3" x14ac:dyDescent="0.2">
      <c r="C584" s="1"/>
    </row>
    <row r="587" spans="3:3" x14ac:dyDescent="0.2">
      <c r="C587" s="1"/>
    </row>
    <row r="590" spans="3:3" x14ac:dyDescent="0.2">
      <c r="C590" s="1"/>
    </row>
    <row r="593" spans="3:3" x14ac:dyDescent="0.2">
      <c r="C593" s="1"/>
    </row>
    <row r="596" spans="3:3" x14ac:dyDescent="0.2">
      <c r="C596" s="1"/>
    </row>
    <row r="599" spans="3:3" x14ac:dyDescent="0.2">
      <c r="C599" s="1"/>
    </row>
    <row r="602" spans="3:3" x14ac:dyDescent="0.2">
      <c r="C602" s="1"/>
    </row>
    <row r="605" spans="3:3" x14ac:dyDescent="0.2">
      <c r="C605" s="1"/>
    </row>
    <row r="608" spans="3:3" x14ac:dyDescent="0.2">
      <c r="C608" s="1"/>
    </row>
    <row r="611" spans="3:3" x14ac:dyDescent="0.2">
      <c r="C611" s="1"/>
    </row>
    <row r="614" spans="3:3" x14ac:dyDescent="0.2">
      <c r="C614" s="1"/>
    </row>
    <row r="617" spans="3:3" x14ac:dyDescent="0.2">
      <c r="C617" s="1"/>
    </row>
    <row r="620" spans="3:3" x14ac:dyDescent="0.2">
      <c r="C620" s="1"/>
    </row>
    <row r="623" spans="3:3" x14ac:dyDescent="0.2">
      <c r="C623" s="1"/>
    </row>
    <row r="626" spans="3:3" x14ac:dyDescent="0.2">
      <c r="C626" s="1"/>
    </row>
    <row r="629" spans="3:3" x14ac:dyDescent="0.2">
      <c r="C629" s="1"/>
    </row>
    <row r="632" spans="3:3" x14ac:dyDescent="0.2">
      <c r="C632" s="1"/>
    </row>
    <row r="635" spans="3:3" x14ac:dyDescent="0.2">
      <c r="C635" s="1"/>
    </row>
    <row r="638" spans="3:3" x14ac:dyDescent="0.2">
      <c r="C638" s="1"/>
    </row>
    <row r="641" spans="3:3" x14ac:dyDescent="0.2">
      <c r="C641" s="1"/>
    </row>
    <row r="644" spans="3:3" x14ac:dyDescent="0.2">
      <c r="C644" s="1"/>
    </row>
    <row r="647" spans="3:3" x14ac:dyDescent="0.2">
      <c r="C647" s="1"/>
    </row>
    <row r="650" spans="3:3" x14ac:dyDescent="0.2">
      <c r="C650" s="1"/>
    </row>
    <row r="653" spans="3:3" x14ac:dyDescent="0.2">
      <c r="C653" s="1"/>
    </row>
    <row r="656" spans="3:3" x14ac:dyDescent="0.2">
      <c r="C656" s="1"/>
    </row>
    <row r="659" spans="3:3" x14ac:dyDescent="0.2">
      <c r="C659" s="1"/>
    </row>
    <row r="662" spans="3:3" x14ac:dyDescent="0.2">
      <c r="C662" s="1"/>
    </row>
    <row r="665" spans="3:3" x14ac:dyDescent="0.2">
      <c r="C665" s="1"/>
    </row>
    <row r="668" spans="3:3" x14ac:dyDescent="0.2">
      <c r="C668" s="1"/>
    </row>
    <row r="671" spans="3:3" x14ac:dyDescent="0.2">
      <c r="C671" s="1"/>
    </row>
    <row r="674" spans="3:3" x14ac:dyDescent="0.2">
      <c r="C674" s="1"/>
    </row>
    <row r="677" spans="3:3" x14ac:dyDescent="0.2">
      <c r="C677" s="1"/>
    </row>
    <row r="680" spans="3:3" x14ac:dyDescent="0.2">
      <c r="C680" s="1"/>
    </row>
    <row r="683" spans="3:3" x14ac:dyDescent="0.2">
      <c r="C683" s="1"/>
    </row>
    <row r="686" spans="3:3" x14ac:dyDescent="0.2">
      <c r="C686" s="1"/>
    </row>
    <row r="689" spans="3:3" x14ac:dyDescent="0.2">
      <c r="C689" s="1"/>
    </row>
    <row r="692" spans="3:3" x14ac:dyDescent="0.2">
      <c r="C692" s="1"/>
    </row>
    <row r="695" spans="3:3" x14ac:dyDescent="0.2">
      <c r="C695" s="1"/>
    </row>
    <row r="698" spans="3:3" x14ac:dyDescent="0.2">
      <c r="C698" s="1"/>
    </row>
    <row r="701" spans="3:3" x14ac:dyDescent="0.2">
      <c r="C701" s="1"/>
    </row>
    <row r="704" spans="3:3" x14ac:dyDescent="0.2">
      <c r="C704" s="1"/>
    </row>
    <row r="707" spans="3:3" x14ac:dyDescent="0.2">
      <c r="C707" s="1"/>
    </row>
    <row r="710" spans="3:3" x14ac:dyDescent="0.2">
      <c r="C710" s="1"/>
    </row>
    <row r="713" spans="3:3" x14ac:dyDescent="0.2">
      <c r="C713" s="1"/>
    </row>
    <row r="716" spans="3:3" x14ac:dyDescent="0.2">
      <c r="C716" s="1"/>
    </row>
    <row r="719" spans="3:3" x14ac:dyDescent="0.2">
      <c r="C719" s="1"/>
    </row>
    <row r="722" spans="3:3" x14ac:dyDescent="0.2">
      <c r="C722" s="1"/>
    </row>
    <row r="725" spans="3:3" x14ac:dyDescent="0.2">
      <c r="C725" s="1"/>
    </row>
    <row r="728" spans="3:3" x14ac:dyDescent="0.2">
      <c r="C72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79592-D5BF-0C43-9E01-0437DC9C6826}">
  <sheetPr codeName="Sheet2">
    <tabColor rgb="FF0070C0"/>
  </sheetPr>
  <dimension ref="B1:J399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J6" sqref="J6"/>
    </sheetView>
  </sheetViews>
  <sheetFormatPr baseColWidth="10" defaultRowHeight="16" x14ac:dyDescent="0.2"/>
  <cols>
    <col min="1" max="1" width="3" customWidth="1"/>
    <col min="2" max="2" width="14.83203125" bestFit="1" customWidth="1"/>
    <col min="3" max="3" width="49.6640625" bestFit="1" customWidth="1"/>
    <col min="4" max="4" width="11.1640625" bestFit="1" customWidth="1"/>
    <col min="5" max="5" width="10.83203125" style="6" bestFit="1" customWidth="1"/>
    <col min="6" max="6" width="13.6640625" bestFit="1" customWidth="1"/>
    <col min="7" max="7" width="45.1640625" bestFit="1" customWidth="1"/>
    <col min="8" max="8" width="3.5" customWidth="1"/>
    <col min="9" max="9" width="11.6640625" customWidth="1"/>
  </cols>
  <sheetData>
    <row r="1" spans="2:10" x14ac:dyDescent="0.2">
      <c r="E1"/>
    </row>
    <row r="2" spans="2:10" x14ac:dyDescent="0.2">
      <c r="B2" s="2" t="s">
        <v>0</v>
      </c>
      <c r="C2" s="2" t="s">
        <v>1</v>
      </c>
      <c r="D2" s="2" t="s">
        <v>2</v>
      </c>
      <c r="E2" s="2" t="s">
        <v>3</v>
      </c>
      <c r="F2" s="2" t="s">
        <v>5</v>
      </c>
      <c r="G2" s="2" t="s">
        <v>4</v>
      </c>
    </row>
    <row r="3" spans="2:10" x14ac:dyDescent="0.2">
      <c r="D3" s="1"/>
      <c r="G3" s="1"/>
    </row>
    <row r="4" spans="2:10" x14ac:dyDescent="0.2">
      <c r="D4" s="1"/>
      <c r="G4" s="1"/>
    </row>
    <row r="5" spans="2:10" x14ac:dyDescent="0.2">
      <c r="D5" s="1"/>
      <c r="G5" s="1"/>
      <c r="J5" t="s">
        <v>176</v>
      </c>
    </row>
    <row r="6" spans="2:10" x14ac:dyDescent="0.2">
      <c r="D6" s="1"/>
      <c r="G6" s="1"/>
    </row>
    <row r="7" spans="2:10" x14ac:dyDescent="0.2">
      <c r="C7" s="1"/>
      <c r="D7" s="1"/>
      <c r="G7" s="1"/>
    </row>
    <row r="8" spans="2:10" x14ac:dyDescent="0.2">
      <c r="D8" s="1"/>
      <c r="G8" s="1"/>
    </row>
    <row r="9" spans="2:10" x14ac:dyDescent="0.2">
      <c r="D9" s="1"/>
      <c r="G9" s="1"/>
    </row>
    <row r="10" spans="2:10" x14ac:dyDescent="0.2">
      <c r="D10" s="1"/>
      <c r="G10" s="1"/>
    </row>
    <row r="11" spans="2:10" x14ac:dyDescent="0.2">
      <c r="D11" s="1"/>
      <c r="G11" s="1"/>
    </row>
    <row r="12" spans="2:10" x14ac:dyDescent="0.2">
      <c r="D12" s="1"/>
      <c r="G12" s="1"/>
    </row>
    <row r="13" spans="2:10" x14ac:dyDescent="0.2">
      <c r="D13" s="1"/>
      <c r="F13" s="1"/>
      <c r="G13" s="1"/>
    </row>
    <row r="14" spans="2:10" x14ac:dyDescent="0.2">
      <c r="D14" s="1"/>
      <c r="G14" s="1"/>
    </row>
    <row r="15" spans="2:10" x14ac:dyDescent="0.2">
      <c r="D15" s="1"/>
      <c r="G15" s="1"/>
    </row>
    <row r="16" spans="2:10" x14ac:dyDescent="0.2">
      <c r="D16" s="1"/>
      <c r="G16" s="1"/>
    </row>
    <row r="17" spans="3:7" x14ac:dyDescent="0.2">
      <c r="D17" s="1"/>
      <c r="G17" s="1"/>
    </row>
    <row r="18" spans="3:7" x14ac:dyDescent="0.2">
      <c r="D18" s="1"/>
      <c r="G18" s="1"/>
    </row>
    <row r="19" spans="3:7" x14ac:dyDescent="0.2">
      <c r="D19" s="1"/>
      <c r="F19" s="1"/>
      <c r="G19" s="1"/>
    </row>
    <row r="20" spans="3:7" x14ac:dyDescent="0.2">
      <c r="D20" s="1"/>
      <c r="G20" s="1"/>
    </row>
    <row r="21" spans="3:7" x14ac:dyDescent="0.2">
      <c r="D21" s="1"/>
      <c r="G21" s="1"/>
    </row>
    <row r="22" spans="3:7" x14ac:dyDescent="0.2">
      <c r="C22" s="1"/>
      <c r="D22" s="1"/>
      <c r="G22" s="1"/>
    </row>
    <row r="23" spans="3:7" x14ac:dyDescent="0.2">
      <c r="D23" s="1"/>
      <c r="F23" s="1"/>
      <c r="G23" s="1"/>
    </row>
    <row r="24" spans="3:7" x14ac:dyDescent="0.2">
      <c r="C24" s="1"/>
      <c r="D24" s="1"/>
      <c r="G24" s="1"/>
    </row>
    <row r="25" spans="3:7" x14ac:dyDescent="0.2">
      <c r="D25" s="1"/>
      <c r="G25" s="1"/>
    </row>
    <row r="26" spans="3:7" x14ac:dyDescent="0.2">
      <c r="D26" s="1"/>
      <c r="G26" s="1"/>
    </row>
    <row r="27" spans="3:7" x14ac:dyDescent="0.2">
      <c r="C27" s="1"/>
      <c r="D27" s="1"/>
      <c r="G27" s="1"/>
    </row>
    <row r="28" spans="3:7" x14ac:dyDescent="0.2">
      <c r="D28" s="1"/>
      <c r="F28" s="1"/>
      <c r="G28" s="1"/>
    </row>
    <row r="29" spans="3:7" x14ac:dyDescent="0.2">
      <c r="D29" s="1"/>
      <c r="E29" s="1"/>
      <c r="F29" s="1"/>
      <c r="G29" s="1"/>
    </row>
    <row r="30" spans="3:7" x14ac:dyDescent="0.2">
      <c r="C30" s="1"/>
      <c r="D30" s="1"/>
      <c r="G30" s="1"/>
    </row>
    <row r="31" spans="3:7" x14ac:dyDescent="0.2">
      <c r="D31" s="1"/>
      <c r="E31" s="1"/>
      <c r="G31" s="1"/>
    </row>
    <row r="32" spans="3:7" x14ac:dyDescent="0.2">
      <c r="D32" s="1"/>
      <c r="G32" s="1"/>
    </row>
    <row r="33" spans="3:7" x14ac:dyDescent="0.2">
      <c r="D33" s="1"/>
      <c r="E33" s="1"/>
      <c r="G33" s="1"/>
    </row>
    <row r="34" spans="3:7" x14ac:dyDescent="0.2">
      <c r="C34" s="1"/>
      <c r="D34" s="1"/>
      <c r="G34" s="1"/>
    </row>
    <row r="35" spans="3:7" x14ac:dyDescent="0.2">
      <c r="D35" s="1"/>
      <c r="E35" s="1"/>
      <c r="G35" s="1"/>
    </row>
    <row r="36" spans="3:7" x14ac:dyDescent="0.2">
      <c r="C36" s="1"/>
      <c r="D36" s="1"/>
      <c r="F36" s="1"/>
      <c r="G36" s="1"/>
    </row>
    <row r="37" spans="3:7" x14ac:dyDescent="0.2">
      <c r="D37" s="1"/>
      <c r="G37" s="1"/>
    </row>
    <row r="38" spans="3:7" x14ac:dyDescent="0.2">
      <c r="D38" s="1"/>
      <c r="G38" s="1"/>
    </row>
    <row r="39" spans="3:7" x14ac:dyDescent="0.2">
      <c r="D39" s="1"/>
      <c r="G39" s="1"/>
    </row>
    <row r="40" spans="3:7" x14ac:dyDescent="0.2">
      <c r="C40" s="1"/>
      <c r="D40" s="1"/>
      <c r="G40" s="1"/>
    </row>
    <row r="41" spans="3:7" x14ac:dyDescent="0.2">
      <c r="D41" s="1"/>
      <c r="G41" s="1"/>
    </row>
    <row r="42" spans="3:7" x14ac:dyDescent="0.2">
      <c r="C42" s="1"/>
      <c r="D42" s="1"/>
      <c r="G42" s="1"/>
    </row>
    <row r="43" spans="3:7" x14ac:dyDescent="0.2">
      <c r="D43" s="1"/>
      <c r="G43" s="1"/>
    </row>
    <row r="44" spans="3:7" x14ac:dyDescent="0.2">
      <c r="C44" s="1"/>
      <c r="D44" s="1"/>
      <c r="G44" s="1"/>
    </row>
    <row r="45" spans="3:7" x14ac:dyDescent="0.2">
      <c r="D45" s="1"/>
      <c r="G45" s="1"/>
    </row>
    <row r="46" spans="3:7" x14ac:dyDescent="0.2">
      <c r="C46" s="1"/>
      <c r="D46" s="1"/>
      <c r="G46" s="1"/>
    </row>
    <row r="47" spans="3:7" x14ac:dyDescent="0.2">
      <c r="D47" s="1"/>
      <c r="G47" s="1"/>
    </row>
    <row r="48" spans="3:7" x14ac:dyDescent="0.2">
      <c r="D48" s="1"/>
      <c r="G48" s="1"/>
    </row>
    <row r="49" spans="3:7" x14ac:dyDescent="0.2">
      <c r="D49" s="1"/>
      <c r="G49" s="1"/>
    </row>
    <row r="50" spans="3:7" x14ac:dyDescent="0.2">
      <c r="C50" s="1"/>
      <c r="D50" s="1"/>
      <c r="G50" s="1"/>
    </row>
    <row r="51" spans="3:7" x14ac:dyDescent="0.2">
      <c r="D51" s="1"/>
      <c r="G51" s="1"/>
    </row>
    <row r="52" spans="3:7" x14ac:dyDescent="0.2">
      <c r="D52" s="1"/>
      <c r="F52" s="1"/>
      <c r="G52" s="1"/>
    </row>
    <row r="53" spans="3:7" x14ac:dyDescent="0.2">
      <c r="D53" s="1"/>
      <c r="F53" s="1"/>
      <c r="G53" s="1"/>
    </row>
    <row r="54" spans="3:7" x14ac:dyDescent="0.2">
      <c r="C54" s="1"/>
      <c r="D54" s="1"/>
      <c r="G54" s="1"/>
    </row>
    <row r="55" spans="3:7" x14ac:dyDescent="0.2">
      <c r="D55" s="1"/>
      <c r="G55" s="1"/>
    </row>
    <row r="56" spans="3:7" x14ac:dyDescent="0.2">
      <c r="D56" s="1"/>
      <c r="F56" s="1"/>
      <c r="G56" s="1"/>
    </row>
    <row r="57" spans="3:7" x14ac:dyDescent="0.2">
      <c r="D57" s="1"/>
      <c r="G57" s="1"/>
    </row>
    <row r="58" spans="3:7" x14ac:dyDescent="0.2">
      <c r="C58" s="1"/>
      <c r="D58" s="1"/>
      <c r="G58" s="1"/>
    </row>
    <row r="59" spans="3:7" x14ac:dyDescent="0.2">
      <c r="D59" s="1"/>
      <c r="G59" s="1"/>
    </row>
    <row r="60" spans="3:7" x14ac:dyDescent="0.2">
      <c r="D60" s="1"/>
      <c r="G60" s="1"/>
    </row>
    <row r="61" spans="3:7" x14ac:dyDescent="0.2">
      <c r="D61" s="1"/>
      <c r="G61" s="1"/>
    </row>
    <row r="62" spans="3:7" x14ac:dyDescent="0.2">
      <c r="D62" s="1"/>
      <c r="G62" s="1"/>
    </row>
    <row r="63" spans="3:7" x14ac:dyDescent="0.2">
      <c r="D63" s="1"/>
      <c r="F63" s="1"/>
      <c r="G63" s="1"/>
    </row>
    <row r="64" spans="3:7" x14ac:dyDescent="0.2">
      <c r="D64" s="1"/>
      <c r="G64" s="1"/>
    </row>
    <row r="65" spans="3:7" x14ac:dyDescent="0.2">
      <c r="D65" s="1"/>
      <c r="F65" s="1"/>
      <c r="G65" s="1"/>
    </row>
    <row r="66" spans="3:7" x14ac:dyDescent="0.2">
      <c r="D66" s="1"/>
      <c r="G66" s="1"/>
    </row>
    <row r="67" spans="3:7" x14ac:dyDescent="0.2">
      <c r="D67" s="1"/>
      <c r="G67" s="1"/>
    </row>
    <row r="68" spans="3:7" x14ac:dyDescent="0.2">
      <c r="D68" s="1"/>
      <c r="E68" s="1"/>
      <c r="G68" s="1"/>
    </row>
    <row r="69" spans="3:7" x14ac:dyDescent="0.2">
      <c r="D69" s="1"/>
      <c r="G69" s="1"/>
    </row>
    <row r="70" spans="3:7" x14ac:dyDescent="0.2">
      <c r="C70" s="1"/>
      <c r="D70" s="1"/>
      <c r="G70" s="1"/>
    </row>
    <row r="71" spans="3:7" x14ac:dyDescent="0.2">
      <c r="D71" s="1"/>
      <c r="G71" s="1"/>
    </row>
    <row r="72" spans="3:7" x14ac:dyDescent="0.2">
      <c r="C72" s="1"/>
      <c r="D72" s="1"/>
      <c r="G72" s="1"/>
    </row>
    <row r="73" spans="3:7" x14ac:dyDescent="0.2">
      <c r="C73" s="1"/>
      <c r="D73" s="1"/>
      <c r="G73" s="1"/>
    </row>
    <row r="74" spans="3:7" x14ac:dyDescent="0.2">
      <c r="D74" s="1"/>
      <c r="G74" s="1"/>
    </row>
    <row r="75" spans="3:7" x14ac:dyDescent="0.2">
      <c r="D75" s="1"/>
      <c r="G75" s="1"/>
    </row>
    <row r="76" spans="3:7" x14ac:dyDescent="0.2">
      <c r="C76" s="1"/>
      <c r="D76" s="1"/>
      <c r="G76" s="1"/>
    </row>
    <row r="77" spans="3:7" x14ac:dyDescent="0.2">
      <c r="D77" s="1"/>
      <c r="G77" s="1"/>
    </row>
    <row r="78" spans="3:7" x14ac:dyDescent="0.2">
      <c r="D78" s="1"/>
      <c r="G78" s="1"/>
    </row>
    <row r="79" spans="3:7" x14ac:dyDescent="0.2">
      <c r="D79" s="1"/>
      <c r="G79" s="1"/>
    </row>
    <row r="80" spans="3:7" x14ac:dyDescent="0.2">
      <c r="C80" s="1"/>
      <c r="D80" s="1"/>
      <c r="G80" s="1"/>
    </row>
    <row r="81" spans="3:7" x14ac:dyDescent="0.2">
      <c r="D81" s="1"/>
      <c r="G81" s="1"/>
    </row>
    <row r="82" spans="3:7" x14ac:dyDescent="0.2">
      <c r="D82" s="1"/>
      <c r="G82" s="1"/>
    </row>
    <row r="83" spans="3:7" x14ac:dyDescent="0.2">
      <c r="D83" s="1"/>
      <c r="G83" s="1"/>
    </row>
    <row r="84" spans="3:7" x14ac:dyDescent="0.2">
      <c r="C84" s="1"/>
      <c r="D84" s="1"/>
      <c r="G84" s="1"/>
    </row>
    <row r="85" spans="3:7" x14ac:dyDescent="0.2">
      <c r="D85" s="1"/>
      <c r="F85" s="1"/>
      <c r="G85" s="1"/>
    </row>
    <row r="86" spans="3:7" x14ac:dyDescent="0.2">
      <c r="D86" s="1"/>
      <c r="G86" s="1"/>
    </row>
    <row r="87" spans="3:7" x14ac:dyDescent="0.2">
      <c r="D87" s="1"/>
      <c r="G87" s="1"/>
    </row>
    <row r="88" spans="3:7" x14ac:dyDescent="0.2">
      <c r="D88" s="1"/>
      <c r="G88" s="1"/>
    </row>
    <row r="89" spans="3:7" x14ac:dyDescent="0.2">
      <c r="D89" s="1"/>
      <c r="G89" s="1"/>
    </row>
    <row r="90" spans="3:7" x14ac:dyDescent="0.2">
      <c r="D90" s="1"/>
      <c r="G90" s="1"/>
    </row>
    <row r="91" spans="3:7" x14ac:dyDescent="0.2">
      <c r="D91" s="1"/>
      <c r="G91" s="1"/>
    </row>
    <row r="92" spans="3:7" x14ac:dyDescent="0.2">
      <c r="D92" s="1"/>
      <c r="G92" s="1"/>
    </row>
    <row r="93" spans="3:7" x14ac:dyDescent="0.2">
      <c r="D93" s="1"/>
      <c r="G93" s="1"/>
    </row>
    <row r="94" spans="3:7" x14ac:dyDescent="0.2">
      <c r="C94" s="1"/>
      <c r="D94" s="1"/>
      <c r="G94" s="1"/>
    </row>
    <row r="95" spans="3:7" x14ac:dyDescent="0.2">
      <c r="D95" s="1"/>
      <c r="G95" s="1"/>
    </row>
    <row r="96" spans="3:7" x14ac:dyDescent="0.2">
      <c r="D96" s="1"/>
      <c r="G96" s="1"/>
    </row>
    <row r="97" spans="3:7" x14ac:dyDescent="0.2">
      <c r="D97" s="1"/>
      <c r="G97" s="1"/>
    </row>
    <row r="98" spans="3:7" x14ac:dyDescent="0.2">
      <c r="D98" s="1"/>
      <c r="G98" s="1"/>
    </row>
    <row r="99" spans="3:7" x14ac:dyDescent="0.2">
      <c r="D99" s="1"/>
      <c r="G99" s="1"/>
    </row>
    <row r="100" spans="3:7" x14ac:dyDescent="0.2">
      <c r="C100" s="1"/>
      <c r="D100" s="1"/>
      <c r="G100" s="1"/>
    </row>
    <row r="101" spans="3:7" x14ac:dyDescent="0.2">
      <c r="D101" s="1"/>
      <c r="F101" s="1"/>
      <c r="G101" s="1"/>
    </row>
    <row r="102" spans="3:7" x14ac:dyDescent="0.2">
      <c r="C102" s="1"/>
      <c r="D102" s="1"/>
      <c r="G102" s="1"/>
    </row>
    <row r="103" spans="3:7" x14ac:dyDescent="0.2">
      <c r="D103" s="1"/>
      <c r="G103" s="1"/>
    </row>
    <row r="104" spans="3:7" x14ac:dyDescent="0.2">
      <c r="D104" s="1"/>
      <c r="G104" s="1"/>
    </row>
    <row r="105" spans="3:7" x14ac:dyDescent="0.2">
      <c r="D105" s="1"/>
      <c r="G105" s="1"/>
    </row>
    <row r="106" spans="3:7" x14ac:dyDescent="0.2">
      <c r="D106" s="1"/>
      <c r="F106" s="1"/>
      <c r="G106" s="1"/>
    </row>
    <row r="107" spans="3:7" x14ac:dyDescent="0.2">
      <c r="D107" s="1"/>
      <c r="G107" s="1"/>
    </row>
    <row r="108" spans="3:7" x14ac:dyDescent="0.2">
      <c r="D108" s="1"/>
      <c r="G108" s="1"/>
    </row>
    <row r="109" spans="3:7" x14ac:dyDescent="0.2">
      <c r="D109" s="1"/>
      <c r="G109" s="1"/>
    </row>
    <row r="110" spans="3:7" x14ac:dyDescent="0.2">
      <c r="D110" s="1"/>
      <c r="F110" s="1"/>
      <c r="G110" s="1"/>
    </row>
    <row r="111" spans="3:7" x14ac:dyDescent="0.2">
      <c r="D111" s="1"/>
      <c r="G111" s="1"/>
    </row>
    <row r="112" spans="3:7" x14ac:dyDescent="0.2">
      <c r="C112" s="1"/>
      <c r="D112" s="1"/>
      <c r="G112" s="1"/>
    </row>
    <row r="113" spans="3:7" x14ac:dyDescent="0.2">
      <c r="D113" s="1"/>
      <c r="F113" s="1"/>
      <c r="G113" s="1"/>
    </row>
    <row r="114" spans="3:7" x14ac:dyDescent="0.2">
      <c r="C114" s="1"/>
      <c r="D114" s="1"/>
      <c r="G114" s="1"/>
    </row>
    <row r="115" spans="3:7" x14ac:dyDescent="0.2">
      <c r="D115" s="1"/>
      <c r="G115" s="1"/>
    </row>
    <row r="116" spans="3:7" x14ac:dyDescent="0.2">
      <c r="C116" s="1"/>
      <c r="D116" s="1"/>
      <c r="G116" s="1"/>
    </row>
    <row r="117" spans="3:7" x14ac:dyDescent="0.2">
      <c r="D117" s="1"/>
      <c r="G117" s="1"/>
    </row>
    <row r="118" spans="3:7" x14ac:dyDescent="0.2">
      <c r="D118" s="1"/>
      <c r="G118" s="1"/>
    </row>
    <row r="119" spans="3:7" x14ac:dyDescent="0.2">
      <c r="D119" s="1"/>
      <c r="F119" s="1"/>
      <c r="G119" s="1"/>
    </row>
    <row r="120" spans="3:7" x14ac:dyDescent="0.2">
      <c r="C120" s="1"/>
      <c r="D120" s="1"/>
      <c r="G120" s="1"/>
    </row>
    <row r="121" spans="3:7" x14ac:dyDescent="0.2">
      <c r="C121" s="1"/>
      <c r="D121" s="1"/>
      <c r="G121" s="1"/>
    </row>
    <row r="122" spans="3:7" x14ac:dyDescent="0.2">
      <c r="D122" s="1"/>
      <c r="G122" s="1"/>
    </row>
    <row r="123" spans="3:7" x14ac:dyDescent="0.2">
      <c r="D123" s="1"/>
      <c r="G123" s="1"/>
    </row>
    <row r="124" spans="3:7" x14ac:dyDescent="0.2">
      <c r="D124" s="1"/>
      <c r="G124" s="1"/>
    </row>
    <row r="125" spans="3:7" x14ac:dyDescent="0.2">
      <c r="D125" s="1"/>
      <c r="G125" s="1"/>
    </row>
    <row r="126" spans="3:7" x14ac:dyDescent="0.2">
      <c r="C126" s="1"/>
      <c r="D126" s="1"/>
      <c r="G126" s="1"/>
    </row>
    <row r="127" spans="3:7" x14ac:dyDescent="0.2">
      <c r="D127" s="1"/>
      <c r="G127" s="1"/>
    </row>
    <row r="128" spans="3:7" x14ac:dyDescent="0.2">
      <c r="D128" s="1"/>
      <c r="G128" s="1"/>
    </row>
    <row r="129" spans="3:7" x14ac:dyDescent="0.2">
      <c r="D129" s="1"/>
      <c r="G129" s="1"/>
    </row>
    <row r="130" spans="3:7" x14ac:dyDescent="0.2">
      <c r="D130" s="1"/>
      <c r="G130" s="1"/>
    </row>
    <row r="131" spans="3:7" x14ac:dyDescent="0.2">
      <c r="D131" s="1"/>
      <c r="G131" s="1"/>
    </row>
    <row r="132" spans="3:7" x14ac:dyDescent="0.2">
      <c r="D132" s="1"/>
      <c r="G132" s="1"/>
    </row>
    <row r="133" spans="3:7" x14ac:dyDescent="0.2">
      <c r="D133" s="1"/>
      <c r="G133" s="1"/>
    </row>
    <row r="134" spans="3:7" x14ac:dyDescent="0.2">
      <c r="C134" s="1"/>
      <c r="D134" s="1"/>
      <c r="G134" s="1"/>
    </row>
    <row r="135" spans="3:7" x14ac:dyDescent="0.2">
      <c r="D135" s="1"/>
      <c r="G135" s="1"/>
    </row>
    <row r="136" spans="3:7" x14ac:dyDescent="0.2">
      <c r="C136" s="1"/>
      <c r="D136" s="1"/>
      <c r="G136" s="1"/>
    </row>
    <row r="137" spans="3:7" x14ac:dyDescent="0.2">
      <c r="D137" s="1"/>
      <c r="G137" s="1"/>
    </row>
    <row r="138" spans="3:7" x14ac:dyDescent="0.2">
      <c r="D138" s="1"/>
      <c r="G138" s="1"/>
    </row>
    <row r="139" spans="3:7" x14ac:dyDescent="0.2">
      <c r="D139" s="1"/>
      <c r="F139" s="1"/>
      <c r="G139" s="1"/>
    </row>
    <row r="140" spans="3:7" x14ac:dyDescent="0.2">
      <c r="D140" s="1"/>
      <c r="G140" s="1"/>
    </row>
    <row r="141" spans="3:7" x14ac:dyDescent="0.2">
      <c r="D141" s="1"/>
      <c r="G141" s="1"/>
    </row>
    <row r="142" spans="3:7" x14ac:dyDescent="0.2">
      <c r="D142" s="1"/>
      <c r="G142" s="1"/>
    </row>
    <row r="143" spans="3:7" x14ac:dyDescent="0.2">
      <c r="D143" s="1"/>
      <c r="F143" s="1"/>
      <c r="G143" s="1"/>
    </row>
    <row r="144" spans="3:7" x14ac:dyDescent="0.2">
      <c r="D144" s="1"/>
      <c r="G144" s="1"/>
    </row>
    <row r="145" spans="3:7" x14ac:dyDescent="0.2">
      <c r="D145" s="1"/>
      <c r="G145" s="1"/>
    </row>
    <row r="146" spans="3:7" x14ac:dyDescent="0.2">
      <c r="D146" s="1"/>
      <c r="G146" s="1"/>
    </row>
    <row r="147" spans="3:7" x14ac:dyDescent="0.2">
      <c r="C147" s="1"/>
      <c r="D147" s="1"/>
      <c r="G147" s="1"/>
    </row>
    <row r="148" spans="3:7" x14ac:dyDescent="0.2">
      <c r="D148" s="1"/>
      <c r="F148" s="1"/>
      <c r="G148" s="1"/>
    </row>
    <row r="149" spans="3:7" x14ac:dyDescent="0.2">
      <c r="D149" s="1"/>
      <c r="G149" s="1"/>
    </row>
    <row r="150" spans="3:7" x14ac:dyDescent="0.2">
      <c r="D150" s="1"/>
      <c r="G150" s="1"/>
    </row>
    <row r="151" spans="3:7" x14ac:dyDescent="0.2">
      <c r="C151" s="1"/>
      <c r="D151" s="1"/>
      <c r="G151" s="1"/>
    </row>
    <row r="152" spans="3:7" x14ac:dyDescent="0.2">
      <c r="D152" s="1"/>
      <c r="G152" s="1"/>
    </row>
    <row r="153" spans="3:7" x14ac:dyDescent="0.2">
      <c r="C153" s="1"/>
      <c r="D153" s="1"/>
      <c r="G153" s="1"/>
    </row>
    <row r="154" spans="3:7" x14ac:dyDescent="0.2">
      <c r="D154" s="1"/>
      <c r="G154" s="1"/>
    </row>
    <row r="155" spans="3:7" x14ac:dyDescent="0.2">
      <c r="D155" s="1"/>
      <c r="G155" s="1"/>
    </row>
    <row r="156" spans="3:7" x14ac:dyDescent="0.2">
      <c r="D156" s="1"/>
      <c r="F156" s="1"/>
      <c r="G156" s="1"/>
    </row>
    <row r="157" spans="3:7" x14ac:dyDescent="0.2">
      <c r="C157" s="1"/>
      <c r="D157" s="1"/>
      <c r="G157" s="1"/>
    </row>
    <row r="158" spans="3:7" x14ac:dyDescent="0.2">
      <c r="D158" s="1"/>
      <c r="G158" s="1"/>
    </row>
    <row r="159" spans="3:7" x14ac:dyDescent="0.2">
      <c r="C159" s="1"/>
      <c r="D159" s="1"/>
      <c r="G159" s="1"/>
    </row>
    <row r="160" spans="3:7" x14ac:dyDescent="0.2">
      <c r="D160" s="1"/>
      <c r="G160" s="1"/>
    </row>
    <row r="161" spans="3:7" x14ac:dyDescent="0.2">
      <c r="D161" s="1"/>
      <c r="F161" s="1"/>
      <c r="G161" s="1"/>
    </row>
    <row r="162" spans="3:7" x14ac:dyDescent="0.2">
      <c r="D162" s="1"/>
      <c r="G162" s="1"/>
    </row>
    <row r="163" spans="3:7" x14ac:dyDescent="0.2">
      <c r="D163" s="1"/>
      <c r="G163" s="1"/>
    </row>
    <row r="164" spans="3:7" x14ac:dyDescent="0.2">
      <c r="D164" s="1"/>
      <c r="G164" s="1"/>
    </row>
    <row r="165" spans="3:7" x14ac:dyDescent="0.2">
      <c r="D165" s="1"/>
      <c r="G165" s="1"/>
    </row>
    <row r="166" spans="3:7" x14ac:dyDescent="0.2">
      <c r="D166" s="1"/>
      <c r="G166" s="1"/>
    </row>
    <row r="167" spans="3:7" x14ac:dyDescent="0.2">
      <c r="D167" s="1"/>
      <c r="F167" s="1"/>
      <c r="G167" s="1"/>
    </row>
    <row r="168" spans="3:7" x14ac:dyDescent="0.2">
      <c r="D168" s="1"/>
      <c r="G168" s="1"/>
    </row>
    <row r="169" spans="3:7" x14ac:dyDescent="0.2">
      <c r="C169" s="1"/>
      <c r="D169" s="1"/>
      <c r="G169" s="1"/>
    </row>
    <row r="170" spans="3:7" x14ac:dyDescent="0.2">
      <c r="D170" s="1"/>
      <c r="G170" s="1"/>
    </row>
    <row r="171" spans="3:7" x14ac:dyDescent="0.2">
      <c r="D171" s="1"/>
      <c r="G171" s="1"/>
    </row>
    <row r="172" spans="3:7" x14ac:dyDescent="0.2">
      <c r="D172" s="1"/>
      <c r="G172" s="1"/>
    </row>
    <row r="173" spans="3:7" x14ac:dyDescent="0.2">
      <c r="D173" s="1"/>
      <c r="G173" s="1"/>
    </row>
    <row r="174" spans="3:7" x14ac:dyDescent="0.2">
      <c r="D174" s="1"/>
      <c r="G174" s="1"/>
    </row>
    <row r="175" spans="3:7" x14ac:dyDescent="0.2">
      <c r="D175" s="1"/>
      <c r="G175" s="1"/>
    </row>
    <row r="176" spans="3:7" x14ac:dyDescent="0.2">
      <c r="D176" s="1"/>
      <c r="G176" s="1"/>
    </row>
    <row r="177" spans="3:7" x14ac:dyDescent="0.2">
      <c r="D177" s="1"/>
      <c r="F177" s="1"/>
      <c r="G177" s="1"/>
    </row>
    <row r="178" spans="3:7" x14ac:dyDescent="0.2">
      <c r="D178" s="1"/>
      <c r="F178" s="1"/>
      <c r="G178" s="1"/>
    </row>
    <row r="179" spans="3:7" x14ac:dyDescent="0.2">
      <c r="D179" s="1"/>
      <c r="G179" s="1"/>
    </row>
    <row r="180" spans="3:7" x14ac:dyDescent="0.2">
      <c r="D180" s="1"/>
      <c r="F180" s="1"/>
      <c r="G180" s="1"/>
    </row>
    <row r="181" spans="3:7" x14ac:dyDescent="0.2">
      <c r="D181" s="1"/>
      <c r="G181" s="1"/>
    </row>
    <row r="182" spans="3:7" x14ac:dyDescent="0.2">
      <c r="D182" s="1"/>
      <c r="G182" s="1"/>
    </row>
    <row r="183" spans="3:7" x14ac:dyDescent="0.2">
      <c r="C183" s="1"/>
      <c r="D183" s="1"/>
      <c r="G183" s="1"/>
    </row>
    <row r="184" spans="3:7" x14ac:dyDescent="0.2">
      <c r="D184" s="1"/>
      <c r="G184" s="1"/>
    </row>
    <row r="185" spans="3:7" x14ac:dyDescent="0.2">
      <c r="C185" s="1"/>
      <c r="D185" s="1"/>
      <c r="G185" s="1"/>
    </row>
    <row r="186" spans="3:7" x14ac:dyDescent="0.2">
      <c r="D186" s="1"/>
      <c r="G186" s="1"/>
    </row>
    <row r="187" spans="3:7" x14ac:dyDescent="0.2">
      <c r="D187" s="1"/>
      <c r="G187" s="1"/>
    </row>
    <row r="188" spans="3:7" x14ac:dyDescent="0.2">
      <c r="D188" s="1"/>
      <c r="G188" s="1"/>
    </row>
    <row r="189" spans="3:7" x14ac:dyDescent="0.2">
      <c r="D189" s="1"/>
      <c r="G189" s="1"/>
    </row>
    <row r="190" spans="3:7" x14ac:dyDescent="0.2">
      <c r="D190" s="1"/>
      <c r="G190" s="1"/>
    </row>
    <row r="191" spans="3:7" x14ac:dyDescent="0.2">
      <c r="C191" s="1"/>
      <c r="D191" s="1"/>
      <c r="G191" s="1"/>
    </row>
    <row r="192" spans="3:7" x14ac:dyDescent="0.2">
      <c r="D192" s="1"/>
      <c r="G192" s="1"/>
    </row>
    <row r="193" spans="3:7" x14ac:dyDescent="0.2">
      <c r="D193" s="1"/>
      <c r="G193" s="1"/>
    </row>
    <row r="194" spans="3:7" x14ac:dyDescent="0.2">
      <c r="D194" s="1"/>
      <c r="G194" s="1"/>
    </row>
    <row r="195" spans="3:7" x14ac:dyDescent="0.2">
      <c r="C195" s="1"/>
      <c r="D195" s="1"/>
      <c r="G195" s="1"/>
    </row>
    <row r="196" spans="3:7" x14ac:dyDescent="0.2">
      <c r="D196" s="1"/>
      <c r="G196" s="1"/>
    </row>
    <row r="197" spans="3:7" x14ac:dyDescent="0.2">
      <c r="D197" s="1"/>
      <c r="G197" s="1"/>
    </row>
    <row r="198" spans="3:7" x14ac:dyDescent="0.2">
      <c r="D198" s="1"/>
      <c r="G198" s="1"/>
    </row>
    <row r="199" spans="3:7" x14ac:dyDescent="0.2">
      <c r="D199" s="1"/>
      <c r="G199" s="1"/>
    </row>
    <row r="200" spans="3:7" x14ac:dyDescent="0.2">
      <c r="D200" s="1"/>
      <c r="G200" s="1"/>
    </row>
    <row r="201" spans="3:7" x14ac:dyDescent="0.2">
      <c r="D201" s="1"/>
      <c r="G201" s="1"/>
    </row>
    <row r="202" spans="3:7" x14ac:dyDescent="0.2">
      <c r="D202" s="1"/>
      <c r="F202" s="1"/>
      <c r="G202" s="1"/>
    </row>
    <row r="203" spans="3:7" x14ac:dyDescent="0.2">
      <c r="D203" s="1"/>
      <c r="G203" s="1"/>
    </row>
    <row r="204" spans="3:7" x14ac:dyDescent="0.2">
      <c r="D204" s="1"/>
      <c r="G204" s="1"/>
    </row>
    <row r="205" spans="3:7" x14ac:dyDescent="0.2">
      <c r="D205" s="1"/>
      <c r="G205" s="1"/>
    </row>
    <row r="206" spans="3:7" x14ac:dyDescent="0.2">
      <c r="D206" s="1"/>
      <c r="G206" s="1"/>
    </row>
    <row r="207" spans="3:7" x14ac:dyDescent="0.2">
      <c r="D207" s="1"/>
      <c r="G207" s="1"/>
    </row>
    <row r="208" spans="3:7" x14ac:dyDescent="0.2">
      <c r="D208" s="1"/>
      <c r="G208" s="1"/>
    </row>
    <row r="209" spans="4:7" x14ac:dyDescent="0.2">
      <c r="D209" s="1"/>
      <c r="G209" s="1"/>
    </row>
    <row r="210" spans="4:7" x14ac:dyDescent="0.2">
      <c r="D210" s="1"/>
      <c r="G210" s="1"/>
    </row>
    <row r="211" spans="4:7" x14ac:dyDescent="0.2">
      <c r="D211" s="1"/>
      <c r="G211" s="1"/>
    </row>
    <row r="212" spans="4:7" x14ac:dyDescent="0.2">
      <c r="D212" s="1"/>
      <c r="G212" s="1"/>
    </row>
    <row r="213" spans="4:7" x14ac:dyDescent="0.2">
      <c r="D213" s="1"/>
      <c r="G213" s="1"/>
    </row>
    <row r="214" spans="4:7" x14ac:dyDescent="0.2">
      <c r="D214" s="1"/>
      <c r="G214" s="1"/>
    </row>
    <row r="215" spans="4:7" x14ac:dyDescent="0.2">
      <c r="D215" s="1"/>
      <c r="G215" s="1"/>
    </row>
    <row r="216" spans="4:7" x14ac:dyDescent="0.2">
      <c r="D216" s="1"/>
      <c r="G216" s="1"/>
    </row>
    <row r="217" spans="4:7" x14ac:dyDescent="0.2">
      <c r="D217" s="1"/>
      <c r="G217" s="1"/>
    </row>
    <row r="218" spans="4:7" x14ac:dyDescent="0.2">
      <c r="D218" s="1"/>
      <c r="G218" s="1"/>
    </row>
    <row r="219" spans="4:7" x14ac:dyDescent="0.2">
      <c r="D219" s="1"/>
      <c r="G219" s="1"/>
    </row>
    <row r="220" spans="4:7" x14ac:dyDescent="0.2">
      <c r="D220" s="1"/>
      <c r="G220" s="1"/>
    </row>
    <row r="221" spans="4:7" x14ac:dyDescent="0.2">
      <c r="D221" s="1"/>
      <c r="G221" s="1"/>
    </row>
    <row r="222" spans="4:7" x14ac:dyDescent="0.2">
      <c r="D222" s="1"/>
      <c r="G222" s="1"/>
    </row>
    <row r="223" spans="4:7" x14ac:dyDescent="0.2">
      <c r="D223" s="1"/>
      <c r="G223" s="1"/>
    </row>
    <row r="224" spans="4:7" x14ac:dyDescent="0.2">
      <c r="D224" s="1"/>
      <c r="G224" s="1"/>
    </row>
    <row r="225" spans="4:7" x14ac:dyDescent="0.2">
      <c r="D225" s="1"/>
      <c r="G225" s="1"/>
    </row>
    <row r="226" spans="4:7" x14ac:dyDescent="0.2">
      <c r="D226" s="1"/>
      <c r="G226" s="1"/>
    </row>
    <row r="227" spans="4:7" x14ac:dyDescent="0.2">
      <c r="D227" s="1"/>
      <c r="G227" s="1"/>
    </row>
    <row r="228" spans="4:7" x14ac:dyDescent="0.2">
      <c r="D228" s="1"/>
      <c r="G228" s="1"/>
    </row>
    <row r="229" spans="4:7" x14ac:dyDescent="0.2">
      <c r="D229" s="1"/>
      <c r="G229" s="1"/>
    </row>
    <row r="230" spans="4:7" x14ac:dyDescent="0.2">
      <c r="D230" s="1"/>
      <c r="G230" s="1"/>
    </row>
    <row r="231" spans="4:7" x14ac:dyDescent="0.2">
      <c r="D231" s="1"/>
      <c r="G231" s="1"/>
    </row>
    <row r="232" spans="4:7" x14ac:dyDescent="0.2">
      <c r="D232" s="1"/>
      <c r="G232" s="1"/>
    </row>
    <row r="233" spans="4:7" x14ac:dyDescent="0.2">
      <c r="D233" s="1"/>
      <c r="G233" s="1"/>
    </row>
    <row r="234" spans="4:7" x14ac:dyDescent="0.2">
      <c r="D234" s="1"/>
      <c r="G234" s="1"/>
    </row>
    <row r="235" spans="4:7" x14ac:dyDescent="0.2">
      <c r="D235" s="1"/>
      <c r="G235" s="1"/>
    </row>
    <row r="236" spans="4:7" x14ac:dyDescent="0.2">
      <c r="D236" s="1"/>
      <c r="G236" s="1"/>
    </row>
    <row r="237" spans="4:7" x14ac:dyDescent="0.2">
      <c r="D237" s="1"/>
      <c r="G237" s="1"/>
    </row>
    <row r="238" spans="4:7" x14ac:dyDescent="0.2">
      <c r="D238" s="1"/>
      <c r="G238" s="1"/>
    </row>
    <row r="239" spans="4:7" x14ac:dyDescent="0.2">
      <c r="D239" s="1"/>
      <c r="G239" s="1"/>
    </row>
    <row r="240" spans="4:7" x14ac:dyDescent="0.2">
      <c r="D240" s="1"/>
      <c r="G240" s="1"/>
    </row>
    <row r="241" spans="4:7" x14ac:dyDescent="0.2">
      <c r="D241" s="1"/>
      <c r="G241" s="1"/>
    </row>
    <row r="242" spans="4:7" x14ac:dyDescent="0.2">
      <c r="D242" s="1"/>
      <c r="G242" s="1"/>
    </row>
    <row r="243" spans="4:7" x14ac:dyDescent="0.2">
      <c r="D243" s="1"/>
      <c r="G243" s="1"/>
    </row>
    <row r="244" spans="4:7" x14ac:dyDescent="0.2">
      <c r="D244" s="1"/>
      <c r="G244" s="1"/>
    </row>
    <row r="245" spans="4:7" x14ac:dyDescent="0.2">
      <c r="D245" s="1"/>
      <c r="G245" s="1"/>
    </row>
    <row r="246" spans="4:7" x14ac:dyDescent="0.2">
      <c r="D246" s="1"/>
      <c r="G246" s="1"/>
    </row>
    <row r="247" spans="4:7" x14ac:dyDescent="0.2">
      <c r="D247" s="1"/>
      <c r="G247" s="1"/>
    </row>
    <row r="248" spans="4:7" x14ac:dyDescent="0.2">
      <c r="D248" s="1"/>
      <c r="G248" s="1"/>
    </row>
    <row r="249" spans="4:7" x14ac:dyDescent="0.2">
      <c r="D249" s="1"/>
      <c r="G249" s="1"/>
    </row>
    <row r="250" spans="4:7" x14ac:dyDescent="0.2">
      <c r="D250" s="1"/>
      <c r="G250" s="1"/>
    </row>
    <row r="251" spans="4:7" x14ac:dyDescent="0.2">
      <c r="D251" s="1"/>
      <c r="G251" s="1"/>
    </row>
    <row r="252" spans="4:7" x14ac:dyDescent="0.2">
      <c r="D252" s="1"/>
      <c r="G252" s="1"/>
    </row>
    <row r="253" spans="4:7" x14ac:dyDescent="0.2">
      <c r="D253" s="1"/>
      <c r="G253" s="1"/>
    </row>
    <row r="254" spans="4:7" x14ac:dyDescent="0.2">
      <c r="D254" s="1"/>
      <c r="G254" s="1"/>
    </row>
    <row r="255" spans="4:7" x14ac:dyDescent="0.2">
      <c r="D255" s="1"/>
      <c r="G255" s="1"/>
    </row>
    <row r="256" spans="4:7" x14ac:dyDescent="0.2">
      <c r="D256" s="1"/>
      <c r="G256" s="1"/>
    </row>
    <row r="257" spans="4:7" x14ac:dyDescent="0.2">
      <c r="D257" s="1"/>
      <c r="G257" s="1"/>
    </row>
    <row r="258" spans="4:7" x14ac:dyDescent="0.2">
      <c r="D258" s="1"/>
      <c r="G258" s="1"/>
    </row>
    <row r="259" spans="4:7" x14ac:dyDescent="0.2">
      <c r="D259" s="1"/>
      <c r="G259" s="1"/>
    </row>
    <row r="260" spans="4:7" x14ac:dyDescent="0.2">
      <c r="D260" s="1"/>
      <c r="G260" s="1"/>
    </row>
    <row r="261" spans="4:7" x14ac:dyDescent="0.2">
      <c r="D261" s="1"/>
      <c r="G261" s="1"/>
    </row>
    <row r="262" spans="4:7" x14ac:dyDescent="0.2">
      <c r="D262" s="1"/>
      <c r="G262" s="1"/>
    </row>
    <row r="263" spans="4:7" x14ac:dyDescent="0.2">
      <c r="D263" s="1"/>
      <c r="G263" s="1"/>
    </row>
    <row r="264" spans="4:7" x14ac:dyDescent="0.2">
      <c r="D264" s="1"/>
      <c r="G264" s="1"/>
    </row>
    <row r="265" spans="4:7" x14ac:dyDescent="0.2">
      <c r="D265" s="1"/>
      <c r="G265" s="1"/>
    </row>
    <row r="266" spans="4:7" x14ac:dyDescent="0.2">
      <c r="D266" s="1"/>
      <c r="G266" s="1"/>
    </row>
    <row r="267" spans="4:7" x14ac:dyDescent="0.2">
      <c r="D267" s="1"/>
      <c r="G267" s="1"/>
    </row>
    <row r="268" spans="4:7" x14ac:dyDescent="0.2">
      <c r="D268" s="1"/>
      <c r="G268" s="1"/>
    </row>
    <row r="269" spans="4:7" x14ac:dyDescent="0.2">
      <c r="D269" s="1"/>
      <c r="G269" s="1"/>
    </row>
    <row r="270" spans="4:7" x14ac:dyDescent="0.2">
      <c r="D270" s="1"/>
      <c r="G270" s="1"/>
    </row>
    <row r="271" spans="4:7" x14ac:dyDescent="0.2">
      <c r="D271" s="1"/>
      <c r="G271" s="1"/>
    </row>
    <row r="272" spans="4:7" x14ac:dyDescent="0.2">
      <c r="D272" s="1"/>
      <c r="G272" s="1"/>
    </row>
    <row r="273" spans="4:7" x14ac:dyDescent="0.2">
      <c r="D273" s="1"/>
      <c r="G273" s="1"/>
    </row>
    <row r="274" spans="4:7" x14ac:dyDescent="0.2">
      <c r="D274" s="1"/>
      <c r="G274" s="1"/>
    </row>
    <row r="275" spans="4:7" x14ac:dyDescent="0.2">
      <c r="D275" s="1"/>
      <c r="G275" s="1"/>
    </row>
    <row r="276" spans="4:7" x14ac:dyDescent="0.2">
      <c r="D276" s="1"/>
      <c r="G276" s="1"/>
    </row>
    <row r="277" spans="4:7" x14ac:dyDescent="0.2">
      <c r="D277" s="1"/>
      <c r="G277" s="1"/>
    </row>
    <row r="278" spans="4:7" x14ac:dyDescent="0.2">
      <c r="D278" s="1"/>
      <c r="G278" s="1"/>
    </row>
    <row r="279" spans="4:7" x14ac:dyDescent="0.2">
      <c r="D279" s="1"/>
      <c r="G279" s="1"/>
    </row>
    <row r="280" spans="4:7" x14ac:dyDescent="0.2">
      <c r="D280" s="1"/>
      <c r="G280" s="1"/>
    </row>
    <row r="281" spans="4:7" x14ac:dyDescent="0.2">
      <c r="D281" s="1"/>
      <c r="G281" s="1"/>
    </row>
    <row r="282" spans="4:7" x14ac:dyDescent="0.2">
      <c r="D282" s="1"/>
      <c r="G282" s="1"/>
    </row>
    <row r="283" spans="4:7" x14ac:dyDescent="0.2">
      <c r="D283" s="1"/>
      <c r="G283" s="1"/>
    </row>
    <row r="284" spans="4:7" x14ac:dyDescent="0.2">
      <c r="D284" s="1"/>
      <c r="G284" s="1"/>
    </row>
    <row r="285" spans="4:7" x14ac:dyDescent="0.2">
      <c r="D285" s="1"/>
      <c r="G285" s="1"/>
    </row>
    <row r="286" spans="4:7" x14ac:dyDescent="0.2">
      <c r="D286" s="1"/>
      <c r="G286" s="1"/>
    </row>
    <row r="287" spans="4:7" x14ac:dyDescent="0.2">
      <c r="D287" s="1"/>
      <c r="G287" s="1"/>
    </row>
    <row r="288" spans="4:7" x14ac:dyDescent="0.2">
      <c r="D288" s="1"/>
      <c r="G288" s="1"/>
    </row>
    <row r="289" spans="4:7" x14ac:dyDescent="0.2">
      <c r="D289" s="1"/>
      <c r="G289" s="1"/>
    </row>
    <row r="290" spans="4:7" x14ac:dyDescent="0.2">
      <c r="D290" s="1"/>
      <c r="G290" s="1"/>
    </row>
    <row r="291" spans="4:7" x14ac:dyDescent="0.2">
      <c r="D291" s="1"/>
      <c r="G291" s="1"/>
    </row>
    <row r="292" spans="4:7" x14ac:dyDescent="0.2">
      <c r="D292" s="1"/>
      <c r="G292" s="1"/>
    </row>
    <row r="293" spans="4:7" x14ac:dyDescent="0.2">
      <c r="D293" s="1"/>
      <c r="G293" s="1"/>
    </row>
    <row r="294" spans="4:7" x14ac:dyDescent="0.2">
      <c r="D294" s="1"/>
      <c r="G294" s="1"/>
    </row>
    <row r="295" spans="4:7" x14ac:dyDescent="0.2">
      <c r="D295" s="1"/>
      <c r="G295" s="1"/>
    </row>
    <row r="296" spans="4:7" x14ac:dyDescent="0.2">
      <c r="D296" s="1"/>
      <c r="G296" s="1"/>
    </row>
    <row r="297" spans="4:7" x14ac:dyDescent="0.2">
      <c r="D297" s="1"/>
      <c r="G297" s="1"/>
    </row>
    <row r="298" spans="4:7" x14ac:dyDescent="0.2">
      <c r="D298" s="1"/>
      <c r="G298" s="1"/>
    </row>
    <row r="299" spans="4:7" x14ac:dyDescent="0.2">
      <c r="D299" s="1"/>
      <c r="G299" s="1"/>
    </row>
    <row r="300" spans="4:7" x14ac:dyDescent="0.2">
      <c r="D300" s="1"/>
      <c r="G300" s="1"/>
    </row>
    <row r="301" spans="4:7" x14ac:dyDescent="0.2">
      <c r="D301" s="1"/>
      <c r="F301" s="1"/>
    </row>
    <row r="302" spans="4:7" x14ac:dyDescent="0.2">
      <c r="D302" s="1"/>
      <c r="F302" s="1"/>
    </row>
    <row r="303" spans="4:7" x14ac:dyDescent="0.2">
      <c r="D303" s="1"/>
      <c r="F303" s="1"/>
    </row>
    <row r="304" spans="4:7" x14ac:dyDescent="0.2">
      <c r="D304" s="1"/>
      <c r="F304" s="1"/>
    </row>
    <row r="305" spans="4:7" x14ac:dyDescent="0.2">
      <c r="D305" s="1"/>
      <c r="F305" s="1"/>
    </row>
    <row r="306" spans="4:7" x14ac:dyDescent="0.2">
      <c r="D306" s="1"/>
      <c r="F306" s="1"/>
    </row>
    <row r="307" spans="4:7" x14ac:dyDescent="0.2">
      <c r="D307" s="1"/>
      <c r="F307" s="1"/>
    </row>
    <row r="308" spans="4:7" x14ac:dyDescent="0.2">
      <c r="D308" s="1"/>
      <c r="F308" s="1"/>
    </row>
    <row r="309" spans="4:7" x14ac:dyDescent="0.2">
      <c r="D309" s="1"/>
      <c r="G309" s="1"/>
    </row>
    <row r="310" spans="4:7" x14ac:dyDescent="0.2">
      <c r="D310" s="1"/>
      <c r="G310" s="1"/>
    </row>
    <row r="311" spans="4:7" x14ac:dyDescent="0.2">
      <c r="D311" s="1"/>
      <c r="G311" s="1"/>
    </row>
    <row r="312" spans="4:7" x14ac:dyDescent="0.2">
      <c r="D312" s="1"/>
      <c r="G312" s="1"/>
    </row>
    <row r="313" spans="4:7" x14ac:dyDescent="0.2">
      <c r="D313" s="1"/>
      <c r="G313" s="1"/>
    </row>
    <row r="314" spans="4:7" x14ac:dyDescent="0.2">
      <c r="D314" s="1"/>
      <c r="G314" s="1"/>
    </row>
    <row r="315" spans="4:7" x14ac:dyDescent="0.2">
      <c r="D315" s="1"/>
      <c r="G315" s="1"/>
    </row>
    <row r="316" spans="4:7" x14ac:dyDescent="0.2">
      <c r="D316" s="1"/>
      <c r="G316" s="1"/>
    </row>
    <row r="317" spans="4:7" x14ac:dyDescent="0.2">
      <c r="D317" s="1"/>
      <c r="G317" s="1"/>
    </row>
    <row r="318" spans="4:7" x14ac:dyDescent="0.2">
      <c r="D318" s="1"/>
      <c r="G318" s="1"/>
    </row>
    <row r="319" spans="4:7" x14ac:dyDescent="0.2">
      <c r="D319" s="1"/>
      <c r="G319" s="1"/>
    </row>
    <row r="320" spans="4:7" x14ac:dyDescent="0.2">
      <c r="D320" s="1"/>
      <c r="G320" s="1"/>
    </row>
    <row r="321" spans="4:7" x14ac:dyDescent="0.2">
      <c r="D321" s="1"/>
      <c r="G321" s="1"/>
    </row>
    <row r="322" spans="4:7" x14ac:dyDescent="0.2">
      <c r="D322" s="1"/>
      <c r="G322" s="1"/>
    </row>
    <row r="323" spans="4:7" x14ac:dyDescent="0.2">
      <c r="D323" s="1"/>
      <c r="G323" s="1"/>
    </row>
    <row r="324" spans="4:7" x14ac:dyDescent="0.2">
      <c r="D324" s="1"/>
      <c r="G324" s="1"/>
    </row>
    <row r="325" spans="4:7" x14ac:dyDescent="0.2">
      <c r="D325" s="1"/>
      <c r="G325" s="1"/>
    </row>
    <row r="326" spans="4:7" x14ac:dyDescent="0.2">
      <c r="D326" s="1"/>
      <c r="G326" s="1"/>
    </row>
    <row r="327" spans="4:7" x14ac:dyDescent="0.2">
      <c r="D327" s="1"/>
      <c r="G327" s="1"/>
    </row>
    <row r="328" spans="4:7" x14ac:dyDescent="0.2">
      <c r="D328" s="1"/>
      <c r="G328" s="1"/>
    </row>
    <row r="329" spans="4:7" x14ac:dyDescent="0.2">
      <c r="D329" s="1"/>
      <c r="G329" s="1"/>
    </row>
    <row r="330" spans="4:7" x14ac:dyDescent="0.2">
      <c r="D330" s="1"/>
      <c r="G330" s="1"/>
    </row>
    <row r="331" spans="4:7" x14ac:dyDescent="0.2">
      <c r="D331" s="1"/>
      <c r="G331" s="1"/>
    </row>
    <row r="332" spans="4:7" x14ac:dyDescent="0.2">
      <c r="D332" s="1"/>
      <c r="G332" s="1"/>
    </row>
    <row r="333" spans="4:7" x14ac:dyDescent="0.2">
      <c r="D333" s="1"/>
      <c r="G333" s="1"/>
    </row>
    <row r="334" spans="4:7" x14ac:dyDescent="0.2">
      <c r="D334" s="1"/>
      <c r="G334" s="1"/>
    </row>
    <row r="335" spans="4:7" x14ac:dyDescent="0.2">
      <c r="D335" s="1"/>
      <c r="G335" s="1"/>
    </row>
    <row r="336" spans="4:7" x14ac:dyDescent="0.2">
      <c r="D336" s="1"/>
      <c r="G336" s="1"/>
    </row>
    <row r="337" spans="4:7" x14ac:dyDescent="0.2">
      <c r="D337" s="1"/>
      <c r="G337" s="1"/>
    </row>
    <row r="338" spans="4:7" x14ac:dyDescent="0.2">
      <c r="D338" s="1"/>
      <c r="G338" s="1"/>
    </row>
    <row r="339" spans="4:7" x14ac:dyDescent="0.2">
      <c r="D339" s="1"/>
      <c r="G339" s="1"/>
    </row>
    <row r="340" spans="4:7" x14ac:dyDescent="0.2">
      <c r="D340" s="1"/>
      <c r="G340" s="1"/>
    </row>
    <row r="341" spans="4:7" x14ac:dyDescent="0.2">
      <c r="D341" s="1"/>
      <c r="G341" s="1"/>
    </row>
    <row r="342" spans="4:7" x14ac:dyDescent="0.2">
      <c r="D342" s="1"/>
      <c r="G342" s="1"/>
    </row>
    <row r="343" spans="4:7" x14ac:dyDescent="0.2">
      <c r="D343" s="1"/>
      <c r="G343" s="1"/>
    </row>
    <row r="344" spans="4:7" x14ac:dyDescent="0.2">
      <c r="D344" s="1"/>
      <c r="G344" s="1"/>
    </row>
    <row r="345" spans="4:7" x14ac:dyDescent="0.2">
      <c r="D345" s="1"/>
      <c r="G345" s="1"/>
    </row>
    <row r="346" spans="4:7" x14ac:dyDescent="0.2">
      <c r="G346" s="1"/>
    </row>
    <row r="347" spans="4:7" x14ac:dyDescent="0.2">
      <c r="G347" s="1"/>
    </row>
    <row r="348" spans="4:7" x14ac:dyDescent="0.2">
      <c r="G348" s="1"/>
    </row>
    <row r="349" spans="4:7" x14ac:dyDescent="0.2">
      <c r="G349" s="1"/>
    </row>
    <row r="350" spans="4:7" x14ac:dyDescent="0.2">
      <c r="G350" s="1"/>
    </row>
    <row r="351" spans="4:7" x14ac:dyDescent="0.2">
      <c r="G351" s="1"/>
    </row>
    <row r="352" spans="4:7" x14ac:dyDescent="0.2">
      <c r="G352" s="1"/>
    </row>
    <row r="353" spans="7:7" x14ac:dyDescent="0.2">
      <c r="G353" s="1"/>
    </row>
    <row r="354" spans="7:7" x14ac:dyDescent="0.2">
      <c r="G354" s="1"/>
    </row>
    <row r="355" spans="7:7" x14ac:dyDescent="0.2">
      <c r="G355" s="1"/>
    </row>
    <row r="356" spans="7:7" x14ac:dyDescent="0.2">
      <c r="G356" s="1"/>
    </row>
    <row r="357" spans="7:7" x14ac:dyDescent="0.2">
      <c r="G357" s="1"/>
    </row>
    <row r="358" spans="7:7" x14ac:dyDescent="0.2">
      <c r="G358" s="1"/>
    </row>
    <row r="359" spans="7:7" x14ac:dyDescent="0.2">
      <c r="G359" s="1"/>
    </row>
    <row r="360" spans="7:7" x14ac:dyDescent="0.2">
      <c r="G360" s="1"/>
    </row>
    <row r="361" spans="7:7" x14ac:dyDescent="0.2">
      <c r="G361" s="1"/>
    </row>
    <row r="362" spans="7:7" x14ac:dyDescent="0.2">
      <c r="G362" s="1"/>
    </row>
    <row r="363" spans="7:7" x14ac:dyDescent="0.2">
      <c r="G363" s="1"/>
    </row>
    <row r="364" spans="7:7" x14ac:dyDescent="0.2">
      <c r="G364" s="1"/>
    </row>
    <row r="365" spans="7:7" x14ac:dyDescent="0.2">
      <c r="G365" s="1"/>
    </row>
    <row r="366" spans="7:7" x14ac:dyDescent="0.2">
      <c r="G366" s="1"/>
    </row>
    <row r="367" spans="7:7" x14ac:dyDescent="0.2">
      <c r="G367" s="1"/>
    </row>
    <row r="368" spans="7:7" x14ac:dyDescent="0.2">
      <c r="G368" s="1"/>
    </row>
    <row r="369" spans="7:7" x14ac:dyDescent="0.2">
      <c r="G369" s="1"/>
    </row>
    <row r="370" spans="7:7" x14ac:dyDescent="0.2">
      <c r="G370" s="1"/>
    </row>
    <row r="371" spans="7:7" x14ac:dyDescent="0.2">
      <c r="G371" s="1"/>
    </row>
    <row r="372" spans="7:7" x14ac:dyDescent="0.2">
      <c r="G372" s="1"/>
    </row>
    <row r="373" spans="7:7" x14ac:dyDescent="0.2">
      <c r="G373" s="1"/>
    </row>
    <row r="374" spans="7:7" x14ac:dyDescent="0.2">
      <c r="G374" s="1"/>
    </row>
    <row r="375" spans="7:7" x14ac:dyDescent="0.2">
      <c r="G375" s="1"/>
    </row>
    <row r="376" spans="7:7" x14ac:dyDescent="0.2">
      <c r="G376" s="1"/>
    </row>
    <row r="377" spans="7:7" x14ac:dyDescent="0.2">
      <c r="G377" s="1"/>
    </row>
    <row r="378" spans="7:7" x14ac:dyDescent="0.2">
      <c r="G378" s="1"/>
    </row>
    <row r="379" spans="7:7" x14ac:dyDescent="0.2">
      <c r="G379" s="1"/>
    </row>
    <row r="380" spans="7:7" x14ac:dyDescent="0.2">
      <c r="G380" s="1"/>
    </row>
    <row r="381" spans="7:7" x14ac:dyDescent="0.2">
      <c r="G381" s="1"/>
    </row>
    <row r="382" spans="7:7" x14ac:dyDescent="0.2">
      <c r="G382" s="1"/>
    </row>
    <row r="383" spans="7:7" x14ac:dyDescent="0.2">
      <c r="G383" s="1"/>
    </row>
    <row r="384" spans="7:7" x14ac:dyDescent="0.2">
      <c r="G384" s="1"/>
    </row>
    <row r="385" spans="7:7" x14ac:dyDescent="0.2">
      <c r="G385" s="1"/>
    </row>
    <row r="386" spans="7:7" x14ac:dyDescent="0.2">
      <c r="G386" s="1"/>
    </row>
    <row r="387" spans="7:7" x14ac:dyDescent="0.2">
      <c r="G387" s="1"/>
    </row>
    <row r="388" spans="7:7" x14ac:dyDescent="0.2">
      <c r="G388" s="1"/>
    </row>
    <row r="389" spans="7:7" x14ac:dyDescent="0.2">
      <c r="G389" s="1"/>
    </row>
    <row r="390" spans="7:7" x14ac:dyDescent="0.2">
      <c r="G390" s="1"/>
    </row>
    <row r="391" spans="7:7" x14ac:dyDescent="0.2">
      <c r="G391" s="1"/>
    </row>
    <row r="392" spans="7:7" x14ac:dyDescent="0.2">
      <c r="G392" s="1"/>
    </row>
    <row r="393" spans="7:7" x14ac:dyDescent="0.2">
      <c r="G393" s="1"/>
    </row>
    <row r="394" spans="7:7" x14ac:dyDescent="0.2">
      <c r="G394" s="1"/>
    </row>
    <row r="395" spans="7:7" x14ac:dyDescent="0.2">
      <c r="G395" s="1"/>
    </row>
    <row r="396" spans="7:7" x14ac:dyDescent="0.2">
      <c r="G396" s="1"/>
    </row>
    <row r="397" spans="7:7" x14ac:dyDescent="0.2">
      <c r="G397" s="1"/>
    </row>
    <row r="398" spans="7:7" x14ac:dyDescent="0.2">
      <c r="G398" s="1"/>
    </row>
    <row r="399" spans="7:7" x14ac:dyDescent="0.2">
      <c r="G399" s="1"/>
    </row>
  </sheetData>
  <autoFilter ref="B2:G2" xr:uid="{9312E6AC-C8B4-4D4D-88D2-D9AE740381DA}">
    <sortState ref="B3:G202">
      <sortCondition ref="C2:C202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erData">
                <anchor>
                  <from>
                    <xdr:col>7</xdr:col>
                    <xdr:colOff>101600</xdr:colOff>
                    <xdr:row>5</xdr:row>
                    <xdr:rowOff>25400</xdr:rowOff>
                  </from>
                  <to>
                    <xdr:col>8</xdr:col>
                    <xdr:colOff>698500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importWebData">
                <anchor>
                  <from>
                    <xdr:col>7</xdr:col>
                    <xdr:colOff>101600</xdr:colOff>
                    <xdr:row>1</xdr:row>
                    <xdr:rowOff>12700</xdr:rowOff>
                  </from>
                  <to>
                    <xdr:col>8</xdr:col>
                    <xdr:colOff>698500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ortData">
                <anchor>
                  <from>
                    <xdr:col>7</xdr:col>
                    <xdr:colOff>101600</xdr:colOff>
                    <xdr:row>3</xdr:row>
                    <xdr:rowOff>12700</xdr:rowOff>
                  </from>
                  <to>
                    <xdr:col>8</xdr:col>
                    <xdr:colOff>698500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Button5_Click" altText="Upload data to server">
                <anchor>
                  <from>
                    <xdr:col>8</xdr:col>
                    <xdr:colOff>787400</xdr:colOff>
                    <xdr:row>1</xdr:row>
                    <xdr:rowOff>12700</xdr:rowOff>
                  </from>
                  <to>
                    <xdr:col>10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32863-C0B2-714D-A7EA-EC0842BA3001}">
  <sheetPr codeName="Sheet5">
    <tabColor theme="5"/>
  </sheetPr>
  <dimension ref="A1:I381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3" sqref="B3"/>
    </sheetView>
  </sheetViews>
  <sheetFormatPr baseColWidth="10" defaultRowHeight="16" x14ac:dyDescent="0.2"/>
  <cols>
    <col min="1" max="1" width="3.33203125" customWidth="1"/>
    <col min="2" max="2" width="19.1640625" customWidth="1"/>
    <col min="3" max="3" width="39.33203125" bestFit="1" customWidth="1"/>
    <col min="4" max="4" width="33.33203125" bestFit="1" customWidth="1"/>
    <col min="5" max="5" width="22.83203125" bestFit="1" customWidth="1"/>
    <col min="6" max="6" width="130.33203125" bestFit="1" customWidth="1"/>
  </cols>
  <sheetData>
    <row r="1" spans="1:9" x14ac:dyDescent="0.2">
      <c r="A1" s="27"/>
      <c r="B1" s="26"/>
      <c r="C1" s="27"/>
      <c r="D1" s="27"/>
      <c r="E1" s="27"/>
      <c r="F1" s="27"/>
    </row>
    <row r="2" spans="1:9" x14ac:dyDescent="0.2">
      <c r="A2" s="27"/>
      <c r="B2" s="2" t="s">
        <v>167</v>
      </c>
      <c r="C2" s="2" t="s">
        <v>168</v>
      </c>
      <c r="D2" s="2" t="s">
        <v>169</v>
      </c>
      <c r="E2" s="2" t="s">
        <v>170</v>
      </c>
      <c r="F2" s="2" t="s">
        <v>171</v>
      </c>
    </row>
    <row r="3" spans="1:9" x14ac:dyDescent="0.2">
      <c r="A3" s="27"/>
      <c r="B3" s="30"/>
      <c r="G3" s="27"/>
      <c r="H3" s="27"/>
      <c r="I3" s="27"/>
    </row>
    <row r="4" spans="1:9" x14ac:dyDescent="0.2">
      <c r="A4" s="27"/>
      <c r="B4" s="30"/>
      <c r="C4" s="28"/>
      <c r="D4" s="28"/>
      <c r="E4" s="28"/>
      <c r="F4" s="28"/>
      <c r="G4" s="27"/>
      <c r="H4" s="27"/>
    </row>
    <row r="5" spans="1:9" x14ac:dyDescent="0.2">
      <c r="A5" s="27"/>
      <c r="B5" s="30"/>
      <c r="G5" s="27"/>
      <c r="H5" s="27"/>
    </row>
    <row r="6" spans="1:9" x14ac:dyDescent="0.2">
      <c r="A6" s="27"/>
      <c r="B6" s="30"/>
      <c r="C6" s="28"/>
      <c r="D6" s="28"/>
      <c r="E6" s="28"/>
      <c r="F6" s="28"/>
      <c r="G6" s="27"/>
      <c r="H6" s="27"/>
    </row>
    <row r="7" spans="1:9" x14ac:dyDescent="0.2">
      <c r="A7" s="27"/>
      <c r="B7" s="30"/>
      <c r="C7" s="28"/>
      <c r="D7" s="28"/>
      <c r="E7" s="28"/>
      <c r="F7" s="28"/>
      <c r="G7" s="27"/>
      <c r="H7" s="27"/>
    </row>
    <row r="8" spans="1:9" x14ac:dyDescent="0.2">
      <c r="A8" s="27"/>
      <c r="B8" s="30"/>
      <c r="C8" s="28"/>
      <c r="D8" s="28"/>
      <c r="E8" s="28"/>
      <c r="F8" s="28"/>
      <c r="G8" s="27"/>
      <c r="H8" s="27"/>
    </row>
    <row r="9" spans="1:9" x14ac:dyDescent="0.2">
      <c r="A9" s="27"/>
      <c r="B9" s="30"/>
      <c r="G9" s="27"/>
      <c r="H9" s="27"/>
    </row>
    <row r="10" spans="1:9" x14ac:dyDescent="0.2">
      <c r="A10" s="27"/>
      <c r="B10" s="30"/>
      <c r="G10" s="27"/>
      <c r="H10" s="27"/>
    </row>
    <row r="11" spans="1:9" x14ac:dyDescent="0.2">
      <c r="A11" s="27"/>
      <c r="B11" s="30"/>
      <c r="G11" s="27"/>
      <c r="H11" s="27"/>
    </row>
    <row r="12" spans="1:9" x14ac:dyDescent="0.2">
      <c r="A12" s="27"/>
      <c r="B12" s="30"/>
      <c r="C12" s="28"/>
      <c r="D12" s="28"/>
      <c r="E12" s="28"/>
      <c r="F12" s="28"/>
      <c r="G12" s="27"/>
      <c r="H12" s="27"/>
    </row>
    <row r="13" spans="1:9" x14ac:dyDescent="0.2">
      <c r="A13" s="27"/>
      <c r="B13" s="30"/>
      <c r="G13" s="27"/>
      <c r="H13" s="27"/>
    </row>
    <row r="14" spans="1:9" x14ac:dyDescent="0.2">
      <c r="A14" s="27"/>
      <c r="B14" s="30"/>
      <c r="C14" s="28"/>
      <c r="D14" s="28"/>
      <c r="E14" s="28"/>
      <c r="F14" s="28"/>
      <c r="G14" s="27"/>
      <c r="H14" s="27"/>
    </row>
    <row r="15" spans="1:9" x14ac:dyDescent="0.2">
      <c r="A15" s="27"/>
      <c r="B15" s="30"/>
      <c r="C15" s="28"/>
      <c r="D15" s="28"/>
      <c r="E15" s="28"/>
      <c r="F15" s="28"/>
      <c r="G15" s="27"/>
      <c r="H15" s="27"/>
    </row>
    <row r="16" spans="1:9" x14ac:dyDescent="0.2">
      <c r="A16" s="27"/>
      <c r="B16" s="30"/>
      <c r="G16" s="27"/>
      <c r="H16" s="27"/>
    </row>
    <row r="17" spans="1:8" x14ac:dyDescent="0.2">
      <c r="A17" s="27"/>
      <c r="B17" s="30"/>
      <c r="G17" s="27"/>
      <c r="H17" s="27"/>
    </row>
    <row r="18" spans="1:8" x14ac:dyDescent="0.2">
      <c r="A18" s="27"/>
      <c r="B18" s="30"/>
      <c r="C18" s="28"/>
      <c r="D18" s="28"/>
      <c r="E18" s="28"/>
      <c r="F18" s="28"/>
      <c r="G18" s="27"/>
      <c r="H18" s="27"/>
    </row>
    <row r="19" spans="1:8" x14ac:dyDescent="0.2">
      <c r="A19" s="27"/>
      <c r="B19" s="30"/>
      <c r="G19" s="27"/>
      <c r="H19" s="27"/>
    </row>
    <row r="20" spans="1:8" x14ac:dyDescent="0.2">
      <c r="A20" s="27"/>
      <c r="B20" s="30"/>
      <c r="G20" s="27"/>
      <c r="H20" s="27"/>
    </row>
    <row r="21" spans="1:8" x14ac:dyDescent="0.2">
      <c r="A21" s="27"/>
      <c r="B21" s="30"/>
      <c r="G21" s="27"/>
      <c r="H21" s="27"/>
    </row>
    <row r="22" spans="1:8" x14ac:dyDescent="0.2">
      <c r="A22" s="27"/>
      <c r="B22" s="30"/>
      <c r="G22" s="27"/>
      <c r="H22" s="27"/>
    </row>
    <row r="23" spans="1:8" x14ac:dyDescent="0.2">
      <c r="A23" s="27"/>
      <c r="B23" s="30"/>
      <c r="G23" s="27"/>
      <c r="H23" s="27"/>
    </row>
    <row r="24" spans="1:8" x14ac:dyDescent="0.2">
      <c r="A24" s="27"/>
      <c r="B24" s="30"/>
      <c r="C24" s="28"/>
      <c r="D24" s="28"/>
      <c r="E24" s="28"/>
      <c r="F24" s="28"/>
      <c r="G24" s="27"/>
      <c r="H24" s="27"/>
    </row>
    <row r="25" spans="1:8" x14ac:dyDescent="0.2">
      <c r="A25" s="27"/>
      <c r="B25" s="30"/>
      <c r="G25" s="27"/>
      <c r="H25" s="27"/>
    </row>
    <row r="26" spans="1:8" x14ac:dyDescent="0.2">
      <c r="A26" s="27"/>
      <c r="B26" s="30"/>
      <c r="C26" s="28"/>
      <c r="D26" s="28"/>
      <c r="E26" s="28"/>
      <c r="F26" s="28"/>
      <c r="G26" s="27"/>
      <c r="H26" s="27"/>
    </row>
    <row r="27" spans="1:8" x14ac:dyDescent="0.2">
      <c r="A27" s="27"/>
      <c r="B27" s="30"/>
      <c r="C27" s="28"/>
      <c r="D27" s="28"/>
      <c r="E27" s="28"/>
      <c r="F27" s="28"/>
      <c r="G27" s="27"/>
      <c r="H27" s="27"/>
    </row>
    <row r="28" spans="1:8" x14ac:dyDescent="0.2">
      <c r="A28" s="27"/>
      <c r="B28" s="30"/>
      <c r="C28" s="28"/>
      <c r="D28" s="28"/>
      <c r="E28" s="28"/>
      <c r="F28" s="28"/>
      <c r="G28" s="27"/>
      <c r="H28" s="27"/>
    </row>
    <row r="29" spans="1:8" x14ac:dyDescent="0.2">
      <c r="A29" s="27"/>
      <c r="B29" s="30"/>
      <c r="C29" s="28"/>
      <c r="D29" s="28"/>
      <c r="E29" s="28"/>
      <c r="F29" s="28"/>
      <c r="G29" s="27"/>
      <c r="H29" s="27"/>
    </row>
    <row r="30" spans="1:8" x14ac:dyDescent="0.2">
      <c r="A30" s="27"/>
      <c r="B30" s="30"/>
      <c r="G30" s="27"/>
      <c r="H30" s="27"/>
    </row>
    <row r="31" spans="1:8" x14ac:dyDescent="0.2">
      <c r="A31" s="27"/>
      <c r="B31" s="30"/>
      <c r="G31" s="27"/>
      <c r="H31" s="27"/>
    </row>
    <row r="32" spans="1:8" x14ac:dyDescent="0.2">
      <c r="A32" s="27"/>
      <c r="B32" s="30"/>
      <c r="G32" s="27"/>
      <c r="H32" s="27"/>
    </row>
    <row r="33" spans="1:8" x14ac:dyDescent="0.2">
      <c r="A33" s="27"/>
      <c r="B33" s="30"/>
      <c r="G33" s="27"/>
      <c r="H33" s="27"/>
    </row>
    <row r="34" spans="1:8" x14ac:dyDescent="0.2">
      <c r="A34" s="27"/>
      <c r="B34" s="30"/>
      <c r="C34" s="28"/>
      <c r="D34" s="28"/>
      <c r="E34" s="28"/>
      <c r="F34" s="28"/>
      <c r="G34" s="27"/>
      <c r="H34" s="27"/>
    </row>
    <row r="35" spans="1:8" x14ac:dyDescent="0.2">
      <c r="A35" s="27"/>
      <c r="B35" s="30"/>
      <c r="G35" s="27"/>
      <c r="H35" s="27"/>
    </row>
    <row r="36" spans="1:8" x14ac:dyDescent="0.2">
      <c r="A36" s="27"/>
      <c r="B36" s="30"/>
      <c r="C36" s="28"/>
      <c r="D36" s="28"/>
      <c r="E36" s="28"/>
      <c r="F36" s="28"/>
      <c r="G36" s="27"/>
      <c r="H36" s="27"/>
    </row>
    <row r="37" spans="1:8" x14ac:dyDescent="0.2">
      <c r="A37" s="27"/>
      <c r="B37" s="30"/>
      <c r="C37" s="28"/>
      <c r="D37" s="28"/>
      <c r="E37" s="28"/>
      <c r="F37" s="28"/>
      <c r="G37" s="27"/>
      <c r="H37" s="27"/>
    </row>
    <row r="38" spans="1:8" x14ac:dyDescent="0.2">
      <c r="A38" s="27"/>
      <c r="B38" s="30"/>
      <c r="G38" s="27"/>
      <c r="H38" s="27"/>
    </row>
    <row r="39" spans="1:8" x14ac:dyDescent="0.2">
      <c r="A39" s="27"/>
      <c r="B39" s="30"/>
      <c r="C39" s="28"/>
      <c r="D39" s="28"/>
      <c r="E39" s="28"/>
      <c r="F39" s="28"/>
      <c r="G39" s="27"/>
      <c r="H39" s="27"/>
    </row>
    <row r="40" spans="1:8" x14ac:dyDescent="0.2">
      <c r="A40" s="27"/>
      <c r="B40" s="30"/>
      <c r="C40" s="28"/>
      <c r="D40" s="28"/>
      <c r="E40" s="28"/>
      <c r="F40" s="28"/>
      <c r="G40" s="27"/>
      <c r="H40" s="27"/>
    </row>
    <row r="41" spans="1:8" x14ac:dyDescent="0.2">
      <c r="A41" s="27"/>
      <c r="B41" s="30"/>
      <c r="G41" s="27"/>
      <c r="H41" s="27"/>
    </row>
    <row r="42" spans="1:8" x14ac:dyDescent="0.2">
      <c r="A42" s="27"/>
      <c r="B42" s="30"/>
      <c r="G42" s="27"/>
      <c r="H42" s="27"/>
    </row>
    <row r="43" spans="1:8" x14ac:dyDescent="0.2">
      <c r="A43" s="27"/>
      <c r="B43" s="30"/>
      <c r="C43" s="28"/>
      <c r="D43" s="28"/>
      <c r="E43" s="28"/>
      <c r="F43" s="28"/>
      <c r="G43" s="27"/>
      <c r="H43" s="27"/>
    </row>
    <row r="44" spans="1:8" x14ac:dyDescent="0.2">
      <c r="A44" s="27"/>
      <c r="B44" s="30"/>
      <c r="C44" s="28"/>
      <c r="D44" s="28"/>
      <c r="E44" s="28"/>
      <c r="F44" s="28"/>
      <c r="G44" s="27"/>
      <c r="H44" s="27"/>
    </row>
    <row r="45" spans="1:8" x14ac:dyDescent="0.2">
      <c r="A45" s="27"/>
      <c r="B45" s="30"/>
      <c r="C45" s="28"/>
      <c r="D45" s="28"/>
      <c r="E45" s="28"/>
      <c r="F45" s="28"/>
      <c r="G45" s="27"/>
      <c r="H45" s="27"/>
    </row>
    <row r="46" spans="1:8" x14ac:dyDescent="0.2">
      <c r="A46" s="27"/>
      <c r="B46" s="30"/>
      <c r="C46" s="28"/>
      <c r="D46" s="28"/>
      <c r="E46" s="28"/>
      <c r="F46" s="28"/>
      <c r="G46" s="27"/>
      <c r="H46" s="27"/>
    </row>
    <row r="47" spans="1:8" x14ac:dyDescent="0.2">
      <c r="A47" s="27"/>
      <c r="B47" s="30"/>
      <c r="C47" s="28"/>
      <c r="D47" s="28"/>
      <c r="E47" s="28"/>
      <c r="F47" s="28"/>
      <c r="G47" s="27"/>
      <c r="H47" s="27"/>
    </row>
    <row r="48" spans="1:8" x14ac:dyDescent="0.2">
      <c r="A48" s="27"/>
      <c r="B48" s="30"/>
      <c r="G48" s="27"/>
      <c r="H48" s="27"/>
    </row>
    <row r="49" spans="1:8" x14ac:dyDescent="0.2">
      <c r="A49" s="27"/>
      <c r="B49" s="30"/>
      <c r="C49" s="28"/>
      <c r="D49" s="28"/>
      <c r="E49" s="28"/>
      <c r="F49" s="28"/>
      <c r="G49" s="27"/>
      <c r="H49" s="27"/>
    </row>
    <row r="50" spans="1:8" x14ac:dyDescent="0.2">
      <c r="A50" s="27"/>
      <c r="B50" s="30"/>
      <c r="C50" s="28"/>
      <c r="D50" s="28"/>
      <c r="E50" s="28"/>
      <c r="F50" s="28"/>
      <c r="G50" s="27"/>
      <c r="H50" s="27"/>
    </row>
    <row r="51" spans="1:8" x14ac:dyDescent="0.2">
      <c r="A51" s="27"/>
      <c r="B51" s="30"/>
      <c r="G51" s="27"/>
      <c r="H51" s="27"/>
    </row>
    <row r="52" spans="1:8" x14ac:dyDescent="0.2">
      <c r="A52" s="27"/>
      <c r="B52" s="30"/>
      <c r="C52" s="28"/>
      <c r="D52" s="28"/>
      <c r="E52" s="28"/>
      <c r="F52" s="28"/>
      <c r="G52" s="27"/>
      <c r="H52" s="27"/>
    </row>
    <row r="53" spans="1:8" x14ac:dyDescent="0.2">
      <c r="A53" s="27"/>
      <c r="B53" s="30"/>
      <c r="G53" s="27"/>
      <c r="H53" s="27"/>
    </row>
    <row r="54" spans="1:8" x14ac:dyDescent="0.2">
      <c r="A54" s="27"/>
      <c r="B54" s="30"/>
      <c r="C54" s="28"/>
      <c r="D54" s="28"/>
      <c r="E54" s="28"/>
      <c r="F54" s="28"/>
      <c r="G54" s="27"/>
      <c r="H54" s="27"/>
    </row>
    <row r="55" spans="1:8" x14ac:dyDescent="0.2">
      <c r="A55" s="27"/>
      <c r="B55" s="30"/>
      <c r="G55" s="27"/>
      <c r="H55" s="27"/>
    </row>
    <row r="56" spans="1:8" x14ac:dyDescent="0.2">
      <c r="A56" s="27"/>
      <c r="B56" s="30"/>
      <c r="C56" s="28"/>
      <c r="D56" s="28"/>
      <c r="E56" s="28"/>
      <c r="F56" s="28"/>
      <c r="G56" s="27"/>
      <c r="H56" s="27"/>
    </row>
    <row r="57" spans="1:8" x14ac:dyDescent="0.2">
      <c r="A57" s="27"/>
      <c r="B57" s="30"/>
      <c r="C57" s="28"/>
      <c r="D57" s="28"/>
      <c r="E57" s="28"/>
      <c r="F57" s="28"/>
      <c r="G57" s="27"/>
      <c r="H57" s="27"/>
    </row>
    <row r="58" spans="1:8" x14ac:dyDescent="0.2">
      <c r="A58" s="27"/>
      <c r="B58" s="30"/>
      <c r="G58" s="27"/>
      <c r="H58" s="27"/>
    </row>
    <row r="59" spans="1:8" x14ac:dyDescent="0.2">
      <c r="A59" s="27"/>
      <c r="B59" s="30"/>
      <c r="G59" s="27"/>
      <c r="H59" s="27"/>
    </row>
    <row r="60" spans="1:8" x14ac:dyDescent="0.2">
      <c r="A60" s="27"/>
      <c r="B60" s="30"/>
      <c r="G60" s="27"/>
      <c r="H60" s="27"/>
    </row>
    <row r="61" spans="1:8" x14ac:dyDescent="0.2">
      <c r="A61" s="27"/>
      <c r="B61" s="30"/>
      <c r="C61" s="28"/>
      <c r="D61" s="28"/>
      <c r="E61" s="28"/>
      <c r="F61" s="28"/>
      <c r="G61" s="27"/>
      <c r="H61" s="27"/>
    </row>
    <row r="62" spans="1:8" x14ac:dyDescent="0.2">
      <c r="A62" s="27"/>
      <c r="B62" s="30"/>
      <c r="G62" s="27"/>
      <c r="H62" s="27"/>
    </row>
    <row r="63" spans="1:8" x14ac:dyDescent="0.2">
      <c r="A63" s="27"/>
      <c r="B63" s="30"/>
      <c r="C63" s="28"/>
      <c r="D63" s="28"/>
      <c r="E63" s="28"/>
      <c r="F63" s="28"/>
      <c r="G63" s="27"/>
      <c r="H63" s="27"/>
    </row>
    <row r="64" spans="1:8" x14ac:dyDescent="0.2">
      <c r="A64" s="27"/>
      <c r="B64" s="30"/>
      <c r="C64" s="28"/>
      <c r="D64" s="28"/>
      <c r="E64" s="28"/>
      <c r="F64" s="28"/>
      <c r="G64" s="27"/>
      <c r="H64" s="27"/>
    </row>
    <row r="65" spans="1:8" x14ac:dyDescent="0.2">
      <c r="A65" s="27"/>
      <c r="B65" s="30"/>
      <c r="C65" s="28"/>
      <c r="D65" s="28"/>
      <c r="E65" s="28"/>
      <c r="F65" s="28"/>
      <c r="G65" s="27"/>
      <c r="H65" s="27"/>
    </row>
    <row r="66" spans="1:8" x14ac:dyDescent="0.2">
      <c r="A66" s="27"/>
      <c r="B66" s="30"/>
      <c r="G66" s="27"/>
      <c r="H66" s="27"/>
    </row>
    <row r="67" spans="1:8" x14ac:dyDescent="0.2">
      <c r="A67" s="27"/>
      <c r="B67" s="30"/>
      <c r="C67" s="28"/>
      <c r="D67" s="28"/>
      <c r="E67" s="28"/>
      <c r="F67" s="28"/>
      <c r="G67" s="27"/>
      <c r="H67" s="27"/>
    </row>
    <row r="68" spans="1:8" x14ac:dyDescent="0.2">
      <c r="A68" s="27"/>
      <c r="B68" s="30"/>
      <c r="C68" s="28"/>
      <c r="D68" s="28"/>
      <c r="E68" s="28"/>
      <c r="F68" s="28"/>
      <c r="G68" s="27"/>
      <c r="H68" s="27"/>
    </row>
    <row r="69" spans="1:8" x14ac:dyDescent="0.2">
      <c r="A69" s="27"/>
      <c r="B69" s="30"/>
      <c r="C69" s="28"/>
      <c r="D69" s="28"/>
      <c r="E69" s="28"/>
      <c r="F69" s="28"/>
      <c r="G69" s="27"/>
      <c r="H69" s="27"/>
    </row>
    <row r="70" spans="1:8" x14ac:dyDescent="0.2">
      <c r="A70" s="27"/>
      <c r="B70" s="30"/>
      <c r="G70" s="27"/>
      <c r="H70" s="27"/>
    </row>
    <row r="71" spans="1:8" x14ac:dyDescent="0.2">
      <c r="A71" s="27"/>
      <c r="B71" s="30"/>
      <c r="G71" s="27"/>
      <c r="H71" s="27"/>
    </row>
    <row r="72" spans="1:8" x14ac:dyDescent="0.2">
      <c r="A72" s="27"/>
      <c r="B72" s="30"/>
      <c r="G72" s="27"/>
      <c r="H72" s="27"/>
    </row>
    <row r="73" spans="1:8" x14ac:dyDescent="0.2">
      <c r="A73" s="27"/>
      <c r="B73" s="30"/>
      <c r="C73" s="28"/>
      <c r="D73" s="28"/>
      <c r="E73" s="28"/>
      <c r="F73" s="28"/>
      <c r="G73" s="27"/>
      <c r="H73" s="27"/>
    </row>
    <row r="74" spans="1:8" x14ac:dyDescent="0.2">
      <c r="A74" s="27"/>
      <c r="B74" s="30"/>
      <c r="G74" s="27"/>
      <c r="H74" s="27"/>
    </row>
    <row r="75" spans="1:8" x14ac:dyDescent="0.2">
      <c r="A75" s="27"/>
      <c r="B75" s="30"/>
      <c r="G75" s="27"/>
      <c r="H75" s="27"/>
    </row>
    <row r="76" spans="1:8" x14ac:dyDescent="0.2">
      <c r="A76" s="27"/>
      <c r="B76" s="30"/>
      <c r="G76" s="27"/>
      <c r="H76" s="27"/>
    </row>
    <row r="77" spans="1:8" x14ac:dyDescent="0.2">
      <c r="A77" s="27"/>
      <c r="B77" s="30"/>
      <c r="G77" s="27"/>
      <c r="H77" s="27"/>
    </row>
    <row r="78" spans="1:8" x14ac:dyDescent="0.2">
      <c r="A78" s="27"/>
      <c r="B78" s="30"/>
      <c r="C78" s="28"/>
      <c r="D78" s="28"/>
      <c r="E78" s="28"/>
      <c r="F78" s="28"/>
      <c r="G78" s="27"/>
      <c r="H78" s="27"/>
    </row>
    <row r="79" spans="1:8" x14ac:dyDescent="0.2">
      <c r="A79" s="27"/>
      <c r="B79" s="30"/>
      <c r="G79" s="27"/>
      <c r="H79" s="27"/>
    </row>
    <row r="80" spans="1:8" x14ac:dyDescent="0.2">
      <c r="A80" s="27"/>
      <c r="B80" s="30"/>
      <c r="G80" s="27"/>
      <c r="H80" s="27"/>
    </row>
    <row r="81" spans="1:8" x14ac:dyDescent="0.2">
      <c r="A81" s="27"/>
      <c r="B81" s="30"/>
      <c r="C81" s="28"/>
      <c r="D81" s="28"/>
      <c r="E81" s="28"/>
      <c r="F81" s="28"/>
      <c r="G81" s="27"/>
      <c r="H81" s="27"/>
    </row>
    <row r="82" spans="1:8" x14ac:dyDescent="0.2">
      <c r="A82" s="27"/>
      <c r="B82" s="30"/>
      <c r="G82" s="27"/>
      <c r="H82" s="27"/>
    </row>
    <row r="83" spans="1:8" x14ac:dyDescent="0.2">
      <c r="A83" s="27"/>
      <c r="B83" s="30"/>
      <c r="G83" s="27"/>
      <c r="H83" s="27"/>
    </row>
    <row r="84" spans="1:8" x14ac:dyDescent="0.2">
      <c r="A84" s="27"/>
      <c r="B84" s="30"/>
      <c r="G84" s="27"/>
      <c r="H84" s="27"/>
    </row>
    <row r="85" spans="1:8" x14ac:dyDescent="0.2">
      <c r="A85" s="27"/>
      <c r="B85" s="30"/>
      <c r="C85" s="28"/>
      <c r="D85" s="28"/>
      <c r="E85" s="28"/>
      <c r="F85" s="28"/>
      <c r="G85" s="27"/>
      <c r="H85" s="27"/>
    </row>
    <row r="86" spans="1:8" x14ac:dyDescent="0.2">
      <c r="A86" s="27"/>
      <c r="B86" s="30"/>
      <c r="C86" s="28"/>
      <c r="D86" s="28"/>
      <c r="E86" s="28"/>
      <c r="F86" s="28"/>
      <c r="G86" s="27"/>
      <c r="H86" s="27"/>
    </row>
    <row r="87" spans="1:8" x14ac:dyDescent="0.2">
      <c r="A87" s="27"/>
      <c r="B87" s="30"/>
      <c r="C87" s="28"/>
      <c r="D87" s="28"/>
      <c r="E87" s="28"/>
      <c r="F87" s="28"/>
      <c r="G87" s="27"/>
      <c r="H87" s="27"/>
    </row>
    <row r="88" spans="1:8" x14ac:dyDescent="0.2">
      <c r="A88" s="27"/>
      <c r="B88" s="30"/>
      <c r="G88" s="27"/>
      <c r="H88" s="27"/>
    </row>
    <row r="89" spans="1:8" x14ac:dyDescent="0.2">
      <c r="A89" s="27"/>
      <c r="B89" s="30"/>
      <c r="C89" s="28"/>
      <c r="D89" s="28"/>
      <c r="E89" s="28"/>
      <c r="F89" s="28"/>
      <c r="G89" s="27"/>
      <c r="H89" s="27"/>
    </row>
    <row r="90" spans="1:8" x14ac:dyDescent="0.2">
      <c r="A90" s="27"/>
      <c r="B90" s="30"/>
      <c r="G90" s="27"/>
      <c r="H90" s="27"/>
    </row>
    <row r="91" spans="1:8" x14ac:dyDescent="0.2">
      <c r="A91" s="27"/>
      <c r="B91" s="30"/>
      <c r="G91" s="27"/>
      <c r="H91" s="27"/>
    </row>
    <row r="92" spans="1:8" x14ac:dyDescent="0.2">
      <c r="A92" s="27"/>
      <c r="B92" s="30"/>
      <c r="C92" s="28"/>
      <c r="D92" s="28"/>
      <c r="E92" s="28"/>
      <c r="F92" s="28"/>
      <c r="G92" s="27"/>
      <c r="H92" s="27"/>
    </row>
    <row r="93" spans="1:8" x14ac:dyDescent="0.2">
      <c r="A93" s="27"/>
      <c r="B93" s="30"/>
      <c r="C93" s="28"/>
      <c r="D93" s="28"/>
      <c r="E93" s="28"/>
      <c r="F93" s="28"/>
      <c r="G93" s="27"/>
      <c r="H93" s="27"/>
    </row>
    <row r="94" spans="1:8" x14ac:dyDescent="0.2">
      <c r="A94" s="27"/>
      <c r="B94" s="30"/>
      <c r="G94" s="27"/>
      <c r="H94" s="27"/>
    </row>
    <row r="95" spans="1:8" x14ac:dyDescent="0.2">
      <c r="A95" s="27"/>
      <c r="B95" s="30"/>
      <c r="G95" s="27"/>
      <c r="H95" s="27"/>
    </row>
    <row r="96" spans="1:8" x14ac:dyDescent="0.2">
      <c r="A96" s="27"/>
      <c r="B96" s="30"/>
      <c r="C96" s="28"/>
      <c r="D96" s="28"/>
      <c r="E96" s="28"/>
      <c r="F96" s="28"/>
      <c r="G96" s="27"/>
      <c r="H96" s="27"/>
    </row>
    <row r="97" spans="1:8" x14ac:dyDescent="0.2">
      <c r="A97" s="27"/>
      <c r="B97" s="30"/>
      <c r="G97" s="27"/>
      <c r="H97" s="27"/>
    </row>
    <row r="98" spans="1:8" x14ac:dyDescent="0.2">
      <c r="A98" s="27"/>
      <c r="B98" s="30"/>
      <c r="C98" s="28"/>
      <c r="D98" s="28"/>
      <c r="E98" s="28"/>
      <c r="F98" s="28"/>
      <c r="G98" s="27"/>
      <c r="H98" s="27"/>
    </row>
    <row r="99" spans="1:8" x14ac:dyDescent="0.2">
      <c r="A99" s="27"/>
      <c r="B99" s="30"/>
      <c r="C99" s="28"/>
      <c r="D99" s="28"/>
      <c r="E99" s="28"/>
      <c r="F99" s="28"/>
      <c r="G99" s="27"/>
      <c r="H99" s="27"/>
    </row>
    <row r="100" spans="1:8" x14ac:dyDescent="0.2">
      <c r="A100" s="27"/>
      <c r="B100" s="30"/>
      <c r="G100" s="27"/>
      <c r="H100" s="27"/>
    </row>
    <row r="101" spans="1:8" x14ac:dyDescent="0.2">
      <c r="A101" s="27"/>
      <c r="B101" s="30"/>
      <c r="C101" s="28"/>
      <c r="D101" s="28"/>
      <c r="E101" s="28"/>
      <c r="F101" s="28"/>
      <c r="G101" s="27"/>
      <c r="H101" s="27"/>
    </row>
    <row r="102" spans="1:8" x14ac:dyDescent="0.2">
      <c r="A102" s="27"/>
      <c r="B102" s="30"/>
      <c r="C102" s="28"/>
      <c r="D102" s="28"/>
      <c r="E102" s="28"/>
      <c r="F102" s="28"/>
      <c r="G102" s="27"/>
      <c r="H102" s="27"/>
    </row>
    <row r="103" spans="1:8" x14ac:dyDescent="0.2">
      <c r="A103" s="27"/>
      <c r="B103" s="30"/>
      <c r="G103" s="27"/>
      <c r="H103" s="27"/>
    </row>
    <row r="104" spans="1:8" x14ac:dyDescent="0.2">
      <c r="A104" s="27"/>
      <c r="B104" s="30"/>
      <c r="G104" s="27"/>
      <c r="H104" s="27"/>
    </row>
    <row r="105" spans="1:8" x14ac:dyDescent="0.2">
      <c r="A105" s="27"/>
      <c r="B105" s="30"/>
      <c r="G105" s="27"/>
      <c r="H105" s="27"/>
    </row>
    <row r="106" spans="1:8" x14ac:dyDescent="0.2">
      <c r="A106" s="27"/>
      <c r="B106" s="30"/>
      <c r="G106" s="27"/>
      <c r="H106" s="27"/>
    </row>
    <row r="107" spans="1:8" x14ac:dyDescent="0.2">
      <c r="A107" s="27"/>
      <c r="B107" s="30"/>
      <c r="G107" s="27"/>
      <c r="H107" s="27"/>
    </row>
    <row r="108" spans="1:8" x14ac:dyDescent="0.2">
      <c r="A108" s="27"/>
      <c r="B108" s="30"/>
      <c r="G108" s="27"/>
      <c r="H108" s="27"/>
    </row>
    <row r="109" spans="1:8" x14ac:dyDescent="0.2">
      <c r="A109" s="27"/>
      <c r="B109" s="30"/>
      <c r="C109" s="28"/>
      <c r="D109" s="28"/>
      <c r="E109" s="28"/>
      <c r="F109" s="28"/>
      <c r="G109" s="27"/>
      <c r="H109" s="27"/>
    </row>
    <row r="110" spans="1:8" x14ac:dyDescent="0.2">
      <c r="A110" s="27"/>
      <c r="B110" s="30"/>
      <c r="G110" s="27"/>
      <c r="H110" s="27"/>
    </row>
    <row r="111" spans="1:8" x14ac:dyDescent="0.2">
      <c r="A111" s="27"/>
      <c r="B111" s="30"/>
      <c r="C111" s="28"/>
      <c r="D111" s="28"/>
      <c r="E111" s="28"/>
      <c r="F111" s="28"/>
      <c r="G111" s="27"/>
      <c r="H111" s="27"/>
    </row>
    <row r="112" spans="1:8" x14ac:dyDescent="0.2">
      <c r="A112" s="27"/>
      <c r="B112" s="30"/>
      <c r="G112" s="27"/>
      <c r="H112" s="27"/>
    </row>
    <row r="113" spans="1:8" x14ac:dyDescent="0.2">
      <c r="A113" s="27"/>
      <c r="B113" s="30"/>
      <c r="C113" s="28"/>
      <c r="D113" s="28"/>
      <c r="E113" s="28"/>
      <c r="F113" s="28"/>
      <c r="G113" s="27"/>
      <c r="H113" s="27"/>
    </row>
    <row r="114" spans="1:8" x14ac:dyDescent="0.2">
      <c r="A114" s="27"/>
      <c r="B114" s="30"/>
      <c r="C114" s="28"/>
      <c r="D114" s="28"/>
      <c r="E114" s="28"/>
      <c r="F114" s="28"/>
      <c r="G114" s="27"/>
      <c r="H114" s="27"/>
    </row>
    <row r="115" spans="1:8" x14ac:dyDescent="0.2">
      <c r="A115" s="27"/>
      <c r="B115" s="30"/>
      <c r="G115" s="27"/>
      <c r="H115" s="27"/>
    </row>
    <row r="116" spans="1:8" x14ac:dyDescent="0.2">
      <c r="A116" s="27"/>
      <c r="B116" s="30"/>
      <c r="G116" s="27"/>
      <c r="H116" s="27"/>
    </row>
    <row r="117" spans="1:8" x14ac:dyDescent="0.2">
      <c r="A117" s="27"/>
      <c r="B117" s="30"/>
      <c r="G117" s="27"/>
      <c r="H117" s="27"/>
    </row>
    <row r="118" spans="1:8" x14ac:dyDescent="0.2">
      <c r="A118" s="27"/>
      <c r="B118" s="30"/>
      <c r="C118" s="28"/>
      <c r="D118" s="28"/>
      <c r="E118" s="28"/>
      <c r="F118" s="28"/>
      <c r="G118" s="27"/>
      <c r="H118" s="27"/>
    </row>
    <row r="119" spans="1:8" x14ac:dyDescent="0.2">
      <c r="A119" s="27"/>
      <c r="B119" s="30"/>
      <c r="G119" s="27"/>
      <c r="H119" s="27"/>
    </row>
    <row r="120" spans="1:8" x14ac:dyDescent="0.2">
      <c r="A120" s="27"/>
      <c r="B120" s="30"/>
      <c r="C120" s="28"/>
      <c r="D120" s="28"/>
      <c r="E120" s="28"/>
      <c r="F120" s="28"/>
      <c r="G120" s="27"/>
      <c r="H120" s="27"/>
    </row>
    <row r="121" spans="1:8" x14ac:dyDescent="0.2">
      <c r="A121" s="27"/>
      <c r="B121" s="30"/>
      <c r="C121" s="28"/>
      <c r="D121" s="28"/>
      <c r="E121" s="28"/>
      <c r="F121" s="28"/>
      <c r="G121" s="27"/>
      <c r="H121" s="27"/>
    </row>
    <row r="122" spans="1:8" x14ac:dyDescent="0.2">
      <c r="A122" s="27"/>
      <c r="B122" s="30"/>
      <c r="G122" s="27"/>
      <c r="H122" s="27"/>
    </row>
    <row r="123" spans="1:8" x14ac:dyDescent="0.2">
      <c r="A123" s="27"/>
      <c r="B123" s="30"/>
      <c r="G123" s="27"/>
      <c r="H123" s="27"/>
    </row>
    <row r="124" spans="1:8" x14ac:dyDescent="0.2">
      <c r="A124" s="27"/>
      <c r="B124" s="30"/>
      <c r="C124" s="28"/>
      <c r="D124" s="28"/>
      <c r="E124" s="28"/>
      <c r="F124" s="28"/>
      <c r="G124" s="27"/>
      <c r="H124" s="27"/>
    </row>
    <row r="125" spans="1:8" x14ac:dyDescent="0.2">
      <c r="A125" s="27"/>
      <c r="B125" s="30"/>
      <c r="C125" s="28"/>
      <c r="D125" s="28"/>
      <c r="E125" s="28"/>
      <c r="F125" s="28"/>
      <c r="G125" s="27"/>
      <c r="H125" s="27"/>
    </row>
    <row r="126" spans="1:8" x14ac:dyDescent="0.2">
      <c r="A126" s="27"/>
      <c r="B126" s="30"/>
      <c r="G126" s="27"/>
      <c r="H126" s="27"/>
    </row>
    <row r="127" spans="1:8" x14ac:dyDescent="0.2">
      <c r="A127" s="27"/>
      <c r="B127" s="30"/>
      <c r="G127" s="27"/>
      <c r="H127" s="27"/>
    </row>
    <row r="128" spans="1:8" x14ac:dyDescent="0.2">
      <c r="A128" s="27"/>
      <c r="B128" s="30"/>
      <c r="C128" s="28"/>
      <c r="D128" s="28"/>
      <c r="E128" s="28"/>
      <c r="F128" s="28"/>
      <c r="G128" s="27"/>
      <c r="H128" s="27"/>
    </row>
    <row r="129" spans="1:8" x14ac:dyDescent="0.2">
      <c r="A129" s="27"/>
      <c r="B129" s="30"/>
      <c r="G129" s="27"/>
      <c r="H129" s="27"/>
    </row>
    <row r="130" spans="1:8" x14ac:dyDescent="0.2">
      <c r="A130" s="27"/>
      <c r="B130" s="30"/>
      <c r="C130" s="28"/>
      <c r="D130" s="28"/>
      <c r="E130" s="28"/>
      <c r="F130" s="28"/>
      <c r="G130" s="27"/>
      <c r="H130" s="27"/>
    </row>
    <row r="131" spans="1:8" x14ac:dyDescent="0.2">
      <c r="A131" s="27"/>
      <c r="B131" s="30"/>
      <c r="G131" s="27"/>
      <c r="H131" s="27"/>
    </row>
    <row r="132" spans="1:8" x14ac:dyDescent="0.2">
      <c r="A132" s="27"/>
      <c r="B132" s="30"/>
      <c r="C132" s="28"/>
      <c r="D132" s="28"/>
      <c r="E132" s="28"/>
      <c r="F132" s="28"/>
      <c r="G132" s="27"/>
      <c r="H132" s="27"/>
    </row>
    <row r="133" spans="1:8" x14ac:dyDescent="0.2">
      <c r="A133" s="27"/>
      <c r="B133" s="30"/>
      <c r="G133" s="27"/>
      <c r="H133" s="27"/>
    </row>
    <row r="134" spans="1:8" x14ac:dyDescent="0.2">
      <c r="A134" s="27"/>
      <c r="B134" s="30"/>
      <c r="G134" s="27"/>
      <c r="H134" s="27"/>
    </row>
    <row r="135" spans="1:8" x14ac:dyDescent="0.2">
      <c r="A135" s="27"/>
      <c r="B135" s="30"/>
      <c r="G135" s="27"/>
      <c r="H135" s="27"/>
    </row>
    <row r="136" spans="1:8" x14ac:dyDescent="0.2">
      <c r="A136" s="27"/>
      <c r="B136" s="30"/>
      <c r="C136" s="28"/>
      <c r="D136" s="28"/>
      <c r="E136" s="28"/>
      <c r="F136" s="28"/>
      <c r="G136" s="27"/>
      <c r="H136" s="27"/>
    </row>
    <row r="137" spans="1:8" x14ac:dyDescent="0.2">
      <c r="A137" s="27"/>
      <c r="B137" s="30"/>
      <c r="C137" s="28"/>
      <c r="D137" s="28"/>
      <c r="E137" s="28"/>
      <c r="F137" s="28"/>
      <c r="G137" s="27"/>
      <c r="H137" s="27"/>
    </row>
    <row r="138" spans="1:8" x14ac:dyDescent="0.2">
      <c r="A138" s="27"/>
      <c r="B138" s="30"/>
      <c r="G138" s="27"/>
      <c r="H138" s="27"/>
    </row>
    <row r="139" spans="1:8" x14ac:dyDescent="0.2">
      <c r="A139" s="27"/>
      <c r="B139" s="30"/>
      <c r="G139" s="27"/>
      <c r="H139" s="27"/>
    </row>
    <row r="140" spans="1:8" x14ac:dyDescent="0.2">
      <c r="A140" s="27"/>
      <c r="B140" s="30"/>
      <c r="C140" s="28"/>
      <c r="D140" s="28"/>
      <c r="E140" s="28"/>
      <c r="F140" s="28"/>
      <c r="G140" s="27"/>
      <c r="H140" s="27"/>
    </row>
    <row r="141" spans="1:8" x14ac:dyDescent="0.2">
      <c r="A141" s="27"/>
      <c r="B141" s="30"/>
      <c r="G141" s="27"/>
      <c r="H141" s="27"/>
    </row>
    <row r="142" spans="1:8" x14ac:dyDescent="0.2">
      <c r="A142" s="27"/>
      <c r="B142" s="30"/>
      <c r="G142" s="27"/>
      <c r="H142" s="27"/>
    </row>
    <row r="143" spans="1:8" x14ac:dyDescent="0.2">
      <c r="A143" s="27"/>
      <c r="B143" s="30"/>
      <c r="G143" s="27"/>
      <c r="H143" s="27"/>
    </row>
    <row r="144" spans="1:8" x14ac:dyDescent="0.2">
      <c r="A144" s="27"/>
      <c r="B144" s="30"/>
      <c r="G144" s="27"/>
      <c r="H144" s="27"/>
    </row>
    <row r="145" spans="1:8" x14ac:dyDescent="0.2">
      <c r="A145" s="27"/>
      <c r="B145" s="30"/>
      <c r="C145" s="28"/>
      <c r="D145" s="28"/>
      <c r="E145" s="28"/>
      <c r="F145" s="28"/>
      <c r="G145" s="27"/>
      <c r="H145" s="27"/>
    </row>
    <row r="146" spans="1:8" x14ac:dyDescent="0.2">
      <c r="A146" s="27"/>
      <c r="B146" s="30"/>
      <c r="G146" s="27"/>
      <c r="H146" s="27"/>
    </row>
    <row r="147" spans="1:8" x14ac:dyDescent="0.2">
      <c r="A147" s="27"/>
      <c r="B147" s="30"/>
      <c r="G147" s="27"/>
      <c r="H147" s="27"/>
    </row>
    <row r="148" spans="1:8" x14ac:dyDescent="0.2">
      <c r="A148" s="27"/>
      <c r="B148" s="30"/>
      <c r="C148" s="28"/>
      <c r="D148" s="28"/>
      <c r="E148" s="28"/>
      <c r="F148" s="28"/>
      <c r="G148" s="27"/>
      <c r="H148" s="27"/>
    </row>
    <row r="149" spans="1:8" x14ac:dyDescent="0.2">
      <c r="A149" s="27"/>
      <c r="B149" s="30"/>
      <c r="G149" s="27"/>
      <c r="H149" s="27"/>
    </row>
    <row r="150" spans="1:8" x14ac:dyDescent="0.2">
      <c r="A150" s="27"/>
      <c r="B150" s="30"/>
      <c r="G150" s="27"/>
      <c r="H150" s="27"/>
    </row>
    <row r="151" spans="1:8" x14ac:dyDescent="0.2">
      <c r="A151" s="27"/>
      <c r="B151" s="30"/>
      <c r="G151" s="27"/>
      <c r="H151" s="27"/>
    </row>
    <row r="152" spans="1:8" x14ac:dyDescent="0.2">
      <c r="A152" s="27"/>
      <c r="B152" s="30"/>
      <c r="C152" s="28"/>
      <c r="D152" s="28"/>
      <c r="E152" s="28"/>
      <c r="F152" s="28"/>
      <c r="G152" s="27"/>
      <c r="H152" s="27"/>
    </row>
    <row r="153" spans="1:8" x14ac:dyDescent="0.2">
      <c r="A153" s="27"/>
      <c r="B153" s="30"/>
      <c r="G153" s="27"/>
      <c r="H153" s="27"/>
    </row>
    <row r="154" spans="1:8" x14ac:dyDescent="0.2">
      <c r="A154" s="27"/>
      <c r="B154" s="30"/>
      <c r="C154" s="28"/>
      <c r="D154" s="28"/>
      <c r="E154" s="28"/>
      <c r="F154" s="28"/>
      <c r="G154" s="27"/>
      <c r="H154" s="27"/>
    </row>
    <row r="155" spans="1:8" x14ac:dyDescent="0.2">
      <c r="A155" s="27"/>
      <c r="B155" s="30"/>
      <c r="C155" s="28"/>
      <c r="D155" s="28"/>
      <c r="E155" s="28"/>
      <c r="F155" s="28"/>
      <c r="G155" s="27"/>
      <c r="H155" s="27"/>
    </row>
    <row r="156" spans="1:8" x14ac:dyDescent="0.2">
      <c r="A156" s="27"/>
      <c r="B156" s="30"/>
      <c r="C156" s="28"/>
      <c r="D156" s="28"/>
      <c r="E156" s="28"/>
      <c r="F156" s="28"/>
      <c r="G156" s="27"/>
      <c r="H156" s="27"/>
    </row>
    <row r="157" spans="1:8" x14ac:dyDescent="0.2">
      <c r="A157" s="27"/>
      <c r="B157" s="30"/>
      <c r="G157" s="27"/>
      <c r="H157" s="27"/>
    </row>
    <row r="158" spans="1:8" x14ac:dyDescent="0.2">
      <c r="A158" s="27"/>
      <c r="B158" s="30"/>
      <c r="G158" s="27"/>
      <c r="H158" s="27"/>
    </row>
    <row r="159" spans="1:8" x14ac:dyDescent="0.2">
      <c r="A159" s="27"/>
      <c r="B159" s="30"/>
      <c r="G159" s="27"/>
      <c r="H159" s="27"/>
    </row>
    <row r="160" spans="1:8" x14ac:dyDescent="0.2">
      <c r="A160" s="27"/>
      <c r="B160" s="30"/>
      <c r="C160" s="28"/>
      <c r="D160" s="28"/>
      <c r="E160" s="28"/>
      <c r="F160" s="28"/>
      <c r="G160" s="27"/>
      <c r="H160" s="27"/>
    </row>
    <row r="161" spans="1:8" x14ac:dyDescent="0.2">
      <c r="A161" s="27"/>
      <c r="B161" s="30"/>
      <c r="G161" s="27"/>
      <c r="H161" s="27"/>
    </row>
    <row r="162" spans="1:8" x14ac:dyDescent="0.2">
      <c r="A162" s="27"/>
      <c r="B162" s="30"/>
      <c r="C162" s="28"/>
      <c r="D162" s="28"/>
      <c r="E162" s="28"/>
      <c r="F162" s="28"/>
      <c r="G162" s="27"/>
      <c r="H162" s="27"/>
    </row>
    <row r="163" spans="1:8" x14ac:dyDescent="0.2">
      <c r="A163" s="27"/>
      <c r="B163" s="30"/>
      <c r="C163" s="28"/>
      <c r="D163" s="28"/>
      <c r="E163" s="28"/>
      <c r="F163" s="28"/>
      <c r="G163" s="27"/>
      <c r="H163" s="27"/>
    </row>
    <row r="164" spans="1:8" x14ac:dyDescent="0.2">
      <c r="A164" s="27"/>
      <c r="B164" s="30"/>
      <c r="C164" s="28"/>
      <c r="D164" s="28"/>
      <c r="E164" s="28"/>
      <c r="F164" s="28"/>
      <c r="G164" s="27"/>
      <c r="H164" s="27"/>
    </row>
    <row r="165" spans="1:8" x14ac:dyDescent="0.2">
      <c r="A165" s="27"/>
      <c r="B165" s="30"/>
      <c r="G165" s="27"/>
      <c r="H165" s="27"/>
    </row>
    <row r="166" spans="1:8" x14ac:dyDescent="0.2">
      <c r="A166" s="27"/>
      <c r="B166" s="30"/>
      <c r="C166" s="28"/>
      <c r="D166" s="28"/>
      <c r="E166" s="28"/>
      <c r="F166" s="28"/>
      <c r="G166" s="27"/>
      <c r="H166" s="27"/>
    </row>
    <row r="167" spans="1:8" x14ac:dyDescent="0.2">
      <c r="A167" s="27"/>
      <c r="B167" s="30"/>
      <c r="C167" s="28"/>
      <c r="D167" s="28"/>
      <c r="E167" s="28"/>
      <c r="F167" s="28"/>
      <c r="G167" s="27"/>
      <c r="H167" s="27"/>
    </row>
    <row r="168" spans="1:8" x14ac:dyDescent="0.2">
      <c r="A168" s="27"/>
      <c r="B168" s="30"/>
      <c r="C168" s="28"/>
      <c r="D168" s="28"/>
      <c r="E168" s="28"/>
      <c r="F168" s="28"/>
      <c r="G168" s="27"/>
      <c r="H168" s="27"/>
    </row>
    <row r="169" spans="1:8" x14ac:dyDescent="0.2">
      <c r="A169" s="27"/>
      <c r="B169" s="30"/>
      <c r="C169" s="28"/>
      <c r="D169" s="28"/>
      <c r="E169" s="28"/>
      <c r="F169" s="28"/>
      <c r="G169" s="27"/>
      <c r="H169" s="27"/>
    </row>
    <row r="170" spans="1:8" x14ac:dyDescent="0.2">
      <c r="A170" s="27"/>
      <c r="B170" s="30"/>
      <c r="C170" s="28"/>
      <c r="D170" s="28"/>
      <c r="E170" s="28"/>
      <c r="F170" s="28"/>
      <c r="G170" s="27"/>
      <c r="H170" s="27"/>
    </row>
    <row r="171" spans="1:8" x14ac:dyDescent="0.2">
      <c r="A171" s="27"/>
      <c r="B171" s="30"/>
      <c r="C171" s="28"/>
      <c r="D171" s="28"/>
      <c r="E171" s="28"/>
      <c r="F171" s="28"/>
      <c r="G171" s="27"/>
      <c r="H171" s="27"/>
    </row>
    <row r="172" spans="1:8" x14ac:dyDescent="0.2">
      <c r="A172" s="27"/>
      <c r="B172" s="30"/>
      <c r="G172" s="27"/>
      <c r="H172" s="27"/>
    </row>
    <row r="173" spans="1:8" x14ac:dyDescent="0.2">
      <c r="A173" s="27"/>
      <c r="B173" s="30"/>
      <c r="C173" s="28"/>
      <c r="D173" s="28"/>
      <c r="E173" s="28"/>
      <c r="F173" s="28"/>
      <c r="G173" s="27"/>
      <c r="H173" s="27"/>
    </row>
    <row r="174" spans="1:8" x14ac:dyDescent="0.2">
      <c r="A174" s="27"/>
      <c r="B174" s="30"/>
      <c r="C174" s="28"/>
      <c r="D174" s="28"/>
      <c r="E174" s="28"/>
      <c r="F174" s="28"/>
      <c r="G174" s="27"/>
      <c r="H174" s="27"/>
    </row>
    <row r="175" spans="1:8" x14ac:dyDescent="0.2">
      <c r="A175" s="27"/>
      <c r="B175" s="30"/>
      <c r="C175" s="28"/>
      <c r="D175" s="28"/>
      <c r="E175" s="28"/>
      <c r="F175" s="28"/>
      <c r="G175" s="27"/>
      <c r="H175" s="27"/>
    </row>
    <row r="176" spans="1:8" x14ac:dyDescent="0.2">
      <c r="A176" s="27"/>
      <c r="B176" s="30"/>
      <c r="C176" s="28"/>
      <c r="D176" s="28"/>
      <c r="E176" s="28"/>
      <c r="F176" s="28"/>
      <c r="G176" s="27"/>
      <c r="H176" s="27"/>
    </row>
    <row r="177" spans="1:8" x14ac:dyDescent="0.2">
      <c r="A177" s="27"/>
      <c r="B177" s="30"/>
      <c r="G177" s="27"/>
      <c r="H177" s="27"/>
    </row>
    <row r="178" spans="1:8" x14ac:dyDescent="0.2">
      <c r="A178" s="27"/>
      <c r="B178" s="30"/>
      <c r="G178" s="27"/>
      <c r="H178" s="27"/>
    </row>
    <row r="179" spans="1:8" x14ac:dyDescent="0.2">
      <c r="A179" s="27"/>
      <c r="B179" s="30"/>
      <c r="G179" s="27"/>
      <c r="H179" s="27"/>
    </row>
    <row r="180" spans="1:8" x14ac:dyDescent="0.2">
      <c r="A180" s="27"/>
      <c r="B180" s="30"/>
      <c r="G180" s="27"/>
      <c r="H180" s="27"/>
    </row>
    <row r="181" spans="1:8" x14ac:dyDescent="0.2">
      <c r="A181" s="27"/>
      <c r="B181" s="30"/>
      <c r="G181" s="27"/>
      <c r="H181" s="27"/>
    </row>
    <row r="182" spans="1:8" x14ac:dyDescent="0.2">
      <c r="A182" s="27"/>
      <c r="B182" s="30"/>
      <c r="G182" s="27"/>
      <c r="H182" s="27"/>
    </row>
    <row r="183" spans="1:8" x14ac:dyDescent="0.2">
      <c r="A183" s="27"/>
      <c r="B183" s="30"/>
      <c r="G183" s="27"/>
      <c r="H183" s="27"/>
    </row>
    <row r="184" spans="1:8" x14ac:dyDescent="0.2">
      <c r="A184" s="27"/>
      <c r="B184" s="30"/>
      <c r="C184" s="28"/>
      <c r="D184" s="28"/>
      <c r="E184" s="28"/>
      <c r="F184" s="28"/>
      <c r="G184" s="27"/>
      <c r="H184" s="27"/>
    </row>
    <row r="185" spans="1:8" x14ac:dyDescent="0.2">
      <c r="A185" s="27"/>
      <c r="B185" s="30"/>
      <c r="C185" s="28"/>
      <c r="D185" s="28"/>
      <c r="E185" s="28"/>
      <c r="F185" s="28"/>
      <c r="G185" s="27"/>
      <c r="H185" s="27"/>
    </row>
    <row r="186" spans="1:8" x14ac:dyDescent="0.2">
      <c r="A186" s="27"/>
      <c r="B186" s="30"/>
      <c r="G186" s="27"/>
      <c r="H186" s="27"/>
    </row>
    <row r="187" spans="1:8" x14ac:dyDescent="0.2">
      <c r="A187" s="27"/>
      <c r="B187" s="30"/>
      <c r="G187" s="27"/>
      <c r="H187" s="27"/>
    </row>
    <row r="188" spans="1:8" x14ac:dyDescent="0.2">
      <c r="A188" s="27"/>
      <c r="B188" s="30"/>
      <c r="C188" s="28"/>
      <c r="D188" s="28"/>
      <c r="E188" s="28"/>
      <c r="F188" s="28"/>
      <c r="G188" s="27"/>
      <c r="H188" s="27"/>
    </row>
    <row r="189" spans="1:8" x14ac:dyDescent="0.2">
      <c r="A189" s="27"/>
      <c r="B189" s="30"/>
      <c r="C189" s="28"/>
      <c r="D189" s="28"/>
      <c r="E189" s="28"/>
      <c r="F189" s="28"/>
      <c r="G189" s="27"/>
      <c r="H189" s="27"/>
    </row>
    <row r="190" spans="1:8" x14ac:dyDescent="0.2">
      <c r="A190" s="27"/>
      <c r="B190" s="30"/>
      <c r="C190" s="28"/>
      <c r="D190" s="28"/>
      <c r="E190" s="28"/>
      <c r="F190" s="28"/>
      <c r="G190" s="27"/>
      <c r="H190" s="27"/>
    </row>
    <row r="191" spans="1:8" x14ac:dyDescent="0.2">
      <c r="A191" s="27"/>
      <c r="B191" s="30"/>
      <c r="C191" s="28"/>
      <c r="D191" s="28"/>
      <c r="E191" s="28"/>
      <c r="F191" s="28"/>
      <c r="G191" s="27"/>
      <c r="H191" s="27"/>
    </row>
    <row r="192" spans="1:8" x14ac:dyDescent="0.2">
      <c r="A192" s="27"/>
      <c r="B192" s="30"/>
      <c r="G192" s="27"/>
      <c r="H192" s="27"/>
    </row>
    <row r="193" spans="1:8" x14ac:dyDescent="0.2">
      <c r="A193" s="27"/>
      <c r="B193" s="30"/>
      <c r="C193" s="28"/>
      <c r="D193" s="28"/>
      <c r="E193" s="28"/>
      <c r="F193" s="28"/>
      <c r="G193" s="27"/>
      <c r="H193" s="27"/>
    </row>
    <row r="194" spans="1:8" x14ac:dyDescent="0.2">
      <c r="A194" s="27"/>
      <c r="B194" s="30"/>
      <c r="G194" s="27"/>
      <c r="H194" s="27"/>
    </row>
    <row r="195" spans="1:8" x14ac:dyDescent="0.2">
      <c r="A195" s="27"/>
      <c r="B195" s="30"/>
      <c r="G195" s="27"/>
      <c r="H195" s="27"/>
    </row>
    <row r="196" spans="1:8" x14ac:dyDescent="0.2">
      <c r="A196" s="27"/>
      <c r="B196" s="30"/>
      <c r="G196" s="27"/>
      <c r="H196" s="27"/>
    </row>
    <row r="197" spans="1:8" x14ac:dyDescent="0.2">
      <c r="A197" s="27"/>
      <c r="B197" s="30"/>
      <c r="G197" s="27"/>
      <c r="H197" s="27"/>
    </row>
    <row r="198" spans="1:8" x14ac:dyDescent="0.2">
      <c r="A198" s="27"/>
      <c r="B198" s="30"/>
      <c r="G198" s="27"/>
      <c r="H198" s="27"/>
    </row>
    <row r="199" spans="1:8" x14ac:dyDescent="0.2">
      <c r="A199" s="27"/>
      <c r="B199" s="30"/>
      <c r="G199" s="27"/>
      <c r="H199" s="27"/>
    </row>
    <row r="200" spans="1:8" x14ac:dyDescent="0.2">
      <c r="A200" s="27"/>
      <c r="B200" s="30"/>
      <c r="C200" s="28"/>
      <c r="D200" s="28"/>
      <c r="E200" s="28"/>
      <c r="F200" s="28"/>
      <c r="G200" s="27"/>
      <c r="H200" s="27"/>
    </row>
    <row r="201" spans="1:8" x14ac:dyDescent="0.2">
      <c r="A201" s="27"/>
      <c r="B201" s="30"/>
      <c r="G201" s="27"/>
      <c r="H201" s="27"/>
    </row>
    <row r="202" spans="1:8" x14ac:dyDescent="0.2">
      <c r="A202" s="27"/>
      <c r="B202" s="30"/>
      <c r="C202" s="28"/>
      <c r="D202" s="28"/>
      <c r="E202" s="28"/>
      <c r="F202" s="28"/>
      <c r="G202" s="27"/>
      <c r="H202" s="27"/>
    </row>
    <row r="203" spans="1:8" x14ac:dyDescent="0.2">
      <c r="A203" s="27"/>
      <c r="B203" s="30"/>
      <c r="G203" s="27"/>
      <c r="H203" s="27"/>
    </row>
    <row r="204" spans="1:8" x14ac:dyDescent="0.2">
      <c r="A204" s="27"/>
      <c r="B204" s="30"/>
      <c r="G204" s="27"/>
      <c r="H204" s="27"/>
    </row>
    <row r="205" spans="1:8" x14ac:dyDescent="0.2">
      <c r="A205" s="27"/>
      <c r="B205" s="30"/>
      <c r="G205" s="27"/>
      <c r="H205" s="27"/>
    </row>
    <row r="206" spans="1:8" x14ac:dyDescent="0.2">
      <c r="A206" s="27"/>
      <c r="B206" s="30"/>
      <c r="G206" s="27"/>
      <c r="H206" s="27"/>
    </row>
    <row r="207" spans="1:8" x14ac:dyDescent="0.2">
      <c r="A207" s="27"/>
      <c r="B207" s="30"/>
      <c r="C207" s="28"/>
      <c r="D207" s="28"/>
      <c r="E207" s="28"/>
      <c r="F207" s="28"/>
      <c r="G207" s="27"/>
      <c r="H207" s="27"/>
    </row>
    <row r="208" spans="1:8" x14ac:dyDescent="0.2">
      <c r="A208" s="27"/>
      <c r="B208" s="30"/>
      <c r="C208" s="28"/>
      <c r="D208" s="28"/>
      <c r="E208" s="28"/>
      <c r="F208" s="28"/>
      <c r="G208" s="27"/>
      <c r="H208" s="27"/>
    </row>
    <row r="209" spans="1:8" x14ac:dyDescent="0.2">
      <c r="A209" s="27"/>
      <c r="B209" s="30"/>
      <c r="G209" s="27"/>
      <c r="H209" s="27"/>
    </row>
    <row r="210" spans="1:8" x14ac:dyDescent="0.2">
      <c r="A210" s="27"/>
      <c r="B210" s="30"/>
      <c r="G210" s="27"/>
      <c r="H210" s="27"/>
    </row>
    <row r="211" spans="1:8" x14ac:dyDescent="0.2">
      <c r="A211" s="27"/>
      <c r="B211" s="30"/>
      <c r="C211" s="28"/>
      <c r="D211" s="28"/>
      <c r="E211" s="28"/>
      <c r="F211" s="28"/>
      <c r="G211" s="27"/>
      <c r="H211" s="27"/>
    </row>
    <row r="212" spans="1:8" x14ac:dyDescent="0.2">
      <c r="A212" s="27"/>
      <c r="B212" s="30"/>
      <c r="G212" s="27"/>
      <c r="H212" s="27"/>
    </row>
    <row r="213" spans="1:8" x14ac:dyDescent="0.2">
      <c r="A213" s="27"/>
      <c r="B213" s="30"/>
      <c r="C213" s="28"/>
      <c r="D213" s="28"/>
      <c r="E213" s="28"/>
      <c r="F213" s="28"/>
      <c r="G213" s="27"/>
      <c r="H213" s="27"/>
    </row>
    <row r="214" spans="1:8" x14ac:dyDescent="0.2">
      <c r="A214" s="27"/>
      <c r="B214" s="30"/>
      <c r="G214" s="27"/>
      <c r="H214" s="27"/>
    </row>
    <row r="215" spans="1:8" x14ac:dyDescent="0.2">
      <c r="A215" s="27"/>
      <c r="B215" s="30"/>
      <c r="G215" s="27"/>
      <c r="H215" s="27"/>
    </row>
    <row r="216" spans="1:8" x14ac:dyDescent="0.2">
      <c r="A216" s="27"/>
      <c r="B216" s="30"/>
      <c r="C216" s="28"/>
      <c r="D216" s="28"/>
      <c r="E216" s="28"/>
      <c r="F216" s="28"/>
      <c r="G216" s="27"/>
      <c r="H216" s="27"/>
    </row>
    <row r="217" spans="1:8" x14ac:dyDescent="0.2">
      <c r="A217" s="27"/>
      <c r="B217" s="30"/>
      <c r="C217" s="28"/>
      <c r="D217" s="28"/>
      <c r="E217" s="28"/>
      <c r="F217" s="28"/>
      <c r="G217" s="27"/>
      <c r="H217" s="27"/>
    </row>
    <row r="218" spans="1:8" x14ac:dyDescent="0.2">
      <c r="A218" s="27"/>
      <c r="B218" s="30"/>
      <c r="C218" s="28"/>
      <c r="D218" s="28"/>
      <c r="E218" s="28"/>
      <c r="F218" s="28"/>
      <c r="G218" s="27"/>
      <c r="H218" s="27"/>
    </row>
    <row r="219" spans="1:8" x14ac:dyDescent="0.2">
      <c r="A219" s="27"/>
      <c r="B219" s="30"/>
      <c r="G219" s="27"/>
      <c r="H219" s="27"/>
    </row>
    <row r="220" spans="1:8" x14ac:dyDescent="0.2">
      <c r="A220" s="27"/>
      <c r="B220" s="30"/>
      <c r="G220" s="27"/>
      <c r="H220" s="27"/>
    </row>
    <row r="221" spans="1:8" x14ac:dyDescent="0.2">
      <c r="A221" s="27"/>
      <c r="B221" s="30"/>
      <c r="G221" s="27"/>
      <c r="H221" s="27"/>
    </row>
    <row r="222" spans="1:8" x14ac:dyDescent="0.2">
      <c r="A222" s="27"/>
      <c r="B222" s="30"/>
      <c r="C222" s="28"/>
      <c r="D222" s="28"/>
      <c r="E222" s="28"/>
      <c r="F222" s="28"/>
      <c r="G222" s="27"/>
      <c r="H222" s="27"/>
    </row>
    <row r="223" spans="1:8" x14ac:dyDescent="0.2">
      <c r="A223" s="27"/>
      <c r="B223" s="30"/>
      <c r="C223" s="28"/>
      <c r="D223" s="28"/>
      <c r="E223" s="28"/>
      <c r="F223" s="28"/>
      <c r="G223" s="27"/>
      <c r="H223" s="27"/>
    </row>
    <row r="224" spans="1:8" x14ac:dyDescent="0.2">
      <c r="A224" s="27"/>
      <c r="B224" s="30"/>
      <c r="C224" s="28"/>
      <c r="D224" s="28"/>
      <c r="E224" s="28"/>
      <c r="F224" s="28"/>
      <c r="G224" s="27"/>
      <c r="H224" s="27"/>
    </row>
    <row r="225" spans="1:8" x14ac:dyDescent="0.2">
      <c r="A225" s="27"/>
      <c r="B225" s="30"/>
      <c r="G225" s="27"/>
      <c r="H225" s="27"/>
    </row>
    <row r="226" spans="1:8" x14ac:dyDescent="0.2">
      <c r="A226" s="27"/>
      <c r="B226" s="30"/>
      <c r="G226" s="27"/>
      <c r="H226" s="27"/>
    </row>
    <row r="227" spans="1:8" x14ac:dyDescent="0.2">
      <c r="A227" s="27"/>
      <c r="B227" s="30"/>
      <c r="C227" s="28"/>
      <c r="D227" s="28"/>
      <c r="E227" s="28"/>
      <c r="F227" s="28"/>
      <c r="G227" s="27"/>
      <c r="H227" s="27"/>
    </row>
    <row r="228" spans="1:8" x14ac:dyDescent="0.2">
      <c r="A228" s="27"/>
      <c r="B228" s="30"/>
      <c r="G228" s="27"/>
      <c r="H228" s="27"/>
    </row>
    <row r="229" spans="1:8" x14ac:dyDescent="0.2">
      <c r="A229" s="27"/>
      <c r="B229" s="30"/>
      <c r="G229" s="27"/>
      <c r="H229" s="27"/>
    </row>
    <row r="230" spans="1:8" x14ac:dyDescent="0.2">
      <c r="A230" s="27"/>
      <c r="B230" s="30"/>
      <c r="C230" s="28"/>
      <c r="D230" s="28"/>
      <c r="E230" s="28"/>
      <c r="F230" s="28"/>
      <c r="G230" s="27"/>
      <c r="H230" s="27"/>
    </row>
    <row r="231" spans="1:8" x14ac:dyDescent="0.2">
      <c r="A231" s="27"/>
      <c r="B231" s="30"/>
      <c r="C231" s="28"/>
      <c r="D231" s="28"/>
      <c r="E231" s="28"/>
      <c r="F231" s="28"/>
      <c r="G231" s="27"/>
      <c r="H231" s="27"/>
    </row>
    <row r="232" spans="1:8" x14ac:dyDescent="0.2">
      <c r="A232" s="27"/>
      <c r="B232" s="30"/>
      <c r="G232" s="27"/>
      <c r="H232" s="27"/>
    </row>
    <row r="233" spans="1:8" x14ac:dyDescent="0.2">
      <c r="A233" s="27"/>
      <c r="B233" s="30"/>
      <c r="G233" s="27"/>
      <c r="H233" s="27"/>
    </row>
    <row r="234" spans="1:8" x14ac:dyDescent="0.2">
      <c r="A234" s="27"/>
      <c r="B234" s="30"/>
      <c r="G234" s="27"/>
      <c r="H234" s="27"/>
    </row>
    <row r="235" spans="1:8" x14ac:dyDescent="0.2">
      <c r="A235" s="27"/>
      <c r="B235" s="30"/>
      <c r="G235" s="27"/>
      <c r="H235" s="27"/>
    </row>
    <row r="236" spans="1:8" x14ac:dyDescent="0.2">
      <c r="A236" s="27"/>
      <c r="B236" s="30"/>
      <c r="G236" s="27"/>
      <c r="H236" s="27"/>
    </row>
    <row r="237" spans="1:8" x14ac:dyDescent="0.2">
      <c r="A237" s="27"/>
      <c r="B237" s="30"/>
      <c r="C237" s="28"/>
      <c r="D237" s="28"/>
      <c r="E237" s="28"/>
      <c r="F237" s="28"/>
      <c r="G237" s="27"/>
      <c r="H237" s="27"/>
    </row>
    <row r="238" spans="1:8" x14ac:dyDescent="0.2">
      <c r="A238" s="27"/>
      <c r="B238" s="30"/>
      <c r="G238" s="27"/>
      <c r="H238" s="27"/>
    </row>
    <row r="239" spans="1:8" x14ac:dyDescent="0.2">
      <c r="A239" s="27"/>
      <c r="B239" s="30"/>
      <c r="G239" s="27"/>
      <c r="H239" s="27"/>
    </row>
    <row r="240" spans="1:8" x14ac:dyDescent="0.2">
      <c r="A240" s="27"/>
      <c r="B240" s="30"/>
      <c r="C240" s="28"/>
      <c r="D240" s="28"/>
      <c r="E240" s="28"/>
      <c r="F240" s="28"/>
      <c r="G240" s="27"/>
      <c r="H240" s="27"/>
    </row>
    <row r="241" spans="1:8" x14ac:dyDescent="0.2">
      <c r="A241" s="27"/>
      <c r="B241" s="30"/>
      <c r="G241" s="27"/>
      <c r="H241" s="27"/>
    </row>
    <row r="242" spans="1:8" x14ac:dyDescent="0.2">
      <c r="A242" s="27"/>
      <c r="B242" s="30"/>
      <c r="C242" s="28"/>
      <c r="D242" s="28"/>
      <c r="E242" s="28"/>
      <c r="F242" s="28"/>
      <c r="G242" s="27"/>
      <c r="H242" s="27"/>
    </row>
    <row r="243" spans="1:8" x14ac:dyDescent="0.2">
      <c r="A243" s="27"/>
      <c r="B243" s="30"/>
      <c r="C243" s="28"/>
      <c r="D243" s="28"/>
      <c r="E243" s="28"/>
      <c r="F243" s="28"/>
      <c r="G243" s="27"/>
      <c r="H243" s="27"/>
    </row>
    <row r="244" spans="1:8" x14ac:dyDescent="0.2">
      <c r="A244" s="27"/>
      <c r="B244" s="30"/>
      <c r="G244" s="27"/>
      <c r="H244" s="27"/>
    </row>
    <row r="245" spans="1:8" x14ac:dyDescent="0.2">
      <c r="A245" s="27"/>
      <c r="B245" s="30"/>
      <c r="G245" s="27"/>
      <c r="H245" s="27"/>
    </row>
    <row r="246" spans="1:8" x14ac:dyDescent="0.2">
      <c r="A246" s="27"/>
      <c r="B246" s="30"/>
      <c r="G246" s="27"/>
      <c r="H246" s="27"/>
    </row>
    <row r="247" spans="1:8" x14ac:dyDescent="0.2">
      <c r="A247" s="27"/>
      <c r="B247" s="30"/>
      <c r="G247" s="27"/>
      <c r="H247" s="27"/>
    </row>
    <row r="248" spans="1:8" x14ac:dyDescent="0.2">
      <c r="A248" s="27"/>
      <c r="B248" s="30"/>
      <c r="G248" s="27"/>
      <c r="H248" s="27"/>
    </row>
    <row r="249" spans="1:8" x14ac:dyDescent="0.2">
      <c r="A249" s="27"/>
      <c r="B249" s="30"/>
      <c r="G249" s="27"/>
      <c r="H249" s="27"/>
    </row>
    <row r="250" spans="1:8" x14ac:dyDescent="0.2">
      <c r="A250" s="27"/>
      <c r="B250" s="30"/>
      <c r="G250" s="27"/>
      <c r="H250" s="27"/>
    </row>
    <row r="251" spans="1:8" x14ac:dyDescent="0.2">
      <c r="A251" s="27"/>
      <c r="B251" s="30"/>
      <c r="C251" s="28"/>
      <c r="D251" s="28"/>
      <c r="E251" s="28"/>
      <c r="F251" s="28"/>
      <c r="G251" s="27"/>
      <c r="H251" s="27"/>
    </row>
    <row r="252" spans="1:8" x14ac:dyDescent="0.2">
      <c r="A252" s="27"/>
      <c r="B252" s="30"/>
      <c r="C252" s="28"/>
      <c r="D252" s="28"/>
      <c r="E252" s="28"/>
      <c r="F252" s="28"/>
      <c r="G252" s="27"/>
      <c r="H252" s="27"/>
    </row>
    <row r="253" spans="1:8" x14ac:dyDescent="0.2">
      <c r="A253" s="27"/>
      <c r="B253" s="30"/>
      <c r="G253" s="27"/>
      <c r="H253" s="27"/>
    </row>
    <row r="254" spans="1:8" x14ac:dyDescent="0.2">
      <c r="A254" s="27"/>
      <c r="B254" s="30"/>
      <c r="C254" s="28"/>
      <c r="D254" s="28"/>
      <c r="E254" s="28"/>
      <c r="F254" s="28"/>
      <c r="G254" s="27"/>
      <c r="H254" s="27"/>
    </row>
    <row r="255" spans="1:8" x14ac:dyDescent="0.2">
      <c r="A255" s="27"/>
      <c r="B255" s="30"/>
      <c r="C255" s="28"/>
      <c r="D255" s="28"/>
      <c r="E255" s="28"/>
      <c r="F255" s="28"/>
      <c r="G255" s="27"/>
      <c r="H255" s="27"/>
    </row>
    <row r="256" spans="1:8" x14ac:dyDescent="0.2">
      <c r="A256" s="27"/>
      <c r="B256" s="30"/>
      <c r="G256" s="27"/>
      <c r="H256" s="27"/>
    </row>
    <row r="257" spans="1:8" x14ac:dyDescent="0.2">
      <c r="A257" s="27"/>
      <c r="B257" s="30"/>
      <c r="C257" s="28"/>
      <c r="D257" s="28"/>
      <c r="E257" s="28"/>
      <c r="F257" s="28"/>
      <c r="G257" s="27"/>
      <c r="H257" s="27"/>
    </row>
    <row r="258" spans="1:8" x14ac:dyDescent="0.2">
      <c r="A258" s="27"/>
      <c r="B258" s="30"/>
      <c r="G258" s="27"/>
      <c r="H258" s="27"/>
    </row>
    <row r="259" spans="1:8" x14ac:dyDescent="0.2">
      <c r="A259" s="27"/>
      <c r="B259" s="30"/>
      <c r="C259" s="28"/>
      <c r="D259" s="28"/>
      <c r="E259" s="28"/>
      <c r="F259" s="28"/>
      <c r="G259" s="27"/>
      <c r="H259" s="27"/>
    </row>
    <row r="260" spans="1:8" x14ac:dyDescent="0.2">
      <c r="A260" s="27"/>
      <c r="B260" s="30"/>
      <c r="C260" s="28"/>
      <c r="D260" s="28"/>
      <c r="E260" s="28"/>
      <c r="F260" s="28"/>
      <c r="G260" s="27"/>
      <c r="H260" s="27"/>
    </row>
    <row r="261" spans="1:8" x14ac:dyDescent="0.2">
      <c r="A261" s="27"/>
      <c r="B261" s="30"/>
      <c r="G261" s="27"/>
      <c r="H261" s="27"/>
    </row>
    <row r="262" spans="1:8" x14ac:dyDescent="0.2">
      <c r="A262" s="27"/>
      <c r="B262" s="30"/>
      <c r="C262" s="28"/>
      <c r="D262" s="28"/>
      <c r="E262" s="28"/>
      <c r="F262" s="28"/>
      <c r="G262" s="27"/>
      <c r="H262" s="27"/>
    </row>
    <row r="263" spans="1:8" x14ac:dyDescent="0.2">
      <c r="A263" s="27"/>
      <c r="B263" s="30"/>
      <c r="G263" s="27"/>
      <c r="H263" s="27"/>
    </row>
    <row r="264" spans="1:8" x14ac:dyDescent="0.2">
      <c r="A264" s="27"/>
      <c r="B264" s="30"/>
      <c r="G264" s="27"/>
      <c r="H264" s="27"/>
    </row>
    <row r="265" spans="1:8" x14ac:dyDescent="0.2">
      <c r="A265" s="27"/>
      <c r="B265" s="30"/>
      <c r="C265" s="28"/>
      <c r="D265" s="28"/>
      <c r="E265" s="28"/>
      <c r="F265" s="28"/>
      <c r="G265" s="27"/>
      <c r="H265" s="27"/>
    </row>
    <row r="266" spans="1:8" x14ac:dyDescent="0.2">
      <c r="A266" s="27"/>
      <c r="B266" s="30"/>
      <c r="G266" s="27"/>
      <c r="H266" s="27"/>
    </row>
    <row r="267" spans="1:8" x14ac:dyDescent="0.2">
      <c r="A267" s="27"/>
      <c r="B267" s="30"/>
      <c r="C267" s="28"/>
      <c r="D267" s="28"/>
      <c r="E267" s="28"/>
      <c r="F267" s="28"/>
      <c r="G267" s="27"/>
      <c r="H267" s="27"/>
    </row>
    <row r="268" spans="1:8" x14ac:dyDescent="0.2">
      <c r="A268" s="27"/>
      <c r="B268" s="30"/>
      <c r="C268" s="28"/>
      <c r="D268" s="28"/>
      <c r="E268" s="28"/>
      <c r="F268" s="28"/>
      <c r="G268" s="27"/>
      <c r="H268" s="27"/>
    </row>
    <row r="269" spans="1:8" x14ac:dyDescent="0.2">
      <c r="A269" s="27"/>
      <c r="B269" s="30"/>
      <c r="C269" s="28"/>
      <c r="D269" s="28"/>
      <c r="E269" s="28"/>
      <c r="F269" s="28"/>
      <c r="G269" s="27"/>
      <c r="H269" s="27"/>
    </row>
    <row r="270" spans="1:8" x14ac:dyDescent="0.2">
      <c r="A270" s="27"/>
      <c r="B270" s="30"/>
      <c r="G270" s="27"/>
      <c r="H270" s="27"/>
    </row>
    <row r="271" spans="1:8" x14ac:dyDescent="0.2">
      <c r="A271" s="27"/>
      <c r="B271" s="30"/>
      <c r="C271" s="28"/>
      <c r="D271" s="28"/>
      <c r="E271" s="28"/>
      <c r="F271" s="28"/>
      <c r="G271" s="27"/>
      <c r="H271" s="27"/>
    </row>
    <row r="272" spans="1:8" x14ac:dyDescent="0.2">
      <c r="A272" s="27"/>
      <c r="B272" s="30"/>
      <c r="G272" s="27"/>
      <c r="H272" s="27"/>
    </row>
    <row r="273" spans="1:8" x14ac:dyDescent="0.2">
      <c r="A273" s="27"/>
      <c r="B273" s="30"/>
      <c r="G273" s="27"/>
      <c r="H273" s="27"/>
    </row>
    <row r="274" spans="1:8" x14ac:dyDescent="0.2">
      <c r="A274" s="27"/>
      <c r="B274" s="30"/>
      <c r="G274" s="27"/>
      <c r="H274" s="27"/>
    </row>
    <row r="275" spans="1:8" x14ac:dyDescent="0.2">
      <c r="A275" s="27"/>
      <c r="B275" s="30"/>
      <c r="G275" s="27"/>
      <c r="H275" s="27"/>
    </row>
    <row r="276" spans="1:8" x14ac:dyDescent="0.2">
      <c r="A276" s="27"/>
      <c r="B276" s="30"/>
      <c r="C276" s="28"/>
      <c r="D276" s="28"/>
      <c r="E276" s="28"/>
      <c r="F276" s="28"/>
      <c r="G276" s="27"/>
      <c r="H276" s="27"/>
    </row>
    <row r="277" spans="1:8" x14ac:dyDescent="0.2">
      <c r="A277" s="27"/>
      <c r="B277" s="30"/>
      <c r="G277" s="27"/>
      <c r="H277" s="27"/>
    </row>
    <row r="278" spans="1:8" x14ac:dyDescent="0.2">
      <c r="A278" s="27"/>
      <c r="B278" s="30"/>
      <c r="C278" s="28"/>
      <c r="D278" s="28"/>
      <c r="E278" s="28"/>
      <c r="F278" s="28"/>
      <c r="G278" s="27"/>
      <c r="H278" s="27"/>
    </row>
    <row r="279" spans="1:8" x14ac:dyDescent="0.2">
      <c r="A279" s="27"/>
      <c r="B279" s="30"/>
      <c r="C279" s="28"/>
      <c r="D279" s="28"/>
      <c r="E279" s="28"/>
      <c r="F279" s="28"/>
      <c r="G279" s="27"/>
      <c r="H279" s="27"/>
    </row>
    <row r="280" spans="1:8" x14ac:dyDescent="0.2">
      <c r="A280" s="27"/>
      <c r="B280" s="30"/>
      <c r="C280" s="28"/>
      <c r="D280" s="28"/>
      <c r="E280" s="28"/>
      <c r="F280" s="28"/>
      <c r="G280" s="27"/>
      <c r="H280" s="27"/>
    </row>
    <row r="281" spans="1:8" x14ac:dyDescent="0.2">
      <c r="A281" s="27"/>
      <c r="B281" s="30"/>
      <c r="C281" s="28"/>
      <c r="D281" s="28"/>
      <c r="E281" s="28"/>
      <c r="F281" s="28"/>
      <c r="G281" s="27"/>
      <c r="H281" s="27"/>
    </row>
    <row r="282" spans="1:8" x14ac:dyDescent="0.2">
      <c r="A282" s="27"/>
      <c r="B282" s="30"/>
      <c r="G282" s="27"/>
      <c r="H282" s="27"/>
    </row>
    <row r="283" spans="1:8" x14ac:dyDescent="0.2">
      <c r="A283" s="27"/>
      <c r="B283" s="30"/>
      <c r="G283" s="27"/>
      <c r="H283" s="27"/>
    </row>
    <row r="284" spans="1:8" x14ac:dyDescent="0.2">
      <c r="A284" s="27"/>
      <c r="B284" s="30"/>
      <c r="C284" s="28"/>
      <c r="D284" s="28"/>
      <c r="E284" s="28"/>
      <c r="F284" s="28"/>
      <c r="G284" s="27"/>
      <c r="H284" s="27"/>
    </row>
    <row r="285" spans="1:8" x14ac:dyDescent="0.2">
      <c r="A285" s="27"/>
      <c r="B285" s="30"/>
      <c r="C285" s="28"/>
      <c r="D285" s="28"/>
      <c r="E285" s="28"/>
      <c r="F285" s="28"/>
      <c r="G285" s="27"/>
      <c r="H285" s="27"/>
    </row>
    <row r="286" spans="1:8" x14ac:dyDescent="0.2">
      <c r="A286" s="27"/>
      <c r="B286" s="30"/>
      <c r="G286" s="27"/>
      <c r="H286" s="27"/>
    </row>
    <row r="287" spans="1:8" x14ac:dyDescent="0.2">
      <c r="A287" s="27"/>
      <c r="B287" s="30"/>
      <c r="G287" s="27"/>
      <c r="H287" s="27"/>
    </row>
    <row r="288" spans="1:8" x14ac:dyDescent="0.2">
      <c r="A288" s="27"/>
      <c r="B288" s="30"/>
      <c r="C288" s="28"/>
      <c r="D288" s="28"/>
      <c r="E288" s="28"/>
      <c r="F288" s="28"/>
      <c r="G288" s="27"/>
      <c r="H288" s="27"/>
    </row>
    <row r="289" spans="1:8" x14ac:dyDescent="0.2">
      <c r="A289" s="27"/>
      <c r="B289" s="30"/>
      <c r="G289" s="27"/>
      <c r="H289" s="27"/>
    </row>
    <row r="290" spans="1:8" x14ac:dyDescent="0.2">
      <c r="A290" s="27"/>
      <c r="B290" s="30"/>
      <c r="G290" s="27"/>
      <c r="H290" s="27"/>
    </row>
    <row r="291" spans="1:8" x14ac:dyDescent="0.2">
      <c r="A291" s="27"/>
      <c r="B291" s="30"/>
      <c r="G291" s="27"/>
      <c r="H291" s="27"/>
    </row>
    <row r="292" spans="1:8" x14ac:dyDescent="0.2">
      <c r="A292" s="27"/>
      <c r="B292" s="30"/>
      <c r="G292" s="27"/>
      <c r="H292" s="27"/>
    </row>
    <row r="293" spans="1:8" x14ac:dyDescent="0.2">
      <c r="A293" s="27"/>
      <c r="B293" s="30"/>
      <c r="G293" s="27"/>
      <c r="H293" s="27"/>
    </row>
    <row r="294" spans="1:8" x14ac:dyDescent="0.2">
      <c r="A294" s="27"/>
      <c r="B294" s="30"/>
      <c r="G294" s="27"/>
      <c r="H294" s="27"/>
    </row>
    <row r="295" spans="1:8" x14ac:dyDescent="0.2">
      <c r="A295" s="27"/>
      <c r="B295" s="30"/>
      <c r="G295" s="27"/>
      <c r="H295" s="27"/>
    </row>
    <row r="296" spans="1:8" x14ac:dyDescent="0.2">
      <c r="A296" s="27"/>
      <c r="B296" s="30"/>
      <c r="C296" s="28"/>
      <c r="D296" s="28"/>
      <c r="E296" s="28"/>
      <c r="F296" s="28"/>
      <c r="G296" s="27"/>
      <c r="H296" s="27"/>
    </row>
    <row r="297" spans="1:8" x14ac:dyDescent="0.2">
      <c r="A297" s="27"/>
      <c r="B297" s="30"/>
      <c r="C297" s="28"/>
      <c r="D297" s="28"/>
      <c r="E297" s="28"/>
      <c r="F297" s="28"/>
      <c r="G297" s="27"/>
      <c r="H297" s="27"/>
    </row>
    <row r="298" spans="1:8" x14ac:dyDescent="0.2">
      <c r="A298" s="27"/>
      <c r="B298" s="30"/>
      <c r="G298" s="27"/>
      <c r="H298" s="27"/>
    </row>
    <row r="299" spans="1:8" x14ac:dyDescent="0.2">
      <c r="A299" s="27"/>
      <c r="B299" s="30"/>
      <c r="G299" s="27"/>
      <c r="H299" s="27"/>
    </row>
    <row r="300" spans="1:8" x14ac:dyDescent="0.2">
      <c r="A300" s="27"/>
      <c r="B300" s="30"/>
      <c r="G300" s="27"/>
      <c r="H300" s="27"/>
    </row>
    <row r="301" spans="1:8" x14ac:dyDescent="0.2">
      <c r="A301" s="27"/>
      <c r="B301" s="30"/>
      <c r="C301" s="28"/>
      <c r="D301" s="28"/>
      <c r="E301" s="28"/>
      <c r="F301" s="28"/>
      <c r="G301" s="27"/>
      <c r="H301" s="27"/>
    </row>
    <row r="302" spans="1:8" x14ac:dyDescent="0.2">
      <c r="A302" s="27"/>
      <c r="B302" s="30"/>
      <c r="C302" s="28"/>
      <c r="D302" s="28"/>
      <c r="E302" s="28"/>
      <c r="F302" s="28"/>
      <c r="G302" s="27"/>
      <c r="H302" s="27"/>
    </row>
    <row r="303" spans="1:8" x14ac:dyDescent="0.2">
      <c r="A303" s="27"/>
      <c r="B303" s="30"/>
      <c r="G303" s="27"/>
      <c r="H303" s="27"/>
    </row>
    <row r="304" spans="1:8" x14ac:dyDescent="0.2">
      <c r="A304" s="27"/>
      <c r="B304" s="30"/>
      <c r="C304" s="28"/>
      <c r="D304" s="28"/>
      <c r="E304" s="28"/>
      <c r="F304" s="28"/>
      <c r="G304" s="27"/>
      <c r="H304" s="27"/>
    </row>
    <row r="305" spans="1:8" x14ac:dyDescent="0.2">
      <c r="A305" s="27"/>
      <c r="B305" s="30"/>
      <c r="C305" s="28"/>
      <c r="D305" s="28"/>
      <c r="E305" s="28"/>
      <c r="F305" s="28"/>
      <c r="G305" s="27"/>
      <c r="H305" s="27"/>
    </row>
    <row r="306" spans="1:8" x14ac:dyDescent="0.2">
      <c r="A306" s="27"/>
      <c r="B306" s="30"/>
      <c r="G306" s="27"/>
      <c r="H306" s="27"/>
    </row>
    <row r="307" spans="1:8" x14ac:dyDescent="0.2">
      <c r="A307" s="27"/>
      <c r="B307" s="30"/>
      <c r="C307" s="28"/>
      <c r="D307" s="28"/>
      <c r="E307" s="28"/>
      <c r="F307" s="28"/>
      <c r="G307" s="27"/>
      <c r="H307" s="27"/>
    </row>
    <row r="308" spans="1:8" x14ac:dyDescent="0.2">
      <c r="A308" s="27"/>
      <c r="B308" s="30"/>
      <c r="G308" s="27"/>
      <c r="H308" s="27"/>
    </row>
    <row r="309" spans="1:8" x14ac:dyDescent="0.2">
      <c r="A309" s="27"/>
      <c r="B309" s="30"/>
      <c r="G309" s="27"/>
      <c r="H309" s="27"/>
    </row>
    <row r="310" spans="1:8" x14ac:dyDescent="0.2">
      <c r="A310" s="27"/>
      <c r="B310" s="30"/>
      <c r="G310" s="27"/>
      <c r="H310" s="27"/>
    </row>
    <row r="311" spans="1:8" x14ac:dyDescent="0.2">
      <c r="A311" s="27"/>
      <c r="B311" s="30"/>
      <c r="C311" s="28"/>
      <c r="D311" s="28"/>
      <c r="E311" s="28"/>
      <c r="F311" s="28"/>
      <c r="G311" s="27"/>
      <c r="H311" s="27"/>
    </row>
    <row r="312" spans="1:8" x14ac:dyDescent="0.2">
      <c r="A312" s="27"/>
      <c r="B312" s="30"/>
      <c r="C312" s="28"/>
      <c r="D312" s="28"/>
      <c r="E312" s="28"/>
      <c r="F312" s="28"/>
      <c r="G312" s="27"/>
      <c r="H312" s="27"/>
    </row>
    <row r="313" spans="1:8" x14ac:dyDescent="0.2">
      <c r="A313" s="27"/>
      <c r="B313" s="30"/>
      <c r="G313" s="27"/>
      <c r="H313" s="27"/>
    </row>
    <row r="314" spans="1:8" x14ac:dyDescent="0.2">
      <c r="A314" s="27"/>
      <c r="B314" s="30"/>
      <c r="C314" s="28"/>
      <c r="D314" s="28"/>
      <c r="E314" s="28"/>
      <c r="F314" s="28"/>
      <c r="G314" s="27"/>
      <c r="H314" s="27"/>
    </row>
    <row r="315" spans="1:8" x14ac:dyDescent="0.2">
      <c r="A315" s="27"/>
      <c r="B315" s="30"/>
      <c r="C315" s="28"/>
      <c r="D315" s="28"/>
      <c r="E315" s="28"/>
      <c r="F315" s="28"/>
      <c r="G315" s="27"/>
      <c r="H315" s="27"/>
    </row>
    <row r="316" spans="1:8" x14ac:dyDescent="0.2">
      <c r="A316" s="27"/>
      <c r="B316" s="30"/>
      <c r="C316" s="28"/>
      <c r="D316" s="28"/>
      <c r="E316" s="28"/>
      <c r="F316" s="28"/>
      <c r="G316" s="27"/>
      <c r="H316" s="27"/>
    </row>
    <row r="317" spans="1:8" x14ac:dyDescent="0.2">
      <c r="A317" s="27"/>
      <c r="B317" s="30"/>
      <c r="C317" s="28"/>
      <c r="D317" s="28"/>
      <c r="E317" s="28"/>
      <c r="F317" s="28"/>
      <c r="G317" s="27"/>
      <c r="H317" s="27"/>
    </row>
    <row r="318" spans="1:8" x14ac:dyDescent="0.2">
      <c r="A318" s="27"/>
      <c r="B318" s="30"/>
      <c r="C318" s="28"/>
      <c r="D318" s="28"/>
      <c r="E318" s="28"/>
      <c r="F318" s="28"/>
      <c r="G318" s="27"/>
      <c r="H318" s="27"/>
    </row>
    <row r="319" spans="1:8" x14ac:dyDescent="0.2">
      <c r="A319" s="27"/>
      <c r="B319" s="30"/>
      <c r="C319" s="28"/>
      <c r="D319" s="28"/>
      <c r="E319" s="28"/>
      <c r="F319" s="28"/>
      <c r="G319" s="27"/>
      <c r="H319" s="27"/>
    </row>
    <row r="320" spans="1:8" x14ac:dyDescent="0.2">
      <c r="A320" s="27"/>
      <c r="B320" s="30"/>
      <c r="G320" s="27"/>
      <c r="H320" s="27"/>
    </row>
    <row r="321" spans="1:8" x14ac:dyDescent="0.2">
      <c r="A321" s="27"/>
      <c r="B321" s="30"/>
      <c r="G321" s="27"/>
      <c r="H321" s="27"/>
    </row>
    <row r="322" spans="1:8" x14ac:dyDescent="0.2">
      <c r="A322" s="27"/>
      <c r="B322" s="30"/>
      <c r="C322" s="28"/>
      <c r="D322" s="28"/>
      <c r="E322" s="28"/>
      <c r="F322" s="28"/>
      <c r="G322" s="27"/>
      <c r="H322" s="27"/>
    </row>
    <row r="323" spans="1:8" x14ac:dyDescent="0.2">
      <c r="A323" s="27"/>
      <c r="B323" s="30"/>
      <c r="G323" s="27"/>
      <c r="H323" s="27"/>
    </row>
    <row r="324" spans="1:8" x14ac:dyDescent="0.2">
      <c r="A324" s="27"/>
      <c r="B324" s="30"/>
      <c r="G324" s="27"/>
      <c r="H324" s="27"/>
    </row>
    <row r="325" spans="1:8" x14ac:dyDescent="0.2">
      <c r="A325" s="27"/>
      <c r="B325" s="30"/>
      <c r="C325" s="28"/>
      <c r="D325" s="28"/>
      <c r="E325" s="28"/>
      <c r="F325" s="28"/>
      <c r="G325" s="27"/>
      <c r="H325" s="27"/>
    </row>
    <row r="326" spans="1:8" x14ac:dyDescent="0.2">
      <c r="A326" s="27"/>
      <c r="B326" s="30"/>
      <c r="G326" s="27"/>
      <c r="H326" s="27"/>
    </row>
    <row r="327" spans="1:8" x14ac:dyDescent="0.2">
      <c r="A327" s="27"/>
      <c r="B327" s="30"/>
      <c r="G327" s="27"/>
      <c r="H327" s="27"/>
    </row>
    <row r="328" spans="1:8" x14ac:dyDescent="0.2">
      <c r="A328" s="27"/>
      <c r="B328" s="30"/>
      <c r="G328" s="27"/>
      <c r="H328" s="27"/>
    </row>
    <row r="329" spans="1:8" x14ac:dyDescent="0.2">
      <c r="A329" s="27"/>
      <c r="B329" s="30"/>
      <c r="C329" s="28"/>
      <c r="D329" s="28"/>
      <c r="E329" s="28"/>
      <c r="F329" s="28"/>
      <c r="G329" s="27"/>
      <c r="H329" s="27"/>
    </row>
    <row r="330" spans="1:8" x14ac:dyDescent="0.2">
      <c r="A330" s="27"/>
      <c r="B330" s="30"/>
      <c r="C330" s="28"/>
      <c r="D330" s="28"/>
      <c r="E330" s="28"/>
      <c r="F330" s="28"/>
      <c r="G330" s="27"/>
      <c r="H330" s="27"/>
    </row>
    <row r="331" spans="1:8" x14ac:dyDescent="0.2">
      <c r="A331" s="27"/>
      <c r="B331" s="30"/>
      <c r="G331" s="27"/>
      <c r="H331" s="27"/>
    </row>
    <row r="332" spans="1:8" x14ac:dyDescent="0.2">
      <c r="A332" s="27"/>
      <c r="B332" s="30"/>
      <c r="G332" s="27"/>
      <c r="H332" s="27"/>
    </row>
    <row r="333" spans="1:8" x14ac:dyDescent="0.2">
      <c r="A333" s="27"/>
      <c r="B333" s="30"/>
      <c r="G333" s="27"/>
      <c r="H333" s="27"/>
    </row>
    <row r="334" spans="1:8" x14ac:dyDescent="0.2">
      <c r="A334" s="27"/>
      <c r="B334" s="30"/>
      <c r="G334" s="27"/>
      <c r="H334" s="27"/>
    </row>
    <row r="335" spans="1:8" x14ac:dyDescent="0.2">
      <c r="A335" s="27"/>
      <c r="B335" s="30"/>
      <c r="G335" s="27"/>
      <c r="H335" s="27"/>
    </row>
    <row r="336" spans="1:8" x14ac:dyDescent="0.2">
      <c r="A336" s="27"/>
      <c r="B336" s="30"/>
      <c r="C336" s="28"/>
      <c r="D336" s="28"/>
      <c r="E336" s="28"/>
      <c r="F336" s="28"/>
      <c r="G336" s="27"/>
      <c r="H336" s="27"/>
    </row>
    <row r="337" spans="1:8" x14ac:dyDescent="0.2">
      <c r="A337" s="27"/>
      <c r="B337" s="30"/>
      <c r="C337" s="28"/>
      <c r="D337" s="28"/>
      <c r="E337" s="28"/>
      <c r="F337" s="28"/>
      <c r="G337" s="27"/>
      <c r="H337" s="27"/>
    </row>
    <row r="338" spans="1:8" x14ac:dyDescent="0.2">
      <c r="A338" s="27"/>
      <c r="B338" s="30"/>
      <c r="G338" s="27"/>
      <c r="H338" s="27"/>
    </row>
    <row r="339" spans="1:8" x14ac:dyDescent="0.2">
      <c r="A339" s="27"/>
      <c r="B339" s="30"/>
      <c r="C339" s="28"/>
      <c r="D339" s="28"/>
      <c r="E339" s="28"/>
      <c r="F339" s="28"/>
      <c r="G339" s="27"/>
      <c r="H339" s="27"/>
    </row>
    <row r="340" spans="1:8" x14ac:dyDescent="0.2">
      <c r="A340" s="27"/>
      <c r="B340" s="30"/>
      <c r="C340" s="28"/>
      <c r="D340" s="28"/>
      <c r="E340" s="28"/>
      <c r="F340" s="28"/>
      <c r="G340" s="27"/>
      <c r="H340" s="27"/>
    </row>
    <row r="341" spans="1:8" x14ac:dyDescent="0.2">
      <c r="A341" s="27"/>
      <c r="B341" s="30"/>
      <c r="C341" s="28"/>
      <c r="D341" s="28"/>
      <c r="E341" s="28"/>
      <c r="F341" s="28"/>
      <c r="G341" s="27"/>
      <c r="H341" s="27"/>
    </row>
    <row r="342" spans="1:8" x14ac:dyDescent="0.2">
      <c r="A342" s="27"/>
      <c r="B342" s="30"/>
      <c r="G342" s="27"/>
      <c r="H342" s="27"/>
    </row>
    <row r="343" spans="1:8" x14ac:dyDescent="0.2">
      <c r="A343" s="27"/>
      <c r="B343" s="30"/>
      <c r="G343" s="27"/>
      <c r="H343" s="27"/>
    </row>
    <row r="344" spans="1:8" x14ac:dyDescent="0.2">
      <c r="A344" s="27"/>
      <c r="B344" s="30"/>
      <c r="G344" s="27"/>
      <c r="H344" s="27"/>
    </row>
    <row r="345" spans="1:8" x14ac:dyDescent="0.2">
      <c r="A345" s="27"/>
      <c r="B345" s="30"/>
      <c r="C345" s="28"/>
      <c r="D345" s="28"/>
      <c r="E345" s="28"/>
      <c r="F345" s="28"/>
      <c r="G345" s="27"/>
      <c r="H345" s="27"/>
    </row>
    <row r="346" spans="1:8" x14ac:dyDescent="0.2">
      <c r="A346" s="27"/>
      <c r="B346" s="30"/>
      <c r="G346" s="27"/>
      <c r="H346" s="27"/>
    </row>
    <row r="347" spans="1:8" x14ac:dyDescent="0.2">
      <c r="A347" s="27"/>
      <c r="B347" s="30"/>
      <c r="G347" s="27"/>
      <c r="H347" s="27"/>
    </row>
    <row r="348" spans="1:8" x14ac:dyDescent="0.2">
      <c r="A348" s="27"/>
      <c r="B348" s="30"/>
      <c r="C348" s="28"/>
      <c r="D348" s="28"/>
      <c r="E348" s="28"/>
      <c r="F348" s="28"/>
      <c r="G348" s="27"/>
      <c r="H348" s="27"/>
    </row>
    <row r="349" spans="1:8" x14ac:dyDescent="0.2">
      <c r="A349" s="27"/>
      <c r="B349" s="30"/>
      <c r="C349" s="28"/>
      <c r="D349" s="28"/>
      <c r="E349" s="28"/>
      <c r="F349" s="28"/>
      <c r="G349" s="27"/>
      <c r="H349" s="27"/>
    </row>
    <row r="350" spans="1:8" x14ac:dyDescent="0.2">
      <c r="A350" s="27"/>
      <c r="B350" s="30"/>
      <c r="G350" s="27"/>
      <c r="H350" s="27"/>
    </row>
    <row r="351" spans="1:8" x14ac:dyDescent="0.2">
      <c r="A351" s="27"/>
      <c r="B351" s="30"/>
      <c r="C351" s="28"/>
      <c r="D351" s="28"/>
      <c r="E351" s="28"/>
      <c r="F351" s="28"/>
      <c r="G351" s="27"/>
      <c r="H351" s="27"/>
    </row>
    <row r="352" spans="1:8" x14ac:dyDescent="0.2">
      <c r="A352" s="27"/>
      <c r="B352" s="30"/>
      <c r="C352" s="28"/>
      <c r="D352" s="28"/>
      <c r="E352" s="28"/>
      <c r="F352" s="28"/>
      <c r="G352" s="27"/>
      <c r="H352" s="27"/>
    </row>
    <row r="353" spans="1:8" x14ac:dyDescent="0.2">
      <c r="A353" s="27"/>
      <c r="B353" s="30"/>
      <c r="G353" s="27"/>
      <c r="H353" s="27"/>
    </row>
    <row r="354" spans="1:8" x14ac:dyDescent="0.2">
      <c r="A354" s="27"/>
      <c r="B354" s="30"/>
      <c r="G354" s="27"/>
      <c r="H354" s="27"/>
    </row>
    <row r="355" spans="1:8" x14ac:dyDescent="0.2">
      <c r="A355" s="27"/>
      <c r="B355" s="30"/>
      <c r="C355" s="28"/>
      <c r="D355" s="28"/>
      <c r="E355" s="28"/>
      <c r="F355" s="28"/>
      <c r="G355" s="27"/>
      <c r="H355" s="27"/>
    </row>
    <row r="356" spans="1:8" x14ac:dyDescent="0.2">
      <c r="A356" s="27"/>
      <c r="B356" s="30"/>
      <c r="G356" s="27"/>
      <c r="H356" s="27"/>
    </row>
    <row r="357" spans="1:8" x14ac:dyDescent="0.2">
      <c r="A357" s="27"/>
      <c r="B357" s="30"/>
      <c r="C357" s="28"/>
      <c r="D357" s="28"/>
      <c r="E357" s="28"/>
      <c r="F357" s="28"/>
      <c r="G357" s="27"/>
      <c r="H357" s="27"/>
    </row>
    <row r="358" spans="1:8" x14ac:dyDescent="0.2">
      <c r="A358" s="27"/>
      <c r="B358" s="30"/>
      <c r="C358" s="28"/>
      <c r="D358" s="28"/>
      <c r="E358" s="28"/>
      <c r="F358" s="28"/>
      <c r="G358" s="27"/>
      <c r="H358" s="27"/>
    </row>
    <row r="359" spans="1:8" x14ac:dyDescent="0.2">
      <c r="A359" s="27"/>
      <c r="B359" s="30"/>
      <c r="C359" s="28"/>
      <c r="D359" s="28"/>
      <c r="E359" s="28"/>
      <c r="F359" s="28"/>
      <c r="G359" s="27"/>
      <c r="H359" s="27"/>
    </row>
    <row r="360" spans="1:8" x14ac:dyDescent="0.2">
      <c r="A360" s="27"/>
      <c r="B360" s="30"/>
      <c r="G360" s="27"/>
      <c r="H360" s="27"/>
    </row>
    <row r="361" spans="1:8" x14ac:dyDescent="0.2">
      <c r="A361" s="27"/>
      <c r="B361" s="30"/>
      <c r="G361" s="27"/>
      <c r="H361" s="27"/>
    </row>
    <row r="362" spans="1:8" x14ac:dyDescent="0.2">
      <c r="A362" s="27"/>
      <c r="B362" s="30"/>
      <c r="C362" s="28"/>
      <c r="D362" s="28"/>
      <c r="E362" s="28"/>
      <c r="F362" s="28"/>
      <c r="G362" s="27"/>
      <c r="H362" s="27"/>
    </row>
    <row r="363" spans="1:8" x14ac:dyDescent="0.2">
      <c r="A363" s="27"/>
      <c r="B363" s="30"/>
      <c r="C363" s="28"/>
      <c r="D363" s="28"/>
      <c r="E363" s="28"/>
      <c r="F363" s="28"/>
      <c r="G363" s="27"/>
      <c r="H363" s="27"/>
    </row>
    <row r="364" spans="1:8" x14ac:dyDescent="0.2">
      <c r="A364" s="27"/>
      <c r="B364" s="30"/>
      <c r="G364" s="27"/>
      <c r="H364" s="27"/>
    </row>
    <row r="365" spans="1:8" x14ac:dyDescent="0.2">
      <c r="A365" s="27"/>
      <c r="B365" s="30"/>
      <c r="C365" s="28"/>
      <c r="D365" s="28"/>
      <c r="E365" s="28"/>
      <c r="F365" s="28"/>
      <c r="G365" s="27"/>
      <c r="H365" s="27"/>
    </row>
    <row r="366" spans="1:8" x14ac:dyDescent="0.2">
      <c r="A366" s="27"/>
      <c r="B366" s="30"/>
      <c r="C366" s="28"/>
      <c r="D366" s="28"/>
      <c r="E366" s="28"/>
      <c r="F366" s="28"/>
      <c r="G366" s="27"/>
      <c r="H366" s="27"/>
    </row>
    <row r="367" spans="1:8" x14ac:dyDescent="0.2">
      <c r="A367" s="27"/>
      <c r="B367" s="30"/>
      <c r="G367" s="27"/>
      <c r="H367" s="27"/>
    </row>
    <row r="368" spans="1:8" x14ac:dyDescent="0.2">
      <c r="A368" s="27"/>
      <c r="B368" s="30"/>
      <c r="C368" s="28"/>
      <c r="D368" s="28"/>
      <c r="E368" s="28"/>
      <c r="F368" s="28"/>
      <c r="G368" s="27"/>
      <c r="H368" s="27"/>
    </row>
    <row r="369" spans="1:8" x14ac:dyDescent="0.2">
      <c r="A369" s="27"/>
      <c r="B369" s="30"/>
      <c r="C369" s="28"/>
      <c r="D369" s="28"/>
      <c r="E369" s="28"/>
      <c r="F369" s="28"/>
      <c r="G369" s="27"/>
      <c r="H369" s="27"/>
    </row>
    <row r="370" spans="1:8" x14ac:dyDescent="0.2">
      <c r="A370" s="27"/>
      <c r="B370" s="30"/>
      <c r="G370" s="27"/>
      <c r="H370" s="27"/>
    </row>
    <row r="371" spans="1:8" x14ac:dyDescent="0.2">
      <c r="A371" s="27"/>
      <c r="B371" s="30"/>
      <c r="G371" s="27"/>
      <c r="H371" s="27"/>
    </row>
    <row r="372" spans="1:8" x14ac:dyDescent="0.2">
      <c r="A372" s="27"/>
      <c r="B372" s="30"/>
      <c r="G372" s="27"/>
      <c r="H372" s="27"/>
    </row>
    <row r="373" spans="1:8" x14ac:dyDescent="0.2">
      <c r="A373" s="27"/>
      <c r="B373" s="30"/>
      <c r="C373" s="28"/>
      <c r="D373" s="28"/>
      <c r="E373" s="28"/>
      <c r="F373" s="28"/>
      <c r="G373" s="27"/>
      <c r="H373" s="27"/>
    </row>
    <row r="374" spans="1:8" x14ac:dyDescent="0.2">
      <c r="A374" s="27"/>
      <c r="B374" s="30"/>
      <c r="C374" s="28"/>
      <c r="D374" s="28"/>
      <c r="E374" s="28"/>
      <c r="F374" s="28"/>
      <c r="G374" s="27"/>
      <c r="H374" s="27"/>
    </row>
    <row r="375" spans="1:8" x14ac:dyDescent="0.2">
      <c r="A375" s="27"/>
      <c r="B375" s="30"/>
      <c r="G375" s="27"/>
      <c r="H375" s="27"/>
    </row>
    <row r="376" spans="1:8" x14ac:dyDescent="0.2">
      <c r="A376" s="27"/>
      <c r="B376" s="30"/>
      <c r="G376" s="27"/>
      <c r="H376" s="27"/>
    </row>
    <row r="377" spans="1:8" x14ac:dyDescent="0.2">
      <c r="A377" s="27"/>
      <c r="B377" s="30"/>
      <c r="G377" s="27"/>
      <c r="H377" s="27"/>
    </row>
    <row r="378" spans="1:8" x14ac:dyDescent="0.2">
      <c r="A378" s="27"/>
      <c r="B378" s="30"/>
      <c r="G378" s="27"/>
      <c r="H378" s="27"/>
    </row>
    <row r="379" spans="1:8" x14ac:dyDescent="0.2">
      <c r="A379" s="27"/>
      <c r="B379" s="30"/>
      <c r="C379" s="28"/>
      <c r="D379" s="28"/>
      <c r="E379" s="28"/>
      <c r="F379" s="28"/>
      <c r="G379" s="27"/>
      <c r="H379" s="27"/>
    </row>
    <row r="380" spans="1:8" x14ac:dyDescent="0.2">
      <c r="A380" s="27"/>
      <c r="B380" s="30"/>
      <c r="G380" s="27"/>
      <c r="H380" s="27"/>
    </row>
    <row r="381" spans="1:8" x14ac:dyDescent="0.2">
      <c r="A381" s="27"/>
      <c r="B381" s="30"/>
      <c r="G381" s="27"/>
      <c r="H381" s="27"/>
    </row>
    <row r="382" spans="1:8" x14ac:dyDescent="0.2">
      <c r="A382" s="27"/>
      <c r="B382" s="30"/>
      <c r="G382" s="27"/>
      <c r="H382" s="27"/>
    </row>
    <row r="383" spans="1:8" x14ac:dyDescent="0.2">
      <c r="A383" s="27"/>
      <c r="B383" s="30"/>
      <c r="C383" s="28"/>
      <c r="D383" s="28"/>
      <c r="E383" s="28"/>
      <c r="F383" s="28"/>
      <c r="G383" s="27"/>
      <c r="H383" s="27"/>
    </row>
    <row r="384" spans="1:8" x14ac:dyDescent="0.2">
      <c r="A384" s="27"/>
      <c r="B384" s="30"/>
      <c r="C384" s="28"/>
      <c r="D384" s="28"/>
      <c r="E384" s="28"/>
      <c r="F384" s="28"/>
      <c r="G384" s="27"/>
      <c r="H384" s="27"/>
    </row>
    <row r="385" spans="1:8" x14ac:dyDescent="0.2">
      <c r="A385" s="27"/>
      <c r="B385" s="30"/>
      <c r="G385" s="27"/>
      <c r="H385" s="27"/>
    </row>
    <row r="386" spans="1:8" x14ac:dyDescent="0.2">
      <c r="A386" s="27"/>
      <c r="B386" s="30"/>
      <c r="C386" s="28"/>
      <c r="D386" s="28"/>
      <c r="E386" s="28"/>
      <c r="F386" s="28"/>
      <c r="G386" s="27"/>
      <c r="H386" s="27"/>
    </row>
    <row r="387" spans="1:8" x14ac:dyDescent="0.2">
      <c r="A387" s="27"/>
      <c r="B387" s="30"/>
      <c r="C387" s="28"/>
      <c r="D387" s="28"/>
      <c r="E387" s="28"/>
      <c r="F387" s="28"/>
      <c r="G387" s="27"/>
      <c r="H387" s="27"/>
    </row>
    <row r="388" spans="1:8" x14ac:dyDescent="0.2">
      <c r="A388" s="27"/>
      <c r="B388" s="30"/>
      <c r="C388" s="28"/>
      <c r="D388" s="28"/>
      <c r="E388" s="28"/>
      <c r="F388" s="28"/>
      <c r="G388" s="27"/>
      <c r="H388" s="27"/>
    </row>
    <row r="389" spans="1:8" x14ac:dyDescent="0.2">
      <c r="A389" s="27"/>
      <c r="B389" s="30"/>
      <c r="G389" s="27"/>
      <c r="H389" s="27"/>
    </row>
    <row r="390" spans="1:8" x14ac:dyDescent="0.2">
      <c r="A390" s="27"/>
      <c r="B390" s="30"/>
      <c r="C390" s="28"/>
      <c r="D390" s="28"/>
      <c r="E390" s="28"/>
      <c r="F390" s="28"/>
      <c r="G390" s="27"/>
      <c r="H390" s="27"/>
    </row>
    <row r="391" spans="1:8" x14ac:dyDescent="0.2">
      <c r="A391" s="27"/>
      <c r="B391" s="30"/>
      <c r="G391" s="27"/>
      <c r="H391" s="27"/>
    </row>
    <row r="392" spans="1:8" x14ac:dyDescent="0.2">
      <c r="A392" s="27"/>
      <c r="B392" s="30"/>
      <c r="G392" s="27"/>
      <c r="H392" s="27"/>
    </row>
    <row r="393" spans="1:8" x14ac:dyDescent="0.2">
      <c r="A393" s="27"/>
      <c r="B393" s="30"/>
      <c r="C393" s="28"/>
      <c r="D393" s="28"/>
      <c r="E393" s="28"/>
      <c r="F393" s="28"/>
      <c r="G393" s="27"/>
      <c r="H393" s="27"/>
    </row>
    <row r="394" spans="1:8" x14ac:dyDescent="0.2">
      <c r="A394" s="27"/>
      <c r="B394" s="30"/>
      <c r="C394" s="28"/>
      <c r="D394" s="28"/>
      <c r="E394" s="28"/>
      <c r="F394" s="28"/>
      <c r="G394" s="27"/>
      <c r="H394" s="27"/>
    </row>
    <row r="395" spans="1:8" x14ac:dyDescent="0.2">
      <c r="A395" s="27"/>
      <c r="B395" s="30"/>
      <c r="C395" s="28"/>
      <c r="D395" s="28"/>
      <c r="E395" s="28"/>
      <c r="F395" s="28"/>
      <c r="G395" s="27"/>
      <c r="H395" s="27"/>
    </row>
    <row r="396" spans="1:8" x14ac:dyDescent="0.2">
      <c r="A396" s="27"/>
      <c r="B396" s="30"/>
      <c r="C396" s="28"/>
      <c r="D396" s="28"/>
      <c r="E396" s="28"/>
      <c r="F396" s="28"/>
      <c r="G396" s="27"/>
      <c r="H396" s="27"/>
    </row>
    <row r="397" spans="1:8" x14ac:dyDescent="0.2">
      <c r="A397" s="27"/>
      <c r="B397" s="30"/>
      <c r="G397" s="27"/>
      <c r="H397" s="27"/>
    </row>
    <row r="398" spans="1:8" x14ac:dyDescent="0.2">
      <c r="A398" s="27"/>
      <c r="B398" s="30"/>
      <c r="G398" s="27"/>
      <c r="H398" s="27"/>
    </row>
    <row r="399" spans="1:8" x14ac:dyDescent="0.2">
      <c r="A399" s="27"/>
      <c r="B399" s="30"/>
      <c r="G399" s="27"/>
      <c r="H399" s="27"/>
    </row>
    <row r="400" spans="1:8" x14ac:dyDescent="0.2">
      <c r="A400" s="27"/>
      <c r="B400" s="30"/>
      <c r="C400" s="28"/>
      <c r="D400" s="28"/>
      <c r="E400" s="28"/>
      <c r="F400" s="28"/>
      <c r="G400" s="27"/>
      <c r="H400" s="27"/>
    </row>
    <row r="401" spans="1:8" x14ac:dyDescent="0.2">
      <c r="A401" s="27"/>
      <c r="B401" s="30"/>
      <c r="G401" s="27"/>
      <c r="H401" s="27"/>
    </row>
    <row r="402" spans="1:8" x14ac:dyDescent="0.2">
      <c r="A402" s="27"/>
      <c r="B402" s="30"/>
      <c r="C402" s="28"/>
      <c r="D402" s="28"/>
      <c r="E402" s="28"/>
      <c r="F402" s="28"/>
      <c r="G402" s="27"/>
      <c r="H402" s="27"/>
    </row>
    <row r="403" spans="1:8" x14ac:dyDescent="0.2">
      <c r="A403" s="27"/>
      <c r="B403" s="30"/>
      <c r="G403" s="27"/>
      <c r="H403" s="27"/>
    </row>
    <row r="404" spans="1:8" x14ac:dyDescent="0.2">
      <c r="A404" s="27"/>
      <c r="B404" s="30"/>
      <c r="G404" s="27"/>
      <c r="H404" s="27"/>
    </row>
    <row r="405" spans="1:8" x14ac:dyDescent="0.2">
      <c r="A405" s="27"/>
      <c r="B405" s="30"/>
      <c r="C405" s="28"/>
      <c r="D405" s="28"/>
      <c r="E405" s="28"/>
      <c r="F405" s="28"/>
      <c r="G405" s="27"/>
      <c r="H405" s="27"/>
    </row>
    <row r="406" spans="1:8" x14ac:dyDescent="0.2">
      <c r="A406" s="27"/>
      <c r="B406" s="30"/>
      <c r="C406" s="28"/>
      <c r="D406" s="28"/>
      <c r="E406" s="28"/>
      <c r="F406" s="28"/>
      <c r="G406" s="27"/>
      <c r="H406" s="27"/>
    </row>
    <row r="407" spans="1:8" x14ac:dyDescent="0.2">
      <c r="A407" s="27"/>
      <c r="B407" s="30"/>
      <c r="C407" s="28"/>
      <c r="D407" s="28"/>
      <c r="E407" s="28"/>
      <c r="F407" s="28"/>
      <c r="G407" s="27"/>
      <c r="H407" s="27"/>
    </row>
    <row r="408" spans="1:8" x14ac:dyDescent="0.2">
      <c r="A408" s="27"/>
      <c r="B408" s="30"/>
      <c r="G408" s="27"/>
      <c r="H408" s="27"/>
    </row>
    <row r="409" spans="1:8" x14ac:dyDescent="0.2">
      <c r="A409" s="27"/>
      <c r="B409" s="30"/>
      <c r="G409" s="27"/>
      <c r="H409" s="27"/>
    </row>
    <row r="410" spans="1:8" x14ac:dyDescent="0.2">
      <c r="A410" s="27"/>
      <c r="B410" s="30"/>
      <c r="G410" s="27"/>
      <c r="H410" s="27"/>
    </row>
    <row r="411" spans="1:8" x14ac:dyDescent="0.2">
      <c r="A411" s="27"/>
      <c r="B411" s="30"/>
      <c r="C411" s="28"/>
      <c r="D411" s="28"/>
      <c r="E411" s="28"/>
      <c r="F411" s="28"/>
      <c r="G411" s="27"/>
      <c r="H411" s="27"/>
    </row>
    <row r="412" spans="1:8" x14ac:dyDescent="0.2">
      <c r="A412" s="27"/>
      <c r="B412" s="30"/>
      <c r="G412" s="27"/>
      <c r="H412" s="27"/>
    </row>
    <row r="413" spans="1:8" x14ac:dyDescent="0.2">
      <c r="A413" s="27"/>
      <c r="B413" s="30"/>
      <c r="C413" s="28"/>
      <c r="D413" s="28"/>
      <c r="E413" s="28"/>
      <c r="F413" s="28"/>
      <c r="G413" s="27"/>
      <c r="H413" s="27"/>
    </row>
    <row r="414" spans="1:8" x14ac:dyDescent="0.2">
      <c r="A414" s="27"/>
      <c r="B414" s="30"/>
      <c r="C414" s="28"/>
      <c r="D414" s="28"/>
      <c r="E414" s="28"/>
      <c r="F414" s="28"/>
      <c r="G414" s="27"/>
      <c r="H414" s="27"/>
    </row>
    <row r="415" spans="1:8" x14ac:dyDescent="0.2">
      <c r="A415" s="27"/>
      <c r="B415" s="30"/>
      <c r="G415" s="27"/>
      <c r="H415" s="27"/>
    </row>
    <row r="416" spans="1:8" x14ac:dyDescent="0.2">
      <c r="A416" s="27"/>
      <c r="B416" s="30"/>
      <c r="G416" s="27"/>
      <c r="H416" s="27"/>
    </row>
    <row r="417" spans="1:8" x14ac:dyDescent="0.2">
      <c r="A417" s="27"/>
      <c r="B417" s="30"/>
      <c r="G417" s="27"/>
      <c r="H417" s="27"/>
    </row>
    <row r="418" spans="1:8" x14ac:dyDescent="0.2">
      <c r="A418" s="27"/>
      <c r="B418" s="30"/>
      <c r="C418" s="28"/>
      <c r="D418" s="28"/>
      <c r="E418" s="28"/>
      <c r="F418" s="28"/>
      <c r="G418" s="27"/>
      <c r="H418" s="27"/>
    </row>
    <row r="419" spans="1:8" x14ac:dyDescent="0.2">
      <c r="A419" s="27"/>
      <c r="B419" s="30"/>
      <c r="C419" s="28"/>
      <c r="D419" s="28"/>
      <c r="E419" s="28"/>
      <c r="F419" s="28"/>
      <c r="G419" s="27"/>
      <c r="H419" s="27"/>
    </row>
    <row r="420" spans="1:8" x14ac:dyDescent="0.2">
      <c r="A420" s="27"/>
      <c r="B420" s="30"/>
      <c r="C420" s="28"/>
      <c r="D420" s="28"/>
      <c r="E420" s="28"/>
      <c r="F420" s="28"/>
      <c r="G420" s="27"/>
      <c r="H420" s="27"/>
    </row>
    <row r="421" spans="1:8" x14ac:dyDescent="0.2">
      <c r="A421" s="27"/>
      <c r="B421" s="30"/>
      <c r="G421" s="27"/>
      <c r="H421" s="27"/>
    </row>
    <row r="422" spans="1:8" x14ac:dyDescent="0.2">
      <c r="A422" s="27"/>
      <c r="B422" s="30"/>
      <c r="C422" s="28"/>
      <c r="D422" s="28"/>
      <c r="E422" s="28"/>
      <c r="F422" s="28"/>
      <c r="G422" s="27"/>
      <c r="H422" s="27"/>
    </row>
    <row r="423" spans="1:8" x14ac:dyDescent="0.2">
      <c r="A423" s="27"/>
      <c r="B423" s="30"/>
      <c r="G423" s="27"/>
      <c r="H423" s="27"/>
    </row>
    <row r="424" spans="1:8" x14ac:dyDescent="0.2">
      <c r="A424" s="27"/>
      <c r="B424" s="30"/>
      <c r="G424" s="27"/>
      <c r="H424" s="27"/>
    </row>
    <row r="425" spans="1:8" x14ac:dyDescent="0.2">
      <c r="A425" s="27"/>
      <c r="B425" s="30"/>
      <c r="G425" s="27"/>
      <c r="H425" s="27"/>
    </row>
    <row r="426" spans="1:8" x14ac:dyDescent="0.2">
      <c r="A426" s="27"/>
      <c r="B426" s="30"/>
      <c r="C426" s="28"/>
      <c r="D426" s="28"/>
      <c r="E426" s="28"/>
      <c r="F426" s="28"/>
      <c r="G426" s="27"/>
      <c r="H426" s="27"/>
    </row>
    <row r="427" spans="1:8" x14ac:dyDescent="0.2">
      <c r="A427" s="27"/>
      <c r="B427" s="30"/>
      <c r="C427" s="28"/>
      <c r="D427" s="28"/>
      <c r="E427" s="28"/>
      <c r="F427" s="28"/>
      <c r="G427" s="27"/>
      <c r="H427" s="27"/>
    </row>
    <row r="428" spans="1:8" x14ac:dyDescent="0.2">
      <c r="A428" s="27"/>
      <c r="B428" s="30"/>
      <c r="G428" s="27"/>
      <c r="H428" s="27"/>
    </row>
    <row r="429" spans="1:8" x14ac:dyDescent="0.2">
      <c r="A429" s="27"/>
      <c r="B429" s="30"/>
      <c r="C429" s="28"/>
      <c r="D429" s="28"/>
      <c r="E429" s="28"/>
      <c r="F429" s="28"/>
      <c r="G429" s="27"/>
      <c r="H429" s="27"/>
    </row>
    <row r="430" spans="1:8" x14ac:dyDescent="0.2">
      <c r="A430" s="27"/>
      <c r="B430" s="30"/>
      <c r="G430" s="27"/>
      <c r="H430" s="27"/>
    </row>
    <row r="431" spans="1:8" x14ac:dyDescent="0.2">
      <c r="A431" s="27"/>
      <c r="B431" s="30"/>
      <c r="C431" s="28"/>
      <c r="D431" s="28"/>
      <c r="E431" s="28"/>
      <c r="F431" s="28"/>
      <c r="G431" s="27"/>
      <c r="H431" s="27"/>
    </row>
    <row r="432" spans="1:8" x14ac:dyDescent="0.2">
      <c r="A432" s="27"/>
      <c r="B432" s="30"/>
      <c r="G432" s="27"/>
      <c r="H432" s="27"/>
    </row>
    <row r="433" spans="1:8" x14ac:dyDescent="0.2">
      <c r="A433" s="27"/>
      <c r="B433" s="30"/>
      <c r="C433" s="28"/>
      <c r="D433" s="28"/>
      <c r="E433" s="28"/>
      <c r="F433" s="28"/>
      <c r="G433" s="27"/>
      <c r="H433" s="27"/>
    </row>
    <row r="434" spans="1:8" x14ac:dyDescent="0.2">
      <c r="A434" s="27"/>
      <c r="B434" s="30"/>
      <c r="C434" s="28"/>
      <c r="D434" s="28"/>
      <c r="E434" s="28"/>
      <c r="F434" s="28"/>
      <c r="G434" s="27"/>
      <c r="H434" s="27"/>
    </row>
    <row r="435" spans="1:8" x14ac:dyDescent="0.2">
      <c r="A435" s="27"/>
      <c r="B435" s="30"/>
      <c r="G435" s="27"/>
      <c r="H435" s="27"/>
    </row>
    <row r="436" spans="1:8" x14ac:dyDescent="0.2">
      <c r="A436" s="27"/>
      <c r="B436" s="30"/>
      <c r="C436" s="28"/>
      <c r="D436" s="28"/>
      <c r="E436" s="28"/>
      <c r="F436" s="28"/>
      <c r="G436" s="27"/>
      <c r="H436" s="27"/>
    </row>
    <row r="437" spans="1:8" x14ac:dyDescent="0.2">
      <c r="A437" s="27"/>
      <c r="B437" s="30"/>
      <c r="G437" s="27"/>
      <c r="H437" s="27"/>
    </row>
    <row r="438" spans="1:8" x14ac:dyDescent="0.2">
      <c r="A438" s="27"/>
      <c r="B438" s="30"/>
      <c r="C438" s="28"/>
      <c r="D438" s="28"/>
      <c r="E438" s="28"/>
      <c r="F438" s="28"/>
      <c r="G438" s="27"/>
      <c r="H438" s="27"/>
    </row>
    <row r="439" spans="1:8" x14ac:dyDescent="0.2">
      <c r="A439" s="27"/>
      <c r="B439" s="30"/>
      <c r="C439" s="28"/>
      <c r="D439" s="28"/>
      <c r="E439" s="28"/>
      <c r="F439" s="28"/>
      <c r="G439" s="27"/>
      <c r="H439" s="27"/>
    </row>
    <row r="440" spans="1:8" x14ac:dyDescent="0.2">
      <c r="A440" s="27"/>
      <c r="B440" s="30"/>
      <c r="C440" s="28"/>
      <c r="D440" s="28"/>
      <c r="E440" s="28"/>
      <c r="F440" s="28"/>
      <c r="G440" s="27"/>
      <c r="H440" s="27"/>
    </row>
    <row r="441" spans="1:8" x14ac:dyDescent="0.2">
      <c r="A441" s="27"/>
      <c r="B441" s="30"/>
      <c r="G441" s="27"/>
      <c r="H441" s="27"/>
    </row>
    <row r="442" spans="1:8" x14ac:dyDescent="0.2">
      <c r="A442" s="27"/>
      <c r="B442" s="30"/>
      <c r="C442" s="28"/>
      <c r="D442" s="28"/>
      <c r="E442" s="28"/>
      <c r="F442" s="28"/>
      <c r="G442" s="27"/>
      <c r="H442" s="27"/>
    </row>
    <row r="443" spans="1:8" x14ac:dyDescent="0.2">
      <c r="A443" s="27"/>
      <c r="B443" s="30"/>
      <c r="C443" s="28"/>
      <c r="D443" s="28"/>
      <c r="E443" s="28"/>
      <c r="F443" s="28"/>
      <c r="G443" s="27"/>
      <c r="H443" s="27"/>
    </row>
    <row r="444" spans="1:8" x14ac:dyDescent="0.2">
      <c r="A444" s="27"/>
      <c r="B444" s="30"/>
      <c r="C444" s="28"/>
      <c r="D444" s="28"/>
      <c r="E444" s="28"/>
      <c r="F444" s="28"/>
      <c r="G444" s="27"/>
      <c r="H444" s="27"/>
    </row>
    <row r="445" spans="1:8" x14ac:dyDescent="0.2">
      <c r="A445" s="27"/>
      <c r="B445" s="30"/>
      <c r="C445" s="28"/>
      <c r="D445" s="28"/>
      <c r="E445" s="28"/>
      <c r="F445" s="28"/>
      <c r="G445" s="27"/>
      <c r="H445" s="27"/>
    </row>
    <row r="446" spans="1:8" x14ac:dyDescent="0.2">
      <c r="A446" s="27"/>
      <c r="B446" s="30"/>
      <c r="G446" s="27"/>
      <c r="H446" s="27"/>
    </row>
    <row r="447" spans="1:8" x14ac:dyDescent="0.2">
      <c r="A447" s="27"/>
      <c r="B447" s="30"/>
      <c r="C447" s="28"/>
      <c r="D447" s="28"/>
      <c r="E447" s="28"/>
      <c r="F447" s="28"/>
      <c r="G447" s="27"/>
      <c r="H447" s="27"/>
    </row>
    <row r="448" spans="1:8" x14ac:dyDescent="0.2">
      <c r="A448" s="27"/>
      <c r="B448" s="30"/>
      <c r="G448" s="27"/>
      <c r="H448" s="27"/>
    </row>
    <row r="449" spans="1:8" x14ac:dyDescent="0.2">
      <c r="A449" s="27"/>
      <c r="B449" s="30"/>
      <c r="C449" s="28"/>
      <c r="D449" s="28"/>
      <c r="E449" s="28"/>
      <c r="F449" s="28"/>
      <c r="G449" s="27"/>
      <c r="H449" s="27"/>
    </row>
    <row r="450" spans="1:8" x14ac:dyDescent="0.2">
      <c r="A450" s="27"/>
      <c r="B450" s="30"/>
      <c r="G450" s="27"/>
      <c r="H450" s="27"/>
    </row>
    <row r="451" spans="1:8" x14ac:dyDescent="0.2">
      <c r="A451" s="27"/>
      <c r="B451" s="30"/>
      <c r="C451" s="28"/>
      <c r="D451" s="28"/>
      <c r="E451" s="28"/>
      <c r="F451" s="28"/>
      <c r="G451" s="27"/>
      <c r="H451" s="27"/>
    </row>
    <row r="452" spans="1:8" x14ac:dyDescent="0.2">
      <c r="A452" s="27"/>
      <c r="B452" s="30"/>
      <c r="G452" s="27"/>
      <c r="H452" s="27"/>
    </row>
    <row r="453" spans="1:8" x14ac:dyDescent="0.2">
      <c r="A453" s="27"/>
      <c r="B453" s="30"/>
      <c r="C453" s="28"/>
      <c r="D453" s="28"/>
      <c r="E453" s="28"/>
      <c r="F453" s="28"/>
      <c r="G453" s="27"/>
      <c r="H453" s="27"/>
    </row>
    <row r="454" spans="1:8" x14ac:dyDescent="0.2">
      <c r="A454" s="27"/>
      <c r="B454" s="30"/>
      <c r="G454" s="27"/>
      <c r="H454" s="27"/>
    </row>
    <row r="455" spans="1:8" x14ac:dyDescent="0.2">
      <c r="A455" s="27"/>
      <c r="B455" s="30"/>
      <c r="G455" s="27"/>
      <c r="H455" s="27"/>
    </row>
    <row r="456" spans="1:8" x14ac:dyDescent="0.2">
      <c r="A456" s="27"/>
      <c r="B456" s="30"/>
      <c r="C456" s="28"/>
      <c r="D456" s="28"/>
      <c r="E456" s="28"/>
      <c r="F456" s="28"/>
      <c r="G456" s="27"/>
      <c r="H456" s="27"/>
    </row>
    <row r="457" spans="1:8" x14ac:dyDescent="0.2">
      <c r="A457" s="27"/>
      <c r="B457" s="30"/>
      <c r="G457" s="27"/>
      <c r="H457" s="27"/>
    </row>
    <row r="458" spans="1:8" x14ac:dyDescent="0.2">
      <c r="A458" s="27"/>
      <c r="B458" s="30"/>
      <c r="C458" s="28"/>
      <c r="D458" s="28"/>
      <c r="E458" s="28"/>
      <c r="F458" s="28"/>
      <c r="G458" s="27"/>
      <c r="H458" s="27"/>
    </row>
    <row r="459" spans="1:8" x14ac:dyDescent="0.2">
      <c r="A459" s="27"/>
      <c r="B459" s="30"/>
      <c r="C459" s="28"/>
      <c r="D459" s="28"/>
      <c r="E459" s="28"/>
      <c r="F459" s="28"/>
      <c r="G459" s="27"/>
      <c r="H459" s="27"/>
    </row>
    <row r="460" spans="1:8" x14ac:dyDescent="0.2">
      <c r="A460" s="27"/>
      <c r="B460" s="30"/>
      <c r="G460" s="27"/>
      <c r="H460" s="27"/>
    </row>
    <row r="461" spans="1:8" x14ac:dyDescent="0.2">
      <c r="A461" s="27"/>
      <c r="B461" s="30"/>
      <c r="C461" s="28"/>
      <c r="D461" s="28"/>
      <c r="E461" s="28"/>
      <c r="F461" s="28"/>
      <c r="G461" s="27"/>
      <c r="H461" s="27"/>
    </row>
    <row r="462" spans="1:8" x14ac:dyDescent="0.2">
      <c r="A462" s="27"/>
      <c r="B462" s="30"/>
      <c r="C462" s="28"/>
      <c r="D462" s="28"/>
      <c r="E462" s="28"/>
      <c r="F462" s="28"/>
      <c r="G462" s="27"/>
      <c r="H462" s="27"/>
    </row>
    <row r="463" spans="1:8" x14ac:dyDescent="0.2">
      <c r="A463" s="27"/>
      <c r="B463" s="30"/>
      <c r="C463" s="28"/>
      <c r="D463" s="28"/>
      <c r="E463" s="28"/>
      <c r="F463" s="28"/>
      <c r="G463" s="27"/>
      <c r="H463" s="27"/>
    </row>
    <row r="464" spans="1:8" x14ac:dyDescent="0.2">
      <c r="A464" s="27"/>
      <c r="B464" s="30"/>
      <c r="C464" s="28"/>
      <c r="D464" s="28"/>
      <c r="E464" s="28"/>
      <c r="F464" s="28"/>
      <c r="G464" s="27"/>
      <c r="H464" s="27"/>
    </row>
    <row r="465" spans="1:8" x14ac:dyDescent="0.2">
      <c r="A465" s="27"/>
      <c r="B465" s="30"/>
      <c r="G465" s="27"/>
      <c r="H465" s="27"/>
    </row>
    <row r="466" spans="1:8" x14ac:dyDescent="0.2">
      <c r="A466" s="27"/>
      <c r="B466" s="30"/>
      <c r="C466" s="28"/>
      <c r="D466" s="28"/>
      <c r="E466" s="28"/>
      <c r="F466" s="28"/>
      <c r="G466" s="27"/>
      <c r="H466" s="27"/>
    </row>
    <row r="467" spans="1:8" x14ac:dyDescent="0.2">
      <c r="A467" s="27"/>
      <c r="B467" s="30"/>
      <c r="G467" s="27"/>
      <c r="H467" s="27"/>
    </row>
    <row r="468" spans="1:8" x14ac:dyDescent="0.2">
      <c r="A468" s="27"/>
      <c r="B468" s="30"/>
      <c r="G468" s="27"/>
      <c r="H468" s="27"/>
    </row>
    <row r="469" spans="1:8" x14ac:dyDescent="0.2">
      <c r="A469" s="27"/>
      <c r="B469" s="30"/>
      <c r="G469" s="27"/>
      <c r="H469" s="27"/>
    </row>
    <row r="470" spans="1:8" x14ac:dyDescent="0.2">
      <c r="A470" s="27"/>
      <c r="B470" s="30"/>
      <c r="G470" s="27"/>
      <c r="H470" s="27"/>
    </row>
    <row r="471" spans="1:8" x14ac:dyDescent="0.2">
      <c r="A471" s="27"/>
      <c r="B471" s="30"/>
      <c r="C471" s="28"/>
      <c r="D471" s="28"/>
      <c r="E471" s="28"/>
      <c r="F471" s="28"/>
      <c r="G471" s="27"/>
      <c r="H471" s="27"/>
    </row>
    <row r="472" spans="1:8" x14ac:dyDescent="0.2">
      <c r="A472" s="27"/>
      <c r="B472" s="30"/>
      <c r="G472" s="27"/>
      <c r="H472" s="27"/>
    </row>
    <row r="473" spans="1:8" x14ac:dyDescent="0.2">
      <c r="A473" s="27"/>
      <c r="B473" s="30"/>
      <c r="G473" s="27"/>
      <c r="H473" s="27"/>
    </row>
    <row r="474" spans="1:8" x14ac:dyDescent="0.2">
      <c r="A474" s="27"/>
      <c r="B474" s="30"/>
      <c r="G474" s="27"/>
      <c r="H474" s="27"/>
    </row>
    <row r="475" spans="1:8" x14ac:dyDescent="0.2">
      <c r="A475" s="27"/>
      <c r="B475" s="30"/>
      <c r="C475" s="28"/>
      <c r="D475" s="28"/>
      <c r="E475" s="28"/>
      <c r="F475" s="28"/>
      <c r="G475" s="27"/>
      <c r="H475" s="27"/>
    </row>
    <row r="476" spans="1:8" x14ac:dyDescent="0.2">
      <c r="A476" s="27"/>
      <c r="B476" s="30"/>
      <c r="G476" s="27"/>
      <c r="H476" s="27"/>
    </row>
    <row r="477" spans="1:8" x14ac:dyDescent="0.2">
      <c r="A477" s="27"/>
      <c r="B477" s="30"/>
      <c r="G477" s="27"/>
      <c r="H477" s="27"/>
    </row>
    <row r="478" spans="1:8" x14ac:dyDescent="0.2">
      <c r="A478" s="27"/>
      <c r="B478" s="30"/>
      <c r="C478" s="28"/>
      <c r="D478" s="28"/>
      <c r="E478" s="28"/>
      <c r="F478" s="28"/>
      <c r="G478" s="27"/>
      <c r="H478" s="27"/>
    </row>
    <row r="479" spans="1:8" x14ac:dyDescent="0.2">
      <c r="A479" s="27"/>
      <c r="B479" s="30"/>
      <c r="G479" s="27"/>
      <c r="H479" s="27"/>
    </row>
    <row r="480" spans="1:8" x14ac:dyDescent="0.2">
      <c r="A480" s="27"/>
      <c r="B480" s="30"/>
      <c r="G480" s="27"/>
      <c r="H480" s="27"/>
    </row>
    <row r="481" spans="1:8" x14ac:dyDescent="0.2">
      <c r="A481" s="27"/>
      <c r="B481" s="30"/>
      <c r="G481" s="27"/>
      <c r="H481" s="27"/>
    </row>
    <row r="482" spans="1:8" x14ac:dyDescent="0.2">
      <c r="A482" s="27"/>
      <c r="B482" s="30"/>
      <c r="C482" s="28"/>
      <c r="D482" s="28"/>
      <c r="E482" s="28"/>
      <c r="F482" s="28"/>
      <c r="G482" s="27"/>
      <c r="H482" s="27"/>
    </row>
    <row r="483" spans="1:8" x14ac:dyDescent="0.2">
      <c r="A483" s="27"/>
      <c r="B483" s="30"/>
      <c r="C483" s="28"/>
      <c r="D483" s="28"/>
      <c r="E483" s="28"/>
      <c r="F483" s="28"/>
      <c r="G483" s="27"/>
      <c r="H483" s="27"/>
    </row>
    <row r="484" spans="1:8" x14ac:dyDescent="0.2">
      <c r="A484" s="27"/>
      <c r="B484" s="30"/>
      <c r="G484" s="27"/>
      <c r="H484" s="27"/>
    </row>
    <row r="485" spans="1:8" x14ac:dyDescent="0.2">
      <c r="A485" s="27"/>
      <c r="B485" s="30"/>
      <c r="G485" s="27"/>
      <c r="H485" s="27"/>
    </row>
    <row r="486" spans="1:8" x14ac:dyDescent="0.2">
      <c r="A486" s="27"/>
      <c r="B486" s="30"/>
      <c r="G486" s="27"/>
      <c r="H486" s="27"/>
    </row>
    <row r="487" spans="1:8" x14ac:dyDescent="0.2">
      <c r="A487" s="27"/>
      <c r="B487" s="30"/>
      <c r="C487" s="28"/>
      <c r="D487" s="28"/>
      <c r="E487" s="28"/>
      <c r="F487" s="28"/>
      <c r="G487" s="27"/>
      <c r="H487" s="27"/>
    </row>
    <row r="488" spans="1:8" x14ac:dyDescent="0.2">
      <c r="A488" s="27"/>
      <c r="B488" s="30"/>
      <c r="G488" s="27"/>
      <c r="H488" s="27"/>
    </row>
    <row r="489" spans="1:8" x14ac:dyDescent="0.2">
      <c r="A489" s="27"/>
      <c r="B489" s="30"/>
      <c r="C489" s="28"/>
      <c r="D489" s="28"/>
      <c r="E489" s="28"/>
      <c r="F489" s="28"/>
      <c r="G489" s="27"/>
      <c r="H489" s="27"/>
    </row>
    <row r="490" spans="1:8" x14ac:dyDescent="0.2">
      <c r="A490" s="27"/>
      <c r="B490" s="30"/>
      <c r="G490" s="27"/>
      <c r="H490" s="27"/>
    </row>
    <row r="491" spans="1:8" x14ac:dyDescent="0.2">
      <c r="A491" s="27"/>
      <c r="B491" s="30"/>
      <c r="C491" s="28"/>
      <c r="D491" s="28"/>
      <c r="E491" s="28"/>
      <c r="F491" s="28"/>
      <c r="G491" s="27"/>
      <c r="H491" s="27"/>
    </row>
    <row r="492" spans="1:8" x14ac:dyDescent="0.2">
      <c r="A492" s="27"/>
      <c r="B492" s="30"/>
      <c r="G492" s="27"/>
      <c r="H492" s="27"/>
    </row>
    <row r="493" spans="1:8" x14ac:dyDescent="0.2">
      <c r="A493" s="27"/>
      <c r="B493" s="30"/>
      <c r="G493" s="27"/>
      <c r="H493" s="27"/>
    </row>
    <row r="494" spans="1:8" x14ac:dyDescent="0.2">
      <c r="A494" s="27"/>
      <c r="B494" s="30"/>
      <c r="G494" s="27"/>
      <c r="H494" s="27"/>
    </row>
    <row r="495" spans="1:8" x14ac:dyDescent="0.2">
      <c r="A495" s="27"/>
      <c r="B495" s="30"/>
      <c r="G495" s="27"/>
      <c r="H495" s="27"/>
    </row>
    <row r="496" spans="1:8" x14ac:dyDescent="0.2">
      <c r="A496" s="27"/>
      <c r="B496" s="30"/>
      <c r="C496" s="28"/>
      <c r="D496" s="28"/>
      <c r="E496" s="28"/>
      <c r="F496" s="28"/>
      <c r="G496" s="27"/>
      <c r="H496" s="27"/>
    </row>
    <row r="497" spans="1:8" x14ac:dyDescent="0.2">
      <c r="A497" s="27"/>
      <c r="B497" s="30"/>
      <c r="G497" s="27"/>
      <c r="H497" s="27"/>
    </row>
    <row r="498" spans="1:8" x14ac:dyDescent="0.2">
      <c r="A498" s="27"/>
      <c r="B498" s="30"/>
      <c r="G498" s="27"/>
      <c r="H498" s="27"/>
    </row>
    <row r="499" spans="1:8" x14ac:dyDescent="0.2">
      <c r="A499" s="27"/>
      <c r="B499" s="30"/>
      <c r="G499" s="27"/>
      <c r="H499" s="27"/>
    </row>
    <row r="500" spans="1:8" x14ac:dyDescent="0.2">
      <c r="A500" s="27"/>
      <c r="B500" s="30"/>
      <c r="C500" s="28"/>
      <c r="D500" s="28"/>
      <c r="E500" s="28"/>
      <c r="F500" s="28"/>
      <c r="G500" s="27"/>
      <c r="H500" s="27"/>
    </row>
    <row r="501" spans="1:8" x14ac:dyDescent="0.2">
      <c r="A501" s="27"/>
      <c r="B501" s="30"/>
      <c r="G501" s="27"/>
      <c r="H501" s="27"/>
    </row>
    <row r="502" spans="1:8" x14ac:dyDescent="0.2">
      <c r="A502" s="27"/>
      <c r="B502" s="30"/>
      <c r="G502" s="27"/>
      <c r="H502" s="27"/>
    </row>
    <row r="503" spans="1:8" x14ac:dyDescent="0.2">
      <c r="A503" s="27"/>
      <c r="B503" s="30"/>
      <c r="C503" s="28"/>
      <c r="D503" s="28"/>
      <c r="E503" s="28"/>
      <c r="F503" s="28"/>
      <c r="G503" s="27"/>
      <c r="H503" s="27"/>
    </row>
    <row r="504" spans="1:8" x14ac:dyDescent="0.2">
      <c r="A504" s="27"/>
      <c r="B504" s="30"/>
      <c r="C504" s="28"/>
      <c r="D504" s="28"/>
      <c r="E504" s="28"/>
      <c r="F504" s="28"/>
      <c r="G504" s="27"/>
      <c r="H504" s="27"/>
    </row>
    <row r="505" spans="1:8" x14ac:dyDescent="0.2">
      <c r="A505" s="27"/>
      <c r="B505" s="30"/>
      <c r="C505" s="28"/>
      <c r="D505" s="28"/>
      <c r="E505" s="28"/>
      <c r="F505" s="28"/>
      <c r="G505" s="27"/>
      <c r="H505" s="27"/>
    </row>
    <row r="506" spans="1:8" x14ac:dyDescent="0.2">
      <c r="A506" s="27"/>
      <c r="B506" s="30"/>
      <c r="C506" s="28"/>
      <c r="D506" s="28"/>
      <c r="E506" s="28"/>
      <c r="F506" s="28"/>
      <c r="G506" s="27"/>
      <c r="H506" s="27"/>
    </row>
    <row r="507" spans="1:8" x14ac:dyDescent="0.2">
      <c r="A507" s="27"/>
      <c r="B507" s="30"/>
      <c r="G507" s="27"/>
      <c r="H507" s="27"/>
    </row>
    <row r="508" spans="1:8" x14ac:dyDescent="0.2">
      <c r="A508" s="27"/>
      <c r="B508" s="30"/>
      <c r="G508" s="27"/>
      <c r="H508" s="27"/>
    </row>
    <row r="509" spans="1:8" x14ac:dyDescent="0.2">
      <c r="A509" s="27"/>
      <c r="B509" s="30"/>
      <c r="C509" s="28"/>
      <c r="D509" s="28"/>
      <c r="E509" s="28"/>
      <c r="F509" s="28"/>
      <c r="G509" s="27"/>
      <c r="H509" s="27"/>
    </row>
    <row r="510" spans="1:8" x14ac:dyDescent="0.2">
      <c r="A510" s="27"/>
      <c r="B510" s="30"/>
      <c r="G510" s="27"/>
      <c r="H510" s="27"/>
    </row>
    <row r="511" spans="1:8" x14ac:dyDescent="0.2">
      <c r="A511" s="27"/>
      <c r="B511" s="30"/>
      <c r="G511" s="27"/>
      <c r="H511" s="27"/>
    </row>
    <row r="512" spans="1:8" x14ac:dyDescent="0.2">
      <c r="A512" s="27"/>
      <c r="B512" s="30"/>
      <c r="C512" s="28"/>
      <c r="D512" s="28"/>
      <c r="E512" s="28"/>
      <c r="F512" s="28"/>
      <c r="G512" s="27"/>
      <c r="H512" s="27"/>
    </row>
    <row r="513" spans="1:8" x14ac:dyDescent="0.2">
      <c r="A513" s="27"/>
      <c r="B513" s="30"/>
      <c r="C513" s="28"/>
      <c r="D513" s="28"/>
      <c r="E513" s="28"/>
      <c r="F513" s="28"/>
      <c r="G513" s="27"/>
      <c r="H513" s="27"/>
    </row>
    <row r="514" spans="1:8" x14ac:dyDescent="0.2">
      <c r="A514" s="27"/>
      <c r="B514" s="30"/>
      <c r="C514" s="28"/>
      <c r="D514" s="28"/>
      <c r="E514" s="28"/>
      <c r="F514" s="28"/>
      <c r="G514" s="27"/>
      <c r="H514" s="27"/>
    </row>
    <row r="515" spans="1:8" x14ac:dyDescent="0.2">
      <c r="A515" s="27"/>
      <c r="B515" s="30"/>
      <c r="C515" s="28"/>
      <c r="D515" s="28"/>
      <c r="E515" s="28"/>
      <c r="F515" s="28"/>
      <c r="G515" s="27"/>
      <c r="H515" s="27"/>
    </row>
    <row r="516" spans="1:8" x14ac:dyDescent="0.2">
      <c r="A516" s="27"/>
      <c r="B516" s="30"/>
      <c r="G516" s="27"/>
      <c r="H516" s="27"/>
    </row>
    <row r="517" spans="1:8" x14ac:dyDescent="0.2">
      <c r="A517" s="27"/>
      <c r="B517" s="30"/>
      <c r="C517" s="28"/>
      <c r="D517" s="28"/>
      <c r="E517" s="28"/>
      <c r="F517" s="28"/>
      <c r="G517" s="27"/>
      <c r="H517" s="27"/>
    </row>
    <row r="518" spans="1:8" x14ac:dyDescent="0.2">
      <c r="A518" s="27"/>
      <c r="B518" s="30"/>
      <c r="G518" s="27"/>
      <c r="H518" s="27"/>
    </row>
    <row r="519" spans="1:8" x14ac:dyDescent="0.2">
      <c r="A519" s="27"/>
      <c r="B519" s="30"/>
      <c r="G519" s="27"/>
      <c r="H519" s="27"/>
    </row>
    <row r="520" spans="1:8" x14ac:dyDescent="0.2">
      <c r="A520" s="27"/>
      <c r="B520" s="30"/>
      <c r="G520" s="27"/>
      <c r="H520" s="27"/>
    </row>
    <row r="521" spans="1:8" x14ac:dyDescent="0.2">
      <c r="A521" s="27"/>
      <c r="B521" s="30"/>
      <c r="C521" s="28"/>
      <c r="D521" s="28"/>
      <c r="E521" s="28"/>
      <c r="F521" s="28"/>
      <c r="G521" s="27"/>
      <c r="H521" s="27"/>
    </row>
    <row r="522" spans="1:8" x14ac:dyDescent="0.2">
      <c r="A522" s="27"/>
      <c r="B522" s="30"/>
      <c r="G522" s="27"/>
      <c r="H522" s="27"/>
    </row>
    <row r="523" spans="1:8" x14ac:dyDescent="0.2">
      <c r="A523" s="27"/>
      <c r="B523" s="30"/>
      <c r="G523" s="27"/>
      <c r="H523" s="27"/>
    </row>
    <row r="524" spans="1:8" x14ac:dyDescent="0.2">
      <c r="A524" s="27"/>
      <c r="B524" s="30"/>
      <c r="C524" s="28"/>
      <c r="D524" s="28"/>
      <c r="E524" s="28"/>
      <c r="F524" s="28"/>
      <c r="G524" s="27"/>
      <c r="H524" s="27"/>
    </row>
    <row r="525" spans="1:8" x14ac:dyDescent="0.2">
      <c r="A525" s="27"/>
      <c r="B525" s="30"/>
      <c r="C525" s="28"/>
      <c r="D525" s="28"/>
      <c r="E525" s="28"/>
      <c r="F525" s="28"/>
      <c r="G525" s="27"/>
      <c r="H525" s="27"/>
    </row>
    <row r="526" spans="1:8" x14ac:dyDescent="0.2">
      <c r="A526" s="27"/>
      <c r="B526" s="30"/>
      <c r="C526" s="28"/>
      <c r="D526" s="28"/>
      <c r="E526" s="28"/>
      <c r="F526" s="28"/>
      <c r="G526" s="27"/>
      <c r="H526" s="27"/>
    </row>
    <row r="527" spans="1:8" x14ac:dyDescent="0.2">
      <c r="A527" s="27"/>
      <c r="B527" s="30"/>
      <c r="G527" s="27"/>
      <c r="H527" s="27"/>
    </row>
    <row r="528" spans="1:8" x14ac:dyDescent="0.2">
      <c r="A528" s="27"/>
      <c r="B528" s="30"/>
      <c r="G528" s="27"/>
      <c r="H528" s="27"/>
    </row>
    <row r="529" spans="1:8" x14ac:dyDescent="0.2">
      <c r="A529" s="27"/>
      <c r="B529" s="30"/>
      <c r="G529" s="27"/>
      <c r="H529" s="27"/>
    </row>
    <row r="530" spans="1:8" x14ac:dyDescent="0.2">
      <c r="A530" s="27"/>
      <c r="B530" s="30"/>
      <c r="G530" s="27"/>
      <c r="H530" s="27"/>
    </row>
    <row r="531" spans="1:8" x14ac:dyDescent="0.2">
      <c r="A531" s="27"/>
      <c r="B531" s="30"/>
      <c r="G531" s="27"/>
      <c r="H531" s="27"/>
    </row>
    <row r="532" spans="1:8" x14ac:dyDescent="0.2">
      <c r="A532" s="27"/>
      <c r="B532" s="30"/>
      <c r="C532" s="28"/>
      <c r="D532" s="28"/>
      <c r="E532" s="28"/>
      <c r="F532" s="28"/>
      <c r="G532" s="27"/>
      <c r="H532" s="27"/>
    </row>
    <row r="533" spans="1:8" x14ac:dyDescent="0.2">
      <c r="A533" s="27"/>
      <c r="B533" s="30"/>
      <c r="G533" s="27"/>
      <c r="H533" s="27"/>
    </row>
    <row r="534" spans="1:8" x14ac:dyDescent="0.2">
      <c r="A534" s="27"/>
      <c r="B534" s="30"/>
      <c r="G534" s="27"/>
      <c r="H534" s="27"/>
    </row>
    <row r="535" spans="1:8" x14ac:dyDescent="0.2">
      <c r="A535" s="27"/>
      <c r="B535" s="30"/>
      <c r="G535" s="27"/>
      <c r="H535" s="27"/>
    </row>
    <row r="536" spans="1:8" x14ac:dyDescent="0.2">
      <c r="A536" s="27"/>
      <c r="B536" s="30"/>
      <c r="G536" s="27"/>
      <c r="H536" s="27"/>
    </row>
    <row r="537" spans="1:8" x14ac:dyDescent="0.2">
      <c r="A537" s="27"/>
      <c r="B537" s="30"/>
      <c r="G537" s="27"/>
      <c r="H537" s="27"/>
    </row>
    <row r="538" spans="1:8" x14ac:dyDescent="0.2">
      <c r="A538" s="27"/>
      <c r="B538" s="30"/>
      <c r="G538" s="27"/>
      <c r="H538" s="27"/>
    </row>
    <row r="539" spans="1:8" x14ac:dyDescent="0.2">
      <c r="A539" s="27"/>
      <c r="B539" s="30"/>
      <c r="G539" s="27"/>
      <c r="H539" s="27"/>
    </row>
    <row r="540" spans="1:8" x14ac:dyDescent="0.2">
      <c r="A540" s="27"/>
      <c r="B540" s="30"/>
      <c r="G540" s="27"/>
      <c r="H540" s="27"/>
    </row>
    <row r="541" spans="1:8" x14ac:dyDescent="0.2">
      <c r="A541" s="27"/>
      <c r="B541" s="30"/>
      <c r="G541" s="27"/>
      <c r="H541" s="27"/>
    </row>
    <row r="542" spans="1:8" x14ac:dyDescent="0.2">
      <c r="A542" s="27"/>
      <c r="B542" s="30"/>
      <c r="G542" s="27"/>
      <c r="H542" s="27"/>
    </row>
    <row r="543" spans="1:8" x14ac:dyDescent="0.2">
      <c r="A543" s="27"/>
      <c r="B543" s="30"/>
      <c r="G543" s="27"/>
      <c r="H543" s="27"/>
    </row>
    <row r="544" spans="1:8" x14ac:dyDescent="0.2">
      <c r="A544" s="27"/>
      <c r="B544" s="30"/>
      <c r="C544" s="28"/>
      <c r="D544" s="28"/>
      <c r="E544" s="28"/>
      <c r="F544" s="28"/>
      <c r="G544" s="27"/>
      <c r="H544" s="27"/>
    </row>
    <row r="545" spans="1:8" x14ac:dyDescent="0.2">
      <c r="A545" s="27"/>
      <c r="B545" s="30"/>
      <c r="G545" s="27"/>
      <c r="H545" s="27"/>
    </row>
    <row r="546" spans="1:8" x14ac:dyDescent="0.2">
      <c r="A546" s="27"/>
      <c r="B546" s="30"/>
      <c r="G546" s="27"/>
      <c r="H546" s="27"/>
    </row>
    <row r="547" spans="1:8" x14ac:dyDescent="0.2">
      <c r="A547" s="27"/>
      <c r="B547" s="30"/>
      <c r="C547" s="28"/>
      <c r="D547" s="28"/>
      <c r="E547" s="28"/>
      <c r="F547" s="28"/>
      <c r="G547" s="27"/>
      <c r="H547" s="27"/>
    </row>
    <row r="548" spans="1:8" x14ac:dyDescent="0.2">
      <c r="A548" s="27"/>
      <c r="B548" s="30"/>
      <c r="C548" s="28"/>
      <c r="D548" s="28"/>
      <c r="E548" s="28"/>
      <c r="F548" s="28"/>
      <c r="G548" s="27"/>
      <c r="H548" s="27"/>
    </row>
    <row r="549" spans="1:8" x14ac:dyDescent="0.2">
      <c r="A549" s="27"/>
      <c r="B549" s="30"/>
      <c r="G549" s="27"/>
      <c r="H549" s="27"/>
    </row>
    <row r="550" spans="1:8" x14ac:dyDescent="0.2">
      <c r="A550" s="27"/>
      <c r="B550" s="30"/>
      <c r="G550" s="27"/>
      <c r="H550" s="27"/>
    </row>
    <row r="551" spans="1:8" x14ac:dyDescent="0.2">
      <c r="A551" s="27"/>
      <c r="B551" s="30"/>
      <c r="C551" s="28"/>
      <c r="D551" s="28"/>
      <c r="E551" s="28"/>
      <c r="F551" s="28"/>
      <c r="G551" s="27"/>
      <c r="H551" s="27"/>
    </row>
    <row r="552" spans="1:8" x14ac:dyDescent="0.2">
      <c r="A552" s="27"/>
      <c r="B552" s="30"/>
      <c r="G552" s="27"/>
      <c r="H552" s="27"/>
    </row>
    <row r="553" spans="1:8" x14ac:dyDescent="0.2">
      <c r="A553" s="27"/>
      <c r="B553" s="30"/>
      <c r="C553" s="28"/>
      <c r="D553" s="28"/>
      <c r="E553" s="28"/>
      <c r="F553" s="28"/>
      <c r="G553" s="27"/>
      <c r="H553" s="27"/>
    </row>
    <row r="554" spans="1:8" x14ac:dyDescent="0.2">
      <c r="A554" s="27"/>
      <c r="B554" s="30"/>
      <c r="G554" s="27"/>
      <c r="H554" s="27"/>
    </row>
    <row r="555" spans="1:8" x14ac:dyDescent="0.2">
      <c r="A555" s="27"/>
      <c r="B555" s="30"/>
      <c r="G555" s="27"/>
      <c r="H555" s="27"/>
    </row>
    <row r="556" spans="1:8" x14ac:dyDescent="0.2">
      <c r="A556" s="27"/>
      <c r="B556" s="30"/>
      <c r="G556" s="27"/>
      <c r="H556" s="27"/>
    </row>
    <row r="557" spans="1:8" x14ac:dyDescent="0.2">
      <c r="A557" s="27"/>
      <c r="B557" s="30"/>
      <c r="G557" s="27"/>
      <c r="H557" s="27"/>
    </row>
    <row r="558" spans="1:8" x14ac:dyDescent="0.2">
      <c r="A558" s="27"/>
      <c r="B558" s="30"/>
      <c r="G558" s="27"/>
      <c r="H558" s="27"/>
    </row>
    <row r="559" spans="1:8" x14ac:dyDescent="0.2">
      <c r="A559" s="27"/>
      <c r="B559" s="30"/>
      <c r="G559" s="27"/>
      <c r="H559" s="27"/>
    </row>
    <row r="560" spans="1:8" x14ac:dyDescent="0.2">
      <c r="A560" s="27"/>
      <c r="B560" s="30"/>
      <c r="G560" s="27"/>
      <c r="H560" s="27"/>
    </row>
    <row r="561" spans="1:8" x14ac:dyDescent="0.2">
      <c r="A561" s="27"/>
      <c r="B561" s="30"/>
      <c r="C561" s="28"/>
      <c r="D561" s="28"/>
      <c r="E561" s="28"/>
      <c r="F561" s="28"/>
      <c r="G561" s="27"/>
      <c r="H561" s="27"/>
    </row>
    <row r="562" spans="1:8" x14ac:dyDescent="0.2">
      <c r="A562" s="27"/>
      <c r="B562" s="30"/>
      <c r="G562" s="27"/>
      <c r="H562" s="27"/>
    </row>
    <row r="563" spans="1:8" x14ac:dyDescent="0.2">
      <c r="A563" s="27"/>
      <c r="B563" s="30"/>
      <c r="G563" s="27"/>
      <c r="H563" s="27"/>
    </row>
    <row r="564" spans="1:8" x14ac:dyDescent="0.2">
      <c r="A564" s="27"/>
      <c r="B564" s="30"/>
      <c r="G564" s="27"/>
      <c r="H564" s="27"/>
    </row>
    <row r="565" spans="1:8" x14ac:dyDescent="0.2">
      <c r="A565" s="27"/>
      <c r="B565" s="30"/>
      <c r="G565" s="27"/>
      <c r="H565" s="27"/>
    </row>
    <row r="566" spans="1:8" x14ac:dyDescent="0.2">
      <c r="A566" s="27"/>
      <c r="B566" s="30"/>
      <c r="G566" s="27"/>
      <c r="H566" s="27"/>
    </row>
    <row r="567" spans="1:8" x14ac:dyDescent="0.2">
      <c r="A567" s="27"/>
      <c r="B567" s="30"/>
      <c r="G567" s="27"/>
      <c r="H567" s="27"/>
    </row>
    <row r="568" spans="1:8" x14ac:dyDescent="0.2">
      <c r="A568" s="27"/>
      <c r="B568" s="30"/>
      <c r="G568" s="27"/>
      <c r="H568" s="27"/>
    </row>
    <row r="569" spans="1:8" x14ac:dyDescent="0.2">
      <c r="A569" s="27"/>
      <c r="B569" s="30"/>
      <c r="G569" s="27"/>
      <c r="H569" s="27"/>
    </row>
    <row r="570" spans="1:8" x14ac:dyDescent="0.2">
      <c r="A570" s="27"/>
      <c r="B570" s="30"/>
      <c r="G570" s="27"/>
      <c r="H570" s="27"/>
    </row>
    <row r="571" spans="1:8" x14ac:dyDescent="0.2">
      <c r="A571" s="27"/>
      <c r="B571" s="30"/>
      <c r="C571" s="28"/>
      <c r="D571" s="28"/>
      <c r="E571" s="28"/>
      <c r="F571" s="28"/>
      <c r="G571" s="27"/>
      <c r="H571" s="27"/>
    </row>
    <row r="572" spans="1:8" x14ac:dyDescent="0.2">
      <c r="A572" s="27"/>
      <c r="B572" s="30"/>
      <c r="C572" s="28"/>
      <c r="D572" s="28"/>
      <c r="E572" s="28"/>
      <c r="F572" s="28"/>
      <c r="G572" s="27"/>
      <c r="H572" s="27"/>
    </row>
    <row r="573" spans="1:8" x14ac:dyDescent="0.2">
      <c r="A573" s="27"/>
      <c r="B573" s="30"/>
      <c r="G573" s="27"/>
      <c r="H573" s="27"/>
    </row>
    <row r="574" spans="1:8" x14ac:dyDescent="0.2">
      <c r="A574" s="27"/>
      <c r="B574" s="30"/>
      <c r="C574" s="28"/>
      <c r="D574" s="28"/>
      <c r="E574" s="28"/>
      <c r="F574" s="28"/>
      <c r="G574" s="27"/>
      <c r="H574" s="27"/>
    </row>
    <row r="575" spans="1:8" x14ac:dyDescent="0.2">
      <c r="A575" s="27"/>
      <c r="B575" s="30"/>
      <c r="G575" s="27"/>
      <c r="H575" s="27"/>
    </row>
    <row r="576" spans="1:8" x14ac:dyDescent="0.2">
      <c r="A576" s="27"/>
      <c r="B576" s="30"/>
      <c r="G576" s="27"/>
      <c r="H576" s="27"/>
    </row>
    <row r="577" spans="1:8" x14ac:dyDescent="0.2">
      <c r="A577" s="27"/>
      <c r="B577" s="30"/>
      <c r="G577" s="27"/>
      <c r="H577" s="27"/>
    </row>
    <row r="578" spans="1:8" x14ac:dyDescent="0.2">
      <c r="A578" s="27"/>
      <c r="B578" s="30"/>
      <c r="G578" s="27"/>
      <c r="H578" s="27"/>
    </row>
    <row r="579" spans="1:8" x14ac:dyDescent="0.2">
      <c r="A579" s="27"/>
      <c r="B579" s="30"/>
      <c r="G579" s="27"/>
      <c r="H579" s="27"/>
    </row>
    <row r="580" spans="1:8" x14ac:dyDescent="0.2">
      <c r="A580" s="27"/>
      <c r="B580" s="30"/>
      <c r="G580" s="27"/>
      <c r="H580" s="27"/>
    </row>
    <row r="581" spans="1:8" x14ac:dyDescent="0.2">
      <c r="A581" s="27"/>
      <c r="B581" s="30"/>
      <c r="C581" s="28"/>
      <c r="D581" s="28"/>
      <c r="E581" s="28"/>
      <c r="F581" s="28"/>
      <c r="G581" s="27"/>
      <c r="H581" s="27"/>
    </row>
    <row r="582" spans="1:8" x14ac:dyDescent="0.2">
      <c r="A582" s="27"/>
      <c r="B582" s="30"/>
      <c r="G582" s="27"/>
      <c r="H582" s="27"/>
    </row>
    <row r="583" spans="1:8" x14ac:dyDescent="0.2">
      <c r="A583" s="27"/>
      <c r="B583" s="30"/>
      <c r="G583" s="27"/>
      <c r="H583" s="27"/>
    </row>
    <row r="584" spans="1:8" x14ac:dyDescent="0.2">
      <c r="A584" s="27"/>
      <c r="B584" s="30"/>
      <c r="C584" s="28"/>
      <c r="D584" s="28"/>
      <c r="E584" s="28"/>
      <c r="F584" s="28"/>
      <c r="G584" s="27"/>
      <c r="H584" s="27"/>
    </row>
    <row r="585" spans="1:8" x14ac:dyDescent="0.2">
      <c r="A585" s="27"/>
      <c r="B585" s="30"/>
      <c r="G585" s="27"/>
      <c r="H585" s="27"/>
    </row>
    <row r="586" spans="1:8" x14ac:dyDescent="0.2">
      <c r="A586" s="27"/>
      <c r="B586" s="30"/>
      <c r="G586" s="27"/>
      <c r="H586" s="27"/>
    </row>
    <row r="587" spans="1:8" x14ac:dyDescent="0.2">
      <c r="A587" s="27"/>
      <c r="B587" s="30"/>
      <c r="G587" s="27"/>
      <c r="H587" s="27"/>
    </row>
    <row r="588" spans="1:8" x14ac:dyDescent="0.2">
      <c r="A588" s="27"/>
      <c r="B588" s="30"/>
      <c r="G588" s="27"/>
      <c r="H588" s="27"/>
    </row>
    <row r="589" spans="1:8" x14ac:dyDescent="0.2">
      <c r="A589" s="27"/>
      <c r="B589" s="30"/>
      <c r="G589" s="27"/>
      <c r="H589" s="27"/>
    </row>
    <row r="590" spans="1:8" x14ac:dyDescent="0.2">
      <c r="A590" s="27"/>
      <c r="B590" s="30"/>
      <c r="G590" s="27"/>
      <c r="H590" s="27"/>
    </row>
    <row r="591" spans="1:8" x14ac:dyDescent="0.2">
      <c r="A591" s="27"/>
      <c r="B591" s="30"/>
      <c r="G591" s="27"/>
      <c r="H591" s="27"/>
    </row>
    <row r="592" spans="1:8" x14ac:dyDescent="0.2">
      <c r="A592" s="27"/>
      <c r="B592" s="30"/>
      <c r="G592" s="27"/>
      <c r="H592" s="27"/>
    </row>
    <row r="593" spans="1:8" x14ac:dyDescent="0.2">
      <c r="A593" s="27"/>
      <c r="B593" s="30"/>
      <c r="G593" s="27"/>
      <c r="H593" s="27"/>
    </row>
    <row r="594" spans="1:8" x14ac:dyDescent="0.2">
      <c r="A594" s="27"/>
      <c r="B594" s="30"/>
      <c r="C594" s="28"/>
      <c r="D594" s="28"/>
      <c r="E594" s="28"/>
      <c r="F594" s="28"/>
      <c r="G594" s="27"/>
      <c r="H594" s="27"/>
    </row>
    <row r="595" spans="1:8" x14ac:dyDescent="0.2">
      <c r="A595" s="27"/>
      <c r="B595" s="30"/>
      <c r="G595" s="27"/>
      <c r="H595" s="27"/>
    </row>
    <row r="596" spans="1:8" x14ac:dyDescent="0.2">
      <c r="A596" s="27"/>
      <c r="B596" s="30"/>
      <c r="G596" s="27"/>
      <c r="H596" s="27"/>
    </row>
    <row r="597" spans="1:8" x14ac:dyDescent="0.2">
      <c r="A597" s="27"/>
      <c r="B597" s="30"/>
      <c r="C597" s="28"/>
      <c r="D597" s="28"/>
      <c r="E597" s="28"/>
      <c r="F597" s="28"/>
      <c r="G597" s="27"/>
      <c r="H597" s="27"/>
    </row>
    <row r="598" spans="1:8" x14ac:dyDescent="0.2">
      <c r="A598" s="27"/>
      <c r="B598" s="30"/>
      <c r="G598" s="27"/>
      <c r="H598" s="27"/>
    </row>
    <row r="599" spans="1:8" x14ac:dyDescent="0.2">
      <c r="A599" s="27"/>
      <c r="B599" s="30"/>
      <c r="G599" s="27"/>
      <c r="H599" s="27"/>
    </row>
    <row r="600" spans="1:8" x14ac:dyDescent="0.2">
      <c r="A600" s="27"/>
      <c r="B600" s="30"/>
      <c r="C600" s="28"/>
      <c r="D600" s="28"/>
      <c r="E600" s="28"/>
      <c r="F600" s="28"/>
      <c r="G600" s="27"/>
      <c r="H600" s="27"/>
    </row>
    <row r="601" spans="1:8" x14ac:dyDescent="0.2">
      <c r="A601" s="27"/>
      <c r="B601" s="30"/>
      <c r="G601" s="27"/>
      <c r="H601" s="27"/>
    </row>
    <row r="602" spans="1:8" x14ac:dyDescent="0.2">
      <c r="A602" s="27"/>
      <c r="B602" s="30"/>
      <c r="C602" s="28"/>
      <c r="D602" s="28"/>
      <c r="E602" s="28"/>
      <c r="F602" s="28"/>
      <c r="G602" s="27"/>
      <c r="H602" s="27"/>
    </row>
    <row r="603" spans="1:8" x14ac:dyDescent="0.2">
      <c r="A603" s="27"/>
      <c r="B603" s="30"/>
      <c r="G603" s="27"/>
      <c r="H603" s="27"/>
    </row>
    <row r="604" spans="1:8" x14ac:dyDescent="0.2">
      <c r="A604" s="27"/>
      <c r="B604" s="30"/>
      <c r="C604" s="28"/>
      <c r="D604" s="28"/>
      <c r="E604" s="28"/>
      <c r="F604" s="28"/>
      <c r="G604" s="27"/>
      <c r="H604" s="27"/>
    </row>
    <row r="605" spans="1:8" x14ac:dyDescent="0.2">
      <c r="A605" s="27"/>
      <c r="B605" s="30"/>
      <c r="G605" s="27"/>
      <c r="H605" s="27"/>
    </row>
    <row r="606" spans="1:8" x14ac:dyDescent="0.2">
      <c r="A606" s="27"/>
      <c r="B606" s="30"/>
      <c r="G606" s="27"/>
      <c r="H606" s="27"/>
    </row>
    <row r="607" spans="1:8" x14ac:dyDescent="0.2">
      <c r="A607" s="27"/>
      <c r="B607" s="30"/>
      <c r="G607" s="27"/>
      <c r="H607" s="27"/>
    </row>
    <row r="608" spans="1:8" x14ac:dyDescent="0.2">
      <c r="A608" s="27"/>
      <c r="B608" s="30"/>
      <c r="C608" s="28"/>
      <c r="D608" s="28"/>
      <c r="E608" s="28"/>
      <c r="F608" s="28"/>
      <c r="G608" s="27"/>
      <c r="H608" s="27"/>
    </row>
    <row r="609" spans="1:8" x14ac:dyDescent="0.2">
      <c r="A609" s="27"/>
      <c r="B609" s="30"/>
      <c r="G609" s="27"/>
      <c r="H609" s="27"/>
    </row>
    <row r="610" spans="1:8" x14ac:dyDescent="0.2">
      <c r="A610" s="27"/>
      <c r="B610" s="30"/>
      <c r="C610" s="28"/>
      <c r="D610" s="28"/>
      <c r="E610" s="28"/>
      <c r="F610" s="28"/>
      <c r="G610" s="27"/>
      <c r="H610" s="27"/>
    </row>
    <row r="611" spans="1:8" x14ac:dyDescent="0.2">
      <c r="A611" s="27"/>
      <c r="B611" s="30"/>
      <c r="C611" s="28"/>
      <c r="D611" s="28"/>
      <c r="E611" s="28"/>
      <c r="F611" s="28"/>
      <c r="G611" s="27"/>
      <c r="H611" s="27"/>
    </row>
    <row r="612" spans="1:8" x14ac:dyDescent="0.2">
      <c r="A612" s="27"/>
      <c r="B612" s="30"/>
      <c r="C612" s="28"/>
      <c r="D612" s="28"/>
      <c r="E612" s="28"/>
      <c r="F612" s="28"/>
      <c r="G612" s="27"/>
      <c r="H612" s="27"/>
    </row>
    <row r="613" spans="1:8" x14ac:dyDescent="0.2">
      <c r="A613" s="27"/>
      <c r="B613" s="30"/>
      <c r="C613" s="28"/>
      <c r="D613" s="28"/>
      <c r="E613" s="28"/>
      <c r="F613" s="28"/>
      <c r="G613" s="27"/>
      <c r="H613" s="27"/>
    </row>
    <row r="614" spans="1:8" x14ac:dyDescent="0.2">
      <c r="A614" s="27"/>
      <c r="B614" s="30"/>
      <c r="G614" s="27"/>
      <c r="H614" s="27"/>
    </row>
    <row r="615" spans="1:8" x14ac:dyDescent="0.2">
      <c r="A615" s="27"/>
      <c r="B615" s="30"/>
      <c r="C615" s="28"/>
      <c r="D615" s="28"/>
      <c r="E615" s="28"/>
      <c r="F615" s="28"/>
      <c r="G615" s="27"/>
      <c r="H615" s="27"/>
    </row>
    <row r="616" spans="1:8" x14ac:dyDescent="0.2">
      <c r="A616" s="27"/>
      <c r="B616" s="30"/>
      <c r="G616" s="27"/>
      <c r="H616" s="27"/>
    </row>
    <row r="617" spans="1:8" x14ac:dyDescent="0.2">
      <c r="A617" s="27"/>
      <c r="B617" s="30"/>
      <c r="G617" s="27"/>
      <c r="H617" s="27"/>
    </row>
    <row r="618" spans="1:8" x14ac:dyDescent="0.2">
      <c r="A618" s="27"/>
      <c r="B618" s="30"/>
      <c r="C618" s="28"/>
      <c r="D618" s="28"/>
      <c r="E618" s="28"/>
      <c r="F618" s="28"/>
      <c r="G618" s="27"/>
      <c r="H618" s="27"/>
    </row>
    <row r="619" spans="1:8" x14ac:dyDescent="0.2">
      <c r="A619" s="27"/>
      <c r="B619" s="30"/>
      <c r="C619" s="28"/>
      <c r="D619" s="28"/>
      <c r="E619" s="28"/>
      <c r="F619" s="28"/>
      <c r="G619" s="27"/>
      <c r="H619" s="27"/>
    </row>
    <row r="620" spans="1:8" x14ac:dyDescent="0.2">
      <c r="A620" s="27"/>
      <c r="B620" s="30"/>
      <c r="G620" s="27"/>
      <c r="H620" s="27"/>
    </row>
    <row r="621" spans="1:8" x14ac:dyDescent="0.2">
      <c r="A621" s="27"/>
      <c r="B621" s="30"/>
      <c r="G621" s="27"/>
      <c r="H621" s="27"/>
    </row>
    <row r="622" spans="1:8" x14ac:dyDescent="0.2">
      <c r="A622" s="27"/>
      <c r="B622" s="30"/>
      <c r="C622" s="28"/>
      <c r="D622" s="28"/>
      <c r="E622" s="28"/>
      <c r="F622" s="28"/>
      <c r="G622" s="27"/>
      <c r="H622" s="27"/>
    </row>
    <row r="623" spans="1:8" x14ac:dyDescent="0.2">
      <c r="A623" s="27"/>
      <c r="B623" s="30"/>
      <c r="G623" s="27"/>
      <c r="H623" s="27"/>
    </row>
    <row r="624" spans="1:8" x14ac:dyDescent="0.2">
      <c r="A624" s="27"/>
      <c r="B624" s="30"/>
      <c r="G624" s="27"/>
      <c r="H624" s="27"/>
    </row>
    <row r="625" spans="1:8" x14ac:dyDescent="0.2">
      <c r="A625" s="27"/>
      <c r="B625" s="30"/>
      <c r="C625" s="28"/>
      <c r="D625" s="28"/>
      <c r="E625" s="28"/>
      <c r="F625" s="28"/>
      <c r="G625" s="27"/>
      <c r="H625" s="27"/>
    </row>
    <row r="626" spans="1:8" x14ac:dyDescent="0.2">
      <c r="A626" s="27"/>
      <c r="B626" s="30"/>
      <c r="G626" s="27"/>
      <c r="H626" s="27"/>
    </row>
    <row r="627" spans="1:8" x14ac:dyDescent="0.2">
      <c r="A627" s="27"/>
      <c r="B627" s="30"/>
      <c r="C627" s="28"/>
      <c r="D627" s="28"/>
      <c r="E627" s="28"/>
      <c r="F627" s="28"/>
      <c r="G627" s="27"/>
      <c r="H627" s="27"/>
    </row>
    <row r="628" spans="1:8" x14ac:dyDescent="0.2">
      <c r="A628" s="27"/>
      <c r="B628" s="30"/>
      <c r="C628" s="28"/>
      <c r="D628" s="28"/>
      <c r="E628" s="28"/>
      <c r="F628" s="28"/>
      <c r="G628" s="27"/>
      <c r="H628" s="27"/>
    </row>
    <row r="629" spans="1:8" x14ac:dyDescent="0.2">
      <c r="A629" s="27"/>
      <c r="B629" s="30"/>
      <c r="G629" s="27"/>
      <c r="H629" s="27"/>
    </row>
    <row r="630" spans="1:8" x14ac:dyDescent="0.2">
      <c r="A630" s="27"/>
      <c r="B630" s="30"/>
      <c r="C630" s="28"/>
      <c r="D630" s="28"/>
      <c r="E630" s="28"/>
      <c r="F630" s="28"/>
      <c r="G630" s="27"/>
      <c r="H630" s="27"/>
    </row>
    <row r="631" spans="1:8" x14ac:dyDescent="0.2">
      <c r="A631" s="27"/>
      <c r="B631" s="30"/>
      <c r="G631" s="27"/>
      <c r="H631" s="27"/>
    </row>
    <row r="632" spans="1:8" x14ac:dyDescent="0.2">
      <c r="A632" s="27"/>
      <c r="B632" s="30"/>
      <c r="G632" s="27"/>
      <c r="H632" s="27"/>
    </row>
    <row r="633" spans="1:8" x14ac:dyDescent="0.2">
      <c r="A633" s="27"/>
      <c r="B633" s="30"/>
      <c r="G633" s="27"/>
      <c r="H633" s="27"/>
    </row>
    <row r="634" spans="1:8" x14ac:dyDescent="0.2">
      <c r="A634" s="27"/>
      <c r="B634" s="30"/>
      <c r="G634" s="27"/>
      <c r="H634" s="27"/>
    </row>
    <row r="635" spans="1:8" x14ac:dyDescent="0.2">
      <c r="A635" s="27"/>
      <c r="B635" s="30"/>
      <c r="C635" s="28"/>
      <c r="D635" s="28"/>
      <c r="E635" s="28"/>
      <c r="F635" s="28"/>
      <c r="G635" s="27"/>
      <c r="H635" s="27"/>
    </row>
    <row r="636" spans="1:8" x14ac:dyDescent="0.2">
      <c r="A636" s="27"/>
      <c r="B636" s="30"/>
      <c r="G636" s="27"/>
      <c r="H636" s="27"/>
    </row>
    <row r="637" spans="1:8" x14ac:dyDescent="0.2">
      <c r="A637" s="27"/>
      <c r="B637" s="30"/>
      <c r="C637" s="28"/>
      <c r="D637" s="28"/>
      <c r="E637" s="28"/>
      <c r="F637" s="28"/>
      <c r="G637" s="27"/>
      <c r="H637" s="27"/>
    </row>
    <row r="638" spans="1:8" x14ac:dyDescent="0.2">
      <c r="A638" s="27"/>
      <c r="B638" s="30"/>
      <c r="G638" s="27"/>
      <c r="H638" s="27"/>
    </row>
    <row r="639" spans="1:8" x14ac:dyDescent="0.2">
      <c r="A639" s="27"/>
      <c r="B639" s="30"/>
      <c r="G639" s="27"/>
      <c r="H639" s="27"/>
    </row>
    <row r="640" spans="1:8" x14ac:dyDescent="0.2">
      <c r="A640" s="27"/>
      <c r="B640" s="30"/>
      <c r="G640" s="27"/>
      <c r="H640" s="27"/>
    </row>
    <row r="641" spans="1:8" x14ac:dyDescent="0.2">
      <c r="A641" s="27"/>
      <c r="B641" s="30"/>
      <c r="G641" s="27"/>
      <c r="H641" s="27"/>
    </row>
    <row r="642" spans="1:8" x14ac:dyDescent="0.2">
      <c r="A642" s="27"/>
      <c r="B642" s="30"/>
      <c r="G642" s="27"/>
      <c r="H642" s="27"/>
    </row>
    <row r="643" spans="1:8" x14ac:dyDescent="0.2">
      <c r="A643" s="27"/>
      <c r="B643" s="30"/>
      <c r="C643" s="28"/>
      <c r="D643" s="28"/>
      <c r="E643" s="28"/>
      <c r="F643" s="28"/>
      <c r="G643" s="27"/>
      <c r="H643" s="27"/>
    </row>
    <row r="644" spans="1:8" x14ac:dyDescent="0.2">
      <c r="A644" s="27"/>
      <c r="B644" s="30"/>
      <c r="G644" s="27"/>
      <c r="H644" s="27"/>
    </row>
    <row r="645" spans="1:8" x14ac:dyDescent="0.2">
      <c r="A645" s="27"/>
      <c r="B645" s="30"/>
      <c r="G645" s="27"/>
      <c r="H645" s="27"/>
    </row>
    <row r="646" spans="1:8" x14ac:dyDescent="0.2">
      <c r="A646" s="27"/>
      <c r="B646" s="30"/>
      <c r="G646" s="27"/>
      <c r="H646" s="27"/>
    </row>
    <row r="647" spans="1:8" x14ac:dyDescent="0.2">
      <c r="A647" s="27"/>
      <c r="B647" s="30"/>
      <c r="C647" s="28"/>
      <c r="D647" s="28"/>
      <c r="E647" s="28"/>
      <c r="F647" s="28"/>
      <c r="G647" s="27"/>
      <c r="H647" s="27"/>
    </row>
    <row r="648" spans="1:8" x14ac:dyDescent="0.2">
      <c r="A648" s="27"/>
      <c r="B648" s="30"/>
      <c r="C648" s="28"/>
      <c r="D648" s="28"/>
      <c r="E648" s="28"/>
      <c r="F648" s="28"/>
      <c r="G648" s="27"/>
      <c r="H648" s="27"/>
    </row>
    <row r="649" spans="1:8" x14ac:dyDescent="0.2">
      <c r="A649" s="27"/>
      <c r="B649" s="30"/>
      <c r="C649" s="28"/>
      <c r="D649" s="28"/>
      <c r="E649" s="28"/>
      <c r="F649" s="28"/>
      <c r="G649" s="27"/>
      <c r="H649" s="27"/>
    </row>
    <row r="650" spans="1:8" x14ac:dyDescent="0.2">
      <c r="A650" s="27"/>
      <c r="B650" s="30"/>
      <c r="G650" s="27"/>
      <c r="H650" s="27"/>
    </row>
    <row r="651" spans="1:8" x14ac:dyDescent="0.2">
      <c r="A651" s="27"/>
      <c r="B651" s="30"/>
      <c r="G651" s="27"/>
      <c r="H651" s="27"/>
    </row>
    <row r="652" spans="1:8" x14ac:dyDescent="0.2">
      <c r="A652" s="27"/>
      <c r="B652" s="30"/>
      <c r="G652" s="27"/>
      <c r="H652" s="27"/>
    </row>
    <row r="653" spans="1:8" x14ac:dyDescent="0.2">
      <c r="A653" s="27"/>
      <c r="B653" s="30"/>
      <c r="G653" s="27"/>
      <c r="H653" s="27"/>
    </row>
    <row r="654" spans="1:8" x14ac:dyDescent="0.2">
      <c r="A654" s="27"/>
      <c r="B654" s="30"/>
      <c r="C654" s="28"/>
      <c r="D654" s="28"/>
      <c r="E654" s="28"/>
      <c r="F654" s="28"/>
      <c r="G654" s="27"/>
      <c r="H654" s="27"/>
    </row>
    <row r="655" spans="1:8" x14ac:dyDescent="0.2">
      <c r="A655" s="27"/>
      <c r="B655" s="30"/>
      <c r="C655" s="28"/>
      <c r="D655" s="28"/>
      <c r="E655" s="28"/>
      <c r="F655" s="28"/>
      <c r="G655" s="27"/>
      <c r="H655" s="27"/>
    </row>
    <row r="656" spans="1:8" x14ac:dyDescent="0.2">
      <c r="A656" s="27"/>
      <c r="B656" s="30"/>
      <c r="G656" s="27"/>
      <c r="H656" s="27"/>
    </row>
    <row r="657" spans="1:8" x14ac:dyDescent="0.2">
      <c r="A657" s="27"/>
      <c r="B657" s="30"/>
      <c r="C657" s="28"/>
      <c r="D657" s="28"/>
      <c r="E657" s="28"/>
      <c r="F657" s="28"/>
      <c r="G657" s="27"/>
      <c r="H657" s="27"/>
    </row>
    <row r="658" spans="1:8" x14ac:dyDescent="0.2">
      <c r="A658" s="27"/>
      <c r="B658" s="30"/>
      <c r="C658" s="28"/>
      <c r="D658" s="28"/>
      <c r="E658" s="28"/>
      <c r="F658" s="28"/>
      <c r="G658" s="27"/>
      <c r="H658" s="27"/>
    </row>
    <row r="659" spans="1:8" x14ac:dyDescent="0.2">
      <c r="A659" s="27"/>
      <c r="B659" s="30"/>
      <c r="G659" s="27"/>
      <c r="H659" s="27"/>
    </row>
    <row r="660" spans="1:8" x14ac:dyDescent="0.2">
      <c r="A660" s="27"/>
      <c r="B660" s="30"/>
      <c r="G660" s="27"/>
      <c r="H660" s="27"/>
    </row>
    <row r="661" spans="1:8" x14ac:dyDescent="0.2">
      <c r="A661" s="27"/>
      <c r="B661" s="30"/>
      <c r="G661" s="27"/>
      <c r="H661" s="27"/>
    </row>
    <row r="662" spans="1:8" x14ac:dyDescent="0.2">
      <c r="A662" s="27"/>
      <c r="B662" s="30"/>
      <c r="G662" s="27"/>
      <c r="H662" s="27"/>
    </row>
    <row r="663" spans="1:8" x14ac:dyDescent="0.2">
      <c r="A663" s="27"/>
      <c r="B663" s="30"/>
      <c r="C663" s="28"/>
      <c r="D663" s="28"/>
      <c r="E663" s="28"/>
      <c r="F663" s="28"/>
      <c r="G663" s="27"/>
      <c r="H663" s="27"/>
    </row>
    <row r="664" spans="1:8" x14ac:dyDescent="0.2">
      <c r="A664" s="27"/>
      <c r="B664" s="30"/>
      <c r="G664" s="27"/>
      <c r="H664" s="27"/>
    </row>
    <row r="665" spans="1:8" x14ac:dyDescent="0.2">
      <c r="A665" s="27"/>
      <c r="B665" s="30"/>
      <c r="G665" s="27"/>
      <c r="H665" s="27"/>
    </row>
    <row r="666" spans="1:8" x14ac:dyDescent="0.2">
      <c r="A666" s="27"/>
      <c r="B666" s="30"/>
      <c r="G666" s="27"/>
      <c r="H666" s="27"/>
    </row>
    <row r="667" spans="1:8" x14ac:dyDescent="0.2">
      <c r="A667" s="27"/>
      <c r="B667" s="30"/>
      <c r="G667" s="27"/>
      <c r="H667" s="27"/>
    </row>
    <row r="668" spans="1:8" x14ac:dyDescent="0.2">
      <c r="A668" s="27"/>
      <c r="B668" s="30"/>
      <c r="G668" s="27"/>
      <c r="H668" s="27"/>
    </row>
    <row r="669" spans="1:8" x14ac:dyDescent="0.2">
      <c r="A669" s="27"/>
      <c r="B669" s="30"/>
      <c r="G669" s="27"/>
      <c r="H669" s="27"/>
    </row>
    <row r="670" spans="1:8" x14ac:dyDescent="0.2">
      <c r="A670" s="27"/>
      <c r="B670" s="30"/>
      <c r="C670" s="28"/>
      <c r="D670" s="28"/>
      <c r="E670" s="28"/>
      <c r="F670" s="28"/>
      <c r="G670" s="27"/>
      <c r="H670" s="27"/>
    </row>
    <row r="671" spans="1:8" x14ac:dyDescent="0.2">
      <c r="A671" s="27"/>
      <c r="B671" s="30"/>
      <c r="C671" s="28"/>
      <c r="D671" s="28"/>
      <c r="E671" s="28"/>
      <c r="F671" s="28"/>
      <c r="G671" s="27"/>
      <c r="H671" s="27"/>
    </row>
    <row r="672" spans="1:8" x14ac:dyDescent="0.2">
      <c r="A672" s="27"/>
      <c r="B672" s="30"/>
      <c r="G672" s="27"/>
      <c r="H672" s="27"/>
    </row>
    <row r="673" spans="1:8" x14ac:dyDescent="0.2">
      <c r="A673" s="27"/>
      <c r="B673" s="30"/>
      <c r="G673" s="27"/>
      <c r="H673" s="27"/>
    </row>
    <row r="674" spans="1:8" x14ac:dyDescent="0.2">
      <c r="A674" s="27"/>
      <c r="B674" s="30"/>
      <c r="G674" s="27"/>
      <c r="H674" s="27"/>
    </row>
    <row r="675" spans="1:8" x14ac:dyDescent="0.2">
      <c r="A675" s="27"/>
      <c r="B675" s="30"/>
      <c r="G675" s="27"/>
      <c r="H675" s="27"/>
    </row>
    <row r="676" spans="1:8" x14ac:dyDescent="0.2">
      <c r="A676" s="27"/>
      <c r="B676" s="30"/>
      <c r="C676" s="28"/>
      <c r="D676" s="28"/>
      <c r="E676" s="28"/>
      <c r="F676" s="28"/>
      <c r="G676" s="27"/>
      <c r="H676" s="27"/>
    </row>
    <row r="677" spans="1:8" x14ac:dyDescent="0.2">
      <c r="A677" s="27"/>
      <c r="B677" s="30"/>
      <c r="G677" s="27"/>
      <c r="H677" s="27"/>
    </row>
    <row r="678" spans="1:8" x14ac:dyDescent="0.2">
      <c r="A678" s="27"/>
      <c r="B678" s="30"/>
      <c r="G678" s="27"/>
      <c r="H678" s="27"/>
    </row>
    <row r="679" spans="1:8" x14ac:dyDescent="0.2">
      <c r="A679" s="27"/>
      <c r="B679" s="30"/>
      <c r="G679" s="27"/>
      <c r="H679" s="27"/>
    </row>
    <row r="680" spans="1:8" x14ac:dyDescent="0.2">
      <c r="A680" s="27"/>
      <c r="B680" s="30"/>
      <c r="C680" s="28"/>
      <c r="D680" s="28"/>
      <c r="E680" s="28"/>
      <c r="F680" s="28"/>
      <c r="G680" s="27"/>
      <c r="H680" s="27"/>
    </row>
    <row r="681" spans="1:8" x14ac:dyDescent="0.2">
      <c r="A681" s="27"/>
      <c r="B681" s="30"/>
      <c r="C681" s="28"/>
      <c r="D681" s="28"/>
      <c r="E681" s="28"/>
      <c r="F681" s="28"/>
      <c r="G681" s="27"/>
      <c r="H681" s="27"/>
    </row>
    <row r="682" spans="1:8" x14ac:dyDescent="0.2">
      <c r="A682" s="27"/>
      <c r="B682" s="30"/>
      <c r="C682" s="28"/>
      <c r="D682" s="28"/>
      <c r="E682" s="28"/>
      <c r="F682" s="28"/>
      <c r="G682" s="27"/>
      <c r="H682" s="27"/>
    </row>
    <row r="683" spans="1:8" x14ac:dyDescent="0.2">
      <c r="A683" s="27"/>
      <c r="B683" s="30"/>
      <c r="G683" s="27"/>
      <c r="H683" s="27"/>
    </row>
    <row r="684" spans="1:8" x14ac:dyDescent="0.2">
      <c r="A684" s="27"/>
      <c r="B684" s="30"/>
      <c r="C684" s="28"/>
      <c r="D684" s="28"/>
      <c r="E684" s="28"/>
      <c r="F684" s="28"/>
      <c r="G684" s="27"/>
      <c r="H684" s="27"/>
    </row>
    <row r="685" spans="1:8" x14ac:dyDescent="0.2">
      <c r="A685" s="27"/>
      <c r="B685" s="30"/>
      <c r="G685" s="27"/>
      <c r="H685" s="27"/>
    </row>
    <row r="686" spans="1:8" x14ac:dyDescent="0.2">
      <c r="A686" s="27"/>
      <c r="B686" s="30"/>
      <c r="C686" s="28"/>
      <c r="D686" s="28"/>
      <c r="E686" s="28"/>
      <c r="F686" s="28"/>
      <c r="G686" s="27"/>
      <c r="H686" s="27"/>
    </row>
    <row r="687" spans="1:8" x14ac:dyDescent="0.2">
      <c r="A687" s="27"/>
      <c r="B687" s="30"/>
      <c r="G687" s="27"/>
      <c r="H687" s="27"/>
    </row>
    <row r="688" spans="1:8" x14ac:dyDescent="0.2">
      <c r="A688" s="27"/>
      <c r="B688" s="30"/>
      <c r="G688" s="27"/>
      <c r="H688" s="27"/>
    </row>
    <row r="689" spans="1:8" x14ac:dyDescent="0.2">
      <c r="A689" s="27"/>
      <c r="B689" s="30"/>
      <c r="C689" s="28"/>
      <c r="D689" s="28"/>
      <c r="E689" s="28"/>
      <c r="F689" s="28"/>
      <c r="G689" s="27"/>
      <c r="H689" s="27"/>
    </row>
    <row r="690" spans="1:8" x14ac:dyDescent="0.2">
      <c r="A690" s="27"/>
      <c r="B690" s="30"/>
      <c r="C690" s="28"/>
      <c r="D690" s="28"/>
      <c r="E690" s="28"/>
      <c r="F690" s="28"/>
      <c r="G690" s="27"/>
      <c r="H690" s="27"/>
    </row>
    <row r="691" spans="1:8" x14ac:dyDescent="0.2">
      <c r="A691" s="27"/>
      <c r="B691" s="30"/>
      <c r="G691" s="27"/>
      <c r="H691" s="27"/>
    </row>
    <row r="692" spans="1:8" x14ac:dyDescent="0.2">
      <c r="A692" s="27"/>
      <c r="B692" s="30"/>
      <c r="C692" s="28"/>
      <c r="D692" s="28"/>
      <c r="E692" s="28"/>
      <c r="F692" s="28"/>
      <c r="G692" s="27"/>
      <c r="H692" s="27"/>
    </row>
    <row r="693" spans="1:8" x14ac:dyDescent="0.2">
      <c r="A693" s="27"/>
      <c r="B693" s="30"/>
      <c r="G693" s="27"/>
      <c r="H693" s="27"/>
    </row>
    <row r="694" spans="1:8" x14ac:dyDescent="0.2">
      <c r="A694" s="27"/>
      <c r="B694" s="30"/>
      <c r="G694" s="27"/>
      <c r="H694" s="27"/>
    </row>
    <row r="695" spans="1:8" x14ac:dyDescent="0.2">
      <c r="A695" s="27"/>
      <c r="B695" s="30"/>
      <c r="G695" s="27"/>
      <c r="H695" s="27"/>
    </row>
    <row r="696" spans="1:8" x14ac:dyDescent="0.2">
      <c r="A696" s="27"/>
      <c r="B696" s="30"/>
      <c r="G696" s="27"/>
      <c r="H696" s="27"/>
    </row>
    <row r="697" spans="1:8" x14ac:dyDescent="0.2">
      <c r="A697" s="27"/>
      <c r="B697" s="30"/>
      <c r="C697" s="28"/>
      <c r="D697" s="28"/>
      <c r="E697" s="28"/>
      <c r="F697" s="28"/>
      <c r="G697" s="27"/>
      <c r="H697" s="27"/>
    </row>
    <row r="698" spans="1:8" x14ac:dyDescent="0.2">
      <c r="A698" s="27"/>
      <c r="B698" s="30"/>
      <c r="C698" s="28"/>
      <c r="D698" s="28"/>
      <c r="E698" s="28"/>
      <c r="F698" s="28"/>
      <c r="G698" s="27"/>
      <c r="H698" s="27"/>
    </row>
    <row r="699" spans="1:8" x14ac:dyDescent="0.2">
      <c r="A699" s="27"/>
      <c r="B699" s="30"/>
      <c r="G699" s="27"/>
      <c r="H699" s="27"/>
    </row>
    <row r="700" spans="1:8" x14ac:dyDescent="0.2">
      <c r="A700" s="27"/>
      <c r="B700" s="30"/>
      <c r="C700" s="28"/>
      <c r="D700" s="28"/>
      <c r="E700" s="28"/>
      <c r="F700" s="28"/>
      <c r="G700" s="27"/>
      <c r="H700" s="27"/>
    </row>
    <row r="701" spans="1:8" x14ac:dyDescent="0.2">
      <c r="A701" s="27"/>
      <c r="B701" s="30"/>
      <c r="G701" s="27"/>
      <c r="H701" s="27"/>
    </row>
    <row r="702" spans="1:8" x14ac:dyDescent="0.2">
      <c r="A702" s="27"/>
      <c r="B702" s="30"/>
      <c r="G702" s="27"/>
      <c r="H702" s="27"/>
    </row>
    <row r="703" spans="1:8" x14ac:dyDescent="0.2">
      <c r="A703" s="27"/>
      <c r="B703" s="30"/>
      <c r="G703" s="27"/>
      <c r="H703" s="27"/>
    </row>
    <row r="704" spans="1:8" x14ac:dyDescent="0.2">
      <c r="A704" s="27"/>
      <c r="B704" s="30"/>
      <c r="G704" s="27"/>
      <c r="H704" s="27"/>
    </row>
    <row r="705" spans="1:8" x14ac:dyDescent="0.2">
      <c r="A705" s="27"/>
      <c r="B705" s="30"/>
      <c r="G705" s="27"/>
      <c r="H705" s="27"/>
    </row>
    <row r="706" spans="1:8" x14ac:dyDescent="0.2">
      <c r="A706" s="27"/>
      <c r="B706" s="30"/>
      <c r="C706" s="28"/>
      <c r="D706" s="28"/>
      <c r="E706" s="28"/>
      <c r="F706" s="28"/>
      <c r="G706" s="27"/>
      <c r="H706" s="27"/>
    </row>
    <row r="707" spans="1:8" x14ac:dyDescent="0.2">
      <c r="A707" s="27"/>
      <c r="B707" s="30"/>
      <c r="C707" s="28"/>
      <c r="D707" s="28"/>
      <c r="E707" s="28"/>
      <c r="F707" s="28"/>
      <c r="G707" s="27"/>
      <c r="H707" s="27"/>
    </row>
    <row r="708" spans="1:8" x14ac:dyDescent="0.2">
      <c r="A708" s="27"/>
      <c r="B708" s="30"/>
      <c r="G708" s="27"/>
      <c r="H708" s="27"/>
    </row>
    <row r="709" spans="1:8" x14ac:dyDescent="0.2">
      <c r="A709" s="27"/>
      <c r="B709" s="30"/>
      <c r="G709" s="27"/>
      <c r="H709" s="27"/>
    </row>
    <row r="710" spans="1:8" x14ac:dyDescent="0.2">
      <c r="A710" s="27"/>
      <c r="B710" s="30"/>
      <c r="G710" s="27"/>
      <c r="H710" s="27"/>
    </row>
    <row r="711" spans="1:8" x14ac:dyDescent="0.2">
      <c r="A711" s="27"/>
      <c r="B711" s="30"/>
      <c r="G711" s="27"/>
      <c r="H711" s="27"/>
    </row>
    <row r="712" spans="1:8" x14ac:dyDescent="0.2">
      <c r="A712" s="27"/>
      <c r="B712" s="30"/>
      <c r="G712" s="27"/>
      <c r="H712" s="27"/>
    </row>
    <row r="713" spans="1:8" x14ac:dyDescent="0.2">
      <c r="A713" s="27"/>
      <c r="B713" s="30"/>
      <c r="G713" s="27"/>
      <c r="H713" s="27"/>
    </row>
    <row r="714" spans="1:8" x14ac:dyDescent="0.2">
      <c r="A714" s="27"/>
      <c r="B714" s="30"/>
      <c r="C714" s="28"/>
      <c r="D714" s="28"/>
      <c r="E714" s="28"/>
      <c r="F714" s="28"/>
      <c r="G714" s="27"/>
      <c r="H714" s="27"/>
    </row>
    <row r="715" spans="1:8" x14ac:dyDescent="0.2">
      <c r="A715" s="27"/>
      <c r="B715" s="30"/>
      <c r="G715" s="27"/>
      <c r="H715" s="27"/>
    </row>
    <row r="716" spans="1:8" x14ac:dyDescent="0.2">
      <c r="A716" s="27"/>
      <c r="B716" s="30"/>
      <c r="G716" s="27"/>
      <c r="H716" s="27"/>
    </row>
    <row r="717" spans="1:8" x14ac:dyDescent="0.2">
      <c r="A717" s="27"/>
      <c r="B717" s="30"/>
      <c r="C717" s="28"/>
      <c r="D717" s="28"/>
      <c r="E717" s="28"/>
      <c r="F717" s="28"/>
      <c r="G717" s="27"/>
      <c r="H717" s="27"/>
    </row>
    <row r="718" spans="1:8" x14ac:dyDescent="0.2">
      <c r="A718" s="27"/>
      <c r="B718" s="30"/>
      <c r="G718" s="27"/>
      <c r="H718" s="27"/>
    </row>
    <row r="719" spans="1:8" x14ac:dyDescent="0.2">
      <c r="A719" s="27"/>
      <c r="B719" s="30"/>
      <c r="G719" s="27"/>
      <c r="H719" s="27"/>
    </row>
    <row r="720" spans="1:8" x14ac:dyDescent="0.2">
      <c r="A720" s="27"/>
      <c r="B720" s="30"/>
      <c r="G720" s="27"/>
      <c r="H720" s="27"/>
    </row>
    <row r="721" spans="1:8" x14ac:dyDescent="0.2">
      <c r="A721" s="27"/>
      <c r="B721" s="30"/>
      <c r="G721" s="27"/>
      <c r="H721" s="27"/>
    </row>
    <row r="722" spans="1:8" x14ac:dyDescent="0.2">
      <c r="A722" s="27"/>
      <c r="B722" s="30"/>
      <c r="G722" s="27"/>
      <c r="H722" s="27"/>
    </row>
    <row r="723" spans="1:8" x14ac:dyDescent="0.2">
      <c r="A723" s="27"/>
      <c r="B723" s="30"/>
      <c r="C723" s="28"/>
      <c r="D723" s="28"/>
      <c r="E723" s="28"/>
      <c r="F723" s="28"/>
      <c r="G723" s="27"/>
      <c r="H723" s="27"/>
    </row>
    <row r="724" spans="1:8" x14ac:dyDescent="0.2">
      <c r="A724" s="27"/>
      <c r="B724" s="30"/>
      <c r="C724" s="28"/>
      <c r="D724" s="28"/>
      <c r="E724" s="28"/>
      <c r="F724" s="28"/>
      <c r="G724" s="27"/>
      <c r="H724" s="27"/>
    </row>
    <row r="725" spans="1:8" x14ac:dyDescent="0.2">
      <c r="A725" s="27"/>
      <c r="B725" s="30"/>
      <c r="G725" s="27"/>
      <c r="H725" s="27"/>
    </row>
    <row r="726" spans="1:8" x14ac:dyDescent="0.2">
      <c r="A726" s="27"/>
      <c r="B726" s="30"/>
      <c r="C726" s="28"/>
      <c r="D726" s="28"/>
      <c r="E726" s="28"/>
      <c r="F726" s="28"/>
      <c r="G726" s="27"/>
      <c r="H726" s="27"/>
    </row>
    <row r="727" spans="1:8" x14ac:dyDescent="0.2">
      <c r="A727" s="27"/>
      <c r="B727" s="30"/>
      <c r="C727" s="28"/>
      <c r="D727" s="28"/>
      <c r="E727" s="28"/>
      <c r="F727" s="28"/>
      <c r="G727" s="27"/>
      <c r="H727" s="27"/>
    </row>
    <row r="728" spans="1:8" x14ac:dyDescent="0.2">
      <c r="A728" s="27"/>
      <c r="B728" s="30"/>
      <c r="G728" s="27"/>
      <c r="H728" s="27"/>
    </row>
    <row r="729" spans="1:8" x14ac:dyDescent="0.2">
      <c r="A729" s="27"/>
      <c r="B729" s="30"/>
      <c r="G729" s="27"/>
      <c r="H729" s="27"/>
    </row>
    <row r="730" spans="1:8" x14ac:dyDescent="0.2">
      <c r="A730" s="27"/>
      <c r="B730" s="30"/>
      <c r="G730" s="27"/>
      <c r="H730" s="27"/>
    </row>
    <row r="731" spans="1:8" x14ac:dyDescent="0.2">
      <c r="A731" s="27"/>
      <c r="B731" s="30"/>
      <c r="G731" s="27"/>
      <c r="H731" s="27"/>
    </row>
    <row r="732" spans="1:8" x14ac:dyDescent="0.2">
      <c r="A732" s="27"/>
      <c r="B732" s="30"/>
      <c r="C732" s="28"/>
      <c r="D732" s="28"/>
      <c r="E732" s="28"/>
      <c r="F732" s="28"/>
      <c r="G732" s="27"/>
      <c r="H732" s="27"/>
    </row>
    <row r="733" spans="1:8" x14ac:dyDescent="0.2">
      <c r="A733" s="27"/>
      <c r="B733" s="30"/>
      <c r="G733" s="27"/>
      <c r="H733" s="27"/>
    </row>
    <row r="734" spans="1:8" x14ac:dyDescent="0.2">
      <c r="A734" s="27"/>
      <c r="B734" s="30"/>
      <c r="C734" s="28"/>
      <c r="D734" s="28"/>
      <c r="E734" s="28"/>
      <c r="F734" s="28"/>
      <c r="G734" s="27"/>
      <c r="H734" s="27"/>
    </row>
    <row r="735" spans="1:8" x14ac:dyDescent="0.2">
      <c r="A735" s="27"/>
      <c r="B735" s="30"/>
      <c r="G735" s="27"/>
      <c r="H735" s="27"/>
    </row>
    <row r="736" spans="1:8" x14ac:dyDescent="0.2">
      <c r="A736" s="27"/>
      <c r="B736" s="30"/>
      <c r="C736" s="28"/>
      <c r="D736" s="28"/>
      <c r="E736" s="28"/>
      <c r="F736" s="28"/>
      <c r="G736" s="27"/>
      <c r="H736" s="27"/>
    </row>
    <row r="737" spans="1:8" x14ac:dyDescent="0.2">
      <c r="A737" s="27"/>
      <c r="B737" s="30"/>
      <c r="G737" s="27"/>
      <c r="H737" s="27"/>
    </row>
    <row r="738" spans="1:8" x14ac:dyDescent="0.2">
      <c r="A738" s="27"/>
      <c r="B738" s="30"/>
      <c r="C738" s="28"/>
      <c r="D738" s="28"/>
      <c r="E738" s="28"/>
      <c r="F738" s="28"/>
      <c r="G738" s="27"/>
      <c r="H738" s="27"/>
    </row>
    <row r="739" spans="1:8" x14ac:dyDescent="0.2">
      <c r="A739" s="27"/>
      <c r="B739" s="30"/>
      <c r="G739" s="27"/>
      <c r="H739" s="27"/>
    </row>
    <row r="740" spans="1:8" x14ac:dyDescent="0.2">
      <c r="A740" s="27"/>
      <c r="B740" s="30"/>
      <c r="G740" s="27"/>
      <c r="H740" s="27"/>
    </row>
    <row r="741" spans="1:8" x14ac:dyDescent="0.2">
      <c r="A741" s="27"/>
      <c r="B741" s="30"/>
      <c r="C741" s="28"/>
      <c r="D741" s="28"/>
      <c r="E741" s="28"/>
      <c r="F741" s="28"/>
      <c r="G741" s="27"/>
      <c r="H741" s="27"/>
    </row>
    <row r="742" spans="1:8" x14ac:dyDescent="0.2">
      <c r="A742" s="27"/>
      <c r="B742" s="30"/>
      <c r="G742" s="27"/>
      <c r="H742" s="27"/>
    </row>
    <row r="743" spans="1:8" x14ac:dyDescent="0.2">
      <c r="A743" s="27"/>
      <c r="B743" s="30"/>
      <c r="C743" s="28"/>
      <c r="D743" s="28"/>
      <c r="E743" s="28"/>
      <c r="F743" s="28"/>
      <c r="G743" s="27"/>
      <c r="H743" s="27"/>
    </row>
    <row r="744" spans="1:8" x14ac:dyDescent="0.2">
      <c r="A744" s="27"/>
      <c r="B744" s="30"/>
      <c r="G744" s="27"/>
      <c r="H744" s="27"/>
    </row>
    <row r="745" spans="1:8" x14ac:dyDescent="0.2">
      <c r="A745" s="27"/>
      <c r="B745" s="30"/>
      <c r="C745" s="28"/>
      <c r="D745" s="28"/>
      <c r="E745" s="28"/>
      <c r="F745" s="28"/>
      <c r="G745" s="27"/>
      <c r="H745" s="27"/>
    </row>
    <row r="746" spans="1:8" x14ac:dyDescent="0.2">
      <c r="A746" s="27"/>
      <c r="B746" s="30"/>
      <c r="C746" s="28"/>
      <c r="D746" s="28"/>
      <c r="E746" s="28"/>
      <c r="F746" s="28"/>
      <c r="G746" s="27"/>
      <c r="H746" s="27"/>
    </row>
    <row r="747" spans="1:8" x14ac:dyDescent="0.2">
      <c r="A747" s="27"/>
      <c r="B747" s="30"/>
      <c r="C747" s="28"/>
      <c r="D747" s="28"/>
      <c r="E747" s="28"/>
      <c r="F747" s="28"/>
      <c r="G747" s="27"/>
      <c r="H747" s="27"/>
    </row>
    <row r="748" spans="1:8" x14ac:dyDescent="0.2">
      <c r="A748" s="27"/>
      <c r="B748" s="30"/>
      <c r="G748" s="27"/>
      <c r="H748" s="27"/>
    </row>
    <row r="749" spans="1:8" x14ac:dyDescent="0.2">
      <c r="A749" s="27"/>
      <c r="B749" s="30"/>
      <c r="C749" s="28"/>
      <c r="D749" s="28"/>
      <c r="E749" s="28"/>
      <c r="F749" s="28"/>
      <c r="G749" s="27"/>
      <c r="H749" s="27"/>
    </row>
    <row r="750" spans="1:8" x14ac:dyDescent="0.2">
      <c r="A750" s="27"/>
      <c r="B750" s="30"/>
      <c r="G750" s="27"/>
      <c r="H750" s="27"/>
    </row>
    <row r="751" spans="1:8" x14ac:dyDescent="0.2">
      <c r="A751" s="27"/>
      <c r="B751" s="30"/>
      <c r="G751" s="27"/>
      <c r="H751" s="27"/>
    </row>
    <row r="752" spans="1:8" x14ac:dyDescent="0.2">
      <c r="A752" s="27"/>
      <c r="B752" s="30"/>
      <c r="G752" s="27"/>
      <c r="H752" s="27"/>
    </row>
    <row r="753" spans="1:8" x14ac:dyDescent="0.2">
      <c r="A753" s="27"/>
      <c r="B753" s="30"/>
      <c r="C753" s="28"/>
      <c r="D753" s="28"/>
      <c r="E753" s="28"/>
      <c r="F753" s="28"/>
      <c r="G753" s="27"/>
      <c r="H753" s="27"/>
    </row>
    <row r="754" spans="1:8" x14ac:dyDescent="0.2">
      <c r="A754" s="27"/>
      <c r="B754" s="30"/>
      <c r="C754" s="28"/>
      <c r="D754" s="28"/>
      <c r="E754" s="28"/>
      <c r="F754" s="28"/>
      <c r="G754" s="27"/>
      <c r="H754" s="27"/>
    </row>
    <row r="755" spans="1:8" x14ac:dyDescent="0.2">
      <c r="A755" s="27"/>
      <c r="B755" s="30"/>
      <c r="G755" s="27"/>
      <c r="H755" s="27"/>
    </row>
    <row r="756" spans="1:8" x14ac:dyDescent="0.2">
      <c r="A756" s="27"/>
      <c r="B756" s="30"/>
      <c r="G756" s="27"/>
      <c r="H756" s="27"/>
    </row>
    <row r="757" spans="1:8" x14ac:dyDescent="0.2">
      <c r="A757" s="27"/>
      <c r="B757" s="30"/>
      <c r="G757" s="27"/>
      <c r="H757" s="27"/>
    </row>
    <row r="758" spans="1:8" x14ac:dyDescent="0.2">
      <c r="A758" s="27"/>
      <c r="B758" s="30"/>
      <c r="C758" s="28"/>
      <c r="D758" s="28"/>
      <c r="E758" s="28"/>
      <c r="F758" s="28"/>
      <c r="G758" s="27"/>
      <c r="H758" s="27"/>
    </row>
    <row r="759" spans="1:8" x14ac:dyDescent="0.2">
      <c r="A759" s="27"/>
      <c r="B759" s="30"/>
      <c r="C759" s="28"/>
      <c r="D759" s="28"/>
      <c r="E759" s="28"/>
      <c r="F759" s="28"/>
      <c r="G759" s="27"/>
      <c r="H759" s="27"/>
    </row>
    <row r="760" spans="1:8" x14ac:dyDescent="0.2">
      <c r="A760" s="27"/>
      <c r="B760" s="30"/>
      <c r="C760" s="28"/>
      <c r="D760" s="28"/>
      <c r="E760" s="28"/>
      <c r="F760" s="28"/>
      <c r="G760" s="27"/>
      <c r="H760" s="27"/>
    </row>
    <row r="761" spans="1:8" x14ac:dyDescent="0.2">
      <c r="A761" s="27"/>
      <c r="B761" s="30"/>
      <c r="G761" s="27"/>
      <c r="H761" s="27"/>
    </row>
    <row r="762" spans="1:8" x14ac:dyDescent="0.2">
      <c r="A762" s="27"/>
      <c r="B762" s="30"/>
      <c r="C762" s="28"/>
      <c r="D762" s="28"/>
      <c r="E762" s="28"/>
      <c r="F762" s="28"/>
      <c r="G762" s="27"/>
      <c r="H762" s="27"/>
    </row>
    <row r="763" spans="1:8" x14ac:dyDescent="0.2">
      <c r="A763" s="27"/>
      <c r="B763" s="30"/>
      <c r="C763" s="28"/>
      <c r="D763" s="28"/>
      <c r="E763" s="28"/>
      <c r="F763" s="28"/>
      <c r="G763" s="27"/>
      <c r="H763" s="27"/>
    </row>
    <row r="764" spans="1:8" x14ac:dyDescent="0.2">
      <c r="A764" s="27"/>
      <c r="B764" s="30"/>
      <c r="G764" s="27"/>
      <c r="H764" s="27"/>
    </row>
    <row r="765" spans="1:8" x14ac:dyDescent="0.2">
      <c r="A765" s="27"/>
      <c r="B765" s="30"/>
      <c r="G765" s="27"/>
      <c r="H765" s="27"/>
    </row>
    <row r="766" spans="1:8" x14ac:dyDescent="0.2">
      <c r="A766" s="27"/>
      <c r="B766" s="30"/>
      <c r="C766" s="28"/>
      <c r="D766" s="28"/>
      <c r="E766" s="28"/>
      <c r="F766" s="28"/>
      <c r="G766" s="27"/>
      <c r="H766" s="27"/>
    </row>
    <row r="767" spans="1:8" x14ac:dyDescent="0.2">
      <c r="A767" s="27"/>
      <c r="B767" s="30"/>
      <c r="C767" s="28"/>
      <c r="D767" s="28"/>
      <c r="E767" s="28"/>
      <c r="F767" s="28"/>
      <c r="G767" s="27"/>
      <c r="H767" s="27"/>
    </row>
    <row r="768" spans="1:8" x14ac:dyDescent="0.2">
      <c r="A768" s="27"/>
      <c r="B768" s="30"/>
      <c r="G768" s="27"/>
      <c r="H768" s="27"/>
    </row>
    <row r="769" spans="1:8" x14ac:dyDescent="0.2">
      <c r="A769" s="27"/>
      <c r="B769" s="30"/>
      <c r="G769" s="27"/>
      <c r="H769" s="27"/>
    </row>
    <row r="770" spans="1:8" x14ac:dyDescent="0.2">
      <c r="A770" s="27"/>
      <c r="B770" s="30"/>
      <c r="G770" s="27"/>
      <c r="H770" s="27"/>
    </row>
    <row r="771" spans="1:8" x14ac:dyDescent="0.2">
      <c r="A771" s="27"/>
      <c r="B771" s="30"/>
      <c r="G771" s="27"/>
      <c r="H771" s="27"/>
    </row>
    <row r="772" spans="1:8" x14ac:dyDescent="0.2">
      <c r="A772" s="27"/>
      <c r="B772" s="30"/>
      <c r="G772" s="27"/>
      <c r="H772" s="27"/>
    </row>
    <row r="773" spans="1:8" x14ac:dyDescent="0.2">
      <c r="A773" s="27"/>
      <c r="B773" s="30"/>
      <c r="C773" s="28"/>
      <c r="D773" s="28"/>
      <c r="E773" s="28"/>
      <c r="F773" s="28"/>
      <c r="G773" s="27"/>
      <c r="H773" s="27"/>
    </row>
    <row r="774" spans="1:8" x14ac:dyDescent="0.2">
      <c r="A774" s="27"/>
      <c r="B774" s="30"/>
      <c r="G774" s="27"/>
      <c r="H774" s="27"/>
    </row>
    <row r="775" spans="1:8" x14ac:dyDescent="0.2">
      <c r="A775" s="27"/>
      <c r="B775" s="30"/>
      <c r="G775" s="27"/>
      <c r="H775" s="27"/>
    </row>
    <row r="776" spans="1:8" x14ac:dyDescent="0.2">
      <c r="A776" s="27"/>
      <c r="B776" s="30"/>
      <c r="G776" s="27"/>
      <c r="H776" s="27"/>
    </row>
    <row r="777" spans="1:8" x14ac:dyDescent="0.2">
      <c r="A777" s="27"/>
      <c r="B777" s="30"/>
      <c r="G777" s="27"/>
      <c r="H777" s="27"/>
    </row>
    <row r="778" spans="1:8" x14ac:dyDescent="0.2">
      <c r="A778" s="27"/>
      <c r="B778" s="30"/>
      <c r="C778" s="28"/>
      <c r="D778" s="28"/>
      <c r="E778" s="28"/>
      <c r="F778" s="28"/>
      <c r="G778" s="27"/>
      <c r="H778" s="27"/>
    </row>
    <row r="779" spans="1:8" x14ac:dyDescent="0.2">
      <c r="A779" s="27"/>
      <c r="B779" s="30"/>
      <c r="C779" s="28"/>
      <c r="D779" s="28"/>
      <c r="E779" s="28"/>
      <c r="F779" s="28"/>
      <c r="G779" s="27"/>
      <c r="H779" s="27"/>
    </row>
    <row r="780" spans="1:8" x14ac:dyDescent="0.2">
      <c r="A780" s="27"/>
      <c r="B780" s="30"/>
      <c r="G780" s="27"/>
      <c r="H780" s="27"/>
    </row>
    <row r="781" spans="1:8" x14ac:dyDescent="0.2">
      <c r="A781" s="27"/>
      <c r="B781" s="30"/>
      <c r="C781" s="28"/>
      <c r="D781" s="28"/>
      <c r="E781" s="28"/>
      <c r="F781" s="28"/>
      <c r="G781" s="27"/>
      <c r="H781" s="27"/>
    </row>
    <row r="782" spans="1:8" x14ac:dyDescent="0.2">
      <c r="A782" s="27"/>
      <c r="B782" s="30"/>
      <c r="G782" s="27"/>
      <c r="H782" s="27"/>
    </row>
    <row r="783" spans="1:8" x14ac:dyDescent="0.2">
      <c r="A783" s="27"/>
      <c r="B783" s="30"/>
      <c r="G783" s="27"/>
      <c r="H783" s="27"/>
    </row>
    <row r="784" spans="1:8" x14ac:dyDescent="0.2">
      <c r="A784" s="27"/>
      <c r="B784" s="30"/>
      <c r="G784" s="27"/>
      <c r="H784" s="27"/>
    </row>
    <row r="785" spans="1:8" x14ac:dyDescent="0.2">
      <c r="A785" s="27"/>
      <c r="B785" s="30"/>
      <c r="G785" s="27"/>
      <c r="H785" s="27"/>
    </row>
    <row r="786" spans="1:8" x14ac:dyDescent="0.2">
      <c r="A786" s="27"/>
      <c r="B786" s="30"/>
      <c r="C786" s="28"/>
      <c r="D786" s="28"/>
      <c r="E786" s="28"/>
      <c r="F786" s="28"/>
      <c r="G786" s="27"/>
      <c r="H786" s="27"/>
    </row>
    <row r="787" spans="1:8" x14ac:dyDescent="0.2">
      <c r="A787" s="27"/>
      <c r="B787" s="30"/>
      <c r="G787" s="27"/>
      <c r="H787" s="27"/>
    </row>
    <row r="788" spans="1:8" x14ac:dyDescent="0.2">
      <c r="A788" s="27"/>
      <c r="B788" s="30"/>
      <c r="C788" s="28"/>
      <c r="D788" s="28"/>
      <c r="E788" s="28"/>
      <c r="F788" s="28"/>
      <c r="G788" s="27"/>
      <c r="H788" s="27"/>
    </row>
    <row r="789" spans="1:8" x14ac:dyDescent="0.2">
      <c r="A789" s="27"/>
      <c r="B789" s="30"/>
      <c r="C789" s="28"/>
      <c r="D789" s="28"/>
      <c r="E789" s="28"/>
      <c r="F789" s="28"/>
      <c r="G789" s="27"/>
      <c r="H789" s="27"/>
    </row>
    <row r="790" spans="1:8" x14ac:dyDescent="0.2">
      <c r="A790" s="27"/>
      <c r="B790" s="30"/>
      <c r="C790" s="28"/>
      <c r="D790" s="28"/>
      <c r="E790" s="28"/>
      <c r="F790" s="28"/>
      <c r="G790" s="27"/>
      <c r="H790" s="27"/>
    </row>
    <row r="791" spans="1:8" x14ac:dyDescent="0.2">
      <c r="A791" s="27"/>
      <c r="B791" s="30"/>
      <c r="C791" s="28"/>
      <c r="D791" s="28"/>
      <c r="E791" s="28"/>
      <c r="F791" s="28"/>
      <c r="G791" s="27"/>
      <c r="H791" s="27"/>
    </row>
    <row r="792" spans="1:8" x14ac:dyDescent="0.2">
      <c r="A792" s="27"/>
      <c r="B792" s="30"/>
      <c r="G792" s="27"/>
      <c r="H792" s="27"/>
    </row>
    <row r="793" spans="1:8" x14ac:dyDescent="0.2">
      <c r="A793" s="27"/>
      <c r="B793" s="30"/>
      <c r="G793" s="27"/>
      <c r="H793" s="27"/>
    </row>
    <row r="794" spans="1:8" x14ac:dyDescent="0.2">
      <c r="A794" s="27"/>
      <c r="B794" s="30"/>
      <c r="G794" s="27"/>
      <c r="H794" s="27"/>
    </row>
    <row r="795" spans="1:8" x14ac:dyDescent="0.2">
      <c r="A795" s="27"/>
      <c r="B795" s="30"/>
      <c r="G795" s="27"/>
      <c r="H795" s="27"/>
    </row>
    <row r="796" spans="1:8" x14ac:dyDescent="0.2">
      <c r="A796" s="27"/>
      <c r="B796" s="30"/>
      <c r="G796" s="27"/>
      <c r="H796" s="27"/>
    </row>
    <row r="797" spans="1:8" x14ac:dyDescent="0.2">
      <c r="A797" s="27"/>
      <c r="B797" s="30"/>
      <c r="C797" s="28"/>
      <c r="D797" s="28"/>
      <c r="E797" s="28"/>
      <c r="F797" s="28"/>
      <c r="G797" s="27"/>
      <c r="H797" s="27"/>
    </row>
    <row r="798" spans="1:8" x14ac:dyDescent="0.2">
      <c r="A798" s="27"/>
      <c r="B798" s="30"/>
      <c r="C798" s="28"/>
      <c r="D798" s="28"/>
      <c r="E798" s="28"/>
      <c r="F798" s="28"/>
      <c r="G798" s="27"/>
      <c r="H798" s="27"/>
    </row>
    <row r="799" spans="1:8" x14ac:dyDescent="0.2">
      <c r="A799" s="27"/>
      <c r="B799" s="30"/>
      <c r="G799" s="27"/>
      <c r="H799" s="27"/>
    </row>
    <row r="800" spans="1:8" x14ac:dyDescent="0.2">
      <c r="A800" s="27"/>
      <c r="B800" s="30"/>
      <c r="G800" s="27"/>
      <c r="H800" s="27"/>
    </row>
    <row r="801" spans="1:8" x14ac:dyDescent="0.2">
      <c r="A801" s="27"/>
      <c r="B801" s="30"/>
      <c r="G801" s="27"/>
      <c r="H801" s="27"/>
    </row>
    <row r="802" spans="1:8" x14ac:dyDescent="0.2">
      <c r="A802" s="27"/>
      <c r="B802" s="30"/>
      <c r="G802" s="27"/>
      <c r="H802" s="27"/>
    </row>
    <row r="803" spans="1:8" x14ac:dyDescent="0.2">
      <c r="A803" s="27"/>
      <c r="B803" s="30"/>
      <c r="G803" s="27"/>
      <c r="H803" s="27"/>
    </row>
    <row r="804" spans="1:8" x14ac:dyDescent="0.2">
      <c r="A804" s="27"/>
      <c r="B804" s="30"/>
      <c r="G804" s="27"/>
      <c r="H804" s="27"/>
    </row>
    <row r="805" spans="1:8" x14ac:dyDescent="0.2">
      <c r="A805" s="27"/>
      <c r="B805" s="30"/>
      <c r="C805" s="28"/>
      <c r="D805" s="28"/>
      <c r="E805" s="28"/>
      <c r="F805" s="28"/>
      <c r="G805" s="27"/>
      <c r="H805" s="27"/>
    </row>
    <row r="806" spans="1:8" x14ac:dyDescent="0.2">
      <c r="A806" s="27"/>
      <c r="B806" s="30"/>
      <c r="G806" s="27"/>
      <c r="H806" s="27"/>
    </row>
    <row r="807" spans="1:8" x14ac:dyDescent="0.2">
      <c r="A807" s="27"/>
      <c r="B807" s="30"/>
      <c r="C807" s="28"/>
      <c r="D807" s="28"/>
      <c r="E807" s="28"/>
      <c r="F807" s="28"/>
      <c r="G807" s="27"/>
      <c r="H807" s="27"/>
    </row>
    <row r="808" spans="1:8" x14ac:dyDescent="0.2">
      <c r="A808" s="27"/>
      <c r="B808" s="30"/>
      <c r="G808" s="27"/>
      <c r="H808" s="27"/>
    </row>
    <row r="809" spans="1:8" x14ac:dyDescent="0.2">
      <c r="A809" s="27"/>
      <c r="B809" s="30"/>
      <c r="C809" s="28"/>
      <c r="D809" s="28"/>
      <c r="E809" s="28"/>
      <c r="F809" s="28"/>
      <c r="G809" s="27"/>
      <c r="H809" s="27"/>
    </row>
    <row r="810" spans="1:8" x14ac:dyDescent="0.2">
      <c r="A810" s="27"/>
      <c r="B810" s="30"/>
      <c r="G810" s="27"/>
      <c r="H810" s="27"/>
    </row>
    <row r="811" spans="1:8" x14ac:dyDescent="0.2">
      <c r="A811" s="27"/>
      <c r="B811" s="30"/>
      <c r="G811" s="27"/>
      <c r="H811" s="27"/>
    </row>
    <row r="812" spans="1:8" x14ac:dyDescent="0.2">
      <c r="A812" s="27"/>
      <c r="B812" s="30"/>
      <c r="G812" s="27"/>
      <c r="H812" s="27"/>
    </row>
    <row r="813" spans="1:8" x14ac:dyDescent="0.2">
      <c r="A813" s="27"/>
      <c r="B813" s="30"/>
      <c r="G813" s="27"/>
      <c r="H813" s="27"/>
    </row>
    <row r="814" spans="1:8" x14ac:dyDescent="0.2">
      <c r="A814" s="27"/>
      <c r="B814" s="30"/>
      <c r="C814" s="28"/>
      <c r="D814" s="28"/>
      <c r="E814" s="28"/>
      <c r="F814" s="28"/>
      <c r="G814" s="27"/>
      <c r="H814" s="27"/>
    </row>
    <row r="815" spans="1:8" x14ac:dyDescent="0.2">
      <c r="A815" s="27"/>
      <c r="B815" s="30"/>
      <c r="C815" s="28"/>
      <c r="D815" s="28"/>
      <c r="E815" s="28"/>
      <c r="F815" s="28"/>
      <c r="G815" s="27"/>
      <c r="H815" s="27"/>
    </row>
    <row r="816" spans="1:8" x14ac:dyDescent="0.2">
      <c r="A816" s="27"/>
      <c r="B816" s="30"/>
      <c r="G816" s="27"/>
      <c r="H816" s="27"/>
    </row>
    <row r="817" spans="1:8" x14ac:dyDescent="0.2">
      <c r="A817" s="27"/>
      <c r="B817" s="30"/>
      <c r="G817" s="27"/>
      <c r="H817" s="27"/>
    </row>
    <row r="818" spans="1:8" x14ac:dyDescent="0.2">
      <c r="A818" s="27"/>
      <c r="B818" s="30"/>
      <c r="G818" s="27"/>
      <c r="H818" s="27"/>
    </row>
    <row r="819" spans="1:8" x14ac:dyDescent="0.2">
      <c r="A819" s="27"/>
      <c r="B819" s="30"/>
      <c r="G819" s="27"/>
      <c r="H819" s="27"/>
    </row>
    <row r="820" spans="1:8" x14ac:dyDescent="0.2">
      <c r="A820" s="27"/>
      <c r="B820" s="30"/>
      <c r="G820" s="27"/>
      <c r="H820" s="27"/>
    </row>
    <row r="821" spans="1:8" x14ac:dyDescent="0.2">
      <c r="A821" s="27"/>
      <c r="B821" s="30"/>
      <c r="C821" s="28"/>
      <c r="D821" s="28"/>
      <c r="E821" s="28"/>
      <c r="F821" s="28"/>
      <c r="G821" s="27"/>
      <c r="H821" s="27"/>
    </row>
    <row r="822" spans="1:8" x14ac:dyDescent="0.2">
      <c r="A822" s="27"/>
      <c r="B822" s="30"/>
      <c r="G822" s="27"/>
      <c r="H822" s="27"/>
    </row>
    <row r="823" spans="1:8" x14ac:dyDescent="0.2">
      <c r="A823" s="27"/>
      <c r="B823" s="30"/>
      <c r="G823" s="27"/>
      <c r="H823" s="27"/>
    </row>
    <row r="824" spans="1:8" x14ac:dyDescent="0.2">
      <c r="A824" s="27"/>
      <c r="B824" s="30"/>
      <c r="G824" s="27"/>
      <c r="H824" s="27"/>
    </row>
    <row r="825" spans="1:8" x14ac:dyDescent="0.2">
      <c r="A825" s="27"/>
      <c r="B825" s="30"/>
      <c r="G825" s="27"/>
      <c r="H825" s="27"/>
    </row>
    <row r="826" spans="1:8" x14ac:dyDescent="0.2">
      <c r="A826" s="27"/>
      <c r="B826" s="30"/>
      <c r="G826" s="27"/>
      <c r="H826" s="27"/>
    </row>
    <row r="827" spans="1:8" x14ac:dyDescent="0.2">
      <c r="A827" s="27"/>
      <c r="B827" s="30"/>
      <c r="C827" s="28"/>
      <c r="D827" s="28"/>
      <c r="E827" s="28"/>
      <c r="F827" s="28"/>
      <c r="G827" s="27"/>
      <c r="H827" s="27"/>
    </row>
    <row r="828" spans="1:8" x14ac:dyDescent="0.2">
      <c r="A828" s="27"/>
      <c r="B828" s="30"/>
      <c r="G828" s="27"/>
      <c r="H828" s="27"/>
    </row>
    <row r="829" spans="1:8" x14ac:dyDescent="0.2">
      <c r="A829" s="27"/>
      <c r="B829" s="30"/>
      <c r="C829" s="28"/>
      <c r="D829" s="28"/>
      <c r="E829" s="28"/>
      <c r="F829" s="28"/>
      <c r="G829" s="27"/>
      <c r="H829" s="27"/>
    </row>
    <row r="830" spans="1:8" x14ac:dyDescent="0.2">
      <c r="A830" s="27"/>
      <c r="B830" s="30"/>
      <c r="G830" s="27"/>
      <c r="H830" s="27"/>
    </row>
    <row r="831" spans="1:8" x14ac:dyDescent="0.2">
      <c r="A831" s="27"/>
      <c r="B831" s="30"/>
      <c r="G831" s="27"/>
      <c r="H831" s="27"/>
    </row>
    <row r="832" spans="1:8" x14ac:dyDescent="0.2">
      <c r="A832" s="27"/>
      <c r="B832" s="30"/>
      <c r="C832" s="28"/>
      <c r="D832" s="28"/>
      <c r="E832" s="28"/>
      <c r="F832" s="28"/>
      <c r="G832" s="27"/>
      <c r="H832" s="27"/>
    </row>
    <row r="833" spans="1:8" x14ac:dyDescent="0.2">
      <c r="A833" s="27"/>
      <c r="B833" s="30"/>
      <c r="G833" s="27"/>
      <c r="H833" s="27"/>
    </row>
    <row r="834" spans="1:8" x14ac:dyDescent="0.2">
      <c r="A834" s="27"/>
      <c r="B834" s="30"/>
      <c r="C834" s="28"/>
      <c r="D834" s="28"/>
      <c r="E834" s="28"/>
      <c r="F834" s="28"/>
      <c r="G834" s="27"/>
      <c r="H834" s="27"/>
    </row>
    <row r="835" spans="1:8" x14ac:dyDescent="0.2">
      <c r="A835" s="27"/>
      <c r="B835" s="30"/>
      <c r="G835" s="27"/>
      <c r="H835" s="27"/>
    </row>
    <row r="836" spans="1:8" x14ac:dyDescent="0.2">
      <c r="A836" s="27"/>
      <c r="B836" s="30"/>
      <c r="G836" s="27"/>
      <c r="H836" s="27"/>
    </row>
    <row r="837" spans="1:8" x14ac:dyDescent="0.2">
      <c r="A837" s="27"/>
      <c r="B837" s="30"/>
      <c r="G837" s="27"/>
      <c r="H837" s="27"/>
    </row>
    <row r="838" spans="1:8" x14ac:dyDescent="0.2">
      <c r="A838" s="27"/>
      <c r="B838" s="30"/>
      <c r="G838" s="27"/>
      <c r="H838" s="27"/>
    </row>
    <row r="839" spans="1:8" x14ac:dyDescent="0.2">
      <c r="A839" s="27"/>
      <c r="B839" s="30"/>
      <c r="C839" s="28"/>
      <c r="D839" s="28"/>
      <c r="E839" s="28"/>
      <c r="F839" s="28"/>
      <c r="G839" s="27"/>
      <c r="H839" s="27"/>
    </row>
    <row r="840" spans="1:8" x14ac:dyDescent="0.2">
      <c r="A840" s="27"/>
      <c r="B840" s="30"/>
      <c r="G840" s="27"/>
      <c r="H840" s="27"/>
    </row>
    <row r="841" spans="1:8" x14ac:dyDescent="0.2">
      <c r="A841" s="27"/>
      <c r="B841" s="30"/>
      <c r="G841" s="27"/>
      <c r="H841" s="27"/>
    </row>
    <row r="842" spans="1:8" x14ac:dyDescent="0.2">
      <c r="A842" s="27"/>
      <c r="B842" s="30"/>
      <c r="G842" s="27"/>
      <c r="H842" s="27"/>
    </row>
    <row r="843" spans="1:8" x14ac:dyDescent="0.2">
      <c r="A843" s="27"/>
      <c r="B843" s="30"/>
      <c r="C843" s="28"/>
      <c r="D843" s="28"/>
      <c r="E843" s="28"/>
      <c r="F843" s="28"/>
      <c r="G843" s="27"/>
      <c r="H843" s="27"/>
    </row>
    <row r="844" spans="1:8" x14ac:dyDescent="0.2">
      <c r="A844" s="27"/>
      <c r="B844" s="30"/>
      <c r="G844" s="27"/>
      <c r="H844" s="27"/>
    </row>
    <row r="845" spans="1:8" x14ac:dyDescent="0.2">
      <c r="A845" s="27"/>
      <c r="B845" s="30"/>
      <c r="C845" s="28"/>
      <c r="D845" s="28"/>
      <c r="E845" s="28"/>
      <c r="F845" s="28"/>
      <c r="G845" s="27"/>
      <c r="H845" s="27"/>
    </row>
    <row r="846" spans="1:8" x14ac:dyDescent="0.2">
      <c r="A846" s="27"/>
      <c r="B846" s="30"/>
      <c r="C846" s="28"/>
      <c r="D846" s="28"/>
      <c r="E846" s="28"/>
      <c r="F846" s="28"/>
      <c r="G846" s="27"/>
      <c r="H846" s="27"/>
    </row>
    <row r="847" spans="1:8" x14ac:dyDescent="0.2">
      <c r="A847" s="27"/>
      <c r="B847" s="30"/>
      <c r="C847" s="28"/>
      <c r="D847" s="28"/>
      <c r="E847" s="28"/>
      <c r="F847" s="28"/>
      <c r="G847" s="27"/>
      <c r="H847" s="27"/>
    </row>
    <row r="848" spans="1:8" x14ac:dyDescent="0.2">
      <c r="A848" s="27"/>
      <c r="B848" s="30"/>
      <c r="G848" s="27"/>
      <c r="H848" s="27"/>
    </row>
    <row r="849" spans="1:8" x14ac:dyDescent="0.2">
      <c r="A849" s="27"/>
      <c r="B849" s="30"/>
      <c r="G849" s="27"/>
      <c r="H849" s="27"/>
    </row>
    <row r="850" spans="1:8" x14ac:dyDescent="0.2">
      <c r="A850" s="27"/>
      <c r="B850" s="30"/>
      <c r="C850" s="28"/>
      <c r="D850" s="28"/>
      <c r="E850" s="28"/>
      <c r="F850" s="28"/>
      <c r="G850" s="27"/>
      <c r="H850" s="27"/>
    </row>
    <row r="851" spans="1:8" x14ac:dyDescent="0.2">
      <c r="A851" s="27"/>
      <c r="B851" s="30"/>
      <c r="G851" s="27"/>
      <c r="H851" s="27"/>
    </row>
    <row r="852" spans="1:8" x14ac:dyDescent="0.2">
      <c r="A852" s="27"/>
      <c r="B852" s="30"/>
      <c r="C852" s="28"/>
      <c r="D852" s="28"/>
      <c r="E852" s="28"/>
      <c r="F852" s="28"/>
      <c r="G852" s="27"/>
      <c r="H852" s="27"/>
    </row>
    <row r="853" spans="1:8" x14ac:dyDescent="0.2">
      <c r="A853" s="27"/>
      <c r="B853" s="30"/>
      <c r="G853" s="27"/>
      <c r="H853" s="27"/>
    </row>
    <row r="854" spans="1:8" x14ac:dyDescent="0.2">
      <c r="A854" s="27"/>
      <c r="B854" s="30"/>
      <c r="G854" s="27"/>
      <c r="H854" s="27"/>
    </row>
    <row r="855" spans="1:8" x14ac:dyDescent="0.2">
      <c r="A855" s="27"/>
      <c r="B855" s="30"/>
      <c r="G855" s="27"/>
      <c r="H855" s="27"/>
    </row>
    <row r="856" spans="1:8" x14ac:dyDescent="0.2">
      <c r="A856" s="27"/>
      <c r="B856" s="30"/>
      <c r="C856" s="28"/>
      <c r="D856" s="28"/>
      <c r="E856" s="28"/>
      <c r="F856" s="28"/>
      <c r="G856" s="27"/>
      <c r="H856" s="27"/>
    </row>
    <row r="857" spans="1:8" x14ac:dyDescent="0.2">
      <c r="A857" s="27"/>
      <c r="B857" s="30"/>
      <c r="G857" s="27"/>
      <c r="H857" s="27"/>
    </row>
    <row r="858" spans="1:8" x14ac:dyDescent="0.2">
      <c r="A858" s="27"/>
      <c r="B858" s="30"/>
      <c r="C858" s="28"/>
      <c r="D858" s="28"/>
      <c r="E858" s="28"/>
      <c r="F858" s="28"/>
      <c r="G858" s="27"/>
      <c r="H858" s="27"/>
    </row>
    <row r="859" spans="1:8" x14ac:dyDescent="0.2">
      <c r="A859" s="27"/>
      <c r="B859" s="30"/>
      <c r="G859" s="27"/>
      <c r="H859" s="27"/>
    </row>
    <row r="860" spans="1:8" x14ac:dyDescent="0.2">
      <c r="A860" s="27"/>
      <c r="B860" s="30"/>
      <c r="G860" s="27"/>
      <c r="H860" s="27"/>
    </row>
    <row r="861" spans="1:8" x14ac:dyDescent="0.2">
      <c r="A861" s="27"/>
      <c r="B861" s="30"/>
      <c r="G861" s="27"/>
      <c r="H861" s="27"/>
    </row>
    <row r="862" spans="1:8" x14ac:dyDescent="0.2">
      <c r="A862" s="27"/>
      <c r="B862" s="30"/>
      <c r="G862" s="27"/>
      <c r="H862" s="27"/>
    </row>
    <row r="863" spans="1:8" x14ac:dyDescent="0.2">
      <c r="A863" s="27"/>
      <c r="B863" s="30"/>
      <c r="G863" s="27"/>
      <c r="H863" s="27"/>
    </row>
    <row r="864" spans="1:8" x14ac:dyDescent="0.2">
      <c r="A864" s="27"/>
      <c r="B864" s="30"/>
      <c r="G864" s="27"/>
      <c r="H864" s="27"/>
    </row>
    <row r="865" spans="1:8" x14ac:dyDescent="0.2">
      <c r="A865" s="27"/>
      <c r="B865" s="30"/>
      <c r="G865" s="27"/>
      <c r="H865" s="27"/>
    </row>
    <row r="866" spans="1:8" x14ac:dyDescent="0.2">
      <c r="A866" s="27"/>
      <c r="B866" s="30"/>
      <c r="C866" s="28"/>
      <c r="D866" s="28"/>
      <c r="E866" s="28"/>
      <c r="F866" s="28"/>
      <c r="G866" s="27"/>
      <c r="H866" s="27"/>
    </row>
    <row r="867" spans="1:8" x14ac:dyDescent="0.2">
      <c r="A867" s="27"/>
      <c r="B867" s="30"/>
      <c r="G867" s="27"/>
      <c r="H867" s="27"/>
    </row>
    <row r="868" spans="1:8" x14ac:dyDescent="0.2">
      <c r="A868" s="27"/>
      <c r="B868" s="30"/>
      <c r="G868" s="27"/>
      <c r="H868" s="27"/>
    </row>
    <row r="869" spans="1:8" x14ac:dyDescent="0.2">
      <c r="A869" s="27"/>
      <c r="B869" s="30"/>
      <c r="C869" s="28"/>
      <c r="D869" s="28"/>
      <c r="E869" s="28"/>
      <c r="F869" s="28"/>
      <c r="G869" s="27"/>
      <c r="H869" s="27"/>
    </row>
    <row r="870" spans="1:8" x14ac:dyDescent="0.2">
      <c r="A870" s="27"/>
      <c r="B870" s="30"/>
      <c r="G870" s="27"/>
      <c r="H870" s="27"/>
    </row>
    <row r="871" spans="1:8" x14ac:dyDescent="0.2">
      <c r="A871" s="27"/>
      <c r="B871" s="30"/>
      <c r="G871" s="27"/>
      <c r="H871" s="27"/>
    </row>
    <row r="872" spans="1:8" x14ac:dyDescent="0.2">
      <c r="A872" s="27"/>
      <c r="B872" s="30"/>
      <c r="G872" s="27"/>
      <c r="H872" s="27"/>
    </row>
    <row r="873" spans="1:8" x14ac:dyDescent="0.2">
      <c r="A873" s="27"/>
      <c r="B873" s="30"/>
      <c r="G873" s="27"/>
      <c r="H873" s="27"/>
    </row>
    <row r="874" spans="1:8" x14ac:dyDescent="0.2">
      <c r="A874" s="27"/>
      <c r="B874" s="30"/>
      <c r="G874" s="27"/>
      <c r="H874" s="27"/>
    </row>
    <row r="875" spans="1:8" x14ac:dyDescent="0.2">
      <c r="A875" s="27"/>
      <c r="B875" s="30"/>
      <c r="G875" s="27"/>
      <c r="H875" s="27"/>
    </row>
    <row r="876" spans="1:8" x14ac:dyDescent="0.2">
      <c r="A876" s="27"/>
      <c r="B876" s="30"/>
      <c r="C876" s="28"/>
      <c r="D876" s="28"/>
      <c r="E876" s="28"/>
      <c r="F876" s="28"/>
      <c r="G876" s="27"/>
      <c r="H876" s="27"/>
    </row>
    <row r="877" spans="1:8" x14ac:dyDescent="0.2">
      <c r="A877" s="27"/>
      <c r="B877" s="30"/>
      <c r="C877" s="28"/>
      <c r="D877" s="28"/>
      <c r="E877" s="28"/>
      <c r="F877" s="28"/>
      <c r="G877" s="27"/>
      <c r="H877" s="27"/>
    </row>
    <row r="878" spans="1:8" x14ac:dyDescent="0.2">
      <c r="A878" s="27"/>
      <c r="B878" s="30"/>
      <c r="C878" s="28"/>
      <c r="D878" s="28"/>
      <c r="E878" s="28"/>
      <c r="F878" s="28"/>
      <c r="G878" s="27"/>
      <c r="H878" s="27"/>
    </row>
    <row r="879" spans="1:8" x14ac:dyDescent="0.2">
      <c r="A879" s="27"/>
      <c r="B879" s="30"/>
      <c r="G879" s="27"/>
      <c r="H879" s="27"/>
    </row>
    <row r="880" spans="1:8" x14ac:dyDescent="0.2">
      <c r="A880" s="27"/>
      <c r="B880" s="30"/>
      <c r="G880" s="27"/>
      <c r="H880" s="27"/>
    </row>
    <row r="881" spans="1:8" x14ac:dyDescent="0.2">
      <c r="A881" s="27"/>
      <c r="B881" s="30"/>
      <c r="C881" s="28"/>
      <c r="D881" s="28"/>
      <c r="E881" s="28"/>
      <c r="F881" s="28"/>
      <c r="G881" s="27"/>
      <c r="H881" s="27"/>
    </row>
    <row r="882" spans="1:8" x14ac:dyDescent="0.2">
      <c r="A882" s="27"/>
      <c r="B882" s="30"/>
      <c r="G882" s="27"/>
      <c r="H882" s="27"/>
    </row>
    <row r="883" spans="1:8" x14ac:dyDescent="0.2">
      <c r="A883" s="27"/>
      <c r="B883" s="30"/>
      <c r="C883" s="28"/>
      <c r="D883" s="28"/>
      <c r="E883" s="28"/>
      <c r="F883" s="28"/>
      <c r="G883" s="27"/>
      <c r="H883" s="27"/>
    </row>
    <row r="884" spans="1:8" x14ac:dyDescent="0.2">
      <c r="A884" s="27"/>
      <c r="B884" s="30"/>
      <c r="C884" s="28"/>
      <c r="D884" s="28"/>
      <c r="E884" s="28"/>
      <c r="F884" s="28"/>
      <c r="G884" s="27"/>
      <c r="H884" s="27"/>
    </row>
    <row r="885" spans="1:8" x14ac:dyDescent="0.2">
      <c r="A885" s="27"/>
      <c r="B885" s="30"/>
      <c r="C885" s="28"/>
      <c r="D885" s="28"/>
      <c r="E885" s="28"/>
      <c r="F885" s="28"/>
      <c r="G885" s="27"/>
      <c r="H885" s="27"/>
    </row>
    <row r="886" spans="1:8" x14ac:dyDescent="0.2">
      <c r="A886" s="27"/>
      <c r="B886" s="30"/>
      <c r="G886" s="27"/>
      <c r="H886" s="27"/>
    </row>
    <row r="887" spans="1:8" x14ac:dyDescent="0.2">
      <c r="A887" s="27"/>
      <c r="B887" s="30"/>
      <c r="G887" s="27"/>
      <c r="H887" s="27"/>
    </row>
    <row r="888" spans="1:8" x14ac:dyDescent="0.2">
      <c r="A888" s="27"/>
      <c r="B888" s="30"/>
      <c r="G888" s="27"/>
      <c r="H888" s="27"/>
    </row>
    <row r="889" spans="1:8" x14ac:dyDescent="0.2">
      <c r="A889" s="27"/>
      <c r="B889" s="30"/>
      <c r="G889" s="27"/>
      <c r="H889" s="27"/>
    </row>
    <row r="890" spans="1:8" x14ac:dyDescent="0.2">
      <c r="A890" s="27"/>
      <c r="B890" s="30"/>
      <c r="G890" s="27"/>
      <c r="H890" s="27"/>
    </row>
    <row r="891" spans="1:8" x14ac:dyDescent="0.2">
      <c r="A891" s="27"/>
      <c r="B891" s="30"/>
      <c r="G891" s="27"/>
      <c r="H891" s="27"/>
    </row>
    <row r="892" spans="1:8" x14ac:dyDescent="0.2">
      <c r="A892" s="27"/>
      <c r="B892" s="30"/>
      <c r="G892" s="27"/>
      <c r="H892" s="27"/>
    </row>
    <row r="893" spans="1:8" x14ac:dyDescent="0.2">
      <c r="A893" s="27"/>
      <c r="B893" s="30"/>
      <c r="G893" s="27"/>
      <c r="H893" s="27"/>
    </row>
    <row r="894" spans="1:8" x14ac:dyDescent="0.2">
      <c r="A894" s="27"/>
      <c r="B894" s="30"/>
      <c r="G894" s="27"/>
      <c r="H894" s="27"/>
    </row>
    <row r="895" spans="1:8" x14ac:dyDescent="0.2">
      <c r="A895" s="27"/>
      <c r="B895" s="30"/>
      <c r="G895" s="27"/>
      <c r="H895" s="27"/>
    </row>
    <row r="896" spans="1:8" x14ac:dyDescent="0.2">
      <c r="A896" s="27"/>
      <c r="B896" s="30"/>
      <c r="G896" s="27"/>
      <c r="H896" s="27"/>
    </row>
    <row r="897" spans="1:8" x14ac:dyDescent="0.2">
      <c r="A897" s="27"/>
      <c r="B897" s="30"/>
      <c r="G897" s="27"/>
      <c r="H897" s="27"/>
    </row>
    <row r="898" spans="1:8" x14ac:dyDescent="0.2">
      <c r="A898" s="27"/>
      <c r="B898" s="30"/>
      <c r="G898" s="27"/>
      <c r="H898" s="27"/>
    </row>
    <row r="899" spans="1:8" x14ac:dyDescent="0.2">
      <c r="A899" s="27"/>
      <c r="B899" s="30"/>
      <c r="G899" s="27"/>
      <c r="H899" s="27"/>
    </row>
    <row r="900" spans="1:8" x14ac:dyDescent="0.2">
      <c r="A900" s="27"/>
      <c r="B900" s="30"/>
      <c r="G900" s="27"/>
      <c r="H900" s="27"/>
    </row>
    <row r="901" spans="1:8" x14ac:dyDescent="0.2">
      <c r="A901" s="27"/>
      <c r="B901" s="30"/>
      <c r="G901" s="27"/>
      <c r="H901" s="27"/>
    </row>
    <row r="902" spans="1:8" x14ac:dyDescent="0.2">
      <c r="A902" s="27"/>
      <c r="B902" s="30"/>
      <c r="C902" s="28"/>
      <c r="D902" s="28"/>
      <c r="E902" s="28"/>
      <c r="F902" s="28"/>
      <c r="G902" s="27"/>
      <c r="H902" s="27"/>
    </row>
    <row r="903" spans="1:8" x14ac:dyDescent="0.2">
      <c r="A903" s="27"/>
      <c r="B903" s="30"/>
      <c r="G903" s="27"/>
      <c r="H903" s="27"/>
    </row>
    <row r="904" spans="1:8" x14ac:dyDescent="0.2">
      <c r="A904" s="27"/>
      <c r="B904" s="30"/>
      <c r="C904" s="28"/>
      <c r="D904" s="28"/>
      <c r="E904" s="28"/>
      <c r="F904" s="28"/>
      <c r="G904" s="27"/>
      <c r="H904" s="27"/>
    </row>
    <row r="905" spans="1:8" x14ac:dyDescent="0.2">
      <c r="A905" s="27"/>
      <c r="B905" s="30"/>
      <c r="G905" s="27"/>
      <c r="H905" s="27"/>
    </row>
    <row r="906" spans="1:8" x14ac:dyDescent="0.2">
      <c r="A906" s="27"/>
      <c r="B906" s="30"/>
      <c r="G906" s="27"/>
      <c r="H906" s="27"/>
    </row>
    <row r="907" spans="1:8" x14ac:dyDescent="0.2">
      <c r="A907" s="27"/>
      <c r="B907" s="30"/>
      <c r="G907" s="27"/>
      <c r="H907" s="27"/>
    </row>
    <row r="908" spans="1:8" x14ac:dyDescent="0.2">
      <c r="A908" s="27"/>
      <c r="B908" s="30"/>
      <c r="C908" s="28"/>
      <c r="D908" s="28"/>
      <c r="E908" s="28"/>
      <c r="F908" s="28"/>
      <c r="G908" s="27"/>
      <c r="H908" s="27"/>
    </row>
    <row r="909" spans="1:8" x14ac:dyDescent="0.2">
      <c r="A909" s="27"/>
      <c r="B909" s="30"/>
      <c r="G909" s="27"/>
      <c r="H909" s="27"/>
    </row>
    <row r="910" spans="1:8" x14ac:dyDescent="0.2">
      <c r="A910" s="27"/>
      <c r="B910" s="30"/>
      <c r="G910" s="27"/>
      <c r="H910" s="27"/>
    </row>
    <row r="911" spans="1:8" x14ac:dyDescent="0.2">
      <c r="A911" s="27"/>
      <c r="B911" s="30"/>
      <c r="G911" s="27"/>
      <c r="H911" s="27"/>
    </row>
    <row r="912" spans="1:8" x14ac:dyDescent="0.2">
      <c r="A912" s="27"/>
      <c r="B912" s="30"/>
      <c r="G912" s="27"/>
      <c r="H912" s="27"/>
    </row>
    <row r="913" spans="1:8" x14ac:dyDescent="0.2">
      <c r="A913" s="27"/>
      <c r="B913" s="30"/>
      <c r="C913" s="28"/>
      <c r="D913" s="28"/>
      <c r="E913" s="28"/>
      <c r="F913" s="28"/>
      <c r="G913" s="27"/>
      <c r="H913" s="27"/>
    </row>
    <row r="914" spans="1:8" x14ac:dyDescent="0.2">
      <c r="A914" s="27"/>
      <c r="B914" s="30"/>
      <c r="C914" s="28"/>
      <c r="D914" s="28"/>
      <c r="E914" s="28"/>
      <c r="F914" s="28"/>
      <c r="G914" s="27"/>
      <c r="H914" s="27"/>
    </row>
    <row r="915" spans="1:8" x14ac:dyDescent="0.2">
      <c r="A915" s="27"/>
      <c r="B915" s="30"/>
      <c r="C915" s="28"/>
      <c r="D915" s="28"/>
      <c r="E915" s="28"/>
      <c r="F915" s="28"/>
      <c r="G915" s="27"/>
      <c r="H915" s="27"/>
    </row>
    <row r="916" spans="1:8" x14ac:dyDescent="0.2">
      <c r="A916" s="27"/>
      <c r="B916" s="30"/>
      <c r="G916" s="27"/>
      <c r="H916" s="27"/>
    </row>
    <row r="917" spans="1:8" x14ac:dyDescent="0.2">
      <c r="A917" s="27"/>
      <c r="B917" s="30"/>
      <c r="C917" s="28"/>
      <c r="D917" s="28"/>
      <c r="E917" s="28"/>
      <c r="F917" s="28"/>
      <c r="G917" s="27"/>
      <c r="H917" s="27"/>
    </row>
    <row r="918" spans="1:8" x14ac:dyDescent="0.2">
      <c r="A918" s="27"/>
      <c r="B918" s="30"/>
      <c r="G918" s="27"/>
      <c r="H918" s="27"/>
    </row>
    <row r="919" spans="1:8" x14ac:dyDescent="0.2">
      <c r="A919" s="27"/>
      <c r="B919" s="30"/>
      <c r="G919" s="27"/>
      <c r="H919" s="27"/>
    </row>
    <row r="920" spans="1:8" x14ac:dyDescent="0.2">
      <c r="A920" s="27"/>
      <c r="B920" s="30"/>
      <c r="G920" s="27"/>
      <c r="H920" s="27"/>
    </row>
    <row r="921" spans="1:8" x14ac:dyDescent="0.2">
      <c r="A921" s="27"/>
      <c r="B921" s="30"/>
      <c r="G921" s="27"/>
      <c r="H921" s="27"/>
    </row>
    <row r="922" spans="1:8" x14ac:dyDescent="0.2">
      <c r="A922" s="27"/>
      <c r="B922" s="30"/>
      <c r="C922" s="28"/>
      <c r="D922" s="28"/>
      <c r="E922" s="28"/>
      <c r="F922" s="28"/>
      <c r="G922" s="27"/>
      <c r="H922" s="27"/>
    </row>
    <row r="923" spans="1:8" x14ac:dyDescent="0.2">
      <c r="A923" s="27"/>
      <c r="B923" s="30"/>
      <c r="G923" s="27"/>
      <c r="H923" s="27"/>
    </row>
    <row r="924" spans="1:8" x14ac:dyDescent="0.2">
      <c r="A924" s="27"/>
      <c r="B924" s="30"/>
      <c r="C924" s="28"/>
      <c r="D924" s="28"/>
      <c r="E924" s="28"/>
      <c r="F924" s="28"/>
      <c r="G924" s="27"/>
      <c r="H924" s="27"/>
    </row>
    <row r="925" spans="1:8" x14ac:dyDescent="0.2">
      <c r="A925" s="27"/>
      <c r="B925" s="30"/>
      <c r="C925" s="28"/>
      <c r="D925" s="28"/>
      <c r="E925" s="28"/>
      <c r="F925" s="28"/>
      <c r="G925" s="27"/>
      <c r="H925" s="27"/>
    </row>
    <row r="926" spans="1:8" x14ac:dyDescent="0.2">
      <c r="A926" s="27"/>
      <c r="B926" s="30"/>
      <c r="C926" s="28"/>
      <c r="D926" s="28"/>
      <c r="E926" s="28"/>
      <c r="F926" s="28"/>
      <c r="G926" s="27"/>
      <c r="H926" s="27"/>
    </row>
    <row r="927" spans="1:8" x14ac:dyDescent="0.2">
      <c r="A927" s="27"/>
      <c r="B927" s="30"/>
      <c r="G927" s="27"/>
      <c r="H927" s="27"/>
    </row>
    <row r="928" spans="1:8" x14ac:dyDescent="0.2">
      <c r="A928" s="27"/>
      <c r="B928" s="30"/>
      <c r="G928" s="27"/>
      <c r="H928" s="27"/>
    </row>
    <row r="929" spans="1:8" x14ac:dyDescent="0.2">
      <c r="A929" s="27"/>
      <c r="B929" s="30"/>
      <c r="C929" s="28"/>
      <c r="D929" s="28"/>
      <c r="E929" s="28"/>
      <c r="F929" s="28"/>
      <c r="G929" s="27"/>
      <c r="H929" s="27"/>
    </row>
    <row r="930" spans="1:8" x14ac:dyDescent="0.2">
      <c r="A930" s="27"/>
      <c r="B930" s="30"/>
      <c r="G930" s="27"/>
      <c r="H930" s="27"/>
    </row>
    <row r="931" spans="1:8" x14ac:dyDescent="0.2">
      <c r="A931" s="27"/>
      <c r="B931" s="30"/>
      <c r="C931" s="28"/>
      <c r="D931" s="28"/>
      <c r="E931" s="28"/>
      <c r="F931" s="28"/>
      <c r="G931" s="27"/>
      <c r="H931" s="27"/>
    </row>
    <row r="932" spans="1:8" x14ac:dyDescent="0.2">
      <c r="A932" s="27"/>
      <c r="B932" s="30"/>
      <c r="C932" s="28"/>
      <c r="D932" s="28"/>
      <c r="E932" s="28"/>
      <c r="F932" s="28"/>
      <c r="G932" s="27"/>
      <c r="H932" s="27"/>
    </row>
    <row r="933" spans="1:8" x14ac:dyDescent="0.2">
      <c r="A933" s="27"/>
      <c r="B933" s="30"/>
      <c r="C933" s="28"/>
      <c r="D933" s="28"/>
      <c r="E933" s="28"/>
      <c r="F933" s="28"/>
      <c r="G933" s="27"/>
      <c r="H933" s="27"/>
    </row>
    <row r="934" spans="1:8" x14ac:dyDescent="0.2">
      <c r="A934" s="27"/>
      <c r="B934" s="30"/>
      <c r="G934" s="27"/>
      <c r="H934" s="27"/>
    </row>
    <row r="935" spans="1:8" x14ac:dyDescent="0.2">
      <c r="A935" s="27"/>
      <c r="B935" s="30"/>
      <c r="G935" s="27"/>
      <c r="H935" s="27"/>
    </row>
    <row r="936" spans="1:8" x14ac:dyDescent="0.2">
      <c r="A936" s="27"/>
      <c r="B936" s="30"/>
      <c r="C936" s="28"/>
      <c r="D936" s="28"/>
      <c r="E936" s="28"/>
      <c r="F936" s="28"/>
      <c r="G936" s="27"/>
      <c r="H936" s="27"/>
    </row>
    <row r="937" spans="1:8" x14ac:dyDescent="0.2">
      <c r="A937" s="27"/>
      <c r="B937" s="30"/>
      <c r="C937" s="28"/>
      <c r="D937" s="28"/>
      <c r="E937" s="28"/>
      <c r="F937" s="28"/>
      <c r="G937" s="27"/>
      <c r="H937" s="27"/>
    </row>
    <row r="938" spans="1:8" x14ac:dyDescent="0.2">
      <c r="A938" s="27"/>
      <c r="B938" s="30"/>
      <c r="C938" s="28"/>
      <c r="D938" s="28"/>
      <c r="E938" s="28"/>
      <c r="F938" s="28"/>
      <c r="G938" s="27"/>
      <c r="H938" s="27"/>
    </row>
    <row r="939" spans="1:8" x14ac:dyDescent="0.2">
      <c r="A939" s="27"/>
      <c r="B939" s="30"/>
      <c r="G939" s="27"/>
      <c r="H939" s="27"/>
    </row>
    <row r="940" spans="1:8" x14ac:dyDescent="0.2">
      <c r="A940" s="27"/>
      <c r="B940" s="30"/>
      <c r="G940" s="27"/>
      <c r="H940" s="27"/>
    </row>
    <row r="941" spans="1:8" x14ac:dyDescent="0.2">
      <c r="A941" s="27"/>
      <c r="B941" s="30"/>
      <c r="G941" s="27"/>
      <c r="H941" s="27"/>
    </row>
    <row r="942" spans="1:8" x14ac:dyDescent="0.2">
      <c r="A942" s="27"/>
      <c r="B942" s="30"/>
      <c r="G942" s="27"/>
      <c r="H942" s="27"/>
    </row>
    <row r="943" spans="1:8" x14ac:dyDescent="0.2">
      <c r="A943" s="27"/>
      <c r="B943" s="30"/>
      <c r="G943" s="27"/>
      <c r="H943" s="27"/>
    </row>
    <row r="944" spans="1:8" x14ac:dyDescent="0.2">
      <c r="A944" s="27"/>
      <c r="B944" s="30"/>
      <c r="G944" s="27"/>
      <c r="H944" s="27"/>
    </row>
    <row r="945" spans="1:8" x14ac:dyDescent="0.2">
      <c r="A945" s="27"/>
      <c r="B945" s="30"/>
      <c r="G945" s="27"/>
      <c r="H945" s="27"/>
    </row>
    <row r="946" spans="1:8" x14ac:dyDescent="0.2">
      <c r="A946" s="27"/>
      <c r="B946" s="30"/>
      <c r="G946" s="27"/>
      <c r="H946" s="27"/>
    </row>
    <row r="947" spans="1:8" x14ac:dyDescent="0.2">
      <c r="A947" s="27"/>
      <c r="B947" s="30"/>
      <c r="G947" s="27"/>
      <c r="H947" s="27"/>
    </row>
    <row r="948" spans="1:8" x14ac:dyDescent="0.2">
      <c r="A948" s="27"/>
      <c r="B948" s="30"/>
      <c r="G948" s="27"/>
      <c r="H948" s="27"/>
    </row>
    <row r="949" spans="1:8" x14ac:dyDescent="0.2">
      <c r="A949" s="27"/>
      <c r="B949" s="30"/>
      <c r="G949" s="27"/>
      <c r="H949" s="27"/>
    </row>
    <row r="950" spans="1:8" x14ac:dyDescent="0.2">
      <c r="A950" s="27"/>
      <c r="B950" s="30"/>
      <c r="G950" s="27"/>
      <c r="H950" s="27"/>
    </row>
    <row r="951" spans="1:8" x14ac:dyDescent="0.2">
      <c r="A951" s="27"/>
      <c r="B951" s="30"/>
      <c r="G951" s="27"/>
      <c r="H951" s="27"/>
    </row>
    <row r="952" spans="1:8" x14ac:dyDescent="0.2">
      <c r="A952" s="27"/>
      <c r="B952" s="30"/>
      <c r="G952" s="27"/>
      <c r="H952" s="27"/>
    </row>
    <row r="953" spans="1:8" x14ac:dyDescent="0.2">
      <c r="A953" s="27"/>
      <c r="B953" s="30"/>
      <c r="G953" s="27"/>
      <c r="H953" s="27"/>
    </row>
    <row r="954" spans="1:8" x14ac:dyDescent="0.2">
      <c r="A954" s="27"/>
      <c r="B954" s="30"/>
      <c r="C954" s="28"/>
      <c r="D954" s="28"/>
      <c r="E954" s="28"/>
      <c r="F954" s="28"/>
      <c r="G954" s="27"/>
      <c r="H954" s="27"/>
    </row>
    <row r="955" spans="1:8" x14ac:dyDescent="0.2">
      <c r="A955" s="27"/>
      <c r="B955" s="30"/>
      <c r="C955" s="28"/>
      <c r="D955" s="28"/>
      <c r="E955" s="28"/>
      <c r="F955" s="28"/>
      <c r="G955" s="27"/>
      <c r="H955" s="27"/>
    </row>
    <row r="956" spans="1:8" x14ac:dyDescent="0.2">
      <c r="A956" s="27"/>
      <c r="B956" s="30"/>
      <c r="G956" s="27"/>
      <c r="H956" s="27"/>
    </row>
    <row r="957" spans="1:8" x14ac:dyDescent="0.2">
      <c r="A957" s="27"/>
      <c r="B957" s="30"/>
      <c r="G957" s="27"/>
      <c r="H957" s="27"/>
    </row>
    <row r="958" spans="1:8" x14ac:dyDescent="0.2">
      <c r="A958" s="27"/>
      <c r="B958" s="30"/>
      <c r="C958" s="28"/>
      <c r="D958" s="28"/>
      <c r="E958" s="28"/>
      <c r="F958" s="28"/>
      <c r="G958" s="27"/>
      <c r="H958" s="27"/>
    </row>
    <row r="959" spans="1:8" x14ac:dyDescent="0.2">
      <c r="A959" s="27"/>
      <c r="B959" s="30"/>
      <c r="G959" s="27"/>
      <c r="H959" s="27"/>
    </row>
    <row r="960" spans="1:8" x14ac:dyDescent="0.2">
      <c r="A960" s="27"/>
      <c r="B960" s="30"/>
      <c r="G960" s="27"/>
      <c r="H960" s="27"/>
    </row>
    <row r="961" spans="1:8" x14ac:dyDescent="0.2">
      <c r="A961" s="27"/>
      <c r="B961" s="30"/>
      <c r="G961" s="27"/>
      <c r="H961" s="27"/>
    </row>
    <row r="962" spans="1:8" x14ac:dyDescent="0.2">
      <c r="A962" s="27"/>
      <c r="B962" s="30"/>
      <c r="C962" s="28"/>
      <c r="D962" s="28"/>
      <c r="E962" s="28"/>
      <c r="F962" s="28"/>
      <c r="G962" s="27"/>
      <c r="H962" s="27"/>
    </row>
    <row r="963" spans="1:8" x14ac:dyDescent="0.2">
      <c r="A963" s="27"/>
      <c r="B963" s="30"/>
      <c r="G963" s="27"/>
      <c r="H963" s="27"/>
    </row>
    <row r="964" spans="1:8" x14ac:dyDescent="0.2">
      <c r="A964" s="27"/>
      <c r="B964" s="30"/>
      <c r="G964" s="27"/>
      <c r="H964" s="27"/>
    </row>
    <row r="965" spans="1:8" x14ac:dyDescent="0.2">
      <c r="A965" s="27"/>
      <c r="B965" s="30"/>
      <c r="C965" s="28"/>
      <c r="D965" s="28"/>
      <c r="E965" s="28"/>
      <c r="F965" s="28"/>
      <c r="G965" s="27"/>
      <c r="H965" s="27"/>
    </row>
    <row r="966" spans="1:8" x14ac:dyDescent="0.2">
      <c r="A966" s="27"/>
      <c r="B966" s="30"/>
      <c r="G966" s="27"/>
      <c r="H966" s="27"/>
    </row>
    <row r="967" spans="1:8" x14ac:dyDescent="0.2">
      <c r="A967" s="27"/>
      <c r="B967" s="30"/>
      <c r="G967" s="27"/>
      <c r="H967" s="27"/>
    </row>
    <row r="968" spans="1:8" x14ac:dyDescent="0.2">
      <c r="A968" s="27"/>
      <c r="B968" s="30"/>
      <c r="G968" s="27"/>
      <c r="H968" s="27"/>
    </row>
    <row r="969" spans="1:8" x14ac:dyDescent="0.2">
      <c r="A969" s="27"/>
      <c r="B969" s="30"/>
      <c r="C969" s="28"/>
      <c r="D969" s="28"/>
      <c r="E969" s="28"/>
      <c r="F969" s="28"/>
      <c r="G969" s="27"/>
      <c r="H969" s="27"/>
    </row>
    <row r="970" spans="1:8" x14ac:dyDescent="0.2">
      <c r="A970" s="27"/>
      <c r="B970" s="30"/>
      <c r="G970" s="27"/>
      <c r="H970" s="27"/>
    </row>
    <row r="971" spans="1:8" x14ac:dyDescent="0.2">
      <c r="A971" s="27"/>
      <c r="B971" s="30"/>
      <c r="G971" s="27"/>
      <c r="H971" s="27"/>
    </row>
    <row r="972" spans="1:8" x14ac:dyDescent="0.2">
      <c r="A972" s="27"/>
      <c r="B972" s="30"/>
      <c r="C972" s="28"/>
      <c r="D972" s="28"/>
      <c r="E972" s="28"/>
      <c r="F972" s="28"/>
      <c r="G972" s="27"/>
      <c r="H972" s="27"/>
    </row>
    <row r="973" spans="1:8" x14ac:dyDescent="0.2">
      <c r="A973" s="27"/>
      <c r="B973" s="30"/>
      <c r="G973" s="27"/>
      <c r="H973" s="27"/>
    </row>
    <row r="974" spans="1:8" x14ac:dyDescent="0.2">
      <c r="A974" s="27"/>
      <c r="B974" s="30"/>
      <c r="G974" s="27"/>
      <c r="H974" s="27"/>
    </row>
    <row r="975" spans="1:8" x14ac:dyDescent="0.2">
      <c r="A975" s="27"/>
      <c r="B975" s="30"/>
      <c r="G975" s="27"/>
      <c r="H975" s="27"/>
    </row>
    <row r="976" spans="1:8" x14ac:dyDescent="0.2">
      <c r="A976" s="27"/>
      <c r="B976" s="30"/>
      <c r="G976" s="27"/>
      <c r="H976" s="27"/>
    </row>
    <row r="977" spans="1:8" x14ac:dyDescent="0.2">
      <c r="A977" s="27"/>
      <c r="B977" s="30"/>
      <c r="G977" s="27"/>
      <c r="H977" s="27"/>
    </row>
    <row r="978" spans="1:8" x14ac:dyDescent="0.2">
      <c r="A978" s="27"/>
      <c r="B978" s="30"/>
      <c r="C978" s="28"/>
      <c r="D978" s="28"/>
      <c r="E978" s="28"/>
      <c r="F978" s="28"/>
      <c r="G978" s="27"/>
      <c r="H978" s="27"/>
    </row>
    <row r="979" spans="1:8" x14ac:dyDescent="0.2">
      <c r="A979" s="27"/>
      <c r="B979" s="30"/>
      <c r="G979" s="27"/>
      <c r="H979" s="27"/>
    </row>
    <row r="980" spans="1:8" x14ac:dyDescent="0.2">
      <c r="A980" s="27"/>
      <c r="B980" s="30"/>
      <c r="G980" s="27"/>
      <c r="H980" s="27"/>
    </row>
    <row r="981" spans="1:8" x14ac:dyDescent="0.2">
      <c r="A981" s="27"/>
      <c r="B981" s="30"/>
      <c r="G981" s="27"/>
      <c r="H981" s="27"/>
    </row>
    <row r="982" spans="1:8" x14ac:dyDescent="0.2">
      <c r="A982" s="27"/>
      <c r="B982" s="30"/>
      <c r="G982" s="27"/>
      <c r="H982" s="27"/>
    </row>
    <row r="983" spans="1:8" x14ac:dyDescent="0.2">
      <c r="A983" s="27"/>
      <c r="B983" s="30"/>
      <c r="G983" s="27"/>
      <c r="H983" s="27"/>
    </row>
    <row r="984" spans="1:8" x14ac:dyDescent="0.2">
      <c r="A984" s="27"/>
      <c r="B984" s="30"/>
      <c r="G984" s="27"/>
      <c r="H984" s="27"/>
    </row>
    <row r="985" spans="1:8" x14ac:dyDescent="0.2">
      <c r="A985" s="27"/>
      <c r="B985" s="30"/>
      <c r="C985" s="28"/>
      <c r="D985" s="28"/>
      <c r="E985" s="28"/>
      <c r="F985" s="28"/>
      <c r="G985" s="27"/>
      <c r="H985" s="27"/>
    </row>
    <row r="986" spans="1:8" x14ac:dyDescent="0.2">
      <c r="A986" s="27"/>
      <c r="B986" s="30"/>
      <c r="C986" s="28"/>
      <c r="D986" s="28"/>
      <c r="E986" s="28"/>
      <c r="F986" s="28"/>
      <c r="G986" s="27"/>
      <c r="H986" s="27"/>
    </row>
    <row r="987" spans="1:8" x14ac:dyDescent="0.2">
      <c r="A987" s="27"/>
      <c r="B987" s="30"/>
      <c r="C987" s="28"/>
      <c r="D987" s="28"/>
      <c r="E987" s="28"/>
      <c r="F987" s="28"/>
      <c r="G987" s="27"/>
      <c r="H987" s="27"/>
    </row>
    <row r="988" spans="1:8" x14ac:dyDescent="0.2">
      <c r="A988" s="27"/>
      <c r="B988" s="30"/>
      <c r="G988" s="27"/>
      <c r="H988" s="27"/>
    </row>
    <row r="989" spans="1:8" x14ac:dyDescent="0.2">
      <c r="A989" s="27"/>
      <c r="B989" s="30"/>
      <c r="G989" s="27"/>
      <c r="H989" s="27"/>
    </row>
    <row r="990" spans="1:8" x14ac:dyDescent="0.2">
      <c r="A990" s="27"/>
      <c r="B990" s="30"/>
      <c r="G990" s="27"/>
      <c r="H990" s="27"/>
    </row>
    <row r="991" spans="1:8" x14ac:dyDescent="0.2">
      <c r="A991" s="27"/>
      <c r="B991" s="30"/>
      <c r="G991" s="27"/>
      <c r="H991" s="27"/>
    </row>
    <row r="992" spans="1:8" x14ac:dyDescent="0.2">
      <c r="A992" s="27"/>
      <c r="B992" s="30"/>
      <c r="G992" s="27"/>
      <c r="H992" s="27"/>
    </row>
    <row r="993" spans="1:8" x14ac:dyDescent="0.2">
      <c r="A993" s="27"/>
      <c r="B993" s="30"/>
      <c r="C993" s="28"/>
      <c r="D993" s="28"/>
      <c r="E993" s="28"/>
      <c r="F993" s="28"/>
      <c r="G993" s="27"/>
      <c r="H993" s="27"/>
    </row>
    <row r="994" spans="1:8" x14ac:dyDescent="0.2">
      <c r="A994" s="27"/>
      <c r="B994" s="30"/>
      <c r="G994" s="27"/>
      <c r="H994" s="27"/>
    </row>
    <row r="995" spans="1:8" x14ac:dyDescent="0.2">
      <c r="A995" s="27"/>
      <c r="B995" s="30"/>
      <c r="G995" s="27"/>
      <c r="H995" s="27"/>
    </row>
    <row r="996" spans="1:8" x14ac:dyDescent="0.2">
      <c r="A996" s="27"/>
      <c r="B996" s="30"/>
      <c r="G996" s="27"/>
      <c r="H996" s="27"/>
    </row>
    <row r="997" spans="1:8" x14ac:dyDescent="0.2">
      <c r="A997" s="27"/>
      <c r="B997" s="30"/>
      <c r="G997" s="27"/>
      <c r="H997" s="27"/>
    </row>
    <row r="998" spans="1:8" x14ac:dyDescent="0.2">
      <c r="A998" s="27"/>
      <c r="B998" s="30"/>
      <c r="G998" s="27"/>
      <c r="H998" s="27"/>
    </row>
    <row r="999" spans="1:8" x14ac:dyDescent="0.2">
      <c r="A999" s="27"/>
      <c r="B999" s="30"/>
      <c r="C999" s="28"/>
      <c r="D999" s="28"/>
      <c r="E999" s="28"/>
      <c r="F999" s="28"/>
      <c r="G999" s="27"/>
      <c r="H999" s="27"/>
    </row>
    <row r="1000" spans="1:8" x14ac:dyDescent="0.2">
      <c r="A1000" s="27"/>
      <c r="B1000" s="30"/>
      <c r="C1000" s="28"/>
      <c r="D1000" s="28"/>
      <c r="E1000" s="28"/>
      <c r="F1000" s="28"/>
      <c r="G1000" s="27"/>
      <c r="H1000" s="27"/>
    </row>
    <row r="1001" spans="1:8" x14ac:dyDescent="0.2">
      <c r="A1001" s="27"/>
      <c r="B1001" s="30"/>
      <c r="G1001" s="27"/>
      <c r="H1001" s="27"/>
    </row>
    <row r="1002" spans="1:8" x14ac:dyDescent="0.2">
      <c r="A1002" s="27"/>
      <c r="B1002" s="30"/>
      <c r="C1002" s="28"/>
      <c r="D1002" s="28"/>
      <c r="E1002" s="28"/>
      <c r="F1002" s="28"/>
      <c r="G1002" s="27"/>
      <c r="H1002" s="27"/>
    </row>
    <row r="1003" spans="1:8" x14ac:dyDescent="0.2">
      <c r="A1003" s="27"/>
      <c r="B1003" s="30"/>
      <c r="G1003" s="27"/>
      <c r="H1003" s="27"/>
    </row>
    <row r="1004" spans="1:8" x14ac:dyDescent="0.2">
      <c r="A1004" s="27"/>
      <c r="B1004" s="30"/>
      <c r="C1004" s="28"/>
      <c r="D1004" s="28"/>
      <c r="E1004" s="28"/>
      <c r="F1004" s="28"/>
      <c r="G1004" s="27"/>
      <c r="H1004" s="27"/>
    </row>
    <row r="1005" spans="1:8" x14ac:dyDescent="0.2">
      <c r="A1005" s="27"/>
      <c r="B1005" s="30"/>
      <c r="C1005" s="28"/>
      <c r="D1005" s="28"/>
      <c r="E1005" s="28"/>
      <c r="F1005" s="28"/>
      <c r="G1005" s="27"/>
      <c r="H1005" s="27"/>
    </row>
    <row r="1006" spans="1:8" x14ac:dyDescent="0.2">
      <c r="A1006" s="27"/>
      <c r="B1006" s="30"/>
      <c r="G1006" s="27"/>
      <c r="H1006" s="27"/>
    </row>
    <row r="1007" spans="1:8" x14ac:dyDescent="0.2">
      <c r="A1007" s="27"/>
      <c r="B1007" s="30"/>
      <c r="C1007" s="28"/>
      <c r="D1007" s="28"/>
      <c r="E1007" s="28"/>
      <c r="F1007" s="28"/>
      <c r="G1007" s="27"/>
      <c r="H1007" s="27"/>
    </row>
    <row r="1008" spans="1:8" x14ac:dyDescent="0.2">
      <c r="A1008" s="27"/>
      <c r="B1008" s="30"/>
      <c r="C1008" s="28"/>
      <c r="D1008" s="28"/>
      <c r="E1008" s="28"/>
      <c r="F1008" s="28"/>
      <c r="G1008" s="27"/>
      <c r="H1008" s="27"/>
    </row>
    <row r="1009" spans="1:8" x14ac:dyDescent="0.2">
      <c r="A1009" s="27"/>
      <c r="B1009" s="30"/>
      <c r="C1009" s="28"/>
      <c r="D1009" s="28"/>
      <c r="E1009" s="28"/>
      <c r="F1009" s="28"/>
      <c r="G1009" s="27"/>
      <c r="H1009" s="27"/>
    </row>
    <row r="1010" spans="1:8" x14ac:dyDescent="0.2">
      <c r="A1010" s="27"/>
      <c r="B1010" s="30"/>
      <c r="G1010" s="27"/>
      <c r="H1010" s="27"/>
    </row>
    <row r="1011" spans="1:8" x14ac:dyDescent="0.2">
      <c r="A1011" s="27"/>
      <c r="B1011" s="30"/>
      <c r="G1011" s="27"/>
      <c r="H1011" s="27"/>
    </row>
    <row r="1012" spans="1:8" x14ac:dyDescent="0.2">
      <c r="A1012" s="27"/>
      <c r="B1012" s="30"/>
      <c r="G1012" s="27"/>
      <c r="H1012" s="27"/>
    </row>
    <row r="1013" spans="1:8" x14ac:dyDescent="0.2">
      <c r="A1013" s="27"/>
      <c r="B1013" s="30"/>
      <c r="G1013" s="27"/>
      <c r="H1013" s="27"/>
    </row>
    <row r="1014" spans="1:8" x14ac:dyDescent="0.2">
      <c r="A1014" s="27"/>
      <c r="B1014" s="30"/>
      <c r="G1014" s="27"/>
      <c r="H1014" s="27"/>
    </row>
    <row r="1015" spans="1:8" x14ac:dyDescent="0.2">
      <c r="A1015" s="27"/>
      <c r="B1015" s="30"/>
      <c r="G1015" s="27"/>
      <c r="H1015" s="27"/>
    </row>
    <row r="1016" spans="1:8" x14ac:dyDescent="0.2">
      <c r="A1016" s="27"/>
      <c r="B1016" s="30"/>
      <c r="G1016" s="27"/>
      <c r="H1016" s="27"/>
    </row>
    <row r="1017" spans="1:8" x14ac:dyDescent="0.2">
      <c r="A1017" s="27"/>
      <c r="B1017" s="30"/>
      <c r="C1017" s="28"/>
      <c r="D1017" s="28"/>
      <c r="E1017" s="28"/>
      <c r="F1017" s="28"/>
      <c r="G1017" s="27"/>
      <c r="H1017" s="27"/>
    </row>
    <row r="1018" spans="1:8" x14ac:dyDescent="0.2">
      <c r="A1018" s="27"/>
      <c r="B1018" s="30"/>
      <c r="C1018" s="28"/>
      <c r="D1018" s="28"/>
      <c r="E1018" s="28"/>
      <c r="F1018" s="28"/>
      <c r="G1018" s="27"/>
      <c r="H1018" s="27"/>
    </row>
    <row r="1019" spans="1:8" x14ac:dyDescent="0.2">
      <c r="A1019" s="27"/>
      <c r="B1019" s="30"/>
      <c r="C1019" s="28"/>
      <c r="D1019" s="28"/>
      <c r="E1019" s="28"/>
      <c r="F1019" s="28"/>
      <c r="G1019" s="27"/>
      <c r="H1019" s="27"/>
    </row>
    <row r="1020" spans="1:8" x14ac:dyDescent="0.2">
      <c r="A1020" s="27"/>
      <c r="B1020" s="30"/>
      <c r="C1020" s="28"/>
      <c r="D1020" s="28"/>
      <c r="E1020" s="28"/>
      <c r="F1020" s="28"/>
      <c r="G1020" s="27"/>
      <c r="H1020" s="27"/>
    </row>
    <row r="1021" spans="1:8" x14ac:dyDescent="0.2">
      <c r="A1021" s="27"/>
      <c r="B1021" s="30"/>
      <c r="G1021" s="27"/>
      <c r="H1021" s="27"/>
    </row>
    <row r="1022" spans="1:8" x14ac:dyDescent="0.2">
      <c r="A1022" s="27"/>
      <c r="B1022" s="30"/>
      <c r="C1022" s="28"/>
      <c r="D1022" s="28"/>
      <c r="E1022" s="28"/>
      <c r="F1022" s="28"/>
      <c r="G1022" s="27"/>
      <c r="H1022" s="27"/>
    </row>
    <row r="1023" spans="1:8" x14ac:dyDescent="0.2">
      <c r="A1023" s="27"/>
      <c r="B1023" s="30"/>
      <c r="C1023" s="28"/>
      <c r="D1023" s="28"/>
      <c r="E1023" s="28"/>
      <c r="F1023" s="28"/>
      <c r="G1023" s="27"/>
      <c r="H1023" s="27"/>
    </row>
    <row r="1024" spans="1:8" x14ac:dyDescent="0.2">
      <c r="A1024" s="27"/>
      <c r="B1024" s="30"/>
      <c r="G1024" s="27"/>
      <c r="H1024" s="27"/>
    </row>
    <row r="1025" spans="1:8" x14ac:dyDescent="0.2">
      <c r="A1025" s="27"/>
      <c r="B1025" s="30"/>
      <c r="G1025" s="27"/>
      <c r="H1025" s="27"/>
    </row>
    <row r="1026" spans="1:8" x14ac:dyDescent="0.2">
      <c r="A1026" s="27"/>
      <c r="B1026" s="30"/>
      <c r="G1026" s="27"/>
      <c r="H1026" s="27"/>
    </row>
    <row r="1027" spans="1:8" x14ac:dyDescent="0.2">
      <c r="A1027" s="27"/>
      <c r="B1027" s="30"/>
      <c r="G1027" s="27"/>
      <c r="H1027" s="27"/>
    </row>
    <row r="1028" spans="1:8" x14ac:dyDescent="0.2">
      <c r="A1028" s="27"/>
      <c r="B1028" s="30"/>
      <c r="G1028" s="27"/>
      <c r="H1028" s="27"/>
    </row>
    <row r="1029" spans="1:8" x14ac:dyDescent="0.2">
      <c r="A1029" s="27"/>
      <c r="B1029" s="30"/>
      <c r="G1029" s="27"/>
      <c r="H1029" s="27"/>
    </row>
    <row r="1030" spans="1:8" x14ac:dyDescent="0.2">
      <c r="A1030" s="27"/>
      <c r="B1030" s="30"/>
      <c r="C1030" s="28"/>
      <c r="D1030" s="28"/>
      <c r="E1030" s="28"/>
      <c r="F1030" s="28"/>
      <c r="G1030" s="27"/>
      <c r="H1030" s="27"/>
    </row>
    <row r="1031" spans="1:8" x14ac:dyDescent="0.2">
      <c r="A1031" s="27"/>
      <c r="B1031" s="30"/>
      <c r="C1031" s="28"/>
      <c r="D1031" s="28"/>
      <c r="E1031" s="28"/>
      <c r="F1031" s="28"/>
      <c r="G1031" s="27"/>
      <c r="H1031" s="27"/>
    </row>
    <row r="1032" spans="1:8" x14ac:dyDescent="0.2">
      <c r="A1032" s="27"/>
      <c r="B1032" s="30"/>
      <c r="G1032" s="27"/>
      <c r="H1032" s="27"/>
    </row>
    <row r="1033" spans="1:8" x14ac:dyDescent="0.2">
      <c r="A1033" s="27"/>
      <c r="B1033" s="30"/>
      <c r="G1033" s="27"/>
      <c r="H1033" s="27"/>
    </row>
    <row r="1034" spans="1:8" x14ac:dyDescent="0.2">
      <c r="A1034" s="27"/>
      <c r="B1034" s="30"/>
      <c r="G1034" s="27"/>
      <c r="H1034" s="27"/>
    </row>
    <row r="1035" spans="1:8" x14ac:dyDescent="0.2">
      <c r="A1035" s="27"/>
      <c r="B1035" s="30"/>
      <c r="C1035" s="28"/>
      <c r="D1035" s="28"/>
      <c r="E1035" s="28"/>
      <c r="F1035" s="28"/>
      <c r="G1035" s="27"/>
      <c r="H1035" s="27"/>
    </row>
    <row r="1036" spans="1:8" x14ac:dyDescent="0.2">
      <c r="A1036" s="27"/>
      <c r="B1036" s="30"/>
      <c r="G1036" s="27"/>
      <c r="H1036" s="27"/>
    </row>
    <row r="1037" spans="1:8" x14ac:dyDescent="0.2">
      <c r="A1037" s="27"/>
      <c r="B1037" s="30"/>
      <c r="G1037" s="27"/>
      <c r="H1037" s="27"/>
    </row>
    <row r="1038" spans="1:8" x14ac:dyDescent="0.2">
      <c r="A1038" s="27"/>
      <c r="B1038" s="30"/>
      <c r="G1038" s="27"/>
      <c r="H1038" s="27"/>
    </row>
    <row r="1039" spans="1:8" x14ac:dyDescent="0.2">
      <c r="A1039" s="27"/>
      <c r="B1039" s="30"/>
      <c r="C1039" s="28"/>
      <c r="D1039" s="28"/>
      <c r="E1039" s="28"/>
      <c r="F1039" s="28"/>
      <c r="G1039" s="27"/>
      <c r="H1039" s="27"/>
    </row>
    <row r="1040" spans="1:8" x14ac:dyDescent="0.2">
      <c r="A1040" s="27"/>
      <c r="B1040" s="30"/>
      <c r="C1040" s="28"/>
      <c r="D1040" s="28"/>
      <c r="E1040" s="28"/>
      <c r="F1040" s="28"/>
      <c r="G1040" s="27"/>
      <c r="H1040" s="27"/>
    </row>
    <row r="1041" spans="1:8" x14ac:dyDescent="0.2">
      <c r="A1041" s="27"/>
      <c r="B1041" s="30"/>
      <c r="G1041" s="27"/>
      <c r="H1041" s="27"/>
    </row>
    <row r="1042" spans="1:8" x14ac:dyDescent="0.2">
      <c r="A1042" s="27"/>
      <c r="B1042" s="30"/>
      <c r="C1042" s="28"/>
      <c r="D1042" s="28"/>
      <c r="E1042" s="28"/>
      <c r="F1042" s="28"/>
      <c r="G1042" s="27"/>
      <c r="H1042" s="27"/>
    </row>
    <row r="1043" spans="1:8" x14ac:dyDescent="0.2">
      <c r="A1043" s="27"/>
      <c r="B1043" s="30"/>
      <c r="G1043" s="27"/>
      <c r="H1043" s="27"/>
    </row>
    <row r="1044" spans="1:8" x14ac:dyDescent="0.2">
      <c r="A1044" s="27"/>
      <c r="B1044" s="30"/>
      <c r="G1044" s="27"/>
      <c r="H1044" s="27"/>
    </row>
    <row r="1045" spans="1:8" x14ac:dyDescent="0.2">
      <c r="A1045" s="27"/>
      <c r="B1045" s="30"/>
      <c r="C1045" s="28"/>
      <c r="D1045" s="28"/>
      <c r="E1045" s="28"/>
      <c r="F1045" s="28"/>
      <c r="G1045" s="27"/>
      <c r="H1045" s="27"/>
    </row>
    <row r="1046" spans="1:8" x14ac:dyDescent="0.2">
      <c r="A1046" s="27"/>
      <c r="B1046" s="30"/>
      <c r="G1046" s="27"/>
      <c r="H1046" s="27"/>
    </row>
    <row r="1047" spans="1:8" x14ac:dyDescent="0.2">
      <c r="A1047" s="27"/>
      <c r="B1047" s="30"/>
      <c r="G1047" s="27"/>
      <c r="H1047" s="27"/>
    </row>
    <row r="1048" spans="1:8" x14ac:dyDescent="0.2">
      <c r="A1048" s="27"/>
      <c r="B1048" s="30"/>
      <c r="G1048" s="27"/>
      <c r="H1048" s="27"/>
    </row>
    <row r="1049" spans="1:8" x14ac:dyDescent="0.2">
      <c r="A1049" s="27"/>
      <c r="B1049" s="30"/>
      <c r="G1049" s="27"/>
      <c r="H1049" s="27"/>
    </row>
    <row r="1050" spans="1:8" x14ac:dyDescent="0.2">
      <c r="A1050" s="27"/>
      <c r="B1050" s="30"/>
      <c r="C1050" s="28"/>
      <c r="D1050" s="28"/>
      <c r="E1050" s="28"/>
      <c r="F1050" s="28"/>
      <c r="G1050" s="27"/>
      <c r="H1050" s="27"/>
    </row>
    <row r="1051" spans="1:8" x14ac:dyDescent="0.2">
      <c r="A1051" s="27"/>
      <c r="B1051" s="30"/>
      <c r="C1051" s="28"/>
      <c r="D1051" s="28"/>
      <c r="E1051" s="28"/>
      <c r="F1051" s="28"/>
      <c r="G1051" s="27"/>
      <c r="H1051" s="27"/>
    </row>
    <row r="1052" spans="1:8" x14ac:dyDescent="0.2">
      <c r="A1052" s="27"/>
      <c r="B1052" s="30"/>
      <c r="G1052" s="27"/>
      <c r="H1052" s="27"/>
    </row>
    <row r="1053" spans="1:8" x14ac:dyDescent="0.2">
      <c r="A1053" s="27"/>
      <c r="B1053" s="30"/>
      <c r="C1053" s="28"/>
      <c r="D1053" s="28"/>
      <c r="E1053" s="28"/>
      <c r="F1053" s="28"/>
      <c r="G1053" s="27"/>
      <c r="H1053" s="27"/>
    </row>
    <row r="1054" spans="1:8" x14ac:dyDescent="0.2">
      <c r="A1054" s="27"/>
      <c r="B1054" s="30"/>
      <c r="G1054" s="27"/>
      <c r="H1054" s="27"/>
    </row>
    <row r="1055" spans="1:8" x14ac:dyDescent="0.2">
      <c r="A1055" s="27"/>
      <c r="B1055" s="30"/>
      <c r="G1055" s="27"/>
      <c r="H1055" s="27"/>
    </row>
    <row r="1056" spans="1:8" x14ac:dyDescent="0.2">
      <c r="A1056" s="27"/>
      <c r="B1056" s="30"/>
      <c r="G1056" s="27"/>
      <c r="H1056" s="27"/>
    </row>
    <row r="1057" spans="1:8" x14ac:dyDescent="0.2">
      <c r="A1057" s="27"/>
      <c r="B1057" s="30"/>
      <c r="G1057" s="27"/>
      <c r="H1057" s="27"/>
    </row>
    <row r="1058" spans="1:8" x14ac:dyDescent="0.2">
      <c r="A1058" s="27"/>
      <c r="B1058" s="30"/>
      <c r="G1058" s="27"/>
      <c r="H1058" s="27"/>
    </row>
    <row r="1059" spans="1:8" x14ac:dyDescent="0.2">
      <c r="A1059" s="27"/>
      <c r="B1059" s="30"/>
      <c r="G1059" s="27"/>
      <c r="H1059" s="27"/>
    </row>
    <row r="1060" spans="1:8" x14ac:dyDescent="0.2">
      <c r="A1060" s="27"/>
      <c r="B1060" s="30"/>
      <c r="G1060" s="27"/>
      <c r="H1060" s="27"/>
    </row>
    <row r="1061" spans="1:8" x14ac:dyDescent="0.2">
      <c r="A1061" s="27"/>
      <c r="B1061" s="30"/>
      <c r="G1061" s="27"/>
      <c r="H1061" s="27"/>
    </row>
    <row r="1062" spans="1:8" x14ac:dyDescent="0.2">
      <c r="A1062" s="27"/>
      <c r="B1062" s="30"/>
      <c r="G1062" s="27"/>
      <c r="H1062" s="27"/>
    </row>
    <row r="1063" spans="1:8" x14ac:dyDescent="0.2">
      <c r="A1063" s="27"/>
      <c r="B1063" s="30"/>
      <c r="C1063" s="28"/>
      <c r="D1063" s="28"/>
      <c r="E1063" s="28"/>
      <c r="F1063" s="28"/>
      <c r="G1063" s="27"/>
      <c r="H1063" s="27"/>
    </row>
    <row r="1064" spans="1:8" x14ac:dyDescent="0.2">
      <c r="A1064" s="27"/>
      <c r="B1064" s="30"/>
      <c r="C1064" s="28"/>
      <c r="D1064" s="28"/>
      <c r="E1064" s="28"/>
      <c r="F1064" s="28"/>
      <c r="G1064" s="27"/>
      <c r="H1064" s="27"/>
    </row>
    <row r="1065" spans="1:8" x14ac:dyDescent="0.2">
      <c r="A1065" s="27"/>
      <c r="B1065" s="30"/>
      <c r="G1065" s="27"/>
      <c r="H1065" s="27"/>
    </row>
    <row r="1066" spans="1:8" x14ac:dyDescent="0.2">
      <c r="A1066" s="27"/>
      <c r="B1066" s="30"/>
      <c r="G1066" s="27"/>
      <c r="H1066" s="27"/>
    </row>
    <row r="1067" spans="1:8" x14ac:dyDescent="0.2">
      <c r="A1067" s="27"/>
      <c r="B1067" s="30"/>
      <c r="G1067" s="27"/>
      <c r="H1067" s="27"/>
    </row>
    <row r="1068" spans="1:8" x14ac:dyDescent="0.2">
      <c r="A1068" s="27"/>
      <c r="B1068" s="30"/>
      <c r="G1068" s="27"/>
      <c r="H1068" s="27"/>
    </row>
    <row r="1069" spans="1:8" x14ac:dyDescent="0.2">
      <c r="A1069" s="27"/>
      <c r="B1069" s="30"/>
      <c r="G1069" s="27"/>
      <c r="H1069" s="27"/>
    </row>
    <row r="1070" spans="1:8" x14ac:dyDescent="0.2">
      <c r="A1070" s="27"/>
      <c r="B1070" s="30"/>
      <c r="C1070" s="28"/>
      <c r="D1070" s="28"/>
      <c r="E1070" s="28"/>
      <c r="F1070" s="28"/>
      <c r="G1070" s="27"/>
      <c r="H1070" s="27"/>
    </row>
    <row r="1071" spans="1:8" x14ac:dyDescent="0.2">
      <c r="A1071" s="27"/>
      <c r="B1071" s="30"/>
      <c r="C1071" s="28"/>
      <c r="D1071" s="28"/>
      <c r="E1071" s="28"/>
      <c r="F1071" s="28"/>
      <c r="G1071" s="27"/>
      <c r="H1071" s="27"/>
    </row>
    <row r="1072" spans="1:8" x14ac:dyDescent="0.2">
      <c r="A1072" s="27"/>
      <c r="B1072" s="30"/>
      <c r="G1072" s="27"/>
      <c r="H1072" s="27"/>
    </row>
    <row r="1073" spans="1:8" x14ac:dyDescent="0.2">
      <c r="A1073" s="27"/>
      <c r="B1073" s="30"/>
      <c r="G1073" s="27"/>
      <c r="H1073" s="27"/>
    </row>
    <row r="1074" spans="1:8" x14ac:dyDescent="0.2">
      <c r="A1074" s="27"/>
      <c r="B1074" s="30"/>
      <c r="G1074" s="27"/>
      <c r="H1074" s="27"/>
    </row>
    <row r="1075" spans="1:8" x14ac:dyDescent="0.2">
      <c r="A1075" s="27"/>
      <c r="B1075" s="30"/>
      <c r="G1075" s="27"/>
      <c r="H1075" s="27"/>
    </row>
    <row r="1076" spans="1:8" x14ac:dyDescent="0.2">
      <c r="A1076" s="27"/>
      <c r="B1076" s="30"/>
      <c r="G1076" s="27"/>
      <c r="H1076" s="27"/>
    </row>
    <row r="1077" spans="1:8" x14ac:dyDescent="0.2">
      <c r="A1077" s="27"/>
      <c r="B1077" s="30"/>
      <c r="G1077" s="27"/>
      <c r="H1077" s="27"/>
    </row>
    <row r="1078" spans="1:8" x14ac:dyDescent="0.2">
      <c r="A1078" s="27"/>
      <c r="B1078" s="30"/>
      <c r="G1078" s="27"/>
      <c r="H1078" s="27"/>
    </row>
    <row r="1079" spans="1:8" x14ac:dyDescent="0.2">
      <c r="A1079" s="27"/>
      <c r="B1079" s="30"/>
      <c r="G1079" s="27"/>
      <c r="H1079" s="27"/>
    </row>
    <row r="1080" spans="1:8" x14ac:dyDescent="0.2">
      <c r="A1080" s="27"/>
      <c r="B1080" s="30"/>
      <c r="G1080" s="27"/>
      <c r="H1080" s="27"/>
    </row>
    <row r="1081" spans="1:8" x14ac:dyDescent="0.2">
      <c r="A1081" s="27"/>
      <c r="B1081" s="30"/>
      <c r="G1081" s="27"/>
      <c r="H1081" s="27"/>
    </row>
    <row r="1082" spans="1:8" x14ac:dyDescent="0.2">
      <c r="A1082" s="27"/>
      <c r="B1082" s="30"/>
      <c r="G1082" s="27"/>
      <c r="H1082" s="27"/>
    </row>
    <row r="1083" spans="1:8" x14ac:dyDescent="0.2">
      <c r="A1083" s="27"/>
      <c r="B1083" s="30"/>
      <c r="G1083" s="27"/>
      <c r="H1083" s="27"/>
    </row>
    <row r="1084" spans="1:8" x14ac:dyDescent="0.2">
      <c r="A1084" s="27"/>
      <c r="B1084" s="30"/>
      <c r="G1084" s="27"/>
      <c r="H1084" s="27"/>
    </row>
    <row r="1085" spans="1:8" x14ac:dyDescent="0.2">
      <c r="A1085" s="27"/>
      <c r="B1085" s="30"/>
      <c r="G1085" s="27"/>
      <c r="H1085" s="27"/>
    </row>
    <row r="1086" spans="1:8" x14ac:dyDescent="0.2">
      <c r="A1086" s="27"/>
      <c r="B1086" s="30"/>
      <c r="G1086" s="27"/>
      <c r="H1086" s="27"/>
    </row>
    <row r="1087" spans="1:8" x14ac:dyDescent="0.2">
      <c r="A1087" s="27"/>
      <c r="B1087" s="30"/>
      <c r="C1087" s="28"/>
      <c r="D1087" s="28"/>
      <c r="E1087" s="28"/>
      <c r="F1087" s="28"/>
      <c r="G1087" s="27"/>
      <c r="H1087" s="27"/>
    </row>
    <row r="1088" spans="1:8" x14ac:dyDescent="0.2">
      <c r="A1088" s="27"/>
      <c r="B1088" s="30"/>
      <c r="C1088" s="28"/>
      <c r="D1088" s="28"/>
      <c r="E1088" s="28"/>
      <c r="F1088" s="28"/>
      <c r="G1088" s="27"/>
      <c r="H1088" s="27"/>
    </row>
    <row r="1089" spans="1:8" x14ac:dyDescent="0.2">
      <c r="A1089" s="27"/>
      <c r="B1089" s="30"/>
      <c r="G1089" s="27"/>
      <c r="H1089" s="27"/>
    </row>
    <row r="1090" spans="1:8" x14ac:dyDescent="0.2">
      <c r="A1090" s="27"/>
      <c r="B1090" s="30"/>
      <c r="C1090" s="28"/>
      <c r="D1090" s="28"/>
      <c r="E1090" s="28"/>
      <c r="F1090" s="28"/>
      <c r="G1090" s="27"/>
      <c r="H1090" s="27"/>
    </row>
    <row r="1091" spans="1:8" x14ac:dyDescent="0.2">
      <c r="A1091" s="27"/>
      <c r="B1091" s="30"/>
      <c r="G1091" s="27"/>
      <c r="H1091" s="27"/>
    </row>
    <row r="1092" spans="1:8" x14ac:dyDescent="0.2">
      <c r="A1092" s="27"/>
      <c r="B1092" s="30"/>
      <c r="G1092" s="27"/>
      <c r="H1092" s="27"/>
    </row>
    <row r="1093" spans="1:8" x14ac:dyDescent="0.2">
      <c r="A1093" s="27"/>
      <c r="B1093" s="30"/>
      <c r="C1093" s="28"/>
      <c r="D1093" s="28"/>
      <c r="E1093" s="28"/>
      <c r="F1093" s="28"/>
      <c r="G1093" s="27"/>
      <c r="H1093" s="27"/>
    </row>
    <row r="1094" spans="1:8" x14ac:dyDescent="0.2">
      <c r="A1094" s="27"/>
      <c r="B1094" s="30"/>
      <c r="C1094" s="28"/>
      <c r="D1094" s="28"/>
      <c r="E1094" s="28"/>
      <c r="F1094" s="28"/>
      <c r="G1094" s="27"/>
      <c r="H1094" s="27"/>
    </row>
    <row r="1095" spans="1:8" x14ac:dyDescent="0.2">
      <c r="A1095" s="27"/>
      <c r="B1095" s="30"/>
      <c r="G1095" s="27"/>
      <c r="H1095" s="27"/>
    </row>
    <row r="1096" spans="1:8" x14ac:dyDescent="0.2">
      <c r="A1096" s="27"/>
      <c r="B1096" s="30"/>
      <c r="G1096" s="27"/>
      <c r="H1096" s="27"/>
    </row>
    <row r="1097" spans="1:8" x14ac:dyDescent="0.2">
      <c r="A1097" s="27"/>
      <c r="B1097" s="30"/>
      <c r="G1097" s="27"/>
      <c r="H1097" s="27"/>
    </row>
    <row r="1098" spans="1:8" x14ac:dyDescent="0.2">
      <c r="A1098" s="27"/>
      <c r="B1098" s="30"/>
      <c r="G1098" s="27"/>
      <c r="H1098" s="27"/>
    </row>
    <row r="1099" spans="1:8" x14ac:dyDescent="0.2">
      <c r="A1099" s="27"/>
      <c r="B1099" s="30"/>
      <c r="C1099" s="28"/>
      <c r="D1099" s="28"/>
      <c r="E1099" s="28"/>
      <c r="F1099" s="28"/>
      <c r="G1099" s="27"/>
      <c r="H1099" s="27"/>
    </row>
    <row r="1100" spans="1:8" x14ac:dyDescent="0.2">
      <c r="A1100" s="27"/>
      <c r="B1100" s="30"/>
      <c r="G1100" s="27"/>
      <c r="H1100" s="27"/>
    </row>
    <row r="1101" spans="1:8" x14ac:dyDescent="0.2">
      <c r="A1101" s="27"/>
      <c r="B1101" s="30"/>
      <c r="C1101" s="28"/>
      <c r="D1101" s="28"/>
      <c r="E1101" s="28"/>
      <c r="F1101" s="28"/>
      <c r="G1101" s="27"/>
      <c r="H1101" s="27"/>
    </row>
    <row r="1102" spans="1:8" x14ac:dyDescent="0.2">
      <c r="A1102" s="27"/>
      <c r="B1102" s="30"/>
      <c r="G1102" s="27"/>
      <c r="H1102" s="27"/>
    </row>
    <row r="1103" spans="1:8" x14ac:dyDescent="0.2">
      <c r="A1103" s="27"/>
      <c r="B1103" s="30"/>
      <c r="G1103" s="27"/>
      <c r="H1103" s="27"/>
    </row>
    <row r="1104" spans="1:8" x14ac:dyDescent="0.2">
      <c r="A1104" s="27"/>
      <c r="B1104" s="30"/>
      <c r="C1104" s="28"/>
      <c r="D1104" s="28"/>
      <c r="E1104" s="28"/>
      <c r="F1104" s="28"/>
      <c r="G1104" s="27"/>
      <c r="H1104" s="27"/>
    </row>
    <row r="1105" spans="1:8" x14ac:dyDescent="0.2">
      <c r="A1105" s="27"/>
      <c r="B1105" s="30"/>
      <c r="C1105" s="28"/>
      <c r="D1105" s="28"/>
      <c r="E1105" s="28"/>
      <c r="F1105" s="28"/>
      <c r="G1105" s="27"/>
      <c r="H1105" s="27"/>
    </row>
    <row r="1106" spans="1:8" x14ac:dyDescent="0.2">
      <c r="A1106" s="27"/>
      <c r="B1106" s="30"/>
      <c r="G1106" s="27"/>
      <c r="H1106" s="27"/>
    </row>
    <row r="1107" spans="1:8" x14ac:dyDescent="0.2">
      <c r="A1107" s="27"/>
      <c r="B1107" s="30"/>
      <c r="G1107" s="27"/>
      <c r="H1107" s="27"/>
    </row>
    <row r="1108" spans="1:8" x14ac:dyDescent="0.2">
      <c r="A1108" s="27"/>
      <c r="B1108" s="30"/>
      <c r="G1108" s="27"/>
      <c r="H1108" s="27"/>
    </row>
    <row r="1109" spans="1:8" x14ac:dyDescent="0.2">
      <c r="A1109" s="27"/>
      <c r="B1109" s="30"/>
      <c r="G1109" s="27"/>
      <c r="H1109" s="27"/>
    </row>
    <row r="1110" spans="1:8" x14ac:dyDescent="0.2">
      <c r="A1110" s="27"/>
      <c r="B1110" s="30"/>
      <c r="G1110" s="27"/>
      <c r="H1110" s="27"/>
    </row>
    <row r="1111" spans="1:8" x14ac:dyDescent="0.2">
      <c r="A1111" s="27"/>
      <c r="B1111" s="30"/>
      <c r="C1111" s="28"/>
      <c r="D1111" s="28"/>
      <c r="E1111" s="28"/>
      <c r="F1111" s="28"/>
      <c r="G1111" s="27"/>
      <c r="H1111" s="27"/>
    </row>
    <row r="1112" spans="1:8" x14ac:dyDescent="0.2">
      <c r="A1112" s="27"/>
      <c r="B1112" s="30"/>
      <c r="C1112" s="28"/>
      <c r="D1112" s="28"/>
      <c r="E1112" s="28"/>
      <c r="F1112" s="28"/>
      <c r="G1112" s="27"/>
      <c r="H1112" s="27"/>
    </row>
    <row r="1113" spans="1:8" x14ac:dyDescent="0.2">
      <c r="A1113" s="27"/>
      <c r="B1113" s="30"/>
      <c r="G1113" s="27"/>
      <c r="H1113" s="27"/>
    </row>
    <row r="1114" spans="1:8" x14ac:dyDescent="0.2">
      <c r="A1114" s="27"/>
      <c r="B1114" s="30"/>
      <c r="C1114" s="28"/>
      <c r="D1114" s="28"/>
      <c r="E1114" s="28"/>
      <c r="F1114" s="28"/>
      <c r="G1114" s="27"/>
      <c r="H1114" s="27"/>
    </row>
    <row r="1115" spans="1:8" x14ac:dyDescent="0.2">
      <c r="A1115" s="27"/>
      <c r="B1115" s="30"/>
      <c r="C1115" s="28"/>
      <c r="D1115" s="28"/>
      <c r="E1115" s="28"/>
      <c r="F1115" s="28"/>
      <c r="G1115" s="27"/>
      <c r="H1115" s="27"/>
    </row>
    <row r="1116" spans="1:8" x14ac:dyDescent="0.2">
      <c r="A1116" s="27"/>
      <c r="B1116" s="30"/>
      <c r="G1116" s="27"/>
      <c r="H1116" s="27"/>
    </row>
    <row r="1117" spans="1:8" x14ac:dyDescent="0.2">
      <c r="A1117" s="27"/>
      <c r="B1117" s="30"/>
      <c r="G1117" s="27"/>
      <c r="H1117" s="27"/>
    </row>
    <row r="1118" spans="1:8" x14ac:dyDescent="0.2">
      <c r="A1118" s="27"/>
      <c r="B1118" s="30"/>
      <c r="G1118" s="27"/>
      <c r="H1118" s="27"/>
    </row>
    <row r="1119" spans="1:8" x14ac:dyDescent="0.2">
      <c r="A1119" s="27"/>
      <c r="B1119" s="30"/>
      <c r="C1119" s="28"/>
      <c r="D1119" s="28"/>
      <c r="E1119" s="28"/>
      <c r="F1119" s="28"/>
      <c r="G1119" s="27"/>
      <c r="H1119" s="27"/>
    </row>
    <row r="1120" spans="1:8" x14ac:dyDescent="0.2">
      <c r="A1120" s="27"/>
      <c r="B1120" s="30"/>
      <c r="C1120" s="28"/>
      <c r="D1120" s="28"/>
      <c r="E1120" s="28"/>
      <c r="F1120" s="28"/>
      <c r="G1120" s="27"/>
      <c r="H1120" s="27"/>
    </row>
    <row r="1121" spans="1:8" x14ac:dyDescent="0.2">
      <c r="A1121" s="27"/>
      <c r="B1121" s="30"/>
      <c r="G1121" s="27"/>
      <c r="H1121" s="27"/>
    </row>
    <row r="1122" spans="1:8" x14ac:dyDescent="0.2">
      <c r="A1122" s="27"/>
      <c r="B1122" s="30"/>
      <c r="G1122" s="27"/>
      <c r="H1122" s="27"/>
    </row>
    <row r="1123" spans="1:8" x14ac:dyDescent="0.2">
      <c r="A1123" s="27"/>
      <c r="B1123" s="30"/>
      <c r="C1123" s="28"/>
      <c r="D1123" s="28"/>
      <c r="E1123" s="28"/>
      <c r="F1123" s="28"/>
      <c r="G1123" s="27"/>
      <c r="H1123" s="27"/>
    </row>
    <row r="1124" spans="1:8" x14ac:dyDescent="0.2">
      <c r="A1124" s="27"/>
      <c r="B1124" s="30"/>
      <c r="C1124" s="28"/>
      <c r="D1124" s="28"/>
      <c r="E1124" s="28"/>
      <c r="F1124" s="28"/>
      <c r="G1124" s="27"/>
      <c r="H1124" s="27"/>
    </row>
    <row r="1125" spans="1:8" x14ac:dyDescent="0.2">
      <c r="A1125" s="27"/>
      <c r="B1125" s="30"/>
      <c r="C1125" s="28"/>
      <c r="D1125" s="28"/>
      <c r="E1125" s="28"/>
      <c r="F1125" s="28"/>
      <c r="G1125" s="27"/>
      <c r="H1125" s="27"/>
    </row>
    <row r="1126" spans="1:8" x14ac:dyDescent="0.2">
      <c r="A1126" s="27"/>
      <c r="B1126" s="30"/>
      <c r="G1126" s="27"/>
      <c r="H1126" s="27"/>
    </row>
    <row r="1127" spans="1:8" x14ac:dyDescent="0.2">
      <c r="A1127" s="27"/>
      <c r="B1127" s="30"/>
      <c r="C1127" s="28"/>
      <c r="D1127" s="28"/>
      <c r="E1127" s="28"/>
      <c r="F1127" s="28"/>
      <c r="G1127" s="27"/>
      <c r="H1127" s="27"/>
    </row>
    <row r="1128" spans="1:8" x14ac:dyDescent="0.2">
      <c r="A1128" s="27"/>
      <c r="B1128" s="30"/>
      <c r="C1128" s="28"/>
      <c r="D1128" s="28"/>
      <c r="E1128" s="28"/>
      <c r="F1128" s="28"/>
      <c r="G1128" s="27"/>
      <c r="H1128" s="27"/>
    </row>
    <row r="1129" spans="1:8" x14ac:dyDescent="0.2">
      <c r="A1129" s="27"/>
      <c r="B1129" s="30"/>
      <c r="G1129" s="27"/>
      <c r="H1129" s="27"/>
    </row>
    <row r="1130" spans="1:8" x14ac:dyDescent="0.2">
      <c r="A1130" s="27"/>
      <c r="B1130" s="30"/>
      <c r="G1130" s="27"/>
      <c r="H1130" s="27"/>
    </row>
    <row r="1131" spans="1:8" x14ac:dyDescent="0.2">
      <c r="A1131" s="27"/>
      <c r="B1131" s="30"/>
      <c r="C1131" s="28"/>
      <c r="D1131" s="28"/>
      <c r="E1131" s="28"/>
      <c r="F1131" s="28"/>
      <c r="G1131" s="27"/>
      <c r="H1131" s="27"/>
    </row>
    <row r="1132" spans="1:8" x14ac:dyDescent="0.2">
      <c r="A1132" s="27"/>
      <c r="B1132" s="30"/>
      <c r="G1132" s="27"/>
      <c r="H1132" s="27"/>
    </row>
    <row r="1133" spans="1:8" x14ac:dyDescent="0.2">
      <c r="A1133" s="27"/>
      <c r="B1133" s="30"/>
      <c r="G1133" s="27"/>
      <c r="H1133" s="27"/>
    </row>
    <row r="1134" spans="1:8" x14ac:dyDescent="0.2">
      <c r="A1134" s="27"/>
      <c r="B1134" s="30"/>
      <c r="G1134" s="27"/>
      <c r="H1134" s="27"/>
    </row>
    <row r="1135" spans="1:8" x14ac:dyDescent="0.2">
      <c r="A1135" s="27"/>
      <c r="B1135" s="30"/>
      <c r="C1135" s="28"/>
      <c r="D1135" s="28"/>
      <c r="E1135" s="28"/>
      <c r="F1135" s="28"/>
      <c r="G1135" s="27"/>
      <c r="H1135" s="27"/>
    </row>
    <row r="1136" spans="1:8" x14ac:dyDescent="0.2">
      <c r="A1136" s="27"/>
      <c r="B1136" s="30"/>
      <c r="G1136" s="27"/>
      <c r="H1136" s="27"/>
    </row>
    <row r="1137" spans="1:8" x14ac:dyDescent="0.2">
      <c r="A1137" s="27"/>
      <c r="B1137" s="30"/>
      <c r="G1137" s="27"/>
      <c r="H1137" s="27"/>
    </row>
    <row r="1138" spans="1:8" x14ac:dyDescent="0.2">
      <c r="A1138" s="27"/>
      <c r="B1138" s="30"/>
      <c r="G1138" s="27"/>
      <c r="H1138" s="27"/>
    </row>
    <row r="1139" spans="1:8" x14ac:dyDescent="0.2">
      <c r="A1139" s="27"/>
      <c r="B1139" s="30"/>
      <c r="C1139" s="28"/>
      <c r="D1139" s="28"/>
      <c r="E1139" s="28"/>
      <c r="F1139" s="28"/>
      <c r="G1139" s="27"/>
      <c r="H1139" s="27"/>
    </row>
    <row r="1140" spans="1:8" x14ac:dyDescent="0.2">
      <c r="A1140" s="27"/>
      <c r="B1140" s="30"/>
      <c r="C1140" s="28"/>
      <c r="D1140" s="28"/>
      <c r="E1140" s="28"/>
      <c r="F1140" s="28"/>
      <c r="G1140" s="27"/>
      <c r="H1140" s="27"/>
    </row>
    <row r="1141" spans="1:8" x14ac:dyDescent="0.2">
      <c r="A1141" s="27"/>
      <c r="B1141" s="30"/>
      <c r="C1141" s="28"/>
      <c r="D1141" s="28"/>
      <c r="E1141" s="28"/>
      <c r="F1141" s="28"/>
      <c r="G1141" s="27"/>
      <c r="H1141" s="27"/>
    </row>
    <row r="1142" spans="1:8" x14ac:dyDescent="0.2">
      <c r="A1142" s="27"/>
      <c r="B1142" s="30"/>
      <c r="C1142" s="28"/>
      <c r="D1142" s="28"/>
      <c r="E1142" s="28"/>
      <c r="F1142" s="28"/>
      <c r="G1142" s="27"/>
      <c r="H1142" s="27"/>
    </row>
    <row r="1143" spans="1:8" x14ac:dyDescent="0.2">
      <c r="A1143" s="27"/>
      <c r="B1143" s="30"/>
      <c r="G1143" s="27"/>
      <c r="H1143" s="27"/>
    </row>
    <row r="1144" spans="1:8" x14ac:dyDescent="0.2">
      <c r="A1144" s="27"/>
      <c r="B1144" s="30"/>
      <c r="G1144" s="27"/>
      <c r="H1144" s="27"/>
    </row>
    <row r="1145" spans="1:8" x14ac:dyDescent="0.2">
      <c r="A1145" s="27"/>
      <c r="B1145" s="30"/>
      <c r="G1145" s="27"/>
      <c r="H1145" s="27"/>
    </row>
    <row r="1146" spans="1:8" x14ac:dyDescent="0.2">
      <c r="A1146" s="27"/>
      <c r="B1146" s="30"/>
      <c r="G1146" s="27"/>
      <c r="H1146" s="27"/>
    </row>
    <row r="1147" spans="1:8" x14ac:dyDescent="0.2">
      <c r="A1147" s="27"/>
      <c r="B1147" s="30"/>
      <c r="G1147" s="27"/>
      <c r="H1147" s="27"/>
    </row>
    <row r="1148" spans="1:8" x14ac:dyDescent="0.2">
      <c r="A1148" s="27"/>
      <c r="B1148" s="30"/>
      <c r="G1148" s="27"/>
      <c r="H1148" s="27"/>
    </row>
    <row r="1149" spans="1:8" x14ac:dyDescent="0.2">
      <c r="A1149" s="27"/>
      <c r="B1149" s="30"/>
      <c r="G1149" s="27"/>
      <c r="H1149" s="27"/>
    </row>
    <row r="1150" spans="1:8" x14ac:dyDescent="0.2">
      <c r="A1150" s="27"/>
      <c r="B1150" s="30"/>
      <c r="G1150" s="27"/>
      <c r="H1150" s="27"/>
    </row>
    <row r="1151" spans="1:8" x14ac:dyDescent="0.2">
      <c r="A1151" s="27"/>
      <c r="B1151" s="30"/>
      <c r="C1151" s="28"/>
      <c r="D1151" s="28"/>
      <c r="E1151" s="28"/>
      <c r="F1151" s="28"/>
      <c r="G1151" s="27"/>
      <c r="H1151" s="27"/>
    </row>
    <row r="1152" spans="1:8" x14ac:dyDescent="0.2">
      <c r="A1152" s="27"/>
      <c r="B1152" s="30"/>
      <c r="G1152" s="27"/>
      <c r="H1152" s="27"/>
    </row>
    <row r="1153" spans="1:8" x14ac:dyDescent="0.2">
      <c r="A1153" s="27"/>
      <c r="B1153" s="30"/>
      <c r="G1153" s="27"/>
      <c r="H1153" s="27"/>
    </row>
    <row r="1154" spans="1:8" x14ac:dyDescent="0.2">
      <c r="A1154" s="27"/>
      <c r="B1154" s="30"/>
      <c r="C1154" s="28"/>
      <c r="D1154" s="28"/>
      <c r="E1154" s="28"/>
      <c r="F1154" s="28"/>
      <c r="G1154" s="27"/>
      <c r="H1154" s="27"/>
    </row>
    <row r="1155" spans="1:8" x14ac:dyDescent="0.2">
      <c r="A1155" s="27"/>
      <c r="B1155" s="30"/>
      <c r="C1155" s="28"/>
      <c r="D1155" s="28"/>
      <c r="E1155" s="28"/>
      <c r="F1155" s="28"/>
      <c r="G1155" s="27"/>
      <c r="H1155" s="27"/>
    </row>
    <row r="1156" spans="1:8" x14ac:dyDescent="0.2">
      <c r="A1156" s="27"/>
      <c r="B1156" s="30"/>
      <c r="C1156" s="28"/>
      <c r="D1156" s="28"/>
      <c r="E1156" s="28"/>
      <c r="F1156" s="28"/>
      <c r="G1156" s="27"/>
      <c r="H1156" s="27"/>
    </row>
    <row r="1157" spans="1:8" x14ac:dyDescent="0.2">
      <c r="A1157" s="27"/>
      <c r="B1157" s="30"/>
      <c r="G1157" s="27"/>
      <c r="H1157" s="27"/>
    </row>
    <row r="1158" spans="1:8" x14ac:dyDescent="0.2">
      <c r="A1158" s="27"/>
      <c r="B1158" s="30"/>
      <c r="G1158" s="27"/>
      <c r="H1158" s="27"/>
    </row>
    <row r="1159" spans="1:8" x14ac:dyDescent="0.2">
      <c r="A1159" s="27"/>
      <c r="B1159" s="30"/>
      <c r="C1159" s="28"/>
      <c r="D1159" s="28"/>
      <c r="E1159" s="28"/>
      <c r="F1159" s="28"/>
      <c r="G1159" s="27"/>
      <c r="H1159" s="27"/>
    </row>
    <row r="1160" spans="1:8" x14ac:dyDescent="0.2">
      <c r="A1160" s="27"/>
      <c r="B1160" s="30"/>
      <c r="G1160" s="27"/>
      <c r="H1160" s="27"/>
    </row>
    <row r="1161" spans="1:8" x14ac:dyDescent="0.2">
      <c r="A1161" s="27"/>
      <c r="B1161" s="30"/>
      <c r="C1161" s="28"/>
      <c r="D1161" s="28"/>
      <c r="E1161" s="28"/>
      <c r="F1161" s="28"/>
      <c r="G1161" s="27"/>
      <c r="H1161" s="27"/>
    </row>
    <row r="1162" spans="1:8" x14ac:dyDescent="0.2">
      <c r="A1162" s="27"/>
      <c r="B1162" s="30"/>
      <c r="G1162" s="27"/>
      <c r="H1162" s="27"/>
    </row>
    <row r="1163" spans="1:8" x14ac:dyDescent="0.2">
      <c r="A1163" s="27"/>
      <c r="B1163" s="30"/>
      <c r="G1163" s="27"/>
      <c r="H1163" s="27"/>
    </row>
    <row r="1164" spans="1:8" x14ac:dyDescent="0.2">
      <c r="A1164" s="27"/>
      <c r="B1164" s="30"/>
      <c r="C1164" s="28"/>
      <c r="D1164" s="28"/>
      <c r="E1164" s="28"/>
      <c r="F1164" s="28"/>
      <c r="G1164" s="27"/>
      <c r="H1164" s="27"/>
    </row>
    <row r="1165" spans="1:8" x14ac:dyDescent="0.2">
      <c r="A1165" s="27"/>
      <c r="B1165" s="30"/>
      <c r="G1165" s="27"/>
      <c r="H1165" s="27"/>
    </row>
    <row r="1166" spans="1:8" x14ac:dyDescent="0.2">
      <c r="A1166" s="27"/>
      <c r="B1166" s="30"/>
      <c r="G1166" s="27"/>
      <c r="H1166" s="27"/>
    </row>
    <row r="1167" spans="1:8" x14ac:dyDescent="0.2">
      <c r="A1167" s="27"/>
      <c r="B1167" s="30"/>
      <c r="G1167" s="27"/>
      <c r="H1167" s="27"/>
    </row>
    <row r="1168" spans="1:8" x14ac:dyDescent="0.2">
      <c r="A1168" s="27"/>
      <c r="B1168" s="30"/>
      <c r="G1168" s="27"/>
      <c r="H1168" s="27"/>
    </row>
    <row r="1169" spans="1:8" x14ac:dyDescent="0.2">
      <c r="A1169" s="27"/>
      <c r="B1169" s="30"/>
      <c r="C1169" s="28"/>
      <c r="D1169" s="28"/>
      <c r="E1169" s="28"/>
      <c r="F1169" s="28"/>
      <c r="G1169" s="27"/>
      <c r="H1169" s="27"/>
    </row>
    <row r="1170" spans="1:8" x14ac:dyDescent="0.2">
      <c r="A1170" s="27"/>
      <c r="B1170" s="30"/>
      <c r="G1170" s="27"/>
      <c r="H1170" s="27"/>
    </row>
    <row r="1171" spans="1:8" x14ac:dyDescent="0.2">
      <c r="A1171" s="27"/>
      <c r="B1171" s="30"/>
      <c r="G1171" s="27"/>
      <c r="H1171" s="27"/>
    </row>
    <row r="1172" spans="1:8" x14ac:dyDescent="0.2">
      <c r="A1172" s="27"/>
      <c r="B1172" s="30"/>
      <c r="G1172" s="27"/>
      <c r="H1172" s="27"/>
    </row>
    <row r="1173" spans="1:8" x14ac:dyDescent="0.2">
      <c r="A1173" s="27"/>
      <c r="B1173" s="30"/>
      <c r="C1173" s="28"/>
      <c r="D1173" s="28"/>
      <c r="E1173" s="28"/>
      <c r="F1173" s="28"/>
      <c r="G1173" s="27"/>
      <c r="H1173" s="27"/>
    </row>
    <row r="1174" spans="1:8" x14ac:dyDescent="0.2">
      <c r="A1174" s="27"/>
      <c r="B1174" s="30"/>
      <c r="G1174" s="27"/>
      <c r="H1174" s="27"/>
    </row>
    <row r="1175" spans="1:8" x14ac:dyDescent="0.2">
      <c r="A1175" s="27"/>
      <c r="B1175" s="30"/>
      <c r="G1175" s="27"/>
      <c r="H1175" s="27"/>
    </row>
    <row r="1176" spans="1:8" x14ac:dyDescent="0.2">
      <c r="A1176" s="27"/>
      <c r="B1176" s="30"/>
      <c r="G1176" s="27"/>
      <c r="H1176" s="27"/>
    </row>
    <row r="1177" spans="1:8" x14ac:dyDescent="0.2">
      <c r="A1177" s="27"/>
      <c r="B1177" s="30"/>
      <c r="G1177" s="27"/>
      <c r="H1177" s="27"/>
    </row>
    <row r="1178" spans="1:8" x14ac:dyDescent="0.2">
      <c r="A1178" s="27"/>
      <c r="B1178" s="30"/>
      <c r="G1178" s="27"/>
      <c r="H1178" s="27"/>
    </row>
    <row r="1179" spans="1:8" x14ac:dyDescent="0.2">
      <c r="A1179" s="27"/>
      <c r="B1179" s="30"/>
      <c r="G1179" s="27"/>
      <c r="H1179" s="27"/>
    </row>
    <row r="1180" spans="1:8" x14ac:dyDescent="0.2">
      <c r="A1180" s="27"/>
      <c r="B1180" s="30"/>
      <c r="G1180" s="27"/>
      <c r="H1180" s="27"/>
    </row>
    <row r="1181" spans="1:8" x14ac:dyDescent="0.2">
      <c r="A1181" s="27"/>
      <c r="B1181" s="30"/>
      <c r="G1181" s="27"/>
      <c r="H1181" s="27"/>
    </row>
    <row r="1182" spans="1:8" x14ac:dyDescent="0.2">
      <c r="A1182" s="27"/>
      <c r="B1182" s="30"/>
      <c r="G1182" s="27"/>
      <c r="H1182" s="27"/>
    </row>
    <row r="1183" spans="1:8" x14ac:dyDescent="0.2">
      <c r="A1183" s="27"/>
      <c r="B1183" s="30"/>
      <c r="G1183" s="27"/>
      <c r="H1183" s="27"/>
    </row>
    <row r="1184" spans="1:8" x14ac:dyDescent="0.2">
      <c r="A1184" s="27"/>
      <c r="B1184" s="30"/>
      <c r="G1184" s="27"/>
      <c r="H1184" s="27"/>
    </row>
    <row r="1185" spans="1:8" x14ac:dyDescent="0.2">
      <c r="A1185" s="27"/>
      <c r="B1185" s="30"/>
      <c r="G1185" s="27"/>
      <c r="H1185" s="27"/>
    </row>
    <row r="1186" spans="1:8" x14ac:dyDescent="0.2">
      <c r="A1186" s="27"/>
      <c r="B1186" s="30"/>
      <c r="G1186" s="27"/>
      <c r="H1186" s="27"/>
    </row>
    <row r="1187" spans="1:8" x14ac:dyDescent="0.2">
      <c r="A1187" s="27"/>
      <c r="B1187" s="30"/>
      <c r="G1187" s="27"/>
      <c r="H1187" s="27"/>
    </row>
    <row r="1188" spans="1:8" x14ac:dyDescent="0.2">
      <c r="A1188" s="27"/>
      <c r="B1188" s="30"/>
      <c r="G1188" s="27"/>
      <c r="H1188" s="27"/>
    </row>
    <row r="1189" spans="1:8" x14ac:dyDescent="0.2">
      <c r="A1189" s="27"/>
      <c r="B1189" s="30"/>
      <c r="G1189" s="27"/>
      <c r="H1189" s="27"/>
    </row>
    <row r="1190" spans="1:8" x14ac:dyDescent="0.2">
      <c r="A1190" s="27"/>
      <c r="B1190" s="30"/>
      <c r="G1190" s="27"/>
      <c r="H1190" s="27"/>
    </row>
    <row r="1191" spans="1:8" x14ac:dyDescent="0.2">
      <c r="A1191" s="27"/>
      <c r="B1191" s="30"/>
      <c r="G1191" s="27"/>
      <c r="H1191" s="27"/>
    </row>
    <row r="1192" spans="1:8" x14ac:dyDescent="0.2">
      <c r="A1192" s="27"/>
      <c r="B1192" s="30"/>
      <c r="C1192" s="28"/>
      <c r="D1192" s="28"/>
      <c r="E1192" s="28"/>
      <c r="F1192" s="28"/>
      <c r="G1192" s="27"/>
      <c r="H1192" s="27"/>
    </row>
    <row r="1193" spans="1:8" x14ac:dyDescent="0.2">
      <c r="A1193" s="27"/>
      <c r="B1193" s="30"/>
      <c r="G1193" s="27"/>
      <c r="H1193" s="27"/>
    </row>
    <row r="1194" spans="1:8" x14ac:dyDescent="0.2">
      <c r="A1194" s="27"/>
      <c r="B1194" s="30"/>
      <c r="C1194" s="28"/>
      <c r="D1194" s="28"/>
      <c r="E1194" s="28"/>
      <c r="F1194" s="28"/>
      <c r="G1194" s="27"/>
      <c r="H1194" s="27"/>
    </row>
    <row r="1195" spans="1:8" x14ac:dyDescent="0.2">
      <c r="A1195" s="27"/>
      <c r="B1195" s="30"/>
      <c r="C1195" s="28"/>
      <c r="D1195" s="28"/>
      <c r="E1195" s="28"/>
      <c r="F1195" s="28"/>
      <c r="G1195" s="27"/>
      <c r="H1195" s="27"/>
    </row>
    <row r="1196" spans="1:8" x14ac:dyDescent="0.2">
      <c r="A1196" s="27"/>
      <c r="B1196" s="30"/>
      <c r="C1196" s="28"/>
      <c r="D1196" s="28"/>
      <c r="E1196" s="28"/>
      <c r="F1196" s="28"/>
      <c r="G1196" s="27"/>
      <c r="H1196" s="27"/>
    </row>
    <row r="1197" spans="1:8" x14ac:dyDescent="0.2">
      <c r="A1197" s="27"/>
      <c r="B1197" s="30"/>
      <c r="C1197" s="28"/>
      <c r="D1197" s="28"/>
      <c r="E1197" s="28"/>
      <c r="F1197" s="28"/>
      <c r="G1197" s="27"/>
      <c r="H1197" s="27"/>
    </row>
    <row r="1198" spans="1:8" x14ac:dyDescent="0.2">
      <c r="A1198" s="27"/>
      <c r="B1198" s="30"/>
      <c r="G1198" s="27"/>
      <c r="H1198" s="27"/>
    </row>
    <row r="1199" spans="1:8" x14ac:dyDescent="0.2">
      <c r="A1199" s="27"/>
      <c r="B1199" s="30"/>
      <c r="C1199" s="28"/>
      <c r="D1199" s="28"/>
      <c r="E1199" s="28"/>
      <c r="F1199" s="28"/>
      <c r="G1199" s="27"/>
      <c r="H1199" s="27"/>
    </row>
    <row r="1200" spans="1:8" x14ac:dyDescent="0.2">
      <c r="A1200" s="27"/>
      <c r="B1200" s="30"/>
      <c r="C1200" s="28"/>
      <c r="D1200" s="28"/>
      <c r="E1200" s="28"/>
      <c r="F1200" s="28"/>
      <c r="G1200" s="27"/>
      <c r="H1200" s="27"/>
    </row>
    <row r="1201" spans="1:8" x14ac:dyDescent="0.2">
      <c r="A1201" s="27"/>
      <c r="B1201" s="30"/>
      <c r="G1201" s="27"/>
      <c r="H1201" s="27"/>
    </row>
    <row r="1202" spans="1:8" x14ac:dyDescent="0.2">
      <c r="A1202" s="27"/>
      <c r="B1202" s="30"/>
      <c r="G1202" s="27"/>
      <c r="H1202" s="27"/>
    </row>
    <row r="1203" spans="1:8" x14ac:dyDescent="0.2">
      <c r="A1203" s="27"/>
      <c r="B1203" s="30"/>
      <c r="G1203" s="27"/>
      <c r="H1203" s="27"/>
    </row>
    <row r="1204" spans="1:8" x14ac:dyDescent="0.2">
      <c r="A1204" s="27"/>
      <c r="B1204" s="30"/>
      <c r="C1204" s="28"/>
      <c r="D1204" s="28"/>
      <c r="E1204" s="28"/>
      <c r="F1204" s="28"/>
      <c r="G1204" s="27"/>
      <c r="H1204" s="27"/>
    </row>
    <row r="1205" spans="1:8" x14ac:dyDescent="0.2">
      <c r="A1205" s="27"/>
      <c r="B1205" s="30"/>
      <c r="G1205" s="27"/>
      <c r="H1205" s="27"/>
    </row>
    <row r="1206" spans="1:8" x14ac:dyDescent="0.2">
      <c r="A1206" s="27"/>
      <c r="B1206" s="30"/>
      <c r="G1206" s="27"/>
      <c r="H1206" s="27"/>
    </row>
    <row r="1207" spans="1:8" x14ac:dyDescent="0.2">
      <c r="A1207" s="27"/>
      <c r="B1207" s="30"/>
      <c r="C1207" s="28"/>
      <c r="D1207" s="28"/>
      <c r="E1207" s="28"/>
      <c r="F1207" s="28"/>
      <c r="G1207" s="27"/>
      <c r="H1207" s="27"/>
    </row>
    <row r="1208" spans="1:8" x14ac:dyDescent="0.2">
      <c r="A1208" s="27"/>
      <c r="B1208" s="30"/>
      <c r="G1208" s="27"/>
      <c r="H1208" s="27"/>
    </row>
    <row r="1209" spans="1:8" x14ac:dyDescent="0.2">
      <c r="A1209" s="27"/>
      <c r="B1209" s="30"/>
      <c r="G1209" s="27"/>
      <c r="H1209" s="27"/>
    </row>
    <row r="1210" spans="1:8" x14ac:dyDescent="0.2">
      <c r="A1210" s="27"/>
      <c r="B1210" s="30"/>
      <c r="C1210" s="28"/>
      <c r="D1210" s="28"/>
      <c r="E1210" s="28"/>
      <c r="F1210" s="28"/>
      <c r="G1210" s="27"/>
      <c r="H1210" s="27"/>
    </row>
    <row r="1211" spans="1:8" x14ac:dyDescent="0.2">
      <c r="A1211" s="27"/>
      <c r="B1211" s="30"/>
      <c r="G1211" s="27"/>
      <c r="H1211" s="27"/>
    </row>
    <row r="1212" spans="1:8" x14ac:dyDescent="0.2">
      <c r="A1212" s="27"/>
      <c r="B1212" s="30"/>
      <c r="G1212" s="27"/>
      <c r="H1212" s="27"/>
    </row>
    <row r="1213" spans="1:8" x14ac:dyDescent="0.2">
      <c r="A1213" s="27"/>
      <c r="B1213" s="30"/>
      <c r="G1213" s="27"/>
      <c r="H1213" s="27"/>
    </row>
    <row r="1214" spans="1:8" x14ac:dyDescent="0.2">
      <c r="A1214" s="27"/>
      <c r="B1214" s="30"/>
      <c r="G1214" s="27"/>
      <c r="H1214" s="27"/>
    </row>
    <row r="1215" spans="1:8" x14ac:dyDescent="0.2">
      <c r="A1215" s="27"/>
      <c r="B1215" s="30"/>
      <c r="C1215" s="28"/>
      <c r="D1215" s="28"/>
      <c r="E1215" s="28"/>
      <c r="F1215" s="28"/>
      <c r="G1215" s="27"/>
      <c r="H1215" s="27"/>
    </row>
    <row r="1216" spans="1:8" x14ac:dyDescent="0.2">
      <c r="A1216" s="27"/>
      <c r="B1216" s="30"/>
      <c r="G1216" s="27"/>
      <c r="H1216" s="27"/>
    </row>
    <row r="1217" spans="1:8" x14ac:dyDescent="0.2">
      <c r="A1217" s="27"/>
      <c r="B1217" s="30"/>
      <c r="G1217" s="27"/>
      <c r="H1217" s="27"/>
    </row>
    <row r="1218" spans="1:8" x14ac:dyDescent="0.2">
      <c r="A1218" s="27"/>
      <c r="B1218" s="30"/>
      <c r="G1218" s="27"/>
      <c r="H1218" s="27"/>
    </row>
    <row r="1219" spans="1:8" x14ac:dyDescent="0.2">
      <c r="A1219" s="27"/>
      <c r="B1219" s="30"/>
      <c r="G1219" s="27"/>
      <c r="H1219" s="27"/>
    </row>
    <row r="1220" spans="1:8" x14ac:dyDescent="0.2">
      <c r="A1220" s="27"/>
      <c r="B1220" s="30"/>
      <c r="C1220" s="28"/>
      <c r="D1220" s="28"/>
      <c r="E1220" s="28"/>
      <c r="F1220" s="28"/>
      <c r="G1220" s="27"/>
      <c r="H1220" s="27"/>
    </row>
    <row r="1221" spans="1:8" x14ac:dyDescent="0.2">
      <c r="A1221" s="27"/>
      <c r="B1221" s="30"/>
      <c r="G1221" s="27"/>
      <c r="H1221" s="27"/>
    </row>
    <row r="1222" spans="1:8" x14ac:dyDescent="0.2">
      <c r="A1222" s="27"/>
      <c r="B1222" s="30"/>
      <c r="G1222" s="27"/>
      <c r="H1222" s="27"/>
    </row>
    <row r="1223" spans="1:8" x14ac:dyDescent="0.2">
      <c r="A1223" s="27"/>
      <c r="B1223" s="30"/>
      <c r="G1223" s="27"/>
      <c r="H1223" s="27"/>
    </row>
    <row r="1224" spans="1:8" x14ac:dyDescent="0.2">
      <c r="A1224" s="27"/>
      <c r="B1224" s="30"/>
      <c r="G1224" s="27"/>
      <c r="H1224" s="27"/>
    </row>
    <row r="1225" spans="1:8" x14ac:dyDescent="0.2">
      <c r="A1225" s="27"/>
      <c r="B1225" s="30"/>
      <c r="G1225" s="27"/>
      <c r="H1225" s="27"/>
    </row>
    <row r="1226" spans="1:8" x14ac:dyDescent="0.2">
      <c r="A1226" s="27"/>
      <c r="B1226" s="30"/>
      <c r="C1226" s="28"/>
      <c r="D1226" s="28"/>
      <c r="E1226" s="28"/>
      <c r="F1226" s="28"/>
      <c r="G1226" s="27"/>
      <c r="H1226" s="27"/>
    </row>
    <row r="1227" spans="1:8" x14ac:dyDescent="0.2">
      <c r="A1227" s="27"/>
      <c r="B1227" s="30"/>
      <c r="G1227" s="27"/>
      <c r="H1227" s="27"/>
    </row>
    <row r="1228" spans="1:8" x14ac:dyDescent="0.2">
      <c r="A1228" s="27"/>
      <c r="B1228" s="30"/>
      <c r="G1228" s="27"/>
      <c r="H1228" s="27"/>
    </row>
    <row r="1229" spans="1:8" x14ac:dyDescent="0.2">
      <c r="A1229" s="27"/>
      <c r="B1229" s="30"/>
      <c r="C1229" s="28"/>
      <c r="D1229" s="28"/>
      <c r="E1229" s="28"/>
      <c r="F1229" s="28"/>
      <c r="G1229" s="27"/>
      <c r="H1229" s="27"/>
    </row>
    <row r="1230" spans="1:8" x14ac:dyDescent="0.2">
      <c r="A1230" s="27"/>
      <c r="B1230" s="30"/>
      <c r="G1230" s="27"/>
      <c r="H1230" s="27"/>
    </row>
    <row r="1231" spans="1:8" x14ac:dyDescent="0.2">
      <c r="A1231" s="27"/>
      <c r="B1231" s="30"/>
      <c r="C1231" s="28"/>
      <c r="D1231" s="28"/>
      <c r="E1231" s="28"/>
      <c r="F1231" s="28"/>
      <c r="G1231" s="27"/>
      <c r="H1231" s="27"/>
    </row>
    <row r="1232" spans="1:8" x14ac:dyDescent="0.2">
      <c r="A1232" s="27"/>
      <c r="B1232" s="30"/>
      <c r="C1232" s="28"/>
      <c r="D1232" s="28"/>
      <c r="E1232" s="28"/>
      <c r="F1232" s="28"/>
      <c r="G1232" s="27"/>
      <c r="H1232" s="27"/>
    </row>
    <row r="1233" spans="1:8" x14ac:dyDescent="0.2">
      <c r="A1233" s="27"/>
      <c r="B1233" s="30"/>
      <c r="G1233" s="27"/>
      <c r="H1233" s="27"/>
    </row>
    <row r="1234" spans="1:8" x14ac:dyDescent="0.2">
      <c r="A1234" s="27"/>
      <c r="B1234" s="30"/>
      <c r="C1234" s="28"/>
      <c r="D1234" s="28"/>
      <c r="E1234" s="28"/>
      <c r="F1234" s="28"/>
      <c r="G1234" s="27"/>
      <c r="H1234" s="27"/>
    </row>
    <row r="1235" spans="1:8" x14ac:dyDescent="0.2">
      <c r="A1235" s="27"/>
      <c r="B1235" s="30"/>
      <c r="G1235" s="27"/>
      <c r="H1235" s="27"/>
    </row>
    <row r="1236" spans="1:8" x14ac:dyDescent="0.2">
      <c r="A1236" s="27"/>
      <c r="B1236" s="30"/>
      <c r="G1236" s="27"/>
      <c r="H1236" s="27"/>
    </row>
    <row r="1237" spans="1:8" x14ac:dyDescent="0.2">
      <c r="A1237" s="27"/>
      <c r="B1237" s="30"/>
      <c r="G1237" s="27"/>
      <c r="H1237" s="27"/>
    </row>
    <row r="1238" spans="1:8" x14ac:dyDescent="0.2">
      <c r="A1238" s="27"/>
      <c r="B1238" s="30"/>
      <c r="C1238" s="28"/>
      <c r="D1238" s="28"/>
      <c r="E1238" s="28"/>
      <c r="F1238" s="28"/>
      <c r="G1238" s="27"/>
      <c r="H1238" s="27"/>
    </row>
    <row r="1239" spans="1:8" x14ac:dyDescent="0.2">
      <c r="A1239" s="27"/>
      <c r="B1239" s="30"/>
      <c r="G1239" s="27"/>
      <c r="H1239" s="27"/>
    </row>
    <row r="1240" spans="1:8" x14ac:dyDescent="0.2">
      <c r="A1240" s="27"/>
      <c r="B1240" s="30"/>
      <c r="C1240" s="28"/>
      <c r="D1240" s="28"/>
      <c r="E1240" s="28"/>
      <c r="F1240" s="28"/>
      <c r="G1240" s="27"/>
      <c r="H1240" s="27"/>
    </row>
    <row r="1241" spans="1:8" x14ac:dyDescent="0.2">
      <c r="A1241" s="27"/>
      <c r="B1241" s="30"/>
      <c r="C1241" s="28"/>
      <c r="D1241" s="28"/>
      <c r="E1241" s="28"/>
      <c r="F1241" s="28"/>
      <c r="G1241" s="27"/>
      <c r="H1241" s="27"/>
    </row>
    <row r="1242" spans="1:8" x14ac:dyDescent="0.2">
      <c r="A1242" s="27"/>
      <c r="B1242" s="30"/>
      <c r="G1242" s="27"/>
      <c r="H1242" s="27"/>
    </row>
    <row r="1243" spans="1:8" x14ac:dyDescent="0.2">
      <c r="A1243" s="27"/>
      <c r="B1243" s="30"/>
      <c r="G1243" s="27"/>
      <c r="H1243" s="27"/>
    </row>
    <row r="1244" spans="1:8" x14ac:dyDescent="0.2">
      <c r="A1244" s="27"/>
      <c r="B1244" s="30"/>
      <c r="G1244" s="27"/>
      <c r="H1244" s="27"/>
    </row>
    <row r="1245" spans="1:8" x14ac:dyDescent="0.2">
      <c r="A1245" s="27"/>
      <c r="B1245" s="30"/>
      <c r="G1245" s="27"/>
      <c r="H1245" s="27"/>
    </row>
    <row r="1246" spans="1:8" x14ac:dyDescent="0.2">
      <c r="A1246" s="27"/>
      <c r="B1246" s="30"/>
      <c r="C1246" s="28"/>
      <c r="D1246" s="28"/>
      <c r="E1246" s="28"/>
      <c r="F1246" s="28"/>
      <c r="G1246" s="27"/>
      <c r="H1246" s="27"/>
    </row>
    <row r="1247" spans="1:8" x14ac:dyDescent="0.2">
      <c r="A1247" s="27"/>
      <c r="B1247" s="30"/>
      <c r="G1247" s="27"/>
      <c r="H1247" s="27"/>
    </row>
    <row r="1248" spans="1:8" x14ac:dyDescent="0.2">
      <c r="A1248" s="27"/>
      <c r="B1248" s="30"/>
      <c r="C1248" s="28"/>
      <c r="D1248" s="28"/>
      <c r="E1248" s="28"/>
      <c r="F1248" s="28"/>
      <c r="G1248" s="27"/>
      <c r="H1248" s="27"/>
    </row>
    <row r="1249" spans="1:8" x14ac:dyDescent="0.2">
      <c r="A1249" s="27"/>
      <c r="B1249" s="30"/>
      <c r="G1249" s="27"/>
      <c r="H1249" s="27"/>
    </row>
    <row r="1250" spans="1:8" x14ac:dyDescent="0.2">
      <c r="A1250" s="27"/>
      <c r="B1250" s="30"/>
      <c r="G1250" s="27"/>
      <c r="H1250" s="27"/>
    </row>
    <row r="1251" spans="1:8" x14ac:dyDescent="0.2">
      <c r="A1251" s="27"/>
      <c r="B1251" s="30"/>
      <c r="G1251" s="27"/>
      <c r="H1251" s="27"/>
    </row>
    <row r="1252" spans="1:8" x14ac:dyDescent="0.2">
      <c r="A1252" s="27"/>
      <c r="B1252" s="30"/>
      <c r="G1252" s="27"/>
      <c r="H1252" s="27"/>
    </row>
    <row r="1253" spans="1:8" x14ac:dyDescent="0.2">
      <c r="A1253" s="27"/>
      <c r="B1253" s="30"/>
      <c r="C1253" s="28"/>
      <c r="D1253" s="28"/>
      <c r="E1253" s="28"/>
      <c r="F1253" s="28"/>
      <c r="G1253" s="27"/>
      <c r="H1253" s="27"/>
    </row>
    <row r="1254" spans="1:8" x14ac:dyDescent="0.2">
      <c r="A1254" s="27"/>
      <c r="B1254" s="30"/>
      <c r="G1254" s="27"/>
      <c r="H1254" s="27"/>
    </row>
    <row r="1255" spans="1:8" x14ac:dyDescent="0.2">
      <c r="A1255" s="27"/>
      <c r="B1255" s="30"/>
      <c r="G1255" s="27"/>
      <c r="H1255" s="27"/>
    </row>
    <row r="1256" spans="1:8" x14ac:dyDescent="0.2">
      <c r="A1256" s="27"/>
      <c r="B1256" s="30"/>
      <c r="G1256" s="27"/>
      <c r="H1256" s="27"/>
    </row>
    <row r="1257" spans="1:8" x14ac:dyDescent="0.2">
      <c r="A1257" s="27"/>
      <c r="B1257" s="30"/>
      <c r="C1257" s="28"/>
      <c r="D1257" s="28"/>
      <c r="E1257" s="28"/>
      <c r="F1257" s="28"/>
      <c r="G1257" s="27"/>
      <c r="H1257" s="27"/>
    </row>
    <row r="1258" spans="1:8" x14ac:dyDescent="0.2">
      <c r="A1258" s="27"/>
      <c r="B1258" s="30"/>
      <c r="G1258" s="27"/>
      <c r="H1258" s="27"/>
    </row>
    <row r="1259" spans="1:8" x14ac:dyDescent="0.2">
      <c r="A1259" s="27"/>
      <c r="B1259" s="30"/>
      <c r="G1259" s="27"/>
      <c r="H1259" s="27"/>
    </row>
    <row r="1260" spans="1:8" x14ac:dyDescent="0.2">
      <c r="A1260" s="27"/>
      <c r="B1260" s="30"/>
      <c r="G1260" s="27"/>
      <c r="H1260" s="27"/>
    </row>
    <row r="1261" spans="1:8" x14ac:dyDescent="0.2">
      <c r="A1261" s="27"/>
      <c r="B1261" s="30"/>
      <c r="G1261" s="27"/>
      <c r="H1261" s="27"/>
    </row>
    <row r="1262" spans="1:8" x14ac:dyDescent="0.2">
      <c r="A1262" s="27"/>
      <c r="B1262" s="30"/>
      <c r="G1262" s="27"/>
      <c r="H1262" s="27"/>
    </row>
    <row r="1263" spans="1:8" x14ac:dyDescent="0.2">
      <c r="A1263" s="27"/>
      <c r="B1263" s="30"/>
      <c r="G1263" s="27"/>
      <c r="H1263" s="27"/>
    </row>
    <row r="1264" spans="1:8" x14ac:dyDescent="0.2">
      <c r="A1264" s="27"/>
      <c r="B1264" s="30"/>
      <c r="C1264" s="28"/>
      <c r="D1264" s="28"/>
      <c r="E1264" s="28"/>
      <c r="F1264" s="28"/>
      <c r="G1264" s="27"/>
      <c r="H1264" s="27"/>
    </row>
    <row r="1265" spans="1:8" x14ac:dyDescent="0.2">
      <c r="A1265" s="27"/>
      <c r="B1265" s="30"/>
      <c r="C1265" s="28"/>
      <c r="D1265" s="28"/>
      <c r="E1265" s="28"/>
      <c r="F1265" s="28"/>
      <c r="G1265" s="27"/>
      <c r="H1265" s="27"/>
    </row>
    <row r="1266" spans="1:8" x14ac:dyDescent="0.2">
      <c r="A1266" s="27"/>
      <c r="B1266" s="30"/>
      <c r="G1266" s="27"/>
      <c r="H1266" s="27"/>
    </row>
    <row r="1267" spans="1:8" x14ac:dyDescent="0.2">
      <c r="A1267" s="27"/>
      <c r="B1267" s="30"/>
      <c r="C1267" s="28"/>
      <c r="D1267" s="28"/>
      <c r="E1267" s="28"/>
      <c r="F1267" s="28"/>
      <c r="G1267" s="27"/>
      <c r="H1267" s="27"/>
    </row>
    <row r="1268" spans="1:8" x14ac:dyDescent="0.2">
      <c r="A1268" s="27"/>
      <c r="B1268" s="30"/>
      <c r="G1268" s="27"/>
      <c r="H1268" s="27"/>
    </row>
    <row r="1269" spans="1:8" x14ac:dyDescent="0.2">
      <c r="A1269" s="27"/>
      <c r="B1269" s="30"/>
      <c r="G1269" s="27"/>
      <c r="H1269" s="27"/>
    </row>
    <row r="1270" spans="1:8" x14ac:dyDescent="0.2">
      <c r="A1270" s="27"/>
      <c r="B1270" s="30"/>
      <c r="C1270" s="28"/>
      <c r="D1270" s="28"/>
      <c r="E1270" s="28"/>
      <c r="F1270" s="28"/>
      <c r="G1270" s="27"/>
      <c r="H1270" s="27"/>
    </row>
    <row r="1271" spans="1:8" x14ac:dyDescent="0.2">
      <c r="A1271" s="27"/>
      <c r="B1271" s="30"/>
      <c r="C1271" s="28"/>
      <c r="D1271" s="28"/>
      <c r="E1271" s="28"/>
      <c r="F1271" s="28"/>
      <c r="G1271" s="27"/>
      <c r="H1271" s="27"/>
    </row>
    <row r="1272" spans="1:8" x14ac:dyDescent="0.2">
      <c r="A1272" s="27"/>
      <c r="B1272" s="30"/>
      <c r="C1272" s="28"/>
      <c r="D1272" s="28"/>
      <c r="E1272" s="28"/>
      <c r="F1272" s="28"/>
      <c r="G1272" s="27"/>
      <c r="H1272" s="27"/>
    </row>
    <row r="1273" spans="1:8" x14ac:dyDescent="0.2">
      <c r="A1273" s="27"/>
      <c r="B1273" s="30"/>
      <c r="G1273" s="27"/>
      <c r="H1273" s="27"/>
    </row>
    <row r="1274" spans="1:8" x14ac:dyDescent="0.2">
      <c r="A1274" s="27"/>
      <c r="B1274" s="30"/>
      <c r="G1274" s="27"/>
      <c r="H1274" s="27"/>
    </row>
    <row r="1275" spans="1:8" x14ac:dyDescent="0.2">
      <c r="A1275" s="27"/>
      <c r="B1275" s="30"/>
      <c r="G1275" s="27"/>
      <c r="H1275" s="27"/>
    </row>
    <row r="1276" spans="1:8" x14ac:dyDescent="0.2">
      <c r="A1276" s="27"/>
      <c r="B1276" s="30"/>
      <c r="C1276" s="28"/>
      <c r="D1276" s="28"/>
      <c r="E1276" s="28"/>
      <c r="F1276" s="28"/>
      <c r="G1276" s="27"/>
      <c r="H1276" s="27"/>
    </row>
    <row r="1277" spans="1:8" x14ac:dyDescent="0.2">
      <c r="A1277" s="27"/>
      <c r="B1277" s="30"/>
      <c r="G1277" s="27"/>
      <c r="H1277" s="27"/>
    </row>
    <row r="1278" spans="1:8" x14ac:dyDescent="0.2">
      <c r="A1278" s="27"/>
      <c r="B1278" s="30"/>
      <c r="G1278" s="27"/>
      <c r="H1278" s="27"/>
    </row>
    <row r="1279" spans="1:8" x14ac:dyDescent="0.2">
      <c r="A1279" s="27"/>
      <c r="B1279" s="30"/>
      <c r="C1279" s="28"/>
      <c r="D1279" s="28"/>
      <c r="E1279" s="28"/>
      <c r="F1279" s="28"/>
      <c r="G1279" s="27"/>
      <c r="H1279" s="27"/>
    </row>
    <row r="1280" spans="1:8" x14ac:dyDescent="0.2">
      <c r="A1280" s="27"/>
      <c r="B1280" s="30"/>
      <c r="G1280" s="27"/>
      <c r="H1280" s="27"/>
    </row>
    <row r="1281" spans="1:8" x14ac:dyDescent="0.2">
      <c r="A1281" s="27"/>
      <c r="B1281" s="30"/>
      <c r="C1281" s="28"/>
      <c r="D1281" s="28"/>
      <c r="E1281" s="28"/>
      <c r="F1281" s="28"/>
      <c r="G1281" s="27"/>
      <c r="H1281" s="27"/>
    </row>
    <row r="1282" spans="1:8" x14ac:dyDescent="0.2">
      <c r="A1282" s="27"/>
      <c r="B1282" s="30"/>
      <c r="C1282" s="28"/>
      <c r="D1282" s="28"/>
      <c r="E1282" s="28"/>
      <c r="F1282" s="28"/>
      <c r="G1282" s="27"/>
      <c r="H1282" s="27"/>
    </row>
    <row r="1283" spans="1:8" x14ac:dyDescent="0.2">
      <c r="A1283" s="27"/>
      <c r="B1283" s="30"/>
      <c r="C1283" s="28"/>
      <c r="D1283" s="28"/>
      <c r="E1283" s="28"/>
      <c r="F1283" s="28"/>
      <c r="G1283" s="27"/>
      <c r="H1283" s="27"/>
    </row>
    <row r="1284" spans="1:8" x14ac:dyDescent="0.2">
      <c r="A1284" s="27"/>
      <c r="B1284" s="30"/>
      <c r="C1284" s="28"/>
      <c r="D1284" s="28"/>
      <c r="E1284" s="28"/>
      <c r="F1284" s="28"/>
      <c r="G1284" s="27"/>
      <c r="H1284" s="27"/>
    </row>
    <row r="1285" spans="1:8" x14ac:dyDescent="0.2">
      <c r="A1285" s="27"/>
      <c r="B1285" s="30"/>
      <c r="G1285" s="27"/>
      <c r="H1285" s="27"/>
    </row>
    <row r="1286" spans="1:8" x14ac:dyDescent="0.2">
      <c r="A1286" s="27"/>
      <c r="B1286" s="30"/>
      <c r="G1286" s="27"/>
      <c r="H1286" s="27"/>
    </row>
    <row r="1287" spans="1:8" x14ac:dyDescent="0.2">
      <c r="A1287" s="27"/>
      <c r="B1287" s="30"/>
      <c r="G1287" s="27"/>
      <c r="H1287" s="27"/>
    </row>
    <row r="1288" spans="1:8" x14ac:dyDescent="0.2">
      <c r="A1288" s="27"/>
      <c r="B1288" s="30"/>
      <c r="G1288" s="27"/>
      <c r="H1288" s="27"/>
    </row>
    <row r="1289" spans="1:8" x14ac:dyDescent="0.2">
      <c r="A1289" s="27"/>
      <c r="B1289" s="30"/>
      <c r="G1289" s="27"/>
      <c r="H1289" s="27"/>
    </row>
    <row r="1290" spans="1:8" x14ac:dyDescent="0.2">
      <c r="A1290" s="27"/>
      <c r="B1290" s="30"/>
      <c r="C1290" s="28"/>
      <c r="D1290" s="28"/>
      <c r="E1290" s="28"/>
      <c r="F1290" s="28"/>
      <c r="G1290" s="27"/>
      <c r="H1290" s="27"/>
    </row>
    <row r="1291" spans="1:8" x14ac:dyDescent="0.2">
      <c r="A1291" s="27"/>
      <c r="B1291" s="30"/>
      <c r="G1291" s="27"/>
      <c r="H1291" s="27"/>
    </row>
    <row r="1292" spans="1:8" x14ac:dyDescent="0.2">
      <c r="A1292" s="27"/>
      <c r="B1292" s="30"/>
      <c r="G1292" s="27"/>
      <c r="H1292" s="27"/>
    </row>
    <row r="1293" spans="1:8" x14ac:dyDescent="0.2">
      <c r="A1293" s="27"/>
      <c r="B1293" s="30"/>
      <c r="G1293" s="27"/>
      <c r="H1293" s="27"/>
    </row>
    <row r="1294" spans="1:8" x14ac:dyDescent="0.2">
      <c r="A1294" s="27"/>
      <c r="B1294" s="30"/>
      <c r="G1294" s="27"/>
      <c r="H1294" s="27"/>
    </row>
    <row r="1295" spans="1:8" x14ac:dyDescent="0.2">
      <c r="A1295" s="27"/>
      <c r="B1295" s="30"/>
      <c r="G1295" s="27"/>
      <c r="H1295" s="27"/>
    </row>
    <row r="1296" spans="1:8" x14ac:dyDescent="0.2">
      <c r="A1296" s="27"/>
      <c r="B1296" s="30"/>
      <c r="C1296" s="28"/>
      <c r="D1296" s="28"/>
      <c r="E1296" s="28"/>
      <c r="F1296" s="28"/>
      <c r="G1296" s="27"/>
      <c r="H1296" s="27"/>
    </row>
    <row r="1297" spans="1:8" x14ac:dyDescent="0.2">
      <c r="A1297" s="27"/>
      <c r="B1297" s="30"/>
      <c r="G1297" s="27"/>
      <c r="H1297" s="27"/>
    </row>
    <row r="1298" spans="1:8" x14ac:dyDescent="0.2">
      <c r="A1298" s="27"/>
      <c r="B1298" s="30"/>
      <c r="C1298" s="28"/>
      <c r="D1298" s="28"/>
      <c r="E1298" s="28"/>
      <c r="F1298" s="28"/>
      <c r="G1298" s="27"/>
      <c r="H1298" s="27"/>
    </row>
    <row r="1299" spans="1:8" x14ac:dyDescent="0.2">
      <c r="A1299" s="27"/>
      <c r="B1299" s="30"/>
      <c r="G1299" s="27"/>
      <c r="H1299" s="27"/>
    </row>
    <row r="1300" spans="1:8" x14ac:dyDescent="0.2">
      <c r="A1300" s="27"/>
      <c r="B1300" s="30"/>
      <c r="G1300" s="27"/>
      <c r="H1300" s="27"/>
    </row>
    <row r="1301" spans="1:8" x14ac:dyDescent="0.2">
      <c r="A1301" s="27"/>
      <c r="B1301" s="30"/>
      <c r="G1301" s="27"/>
      <c r="H1301" s="27"/>
    </row>
    <row r="1302" spans="1:8" x14ac:dyDescent="0.2">
      <c r="A1302" s="27"/>
      <c r="B1302" s="30"/>
      <c r="G1302" s="27"/>
      <c r="H1302" s="27"/>
    </row>
    <row r="1303" spans="1:8" x14ac:dyDescent="0.2">
      <c r="A1303" s="27"/>
      <c r="B1303" s="30"/>
      <c r="G1303" s="27"/>
      <c r="H1303" s="27"/>
    </row>
    <row r="1304" spans="1:8" x14ac:dyDescent="0.2">
      <c r="A1304" s="27"/>
      <c r="B1304" s="30"/>
      <c r="G1304" s="27"/>
      <c r="H1304" s="27"/>
    </row>
    <row r="1305" spans="1:8" x14ac:dyDescent="0.2">
      <c r="A1305" s="27"/>
      <c r="B1305" s="30"/>
      <c r="G1305" s="27"/>
      <c r="H1305" s="27"/>
    </row>
    <row r="1306" spans="1:8" x14ac:dyDescent="0.2">
      <c r="A1306" s="27"/>
      <c r="B1306" s="30"/>
      <c r="G1306" s="27"/>
      <c r="H1306" s="27"/>
    </row>
    <row r="1307" spans="1:8" x14ac:dyDescent="0.2">
      <c r="A1307" s="27"/>
      <c r="B1307" s="30"/>
      <c r="C1307" s="28"/>
      <c r="D1307" s="28"/>
      <c r="E1307" s="28"/>
      <c r="F1307" s="28"/>
      <c r="G1307" s="27"/>
      <c r="H1307" s="27"/>
    </row>
    <row r="1308" spans="1:8" x14ac:dyDescent="0.2">
      <c r="A1308" s="27"/>
      <c r="B1308" s="30"/>
      <c r="C1308" s="28"/>
      <c r="D1308" s="28"/>
      <c r="E1308" s="28"/>
      <c r="F1308" s="28"/>
      <c r="G1308" s="27"/>
      <c r="H1308" s="27"/>
    </row>
    <row r="1309" spans="1:8" x14ac:dyDescent="0.2">
      <c r="A1309" s="27"/>
      <c r="B1309" s="30"/>
      <c r="C1309" s="28"/>
      <c r="D1309" s="28"/>
      <c r="E1309" s="28"/>
      <c r="F1309" s="28"/>
      <c r="G1309" s="27"/>
      <c r="H1309" s="27"/>
    </row>
    <row r="1310" spans="1:8" x14ac:dyDescent="0.2">
      <c r="A1310" s="27"/>
      <c r="B1310" s="30"/>
      <c r="C1310" s="28"/>
      <c r="D1310" s="28"/>
      <c r="E1310" s="28"/>
      <c r="F1310" s="28"/>
      <c r="G1310" s="27"/>
      <c r="H1310" s="27"/>
    </row>
    <row r="1311" spans="1:8" x14ac:dyDescent="0.2">
      <c r="A1311" s="27"/>
      <c r="B1311" s="30"/>
      <c r="C1311" s="28"/>
      <c r="D1311" s="28"/>
      <c r="E1311" s="28"/>
      <c r="F1311" s="28"/>
      <c r="G1311" s="27"/>
      <c r="H1311" s="27"/>
    </row>
    <row r="1312" spans="1:8" x14ac:dyDescent="0.2">
      <c r="A1312" s="27"/>
      <c r="B1312" s="30"/>
      <c r="G1312" s="27"/>
      <c r="H1312" s="27"/>
    </row>
    <row r="1313" spans="1:8" x14ac:dyDescent="0.2">
      <c r="A1313" s="27"/>
      <c r="B1313" s="30"/>
      <c r="C1313" s="28"/>
      <c r="D1313" s="28"/>
      <c r="E1313" s="28"/>
      <c r="F1313" s="28"/>
      <c r="G1313" s="27"/>
      <c r="H1313" s="27"/>
    </row>
    <row r="1314" spans="1:8" x14ac:dyDescent="0.2">
      <c r="A1314" s="27"/>
      <c r="B1314" s="30"/>
      <c r="G1314" s="27"/>
      <c r="H1314" s="27"/>
    </row>
    <row r="1315" spans="1:8" x14ac:dyDescent="0.2">
      <c r="A1315" s="27"/>
      <c r="B1315" s="30"/>
      <c r="G1315" s="27"/>
      <c r="H1315" s="27"/>
    </row>
    <row r="1316" spans="1:8" x14ac:dyDescent="0.2">
      <c r="A1316" s="27"/>
      <c r="B1316" s="30"/>
      <c r="G1316" s="27"/>
      <c r="H1316" s="27"/>
    </row>
    <row r="1317" spans="1:8" x14ac:dyDescent="0.2">
      <c r="A1317" s="27"/>
      <c r="B1317" s="30"/>
      <c r="G1317" s="27"/>
      <c r="H1317" s="27"/>
    </row>
    <row r="1318" spans="1:8" x14ac:dyDescent="0.2">
      <c r="A1318" s="27"/>
      <c r="B1318" s="30"/>
      <c r="G1318" s="27"/>
      <c r="H1318" s="27"/>
    </row>
    <row r="1319" spans="1:8" x14ac:dyDescent="0.2">
      <c r="A1319" s="27"/>
      <c r="B1319" s="30"/>
      <c r="C1319" s="28"/>
      <c r="D1319" s="28"/>
      <c r="E1319" s="28"/>
      <c r="F1319" s="28"/>
      <c r="G1319" s="27"/>
      <c r="H1319" s="27"/>
    </row>
    <row r="1320" spans="1:8" x14ac:dyDescent="0.2">
      <c r="A1320" s="27"/>
      <c r="B1320" s="30"/>
      <c r="G1320" s="27"/>
      <c r="H1320" s="27"/>
    </row>
    <row r="1321" spans="1:8" x14ac:dyDescent="0.2">
      <c r="A1321" s="27"/>
      <c r="B1321" s="30"/>
      <c r="G1321" s="27"/>
      <c r="H1321" s="27"/>
    </row>
    <row r="1322" spans="1:8" x14ac:dyDescent="0.2">
      <c r="A1322" s="27"/>
      <c r="B1322" s="30"/>
      <c r="G1322" s="27"/>
      <c r="H1322" s="27"/>
    </row>
    <row r="1323" spans="1:8" x14ac:dyDescent="0.2">
      <c r="A1323" s="27"/>
      <c r="B1323" s="30"/>
      <c r="G1323" s="27"/>
      <c r="H1323" s="27"/>
    </row>
    <row r="1324" spans="1:8" x14ac:dyDescent="0.2">
      <c r="A1324" s="27"/>
      <c r="B1324" s="30"/>
      <c r="G1324" s="27"/>
      <c r="H1324" s="27"/>
    </row>
    <row r="1325" spans="1:8" x14ac:dyDescent="0.2">
      <c r="A1325" s="27"/>
      <c r="B1325" s="30"/>
      <c r="G1325" s="27"/>
      <c r="H1325" s="27"/>
    </row>
    <row r="1326" spans="1:8" x14ac:dyDescent="0.2">
      <c r="A1326" s="27"/>
      <c r="B1326" s="30"/>
      <c r="G1326" s="27"/>
      <c r="H1326" s="27"/>
    </row>
    <row r="1327" spans="1:8" x14ac:dyDescent="0.2">
      <c r="A1327" s="27"/>
      <c r="B1327" s="30"/>
      <c r="G1327" s="27"/>
      <c r="H1327" s="27"/>
    </row>
    <row r="1328" spans="1:8" x14ac:dyDescent="0.2">
      <c r="A1328" s="27"/>
      <c r="B1328" s="30"/>
      <c r="C1328" s="28"/>
      <c r="D1328" s="28"/>
      <c r="E1328" s="28"/>
      <c r="F1328" s="28"/>
      <c r="G1328" s="27"/>
      <c r="H1328" s="27"/>
    </row>
    <row r="1329" spans="1:8" x14ac:dyDescent="0.2">
      <c r="A1329" s="27"/>
      <c r="B1329" s="30"/>
      <c r="C1329" s="28"/>
      <c r="D1329" s="28"/>
      <c r="E1329" s="28"/>
      <c r="F1329" s="28"/>
      <c r="G1329" s="27"/>
      <c r="H1329" s="27"/>
    </row>
    <row r="1330" spans="1:8" x14ac:dyDescent="0.2">
      <c r="A1330" s="27"/>
      <c r="B1330" s="30"/>
      <c r="C1330" s="28"/>
      <c r="D1330" s="28"/>
      <c r="E1330" s="28"/>
      <c r="F1330" s="28"/>
      <c r="G1330" s="27"/>
      <c r="H1330" s="27"/>
    </row>
    <row r="1331" spans="1:8" x14ac:dyDescent="0.2">
      <c r="A1331" s="27"/>
      <c r="B1331" s="30"/>
      <c r="G1331" s="27"/>
      <c r="H1331" s="27"/>
    </row>
    <row r="1332" spans="1:8" x14ac:dyDescent="0.2">
      <c r="A1332" s="27"/>
      <c r="B1332" s="30"/>
      <c r="G1332" s="27"/>
      <c r="H1332" s="27"/>
    </row>
    <row r="1333" spans="1:8" x14ac:dyDescent="0.2">
      <c r="A1333" s="27"/>
      <c r="B1333" s="30"/>
      <c r="G1333" s="27"/>
      <c r="H1333" s="27"/>
    </row>
    <row r="1334" spans="1:8" x14ac:dyDescent="0.2">
      <c r="A1334" s="27"/>
      <c r="B1334" s="30"/>
      <c r="G1334" s="27"/>
      <c r="H1334" s="27"/>
    </row>
    <row r="1335" spans="1:8" x14ac:dyDescent="0.2">
      <c r="A1335" s="27"/>
      <c r="B1335" s="30"/>
      <c r="C1335" s="28"/>
      <c r="D1335" s="28"/>
      <c r="E1335" s="28"/>
      <c r="F1335" s="28"/>
      <c r="G1335" s="27"/>
      <c r="H1335" s="27"/>
    </row>
    <row r="1336" spans="1:8" x14ac:dyDescent="0.2">
      <c r="A1336" s="27"/>
      <c r="B1336" s="30"/>
      <c r="G1336" s="27"/>
      <c r="H1336" s="27"/>
    </row>
    <row r="1337" spans="1:8" x14ac:dyDescent="0.2">
      <c r="A1337" s="27"/>
      <c r="B1337" s="30"/>
      <c r="C1337" s="28"/>
      <c r="D1337" s="28"/>
      <c r="E1337" s="28"/>
      <c r="F1337" s="28"/>
      <c r="G1337" s="27"/>
      <c r="H1337" s="27"/>
    </row>
    <row r="1338" spans="1:8" x14ac:dyDescent="0.2">
      <c r="A1338" s="27"/>
      <c r="B1338" s="30"/>
      <c r="G1338" s="27"/>
      <c r="H1338" s="27"/>
    </row>
    <row r="1339" spans="1:8" x14ac:dyDescent="0.2">
      <c r="A1339" s="27"/>
      <c r="B1339" s="30"/>
      <c r="C1339" s="28"/>
      <c r="D1339" s="28"/>
      <c r="E1339" s="28"/>
      <c r="F1339" s="28"/>
      <c r="G1339" s="27"/>
      <c r="H1339" s="27"/>
    </row>
    <row r="1340" spans="1:8" x14ac:dyDescent="0.2">
      <c r="A1340" s="27"/>
      <c r="B1340" s="30"/>
      <c r="G1340" s="27"/>
      <c r="H1340" s="27"/>
    </row>
    <row r="1341" spans="1:8" x14ac:dyDescent="0.2">
      <c r="A1341" s="27"/>
      <c r="B1341" s="30"/>
      <c r="G1341" s="27"/>
      <c r="H1341" s="27"/>
    </row>
    <row r="1342" spans="1:8" x14ac:dyDescent="0.2">
      <c r="A1342" s="27"/>
      <c r="B1342" s="30"/>
      <c r="G1342" s="27"/>
      <c r="H1342" s="27"/>
    </row>
    <row r="1343" spans="1:8" x14ac:dyDescent="0.2">
      <c r="A1343" s="27"/>
      <c r="B1343" s="30"/>
      <c r="C1343" s="28"/>
      <c r="D1343" s="28"/>
      <c r="E1343" s="28"/>
      <c r="F1343" s="28"/>
      <c r="G1343" s="27"/>
      <c r="H1343" s="27"/>
    </row>
    <row r="1344" spans="1:8" x14ac:dyDescent="0.2">
      <c r="A1344" s="27"/>
      <c r="B1344" s="30"/>
      <c r="G1344" s="27"/>
      <c r="H1344" s="27"/>
    </row>
    <row r="1345" spans="1:8" x14ac:dyDescent="0.2">
      <c r="A1345" s="27"/>
      <c r="B1345" s="30"/>
      <c r="G1345" s="27"/>
      <c r="H1345" s="27"/>
    </row>
    <row r="1346" spans="1:8" x14ac:dyDescent="0.2">
      <c r="A1346" s="27"/>
      <c r="B1346" s="30"/>
      <c r="G1346" s="27"/>
      <c r="H1346" s="27"/>
    </row>
    <row r="1347" spans="1:8" x14ac:dyDescent="0.2">
      <c r="A1347" s="27"/>
      <c r="B1347" s="30"/>
      <c r="G1347" s="27"/>
      <c r="H1347" s="27"/>
    </row>
    <row r="1348" spans="1:8" x14ac:dyDescent="0.2">
      <c r="A1348" s="27"/>
      <c r="B1348" s="30"/>
      <c r="G1348" s="27"/>
      <c r="H1348" s="27"/>
    </row>
    <row r="1349" spans="1:8" x14ac:dyDescent="0.2">
      <c r="A1349" s="27"/>
      <c r="B1349" s="30"/>
      <c r="G1349" s="27"/>
      <c r="H1349" s="27"/>
    </row>
    <row r="1350" spans="1:8" x14ac:dyDescent="0.2">
      <c r="A1350" s="27"/>
      <c r="B1350" s="30"/>
      <c r="G1350" s="27"/>
      <c r="H1350" s="27"/>
    </row>
    <row r="1351" spans="1:8" x14ac:dyDescent="0.2">
      <c r="A1351" s="27"/>
      <c r="B1351" s="30"/>
      <c r="C1351" s="28"/>
      <c r="D1351" s="28"/>
      <c r="E1351" s="28"/>
      <c r="F1351" s="28"/>
      <c r="G1351" s="27"/>
      <c r="H1351" s="27"/>
    </row>
    <row r="1352" spans="1:8" x14ac:dyDescent="0.2">
      <c r="A1352" s="27"/>
      <c r="B1352" s="30"/>
      <c r="C1352" s="28"/>
      <c r="D1352" s="28"/>
      <c r="E1352" s="28"/>
      <c r="F1352" s="28"/>
      <c r="G1352" s="27"/>
      <c r="H1352" s="27"/>
    </row>
    <row r="1353" spans="1:8" x14ac:dyDescent="0.2">
      <c r="A1353" s="27"/>
      <c r="B1353" s="30"/>
      <c r="G1353" s="27"/>
      <c r="H1353" s="27"/>
    </row>
    <row r="1354" spans="1:8" x14ac:dyDescent="0.2">
      <c r="A1354" s="27"/>
      <c r="B1354" s="30"/>
      <c r="G1354" s="27"/>
      <c r="H1354" s="27"/>
    </row>
    <row r="1355" spans="1:8" x14ac:dyDescent="0.2">
      <c r="A1355" s="27"/>
      <c r="B1355" s="30"/>
      <c r="G1355" s="27"/>
      <c r="H1355" s="27"/>
    </row>
    <row r="1356" spans="1:8" x14ac:dyDescent="0.2">
      <c r="A1356" s="27"/>
      <c r="B1356" s="30"/>
      <c r="G1356" s="27"/>
      <c r="H1356" s="27"/>
    </row>
    <row r="1357" spans="1:8" x14ac:dyDescent="0.2">
      <c r="A1357" s="27"/>
      <c r="B1357" s="30"/>
      <c r="G1357" s="27"/>
      <c r="H1357" s="27"/>
    </row>
    <row r="1358" spans="1:8" x14ac:dyDescent="0.2">
      <c r="A1358" s="27"/>
      <c r="B1358" s="30"/>
      <c r="G1358" s="27"/>
      <c r="H1358" s="27"/>
    </row>
    <row r="1359" spans="1:8" x14ac:dyDescent="0.2">
      <c r="A1359" s="27"/>
      <c r="B1359" s="30"/>
      <c r="G1359" s="27"/>
      <c r="H1359" s="27"/>
    </row>
    <row r="1360" spans="1:8" x14ac:dyDescent="0.2">
      <c r="A1360" s="27"/>
      <c r="B1360" s="30"/>
      <c r="G1360" s="27"/>
      <c r="H1360" s="27"/>
    </row>
    <row r="1361" spans="1:8" x14ac:dyDescent="0.2">
      <c r="A1361" s="27"/>
      <c r="B1361" s="30"/>
      <c r="G1361" s="27"/>
      <c r="H1361" s="27"/>
    </row>
    <row r="1362" spans="1:8" x14ac:dyDescent="0.2">
      <c r="A1362" s="27"/>
      <c r="B1362" s="30"/>
      <c r="C1362" s="28"/>
      <c r="D1362" s="28"/>
      <c r="E1362" s="28"/>
      <c r="F1362" s="28"/>
      <c r="G1362" s="27"/>
      <c r="H1362" s="27"/>
    </row>
    <row r="1363" spans="1:8" x14ac:dyDescent="0.2">
      <c r="A1363" s="27"/>
      <c r="B1363" s="30"/>
      <c r="G1363" s="27"/>
      <c r="H1363" s="27"/>
    </row>
    <row r="1364" spans="1:8" x14ac:dyDescent="0.2">
      <c r="A1364" s="27"/>
      <c r="B1364" s="30"/>
      <c r="C1364" s="28"/>
      <c r="D1364" s="28"/>
      <c r="E1364" s="28"/>
      <c r="F1364" s="28"/>
      <c r="G1364" s="27"/>
      <c r="H1364" s="27"/>
    </row>
    <row r="1365" spans="1:8" x14ac:dyDescent="0.2">
      <c r="A1365" s="27"/>
      <c r="B1365" s="30"/>
      <c r="C1365" s="28"/>
      <c r="D1365" s="28"/>
      <c r="E1365" s="28"/>
      <c r="F1365" s="28"/>
      <c r="G1365" s="27"/>
      <c r="H1365" s="27"/>
    </row>
    <row r="1366" spans="1:8" x14ac:dyDescent="0.2">
      <c r="A1366" s="27"/>
      <c r="B1366" s="30"/>
      <c r="G1366" s="27"/>
      <c r="H1366" s="27"/>
    </row>
    <row r="1367" spans="1:8" x14ac:dyDescent="0.2">
      <c r="A1367" s="27"/>
      <c r="B1367" s="30"/>
      <c r="G1367" s="27"/>
      <c r="H1367" s="27"/>
    </row>
    <row r="1368" spans="1:8" x14ac:dyDescent="0.2">
      <c r="A1368" s="27"/>
      <c r="B1368" s="30"/>
      <c r="C1368" s="28"/>
      <c r="D1368" s="28"/>
      <c r="E1368" s="28"/>
      <c r="F1368" s="28"/>
      <c r="G1368" s="27"/>
      <c r="H1368" s="27"/>
    </row>
    <row r="1369" spans="1:8" x14ac:dyDescent="0.2">
      <c r="A1369" s="27"/>
      <c r="B1369" s="30"/>
      <c r="C1369" s="28"/>
      <c r="D1369" s="28"/>
      <c r="E1369" s="28"/>
      <c r="F1369" s="28"/>
      <c r="G1369" s="27"/>
      <c r="H1369" s="27"/>
    </row>
    <row r="1370" spans="1:8" x14ac:dyDescent="0.2">
      <c r="A1370" s="27"/>
      <c r="B1370" s="30"/>
      <c r="C1370" s="28"/>
      <c r="D1370" s="28"/>
      <c r="E1370" s="28"/>
      <c r="F1370" s="28"/>
      <c r="G1370" s="27"/>
      <c r="H1370" s="27"/>
    </row>
    <row r="1371" spans="1:8" x14ac:dyDescent="0.2">
      <c r="A1371" s="27"/>
      <c r="B1371" s="30"/>
      <c r="G1371" s="27"/>
      <c r="H1371" s="27"/>
    </row>
    <row r="1372" spans="1:8" x14ac:dyDescent="0.2">
      <c r="A1372" s="27"/>
      <c r="B1372" s="30"/>
      <c r="G1372" s="27"/>
      <c r="H1372" s="27"/>
    </row>
    <row r="1373" spans="1:8" x14ac:dyDescent="0.2">
      <c r="A1373" s="27"/>
      <c r="B1373" s="30"/>
      <c r="C1373" s="28"/>
      <c r="D1373" s="28"/>
      <c r="E1373" s="28"/>
      <c r="F1373" s="28"/>
      <c r="G1373" s="27"/>
      <c r="H1373" s="27"/>
    </row>
    <row r="1374" spans="1:8" x14ac:dyDescent="0.2">
      <c r="A1374" s="27"/>
      <c r="B1374" s="30"/>
      <c r="G1374" s="27"/>
      <c r="H1374" s="27"/>
    </row>
    <row r="1375" spans="1:8" x14ac:dyDescent="0.2">
      <c r="A1375" s="27"/>
      <c r="B1375" s="30"/>
      <c r="C1375" s="28"/>
      <c r="D1375" s="28"/>
      <c r="E1375" s="28"/>
      <c r="F1375" s="28"/>
      <c r="G1375" s="27"/>
      <c r="H1375" s="27"/>
    </row>
    <row r="1376" spans="1:8" x14ac:dyDescent="0.2">
      <c r="A1376" s="27"/>
      <c r="B1376" s="30"/>
      <c r="C1376" s="28"/>
      <c r="D1376" s="28"/>
      <c r="E1376" s="28"/>
      <c r="F1376" s="28"/>
      <c r="G1376" s="27"/>
      <c r="H1376" s="27"/>
    </row>
    <row r="1377" spans="1:8" x14ac:dyDescent="0.2">
      <c r="A1377" s="27"/>
      <c r="B1377" s="30"/>
      <c r="G1377" s="27"/>
      <c r="H1377" s="27"/>
    </row>
    <row r="1378" spans="1:8" x14ac:dyDescent="0.2">
      <c r="A1378" s="27"/>
      <c r="B1378" s="30"/>
      <c r="G1378" s="27"/>
      <c r="H1378" s="27"/>
    </row>
    <row r="1379" spans="1:8" x14ac:dyDescent="0.2">
      <c r="A1379" s="27"/>
      <c r="B1379" s="30"/>
      <c r="G1379" s="27"/>
      <c r="H1379" s="27"/>
    </row>
    <row r="1380" spans="1:8" x14ac:dyDescent="0.2">
      <c r="A1380" s="27"/>
      <c r="B1380" s="30"/>
      <c r="C1380" s="28"/>
      <c r="D1380" s="28"/>
      <c r="E1380" s="28"/>
      <c r="F1380" s="28"/>
      <c r="G1380" s="27"/>
      <c r="H1380" s="27"/>
    </row>
    <row r="1381" spans="1:8" x14ac:dyDescent="0.2">
      <c r="A1381" s="27"/>
      <c r="B1381" s="30"/>
      <c r="C1381" s="28"/>
      <c r="D1381" s="28"/>
      <c r="E1381" s="28"/>
      <c r="F1381" s="28"/>
      <c r="G1381" s="27"/>
      <c r="H1381" s="27"/>
    </row>
    <row r="1382" spans="1:8" x14ac:dyDescent="0.2">
      <c r="A1382" s="27"/>
      <c r="B1382" s="30"/>
      <c r="G1382" s="27"/>
      <c r="H1382" s="27"/>
    </row>
    <row r="1383" spans="1:8" x14ac:dyDescent="0.2">
      <c r="A1383" s="27"/>
      <c r="B1383" s="30"/>
      <c r="G1383" s="27"/>
      <c r="H1383" s="27"/>
    </row>
    <row r="1384" spans="1:8" x14ac:dyDescent="0.2">
      <c r="A1384" s="27"/>
      <c r="B1384" s="30"/>
      <c r="G1384" s="27"/>
      <c r="H1384" s="27"/>
    </row>
    <row r="1385" spans="1:8" x14ac:dyDescent="0.2">
      <c r="A1385" s="27"/>
      <c r="B1385" s="30"/>
      <c r="C1385" s="28"/>
      <c r="D1385" s="28"/>
      <c r="E1385" s="28"/>
      <c r="F1385" s="28"/>
      <c r="G1385" s="27"/>
      <c r="H1385" s="27"/>
    </row>
    <row r="1386" spans="1:8" x14ac:dyDescent="0.2">
      <c r="A1386" s="27"/>
      <c r="B1386" s="30"/>
      <c r="C1386" s="28"/>
      <c r="D1386" s="28"/>
      <c r="E1386" s="28"/>
      <c r="F1386" s="28"/>
      <c r="G1386" s="27"/>
      <c r="H1386" s="27"/>
    </row>
    <row r="1387" spans="1:8" x14ac:dyDescent="0.2">
      <c r="A1387" s="27"/>
      <c r="B1387" s="30"/>
      <c r="G1387" s="27"/>
      <c r="H1387" s="27"/>
    </row>
    <row r="1388" spans="1:8" x14ac:dyDescent="0.2">
      <c r="A1388" s="27"/>
      <c r="B1388" s="30"/>
      <c r="G1388" s="27"/>
      <c r="H1388" s="27"/>
    </row>
    <row r="1389" spans="1:8" x14ac:dyDescent="0.2">
      <c r="A1389" s="27"/>
      <c r="B1389" s="30"/>
      <c r="G1389" s="27"/>
      <c r="H1389" s="27"/>
    </row>
    <row r="1390" spans="1:8" x14ac:dyDescent="0.2">
      <c r="A1390" s="27"/>
      <c r="B1390" s="30"/>
      <c r="G1390" s="27"/>
      <c r="H1390" s="27"/>
    </row>
    <row r="1391" spans="1:8" x14ac:dyDescent="0.2">
      <c r="A1391" s="27"/>
      <c r="B1391" s="30"/>
      <c r="C1391" s="28"/>
      <c r="D1391" s="28"/>
      <c r="E1391" s="28"/>
      <c r="F1391" s="28"/>
      <c r="G1391" s="27"/>
      <c r="H1391" s="27"/>
    </row>
    <row r="1392" spans="1:8" x14ac:dyDescent="0.2">
      <c r="A1392" s="27"/>
      <c r="B1392" s="30"/>
      <c r="G1392" s="27"/>
      <c r="H1392" s="27"/>
    </row>
    <row r="1393" spans="1:8" x14ac:dyDescent="0.2">
      <c r="A1393" s="27"/>
      <c r="B1393" s="30"/>
      <c r="C1393" s="28"/>
      <c r="D1393" s="28"/>
      <c r="E1393" s="28"/>
      <c r="F1393" s="28"/>
      <c r="G1393" s="27"/>
      <c r="H1393" s="27"/>
    </row>
    <row r="1394" spans="1:8" x14ac:dyDescent="0.2">
      <c r="A1394" s="27"/>
      <c r="B1394" s="30"/>
      <c r="G1394" s="27"/>
      <c r="H1394" s="27"/>
    </row>
    <row r="1395" spans="1:8" x14ac:dyDescent="0.2">
      <c r="A1395" s="27"/>
      <c r="B1395" s="30"/>
      <c r="C1395" s="28"/>
      <c r="D1395" s="28"/>
      <c r="E1395" s="28"/>
      <c r="F1395" s="28"/>
      <c r="G1395" s="27"/>
      <c r="H1395" s="27"/>
    </row>
    <row r="1396" spans="1:8" x14ac:dyDescent="0.2">
      <c r="A1396" s="27"/>
      <c r="B1396" s="30"/>
      <c r="G1396" s="27"/>
      <c r="H1396" s="27"/>
    </row>
    <row r="1397" spans="1:8" x14ac:dyDescent="0.2">
      <c r="A1397" s="27"/>
      <c r="B1397" s="30"/>
      <c r="C1397" s="28"/>
      <c r="D1397" s="28"/>
      <c r="E1397" s="28"/>
      <c r="F1397" s="28"/>
      <c r="G1397" s="27"/>
      <c r="H1397" s="27"/>
    </row>
    <row r="1398" spans="1:8" x14ac:dyDescent="0.2">
      <c r="A1398" s="27"/>
      <c r="B1398" s="30"/>
      <c r="C1398" s="28"/>
      <c r="D1398" s="28"/>
      <c r="E1398" s="28"/>
      <c r="F1398" s="28"/>
      <c r="G1398" s="27"/>
      <c r="H1398" s="27"/>
    </row>
    <row r="1399" spans="1:8" x14ac:dyDescent="0.2">
      <c r="A1399" s="27"/>
      <c r="B1399" s="30"/>
      <c r="G1399" s="27"/>
      <c r="H1399" s="27"/>
    </row>
    <row r="1400" spans="1:8" x14ac:dyDescent="0.2">
      <c r="A1400" s="27"/>
      <c r="B1400" s="30"/>
      <c r="C1400" s="28"/>
      <c r="D1400" s="28"/>
      <c r="E1400" s="28"/>
      <c r="F1400" s="28"/>
      <c r="G1400" s="27"/>
      <c r="H1400" s="27"/>
    </row>
    <row r="1401" spans="1:8" x14ac:dyDescent="0.2">
      <c r="A1401" s="27"/>
      <c r="B1401" s="30"/>
      <c r="C1401" s="28"/>
      <c r="D1401" s="28"/>
      <c r="E1401" s="28"/>
      <c r="F1401" s="28"/>
      <c r="G1401" s="27"/>
      <c r="H1401" s="27"/>
    </row>
    <row r="1402" spans="1:8" x14ac:dyDescent="0.2">
      <c r="A1402" s="27"/>
      <c r="B1402" s="30"/>
      <c r="G1402" s="27"/>
      <c r="H1402" s="27"/>
    </row>
    <row r="1403" spans="1:8" x14ac:dyDescent="0.2">
      <c r="A1403" s="27"/>
      <c r="B1403" s="30"/>
      <c r="G1403" s="27"/>
      <c r="H1403" s="27"/>
    </row>
    <row r="1404" spans="1:8" x14ac:dyDescent="0.2">
      <c r="A1404" s="27"/>
      <c r="B1404" s="30"/>
      <c r="G1404" s="27"/>
      <c r="H1404" s="27"/>
    </row>
    <row r="1405" spans="1:8" x14ac:dyDescent="0.2">
      <c r="A1405" s="27"/>
      <c r="B1405" s="30"/>
      <c r="G1405" s="27"/>
      <c r="H1405" s="27"/>
    </row>
    <row r="1406" spans="1:8" x14ac:dyDescent="0.2">
      <c r="A1406" s="27"/>
      <c r="B1406" s="30"/>
      <c r="G1406" s="27"/>
      <c r="H1406" s="27"/>
    </row>
    <row r="1407" spans="1:8" x14ac:dyDescent="0.2">
      <c r="A1407" s="27"/>
      <c r="B1407" s="30"/>
      <c r="G1407" s="27"/>
      <c r="H1407" s="27"/>
    </row>
    <row r="1408" spans="1:8" x14ac:dyDescent="0.2">
      <c r="A1408" s="27"/>
      <c r="B1408" s="30"/>
      <c r="G1408" s="27"/>
      <c r="H1408" s="27"/>
    </row>
    <row r="1409" spans="1:8" x14ac:dyDescent="0.2">
      <c r="A1409" s="27"/>
      <c r="B1409" s="30"/>
      <c r="G1409" s="27"/>
      <c r="H1409" s="27"/>
    </row>
    <row r="1410" spans="1:8" x14ac:dyDescent="0.2">
      <c r="A1410" s="27"/>
      <c r="B1410" s="30"/>
      <c r="G1410" s="27"/>
      <c r="H1410" s="27"/>
    </row>
    <row r="1411" spans="1:8" x14ac:dyDescent="0.2">
      <c r="A1411" s="27"/>
      <c r="B1411" s="30"/>
      <c r="G1411" s="27"/>
      <c r="H1411" s="27"/>
    </row>
    <row r="1412" spans="1:8" x14ac:dyDescent="0.2">
      <c r="A1412" s="27"/>
      <c r="B1412" s="30"/>
      <c r="G1412" s="27"/>
      <c r="H1412" s="27"/>
    </row>
    <row r="1413" spans="1:8" x14ac:dyDescent="0.2">
      <c r="A1413" s="27"/>
      <c r="B1413" s="30"/>
      <c r="G1413" s="27"/>
      <c r="H1413" s="27"/>
    </row>
    <row r="1414" spans="1:8" x14ac:dyDescent="0.2">
      <c r="A1414" s="27"/>
      <c r="B1414" s="30"/>
      <c r="G1414" s="27"/>
      <c r="H1414" s="27"/>
    </row>
    <row r="1415" spans="1:8" x14ac:dyDescent="0.2">
      <c r="A1415" s="27"/>
      <c r="B1415" s="30"/>
      <c r="C1415" s="28"/>
      <c r="D1415" s="28"/>
      <c r="E1415" s="28"/>
      <c r="F1415" s="28"/>
      <c r="G1415" s="27"/>
      <c r="H1415" s="27"/>
    </row>
    <row r="1416" spans="1:8" x14ac:dyDescent="0.2">
      <c r="A1416" s="27"/>
      <c r="B1416" s="30"/>
      <c r="C1416" s="28"/>
      <c r="D1416" s="28"/>
      <c r="E1416" s="28"/>
      <c r="F1416" s="28"/>
      <c r="G1416" s="27"/>
      <c r="H1416" s="27"/>
    </row>
    <row r="1417" spans="1:8" x14ac:dyDescent="0.2">
      <c r="A1417" s="27"/>
      <c r="B1417" s="30"/>
      <c r="G1417" s="27"/>
      <c r="H1417" s="27"/>
    </row>
    <row r="1418" spans="1:8" x14ac:dyDescent="0.2">
      <c r="A1418" s="27"/>
      <c r="B1418" s="30"/>
      <c r="G1418" s="27"/>
      <c r="H1418" s="27"/>
    </row>
    <row r="1419" spans="1:8" x14ac:dyDescent="0.2">
      <c r="A1419" s="27"/>
      <c r="B1419" s="30"/>
      <c r="G1419" s="27"/>
      <c r="H1419" s="27"/>
    </row>
    <row r="1420" spans="1:8" x14ac:dyDescent="0.2">
      <c r="A1420" s="27"/>
      <c r="B1420" s="30"/>
      <c r="G1420" s="27"/>
      <c r="H1420" s="27"/>
    </row>
    <row r="1421" spans="1:8" x14ac:dyDescent="0.2">
      <c r="A1421" s="27"/>
      <c r="B1421" s="30"/>
      <c r="G1421" s="27"/>
      <c r="H1421" s="27"/>
    </row>
    <row r="1422" spans="1:8" x14ac:dyDescent="0.2">
      <c r="A1422" s="27"/>
      <c r="B1422" s="30"/>
      <c r="C1422" s="28"/>
      <c r="D1422" s="28"/>
      <c r="E1422" s="28"/>
      <c r="F1422" s="28"/>
      <c r="G1422" s="27"/>
      <c r="H1422" s="27"/>
    </row>
    <row r="1423" spans="1:8" x14ac:dyDescent="0.2">
      <c r="A1423" s="27"/>
      <c r="B1423" s="30"/>
      <c r="G1423" s="27"/>
      <c r="H1423" s="27"/>
    </row>
    <row r="1424" spans="1:8" x14ac:dyDescent="0.2">
      <c r="A1424" s="27"/>
      <c r="B1424" s="30"/>
      <c r="G1424" s="27"/>
      <c r="H1424" s="27"/>
    </row>
    <row r="1425" spans="1:8" x14ac:dyDescent="0.2">
      <c r="A1425" s="27"/>
      <c r="B1425" s="30"/>
      <c r="G1425" s="27"/>
      <c r="H1425" s="27"/>
    </row>
    <row r="1426" spans="1:8" x14ac:dyDescent="0.2">
      <c r="A1426" s="27"/>
      <c r="B1426" s="30"/>
      <c r="C1426" s="28"/>
      <c r="D1426" s="28"/>
      <c r="E1426" s="28"/>
      <c r="F1426" s="28"/>
      <c r="G1426" s="27"/>
      <c r="H1426" s="27"/>
    </row>
    <row r="1427" spans="1:8" x14ac:dyDescent="0.2">
      <c r="A1427" s="27"/>
      <c r="B1427" s="30"/>
      <c r="G1427" s="27"/>
      <c r="H1427" s="27"/>
    </row>
    <row r="1428" spans="1:8" x14ac:dyDescent="0.2">
      <c r="A1428" s="27"/>
      <c r="B1428" s="30"/>
      <c r="G1428" s="27"/>
      <c r="H1428" s="27"/>
    </row>
    <row r="1429" spans="1:8" x14ac:dyDescent="0.2">
      <c r="A1429" s="27"/>
      <c r="B1429" s="30"/>
      <c r="C1429" s="28"/>
      <c r="D1429" s="28"/>
      <c r="E1429" s="28"/>
      <c r="F1429" s="28"/>
      <c r="G1429" s="27"/>
      <c r="H1429" s="27"/>
    </row>
    <row r="1430" spans="1:8" x14ac:dyDescent="0.2">
      <c r="A1430" s="27"/>
      <c r="B1430" s="30"/>
      <c r="C1430" s="28"/>
      <c r="D1430" s="28"/>
      <c r="E1430" s="28"/>
      <c r="F1430" s="28"/>
      <c r="G1430" s="27"/>
      <c r="H1430" s="27"/>
    </row>
    <row r="1431" spans="1:8" x14ac:dyDescent="0.2">
      <c r="A1431" s="27"/>
      <c r="B1431" s="30"/>
      <c r="C1431" s="28"/>
      <c r="D1431" s="28"/>
      <c r="E1431" s="28"/>
      <c r="F1431" s="28"/>
      <c r="G1431" s="27"/>
      <c r="H1431" s="27"/>
    </row>
    <row r="1432" spans="1:8" x14ac:dyDescent="0.2">
      <c r="A1432" s="27"/>
      <c r="B1432" s="30"/>
      <c r="G1432" s="27"/>
      <c r="H1432" s="27"/>
    </row>
    <row r="1433" spans="1:8" x14ac:dyDescent="0.2">
      <c r="A1433" s="27"/>
      <c r="B1433" s="30"/>
      <c r="C1433" s="28"/>
      <c r="D1433" s="28"/>
      <c r="E1433" s="28"/>
      <c r="F1433" s="28"/>
      <c r="G1433" s="27"/>
      <c r="H1433" s="27"/>
    </row>
    <row r="1434" spans="1:8" x14ac:dyDescent="0.2">
      <c r="A1434" s="27"/>
      <c r="B1434" s="30"/>
      <c r="C1434" s="28"/>
      <c r="D1434" s="28"/>
      <c r="E1434" s="28"/>
      <c r="F1434" s="28"/>
      <c r="G1434" s="27"/>
      <c r="H1434" s="27"/>
    </row>
    <row r="1435" spans="1:8" x14ac:dyDescent="0.2">
      <c r="A1435" s="27"/>
      <c r="B1435" s="30"/>
      <c r="G1435" s="27"/>
      <c r="H1435" s="27"/>
    </row>
    <row r="1436" spans="1:8" x14ac:dyDescent="0.2">
      <c r="A1436" s="27"/>
      <c r="B1436" s="30"/>
      <c r="G1436" s="27"/>
      <c r="H1436" s="27"/>
    </row>
    <row r="1437" spans="1:8" x14ac:dyDescent="0.2">
      <c r="A1437" s="27"/>
      <c r="B1437" s="30"/>
      <c r="G1437" s="27"/>
      <c r="H1437" s="27"/>
    </row>
    <row r="1438" spans="1:8" x14ac:dyDescent="0.2">
      <c r="A1438" s="27"/>
      <c r="B1438" s="30"/>
      <c r="G1438" s="27"/>
      <c r="H1438" s="27"/>
    </row>
    <row r="1439" spans="1:8" x14ac:dyDescent="0.2">
      <c r="A1439" s="27"/>
      <c r="B1439" s="30"/>
      <c r="G1439" s="27"/>
      <c r="H1439" s="27"/>
    </row>
    <row r="1440" spans="1:8" x14ac:dyDescent="0.2">
      <c r="A1440" s="27"/>
      <c r="B1440" s="30"/>
      <c r="G1440" s="27"/>
      <c r="H1440" s="27"/>
    </row>
    <row r="1441" spans="1:8" x14ac:dyDescent="0.2">
      <c r="A1441" s="27"/>
      <c r="B1441" s="30"/>
      <c r="G1441" s="27"/>
      <c r="H1441" s="27"/>
    </row>
    <row r="1442" spans="1:8" x14ac:dyDescent="0.2">
      <c r="A1442" s="27"/>
      <c r="B1442" s="30"/>
      <c r="G1442" s="27"/>
      <c r="H1442" s="27"/>
    </row>
    <row r="1443" spans="1:8" x14ac:dyDescent="0.2">
      <c r="A1443" s="27"/>
      <c r="B1443" s="30"/>
      <c r="G1443" s="27"/>
      <c r="H1443" s="27"/>
    </row>
    <row r="1444" spans="1:8" x14ac:dyDescent="0.2">
      <c r="A1444" s="27"/>
      <c r="B1444" s="30"/>
      <c r="G1444" s="27"/>
      <c r="H1444" s="27"/>
    </row>
    <row r="1445" spans="1:8" x14ac:dyDescent="0.2">
      <c r="A1445" s="27"/>
      <c r="B1445" s="30"/>
      <c r="G1445" s="27"/>
      <c r="H1445" s="27"/>
    </row>
    <row r="1446" spans="1:8" x14ac:dyDescent="0.2">
      <c r="A1446" s="27"/>
      <c r="B1446" s="30"/>
      <c r="C1446" s="28"/>
      <c r="D1446" s="28"/>
      <c r="E1446" s="28"/>
      <c r="F1446" s="28"/>
      <c r="G1446" s="27"/>
      <c r="H1446" s="27"/>
    </row>
    <row r="1447" spans="1:8" x14ac:dyDescent="0.2">
      <c r="A1447" s="27"/>
      <c r="B1447" s="30"/>
      <c r="G1447" s="27"/>
      <c r="H1447" s="27"/>
    </row>
    <row r="1448" spans="1:8" x14ac:dyDescent="0.2">
      <c r="A1448" s="27"/>
      <c r="B1448" s="30"/>
      <c r="G1448" s="27"/>
      <c r="H1448" s="27"/>
    </row>
    <row r="1449" spans="1:8" x14ac:dyDescent="0.2">
      <c r="A1449" s="27"/>
      <c r="B1449" s="30"/>
      <c r="C1449" s="28"/>
      <c r="D1449" s="28"/>
      <c r="E1449" s="28"/>
      <c r="F1449" s="28"/>
      <c r="G1449" s="27"/>
      <c r="H1449" s="27"/>
    </row>
    <row r="1450" spans="1:8" x14ac:dyDescent="0.2">
      <c r="A1450" s="27"/>
      <c r="B1450" s="30"/>
      <c r="G1450" s="27"/>
      <c r="H1450" s="27"/>
    </row>
    <row r="1451" spans="1:8" x14ac:dyDescent="0.2">
      <c r="A1451" s="27"/>
      <c r="B1451" s="30"/>
      <c r="C1451" s="28"/>
      <c r="D1451" s="28"/>
      <c r="E1451" s="28"/>
      <c r="F1451" s="28"/>
      <c r="G1451" s="27"/>
      <c r="H1451" s="27"/>
    </row>
    <row r="1452" spans="1:8" x14ac:dyDescent="0.2">
      <c r="A1452" s="27"/>
      <c r="B1452" s="30"/>
      <c r="G1452" s="27"/>
      <c r="H1452" s="27"/>
    </row>
    <row r="1453" spans="1:8" x14ac:dyDescent="0.2">
      <c r="A1453" s="27"/>
      <c r="B1453" s="30"/>
      <c r="G1453" s="27"/>
      <c r="H1453" s="27"/>
    </row>
    <row r="1454" spans="1:8" x14ac:dyDescent="0.2">
      <c r="A1454" s="27"/>
      <c r="B1454" s="30"/>
      <c r="C1454" s="28"/>
      <c r="D1454" s="28"/>
      <c r="E1454" s="28"/>
      <c r="F1454" s="28"/>
      <c r="G1454" s="27"/>
      <c r="H1454" s="27"/>
    </row>
    <row r="1455" spans="1:8" x14ac:dyDescent="0.2">
      <c r="A1455" s="27"/>
      <c r="B1455" s="30"/>
      <c r="G1455" s="27"/>
      <c r="H1455" s="27"/>
    </row>
    <row r="1456" spans="1:8" x14ac:dyDescent="0.2">
      <c r="A1456" s="27"/>
      <c r="B1456" s="30"/>
      <c r="G1456" s="27"/>
      <c r="H1456" s="27"/>
    </row>
    <row r="1457" spans="1:8" x14ac:dyDescent="0.2">
      <c r="A1457" s="27"/>
      <c r="B1457" s="30"/>
      <c r="G1457" s="27"/>
      <c r="H1457" s="27"/>
    </row>
    <row r="1458" spans="1:8" x14ac:dyDescent="0.2">
      <c r="A1458" s="27"/>
      <c r="B1458" s="30"/>
      <c r="G1458" s="27"/>
      <c r="H1458" s="27"/>
    </row>
    <row r="1459" spans="1:8" x14ac:dyDescent="0.2">
      <c r="A1459" s="27"/>
      <c r="B1459" s="30"/>
      <c r="C1459" s="28"/>
      <c r="D1459" s="28"/>
      <c r="E1459" s="28"/>
      <c r="F1459" s="28"/>
      <c r="G1459" s="27"/>
      <c r="H1459" s="27"/>
    </row>
    <row r="1460" spans="1:8" x14ac:dyDescent="0.2">
      <c r="A1460" s="27"/>
      <c r="B1460" s="30"/>
      <c r="G1460" s="27"/>
      <c r="H1460" s="27"/>
    </row>
    <row r="1461" spans="1:8" x14ac:dyDescent="0.2">
      <c r="A1461" s="27"/>
      <c r="B1461" s="30"/>
      <c r="G1461" s="27"/>
      <c r="H1461" s="27"/>
    </row>
    <row r="1462" spans="1:8" x14ac:dyDescent="0.2">
      <c r="A1462" s="27"/>
      <c r="B1462" s="30"/>
      <c r="G1462" s="27"/>
      <c r="H1462" s="27"/>
    </row>
    <row r="1463" spans="1:8" x14ac:dyDescent="0.2">
      <c r="A1463" s="27"/>
      <c r="B1463" s="30"/>
      <c r="G1463" s="27"/>
      <c r="H1463" s="27"/>
    </row>
    <row r="1464" spans="1:8" x14ac:dyDescent="0.2">
      <c r="A1464" s="27"/>
      <c r="B1464" s="30"/>
      <c r="C1464" s="28"/>
      <c r="D1464" s="28"/>
      <c r="E1464" s="28"/>
      <c r="F1464" s="28"/>
      <c r="G1464" s="27"/>
      <c r="H1464" s="27"/>
    </row>
    <row r="1465" spans="1:8" x14ac:dyDescent="0.2">
      <c r="A1465" s="27"/>
      <c r="B1465" s="30"/>
      <c r="G1465" s="27"/>
      <c r="H1465" s="27"/>
    </row>
    <row r="1466" spans="1:8" x14ac:dyDescent="0.2">
      <c r="A1466" s="27"/>
      <c r="B1466" s="30"/>
      <c r="C1466" s="28"/>
      <c r="D1466" s="28"/>
      <c r="E1466" s="28"/>
      <c r="F1466" s="28"/>
      <c r="G1466" s="27"/>
      <c r="H1466" s="27"/>
    </row>
    <row r="1467" spans="1:8" x14ac:dyDescent="0.2">
      <c r="A1467" s="27"/>
      <c r="B1467" s="30"/>
      <c r="G1467" s="27"/>
      <c r="H1467" s="27"/>
    </row>
    <row r="1468" spans="1:8" x14ac:dyDescent="0.2">
      <c r="A1468" s="27"/>
      <c r="B1468" s="30"/>
      <c r="G1468" s="27"/>
      <c r="H1468" s="27"/>
    </row>
    <row r="1469" spans="1:8" x14ac:dyDescent="0.2">
      <c r="A1469" s="27"/>
      <c r="B1469" s="30"/>
      <c r="G1469" s="27"/>
      <c r="H1469" s="27"/>
    </row>
    <row r="1470" spans="1:8" x14ac:dyDescent="0.2">
      <c r="A1470" s="27"/>
      <c r="B1470" s="30"/>
      <c r="G1470" s="27"/>
      <c r="H1470" s="27"/>
    </row>
    <row r="1471" spans="1:8" x14ac:dyDescent="0.2">
      <c r="A1471" s="27"/>
      <c r="B1471" s="30"/>
      <c r="G1471" s="27"/>
      <c r="H1471" s="27"/>
    </row>
    <row r="1472" spans="1:8" x14ac:dyDescent="0.2">
      <c r="A1472" s="27"/>
      <c r="B1472" s="30"/>
      <c r="C1472" s="28"/>
      <c r="D1472" s="28"/>
      <c r="E1472" s="28"/>
      <c r="F1472" s="28"/>
      <c r="G1472" s="27"/>
      <c r="H1472" s="27"/>
    </row>
    <row r="1473" spans="1:8" x14ac:dyDescent="0.2">
      <c r="A1473" s="27"/>
      <c r="B1473" s="30"/>
      <c r="G1473" s="27"/>
      <c r="H1473" s="27"/>
    </row>
    <row r="1474" spans="1:8" x14ac:dyDescent="0.2">
      <c r="A1474" s="27"/>
      <c r="B1474" s="30"/>
      <c r="C1474" s="28"/>
      <c r="D1474" s="28"/>
      <c r="E1474" s="28"/>
      <c r="F1474" s="28"/>
      <c r="G1474" s="27"/>
      <c r="H1474" s="27"/>
    </row>
    <row r="1475" spans="1:8" x14ac:dyDescent="0.2">
      <c r="A1475" s="27"/>
      <c r="B1475" s="30"/>
      <c r="G1475" s="27"/>
      <c r="H1475" s="27"/>
    </row>
    <row r="1476" spans="1:8" x14ac:dyDescent="0.2">
      <c r="A1476" s="27"/>
      <c r="B1476" s="30"/>
      <c r="C1476" s="28"/>
      <c r="D1476" s="28"/>
      <c r="E1476" s="28"/>
      <c r="F1476" s="28"/>
      <c r="G1476" s="27"/>
      <c r="H1476" s="27"/>
    </row>
    <row r="1477" spans="1:8" x14ac:dyDescent="0.2">
      <c r="A1477" s="27"/>
      <c r="B1477" s="30"/>
      <c r="G1477" s="27"/>
      <c r="H1477" s="27"/>
    </row>
    <row r="1478" spans="1:8" x14ac:dyDescent="0.2">
      <c r="A1478" s="27"/>
      <c r="B1478" s="30"/>
      <c r="G1478" s="27"/>
      <c r="H1478" s="27"/>
    </row>
    <row r="1479" spans="1:8" x14ac:dyDescent="0.2">
      <c r="A1479" s="27"/>
      <c r="B1479" s="30"/>
      <c r="C1479" s="28"/>
      <c r="D1479" s="28"/>
      <c r="E1479" s="28"/>
      <c r="F1479" s="28"/>
      <c r="G1479" s="27"/>
      <c r="H1479" s="27"/>
    </row>
    <row r="1480" spans="1:8" x14ac:dyDescent="0.2">
      <c r="A1480" s="27"/>
      <c r="B1480" s="30"/>
      <c r="C1480" s="28"/>
      <c r="D1480" s="28"/>
      <c r="E1480" s="28"/>
      <c r="F1480" s="28"/>
      <c r="G1480" s="27"/>
      <c r="H1480" s="27"/>
    </row>
    <row r="1481" spans="1:8" x14ac:dyDescent="0.2">
      <c r="A1481" s="27"/>
      <c r="B1481" s="30"/>
      <c r="G1481" s="27"/>
      <c r="H1481" s="27"/>
    </row>
    <row r="1482" spans="1:8" x14ac:dyDescent="0.2">
      <c r="A1482" s="27"/>
      <c r="B1482" s="30"/>
      <c r="G1482" s="27"/>
      <c r="H1482" s="27"/>
    </row>
    <row r="1483" spans="1:8" x14ac:dyDescent="0.2">
      <c r="A1483" s="27"/>
      <c r="B1483" s="30"/>
      <c r="G1483" s="27"/>
      <c r="H1483" s="27"/>
    </row>
    <row r="1484" spans="1:8" x14ac:dyDescent="0.2">
      <c r="A1484" s="27"/>
      <c r="B1484" s="30"/>
      <c r="G1484" s="27"/>
      <c r="H1484" s="27"/>
    </row>
    <row r="1485" spans="1:8" x14ac:dyDescent="0.2">
      <c r="A1485" s="27"/>
      <c r="B1485" s="30"/>
      <c r="C1485" s="28"/>
      <c r="D1485" s="28"/>
      <c r="E1485" s="28"/>
      <c r="F1485" s="28"/>
      <c r="G1485" s="27"/>
      <c r="H1485" s="27"/>
    </row>
    <row r="1486" spans="1:8" x14ac:dyDescent="0.2">
      <c r="A1486" s="27"/>
      <c r="B1486" s="30"/>
      <c r="C1486" s="28"/>
      <c r="D1486" s="28"/>
      <c r="E1486" s="28"/>
      <c r="F1486" s="28"/>
      <c r="G1486" s="27"/>
      <c r="H1486" s="27"/>
    </row>
    <row r="1487" spans="1:8" x14ac:dyDescent="0.2">
      <c r="A1487" s="27"/>
      <c r="B1487" s="30"/>
      <c r="G1487" s="27"/>
      <c r="H1487" s="27"/>
    </row>
    <row r="1488" spans="1:8" x14ac:dyDescent="0.2">
      <c r="A1488" s="27"/>
      <c r="B1488" s="30"/>
      <c r="G1488" s="27"/>
      <c r="H1488" s="27"/>
    </row>
    <row r="1489" spans="1:8" x14ac:dyDescent="0.2">
      <c r="A1489" s="27"/>
      <c r="B1489" s="30"/>
      <c r="C1489" s="28"/>
      <c r="D1489" s="28"/>
      <c r="E1489" s="28"/>
      <c r="F1489" s="28"/>
      <c r="G1489" s="27"/>
      <c r="H1489" s="27"/>
    </row>
    <row r="1490" spans="1:8" x14ac:dyDescent="0.2">
      <c r="A1490" s="27"/>
      <c r="B1490" s="30"/>
      <c r="C1490" s="28"/>
      <c r="D1490" s="28"/>
      <c r="E1490" s="28"/>
      <c r="F1490" s="28"/>
      <c r="G1490" s="27"/>
      <c r="H1490" s="27"/>
    </row>
    <row r="1491" spans="1:8" x14ac:dyDescent="0.2">
      <c r="A1491" s="27"/>
      <c r="B1491" s="30"/>
      <c r="G1491" s="27"/>
      <c r="H1491" s="27"/>
    </row>
    <row r="1492" spans="1:8" x14ac:dyDescent="0.2">
      <c r="A1492" s="27"/>
      <c r="B1492" s="30"/>
      <c r="G1492" s="27"/>
      <c r="H1492" s="27"/>
    </row>
    <row r="1493" spans="1:8" x14ac:dyDescent="0.2">
      <c r="A1493" s="27"/>
      <c r="B1493" s="30"/>
      <c r="G1493" s="27"/>
      <c r="H1493" s="27"/>
    </row>
    <row r="1494" spans="1:8" x14ac:dyDescent="0.2">
      <c r="A1494" s="27"/>
      <c r="B1494" s="30"/>
      <c r="G1494" s="27"/>
      <c r="H1494" s="27"/>
    </row>
    <row r="1495" spans="1:8" x14ac:dyDescent="0.2">
      <c r="A1495" s="27"/>
      <c r="B1495" s="30"/>
      <c r="C1495" s="28"/>
      <c r="D1495" s="28"/>
      <c r="E1495" s="28"/>
      <c r="F1495" s="28"/>
      <c r="G1495" s="27"/>
      <c r="H1495" s="27"/>
    </row>
    <row r="1496" spans="1:8" x14ac:dyDescent="0.2">
      <c r="A1496" s="27"/>
      <c r="B1496" s="30"/>
      <c r="G1496" s="27"/>
      <c r="H1496" s="27"/>
    </row>
    <row r="1497" spans="1:8" x14ac:dyDescent="0.2">
      <c r="A1497" s="27"/>
      <c r="B1497" s="30"/>
      <c r="G1497" s="27"/>
      <c r="H1497" s="27"/>
    </row>
    <row r="1498" spans="1:8" x14ac:dyDescent="0.2">
      <c r="A1498" s="27"/>
      <c r="B1498" s="30"/>
      <c r="G1498" s="27"/>
      <c r="H1498" s="27"/>
    </row>
    <row r="1499" spans="1:8" x14ac:dyDescent="0.2">
      <c r="A1499" s="27"/>
      <c r="B1499" s="30"/>
      <c r="C1499" s="28"/>
      <c r="D1499" s="28"/>
      <c r="E1499" s="28"/>
      <c r="F1499" s="28"/>
      <c r="G1499" s="27"/>
      <c r="H1499" s="27"/>
    </row>
    <row r="1500" spans="1:8" x14ac:dyDescent="0.2">
      <c r="A1500" s="27"/>
      <c r="B1500" s="30"/>
      <c r="G1500" s="27"/>
      <c r="H1500" s="27"/>
    </row>
    <row r="1501" spans="1:8" x14ac:dyDescent="0.2">
      <c r="A1501" s="27"/>
      <c r="B1501" s="30"/>
      <c r="G1501" s="27"/>
      <c r="H1501" s="27"/>
    </row>
    <row r="1502" spans="1:8" x14ac:dyDescent="0.2">
      <c r="A1502" s="27"/>
      <c r="B1502" s="30"/>
      <c r="G1502" s="27"/>
      <c r="H1502" s="27"/>
    </row>
    <row r="1503" spans="1:8" x14ac:dyDescent="0.2">
      <c r="A1503" s="27"/>
      <c r="B1503" s="30"/>
      <c r="G1503" s="27"/>
      <c r="H1503" s="27"/>
    </row>
    <row r="1504" spans="1:8" x14ac:dyDescent="0.2">
      <c r="A1504" s="27"/>
      <c r="B1504" s="30"/>
      <c r="G1504" s="27"/>
      <c r="H1504" s="27"/>
    </row>
    <row r="1505" spans="1:8" x14ac:dyDescent="0.2">
      <c r="A1505" s="27"/>
      <c r="B1505" s="30"/>
      <c r="G1505" s="27"/>
      <c r="H1505" s="27"/>
    </row>
    <row r="1506" spans="1:8" x14ac:dyDescent="0.2">
      <c r="A1506" s="27"/>
      <c r="B1506" s="30"/>
      <c r="G1506" s="27"/>
      <c r="H1506" s="27"/>
    </row>
    <row r="1507" spans="1:8" x14ac:dyDescent="0.2">
      <c r="A1507" s="27"/>
      <c r="B1507" s="30"/>
      <c r="C1507" s="28"/>
      <c r="D1507" s="28"/>
      <c r="E1507" s="28"/>
      <c r="F1507" s="28"/>
      <c r="G1507" s="27"/>
      <c r="H1507" s="27"/>
    </row>
    <row r="1508" spans="1:8" x14ac:dyDescent="0.2">
      <c r="A1508" s="27"/>
      <c r="B1508" s="30"/>
      <c r="C1508" s="28"/>
      <c r="D1508" s="28"/>
      <c r="E1508" s="28"/>
      <c r="F1508" s="28"/>
      <c r="G1508" s="27"/>
      <c r="H1508" s="27"/>
    </row>
    <row r="1509" spans="1:8" x14ac:dyDescent="0.2">
      <c r="A1509" s="27"/>
      <c r="B1509" s="30"/>
      <c r="C1509" s="28"/>
      <c r="D1509" s="28"/>
      <c r="E1509" s="28"/>
      <c r="F1509" s="28"/>
      <c r="G1509" s="27"/>
      <c r="H1509" s="27"/>
    </row>
    <row r="1510" spans="1:8" x14ac:dyDescent="0.2">
      <c r="A1510" s="27"/>
      <c r="B1510" s="30"/>
      <c r="G1510" s="27"/>
      <c r="H1510" s="27"/>
    </row>
    <row r="1511" spans="1:8" x14ac:dyDescent="0.2">
      <c r="A1511" s="27"/>
      <c r="B1511" s="30"/>
      <c r="G1511" s="27"/>
      <c r="H1511" s="27"/>
    </row>
    <row r="1512" spans="1:8" x14ac:dyDescent="0.2">
      <c r="A1512" s="27"/>
      <c r="B1512" s="30"/>
      <c r="C1512" s="28"/>
      <c r="D1512" s="28"/>
      <c r="E1512" s="28"/>
      <c r="F1512" s="28"/>
      <c r="G1512" s="27"/>
      <c r="H1512" s="27"/>
    </row>
    <row r="1513" spans="1:8" x14ac:dyDescent="0.2">
      <c r="A1513" s="27"/>
      <c r="B1513" s="30"/>
      <c r="C1513" s="28"/>
      <c r="D1513" s="28"/>
      <c r="E1513" s="28"/>
      <c r="F1513" s="28"/>
      <c r="G1513" s="27"/>
      <c r="H1513" s="27"/>
    </row>
    <row r="1514" spans="1:8" x14ac:dyDescent="0.2">
      <c r="A1514" s="27"/>
      <c r="B1514" s="30"/>
      <c r="G1514" s="27"/>
      <c r="H1514" s="27"/>
    </row>
    <row r="1515" spans="1:8" x14ac:dyDescent="0.2">
      <c r="A1515" s="27"/>
      <c r="B1515" s="30"/>
      <c r="G1515" s="27"/>
      <c r="H1515" s="27"/>
    </row>
    <row r="1516" spans="1:8" x14ac:dyDescent="0.2">
      <c r="A1516" s="27"/>
      <c r="B1516" s="30"/>
      <c r="G1516" s="27"/>
      <c r="H1516" s="27"/>
    </row>
    <row r="1517" spans="1:8" x14ac:dyDescent="0.2">
      <c r="A1517" s="27"/>
      <c r="B1517" s="30"/>
      <c r="G1517" s="27"/>
      <c r="H1517" s="27"/>
    </row>
    <row r="1518" spans="1:8" x14ac:dyDescent="0.2">
      <c r="A1518" s="27"/>
      <c r="B1518" s="30"/>
      <c r="G1518" s="27"/>
      <c r="H1518" s="27"/>
    </row>
    <row r="1519" spans="1:8" x14ac:dyDescent="0.2">
      <c r="A1519" s="27"/>
      <c r="B1519" s="30"/>
      <c r="C1519" s="28"/>
      <c r="D1519" s="28"/>
      <c r="E1519" s="28"/>
      <c r="F1519" s="28"/>
      <c r="G1519" s="27"/>
      <c r="H1519" s="27"/>
    </row>
    <row r="1520" spans="1:8" x14ac:dyDescent="0.2">
      <c r="A1520" s="27"/>
      <c r="B1520" s="30"/>
      <c r="G1520" s="27"/>
      <c r="H1520" s="27"/>
    </row>
    <row r="1521" spans="1:8" x14ac:dyDescent="0.2">
      <c r="A1521" s="27"/>
      <c r="B1521" s="30"/>
      <c r="G1521" s="27"/>
      <c r="H1521" s="27"/>
    </row>
    <row r="1522" spans="1:8" x14ac:dyDescent="0.2">
      <c r="A1522" s="27"/>
      <c r="B1522" s="30"/>
      <c r="G1522" s="27"/>
      <c r="H1522" s="27"/>
    </row>
    <row r="1523" spans="1:8" x14ac:dyDescent="0.2">
      <c r="A1523" s="27"/>
      <c r="B1523" s="30"/>
      <c r="G1523" s="27"/>
      <c r="H1523" s="27"/>
    </row>
    <row r="1524" spans="1:8" x14ac:dyDescent="0.2">
      <c r="A1524" s="27"/>
      <c r="B1524" s="30"/>
      <c r="C1524" s="28"/>
      <c r="D1524" s="28"/>
      <c r="E1524" s="28"/>
      <c r="F1524" s="28"/>
      <c r="G1524" s="27"/>
      <c r="H1524" s="27"/>
    </row>
    <row r="1525" spans="1:8" x14ac:dyDescent="0.2">
      <c r="A1525" s="27"/>
      <c r="B1525" s="30"/>
      <c r="G1525" s="27"/>
      <c r="H1525" s="27"/>
    </row>
    <row r="1526" spans="1:8" x14ac:dyDescent="0.2">
      <c r="A1526" s="27"/>
      <c r="B1526" s="30"/>
      <c r="G1526" s="27"/>
      <c r="H1526" s="27"/>
    </row>
    <row r="1527" spans="1:8" x14ac:dyDescent="0.2">
      <c r="A1527" s="27"/>
      <c r="B1527" s="30"/>
      <c r="G1527" s="27"/>
      <c r="H1527" s="27"/>
    </row>
    <row r="1528" spans="1:8" x14ac:dyDescent="0.2">
      <c r="A1528" s="27"/>
      <c r="B1528" s="30"/>
      <c r="G1528" s="27"/>
      <c r="H1528" s="27"/>
    </row>
    <row r="1529" spans="1:8" x14ac:dyDescent="0.2">
      <c r="A1529" s="27"/>
      <c r="B1529" s="30"/>
      <c r="G1529" s="27"/>
      <c r="H1529" s="27"/>
    </row>
    <row r="1530" spans="1:8" x14ac:dyDescent="0.2">
      <c r="A1530" s="27"/>
      <c r="B1530" s="30"/>
      <c r="G1530" s="27"/>
      <c r="H1530" s="27"/>
    </row>
    <row r="1531" spans="1:8" x14ac:dyDescent="0.2">
      <c r="A1531" s="27"/>
      <c r="B1531" s="30"/>
      <c r="G1531" s="27"/>
      <c r="H1531" s="27"/>
    </row>
    <row r="1532" spans="1:8" x14ac:dyDescent="0.2">
      <c r="A1532" s="27"/>
      <c r="B1532" s="30"/>
      <c r="C1532" s="28"/>
      <c r="D1532" s="28"/>
      <c r="E1532" s="28"/>
      <c r="F1532" s="28"/>
      <c r="G1532" s="27"/>
      <c r="H1532" s="27"/>
    </row>
    <row r="1533" spans="1:8" x14ac:dyDescent="0.2">
      <c r="A1533" s="27"/>
      <c r="B1533" s="30"/>
      <c r="C1533" s="28"/>
      <c r="D1533" s="28"/>
      <c r="E1533" s="28"/>
      <c r="F1533" s="28"/>
      <c r="G1533" s="27"/>
      <c r="H1533" s="27"/>
    </row>
    <row r="1534" spans="1:8" x14ac:dyDescent="0.2">
      <c r="A1534" s="27"/>
      <c r="B1534" s="30"/>
      <c r="G1534" s="27"/>
      <c r="H1534" s="27"/>
    </row>
    <row r="1535" spans="1:8" x14ac:dyDescent="0.2">
      <c r="A1535" s="27"/>
      <c r="B1535" s="30"/>
      <c r="C1535" s="28"/>
      <c r="D1535" s="28"/>
      <c r="E1535" s="28"/>
      <c r="F1535" s="28"/>
      <c r="G1535" s="27"/>
      <c r="H1535" s="27"/>
    </row>
    <row r="1536" spans="1:8" x14ac:dyDescent="0.2">
      <c r="A1536" s="27"/>
      <c r="B1536" s="30"/>
      <c r="G1536" s="27"/>
      <c r="H1536" s="27"/>
    </row>
    <row r="1537" spans="1:8" x14ac:dyDescent="0.2">
      <c r="A1537" s="27"/>
      <c r="B1537" s="30"/>
      <c r="G1537" s="27"/>
      <c r="H1537" s="27"/>
    </row>
    <row r="1538" spans="1:8" x14ac:dyDescent="0.2">
      <c r="A1538" s="27"/>
      <c r="B1538" s="30"/>
      <c r="G1538" s="27"/>
      <c r="H1538" s="27"/>
    </row>
    <row r="1539" spans="1:8" x14ac:dyDescent="0.2">
      <c r="A1539" s="27"/>
      <c r="B1539" s="30"/>
      <c r="G1539" s="27"/>
      <c r="H1539" s="27"/>
    </row>
    <row r="1540" spans="1:8" x14ac:dyDescent="0.2">
      <c r="A1540" s="27"/>
      <c r="B1540" s="30"/>
      <c r="G1540" s="27"/>
      <c r="H1540" s="27"/>
    </row>
    <row r="1541" spans="1:8" x14ac:dyDescent="0.2">
      <c r="A1541" s="27"/>
      <c r="B1541" s="30"/>
      <c r="G1541" s="27"/>
      <c r="H1541" s="27"/>
    </row>
    <row r="1542" spans="1:8" x14ac:dyDescent="0.2">
      <c r="A1542" s="27"/>
      <c r="B1542" s="30"/>
      <c r="C1542" s="28"/>
      <c r="D1542" s="28"/>
      <c r="E1542" s="28"/>
      <c r="F1542" s="28"/>
      <c r="G1542" s="27"/>
      <c r="H1542" s="27"/>
    </row>
    <row r="1543" spans="1:8" x14ac:dyDescent="0.2">
      <c r="A1543" s="27"/>
      <c r="B1543" s="30"/>
      <c r="G1543" s="27"/>
      <c r="H1543" s="27"/>
    </row>
    <row r="1544" spans="1:8" x14ac:dyDescent="0.2">
      <c r="A1544" s="27"/>
      <c r="B1544" s="30"/>
      <c r="G1544" s="27"/>
      <c r="H1544" s="27"/>
    </row>
    <row r="1545" spans="1:8" x14ac:dyDescent="0.2">
      <c r="A1545" s="27"/>
      <c r="B1545" s="30"/>
      <c r="G1545" s="27"/>
      <c r="H1545" s="27"/>
    </row>
    <row r="1546" spans="1:8" x14ac:dyDescent="0.2">
      <c r="A1546" s="27"/>
      <c r="B1546" s="30"/>
      <c r="G1546" s="27"/>
      <c r="H1546" s="27"/>
    </row>
    <row r="1547" spans="1:8" x14ac:dyDescent="0.2">
      <c r="A1547" s="27"/>
      <c r="B1547" s="30"/>
      <c r="G1547" s="27"/>
      <c r="H1547" s="27"/>
    </row>
    <row r="1548" spans="1:8" x14ac:dyDescent="0.2">
      <c r="A1548" s="27"/>
      <c r="B1548" s="30"/>
      <c r="C1548" s="28"/>
      <c r="D1548" s="28"/>
      <c r="E1548" s="28"/>
      <c r="F1548" s="28"/>
      <c r="G1548" s="27"/>
      <c r="H1548" s="27"/>
    </row>
    <row r="1549" spans="1:8" x14ac:dyDescent="0.2">
      <c r="A1549" s="27"/>
      <c r="B1549" s="30"/>
      <c r="C1549" s="28"/>
      <c r="D1549" s="28"/>
      <c r="E1549" s="28"/>
      <c r="F1549" s="28"/>
      <c r="G1549" s="27"/>
      <c r="H1549" s="27"/>
    </row>
    <row r="1550" spans="1:8" x14ac:dyDescent="0.2">
      <c r="A1550" s="27"/>
      <c r="B1550" s="30"/>
      <c r="C1550" s="28"/>
      <c r="D1550" s="28"/>
      <c r="E1550" s="28"/>
      <c r="F1550" s="28"/>
      <c r="G1550" s="27"/>
      <c r="H1550" s="27"/>
    </row>
    <row r="1551" spans="1:8" x14ac:dyDescent="0.2">
      <c r="A1551" s="27"/>
      <c r="B1551" s="30"/>
      <c r="G1551" s="27"/>
      <c r="H1551" s="27"/>
    </row>
    <row r="1552" spans="1:8" x14ac:dyDescent="0.2">
      <c r="A1552" s="27"/>
      <c r="B1552" s="30"/>
      <c r="G1552" s="27"/>
      <c r="H1552" s="27"/>
    </row>
    <row r="1553" spans="1:8" x14ac:dyDescent="0.2">
      <c r="A1553" s="27"/>
      <c r="B1553" s="30"/>
      <c r="C1553" s="28"/>
      <c r="D1553" s="28"/>
      <c r="E1553" s="28"/>
      <c r="F1553" s="28"/>
      <c r="G1553" s="27"/>
      <c r="H1553" s="27"/>
    </row>
    <row r="1554" spans="1:8" x14ac:dyDescent="0.2">
      <c r="A1554" s="27"/>
      <c r="B1554" s="30"/>
      <c r="C1554" s="28"/>
      <c r="D1554" s="28"/>
      <c r="E1554" s="28"/>
      <c r="F1554" s="28"/>
      <c r="G1554" s="27"/>
      <c r="H1554" s="27"/>
    </row>
    <row r="1555" spans="1:8" x14ac:dyDescent="0.2">
      <c r="A1555" s="27"/>
      <c r="B1555" s="30"/>
      <c r="G1555" s="27"/>
      <c r="H1555" s="27"/>
    </row>
    <row r="1556" spans="1:8" x14ac:dyDescent="0.2">
      <c r="A1556" s="27"/>
      <c r="B1556" s="30"/>
      <c r="G1556" s="27"/>
      <c r="H1556" s="27"/>
    </row>
    <row r="1557" spans="1:8" x14ac:dyDescent="0.2">
      <c r="A1557" s="27"/>
      <c r="B1557" s="30"/>
      <c r="G1557" s="27"/>
      <c r="H1557" s="27"/>
    </row>
    <row r="1558" spans="1:8" x14ac:dyDescent="0.2">
      <c r="A1558" s="27"/>
      <c r="B1558" s="30"/>
      <c r="G1558" s="27"/>
      <c r="H1558" s="27"/>
    </row>
    <row r="1559" spans="1:8" x14ac:dyDescent="0.2">
      <c r="A1559" s="27"/>
      <c r="B1559" s="30"/>
      <c r="G1559" s="27"/>
      <c r="H1559" s="27"/>
    </row>
    <row r="1560" spans="1:8" x14ac:dyDescent="0.2">
      <c r="A1560" s="27"/>
      <c r="B1560" s="30"/>
      <c r="G1560" s="27"/>
      <c r="H1560" s="27"/>
    </row>
    <row r="1561" spans="1:8" x14ac:dyDescent="0.2">
      <c r="A1561" s="27"/>
      <c r="B1561" s="30"/>
      <c r="C1561" s="28"/>
      <c r="D1561" s="28"/>
      <c r="E1561" s="28"/>
      <c r="F1561" s="28"/>
      <c r="G1561" s="27"/>
      <c r="H1561" s="27"/>
    </row>
    <row r="1562" spans="1:8" x14ac:dyDescent="0.2">
      <c r="A1562" s="27"/>
      <c r="B1562" s="30"/>
      <c r="G1562" s="27"/>
      <c r="H1562" s="27"/>
    </row>
    <row r="1563" spans="1:8" x14ac:dyDescent="0.2">
      <c r="A1563" s="27"/>
      <c r="B1563" s="30"/>
      <c r="G1563" s="27"/>
      <c r="H1563" s="27"/>
    </row>
    <row r="1564" spans="1:8" x14ac:dyDescent="0.2">
      <c r="A1564" s="27"/>
      <c r="B1564" s="30"/>
      <c r="G1564" s="27"/>
      <c r="H1564" s="27"/>
    </row>
    <row r="1565" spans="1:8" x14ac:dyDescent="0.2">
      <c r="A1565" s="27"/>
      <c r="B1565" s="30"/>
      <c r="C1565" s="28"/>
      <c r="D1565" s="28"/>
      <c r="E1565" s="28"/>
      <c r="F1565" s="28"/>
      <c r="G1565" s="27"/>
      <c r="H1565" s="27"/>
    </row>
    <row r="1566" spans="1:8" x14ac:dyDescent="0.2">
      <c r="A1566" s="27"/>
      <c r="B1566" s="30"/>
      <c r="C1566" s="28"/>
      <c r="D1566" s="28"/>
      <c r="E1566" s="28"/>
      <c r="F1566" s="28"/>
      <c r="G1566" s="27"/>
      <c r="H1566" s="27"/>
    </row>
    <row r="1567" spans="1:8" x14ac:dyDescent="0.2">
      <c r="A1567" s="27"/>
      <c r="B1567" s="30"/>
      <c r="C1567" s="28"/>
      <c r="D1567" s="28"/>
      <c r="E1567" s="28"/>
      <c r="F1567" s="28"/>
      <c r="G1567" s="27"/>
      <c r="H1567" s="27"/>
    </row>
    <row r="1568" spans="1:8" x14ac:dyDescent="0.2">
      <c r="A1568" s="27"/>
      <c r="B1568" s="30"/>
      <c r="G1568" s="27"/>
      <c r="H1568" s="27"/>
    </row>
    <row r="1569" spans="1:8" x14ac:dyDescent="0.2">
      <c r="A1569" s="27"/>
      <c r="B1569" s="30"/>
      <c r="G1569" s="27"/>
      <c r="H1569" s="27"/>
    </row>
    <row r="1570" spans="1:8" x14ac:dyDescent="0.2">
      <c r="A1570" s="27"/>
      <c r="B1570" s="30"/>
      <c r="C1570" s="28"/>
      <c r="D1570" s="28"/>
      <c r="E1570" s="28"/>
      <c r="F1570" s="28"/>
      <c r="G1570" s="27"/>
      <c r="H1570" s="27"/>
    </row>
    <row r="1571" spans="1:8" x14ac:dyDescent="0.2">
      <c r="A1571" s="27"/>
      <c r="B1571" s="30"/>
      <c r="G1571" s="27"/>
      <c r="H1571" s="27"/>
    </row>
    <row r="1572" spans="1:8" x14ac:dyDescent="0.2">
      <c r="A1572" s="27"/>
      <c r="B1572" s="30"/>
      <c r="C1572" s="28"/>
      <c r="D1572" s="28"/>
      <c r="E1572" s="28"/>
      <c r="F1572" s="28"/>
      <c r="G1572" s="27"/>
      <c r="H1572" s="27"/>
    </row>
    <row r="1573" spans="1:8" x14ac:dyDescent="0.2">
      <c r="A1573" s="27"/>
      <c r="B1573" s="30"/>
      <c r="G1573" s="27"/>
      <c r="H1573" s="27"/>
    </row>
    <row r="1574" spans="1:8" x14ac:dyDescent="0.2">
      <c r="A1574" s="27"/>
      <c r="B1574" s="30"/>
      <c r="G1574" s="27"/>
      <c r="H1574" s="27"/>
    </row>
    <row r="1575" spans="1:8" x14ac:dyDescent="0.2">
      <c r="A1575" s="27"/>
      <c r="B1575" s="30"/>
      <c r="G1575" s="27"/>
      <c r="H1575" s="27"/>
    </row>
    <row r="1576" spans="1:8" x14ac:dyDescent="0.2">
      <c r="A1576" s="27"/>
      <c r="B1576" s="30"/>
      <c r="C1576" s="28"/>
      <c r="D1576" s="28"/>
      <c r="E1576" s="28"/>
      <c r="F1576" s="28"/>
      <c r="G1576" s="27"/>
      <c r="H1576" s="27"/>
    </row>
    <row r="1577" spans="1:8" x14ac:dyDescent="0.2">
      <c r="A1577" s="27"/>
      <c r="B1577" s="30"/>
      <c r="C1577" s="28"/>
      <c r="D1577" s="28"/>
      <c r="E1577" s="28"/>
      <c r="F1577" s="28"/>
      <c r="G1577" s="27"/>
      <c r="H1577" s="27"/>
    </row>
    <row r="1578" spans="1:8" x14ac:dyDescent="0.2">
      <c r="A1578" s="27"/>
      <c r="B1578" s="30"/>
      <c r="C1578" s="28"/>
      <c r="D1578" s="28"/>
      <c r="E1578" s="28"/>
      <c r="F1578" s="28"/>
      <c r="G1578" s="27"/>
      <c r="H1578" s="27"/>
    </row>
    <row r="1579" spans="1:8" x14ac:dyDescent="0.2">
      <c r="A1579" s="27"/>
      <c r="B1579" s="30"/>
      <c r="G1579" s="27"/>
      <c r="H1579" s="27"/>
    </row>
    <row r="1580" spans="1:8" x14ac:dyDescent="0.2">
      <c r="A1580" s="27"/>
      <c r="B1580" s="30"/>
      <c r="C1580" s="28"/>
      <c r="D1580" s="28"/>
      <c r="E1580" s="28"/>
      <c r="F1580" s="28"/>
      <c r="G1580" s="27"/>
      <c r="H1580" s="27"/>
    </row>
    <row r="1581" spans="1:8" x14ac:dyDescent="0.2">
      <c r="A1581" s="27"/>
      <c r="B1581" s="30"/>
      <c r="G1581" s="27"/>
      <c r="H1581" s="27"/>
    </row>
    <row r="1582" spans="1:8" x14ac:dyDescent="0.2">
      <c r="A1582" s="27"/>
      <c r="B1582" s="30"/>
      <c r="G1582" s="27"/>
      <c r="H1582" s="27"/>
    </row>
    <row r="1583" spans="1:8" x14ac:dyDescent="0.2">
      <c r="A1583" s="27"/>
      <c r="B1583" s="30"/>
      <c r="G1583" s="27"/>
      <c r="H1583" s="27"/>
    </row>
    <row r="1584" spans="1:8" x14ac:dyDescent="0.2">
      <c r="A1584" s="27"/>
      <c r="B1584" s="30"/>
      <c r="G1584" s="27"/>
      <c r="H1584" s="27"/>
    </row>
    <row r="1585" spans="1:8" x14ac:dyDescent="0.2">
      <c r="A1585" s="27"/>
      <c r="B1585" s="30"/>
      <c r="C1585" s="28"/>
      <c r="D1585" s="28"/>
      <c r="E1585" s="28"/>
      <c r="F1585" s="28"/>
      <c r="G1585" s="27"/>
      <c r="H1585" s="27"/>
    </row>
    <row r="1586" spans="1:8" x14ac:dyDescent="0.2">
      <c r="A1586" s="27"/>
      <c r="B1586" s="30"/>
      <c r="G1586" s="27"/>
      <c r="H1586" s="27"/>
    </row>
    <row r="1587" spans="1:8" x14ac:dyDescent="0.2">
      <c r="A1587" s="27"/>
      <c r="B1587" s="30"/>
      <c r="G1587" s="27"/>
      <c r="H1587" s="27"/>
    </row>
    <row r="1588" spans="1:8" x14ac:dyDescent="0.2">
      <c r="A1588" s="27"/>
      <c r="B1588" s="30"/>
      <c r="G1588" s="27"/>
      <c r="H1588" s="27"/>
    </row>
    <row r="1589" spans="1:8" x14ac:dyDescent="0.2">
      <c r="A1589" s="27"/>
      <c r="B1589" s="30"/>
      <c r="G1589" s="27"/>
      <c r="H1589" s="27"/>
    </row>
    <row r="1590" spans="1:8" x14ac:dyDescent="0.2">
      <c r="A1590" s="27"/>
      <c r="B1590" s="30"/>
      <c r="G1590" s="27"/>
      <c r="H1590" s="27"/>
    </row>
    <row r="1591" spans="1:8" x14ac:dyDescent="0.2">
      <c r="A1591" s="27"/>
      <c r="B1591" s="30"/>
      <c r="G1591" s="27"/>
      <c r="H1591" s="27"/>
    </row>
    <row r="1592" spans="1:8" x14ac:dyDescent="0.2">
      <c r="A1592" s="27"/>
      <c r="B1592" s="30"/>
      <c r="G1592" s="27"/>
      <c r="H1592" s="27"/>
    </row>
    <row r="1593" spans="1:8" x14ac:dyDescent="0.2">
      <c r="A1593" s="27"/>
      <c r="B1593" s="30"/>
      <c r="G1593" s="27"/>
      <c r="H1593" s="27"/>
    </row>
    <row r="1594" spans="1:8" x14ac:dyDescent="0.2">
      <c r="A1594" s="27"/>
      <c r="B1594" s="30"/>
      <c r="G1594" s="27"/>
      <c r="H1594" s="27"/>
    </row>
    <row r="1595" spans="1:8" x14ac:dyDescent="0.2">
      <c r="A1595" s="27"/>
      <c r="B1595" s="30"/>
      <c r="G1595" s="27"/>
      <c r="H1595" s="27"/>
    </row>
    <row r="1596" spans="1:8" x14ac:dyDescent="0.2">
      <c r="A1596" s="27"/>
      <c r="B1596" s="30"/>
      <c r="G1596" s="27"/>
      <c r="H1596" s="27"/>
    </row>
    <row r="1597" spans="1:8" x14ac:dyDescent="0.2">
      <c r="A1597" s="27"/>
      <c r="B1597" s="30"/>
      <c r="C1597" s="28"/>
      <c r="D1597" s="28"/>
      <c r="E1597" s="28"/>
      <c r="F1597" s="28"/>
      <c r="G1597" s="27"/>
      <c r="H1597" s="27"/>
    </row>
    <row r="1598" spans="1:8" x14ac:dyDescent="0.2">
      <c r="A1598" s="27"/>
      <c r="B1598" s="30"/>
      <c r="G1598" s="27"/>
      <c r="H1598" s="27"/>
    </row>
    <row r="1599" spans="1:8" x14ac:dyDescent="0.2">
      <c r="A1599" s="27"/>
      <c r="B1599" s="30"/>
      <c r="C1599" s="28"/>
      <c r="D1599" s="28"/>
      <c r="E1599" s="28"/>
      <c r="F1599" s="28"/>
      <c r="G1599" s="27"/>
      <c r="H1599" s="27"/>
    </row>
    <row r="1600" spans="1:8" x14ac:dyDescent="0.2">
      <c r="A1600" s="27"/>
      <c r="B1600" s="30"/>
      <c r="G1600" s="27"/>
      <c r="H1600" s="27"/>
    </row>
    <row r="1601" spans="1:8" x14ac:dyDescent="0.2">
      <c r="A1601" s="27"/>
      <c r="B1601" s="30"/>
      <c r="G1601" s="27"/>
      <c r="H1601" s="27"/>
    </row>
    <row r="1602" spans="1:8" x14ac:dyDescent="0.2">
      <c r="A1602" s="27"/>
      <c r="B1602" s="30"/>
      <c r="G1602" s="27"/>
      <c r="H1602" s="27"/>
    </row>
    <row r="1603" spans="1:8" x14ac:dyDescent="0.2">
      <c r="A1603" s="27"/>
      <c r="B1603" s="30"/>
      <c r="G1603" s="27"/>
      <c r="H1603" s="27"/>
    </row>
    <row r="1604" spans="1:8" x14ac:dyDescent="0.2">
      <c r="A1604" s="27"/>
      <c r="B1604" s="30"/>
      <c r="C1604" s="28"/>
      <c r="D1604" s="28"/>
      <c r="E1604" s="28"/>
      <c r="F1604" s="28"/>
      <c r="G1604" s="27"/>
      <c r="H1604" s="27"/>
    </row>
    <row r="1605" spans="1:8" x14ac:dyDescent="0.2">
      <c r="A1605" s="27"/>
      <c r="B1605" s="30"/>
      <c r="G1605" s="27"/>
      <c r="H1605" s="27"/>
    </row>
    <row r="1606" spans="1:8" x14ac:dyDescent="0.2">
      <c r="A1606" s="27"/>
      <c r="B1606" s="30"/>
      <c r="G1606" s="27"/>
      <c r="H1606" s="27"/>
    </row>
    <row r="1607" spans="1:8" x14ac:dyDescent="0.2">
      <c r="A1607" s="27"/>
      <c r="B1607" s="30"/>
      <c r="G1607" s="27"/>
      <c r="H1607" s="27"/>
    </row>
    <row r="1608" spans="1:8" x14ac:dyDescent="0.2">
      <c r="A1608" s="27"/>
      <c r="B1608" s="30"/>
      <c r="C1608" s="28"/>
      <c r="D1608" s="28"/>
      <c r="E1608" s="28"/>
      <c r="F1608" s="28"/>
      <c r="G1608" s="27"/>
      <c r="H1608" s="27"/>
    </row>
    <row r="1609" spans="1:8" x14ac:dyDescent="0.2">
      <c r="A1609" s="27"/>
      <c r="B1609" s="30"/>
      <c r="G1609" s="27"/>
      <c r="H1609" s="27"/>
    </row>
    <row r="1610" spans="1:8" x14ac:dyDescent="0.2">
      <c r="A1610" s="27"/>
      <c r="B1610" s="30"/>
      <c r="C1610" s="28"/>
      <c r="D1610" s="28"/>
      <c r="E1610" s="28"/>
      <c r="F1610" s="28"/>
      <c r="G1610" s="27"/>
      <c r="H1610" s="27"/>
    </row>
    <row r="1611" spans="1:8" x14ac:dyDescent="0.2">
      <c r="A1611" s="27"/>
      <c r="B1611" s="30"/>
      <c r="G1611" s="27"/>
      <c r="H1611" s="27"/>
    </row>
    <row r="1612" spans="1:8" x14ac:dyDescent="0.2">
      <c r="A1612" s="27"/>
      <c r="B1612" s="30"/>
      <c r="C1612" s="28"/>
      <c r="D1612" s="28"/>
      <c r="E1612" s="28"/>
      <c r="F1612" s="28"/>
      <c r="G1612" s="27"/>
      <c r="H1612" s="27"/>
    </row>
    <row r="1613" spans="1:8" x14ac:dyDescent="0.2">
      <c r="A1613" s="27"/>
      <c r="B1613" s="30"/>
      <c r="C1613" s="28"/>
      <c r="D1613" s="28"/>
      <c r="E1613" s="28"/>
      <c r="F1613" s="28"/>
      <c r="G1613" s="27"/>
      <c r="H1613" s="27"/>
    </row>
    <row r="1614" spans="1:8" x14ac:dyDescent="0.2">
      <c r="A1614" s="27"/>
      <c r="B1614" s="30"/>
      <c r="G1614" s="27"/>
      <c r="H1614" s="27"/>
    </row>
    <row r="1615" spans="1:8" x14ac:dyDescent="0.2">
      <c r="A1615" s="27"/>
      <c r="B1615" s="30"/>
      <c r="C1615" s="28"/>
      <c r="D1615" s="28"/>
      <c r="E1615" s="28"/>
      <c r="F1615" s="28"/>
      <c r="G1615" s="27"/>
      <c r="H1615" s="27"/>
    </row>
    <row r="1616" spans="1:8" x14ac:dyDescent="0.2">
      <c r="A1616" s="27"/>
      <c r="B1616" s="30"/>
      <c r="G1616" s="27"/>
      <c r="H1616" s="27"/>
    </row>
    <row r="1617" spans="1:8" x14ac:dyDescent="0.2">
      <c r="A1617" s="27"/>
      <c r="B1617" s="30"/>
      <c r="G1617" s="27"/>
      <c r="H1617" s="27"/>
    </row>
    <row r="1618" spans="1:8" x14ac:dyDescent="0.2">
      <c r="A1618" s="27"/>
      <c r="B1618" s="30"/>
      <c r="C1618" s="28"/>
      <c r="D1618" s="28"/>
      <c r="E1618" s="28"/>
      <c r="F1618" s="28"/>
      <c r="G1618" s="27"/>
      <c r="H1618" s="27"/>
    </row>
    <row r="1619" spans="1:8" x14ac:dyDescent="0.2">
      <c r="A1619" s="27"/>
      <c r="B1619" s="30"/>
      <c r="C1619" s="28"/>
      <c r="D1619" s="28"/>
      <c r="E1619" s="28"/>
      <c r="F1619" s="28"/>
      <c r="G1619" s="27"/>
      <c r="H1619" s="27"/>
    </row>
    <row r="1620" spans="1:8" x14ac:dyDescent="0.2">
      <c r="A1620" s="27"/>
      <c r="B1620" s="30"/>
      <c r="C1620" s="28"/>
      <c r="D1620" s="28"/>
      <c r="E1620" s="28"/>
      <c r="F1620" s="28"/>
      <c r="G1620" s="27"/>
      <c r="H1620" s="27"/>
    </row>
    <row r="1621" spans="1:8" x14ac:dyDescent="0.2">
      <c r="A1621" s="27"/>
      <c r="B1621" s="30"/>
      <c r="G1621" s="27"/>
      <c r="H1621" s="27"/>
    </row>
    <row r="1622" spans="1:8" x14ac:dyDescent="0.2">
      <c r="A1622" s="27"/>
      <c r="B1622" s="30"/>
      <c r="G1622" s="27"/>
      <c r="H1622" s="27"/>
    </row>
    <row r="1623" spans="1:8" x14ac:dyDescent="0.2">
      <c r="A1623" s="27"/>
      <c r="B1623" s="30"/>
      <c r="C1623" s="28"/>
      <c r="D1623" s="28"/>
      <c r="E1623" s="28"/>
      <c r="F1623" s="28"/>
      <c r="G1623" s="27"/>
      <c r="H1623" s="27"/>
    </row>
    <row r="1624" spans="1:8" x14ac:dyDescent="0.2">
      <c r="A1624" s="27"/>
      <c r="B1624" s="30"/>
      <c r="G1624" s="27"/>
      <c r="H1624" s="27"/>
    </row>
    <row r="1625" spans="1:8" x14ac:dyDescent="0.2">
      <c r="A1625" s="27"/>
      <c r="B1625" s="30"/>
      <c r="G1625" s="27"/>
      <c r="H1625" s="27"/>
    </row>
    <row r="1626" spans="1:8" x14ac:dyDescent="0.2">
      <c r="A1626" s="27"/>
      <c r="B1626" s="30"/>
      <c r="G1626" s="27"/>
      <c r="H1626" s="27"/>
    </row>
    <row r="1627" spans="1:8" x14ac:dyDescent="0.2">
      <c r="A1627" s="27"/>
      <c r="B1627" s="30"/>
      <c r="G1627" s="27"/>
      <c r="H1627" s="27"/>
    </row>
    <row r="1628" spans="1:8" x14ac:dyDescent="0.2">
      <c r="A1628" s="27"/>
      <c r="B1628" s="30"/>
      <c r="C1628" s="28"/>
      <c r="D1628" s="28"/>
      <c r="E1628" s="28"/>
      <c r="F1628" s="28"/>
      <c r="G1628" s="27"/>
      <c r="H1628" s="27"/>
    </row>
    <row r="1629" spans="1:8" x14ac:dyDescent="0.2">
      <c r="A1629" s="27"/>
      <c r="B1629" s="30"/>
      <c r="G1629" s="27"/>
      <c r="H1629" s="27"/>
    </row>
    <row r="1630" spans="1:8" x14ac:dyDescent="0.2">
      <c r="A1630" s="27"/>
      <c r="B1630" s="30"/>
      <c r="G1630" s="27"/>
      <c r="H1630" s="27"/>
    </row>
    <row r="1631" spans="1:8" x14ac:dyDescent="0.2">
      <c r="A1631" s="27"/>
      <c r="B1631" s="30"/>
      <c r="G1631" s="27"/>
      <c r="H1631" s="27"/>
    </row>
    <row r="1632" spans="1:8" x14ac:dyDescent="0.2">
      <c r="A1632" s="27"/>
      <c r="B1632" s="30"/>
      <c r="G1632" s="27"/>
      <c r="H1632" s="27"/>
    </row>
    <row r="1633" spans="1:8" x14ac:dyDescent="0.2">
      <c r="A1633" s="27"/>
      <c r="B1633" s="30"/>
      <c r="G1633" s="27"/>
      <c r="H1633" s="27"/>
    </row>
    <row r="1634" spans="1:8" x14ac:dyDescent="0.2">
      <c r="A1634" s="27"/>
      <c r="B1634" s="30"/>
      <c r="G1634" s="27"/>
      <c r="H1634" s="27"/>
    </row>
    <row r="1635" spans="1:8" x14ac:dyDescent="0.2">
      <c r="A1635" s="27"/>
      <c r="B1635" s="30"/>
      <c r="G1635" s="27"/>
      <c r="H1635" s="27"/>
    </row>
    <row r="1636" spans="1:8" x14ac:dyDescent="0.2">
      <c r="A1636" s="27"/>
      <c r="B1636" s="30"/>
      <c r="G1636" s="27"/>
      <c r="H1636" s="27"/>
    </row>
    <row r="1637" spans="1:8" x14ac:dyDescent="0.2">
      <c r="A1637" s="27"/>
      <c r="B1637" s="30"/>
      <c r="G1637" s="27"/>
      <c r="H1637" s="27"/>
    </row>
    <row r="1638" spans="1:8" x14ac:dyDescent="0.2">
      <c r="A1638" s="27"/>
      <c r="B1638" s="30"/>
      <c r="G1638" s="27"/>
      <c r="H1638" s="27"/>
    </row>
    <row r="1639" spans="1:8" x14ac:dyDescent="0.2">
      <c r="A1639" s="27"/>
      <c r="B1639" s="30"/>
      <c r="G1639" s="27"/>
      <c r="H1639" s="27"/>
    </row>
    <row r="1640" spans="1:8" x14ac:dyDescent="0.2">
      <c r="A1640" s="27"/>
      <c r="B1640" s="30"/>
      <c r="G1640" s="27"/>
      <c r="H1640" s="27"/>
    </row>
    <row r="1641" spans="1:8" x14ac:dyDescent="0.2">
      <c r="A1641" s="27"/>
      <c r="B1641" s="30"/>
      <c r="G1641" s="27"/>
      <c r="H1641" s="27"/>
    </row>
    <row r="1642" spans="1:8" x14ac:dyDescent="0.2">
      <c r="A1642" s="27"/>
      <c r="B1642" s="30"/>
      <c r="G1642" s="27"/>
      <c r="H1642" s="27"/>
    </row>
    <row r="1643" spans="1:8" x14ac:dyDescent="0.2">
      <c r="A1643" s="27"/>
      <c r="B1643" s="30"/>
      <c r="G1643" s="27"/>
      <c r="H1643" s="27"/>
    </row>
    <row r="1644" spans="1:8" x14ac:dyDescent="0.2">
      <c r="A1644" s="27"/>
      <c r="B1644" s="30"/>
      <c r="C1644" s="28"/>
      <c r="D1644" s="28"/>
      <c r="E1644" s="28"/>
      <c r="F1644" s="28"/>
      <c r="G1644" s="27"/>
      <c r="H1644" s="27"/>
    </row>
    <row r="1645" spans="1:8" x14ac:dyDescent="0.2">
      <c r="A1645" s="27"/>
      <c r="B1645" s="30"/>
      <c r="G1645" s="27"/>
      <c r="H1645" s="27"/>
    </row>
    <row r="1646" spans="1:8" x14ac:dyDescent="0.2">
      <c r="A1646" s="27"/>
      <c r="B1646" s="30"/>
      <c r="G1646" s="27"/>
      <c r="H1646" s="27"/>
    </row>
    <row r="1647" spans="1:8" x14ac:dyDescent="0.2">
      <c r="A1647" s="27"/>
      <c r="B1647" s="30"/>
      <c r="G1647" s="27"/>
      <c r="H1647" s="27"/>
    </row>
    <row r="1648" spans="1:8" x14ac:dyDescent="0.2">
      <c r="A1648" s="27"/>
      <c r="B1648" s="30"/>
      <c r="G1648" s="27"/>
      <c r="H1648" s="27"/>
    </row>
    <row r="1649" spans="1:8" x14ac:dyDescent="0.2">
      <c r="A1649" s="27"/>
      <c r="B1649" s="30"/>
      <c r="G1649" s="27"/>
      <c r="H1649" s="27"/>
    </row>
    <row r="1650" spans="1:8" x14ac:dyDescent="0.2">
      <c r="A1650" s="27"/>
      <c r="B1650" s="30"/>
      <c r="G1650" s="27"/>
      <c r="H1650" s="27"/>
    </row>
    <row r="1651" spans="1:8" x14ac:dyDescent="0.2">
      <c r="A1651" s="27"/>
      <c r="B1651" s="30"/>
      <c r="G1651" s="27"/>
      <c r="H1651" s="27"/>
    </row>
    <row r="1652" spans="1:8" x14ac:dyDescent="0.2">
      <c r="A1652" s="27"/>
      <c r="B1652" s="30"/>
      <c r="G1652" s="27"/>
      <c r="H1652" s="27"/>
    </row>
    <row r="1653" spans="1:8" x14ac:dyDescent="0.2">
      <c r="A1653" s="27"/>
      <c r="B1653" s="30"/>
      <c r="G1653" s="27"/>
      <c r="H1653" s="27"/>
    </row>
    <row r="1654" spans="1:8" x14ac:dyDescent="0.2">
      <c r="A1654" s="27"/>
      <c r="B1654" s="30"/>
      <c r="G1654" s="27"/>
      <c r="H1654" s="27"/>
    </row>
    <row r="1655" spans="1:8" x14ac:dyDescent="0.2">
      <c r="A1655" s="27"/>
      <c r="B1655" s="30"/>
      <c r="G1655" s="27"/>
      <c r="H1655" s="27"/>
    </row>
    <row r="1656" spans="1:8" x14ac:dyDescent="0.2">
      <c r="A1656" s="27"/>
      <c r="B1656" s="30"/>
      <c r="G1656" s="27"/>
      <c r="H1656" s="27"/>
    </row>
    <row r="1657" spans="1:8" x14ac:dyDescent="0.2">
      <c r="A1657" s="27"/>
      <c r="B1657" s="30"/>
      <c r="G1657" s="27"/>
      <c r="H1657" s="27"/>
    </row>
    <row r="1658" spans="1:8" x14ac:dyDescent="0.2">
      <c r="A1658" s="27"/>
      <c r="B1658" s="30"/>
      <c r="G1658" s="27"/>
      <c r="H1658" s="27"/>
    </row>
    <row r="1659" spans="1:8" x14ac:dyDescent="0.2">
      <c r="A1659" s="27"/>
      <c r="B1659" s="30"/>
      <c r="G1659" s="27"/>
      <c r="H1659" s="27"/>
    </row>
    <row r="1660" spans="1:8" x14ac:dyDescent="0.2">
      <c r="A1660" s="27"/>
      <c r="B1660" s="30"/>
      <c r="G1660" s="27"/>
      <c r="H1660" s="27"/>
    </row>
    <row r="1661" spans="1:8" x14ac:dyDescent="0.2">
      <c r="A1661" s="27"/>
      <c r="B1661" s="30"/>
      <c r="C1661" s="28"/>
      <c r="D1661" s="28"/>
      <c r="E1661" s="28"/>
      <c r="F1661" s="28"/>
      <c r="G1661" s="27"/>
      <c r="H1661" s="27"/>
    </row>
    <row r="1662" spans="1:8" x14ac:dyDescent="0.2">
      <c r="A1662" s="27"/>
      <c r="B1662" s="30"/>
      <c r="G1662" s="27"/>
      <c r="H1662" s="27"/>
    </row>
    <row r="1663" spans="1:8" x14ac:dyDescent="0.2">
      <c r="A1663" s="27"/>
      <c r="B1663" s="30"/>
      <c r="G1663" s="27"/>
      <c r="H1663" s="27"/>
    </row>
    <row r="1664" spans="1:8" x14ac:dyDescent="0.2">
      <c r="A1664" s="27"/>
      <c r="B1664" s="30"/>
      <c r="G1664" s="27"/>
      <c r="H1664" s="27"/>
    </row>
    <row r="1665" spans="1:8" x14ac:dyDescent="0.2">
      <c r="A1665" s="27"/>
      <c r="B1665" s="30"/>
      <c r="C1665" s="28"/>
      <c r="D1665" s="28"/>
      <c r="E1665" s="28"/>
      <c r="F1665" s="28"/>
      <c r="G1665" s="27"/>
      <c r="H1665" s="27"/>
    </row>
    <row r="1666" spans="1:8" x14ac:dyDescent="0.2">
      <c r="A1666" s="27"/>
      <c r="B1666" s="30"/>
      <c r="C1666" s="28"/>
      <c r="D1666" s="28"/>
      <c r="E1666" s="28"/>
      <c r="F1666" s="28"/>
      <c r="G1666" s="27"/>
      <c r="H1666" s="27"/>
    </row>
    <row r="1667" spans="1:8" x14ac:dyDescent="0.2">
      <c r="A1667" s="27"/>
      <c r="B1667" s="30"/>
      <c r="G1667" s="27"/>
      <c r="H1667" s="27"/>
    </row>
    <row r="1668" spans="1:8" x14ac:dyDescent="0.2">
      <c r="A1668" s="27"/>
      <c r="B1668" s="30"/>
      <c r="G1668" s="27"/>
      <c r="H1668" s="27"/>
    </row>
    <row r="1669" spans="1:8" x14ac:dyDescent="0.2">
      <c r="A1669" s="27"/>
      <c r="B1669" s="30"/>
      <c r="G1669" s="27"/>
      <c r="H1669" s="27"/>
    </row>
    <row r="1670" spans="1:8" x14ac:dyDescent="0.2">
      <c r="A1670" s="27"/>
      <c r="B1670" s="30"/>
      <c r="G1670" s="27"/>
      <c r="H1670" s="27"/>
    </row>
    <row r="1671" spans="1:8" x14ac:dyDescent="0.2">
      <c r="A1671" s="27"/>
      <c r="B1671" s="30"/>
      <c r="G1671" s="27"/>
      <c r="H1671" s="27"/>
    </row>
    <row r="1672" spans="1:8" x14ac:dyDescent="0.2">
      <c r="A1672" s="27"/>
      <c r="B1672" s="30"/>
      <c r="G1672" s="27"/>
      <c r="H1672" s="27"/>
    </row>
    <row r="1673" spans="1:8" x14ac:dyDescent="0.2">
      <c r="A1673" s="27"/>
      <c r="B1673" s="30"/>
      <c r="G1673" s="27"/>
      <c r="H1673" s="27"/>
    </row>
    <row r="1674" spans="1:8" x14ac:dyDescent="0.2">
      <c r="A1674" s="27"/>
      <c r="B1674" s="30"/>
      <c r="C1674" s="28"/>
      <c r="D1674" s="28"/>
      <c r="E1674" s="28"/>
      <c r="F1674" s="28"/>
      <c r="G1674" s="27"/>
      <c r="H1674" s="27"/>
    </row>
    <row r="1675" spans="1:8" x14ac:dyDescent="0.2">
      <c r="A1675" s="27"/>
      <c r="B1675" s="30"/>
      <c r="C1675" s="28"/>
      <c r="D1675" s="28"/>
      <c r="E1675" s="28"/>
      <c r="F1675" s="28"/>
      <c r="G1675" s="27"/>
      <c r="H1675" s="27"/>
    </row>
    <row r="1676" spans="1:8" x14ac:dyDescent="0.2">
      <c r="A1676" s="27"/>
      <c r="B1676" s="30"/>
      <c r="G1676" s="27"/>
      <c r="H1676" s="27"/>
    </row>
    <row r="1677" spans="1:8" x14ac:dyDescent="0.2">
      <c r="A1677" s="27"/>
      <c r="B1677" s="30"/>
      <c r="C1677" s="28"/>
      <c r="D1677" s="28"/>
      <c r="E1677" s="28"/>
      <c r="F1677" s="28"/>
      <c r="G1677" s="27"/>
      <c r="H1677" s="27"/>
    </row>
    <row r="1678" spans="1:8" x14ac:dyDescent="0.2">
      <c r="A1678" s="27"/>
      <c r="B1678" s="30"/>
      <c r="G1678" s="27"/>
      <c r="H1678" s="27"/>
    </row>
    <row r="1679" spans="1:8" x14ac:dyDescent="0.2">
      <c r="A1679" s="27"/>
      <c r="B1679" s="30"/>
      <c r="G1679" s="27"/>
      <c r="H1679" s="27"/>
    </row>
    <row r="1680" spans="1:8" x14ac:dyDescent="0.2">
      <c r="A1680" s="27"/>
      <c r="B1680" s="30"/>
      <c r="G1680" s="27"/>
      <c r="H1680" s="27"/>
    </row>
    <row r="1681" spans="1:8" x14ac:dyDescent="0.2">
      <c r="A1681" s="27"/>
      <c r="B1681" s="30"/>
      <c r="C1681" s="28"/>
      <c r="D1681" s="28"/>
      <c r="E1681" s="28"/>
      <c r="F1681" s="28"/>
      <c r="G1681" s="27"/>
      <c r="H1681" s="27"/>
    </row>
    <row r="1682" spans="1:8" x14ac:dyDescent="0.2">
      <c r="A1682" s="27"/>
      <c r="B1682" s="30"/>
      <c r="G1682" s="27"/>
      <c r="H1682" s="27"/>
    </row>
    <row r="1683" spans="1:8" x14ac:dyDescent="0.2">
      <c r="A1683" s="27"/>
      <c r="B1683" s="30"/>
      <c r="G1683" s="27"/>
      <c r="H1683" s="27"/>
    </row>
    <row r="1684" spans="1:8" x14ac:dyDescent="0.2">
      <c r="A1684" s="27"/>
      <c r="B1684" s="30"/>
      <c r="G1684" s="27"/>
      <c r="H1684" s="27"/>
    </row>
    <row r="1685" spans="1:8" x14ac:dyDescent="0.2">
      <c r="A1685" s="27"/>
      <c r="B1685" s="30"/>
      <c r="C1685" s="28"/>
      <c r="D1685" s="28"/>
      <c r="E1685" s="28"/>
      <c r="F1685" s="28"/>
      <c r="G1685" s="27"/>
      <c r="H1685" s="27"/>
    </row>
    <row r="1686" spans="1:8" x14ac:dyDescent="0.2">
      <c r="A1686" s="27"/>
      <c r="B1686" s="30"/>
      <c r="G1686" s="27"/>
      <c r="H1686" s="27"/>
    </row>
    <row r="1687" spans="1:8" x14ac:dyDescent="0.2">
      <c r="A1687" s="27"/>
      <c r="B1687" s="30"/>
      <c r="C1687" s="28"/>
      <c r="D1687" s="28"/>
      <c r="E1687" s="28"/>
      <c r="F1687" s="28"/>
      <c r="G1687" s="27"/>
      <c r="H1687" s="27"/>
    </row>
    <row r="1688" spans="1:8" x14ac:dyDescent="0.2">
      <c r="A1688" s="27"/>
      <c r="B1688" s="30"/>
      <c r="C1688" s="28"/>
      <c r="D1688" s="28"/>
      <c r="E1688" s="28"/>
      <c r="F1688" s="28"/>
      <c r="G1688" s="27"/>
      <c r="H1688" s="27"/>
    </row>
    <row r="1689" spans="1:8" x14ac:dyDescent="0.2">
      <c r="A1689" s="27"/>
      <c r="B1689" s="30"/>
      <c r="G1689" s="27"/>
      <c r="H1689" s="27"/>
    </row>
    <row r="1690" spans="1:8" x14ac:dyDescent="0.2">
      <c r="A1690" s="27"/>
      <c r="B1690" s="30"/>
      <c r="G1690" s="27"/>
      <c r="H1690" s="27"/>
    </row>
    <row r="1691" spans="1:8" x14ac:dyDescent="0.2">
      <c r="A1691" s="27"/>
      <c r="B1691" s="30"/>
      <c r="G1691" s="27"/>
      <c r="H1691" s="27"/>
    </row>
    <row r="1692" spans="1:8" x14ac:dyDescent="0.2">
      <c r="A1692" s="27"/>
      <c r="B1692" s="30"/>
      <c r="G1692" s="27"/>
      <c r="H1692" s="27"/>
    </row>
    <row r="1693" spans="1:8" x14ac:dyDescent="0.2">
      <c r="A1693" s="27"/>
      <c r="B1693" s="30"/>
      <c r="G1693" s="27"/>
      <c r="H1693" s="27"/>
    </row>
    <row r="1694" spans="1:8" x14ac:dyDescent="0.2">
      <c r="A1694" s="27"/>
      <c r="B1694" s="30"/>
      <c r="G1694" s="27"/>
      <c r="H1694" s="27"/>
    </row>
    <row r="1695" spans="1:8" x14ac:dyDescent="0.2">
      <c r="A1695" s="27"/>
      <c r="B1695" s="30"/>
      <c r="G1695" s="27"/>
      <c r="H1695" s="27"/>
    </row>
    <row r="1696" spans="1:8" x14ac:dyDescent="0.2">
      <c r="A1696" s="27"/>
      <c r="B1696" s="30"/>
      <c r="G1696" s="27"/>
      <c r="H1696" s="27"/>
    </row>
    <row r="1697" spans="1:8" x14ac:dyDescent="0.2">
      <c r="A1697" s="27"/>
      <c r="B1697" s="30"/>
      <c r="G1697" s="27"/>
      <c r="H1697" s="27"/>
    </row>
    <row r="1698" spans="1:8" x14ac:dyDescent="0.2">
      <c r="A1698" s="27"/>
      <c r="B1698" s="30"/>
      <c r="C1698" s="28"/>
      <c r="D1698" s="28"/>
      <c r="E1698" s="28"/>
      <c r="F1698" s="28"/>
      <c r="G1698" s="27"/>
      <c r="H1698" s="27"/>
    </row>
    <row r="1699" spans="1:8" x14ac:dyDescent="0.2">
      <c r="A1699" s="27"/>
      <c r="B1699" s="30"/>
      <c r="C1699" s="28"/>
      <c r="D1699" s="28"/>
      <c r="E1699" s="28"/>
      <c r="F1699" s="28"/>
      <c r="G1699" s="27"/>
      <c r="H1699" s="27"/>
    </row>
    <row r="1700" spans="1:8" x14ac:dyDescent="0.2">
      <c r="A1700" s="27"/>
      <c r="B1700" s="30"/>
      <c r="G1700" s="27"/>
      <c r="H1700" s="27"/>
    </row>
    <row r="1701" spans="1:8" x14ac:dyDescent="0.2">
      <c r="A1701" s="27"/>
      <c r="B1701" s="30"/>
      <c r="G1701" s="27"/>
      <c r="H1701" s="27"/>
    </row>
    <row r="1702" spans="1:8" x14ac:dyDescent="0.2">
      <c r="A1702" s="27"/>
      <c r="B1702" s="30"/>
      <c r="G1702" s="27"/>
      <c r="H1702" s="27"/>
    </row>
    <row r="1703" spans="1:8" x14ac:dyDescent="0.2">
      <c r="A1703" s="27"/>
      <c r="B1703" s="30"/>
      <c r="G1703" s="27"/>
      <c r="H1703" s="27"/>
    </row>
    <row r="1704" spans="1:8" x14ac:dyDescent="0.2">
      <c r="A1704" s="27"/>
      <c r="B1704" s="30"/>
      <c r="G1704" s="27"/>
      <c r="H1704" s="27"/>
    </row>
    <row r="1705" spans="1:8" x14ac:dyDescent="0.2">
      <c r="A1705" s="27"/>
      <c r="B1705" s="30"/>
      <c r="G1705" s="27"/>
      <c r="H1705" s="27"/>
    </row>
    <row r="1706" spans="1:8" x14ac:dyDescent="0.2">
      <c r="A1706" s="27"/>
      <c r="B1706" s="30"/>
      <c r="G1706" s="27"/>
      <c r="H1706" s="27"/>
    </row>
    <row r="1707" spans="1:8" x14ac:dyDescent="0.2">
      <c r="A1707" s="27"/>
      <c r="B1707" s="30"/>
      <c r="G1707" s="27"/>
      <c r="H1707" s="27"/>
    </row>
    <row r="1708" spans="1:8" x14ac:dyDescent="0.2">
      <c r="A1708" s="27"/>
      <c r="B1708" s="30"/>
      <c r="G1708" s="27"/>
      <c r="H1708" s="27"/>
    </row>
    <row r="1709" spans="1:8" x14ac:dyDescent="0.2">
      <c r="A1709" s="27"/>
      <c r="B1709" s="30"/>
      <c r="C1709" s="28"/>
      <c r="D1709" s="28"/>
      <c r="E1709" s="28"/>
      <c r="F1709" s="28"/>
      <c r="G1709" s="27"/>
      <c r="H1709" s="27"/>
    </row>
    <row r="1710" spans="1:8" x14ac:dyDescent="0.2">
      <c r="A1710" s="27"/>
      <c r="B1710" s="30"/>
      <c r="C1710" s="28"/>
      <c r="D1710" s="28"/>
      <c r="E1710" s="28"/>
      <c r="F1710" s="28"/>
      <c r="G1710" s="27"/>
      <c r="H1710" s="27"/>
    </row>
    <row r="1711" spans="1:8" x14ac:dyDescent="0.2">
      <c r="A1711" s="27"/>
      <c r="B1711" s="30"/>
      <c r="G1711" s="27"/>
      <c r="H1711" s="27"/>
    </row>
    <row r="1712" spans="1:8" x14ac:dyDescent="0.2">
      <c r="A1712" s="27"/>
      <c r="B1712" s="30"/>
      <c r="G1712" s="27"/>
      <c r="H1712" s="27"/>
    </row>
    <row r="1713" spans="1:8" x14ac:dyDescent="0.2">
      <c r="A1713" s="27"/>
      <c r="B1713" s="30"/>
      <c r="C1713" s="28"/>
      <c r="D1713" s="28"/>
      <c r="E1713" s="28"/>
      <c r="F1713" s="28"/>
      <c r="G1713" s="27"/>
      <c r="H1713" s="27"/>
    </row>
    <row r="1714" spans="1:8" x14ac:dyDescent="0.2">
      <c r="A1714" s="27"/>
      <c r="B1714" s="30"/>
      <c r="G1714" s="27"/>
      <c r="H1714" s="27"/>
    </row>
    <row r="1715" spans="1:8" x14ac:dyDescent="0.2">
      <c r="A1715" s="27"/>
      <c r="B1715" s="30"/>
      <c r="G1715" s="27"/>
      <c r="H1715" s="27"/>
    </row>
    <row r="1716" spans="1:8" x14ac:dyDescent="0.2">
      <c r="A1716" s="27"/>
      <c r="B1716" s="30"/>
      <c r="G1716" s="27"/>
      <c r="H1716" s="27"/>
    </row>
    <row r="1717" spans="1:8" x14ac:dyDescent="0.2">
      <c r="A1717" s="27"/>
      <c r="B1717" s="30"/>
      <c r="C1717" s="28"/>
      <c r="D1717" s="28"/>
      <c r="E1717" s="28"/>
      <c r="F1717" s="28"/>
      <c r="G1717" s="27"/>
      <c r="H1717" s="27"/>
    </row>
    <row r="1718" spans="1:8" x14ac:dyDescent="0.2">
      <c r="A1718" s="27"/>
      <c r="B1718" s="30"/>
      <c r="C1718" s="28"/>
      <c r="D1718" s="28"/>
      <c r="E1718" s="28"/>
      <c r="F1718" s="28"/>
      <c r="G1718" s="27"/>
      <c r="H1718" s="27"/>
    </row>
    <row r="1719" spans="1:8" x14ac:dyDescent="0.2">
      <c r="A1719" s="27"/>
      <c r="B1719" s="30"/>
      <c r="G1719" s="27"/>
      <c r="H1719" s="27"/>
    </row>
    <row r="1720" spans="1:8" x14ac:dyDescent="0.2">
      <c r="A1720" s="27"/>
      <c r="B1720" s="30"/>
      <c r="C1720" s="28"/>
      <c r="D1720" s="28"/>
      <c r="E1720" s="28"/>
      <c r="F1720" s="28"/>
      <c r="G1720" s="27"/>
      <c r="H1720" s="27"/>
    </row>
    <row r="1721" spans="1:8" x14ac:dyDescent="0.2">
      <c r="A1721" s="27"/>
      <c r="B1721" s="30"/>
      <c r="G1721" s="27"/>
      <c r="H1721" s="27"/>
    </row>
    <row r="1722" spans="1:8" x14ac:dyDescent="0.2">
      <c r="A1722" s="27"/>
      <c r="B1722" s="30"/>
      <c r="G1722" s="27"/>
      <c r="H1722" s="27"/>
    </row>
    <row r="1723" spans="1:8" x14ac:dyDescent="0.2">
      <c r="A1723" s="27"/>
      <c r="B1723" s="30"/>
      <c r="G1723" s="27"/>
      <c r="H1723" s="27"/>
    </row>
    <row r="1724" spans="1:8" x14ac:dyDescent="0.2">
      <c r="A1724" s="27"/>
      <c r="B1724" s="30"/>
      <c r="G1724" s="27"/>
      <c r="H1724" s="27"/>
    </row>
    <row r="1725" spans="1:8" x14ac:dyDescent="0.2">
      <c r="A1725" s="27"/>
      <c r="B1725" s="30"/>
      <c r="G1725" s="27"/>
      <c r="H1725" s="27"/>
    </row>
    <row r="1726" spans="1:8" x14ac:dyDescent="0.2">
      <c r="A1726" s="27"/>
      <c r="B1726" s="30"/>
      <c r="G1726" s="27"/>
      <c r="H1726" s="27"/>
    </row>
    <row r="1727" spans="1:8" x14ac:dyDescent="0.2">
      <c r="A1727" s="27"/>
      <c r="B1727" s="30"/>
      <c r="G1727" s="27"/>
      <c r="H1727" s="27"/>
    </row>
    <row r="1728" spans="1:8" x14ac:dyDescent="0.2">
      <c r="A1728" s="27"/>
      <c r="B1728" s="30"/>
      <c r="G1728" s="27"/>
      <c r="H1728" s="27"/>
    </row>
    <row r="1729" spans="1:8" x14ac:dyDescent="0.2">
      <c r="A1729" s="27"/>
      <c r="B1729" s="30"/>
      <c r="G1729" s="27"/>
      <c r="H1729" s="27"/>
    </row>
    <row r="1730" spans="1:8" x14ac:dyDescent="0.2">
      <c r="A1730" s="27"/>
      <c r="B1730" s="30"/>
      <c r="G1730" s="27"/>
      <c r="H1730" s="27"/>
    </row>
    <row r="1731" spans="1:8" x14ac:dyDescent="0.2">
      <c r="A1731" s="27"/>
      <c r="B1731" s="30"/>
      <c r="C1731" s="28"/>
      <c r="D1731" s="28"/>
      <c r="E1731" s="28"/>
      <c r="F1731" s="28"/>
      <c r="G1731" s="27"/>
      <c r="H1731" s="27"/>
    </row>
    <row r="1732" spans="1:8" x14ac:dyDescent="0.2">
      <c r="A1732" s="27"/>
      <c r="B1732" s="30"/>
      <c r="G1732" s="27"/>
      <c r="H1732" s="27"/>
    </row>
    <row r="1733" spans="1:8" x14ac:dyDescent="0.2">
      <c r="A1733" s="27"/>
      <c r="B1733" s="30"/>
      <c r="C1733" s="28"/>
      <c r="D1733" s="28"/>
      <c r="E1733" s="28"/>
      <c r="F1733" s="28"/>
      <c r="G1733" s="27"/>
      <c r="H1733" s="27"/>
    </row>
    <row r="1734" spans="1:8" x14ac:dyDescent="0.2">
      <c r="A1734" s="27"/>
      <c r="B1734" s="30"/>
      <c r="G1734" s="27"/>
      <c r="H1734" s="27"/>
    </row>
    <row r="1735" spans="1:8" x14ac:dyDescent="0.2">
      <c r="A1735" s="27"/>
      <c r="B1735" s="30"/>
      <c r="C1735" s="28"/>
      <c r="D1735" s="28"/>
      <c r="E1735" s="28"/>
      <c r="F1735" s="28"/>
      <c r="G1735" s="27"/>
      <c r="H1735" s="27"/>
    </row>
    <row r="1736" spans="1:8" x14ac:dyDescent="0.2">
      <c r="A1736" s="27"/>
      <c r="B1736" s="30"/>
      <c r="G1736" s="27"/>
      <c r="H1736" s="27"/>
    </row>
    <row r="1737" spans="1:8" x14ac:dyDescent="0.2">
      <c r="A1737" s="27"/>
      <c r="B1737" s="30"/>
      <c r="C1737" s="28"/>
      <c r="D1737" s="28"/>
      <c r="E1737" s="28"/>
      <c r="F1737" s="28"/>
      <c r="G1737" s="27"/>
      <c r="H1737" s="27"/>
    </row>
    <row r="1738" spans="1:8" x14ac:dyDescent="0.2">
      <c r="A1738" s="27"/>
      <c r="B1738" s="30"/>
      <c r="G1738" s="27"/>
      <c r="H1738" s="27"/>
    </row>
    <row r="1739" spans="1:8" x14ac:dyDescent="0.2">
      <c r="A1739" s="27"/>
      <c r="B1739" s="30"/>
      <c r="C1739" s="28"/>
      <c r="D1739" s="28"/>
      <c r="E1739" s="28"/>
      <c r="F1739" s="28"/>
      <c r="G1739" s="27"/>
      <c r="H1739" s="27"/>
    </row>
    <row r="1740" spans="1:8" x14ac:dyDescent="0.2">
      <c r="A1740" s="27"/>
      <c r="B1740" s="30"/>
      <c r="G1740" s="27"/>
      <c r="H1740" s="27"/>
    </row>
    <row r="1741" spans="1:8" x14ac:dyDescent="0.2">
      <c r="A1741" s="27"/>
      <c r="B1741" s="30"/>
      <c r="C1741" s="28"/>
      <c r="D1741" s="28"/>
      <c r="E1741" s="28"/>
      <c r="F1741" s="28"/>
      <c r="G1741" s="27"/>
      <c r="H1741" s="27"/>
    </row>
    <row r="1742" spans="1:8" x14ac:dyDescent="0.2">
      <c r="A1742" s="27"/>
      <c r="B1742" s="30"/>
      <c r="G1742" s="27"/>
      <c r="H1742" s="27"/>
    </row>
    <row r="1743" spans="1:8" x14ac:dyDescent="0.2">
      <c r="A1743" s="27"/>
      <c r="B1743" s="30"/>
      <c r="C1743" s="28"/>
      <c r="D1743" s="28"/>
      <c r="E1743" s="28"/>
      <c r="F1743" s="28"/>
      <c r="G1743" s="27"/>
      <c r="H1743" s="27"/>
    </row>
    <row r="1744" spans="1:8" x14ac:dyDescent="0.2">
      <c r="A1744" s="27"/>
      <c r="B1744" s="30"/>
      <c r="C1744" s="28"/>
      <c r="D1744" s="28"/>
      <c r="E1744" s="28"/>
      <c r="F1744" s="28"/>
      <c r="G1744" s="27"/>
      <c r="H1744" s="27"/>
    </row>
    <row r="1745" spans="1:8" x14ac:dyDescent="0.2">
      <c r="A1745" s="27"/>
      <c r="B1745" s="30"/>
      <c r="G1745" s="27"/>
      <c r="H1745" s="27"/>
    </row>
    <row r="1746" spans="1:8" x14ac:dyDescent="0.2">
      <c r="A1746" s="27"/>
      <c r="B1746" s="30"/>
      <c r="G1746" s="27"/>
      <c r="H1746" s="27"/>
    </row>
    <row r="1747" spans="1:8" x14ac:dyDescent="0.2">
      <c r="A1747" s="27"/>
      <c r="B1747" s="30"/>
      <c r="G1747" s="27"/>
      <c r="H1747" s="27"/>
    </row>
    <row r="1748" spans="1:8" x14ac:dyDescent="0.2">
      <c r="A1748" s="27"/>
      <c r="B1748" s="30"/>
      <c r="C1748" s="28"/>
      <c r="D1748" s="28"/>
      <c r="E1748" s="28"/>
      <c r="F1748" s="28"/>
      <c r="G1748" s="27"/>
      <c r="H1748" s="27"/>
    </row>
    <row r="1749" spans="1:8" x14ac:dyDescent="0.2">
      <c r="A1749" s="27"/>
      <c r="B1749" s="30"/>
      <c r="G1749" s="27"/>
      <c r="H1749" s="27"/>
    </row>
    <row r="1750" spans="1:8" x14ac:dyDescent="0.2">
      <c r="A1750" s="27"/>
      <c r="B1750" s="30"/>
      <c r="G1750" s="27"/>
      <c r="H1750" s="27"/>
    </row>
    <row r="1751" spans="1:8" x14ac:dyDescent="0.2">
      <c r="A1751" s="27"/>
      <c r="B1751" s="30"/>
      <c r="G1751" s="27"/>
      <c r="H1751" s="27"/>
    </row>
    <row r="1752" spans="1:8" x14ac:dyDescent="0.2">
      <c r="A1752" s="27"/>
      <c r="B1752" s="30"/>
      <c r="G1752" s="27"/>
      <c r="H1752" s="27"/>
    </row>
    <row r="1753" spans="1:8" x14ac:dyDescent="0.2">
      <c r="A1753" s="27"/>
      <c r="B1753" s="30"/>
      <c r="G1753" s="27"/>
      <c r="H1753" s="27"/>
    </row>
    <row r="1754" spans="1:8" x14ac:dyDescent="0.2">
      <c r="A1754" s="27"/>
      <c r="B1754" s="30"/>
      <c r="C1754" s="28"/>
      <c r="D1754" s="28"/>
      <c r="E1754" s="28"/>
      <c r="F1754" s="28"/>
      <c r="G1754" s="27"/>
      <c r="H1754" s="27"/>
    </row>
    <row r="1755" spans="1:8" x14ac:dyDescent="0.2">
      <c r="A1755" s="27"/>
      <c r="B1755" s="30"/>
      <c r="G1755" s="27"/>
      <c r="H1755" s="27"/>
    </row>
    <row r="1756" spans="1:8" x14ac:dyDescent="0.2">
      <c r="A1756" s="27"/>
      <c r="B1756" s="30"/>
      <c r="C1756" s="28"/>
      <c r="D1756" s="28"/>
      <c r="E1756" s="28"/>
      <c r="F1756" s="28"/>
      <c r="G1756" s="27"/>
      <c r="H1756" s="27"/>
    </row>
    <row r="1757" spans="1:8" x14ac:dyDescent="0.2">
      <c r="A1757" s="27"/>
      <c r="B1757" s="30"/>
      <c r="C1757" s="28"/>
      <c r="D1757" s="28"/>
      <c r="E1757" s="28"/>
      <c r="F1757" s="28"/>
      <c r="G1757" s="27"/>
      <c r="H1757" s="27"/>
    </row>
    <row r="1758" spans="1:8" x14ac:dyDescent="0.2">
      <c r="A1758" s="27"/>
      <c r="B1758" s="30"/>
      <c r="G1758" s="27"/>
      <c r="H1758" s="27"/>
    </row>
    <row r="1759" spans="1:8" x14ac:dyDescent="0.2">
      <c r="A1759" s="27"/>
      <c r="B1759" s="30"/>
      <c r="G1759" s="27"/>
      <c r="H1759" s="27"/>
    </row>
    <row r="1760" spans="1:8" x14ac:dyDescent="0.2">
      <c r="A1760" s="27"/>
      <c r="B1760" s="30"/>
      <c r="G1760" s="27"/>
      <c r="H1760" s="27"/>
    </row>
    <row r="1761" spans="1:8" x14ac:dyDescent="0.2">
      <c r="A1761" s="27"/>
      <c r="B1761" s="30"/>
      <c r="C1761" s="28"/>
      <c r="D1761" s="28"/>
      <c r="E1761" s="28"/>
      <c r="F1761" s="28"/>
      <c r="G1761" s="27"/>
      <c r="H1761" s="27"/>
    </row>
    <row r="1762" spans="1:8" x14ac:dyDescent="0.2">
      <c r="A1762" s="27"/>
      <c r="B1762" s="30"/>
      <c r="C1762" s="28"/>
      <c r="D1762" s="28"/>
      <c r="E1762" s="28"/>
      <c r="F1762" s="28"/>
      <c r="G1762" s="27"/>
      <c r="H1762" s="27"/>
    </row>
    <row r="1763" spans="1:8" x14ac:dyDescent="0.2">
      <c r="A1763" s="27"/>
      <c r="B1763" s="30"/>
      <c r="C1763" s="28"/>
      <c r="D1763" s="28"/>
      <c r="E1763" s="28"/>
      <c r="F1763" s="28"/>
      <c r="G1763" s="27"/>
      <c r="H1763" s="27"/>
    </row>
    <row r="1764" spans="1:8" x14ac:dyDescent="0.2">
      <c r="A1764" s="27"/>
      <c r="B1764" s="30"/>
      <c r="G1764" s="27"/>
      <c r="H1764" s="27"/>
    </row>
    <row r="1765" spans="1:8" x14ac:dyDescent="0.2">
      <c r="A1765" s="27"/>
      <c r="B1765" s="30"/>
      <c r="G1765" s="27"/>
      <c r="H1765" s="27"/>
    </row>
    <row r="1766" spans="1:8" x14ac:dyDescent="0.2">
      <c r="A1766" s="27"/>
      <c r="B1766" s="30"/>
      <c r="G1766" s="27"/>
      <c r="H1766" s="27"/>
    </row>
    <row r="1767" spans="1:8" x14ac:dyDescent="0.2">
      <c r="A1767" s="27"/>
      <c r="B1767" s="30"/>
      <c r="G1767" s="27"/>
      <c r="H1767" s="27"/>
    </row>
    <row r="1768" spans="1:8" x14ac:dyDescent="0.2">
      <c r="A1768" s="27"/>
      <c r="B1768" s="30"/>
      <c r="G1768" s="27"/>
      <c r="H1768" s="27"/>
    </row>
    <row r="1769" spans="1:8" x14ac:dyDescent="0.2">
      <c r="A1769" s="27"/>
      <c r="B1769" s="30"/>
      <c r="G1769" s="27"/>
      <c r="H1769" s="27"/>
    </row>
    <row r="1770" spans="1:8" x14ac:dyDescent="0.2">
      <c r="A1770" s="27"/>
      <c r="B1770" s="30"/>
      <c r="G1770" s="27"/>
      <c r="H1770" s="27"/>
    </row>
    <row r="1771" spans="1:8" x14ac:dyDescent="0.2">
      <c r="A1771" s="27"/>
      <c r="B1771" s="30"/>
      <c r="G1771" s="27"/>
      <c r="H1771" s="27"/>
    </row>
    <row r="1772" spans="1:8" x14ac:dyDescent="0.2">
      <c r="A1772" s="27"/>
      <c r="B1772" s="30"/>
      <c r="G1772" s="27"/>
      <c r="H1772" s="27"/>
    </row>
    <row r="1773" spans="1:8" x14ac:dyDescent="0.2">
      <c r="A1773" s="27"/>
      <c r="B1773" s="30"/>
      <c r="C1773" s="28"/>
      <c r="D1773" s="28"/>
      <c r="E1773" s="28"/>
      <c r="F1773" s="28"/>
      <c r="G1773" s="27"/>
      <c r="H1773" s="27"/>
    </row>
    <row r="1774" spans="1:8" x14ac:dyDescent="0.2">
      <c r="A1774" s="27"/>
      <c r="B1774" s="30"/>
      <c r="G1774" s="27"/>
      <c r="H1774" s="27"/>
    </row>
    <row r="1775" spans="1:8" x14ac:dyDescent="0.2">
      <c r="A1775" s="27"/>
      <c r="B1775" s="30"/>
      <c r="G1775" s="27"/>
      <c r="H1775" s="27"/>
    </row>
    <row r="1776" spans="1:8" x14ac:dyDescent="0.2">
      <c r="A1776" s="27"/>
      <c r="B1776" s="30"/>
      <c r="C1776" s="28"/>
      <c r="D1776" s="28"/>
      <c r="E1776" s="28"/>
      <c r="F1776" s="28"/>
      <c r="G1776" s="27"/>
      <c r="H1776" s="27"/>
    </row>
    <row r="1777" spans="1:8" x14ac:dyDescent="0.2">
      <c r="A1777" s="27"/>
      <c r="B1777" s="30"/>
      <c r="G1777" s="27"/>
      <c r="H1777" s="27"/>
    </row>
    <row r="1778" spans="1:8" x14ac:dyDescent="0.2">
      <c r="A1778" s="27"/>
      <c r="B1778" s="30"/>
      <c r="G1778" s="27"/>
      <c r="H1778" s="27"/>
    </row>
    <row r="1779" spans="1:8" x14ac:dyDescent="0.2">
      <c r="A1779" s="27"/>
      <c r="B1779" s="30"/>
      <c r="C1779" s="28"/>
      <c r="D1779" s="28"/>
      <c r="E1779" s="28"/>
      <c r="F1779" s="28"/>
      <c r="G1779" s="27"/>
      <c r="H1779" s="27"/>
    </row>
    <row r="1780" spans="1:8" x14ac:dyDescent="0.2">
      <c r="A1780" s="27"/>
      <c r="B1780" s="30"/>
      <c r="C1780" s="28"/>
      <c r="D1780" s="28"/>
      <c r="E1780" s="28"/>
      <c r="F1780" s="28"/>
      <c r="G1780" s="27"/>
      <c r="H1780" s="27"/>
    </row>
    <row r="1781" spans="1:8" x14ac:dyDescent="0.2">
      <c r="A1781" s="27"/>
      <c r="B1781" s="30"/>
      <c r="C1781" s="28"/>
      <c r="D1781" s="28"/>
      <c r="E1781" s="28"/>
      <c r="F1781" s="28"/>
      <c r="G1781" s="27"/>
      <c r="H1781" s="27"/>
    </row>
    <row r="1782" spans="1:8" x14ac:dyDescent="0.2">
      <c r="A1782" s="27"/>
      <c r="B1782" s="30"/>
      <c r="C1782" s="28"/>
      <c r="D1782" s="28"/>
      <c r="E1782" s="28"/>
      <c r="F1782" s="28"/>
      <c r="G1782" s="27"/>
      <c r="H1782" s="27"/>
    </row>
    <row r="1783" spans="1:8" x14ac:dyDescent="0.2">
      <c r="A1783" s="27"/>
      <c r="B1783" s="30"/>
      <c r="C1783" s="28"/>
      <c r="D1783" s="28"/>
      <c r="E1783" s="28"/>
      <c r="F1783" s="28"/>
      <c r="G1783" s="27"/>
      <c r="H1783" s="27"/>
    </row>
    <row r="1784" spans="1:8" x14ac:dyDescent="0.2">
      <c r="A1784" s="27"/>
      <c r="B1784" s="30"/>
      <c r="G1784" s="27"/>
      <c r="H1784" s="27"/>
    </row>
    <row r="1785" spans="1:8" x14ac:dyDescent="0.2">
      <c r="A1785" s="27"/>
      <c r="B1785" s="30"/>
      <c r="G1785" s="27"/>
      <c r="H1785" s="27"/>
    </row>
    <row r="1786" spans="1:8" x14ac:dyDescent="0.2">
      <c r="A1786" s="27"/>
      <c r="B1786" s="30"/>
      <c r="C1786" s="28"/>
      <c r="D1786" s="28"/>
      <c r="E1786" s="28"/>
      <c r="F1786" s="28"/>
      <c r="G1786" s="27"/>
      <c r="H1786" s="27"/>
    </row>
    <row r="1787" spans="1:8" x14ac:dyDescent="0.2">
      <c r="A1787" s="27"/>
      <c r="B1787" s="30"/>
      <c r="G1787" s="27"/>
      <c r="H1787" s="27"/>
    </row>
    <row r="1788" spans="1:8" x14ac:dyDescent="0.2">
      <c r="A1788" s="27"/>
      <c r="B1788" s="30"/>
      <c r="G1788" s="27"/>
      <c r="H1788" s="27"/>
    </row>
    <row r="1789" spans="1:8" x14ac:dyDescent="0.2">
      <c r="A1789" s="27"/>
      <c r="B1789" s="30"/>
      <c r="G1789" s="27"/>
      <c r="H1789" s="27"/>
    </row>
    <row r="1790" spans="1:8" x14ac:dyDescent="0.2">
      <c r="A1790" s="27"/>
      <c r="B1790" s="30"/>
      <c r="C1790" s="28"/>
      <c r="D1790" s="28"/>
      <c r="E1790" s="28"/>
      <c r="F1790" s="28"/>
      <c r="G1790" s="27"/>
      <c r="H1790" s="27"/>
    </row>
    <row r="1791" spans="1:8" x14ac:dyDescent="0.2">
      <c r="A1791" s="27"/>
      <c r="B1791" s="30"/>
      <c r="C1791" s="28"/>
      <c r="D1791" s="28"/>
      <c r="E1791" s="28"/>
      <c r="F1791" s="28"/>
      <c r="G1791" s="27"/>
      <c r="H1791" s="27"/>
    </row>
    <row r="1792" spans="1:8" x14ac:dyDescent="0.2">
      <c r="A1792" s="27"/>
      <c r="B1792" s="30"/>
      <c r="G1792" s="27"/>
      <c r="H1792" s="27"/>
    </row>
    <row r="1793" spans="1:8" x14ac:dyDescent="0.2">
      <c r="A1793" s="27"/>
      <c r="B1793" s="30"/>
      <c r="C1793" s="28"/>
      <c r="D1793" s="28"/>
      <c r="E1793" s="28"/>
      <c r="F1793" s="28"/>
      <c r="G1793" s="27"/>
      <c r="H1793" s="27"/>
    </row>
    <row r="1794" spans="1:8" x14ac:dyDescent="0.2">
      <c r="A1794" s="27"/>
      <c r="B1794" s="30"/>
      <c r="C1794" s="28"/>
      <c r="D1794" s="28"/>
      <c r="E1794" s="28"/>
      <c r="F1794" s="28"/>
      <c r="G1794" s="27"/>
      <c r="H1794" s="27"/>
    </row>
    <row r="1795" spans="1:8" x14ac:dyDescent="0.2">
      <c r="A1795" s="27"/>
      <c r="B1795" s="30"/>
      <c r="G1795" s="27"/>
      <c r="H1795" s="27"/>
    </row>
    <row r="1796" spans="1:8" x14ac:dyDescent="0.2">
      <c r="A1796" s="27"/>
      <c r="B1796" s="30"/>
      <c r="G1796" s="27"/>
      <c r="H1796" s="27"/>
    </row>
    <row r="1797" spans="1:8" x14ac:dyDescent="0.2">
      <c r="A1797" s="27"/>
      <c r="B1797" s="30"/>
      <c r="C1797" s="28"/>
      <c r="D1797" s="28"/>
      <c r="E1797" s="28"/>
      <c r="F1797" s="28"/>
      <c r="G1797" s="27"/>
      <c r="H1797" s="27"/>
    </row>
    <row r="1798" spans="1:8" x14ac:dyDescent="0.2">
      <c r="A1798" s="27"/>
      <c r="B1798" s="30"/>
      <c r="G1798" s="27"/>
      <c r="H1798" s="27"/>
    </row>
    <row r="1799" spans="1:8" x14ac:dyDescent="0.2">
      <c r="A1799" s="27"/>
      <c r="B1799" s="30"/>
      <c r="G1799" s="27"/>
      <c r="H1799" s="27"/>
    </row>
    <row r="1800" spans="1:8" x14ac:dyDescent="0.2">
      <c r="A1800" s="27"/>
      <c r="B1800" s="30"/>
      <c r="C1800" s="28"/>
      <c r="D1800" s="28"/>
      <c r="E1800" s="28"/>
      <c r="F1800" s="28"/>
      <c r="G1800" s="27"/>
      <c r="H1800" s="27"/>
    </row>
    <row r="1801" spans="1:8" x14ac:dyDescent="0.2">
      <c r="A1801" s="27"/>
      <c r="B1801" s="30"/>
      <c r="C1801" s="28"/>
      <c r="D1801" s="28"/>
      <c r="E1801" s="28"/>
      <c r="F1801" s="28"/>
      <c r="G1801" s="27"/>
      <c r="H1801" s="27"/>
    </row>
    <row r="1802" spans="1:8" x14ac:dyDescent="0.2">
      <c r="A1802" s="27"/>
      <c r="B1802" s="30"/>
      <c r="G1802" s="27"/>
      <c r="H1802" s="27"/>
    </row>
    <row r="1803" spans="1:8" x14ac:dyDescent="0.2">
      <c r="A1803" s="27"/>
      <c r="B1803" s="30"/>
      <c r="G1803" s="27"/>
      <c r="H1803" s="27"/>
    </row>
    <row r="1804" spans="1:8" x14ac:dyDescent="0.2">
      <c r="A1804" s="27"/>
      <c r="B1804" s="30"/>
      <c r="G1804" s="27"/>
      <c r="H1804" s="27"/>
    </row>
    <row r="1805" spans="1:8" x14ac:dyDescent="0.2">
      <c r="A1805" s="27"/>
      <c r="B1805" s="30"/>
      <c r="C1805" s="28"/>
      <c r="D1805" s="28"/>
      <c r="E1805" s="28"/>
      <c r="F1805" s="28"/>
      <c r="G1805" s="27"/>
      <c r="H1805" s="27"/>
    </row>
    <row r="1806" spans="1:8" x14ac:dyDescent="0.2">
      <c r="A1806" s="27"/>
      <c r="B1806" s="30"/>
      <c r="C1806" s="28"/>
      <c r="D1806" s="28"/>
      <c r="E1806" s="28"/>
      <c r="F1806" s="28"/>
      <c r="G1806" s="27"/>
      <c r="H1806" s="27"/>
    </row>
    <row r="1807" spans="1:8" x14ac:dyDescent="0.2">
      <c r="A1807" s="27"/>
      <c r="B1807" s="30"/>
      <c r="C1807" s="28"/>
      <c r="D1807" s="28"/>
      <c r="E1807" s="28"/>
      <c r="F1807" s="28"/>
      <c r="G1807" s="27"/>
      <c r="H1807" s="27"/>
    </row>
    <row r="1808" spans="1:8" x14ac:dyDescent="0.2">
      <c r="A1808" s="27"/>
      <c r="B1808" s="30"/>
      <c r="G1808" s="27"/>
      <c r="H1808" s="27"/>
    </row>
    <row r="1809" spans="1:8" x14ac:dyDescent="0.2">
      <c r="A1809" s="27"/>
      <c r="B1809" s="30"/>
      <c r="G1809" s="27"/>
      <c r="H1809" s="27"/>
    </row>
    <row r="1810" spans="1:8" x14ac:dyDescent="0.2">
      <c r="A1810" s="27"/>
      <c r="B1810" s="30"/>
      <c r="C1810" s="28"/>
      <c r="D1810" s="28"/>
      <c r="E1810" s="28"/>
      <c r="F1810" s="28"/>
      <c r="G1810" s="27"/>
      <c r="H1810" s="27"/>
    </row>
    <row r="1811" spans="1:8" x14ac:dyDescent="0.2">
      <c r="A1811" s="27"/>
      <c r="B1811" s="30"/>
      <c r="G1811" s="27"/>
      <c r="H1811" s="27"/>
    </row>
    <row r="1812" spans="1:8" x14ac:dyDescent="0.2">
      <c r="A1812" s="27"/>
      <c r="B1812" s="30"/>
      <c r="C1812" s="28"/>
      <c r="D1812" s="28"/>
      <c r="E1812" s="28"/>
      <c r="F1812" s="28"/>
      <c r="G1812" s="27"/>
      <c r="H1812" s="27"/>
    </row>
    <row r="1813" spans="1:8" x14ac:dyDescent="0.2">
      <c r="A1813" s="27"/>
      <c r="B1813" s="30"/>
      <c r="G1813" s="27"/>
      <c r="H1813" s="27"/>
    </row>
    <row r="1814" spans="1:8" x14ac:dyDescent="0.2">
      <c r="A1814" s="27"/>
      <c r="B1814" s="30"/>
      <c r="G1814" s="27"/>
      <c r="H1814" s="27"/>
    </row>
    <row r="1815" spans="1:8" x14ac:dyDescent="0.2">
      <c r="A1815" s="27"/>
      <c r="B1815" s="30"/>
      <c r="G1815" s="27"/>
      <c r="H1815" s="27"/>
    </row>
    <row r="1816" spans="1:8" x14ac:dyDescent="0.2">
      <c r="A1816" s="27"/>
      <c r="B1816" s="30"/>
      <c r="C1816" s="28"/>
      <c r="D1816" s="28"/>
      <c r="E1816" s="28"/>
      <c r="F1816" s="28"/>
      <c r="G1816" s="27"/>
      <c r="H1816" s="27"/>
    </row>
    <row r="1817" spans="1:8" x14ac:dyDescent="0.2">
      <c r="A1817" s="27"/>
      <c r="B1817" s="30"/>
      <c r="G1817" s="27"/>
      <c r="H1817" s="27"/>
    </row>
    <row r="1818" spans="1:8" x14ac:dyDescent="0.2">
      <c r="A1818" s="27"/>
      <c r="B1818" s="30"/>
      <c r="C1818" s="28"/>
      <c r="D1818" s="28"/>
      <c r="E1818" s="28"/>
      <c r="F1818" s="28"/>
      <c r="G1818" s="27"/>
      <c r="H1818" s="27"/>
    </row>
    <row r="1819" spans="1:8" x14ac:dyDescent="0.2">
      <c r="A1819" s="27"/>
      <c r="B1819" s="30"/>
      <c r="C1819" s="28"/>
      <c r="D1819" s="28"/>
      <c r="E1819" s="28"/>
      <c r="F1819" s="28"/>
      <c r="G1819" s="27"/>
      <c r="H1819" s="27"/>
    </row>
    <row r="1820" spans="1:8" x14ac:dyDescent="0.2">
      <c r="A1820" s="27"/>
      <c r="B1820" s="30"/>
      <c r="G1820" s="27"/>
      <c r="H1820" s="27"/>
    </row>
    <row r="1821" spans="1:8" x14ac:dyDescent="0.2">
      <c r="A1821" s="27"/>
      <c r="B1821" s="30"/>
      <c r="G1821" s="27"/>
      <c r="H1821" s="27"/>
    </row>
    <row r="1822" spans="1:8" x14ac:dyDescent="0.2">
      <c r="A1822" s="27"/>
      <c r="B1822" s="30"/>
      <c r="C1822" s="28"/>
      <c r="D1822" s="28"/>
      <c r="E1822" s="28"/>
      <c r="F1822" s="28"/>
      <c r="G1822" s="27"/>
      <c r="H1822" s="27"/>
    </row>
    <row r="1823" spans="1:8" x14ac:dyDescent="0.2">
      <c r="A1823" s="27"/>
      <c r="B1823" s="30"/>
      <c r="C1823" s="28"/>
      <c r="D1823" s="28"/>
      <c r="E1823" s="28"/>
      <c r="F1823" s="28"/>
      <c r="G1823" s="27"/>
      <c r="H1823" s="27"/>
    </row>
    <row r="1824" spans="1:8" x14ac:dyDescent="0.2">
      <c r="A1824" s="27"/>
      <c r="B1824" s="30"/>
      <c r="C1824" s="28"/>
      <c r="D1824" s="28"/>
      <c r="E1824" s="28"/>
      <c r="F1824" s="28"/>
      <c r="G1824" s="27"/>
      <c r="H1824" s="27"/>
    </row>
    <row r="1825" spans="1:8" x14ac:dyDescent="0.2">
      <c r="A1825" s="27"/>
      <c r="B1825" s="30"/>
      <c r="G1825" s="27"/>
      <c r="H1825" s="27"/>
    </row>
    <row r="1826" spans="1:8" x14ac:dyDescent="0.2">
      <c r="A1826" s="27"/>
      <c r="B1826" s="30"/>
      <c r="G1826" s="27"/>
      <c r="H1826" s="27"/>
    </row>
    <row r="1827" spans="1:8" x14ac:dyDescent="0.2">
      <c r="A1827" s="27"/>
      <c r="B1827" s="30"/>
      <c r="C1827" s="28"/>
      <c r="D1827" s="28"/>
      <c r="E1827" s="28"/>
      <c r="F1827" s="28"/>
      <c r="G1827" s="27"/>
      <c r="H1827" s="27"/>
    </row>
    <row r="1828" spans="1:8" x14ac:dyDescent="0.2">
      <c r="A1828" s="27"/>
      <c r="B1828" s="30"/>
      <c r="G1828" s="27"/>
      <c r="H1828" s="27"/>
    </row>
    <row r="1829" spans="1:8" x14ac:dyDescent="0.2">
      <c r="A1829" s="27"/>
      <c r="B1829" s="30"/>
      <c r="C1829" s="28"/>
      <c r="D1829" s="28"/>
      <c r="E1829" s="28"/>
      <c r="F1829" s="28"/>
      <c r="G1829" s="27"/>
      <c r="H1829" s="27"/>
    </row>
    <row r="1830" spans="1:8" x14ac:dyDescent="0.2">
      <c r="A1830" s="27"/>
      <c r="B1830" s="30"/>
      <c r="G1830" s="27"/>
      <c r="H1830" s="27"/>
    </row>
    <row r="1831" spans="1:8" x14ac:dyDescent="0.2">
      <c r="A1831" s="27"/>
      <c r="B1831" s="30"/>
      <c r="C1831" s="28"/>
      <c r="D1831" s="28"/>
      <c r="E1831" s="28"/>
      <c r="F1831" s="28"/>
      <c r="G1831" s="27"/>
      <c r="H1831" s="27"/>
    </row>
    <row r="1832" spans="1:8" x14ac:dyDescent="0.2">
      <c r="A1832" s="27"/>
      <c r="B1832" s="30"/>
      <c r="C1832" s="28"/>
      <c r="D1832" s="28"/>
      <c r="E1832" s="28"/>
      <c r="F1832" s="28"/>
      <c r="G1832" s="27"/>
      <c r="H1832" s="27"/>
    </row>
    <row r="1833" spans="1:8" x14ac:dyDescent="0.2">
      <c r="A1833" s="27"/>
      <c r="B1833" s="30"/>
      <c r="G1833" s="27"/>
      <c r="H1833" s="27"/>
    </row>
    <row r="1834" spans="1:8" x14ac:dyDescent="0.2">
      <c r="A1834" s="27"/>
      <c r="B1834" s="30"/>
      <c r="G1834" s="27"/>
      <c r="H1834" s="27"/>
    </row>
    <row r="1835" spans="1:8" x14ac:dyDescent="0.2">
      <c r="A1835" s="27"/>
      <c r="B1835" s="30"/>
      <c r="G1835" s="27"/>
      <c r="H1835" s="27"/>
    </row>
    <row r="1836" spans="1:8" x14ac:dyDescent="0.2">
      <c r="A1836" s="27"/>
      <c r="B1836" s="30"/>
      <c r="G1836" s="27"/>
      <c r="H1836" s="27"/>
    </row>
    <row r="1837" spans="1:8" x14ac:dyDescent="0.2">
      <c r="A1837" s="27"/>
      <c r="B1837" s="30"/>
      <c r="G1837" s="27"/>
      <c r="H1837" s="27"/>
    </row>
    <row r="1838" spans="1:8" x14ac:dyDescent="0.2">
      <c r="A1838" s="27"/>
      <c r="B1838" s="30"/>
      <c r="C1838" s="28"/>
      <c r="D1838" s="28"/>
      <c r="E1838" s="28"/>
      <c r="F1838" s="28"/>
      <c r="G1838" s="27"/>
      <c r="H1838" s="27"/>
    </row>
    <row r="1839" spans="1:8" x14ac:dyDescent="0.2">
      <c r="A1839" s="27"/>
      <c r="B1839" s="30"/>
      <c r="G1839" s="27"/>
      <c r="H1839" s="27"/>
    </row>
    <row r="1840" spans="1:8" x14ac:dyDescent="0.2">
      <c r="A1840" s="27"/>
      <c r="B1840" s="30"/>
      <c r="G1840" s="27"/>
      <c r="H1840" s="27"/>
    </row>
    <row r="1841" spans="1:8" x14ac:dyDescent="0.2">
      <c r="A1841" s="27"/>
      <c r="B1841" s="30"/>
      <c r="C1841" s="28"/>
      <c r="D1841" s="28"/>
      <c r="E1841" s="28"/>
      <c r="F1841" s="28"/>
      <c r="G1841" s="27"/>
      <c r="H1841" s="27"/>
    </row>
    <row r="1842" spans="1:8" x14ac:dyDescent="0.2">
      <c r="A1842" s="27"/>
      <c r="B1842" s="30"/>
      <c r="G1842" s="27"/>
      <c r="H1842" s="27"/>
    </row>
    <row r="1843" spans="1:8" x14ac:dyDescent="0.2">
      <c r="A1843" s="27"/>
      <c r="B1843" s="30"/>
      <c r="C1843" s="28"/>
      <c r="D1843" s="28"/>
      <c r="E1843" s="28"/>
      <c r="F1843" s="28"/>
      <c r="G1843" s="27"/>
      <c r="H1843" s="27"/>
    </row>
    <row r="1844" spans="1:8" x14ac:dyDescent="0.2">
      <c r="A1844" s="27"/>
      <c r="B1844" s="30"/>
      <c r="G1844" s="27"/>
      <c r="H1844" s="27"/>
    </row>
    <row r="1845" spans="1:8" x14ac:dyDescent="0.2">
      <c r="A1845" s="27"/>
      <c r="B1845" s="30"/>
      <c r="C1845" s="28"/>
      <c r="D1845" s="28"/>
      <c r="E1845" s="28"/>
      <c r="F1845" s="28"/>
      <c r="G1845" s="27"/>
      <c r="H1845" s="27"/>
    </row>
    <row r="1846" spans="1:8" x14ac:dyDescent="0.2">
      <c r="A1846" s="27"/>
      <c r="B1846" s="30"/>
      <c r="G1846" s="27"/>
      <c r="H1846" s="27"/>
    </row>
    <row r="1847" spans="1:8" x14ac:dyDescent="0.2">
      <c r="A1847" s="27"/>
      <c r="B1847" s="30"/>
      <c r="G1847" s="27"/>
      <c r="H1847" s="27"/>
    </row>
    <row r="1848" spans="1:8" x14ac:dyDescent="0.2">
      <c r="A1848" s="27"/>
      <c r="B1848" s="30"/>
      <c r="G1848" s="27"/>
      <c r="H1848" s="27"/>
    </row>
    <row r="1849" spans="1:8" x14ac:dyDescent="0.2">
      <c r="A1849" s="27"/>
      <c r="B1849" s="30"/>
      <c r="C1849" s="28"/>
      <c r="D1849" s="28"/>
      <c r="E1849" s="28"/>
      <c r="F1849" s="28"/>
      <c r="G1849" s="27"/>
      <c r="H1849" s="27"/>
    </row>
    <row r="1850" spans="1:8" x14ac:dyDescent="0.2">
      <c r="A1850" s="27"/>
      <c r="B1850" s="30"/>
      <c r="C1850" s="28"/>
      <c r="D1850" s="28"/>
      <c r="E1850" s="28"/>
      <c r="F1850" s="28"/>
      <c r="G1850" s="27"/>
      <c r="H1850" s="27"/>
    </row>
    <row r="1851" spans="1:8" x14ac:dyDescent="0.2">
      <c r="A1851" s="27"/>
      <c r="B1851" s="30"/>
      <c r="G1851" s="27"/>
      <c r="H1851" s="27"/>
    </row>
    <row r="1852" spans="1:8" x14ac:dyDescent="0.2">
      <c r="A1852" s="27"/>
      <c r="B1852" s="30"/>
      <c r="C1852" s="28"/>
      <c r="D1852" s="28"/>
      <c r="E1852" s="28"/>
      <c r="F1852" s="28"/>
      <c r="G1852" s="27"/>
      <c r="H1852" s="27"/>
    </row>
    <row r="1853" spans="1:8" x14ac:dyDescent="0.2">
      <c r="A1853" s="27"/>
      <c r="B1853" s="30"/>
      <c r="G1853" s="27"/>
      <c r="H1853" s="27"/>
    </row>
    <row r="1854" spans="1:8" x14ac:dyDescent="0.2">
      <c r="A1854" s="27"/>
      <c r="B1854" s="30"/>
      <c r="G1854" s="27"/>
      <c r="H1854" s="27"/>
    </row>
    <row r="1855" spans="1:8" x14ac:dyDescent="0.2">
      <c r="A1855" s="27"/>
      <c r="B1855" s="30"/>
      <c r="G1855" s="27"/>
      <c r="H1855" s="27"/>
    </row>
    <row r="1856" spans="1:8" x14ac:dyDescent="0.2">
      <c r="A1856" s="27"/>
      <c r="B1856" s="30"/>
      <c r="G1856" s="27"/>
      <c r="H1856" s="27"/>
    </row>
    <row r="1857" spans="1:8" x14ac:dyDescent="0.2">
      <c r="A1857" s="27"/>
      <c r="B1857" s="30"/>
      <c r="G1857" s="27"/>
      <c r="H1857" s="27"/>
    </row>
    <row r="1858" spans="1:8" x14ac:dyDescent="0.2">
      <c r="A1858" s="27"/>
      <c r="B1858" s="30"/>
      <c r="G1858" s="27"/>
      <c r="H1858" s="27"/>
    </row>
    <row r="1859" spans="1:8" x14ac:dyDescent="0.2">
      <c r="A1859" s="27"/>
      <c r="B1859" s="30"/>
      <c r="G1859" s="27"/>
      <c r="H1859" s="27"/>
    </row>
    <row r="1860" spans="1:8" x14ac:dyDescent="0.2">
      <c r="A1860" s="27"/>
      <c r="B1860" s="30"/>
      <c r="G1860" s="27"/>
      <c r="H1860" s="27"/>
    </row>
    <row r="1861" spans="1:8" x14ac:dyDescent="0.2">
      <c r="A1861" s="27"/>
      <c r="B1861" s="30"/>
      <c r="G1861" s="27"/>
      <c r="H1861" s="27"/>
    </row>
    <row r="1862" spans="1:8" x14ac:dyDescent="0.2">
      <c r="A1862" s="27"/>
      <c r="B1862" s="30"/>
      <c r="G1862" s="27"/>
      <c r="H1862" s="27"/>
    </row>
    <row r="1863" spans="1:8" x14ac:dyDescent="0.2">
      <c r="A1863" s="27"/>
      <c r="B1863" s="30"/>
      <c r="G1863" s="27"/>
      <c r="H1863" s="27"/>
    </row>
    <row r="1864" spans="1:8" x14ac:dyDescent="0.2">
      <c r="A1864" s="27"/>
      <c r="B1864" s="30"/>
      <c r="G1864" s="27"/>
      <c r="H1864" s="27"/>
    </row>
    <row r="1865" spans="1:8" x14ac:dyDescent="0.2">
      <c r="A1865" s="27"/>
      <c r="B1865" s="30"/>
      <c r="G1865" s="27"/>
      <c r="H1865" s="27"/>
    </row>
    <row r="1866" spans="1:8" x14ac:dyDescent="0.2">
      <c r="A1866" s="27"/>
      <c r="B1866" s="30"/>
      <c r="C1866" s="28"/>
      <c r="D1866" s="28"/>
      <c r="E1866" s="28"/>
      <c r="F1866" s="28"/>
      <c r="G1866" s="27"/>
      <c r="H1866" s="27"/>
    </row>
    <row r="1867" spans="1:8" x14ac:dyDescent="0.2">
      <c r="A1867" s="27"/>
      <c r="B1867" s="30"/>
      <c r="G1867" s="27"/>
      <c r="H1867" s="27"/>
    </row>
    <row r="1868" spans="1:8" x14ac:dyDescent="0.2">
      <c r="A1868" s="27"/>
      <c r="B1868" s="30"/>
      <c r="C1868" s="28"/>
      <c r="D1868" s="28"/>
      <c r="E1868" s="28"/>
      <c r="F1868" s="28"/>
      <c r="G1868" s="27"/>
      <c r="H1868" s="27"/>
    </row>
    <row r="1869" spans="1:8" x14ac:dyDescent="0.2">
      <c r="A1869" s="27"/>
      <c r="B1869" s="30"/>
      <c r="C1869" s="28"/>
      <c r="D1869" s="28"/>
      <c r="E1869" s="28"/>
      <c r="F1869" s="28"/>
      <c r="G1869" s="27"/>
      <c r="H1869" s="27"/>
    </row>
    <row r="1870" spans="1:8" x14ac:dyDescent="0.2">
      <c r="A1870" s="27"/>
      <c r="B1870" s="30"/>
      <c r="C1870" s="28"/>
      <c r="D1870" s="28"/>
      <c r="E1870" s="28"/>
      <c r="F1870" s="28"/>
      <c r="G1870" s="27"/>
      <c r="H1870" s="27"/>
    </row>
    <row r="1871" spans="1:8" x14ac:dyDescent="0.2">
      <c r="A1871" s="27"/>
      <c r="B1871" s="30"/>
      <c r="C1871" s="28"/>
      <c r="D1871" s="28"/>
      <c r="E1871" s="28"/>
      <c r="F1871" s="28"/>
      <c r="G1871" s="27"/>
      <c r="H1871" s="27"/>
    </row>
    <row r="1872" spans="1:8" x14ac:dyDescent="0.2">
      <c r="A1872" s="27"/>
      <c r="B1872" s="30"/>
      <c r="G1872" s="27"/>
      <c r="H1872" s="27"/>
    </row>
    <row r="1873" spans="1:8" x14ac:dyDescent="0.2">
      <c r="A1873" s="27"/>
      <c r="B1873" s="30"/>
      <c r="G1873" s="27"/>
      <c r="H1873" s="27"/>
    </row>
    <row r="1874" spans="1:8" x14ac:dyDescent="0.2">
      <c r="A1874" s="27"/>
      <c r="B1874" s="30"/>
      <c r="G1874" s="27"/>
      <c r="H1874" s="27"/>
    </row>
    <row r="1875" spans="1:8" x14ac:dyDescent="0.2">
      <c r="A1875" s="27"/>
      <c r="B1875" s="30"/>
      <c r="G1875" s="27"/>
      <c r="H1875" s="27"/>
    </row>
    <row r="1876" spans="1:8" x14ac:dyDescent="0.2">
      <c r="A1876" s="27"/>
      <c r="B1876" s="30"/>
      <c r="C1876" s="28"/>
      <c r="D1876" s="28"/>
      <c r="E1876" s="28"/>
      <c r="F1876" s="28"/>
      <c r="G1876" s="27"/>
      <c r="H1876" s="27"/>
    </row>
    <row r="1877" spans="1:8" x14ac:dyDescent="0.2">
      <c r="A1877" s="27"/>
      <c r="B1877" s="30"/>
      <c r="G1877" s="27"/>
      <c r="H1877" s="27"/>
    </row>
    <row r="1878" spans="1:8" x14ac:dyDescent="0.2">
      <c r="A1878" s="27"/>
      <c r="B1878" s="30"/>
      <c r="G1878" s="27"/>
      <c r="H1878" s="27"/>
    </row>
    <row r="1879" spans="1:8" x14ac:dyDescent="0.2">
      <c r="A1879" s="27"/>
      <c r="B1879" s="30"/>
      <c r="C1879" s="28"/>
      <c r="D1879" s="28"/>
      <c r="E1879" s="28"/>
      <c r="F1879" s="28"/>
      <c r="G1879" s="27"/>
      <c r="H1879" s="27"/>
    </row>
    <row r="1880" spans="1:8" x14ac:dyDescent="0.2">
      <c r="A1880" s="27"/>
      <c r="B1880" s="30"/>
      <c r="G1880" s="27"/>
      <c r="H1880" s="27"/>
    </row>
    <row r="1881" spans="1:8" x14ac:dyDescent="0.2">
      <c r="A1881" s="27"/>
      <c r="B1881" s="30"/>
      <c r="G1881" s="27"/>
      <c r="H1881" s="27"/>
    </row>
    <row r="1882" spans="1:8" x14ac:dyDescent="0.2">
      <c r="A1882" s="27"/>
      <c r="B1882" s="30"/>
      <c r="G1882" s="27"/>
      <c r="H1882" s="27"/>
    </row>
    <row r="1883" spans="1:8" x14ac:dyDescent="0.2">
      <c r="A1883" s="27"/>
      <c r="B1883" s="30"/>
      <c r="G1883" s="27"/>
      <c r="H1883" s="27"/>
    </row>
    <row r="1884" spans="1:8" x14ac:dyDescent="0.2">
      <c r="A1884" s="27"/>
      <c r="B1884" s="30"/>
      <c r="G1884" s="27"/>
      <c r="H1884" s="27"/>
    </row>
    <row r="1885" spans="1:8" x14ac:dyDescent="0.2">
      <c r="A1885" s="27"/>
      <c r="B1885" s="30"/>
      <c r="G1885" s="27"/>
      <c r="H1885" s="27"/>
    </row>
    <row r="1886" spans="1:8" x14ac:dyDescent="0.2">
      <c r="A1886" s="27"/>
      <c r="B1886" s="30"/>
      <c r="G1886" s="27"/>
      <c r="H1886" s="27"/>
    </row>
    <row r="1887" spans="1:8" x14ac:dyDescent="0.2">
      <c r="A1887" s="27"/>
      <c r="B1887" s="30"/>
      <c r="G1887" s="27"/>
      <c r="H1887" s="27"/>
    </row>
    <row r="1888" spans="1:8" x14ac:dyDescent="0.2">
      <c r="A1888" s="27"/>
      <c r="B1888" s="30"/>
      <c r="G1888" s="27"/>
      <c r="H1888" s="27"/>
    </row>
    <row r="1889" spans="1:8" x14ac:dyDescent="0.2">
      <c r="A1889" s="27"/>
      <c r="B1889" s="30"/>
      <c r="G1889" s="27"/>
      <c r="H1889" s="27"/>
    </row>
    <row r="1890" spans="1:8" x14ac:dyDescent="0.2">
      <c r="A1890" s="27"/>
      <c r="B1890" s="30"/>
      <c r="G1890" s="27"/>
      <c r="H1890" s="27"/>
    </row>
    <row r="1891" spans="1:8" x14ac:dyDescent="0.2">
      <c r="A1891" s="27"/>
      <c r="B1891" s="30"/>
      <c r="G1891" s="27"/>
      <c r="H1891" s="27"/>
    </row>
    <row r="1892" spans="1:8" x14ac:dyDescent="0.2">
      <c r="A1892" s="27"/>
      <c r="B1892" s="30"/>
      <c r="C1892" s="28"/>
      <c r="D1892" s="28"/>
      <c r="E1892" s="28"/>
      <c r="F1892" s="28"/>
      <c r="G1892" s="27"/>
      <c r="H1892" s="27"/>
    </row>
    <row r="1893" spans="1:8" x14ac:dyDescent="0.2">
      <c r="A1893" s="27"/>
      <c r="B1893" s="30"/>
      <c r="G1893" s="27"/>
      <c r="H1893" s="27"/>
    </row>
    <row r="1894" spans="1:8" x14ac:dyDescent="0.2">
      <c r="A1894" s="27"/>
      <c r="B1894" s="30"/>
      <c r="G1894" s="27"/>
      <c r="H1894" s="27"/>
    </row>
    <row r="1895" spans="1:8" x14ac:dyDescent="0.2">
      <c r="A1895" s="27"/>
      <c r="B1895" s="30"/>
      <c r="G1895" s="27"/>
      <c r="H1895" s="27"/>
    </row>
    <row r="1896" spans="1:8" x14ac:dyDescent="0.2">
      <c r="A1896" s="27"/>
      <c r="B1896" s="30"/>
      <c r="C1896" s="28"/>
      <c r="D1896" s="28"/>
      <c r="E1896" s="28"/>
      <c r="F1896" s="28"/>
      <c r="G1896" s="27"/>
      <c r="H1896" s="27"/>
    </row>
    <row r="1897" spans="1:8" x14ac:dyDescent="0.2">
      <c r="A1897" s="27"/>
      <c r="B1897" s="30"/>
      <c r="G1897" s="27"/>
      <c r="H1897" s="27"/>
    </row>
    <row r="1898" spans="1:8" x14ac:dyDescent="0.2">
      <c r="A1898" s="27"/>
      <c r="B1898" s="30"/>
      <c r="G1898" s="27"/>
      <c r="H1898" s="27"/>
    </row>
    <row r="1899" spans="1:8" x14ac:dyDescent="0.2">
      <c r="A1899" s="27"/>
      <c r="B1899" s="30"/>
      <c r="C1899" s="28"/>
      <c r="D1899" s="28"/>
      <c r="E1899" s="28"/>
      <c r="F1899" s="28"/>
      <c r="G1899" s="27"/>
      <c r="H1899" s="27"/>
    </row>
    <row r="1900" spans="1:8" x14ac:dyDescent="0.2">
      <c r="A1900" s="27"/>
      <c r="B1900" s="30"/>
      <c r="C1900" s="28"/>
      <c r="D1900" s="28"/>
      <c r="E1900" s="28"/>
      <c r="F1900" s="28"/>
      <c r="G1900" s="27"/>
      <c r="H1900" s="27"/>
    </row>
    <row r="1901" spans="1:8" x14ac:dyDescent="0.2">
      <c r="A1901" s="27"/>
      <c r="B1901" s="30"/>
      <c r="C1901" s="28"/>
      <c r="D1901" s="28"/>
      <c r="E1901" s="28"/>
      <c r="F1901" s="28"/>
      <c r="G1901" s="27"/>
      <c r="H1901" s="27"/>
    </row>
    <row r="1902" spans="1:8" x14ac:dyDescent="0.2">
      <c r="A1902" s="27"/>
      <c r="B1902" s="30"/>
      <c r="C1902" s="28"/>
      <c r="D1902" s="28"/>
      <c r="E1902" s="28"/>
      <c r="F1902" s="28"/>
      <c r="G1902" s="27"/>
      <c r="H1902" s="27"/>
    </row>
    <row r="1903" spans="1:8" x14ac:dyDescent="0.2">
      <c r="A1903" s="27"/>
      <c r="B1903" s="30"/>
      <c r="C1903" s="28"/>
      <c r="D1903" s="28"/>
      <c r="E1903" s="28"/>
      <c r="F1903" s="28"/>
      <c r="G1903" s="27"/>
      <c r="H1903" s="27"/>
    </row>
    <row r="1904" spans="1:8" x14ac:dyDescent="0.2">
      <c r="A1904" s="27"/>
      <c r="B1904" s="30"/>
      <c r="G1904" s="27"/>
      <c r="H1904" s="27"/>
    </row>
    <row r="1905" spans="1:8" x14ac:dyDescent="0.2">
      <c r="A1905" s="27"/>
      <c r="B1905" s="30"/>
      <c r="G1905" s="27"/>
      <c r="H1905" s="27"/>
    </row>
    <row r="1906" spans="1:8" x14ac:dyDescent="0.2">
      <c r="A1906" s="27"/>
      <c r="B1906" s="30"/>
      <c r="C1906" s="28"/>
      <c r="D1906" s="28"/>
      <c r="E1906" s="28"/>
      <c r="F1906" s="28"/>
      <c r="G1906" s="27"/>
      <c r="H1906" s="27"/>
    </row>
    <row r="1907" spans="1:8" x14ac:dyDescent="0.2">
      <c r="A1907" s="27"/>
      <c r="B1907" s="30"/>
      <c r="G1907" s="27"/>
      <c r="H1907" s="27"/>
    </row>
    <row r="1908" spans="1:8" x14ac:dyDescent="0.2">
      <c r="A1908" s="27"/>
      <c r="B1908" s="30"/>
      <c r="G1908" s="27"/>
      <c r="H1908" s="27"/>
    </row>
    <row r="1909" spans="1:8" x14ac:dyDescent="0.2">
      <c r="A1909" s="27"/>
      <c r="B1909" s="30"/>
      <c r="G1909" s="27"/>
      <c r="H1909" s="27"/>
    </row>
    <row r="1910" spans="1:8" x14ac:dyDescent="0.2">
      <c r="A1910" s="27"/>
      <c r="B1910" s="30"/>
      <c r="C1910" s="28"/>
      <c r="D1910" s="28"/>
      <c r="E1910" s="28"/>
      <c r="F1910" s="28"/>
      <c r="G1910" s="27"/>
      <c r="H1910" s="27"/>
    </row>
    <row r="1911" spans="1:8" x14ac:dyDescent="0.2">
      <c r="A1911" s="27"/>
      <c r="B1911" s="30"/>
      <c r="C1911" s="28"/>
      <c r="D1911" s="28"/>
      <c r="E1911" s="28"/>
      <c r="F1911" s="28"/>
      <c r="G1911" s="27"/>
      <c r="H1911" s="27"/>
    </row>
    <row r="1912" spans="1:8" x14ac:dyDescent="0.2">
      <c r="A1912" s="27"/>
      <c r="B1912" s="30"/>
      <c r="G1912" s="27"/>
      <c r="H1912" s="27"/>
    </row>
    <row r="1913" spans="1:8" x14ac:dyDescent="0.2">
      <c r="A1913" s="27"/>
      <c r="B1913" s="30"/>
      <c r="G1913" s="27"/>
      <c r="H1913" s="27"/>
    </row>
    <row r="1914" spans="1:8" x14ac:dyDescent="0.2">
      <c r="A1914" s="27"/>
      <c r="B1914" s="30"/>
      <c r="G1914" s="27"/>
      <c r="H1914" s="27"/>
    </row>
    <row r="1915" spans="1:8" x14ac:dyDescent="0.2">
      <c r="A1915" s="27"/>
      <c r="B1915" s="30"/>
      <c r="G1915" s="27"/>
      <c r="H1915" s="27"/>
    </row>
    <row r="1916" spans="1:8" x14ac:dyDescent="0.2">
      <c r="A1916" s="27"/>
      <c r="B1916" s="30"/>
      <c r="G1916" s="27"/>
      <c r="H1916" s="27"/>
    </row>
    <row r="1917" spans="1:8" x14ac:dyDescent="0.2">
      <c r="A1917" s="27"/>
      <c r="B1917" s="30"/>
      <c r="G1917" s="27"/>
      <c r="H1917" s="27"/>
    </row>
    <row r="1918" spans="1:8" x14ac:dyDescent="0.2">
      <c r="A1918" s="27"/>
      <c r="B1918" s="30"/>
      <c r="C1918" s="28"/>
      <c r="D1918" s="28"/>
      <c r="E1918" s="28"/>
      <c r="F1918" s="28"/>
      <c r="G1918" s="27"/>
      <c r="H1918" s="27"/>
    </row>
    <row r="1919" spans="1:8" x14ac:dyDescent="0.2">
      <c r="A1919" s="27"/>
      <c r="B1919" s="30"/>
      <c r="G1919" s="27"/>
      <c r="H1919" s="27"/>
    </row>
    <row r="1920" spans="1:8" x14ac:dyDescent="0.2">
      <c r="A1920" s="27"/>
      <c r="B1920" s="30"/>
      <c r="G1920" s="27"/>
      <c r="H1920" s="27"/>
    </row>
    <row r="1921" spans="1:8" x14ac:dyDescent="0.2">
      <c r="A1921" s="27"/>
      <c r="B1921" s="30"/>
      <c r="G1921" s="27"/>
      <c r="H1921" s="27"/>
    </row>
    <row r="1922" spans="1:8" x14ac:dyDescent="0.2">
      <c r="A1922" s="27"/>
      <c r="B1922" s="30"/>
      <c r="G1922" s="27"/>
      <c r="H1922" s="27"/>
    </row>
    <row r="1923" spans="1:8" x14ac:dyDescent="0.2">
      <c r="A1923" s="27"/>
      <c r="B1923" s="30"/>
      <c r="G1923" s="27"/>
      <c r="H1923" s="27"/>
    </row>
    <row r="1924" spans="1:8" x14ac:dyDescent="0.2">
      <c r="A1924" s="27"/>
      <c r="B1924" s="30"/>
      <c r="C1924" s="28"/>
      <c r="D1924" s="28"/>
      <c r="E1924" s="28"/>
      <c r="F1924" s="28"/>
      <c r="G1924" s="27"/>
      <c r="H1924" s="27"/>
    </row>
    <row r="1925" spans="1:8" x14ac:dyDescent="0.2">
      <c r="A1925" s="27"/>
      <c r="B1925" s="30"/>
      <c r="C1925" s="28"/>
      <c r="D1925" s="28"/>
      <c r="E1925" s="28"/>
      <c r="F1925" s="28"/>
      <c r="G1925" s="27"/>
      <c r="H1925" s="27"/>
    </row>
    <row r="1926" spans="1:8" x14ac:dyDescent="0.2">
      <c r="A1926" s="27"/>
      <c r="B1926" s="30"/>
      <c r="C1926" s="28"/>
      <c r="D1926" s="28"/>
      <c r="E1926" s="28"/>
      <c r="F1926" s="28"/>
      <c r="G1926" s="27"/>
      <c r="H1926" s="27"/>
    </row>
    <row r="1927" spans="1:8" x14ac:dyDescent="0.2">
      <c r="A1927" s="27"/>
      <c r="B1927" s="30"/>
      <c r="G1927" s="27"/>
      <c r="H1927" s="27"/>
    </row>
    <row r="1928" spans="1:8" x14ac:dyDescent="0.2">
      <c r="A1928" s="27"/>
      <c r="B1928" s="30"/>
      <c r="G1928" s="27"/>
      <c r="H1928" s="27"/>
    </row>
    <row r="1929" spans="1:8" x14ac:dyDescent="0.2">
      <c r="A1929" s="27"/>
      <c r="B1929" s="30"/>
      <c r="G1929" s="27"/>
      <c r="H1929" s="27"/>
    </row>
    <row r="1930" spans="1:8" x14ac:dyDescent="0.2">
      <c r="A1930" s="27"/>
      <c r="B1930" s="30"/>
      <c r="C1930" s="28"/>
      <c r="D1930" s="28"/>
      <c r="E1930" s="28"/>
      <c r="F1930" s="28"/>
      <c r="G1930" s="27"/>
      <c r="H1930" s="27"/>
    </row>
    <row r="1931" spans="1:8" x14ac:dyDescent="0.2">
      <c r="A1931" s="27"/>
      <c r="B1931" s="30"/>
      <c r="C1931" s="28"/>
      <c r="D1931" s="28"/>
      <c r="E1931" s="28"/>
      <c r="F1931" s="28"/>
      <c r="G1931" s="27"/>
      <c r="H1931" s="27"/>
    </row>
    <row r="1932" spans="1:8" x14ac:dyDescent="0.2">
      <c r="A1932" s="27"/>
      <c r="B1932" s="30"/>
      <c r="C1932" s="28"/>
      <c r="D1932" s="28"/>
      <c r="E1932" s="28"/>
      <c r="F1932" s="28"/>
      <c r="G1932" s="27"/>
      <c r="H1932" s="27"/>
    </row>
    <row r="1933" spans="1:8" x14ac:dyDescent="0.2">
      <c r="A1933" s="27"/>
      <c r="B1933" s="30"/>
      <c r="G1933" s="27"/>
      <c r="H1933" s="27"/>
    </row>
    <row r="1934" spans="1:8" x14ac:dyDescent="0.2">
      <c r="A1934" s="27"/>
      <c r="B1934" s="30"/>
      <c r="C1934" s="28"/>
      <c r="D1934" s="28"/>
      <c r="E1934" s="28"/>
      <c r="F1934" s="28"/>
      <c r="G1934" s="27"/>
      <c r="H1934" s="27"/>
    </row>
    <row r="1935" spans="1:8" x14ac:dyDescent="0.2">
      <c r="A1935" s="27"/>
      <c r="B1935" s="30"/>
      <c r="G1935" s="27"/>
      <c r="H1935" s="27"/>
    </row>
    <row r="1936" spans="1:8" x14ac:dyDescent="0.2">
      <c r="A1936" s="27"/>
      <c r="B1936" s="30"/>
      <c r="C1936" s="28"/>
      <c r="D1936" s="28"/>
      <c r="E1936" s="28"/>
      <c r="F1936" s="28"/>
      <c r="G1936" s="27"/>
      <c r="H1936" s="27"/>
    </row>
    <row r="1937" spans="1:8" x14ac:dyDescent="0.2">
      <c r="A1937" s="27"/>
      <c r="B1937" s="30"/>
      <c r="G1937" s="27"/>
      <c r="H1937" s="27"/>
    </row>
    <row r="1938" spans="1:8" x14ac:dyDescent="0.2">
      <c r="A1938" s="27"/>
      <c r="B1938" s="30"/>
      <c r="C1938" s="28"/>
      <c r="D1938" s="28"/>
      <c r="E1938" s="28"/>
      <c r="F1938" s="28"/>
      <c r="G1938" s="27"/>
      <c r="H1938" s="27"/>
    </row>
    <row r="1939" spans="1:8" x14ac:dyDescent="0.2">
      <c r="A1939" s="27"/>
      <c r="B1939" s="30"/>
      <c r="C1939" s="28"/>
      <c r="D1939" s="28"/>
      <c r="E1939" s="28"/>
      <c r="F1939" s="28"/>
      <c r="G1939" s="27"/>
      <c r="H1939" s="27"/>
    </row>
    <row r="1940" spans="1:8" x14ac:dyDescent="0.2">
      <c r="A1940" s="27"/>
      <c r="B1940" s="30"/>
      <c r="G1940" s="27"/>
      <c r="H1940" s="27"/>
    </row>
    <row r="1941" spans="1:8" x14ac:dyDescent="0.2">
      <c r="A1941" s="27"/>
      <c r="B1941" s="30"/>
      <c r="C1941" s="28"/>
      <c r="D1941" s="28"/>
      <c r="E1941" s="28"/>
      <c r="F1941" s="28"/>
      <c r="G1941" s="27"/>
      <c r="H1941" s="27"/>
    </row>
    <row r="1942" spans="1:8" x14ac:dyDescent="0.2">
      <c r="A1942" s="27"/>
      <c r="B1942" s="30"/>
      <c r="C1942" s="28"/>
      <c r="D1942" s="28"/>
      <c r="E1942" s="28"/>
      <c r="F1942" s="28"/>
      <c r="G1942" s="27"/>
      <c r="H1942" s="27"/>
    </row>
    <row r="1943" spans="1:8" x14ac:dyDescent="0.2">
      <c r="A1943" s="27"/>
      <c r="B1943" s="30"/>
      <c r="G1943" s="27"/>
      <c r="H1943" s="27"/>
    </row>
    <row r="1944" spans="1:8" x14ac:dyDescent="0.2">
      <c r="A1944" s="27"/>
      <c r="B1944" s="30"/>
      <c r="C1944" s="28"/>
      <c r="D1944" s="28"/>
      <c r="E1944" s="28"/>
      <c r="F1944" s="28"/>
      <c r="G1944" s="27"/>
      <c r="H1944" s="27"/>
    </row>
    <row r="1945" spans="1:8" x14ac:dyDescent="0.2">
      <c r="A1945" s="27"/>
      <c r="B1945" s="30"/>
      <c r="G1945" s="27"/>
      <c r="H1945" s="27"/>
    </row>
    <row r="1946" spans="1:8" x14ac:dyDescent="0.2">
      <c r="A1946" s="27"/>
      <c r="B1946" s="30"/>
      <c r="G1946" s="27"/>
      <c r="H1946" s="27"/>
    </row>
    <row r="1947" spans="1:8" x14ac:dyDescent="0.2">
      <c r="A1947" s="27"/>
      <c r="B1947" s="30"/>
      <c r="C1947" s="28"/>
      <c r="D1947" s="28"/>
      <c r="E1947" s="28"/>
      <c r="F1947" s="28"/>
      <c r="G1947" s="27"/>
      <c r="H1947" s="27"/>
    </row>
    <row r="1948" spans="1:8" x14ac:dyDescent="0.2">
      <c r="A1948" s="27"/>
      <c r="B1948" s="30"/>
      <c r="G1948" s="27"/>
      <c r="H1948" s="27"/>
    </row>
    <row r="1949" spans="1:8" x14ac:dyDescent="0.2">
      <c r="A1949" s="27"/>
      <c r="B1949" s="30"/>
      <c r="G1949" s="27"/>
      <c r="H1949" s="27"/>
    </row>
    <row r="1950" spans="1:8" x14ac:dyDescent="0.2">
      <c r="A1950" s="27"/>
      <c r="B1950" s="30"/>
      <c r="C1950" s="28"/>
      <c r="D1950" s="28"/>
      <c r="E1950" s="28"/>
      <c r="F1950" s="28"/>
      <c r="G1950" s="27"/>
      <c r="H1950" s="27"/>
    </row>
    <row r="1951" spans="1:8" x14ac:dyDescent="0.2">
      <c r="A1951" s="27"/>
      <c r="B1951" s="30"/>
      <c r="G1951" s="27"/>
      <c r="H1951" s="27"/>
    </row>
    <row r="1952" spans="1:8" x14ac:dyDescent="0.2">
      <c r="A1952" s="27"/>
      <c r="B1952" s="30"/>
      <c r="G1952" s="27"/>
      <c r="H1952" s="27"/>
    </row>
    <row r="1953" spans="1:8" x14ac:dyDescent="0.2">
      <c r="A1953" s="27"/>
      <c r="B1953" s="30"/>
      <c r="C1953" s="28"/>
      <c r="D1953" s="28"/>
      <c r="E1953" s="28"/>
      <c r="F1953" s="28"/>
      <c r="G1953" s="27"/>
      <c r="H1953" s="27"/>
    </row>
    <row r="1954" spans="1:8" x14ac:dyDescent="0.2">
      <c r="A1954" s="27"/>
      <c r="B1954" s="30"/>
      <c r="C1954" s="28"/>
      <c r="D1954" s="28"/>
      <c r="E1954" s="28"/>
      <c r="F1954" s="28"/>
      <c r="G1954" s="27"/>
      <c r="H1954" s="27"/>
    </row>
    <row r="1955" spans="1:8" x14ac:dyDescent="0.2">
      <c r="A1955" s="27"/>
      <c r="B1955" s="30"/>
      <c r="C1955" s="28"/>
      <c r="D1955" s="28"/>
      <c r="E1955" s="28"/>
      <c r="F1955" s="28"/>
      <c r="G1955" s="27"/>
      <c r="H1955" s="27"/>
    </row>
    <row r="1956" spans="1:8" x14ac:dyDescent="0.2">
      <c r="A1956" s="27"/>
      <c r="B1956" s="30"/>
      <c r="G1956" s="27"/>
      <c r="H1956" s="27"/>
    </row>
    <row r="1957" spans="1:8" x14ac:dyDescent="0.2">
      <c r="A1957" s="27"/>
      <c r="B1957" s="30"/>
      <c r="C1957" s="28"/>
      <c r="D1957" s="28"/>
      <c r="E1957" s="28"/>
      <c r="F1957" s="28"/>
      <c r="G1957" s="27"/>
      <c r="H1957" s="27"/>
    </row>
    <row r="1958" spans="1:8" x14ac:dyDescent="0.2">
      <c r="A1958" s="27"/>
      <c r="B1958" s="30"/>
      <c r="G1958" s="27"/>
      <c r="H1958" s="27"/>
    </row>
    <row r="1959" spans="1:8" x14ac:dyDescent="0.2">
      <c r="A1959" s="27"/>
      <c r="B1959" s="30"/>
      <c r="G1959" s="27"/>
      <c r="H1959" s="27"/>
    </row>
    <row r="1960" spans="1:8" x14ac:dyDescent="0.2">
      <c r="A1960" s="27"/>
      <c r="B1960" s="30"/>
      <c r="C1960" s="28"/>
      <c r="D1960" s="28"/>
      <c r="E1960" s="28"/>
      <c r="F1960" s="28"/>
      <c r="G1960" s="27"/>
      <c r="H1960" s="27"/>
    </row>
    <row r="1961" spans="1:8" x14ac:dyDescent="0.2">
      <c r="A1961" s="27"/>
      <c r="B1961" s="30"/>
      <c r="G1961" s="27"/>
      <c r="H1961" s="27"/>
    </row>
    <row r="1962" spans="1:8" x14ac:dyDescent="0.2">
      <c r="A1962" s="27"/>
      <c r="B1962" s="30"/>
      <c r="G1962" s="27"/>
      <c r="H1962" s="27"/>
    </row>
    <row r="1963" spans="1:8" x14ac:dyDescent="0.2">
      <c r="A1963" s="27"/>
      <c r="B1963" s="30"/>
      <c r="C1963" s="28"/>
      <c r="D1963" s="28"/>
      <c r="E1963" s="28"/>
      <c r="F1963" s="28"/>
      <c r="G1963" s="27"/>
      <c r="H1963" s="27"/>
    </row>
    <row r="1964" spans="1:8" x14ac:dyDescent="0.2">
      <c r="A1964" s="27"/>
      <c r="B1964" s="30"/>
      <c r="G1964" s="27"/>
      <c r="H1964" s="27"/>
    </row>
    <row r="1965" spans="1:8" x14ac:dyDescent="0.2">
      <c r="A1965" s="27"/>
      <c r="B1965" s="30"/>
      <c r="G1965" s="27"/>
      <c r="H1965" s="27"/>
    </row>
    <row r="1966" spans="1:8" x14ac:dyDescent="0.2">
      <c r="A1966" s="27"/>
      <c r="B1966" s="30"/>
      <c r="G1966" s="27"/>
      <c r="H1966" s="27"/>
    </row>
    <row r="1967" spans="1:8" x14ac:dyDescent="0.2">
      <c r="A1967" s="27"/>
      <c r="B1967" s="30"/>
      <c r="C1967" s="28"/>
      <c r="D1967" s="28"/>
      <c r="E1967" s="28"/>
      <c r="F1967" s="28"/>
      <c r="G1967" s="27"/>
      <c r="H1967" s="27"/>
    </row>
    <row r="1968" spans="1:8" x14ac:dyDescent="0.2">
      <c r="A1968" s="27"/>
      <c r="B1968" s="30"/>
      <c r="C1968" s="28"/>
      <c r="D1968" s="28"/>
      <c r="E1968" s="28"/>
      <c r="F1968" s="28"/>
      <c r="G1968" s="27"/>
      <c r="H1968" s="27"/>
    </row>
    <row r="1969" spans="1:8" x14ac:dyDescent="0.2">
      <c r="A1969" s="27"/>
      <c r="B1969" s="30"/>
      <c r="G1969" s="27"/>
      <c r="H1969" s="27"/>
    </row>
    <row r="1970" spans="1:8" x14ac:dyDescent="0.2">
      <c r="A1970" s="27"/>
      <c r="B1970" s="30"/>
      <c r="G1970" s="27"/>
      <c r="H1970" s="27"/>
    </row>
    <row r="1971" spans="1:8" x14ac:dyDescent="0.2">
      <c r="A1971" s="27"/>
      <c r="B1971" s="30"/>
      <c r="G1971" s="27"/>
      <c r="H1971" s="27"/>
    </row>
    <row r="1972" spans="1:8" x14ac:dyDescent="0.2">
      <c r="A1972" s="27"/>
      <c r="B1972" s="30"/>
      <c r="C1972" s="28"/>
      <c r="D1972" s="28"/>
      <c r="E1972" s="28"/>
      <c r="F1972" s="28"/>
      <c r="G1972" s="27"/>
      <c r="H1972" s="27"/>
    </row>
    <row r="1973" spans="1:8" x14ac:dyDescent="0.2">
      <c r="A1973" s="27"/>
      <c r="B1973" s="30"/>
      <c r="G1973" s="27"/>
      <c r="H1973" s="27"/>
    </row>
    <row r="1974" spans="1:8" x14ac:dyDescent="0.2">
      <c r="A1974" s="27"/>
      <c r="B1974" s="30"/>
      <c r="C1974" s="28"/>
      <c r="D1974" s="28"/>
      <c r="E1974" s="28"/>
      <c r="F1974" s="28"/>
      <c r="G1974" s="27"/>
      <c r="H1974" s="27"/>
    </row>
    <row r="1975" spans="1:8" x14ac:dyDescent="0.2">
      <c r="A1975" s="27"/>
      <c r="B1975" s="30"/>
      <c r="C1975" s="28"/>
      <c r="D1975" s="28"/>
      <c r="E1975" s="28"/>
      <c r="F1975" s="28"/>
      <c r="G1975" s="27"/>
      <c r="H1975" s="27"/>
    </row>
    <row r="1976" spans="1:8" x14ac:dyDescent="0.2">
      <c r="A1976" s="27"/>
      <c r="B1976" s="30"/>
      <c r="C1976" s="28"/>
      <c r="D1976" s="28"/>
      <c r="E1976" s="28"/>
      <c r="F1976" s="28"/>
      <c r="G1976" s="27"/>
      <c r="H1976" s="27"/>
    </row>
    <row r="1977" spans="1:8" x14ac:dyDescent="0.2">
      <c r="A1977" s="27"/>
      <c r="B1977" s="30"/>
      <c r="G1977" s="27"/>
      <c r="H1977" s="27"/>
    </row>
    <row r="1978" spans="1:8" x14ac:dyDescent="0.2">
      <c r="A1978" s="27"/>
      <c r="B1978" s="30"/>
      <c r="G1978" s="27"/>
      <c r="H1978" s="27"/>
    </row>
    <row r="1979" spans="1:8" x14ac:dyDescent="0.2">
      <c r="A1979" s="27"/>
      <c r="B1979" s="30"/>
      <c r="G1979" s="27"/>
      <c r="H1979" s="27"/>
    </row>
    <row r="1980" spans="1:8" x14ac:dyDescent="0.2">
      <c r="A1980" s="27"/>
      <c r="B1980" s="30"/>
      <c r="C1980" s="28"/>
      <c r="D1980" s="28"/>
      <c r="E1980" s="28"/>
      <c r="F1980" s="28"/>
      <c r="G1980" s="27"/>
      <c r="H1980" s="27"/>
    </row>
    <row r="1981" spans="1:8" x14ac:dyDescent="0.2">
      <c r="A1981" s="27"/>
      <c r="B1981" s="30"/>
      <c r="G1981" s="27"/>
      <c r="H1981" s="27"/>
    </row>
    <row r="1982" spans="1:8" x14ac:dyDescent="0.2">
      <c r="A1982" s="27"/>
      <c r="B1982" s="30"/>
      <c r="G1982" s="27"/>
      <c r="H1982" s="27"/>
    </row>
    <row r="1983" spans="1:8" x14ac:dyDescent="0.2">
      <c r="A1983" s="27"/>
      <c r="B1983" s="30"/>
      <c r="C1983" s="28"/>
      <c r="D1983" s="28"/>
      <c r="E1983" s="28"/>
      <c r="F1983" s="28"/>
      <c r="G1983" s="27"/>
      <c r="H1983" s="27"/>
    </row>
    <row r="1984" spans="1:8" x14ac:dyDescent="0.2">
      <c r="A1984" s="27"/>
      <c r="B1984" s="30"/>
      <c r="G1984" s="27"/>
      <c r="H1984" s="27"/>
    </row>
    <row r="1985" spans="1:8" x14ac:dyDescent="0.2">
      <c r="A1985" s="27"/>
      <c r="B1985" s="30"/>
      <c r="C1985" s="28"/>
      <c r="D1985" s="28"/>
      <c r="E1985" s="28"/>
      <c r="F1985" s="28"/>
      <c r="G1985" s="27"/>
      <c r="H1985" s="27"/>
    </row>
    <row r="1986" spans="1:8" x14ac:dyDescent="0.2">
      <c r="A1986" s="27"/>
      <c r="B1986" s="30"/>
      <c r="G1986" s="27"/>
      <c r="H1986" s="27"/>
    </row>
    <row r="1987" spans="1:8" x14ac:dyDescent="0.2">
      <c r="A1987" s="27"/>
      <c r="B1987" s="30"/>
      <c r="G1987" s="27"/>
      <c r="H1987" s="27"/>
    </row>
    <row r="1988" spans="1:8" x14ac:dyDescent="0.2">
      <c r="A1988" s="27"/>
      <c r="B1988" s="30"/>
      <c r="G1988" s="27"/>
      <c r="H1988" s="27"/>
    </row>
    <row r="1989" spans="1:8" x14ac:dyDescent="0.2">
      <c r="A1989" s="27"/>
      <c r="B1989" s="30"/>
      <c r="G1989" s="27"/>
      <c r="H1989" s="27"/>
    </row>
    <row r="1990" spans="1:8" x14ac:dyDescent="0.2">
      <c r="A1990" s="27"/>
      <c r="B1990" s="30"/>
      <c r="G1990" s="27"/>
      <c r="H1990" s="27"/>
    </row>
    <row r="1991" spans="1:8" x14ac:dyDescent="0.2">
      <c r="A1991" s="27"/>
      <c r="B1991" s="30"/>
      <c r="C1991" s="28"/>
      <c r="D1991" s="28"/>
      <c r="E1991" s="28"/>
      <c r="F1991" s="28"/>
      <c r="G1991" s="27"/>
      <c r="H1991" s="27"/>
    </row>
    <row r="1992" spans="1:8" x14ac:dyDescent="0.2">
      <c r="A1992" s="27"/>
      <c r="B1992" s="30"/>
      <c r="G1992" s="27"/>
      <c r="H1992" s="27"/>
    </row>
    <row r="1993" spans="1:8" x14ac:dyDescent="0.2">
      <c r="A1993" s="27"/>
      <c r="B1993" s="30"/>
      <c r="G1993" s="27"/>
      <c r="H1993" s="27"/>
    </row>
    <row r="1994" spans="1:8" x14ac:dyDescent="0.2">
      <c r="A1994" s="27"/>
      <c r="B1994" s="30"/>
      <c r="G1994" s="27"/>
      <c r="H1994" s="27"/>
    </row>
    <row r="1995" spans="1:8" x14ac:dyDescent="0.2">
      <c r="A1995" s="27"/>
      <c r="B1995" s="30"/>
      <c r="G1995" s="27"/>
      <c r="H1995" s="27"/>
    </row>
    <row r="1996" spans="1:8" x14ac:dyDescent="0.2">
      <c r="A1996" s="27"/>
      <c r="B1996" s="30"/>
      <c r="G1996" s="27"/>
      <c r="H1996" s="27"/>
    </row>
    <row r="1997" spans="1:8" x14ac:dyDescent="0.2">
      <c r="A1997" s="27"/>
      <c r="B1997" s="30"/>
      <c r="G1997" s="27"/>
      <c r="H1997" s="27"/>
    </row>
    <row r="1998" spans="1:8" x14ac:dyDescent="0.2">
      <c r="A1998" s="27"/>
      <c r="B1998" s="30"/>
      <c r="G1998" s="27"/>
      <c r="H1998" s="27"/>
    </row>
    <row r="1999" spans="1:8" x14ac:dyDescent="0.2">
      <c r="A1999" s="27"/>
      <c r="B1999" s="30"/>
      <c r="G1999" s="27"/>
      <c r="H1999" s="27"/>
    </row>
    <row r="2000" spans="1:8" x14ac:dyDescent="0.2">
      <c r="A2000" s="27"/>
      <c r="B2000" s="30"/>
      <c r="G2000" s="27"/>
      <c r="H2000" s="27"/>
    </row>
    <row r="2001" spans="1:8" x14ac:dyDescent="0.2">
      <c r="A2001" s="27"/>
      <c r="B2001" s="30"/>
      <c r="G2001" s="27"/>
      <c r="H2001" s="27"/>
    </row>
    <row r="2002" spans="1:8" x14ac:dyDescent="0.2">
      <c r="A2002" s="27"/>
      <c r="B2002" s="30"/>
      <c r="G2002" s="27"/>
      <c r="H2002" s="27"/>
    </row>
    <row r="2003" spans="1:8" x14ac:dyDescent="0.2">
      <c r="A2003" s="27"/>
      <c r="B2003" s="30"/>
      <c r="G2003" s="27"/>
      <c r="H2003" s="27"/>
    </row>
    <row r="2004" spans="1:8" x14ac:dyDescent="0.2">
      <c r="A2004" s="27"/>
      <c r="B2004" s="30"/>
      <c r="C2004" s="28"/>
      <c r="D2004" s="28"/>
      <c r="E2004" s="28"/>
      <c r="F2004" s="28"/>
      <c r="G2004" s="27"/>
      <c r="H2004" s="27"/>
    </row>
    <row r="2005" spans="1:8" x14ac:dyDescent="0.2">
      <c r="A2005" s="27"/>
      <c r="B2005" s="30"/>
      <c r="G2005" s="27"/>
      <c r="H2005" s="27"/>
    </row>
    <row r="2006" spans="1:8" x14ac:dyDescent="0.2">
      <c r="A2006" s="27"/>
      <c r="B2006" s="30"/>
      <c r="C2006" s="28"/>
      <c r="D2006" s="28"/>
      <c r="E2006" s="28"/>
      <c r="F2006" s="28"/>
      <c r="G2006" s="27"/>
      <c r="H2006" s="27"/>
    </row>
    <row r="2007" spans="1:8" x14ac:dyDescent="0.2">
      <c r="A2007" s="27"/>
      <c r="B2007" s="30"/>
      <c r="G2007" s="27"/>
      <c r="H2007" s="27"/>
    </row>
    <row r="2008" spans="1:8" x14ac:dyDescent="0.2">
      <c r="A2008" s="27"/>
      <c r="B2008" s="30"/>
      <c r="C2008" s="28"/>
      <c r="D2008" s="28"/>
      <c r="E2008" s="28"/>
      <c r="F2008" s="28"/>
      <c r="G2008" s="27"/>
      <c r="H2008" s="27"/>
    </row>
    <row r="2009" spans="1:8" x14ac:dyDescent="0.2">
      <c r="A2009" s="27"/>
      <c r="B2009" s="30"/>
      <c r="C2009" s="28"/>
      <c r="D2009" s="28"/>
      <c r="E2009" s="28"/>
      <c r="F2009" s="28"/>
      <c r="G2009" s="27"/>
      <c r="H2009" s="27"/>
    </row>
    <row r="2010" spans="1:8" x14ac:dyDescent="0.2">
      <c r="A2010" s="27"/>
      <c r="B2010" s="30"/>
      <c r="G2010" s="27"/>
      <c r="H2010" s="27"/>
    </row>
    <row r="2011" spans="1:8" x14ac:dyDescent="0.2">
      <c r="A2011" s="27"/>
      <c r="B2011" s="30"/>
      <c r="G2011" s="27"/>
      <c r="H2011" s="27"/>
    </row>
    <row r="2012" spans="1:8" x14ac:dyDescent="0.2">
      <c r="A2012" s="27"/>
      <c r="B2012" s="30"/>
      <c r="G2012" s="27"/>
      <c r="H2012" s="27"/>
    </row>
    <row r="2013" spans="1:8" x14ac:dyDescent="0.2">
      <c r="A2013" s="27"/>
      <c r="B2013" s="30"/>
      <c r="G2013" s="27"/>
      <c r="H2013" s="27"/>
    </row>
    <row r="2014" spans="1:8" x14ac:dyDescent="0.2">
      <c r="A2014" s="27"/>
      <c r="B2014" s="30"/>
      <c r="G2014" s="27"/>
      <c r="H2014" s="27"/>
    </row>
    <row r="2015" spans="1:8" x14ac:dyDescent="0.2">
      <c r="A2015" s="27"/>
      <c r="B2015" s="30"/>
      <c r="G2015" s="27"/>
      <c r="H2015" s="27"/>
    </row>
    <row r="2016" spans="1:8" x14ac:dyDescent="0.2">
      <c r="A2016" s="27"/>
      <c r="B2016" s="30"/>
      <c r="C2016" s="28"/>
      <c r="D2016" s="28"/>
      <c r="E2016" s="28"/>
      <c r="F2016" s="28"/>
      <c r="G2016" s="27"/>
      <c r="H2016" s="27"/>
    </row>
    <row r="2017" spans="1:8" x14ac:dyDescent="0.2">
      <c r="A2017" s="27"/>
      <c r="B2017" s="30"/>
      <c r="G2017" s="27"/>
      <c r="H2017" s="27"/>
    </row>
    <row r="2018" spans="1:8" x14ac:dyDescent="0.2">
      <c r="A2018" s="27"/>
      <c r="B2018" s="30"/>
      <c r="C2018" s="28"/>
      <c r="D2018" s="28"/>
      <c r="E2018" s="28"/>
      <c r="F2018" s="28"/>
      <c r="G2018" s="27"/>
      <c r="H2018" s="27"/>
    </row>
    <row r="2019" spans="1:8" x14ac:dyDescent="0.2">
      <c r="A2019" s="27"/>
      <c r="B2019" s="30"/>
      <c r="C2019" s="28"/>
      <c r="D2019" s="28"/>
      <c r="E2019" s="28"/>
      <c r="F2019" s="28"/>
      <c r="G2019" s="27"/>
      <c r="H2019" s="27"/>
    </row>
    <row r="2020" spans="1:8" x14ac:dyDescent="0.2">
      <c r="A2020" s="27"/>
      <c r="B2020" s="30"/>
      <c r="C2020" s="28"/>
      <c r="D2020" s="28"/>
      <c r="E2020" s="28"/>
      <c r="F2020" s="28"/>
      <c r="G2020" s="27"/>
      <c r="H2020" s="27"/>
    </row>
    <row r="2021" spans="1:8" x14ac:dyDescent="0.2">
      <c r="A2021" s="27"/>
      <c r="B2021" s="30"/>
      <c r="G2021" s="27"/>
      <c r="H2021" s="27"/>
    </row>
    <row r="2022" spans="1:8" x14ac:dyDescent="0.2">
      <c r="A2022" s="27"/>
      <c r="B2022" s="30"/>
      <c r="G2022" s="27"/>
      <c r="H2022" s="27"/>
    </row>
    <row r="2023" spans="1:8" x14ac:dyDescent="0.2">
      <c r="A2023" s="27"/>
      <c r="B2023" s="30"/>
      <c r="G2023" s="27"/>
      <c r="H2023" s="27"/>
    </row>
    <row r="2024" spans="1:8" x14ac:dyDescent="0.2">
      <c r="A2024" s="27"/>
      <c r="B2024" s="30"/>
      <c r="C2024" s="28"/>
      <c r="D2024" s="28"/>
      <c r="E2024" s="28"/>
      <c r="F2024" s="28"/>
      <c r="G2024" s="27"/>
      <c r="H2024" s="27"/>
    </row>
    <row r="2025" spans="1:8" x14ac:dyDescent="0.2">
      <c r="A2025" s="27"/>
      <c r="B2025" s="30"/>
      <c r="G2025" s="27"/>
      <c r="H2025" s="27"/>
    </row>
    <row r="2026" spans="1:8" x14ac:dyDescent="0.2">
      <c r="A2026" s="27"/>
      <c r="B2026" s="30"/>
      <c r="G2026" s="27"/>
      <c r="H2026" s="27"/>
    </row>
    <row r="2027" spans="1:8" x14ac:dyDescent="0.2">
      <c r="A2027" s="27"/>
      <c r="B2027" s="30"/>
      <c r="G2027" s="27"/>
      <c r="H2027" s="27"/>
    </row>
    <row r="2028" spans="1:8" x14ac:dyDescent="0.2">
      <c r="A2028" s="27"/>
      <c r="B2028" s="30"/>
      <c r="C2028" s="28"/>
      <c r="D2028" s="28"/>
      <c r="E2028" s="28"/>
      <c r="F2028" s="28"/>
      <c r="G2028" s="27"/>
      <c r="H2028" s="27"/>
    </row>
    <row r="2029" spans="1:8" x14ac:dyDescent="0.2">
      <c r="A2029" s="27"/>
      <c r="B2029" s="30"/>
      <c r="G2029" s="27"/>
      <c r="H2029" s="27"/>
    </row>
    <row r="2030" spans="1:8" x14ac:dyDescent="0.2">
      <c r="A2030" s="27"/>
      <c r="B2030" s="30"/>
      <c r="G2030" s="27"/>
      <c r="H2030" s="27"/>
    </row>
    <row r="2031" spans="1:8" x14ac:dyDescent="0.2">
      <c r="A2031" s="27"/>
      <c r="B2031" s="30"/>
      <c r="G2031" s="27"/>
      <c r="H2031" s="27"/>
    </row>
    <row r="2032" spans="1:8" x14ac:dyDescent="0.2">
      <c r="A2032" s="27"/>
      <c r="B2032" s="30"/>
      <c r="G2032" s="27"/>
      <c r="H2032" s="27"/>
    </row>
    <row r="2033" spans="1:8" x14ac:dyDescent="0.2">
      <c r="A2033" s="27"/>
      <c r="B2033" s="30"/>
      <c r="G2033" s="27"/>
      <c r="H2033" s="27"/>
    </row>
    <row r="2034" spans="1:8" x14ac:dyDescent="0.2">
      <c r="A2034" s="27"/>
      <c r="B2034" s="30"/>
      <c r="C2034" s="28"/>
      <c r="D2034" s="28"/>
      <c r="E2034" s="28"/>
      <c r="F2034" s="28"/>
      <c r="G2034" s="27"/>
      <c r="H2034" s="27"/>
    </row>
    <row r="2035" spans="1:8" x14ac:dyDescent="0.2">
      <c r="A2035" s="27"/>
      <c r="B2035" s="30"/>
      <c r="C2035" s="28"/>
      <c r="D2035" s="28"/>
      <c r="E2035" s="28"/>
      <c r="F2035" s="28"/>
      <c r="G2035" s="27"/>
      <c r="H2035" s="27"/>
    </row>
    <row r="2036" spans="1:8" x14ac:dyDescent="0.2">
      <c r="A2036" s="27"/>
      <c r="B2036" s="30"/>
      <c r="G2036" s="27"/>
      <c r="H2036" s="27"/>
    </row>
    <row r="2037" spans="1:8" x14ac:dyDescent="0.2">
      <c r="A2037" s="27"/>
      <c r="B2037" s="30"/>
      <c r="C2037" s="28"/>
      <c r="D2037" s="28"/>
      <c r="E2037" s="28"/>
      <c r="F2037" s="28"/>
      <c r="G2037" s="27"/>
      <c r="H2037" s="27"/>
    </row>
    <row r="2038" spans="1:8" x14ac:dyDescent="0.2">
      <c r="A2038" s="27"/>
      <c r="B2038" s="30"/>
      <c r="C2038" s="28"/>
      <c r="D2038" s="28"/>
      <c r="E2038" s="28"/>
      <c r="F2038" s="28"/>
      <c r="G2038" s="27"/>
      <c r="H2038" s="27"/>
    </row>
    <row r="2039" spans="1:8" x14ac:dyDescent="0.2">
      <c r="A2039" s="27"/>
      <c r="B2039" s="30"/>
      <c r="C2039" s="28"/>
      <c r="D2039" s="28"/>
      <c r="E2039" s="28"/>
      <c r="F2039" s="28"/>
      <c r="G2039" s="27"/>
      <c r="H2039" s="27"/>
    </row>
    <row r="2040" spans="1:8" x14ac:dyDescent="0.2">
      <c r="A2040" s="27"/>
      <c r="B2040" s="30"/>
      <c r="G2040" s="27"/>
      <c r="H2040" s="27"/>
    </row>
    <row r="2041" spans="1:8" x14ac:dyDescent="0.2">
      <c r="A2041" s="27"/>
      <c r="B2041" s="30"/>
      <c r="C2041" s="28"/>
      <c r="D2041" s="28"/>
      <c r="E2041" s="28"/>
      <c r="F2041" s="28"/>
      <c r="G2041" s="27"/>
      <c r="H2041" s="27"/>
    </row>
    <row r="2042" spans="1:8" x14ac:dyDescent="0.2">
      <c r="A2042" s="27"/>
      <c r="B2042" s="30"/>
      <c r="G2042" s="27"/>
      <c r="H2042" s="27"/>
    </row>
    <row r="2043" spans="1:8" x14ac:dyDescent="0.2">
      <c r="A2043" s="27"/>
      <c r="B2043" s="30"/>
      <c r="C2043" s="28"/>
      <c r="D2043" s="28"/>
      <c r="E2043" s="28"/>
      <c r="F2043" s="28"/>
      <c r="G2043" s="27"/>
      <c r="H2043" s="27"/>
    </row>
    <row r="2044" spans="1:8" x14ac:dyDescent="0.2">
      <c r="A2044" s="27"/>
      <c r="B2044" s="30"/>
      <c r="G2044" s="27"/>
      <c r="H2044" s="27"/>
    </row>
    <row r="2045" spans="1:8" x14ac:dyDescent="0.2">
      <c r="A2045" s="27"/>
      <c r="B2045" s="30"/>
      <c r="C2045" s="28"/>
      <c r="D2045" s="28"/>
      <c r="E2045" s="28"/>
      <c r="F2045" s="28"/>
      <c r="G2045" s="27"/>
      <c r="H2045" s="27"/>
    </row>
    <row r="2046" spans="1:8" x14ac:dyDescent="0.2">
      <c r="A2046" s="27"/>
      <c r="B2046" s="30"/>
      <c r="C2046" s="28"/>
      <c r="D2046" s="28"/>
      <c r="E2046" s="28"/>
      <c r="F2046" s="28"/>
      <c r="G2046" s="27"/>
      <c r="H2046" s="27"/>
    </row>
    <row r="2047" spans="1:8" x14ac:dyDescent="0.2">
      <c r="A2047" s="27"/>
      <c r="B2047" s="30"/>
      <c r="G2047" s="27"/>
      <c r="H2047" s="27"/>
    </row>
    <row r="2048" spans="1:8" x14ac:dyDescent="0.2">
      <c r="A2048" s="27"/>
      <c r="B2048" s="30"/>
      <c r="C2048" s="28"/>
      <c r="D2048" s="28"/>
      <c r="E2048" s="28"/>
      <c r="F2048" s="28"/>
      <c r="G2048" s="27"/>
      <c r="H2048" s="27"/>
    </row>
    <row r="2049" spans="1:8" x14ac:dyDescent="0.2">
      <c r="A2049" s="27"/>
      <c r="B2049" s="30"/>
      <c r="G2049" s="27"/>
      <c r="H2049" s="27"/>
    </row>
    <row r="2050" spans="1:8" x14ac:dyDescent="0.2">
      <c r="A2050" s="27"/>
      <c r="B2050" s="30"/>
      <c r="G2050" s="27"/>
      <c r="H2050" s="27"/>
    </row>
    <row r="2051" spans="1:8" x14ac:dyDescent="0.2">
      <c r="A2051" s="27"/>
      <c r="B2051" s="30"/>
      <c r="C2051" s="28"/>
      <c r="D2051" s="28"/>
      <c r="E2051" s="28"/>
      <c r="F2051" s="28"/>
      <c r="G2051" s="27"/>
      <c r="H2051" s="27"/>
    </row>
    <row r="2052" spans="1:8" x14ac:dyDescent="0.2">
      <c r="A2052" s="27"/>
      <c r="B2052" s="30"/>
      <c r="G2052" s="27"/>
      <c r="H2052" s="27"/>
    </row>
    <row r="2053" spans="1:8" x14ac:dyDescent="0.2">
      <c r="A2053" s="27"/>
      <c r="B2053" s="30"/>
      <c r="G2053" s="27"/>
      <c r="H2053" s="27"/>
    </row>
    <row r="2054" spans="1:8" x14ac:dyDescent="0.2">
      <c r="A2054" s="27"/>
      <c r="B2054" s="30"/>
      <c r="G2054" s="27"/>
      <c r="H2054" s="27"/>
    </row>
    <row r="2055" spans="1:8" x14ac:dyDescent="0.2">
      <c r="A2055" s="27"/>
      <c r="B2055" s="30"/>
      <c r="C2055" s="28"/>
      <c r="D2055" s="28"/>
      <c r="E2055" s="28"/>
      <c r="F2055" s="28"/>
      <c r="G2055" s="27"/>
      <c r="H2055" s="27"/>
    </row>
    <row r="2056" spans="1:8" x14ac:dyDescent="0.2">
      <c r="A2056" s="27"/>
      <c r="B2056" s="30"/>
      <c r="C2056" s="28"/>
      <c r="D2056" s="28"/>
      <c r="E2056" s="28"/>
      <c r="F2056" s="28"/>
      <c r="G2056" s="27"/>
      <c r="H2056" s="27"/>
    </row>
    <row r="2057" spans="1:8" x14ac:dyDescent="0.2">
      <c r="A2057" s="27"/>
      <c r="B2057" s="30"/>
      <c r="G2057" s="27"/>
      <c r="H2057" s="27"/>
    </row>
    <row r="2058" spans="1:8" x14ac:dyDescent="0.2">
      <c r="A2058" s="27"/>
      <c r="B2058" s="30"/>
      <c r="G2058" s="27"/>
      <c r="H2058" s="27"/>
    </row>
    <row r="2059" spans="1:8" x14ac:dyDescent="0.2">
      <c r="A2059" s="27"/>
      <c r="B2059" s="30"/>
      <c r="C2059" s="28"/>
      <c r="D2059" s="28"/>
      <c r="E2059" s="28"/>
      <c r="F2059" s="28"/>
      <c r="G2059" s="27"/>
      <c r="H2059" s="27"/>
    </row>
    <row r="2060" spans="1:8" x14ac:dyDescent="0.2">
      <c r="A2060" s="27"/>
      <c r="B2060" s="30"/>
      <c r="G2060" s="27"/>
      <c r="H2060" s="27"/>
    </row>
    <row r="2061" spans="1:8" x14ac:dyDescent="0.2">
      <c r="A2061" s="27"/>
      <c r="B2061" s="30"/>
      <c r="G2061" s="27"/>
      <c r="H2061" s="27"/>
    </row>
    <row r="2062" spans="1:8" x14ac:dyDescent="0.2">
      <c r="A2062" s="27"/>
      <c r="B2062" s="30"/>
      <c r="C2062" s="28"/>
      <c r="D2062" s="28"/>
      <c r="E2062" s="28"/>
      <c r="F2062" s="28"/>
      <c r="G2062" s="27"/>
      <c r="H2062" s="27"/>
    </row>
    <row r="2063" spans="1:8" x14ac:dyDescent="0.2">
      <c r="A2063" s="27"/>
      <c r="B2063" s="30"/>
      <c r="G2063" s="27"/>
      <c r="H2063" s="27"/>
    </row>
    <row r="2064" spans="1:8" x14ac:dyDescent="0.2">
      <c r="A2064" s="27"/>
      <c r="B2064" s="30"/>
      <c r="G2064" s="27"/>
      <c r="H2064" s="27"/>
    </row>
    <row r="2065" spans="1:8" x14ac:dyDescent="0.2">
      <c r="A2065" s="27"/>
      <c r="B2065" s="30"/>
      <c r="G2065" s="27"/>
      <c r="H2065" s="27"/>
    </row>
    <row r="2066" spans="1:8" x14ac:dyDescent="0.2">
      <c r="A2066" s="27"/>
      <c r="B2066" s="30"/>
      <c r="C2066" s="28"/>
      <c r="D2066" s="28"/>
      <c r="E2066" s="28"/>
      <c r="F2066" s="28"/>
      <c r="G2066" s="27"/>
      <c r="H2066" s="27"/>
    </row>
    <row r="2067" spans="1:8" x14ac:dyDescent="0.2">
      <c r="A2067" s="27"/>
      <c r="B2067" s="30"/>
      <c r="C2067" s="28"/>
      <c r="D2067" s="28"/>
      <c r="E2067" s="28"/>
      <c r="F2067" s="28"/>
      <c r="G2067" s="27"/>
      <c r="H2067" s="27"/>
    </row>
    <row r="2068" spans="1:8" x14ac:dyDescent="0.2">
      <c r="A2068" s="27"/>
      <c r="B2068" s="30"/>
      <c r="G2068" s="27"/>
      <c r="H2068" s="27"/>
    </row>
    <row r="2069" spans="1:8" x14ac:dyDescent="0.2">
      <c r="A2069" s="27"/>
      <c r="B2069" s="30"/>
      <c r="C2069" s="28"/>
      <c r="D2069" s="28"/>
      <c r="E2069" s="28"/>
      <c r="F2069" s="28"/>
      <c r="G2069" s="27"/>
      <c r="H2069" s="27"/>
    </row>
    <row r="2070" spans="1:8" x14ac:dyDescent="0.2">
      <c r="A2070" s="27"/>
      <c r="B2070" s="30"/>
      <c r="G2070" s="27"/>
      <c r="H2070" s="27"/>
    </row>
    <row r="2071" spans="1:8" x14ac:dyDescent="0.2">
      <c r="A2071" s="27"/>
      <c r="B2071" s="30"/>
      <c r="G2071" s="27"/>
      <c r="H2071" s="27"/>
    </row>
    <row r="2072" spans="1:8" x14ac:dyDescent="0.2">
      <c r="A2072" s="27"/>
      <c r="B2072" s="30"/>
      <c r="G2072" s="27"/>
      <c r="H2072" s="27"/>
    </row>
    <row r="2073" spans="1:8" x14ac:dyDescent="0.2">
      <c r="A2073" s="27"/>
      <c r="B2073" s="30"/>
      <c r="G2073" s="27"/>
      <c r="H2073" s="27"/>
    </row>
    <row r="2074" spans="1:8" x14ac:dyDescent="0.2">
      <c r="A2074" s="27"/>
      <c r="B2074" s="30"/>
      <c r="G2074" s="27"/>
      <c r="H2074" s="27"/>
    </row>
    <row r="2075" spans="1:8" x14ac:dyDescent="0.2">
      <c r="A2075" s="27"/>
      <c r="B2075" s="30"/>
      <c r="G2075" s="27"/>
      <c r="H2075" s="27"/>
    </row>
    <row r="2076" spans="1:8" x14ac:dyDescent="0.2">
      <c r="A2076" s="27"/>
      <c r="B2076" s="30"/>
      <c r="G2076" s="27"/>
      <c r="H2076" s="27"/>
    </row>
    <row r="2077" spans="1:8" x14ac:dyDescent="0.2">
      <c r="A2077" s="27"/>
      <c r="B2077" s="30"/>
      <c r="G2077" s="27"/>
      <c r="H2077" s="27"/>
    </row>
    <row r="2078" spans="1:8" x14ac:dyDescent="0.2">
      <c r="A2078" s="27"/>
      <c r="B2078" s="30"/>
      <c r="G2078" s="27"/>
      <c r="H2078" s="27"/>
    </row>
    <row r="2079" spans="1:8" x14ac:dyDescent="0.2">
      <c r="A2079" s="27"/>
      <c r="B2079" s="30"/>
      <c r="G2079" s="27"/>
      <c r="H2079" s="27"/>
    </row>
    <row r="2080" spans="1:8" x14ac:dyDescent="0.2">
      <c r="A2080" s="27"/>
      <c r="B2080" s="30"/>
      <c r="G2080" s="27"/>
      <c r="H2080" s="27"/>
    </row>
    <row r="2081" spans="1:8" x14ac:dyDescent="0.2">
      <c r="A2081" s="27"/>
      <c r="B2081" s="30"/>
      <c r="G2081" s="27"/>
      <c r="H2081" s="27"/>
    </row>
    <row r="2082" spans="1:8" x14ac:dyDescent="0.2">
      <c r="A2082" s="27"/>
      <c r="B2082" s="30"/>
      <c r="G2082" s="27"/>
      <c r="H2082" s="27"/>
    </row>
    <row r="2083" spans="1:8" x14ac:dyDescent="0.2">
      <c r="A2083" s="27"/>
      <c r="B2083" s="30"/>
      <c r="G2083" s="27"/>
      <c r="H2083" s="27"/>
    </row>
    <row r="2084" spans="1:8" x14ac:dyDescent="0.2">
      <c r="A2084" s="27"/>
      <c r="B2084" s="30"/>
      <c r="C2084" s="28"/>
      <c r="D2084" s="28"/>
      <c r="E2084" s="28"/>
      <c r="F2084" s="28"/>
      <c r="G2084" s="27"/>
      <c r="H2084" s="27"/>
    </row>
    <row r="2085" spans="1:8" x14ac:dyDescent="0.2">
      <c r="A2085" s="27"/>
      <c r="B2085" s="30"/>
      <c r="G2085" s="27"/>
      <c r="H2085" s="27"/>
    </row>
    <row r="2086" spans="1:8" x14ac:dyDescent="0.2">
      <c r="A2086" s="27"/>
      <c r="B2086" s="30"/>
      <c r="C2086" s="28"/>
      <c r="D2086" s="28"/>
      <c r="E2086" s="28"/>
      <c r="F2086" s="28"/>
      <c r="G2086" s="27"/>
      <c r="H2086" s="27"/>
    </row>
    <row r="2087" spans="1:8" x14ac:dyDescent="0.2">
      <c r="A2087" s="27"/>
      <c r="B2087" s="30"/>
      <c r="G2087" s="27"/>
      <c r="H2087" s="27"/>
    </row>
    <row r="2088" spans="1:8" x14ac:dyDescent="0.2">
      <c r="A2088" s="27"/>
      <c r="B2088" s="30"/>
      <c r="C2088" s="28"/>
      <c r="D2088" s="28"/>
      <c r="E2088" s="28"/>
      <c r="F2088" s="28"/>
      <c r="G2088" s="27"/>
      <c r="H2088" s="27"/>
    </row>
    <row r="2089" spans="1:8" x14ac:dyDescent="0.2">
      <c r="A2089" s="27"/>
      <c r="B2089" s="30"/>
      <c r="G2089" s="27"/>
      <c r="H2089" s="27"/>
    </row>
    <row r="2090" spans="1:8" x14ac:dyDescent="0.2">
      <c r="A2090" s="27"/>
      <c r="B2090" s="30"/>
      <c r="C2090" s="28"/>
      <c r="D2090" s="28"/>
      <c r="E2090" s="28"/>
      <c r="F2090" s="28"/>
      <c r="G2090" s="27"/>
      <c r="H2090" s="27"/>
    </row>
    <row r="2091" spans="1:8" x14ac:dyDescent="0.2">
      <c r="A2091" s="27"/>
      <c r="B2091" s="30"/>
      <c r="C2091" s="28"/>
      <c r="D2091" s="28"/>
      <c r="E2091" s="28"/>
      <c r="F2091" s="28"/>
      <c r="G2091" s="27"/>
      <c r="H2091" s="27"/>
    </row>
    <row r="2092" spans="1:8" x14ac:dyDescent="0.2">
      <c r="A2092" s="27"/>
      <c r="B2092" s="30"/>
      <c r="G2092" s="27"/>
      <c r="H2092" s="27"/>
    </row>
    <row r="2093" spans="1:8" x14ac:dyDescent="0.2">
      <c r="A2093" s="27"/>
      <c r="B2093" s="30"/>
      <c r="G2093" s="27"/>
      <c r="H2093" s="27"/>
    </row>
    <row r="2094" spans="1:8" x14ac:dyDescent="0.2">
      <c r="A2094" s="27"/>
      <c r="B2094" s="30"/>
      <c r="G2094" s="27"/>
      <c r="H2094" s="27"/>
    </row>
    <row r="2095" spans="1:8" x14ac:dyDescent="0.2">
      <c r="A2095" s="27"/>
      <c r="B2095" s="30"/>
      <c r="G2095" s="27"/>
      <c r="H2095" s="27"/>
    </row>
    <row r="2096" spans="1:8" x14ac:dyDescent="0.2">
      <c r="A2096" s="27"/>
      <c r="B2096" s="30"/>
      <c r="C2096" s="28"/>
      <c r="D2096" s="28"/>
      <c r="E2096" s="28"/>
      <c r="F2096" s="28"/>
      <c r="G2096" s="27"/>
      <c r="H2096" s="27"/>
    </row>
    <row r="2097" spans="1:8" x14ac:dyDescent="0.2">
      <c r="A2097" s="27"/>
      <c r="B2097" s="30"/>
      <c r="G2097" s="27"/>
      <c r="H2097" s="27"/>
    </row>
    <row r="2098" spans="1:8" x14ac:dyDescent="0.2">
      <c r="A2098" s="27"/>
      <c r="B2098" s="30"/>
      <c r="G2098" s="27"/>
      <c r="H2098" s="27"/>
    </row>
    <row r="2099" spans="1:8" x14ac:dyDescent="0.2">
      <c r="A2099" s="27"/>
      <c r="B2099" s="30"/>
      <c r="C2099" s="28"/>
      <c r="D2099" s="28"/>
      <c r="E2099" s="28"/>
      <c r="F2099" s="28"/>
      <c r="G2099" s="27"/>
      <c r="H2099" s="27"/>
    </row>
    <row r="2100" spans="1:8" x14ac:dyDescent="0.2">
      <c r="A2100" s="27"/>
      <c r="B2100" s="30"/>
      <c r="G2100" s="27"/>
      <c r="H2100" s="27"/>
    </row>
    <row r="2101" spans="1:8" x14ac:dyDescent="0.2">
      <c r="A2101" s="27"/>
      <c r="B2101" s="30"/>
      <c r="G2101" s="27"/>
      <c r="H2101" s="27"/>
    </row>
    <row r="2102" spans="1:8" x14ac:dyDescent="0.2">
      <c r="A2102" s="27"/>
      <c r="B2102" s="30"/>
      <c r="C2102" s="28"/>
      <c r="D2102" s="28"/>
      <c r="E2102" s="28"/>
      <c r="F2102" s="28"/>
      <c r="G2102" s="27"/>
      <c r="H2102" s="27"/>
    </row>
    <row r="2103" spans="1:8" x14ac:dyDescent="0.2">
      <c r="A2103" s="27"/>
      <c r="B2103" s="30"/>
      <c r="G2103" s="27"/>
      <c r="H2103" s="27"/>
    </row>
    <row r="2104" spans="1:8" x14ac:dyDescent="0.2">
      <c r="A2104" s="27"/>
      <c r="B2104" s="30"/>
      <c r="C2104" s="28"/>
      <c r="D2104" s="28"/>
      <c r="E2104" s="28"/>
      <c r="F2104" s="28"/>
      <c r="G2104" s="27"/>
      <c r="H2104" s="27"/>
    </row>
    <row r="2105" spans="1:8" x14ac:dyDescent="0.2">
      <c r="A2105" s="27"/>
      <c r="B2105" s="30"/>
      <c r="G2105" s="27"/>
      <c r="H2105" s="27"/>
    </row>
    <row r="2106" spans="1:8" x14ac:dyDescent="0.2">
      <c r="A2106" s="27"/>
      <c r="B2106" s="30"/>
      <c r="G2106" s="27"/>
      <c r="H2106" s="27"/>
    </row>
    <row r="2107" spans="1:8" x14ac:dyDescent="0.2">
      <c r="A2107" s="27"/>
      <c r="B2107" s="30"/>
      <c r="G2107" s="27"/>
      <c r="H2107" s="27"/>
    </row>
    <row r="2108" spans="1:8" x14ac:dyDescent="0.2">
      <c r="A2108" s="27"/>
      <c r="B2108" s="30"/>
      <c r="G2108" s="27"/>
      <c r="H2108" s="27"/>
    </row>
    <row r="2109" spans="1:8" x14ac:dyDescent="0.2">
      <c r="A2109" s="27"/>
      <c r="B2109" s="30"/>
      <c r="G2109" s="27"/>
      <c r="H2109" s="27"/>
    </row>
    <row r="2110" spans="1:8" x14ac:dyDescent="0.2">
      <c r="A2110" s="27"/>
      <c r="B2110" s="30"/>
      <c r="G2110" s="27"/>
      <c r="H2110" s="27"/>
    </row>
    <row r="2111" spans="1:8" x14ac:dyDescent="0.2">
      <c r="A2111" s="27"/>
      <c r="B2111" s="30"/>
      <c r="C2111" s="28"/>
      <c r="D2111" s="28"/>
      <c r="E2111" s="28"/>
      <c r="F2111" s="28"/>
      <c r="G2111" s="27"/>
      <c r="H2111" s="27"/>
    </row>
    <row r="2112" spans="1:8" x14ac:dyDescent="0.2">
      <c r="A2112" s="27"/>
      <c r="B2112" s="30"/>
      <c r="G2112" s="27"/>
      <c r="H2112" s="27"/>
    </row>
    <row r="2113" spans="1:8" x14ac:dyDescent="0.2">
      <c r="A2113" s="27"/>
      <c r="B2113" s="30"/>
      <c r="G2113" s="27"/>
      <c r="H2113" s="27"/>
    </row>
    <row r="2114" spans="1:8" x14ac:dyDescent="0.2">
      <c r="A2114" s="27"/>
      <c r="B2114" s="30"/>
      <c r="G2114" s="27"/>
      <c r="H2114" s="27"/>
    </row>
    <row r="2115" spans="1:8" x14ac:dyDescent="0.2">
      <c r="A2115" s="27"/>
      <c r="B2115" s="30"/>
      <c r="G2115" s="27"/>
      <c r="H2115" s="27"/>
    </row>
    <row r="2116" spans="1:8" x14ac:dyDescent="0.2">
      <c r="A2116" s="27"/>
      <c r="B2116" s="30"/>
      <c r="C2116" s="28"/>
      <c r="D2116" s="28"/>
      <c r="E2116" s="28"/>
      <c r="F2116" s="28"/>
      <c r="G2116" s="27"/>
      <c r="H2116" s="27"/>
    </row>
    <row r="2117" spans="1:8" x14ac:dyDescent="0.2">
      <c r="A2117" s="27"/>
      <c r="B2117" s="30"/>
      <c r="G2117" s="27"/>
      <c r="H2117" s="27"/>
    </row>
    <row r="2118" spans="1:8" x14ac:dyDescent="0.2">
      <c r="A2118" s="27"/>
      <c r="B2118" s="30"/>
      <c r="G2118" s="27"/>
      <c r="H2118" s="27"/>
    </row>
    <row r="2119" spans="1:8" x14ac:dyDescent="0.2">
      <c r="A2119" s="27"/>
      <c r="B2119" s="30"/>
      <c r="G2119" s="27"/>
      <c r="H2119" s="27"/>
    </row>
    <row r="2120" spans="1:8" x14ac:dyDescent="0.2">
      <c r="A2120" s="27"/>
      <c r="B2120" s="30"/>
      <c r="G2120" s="27"/>
      <c r="H2120" s="27"/>
    </row>
    <row r="2121" spans="1:8" x14ac:dyDescent="0.2">
      <c r="A2121" s="27"/>
      <c r="B2121" s="30"/>
      <c r="C2121" s="28"/>
      <c r="D2121" s="28"/>
      <c r="E2121" s="28"/>
      <c r="F2121" s="28"/>
      <c r="G2121" s="27"/>
      <c r="H2121" s="27"/>
    </row>
    <row r="2122" spans="1:8" x14ac:dyDescent="0.2">
      <c r="A2122" s="27"/>
      <c r="B2122" s="30"/>
      <c r="G2122" s="27"/>
      <c r="H2122" s="27"/>
    </row>
    <row r="2123" spans="1:8" x14ac:dyDescent="0.2">
      <c r="A2123" s="27"/>
      <c r="B2123" s="30"/>
      <c r="C2123" s="28"/>
      <c r="D2123" s="28"/>
      <c r="E2123" s="28"/>
      <c r="F2123" s="28"/>
      <c r="G2123" s="27"/>
      <c r="H2123" s="27"/>
    </row>
    <row r="2124" spans="1:8" x14ac:dyDescent="0.2">
      <c r="A2124" s="27"/>
      <c r="B2124" s="30"/>
      <c r="C2124" s="28"/>
      <c r="D2124" s="28"/>
      <c r="E2124" s="28"/>
      <c r="F2124" s="28"/>
      <c r="G2124" s="27"/>
      <c r="H2124" s="27"/>
    </row>
    <row r="2125" spans="1:8" x14ac:dyDescent="0.2">
      <c r="A2125" s="27"/>
      <c r="B2125" s="30"/>
      <c r="G2125" s="27"/>
      <c r="H2125" s="27"/>
    </row>
    <row r="2126" spans="1:8" x14ac:dyDescent="0.2">
      <c r="A2126" s="27"/>
      <c r="B2126" s="30"/>
      <c r="G2126" s="27"/>
      <c r="H2126" s="27"/>
    </row>
    <row r="2127" spans="1:8" x14ac:dyDescent="0.2">
      <c r="A2127" s="27"/>
      <c r="B2127" s="30"/>
      <c r="G2127" s="27"/>
      <c r="H2127" s="27"/>
    </row>
    <row r="2128" spans="1:8" x14ac:dyDescent="0.2">
      <c r="A2128" s="27"/>
      <c r="B2128" s="30"/>
      <c r="G2128" s="27"/>
      <c r="H2128" s="27"/>
    </row>
    <row r="2129" spans="1:8" x14ac:dyDescent="0.2">
      <c r="A2129" s="27"/>
      <c r="B2129" s="30"/>
      <c r="G2129" s="27"/>
      <c r="H2129" s="27"/>
    </row>
    <row r="2130" spans="1:8" x14ac:dyDescent="0.2">
      <c r="A2130" s="27"/>
      <c r="B2130" s="30"/>
      <c r="G2130" s="27"/>
      <c r="H2130" s="27"/>
    </row>
    <row r="2131" spans="1:8" x14ac:dyDescent="0.2">
      <c r="A2131" s="27"/>
      <c r="B2131" s="30"/>
      <c r="G2131" s="27"/>
      <c r="H2131" s="27"/>
    </row>
    <row r="2132" spans="1:8" x14ac:dyDescent="0.2">
      <c r="A2132" s="27"/>
      <c r="B2132" s="30"/>
      <c r="G2132" s="27"/>
      <c r="H2132" s="27"/>
    </row>
    <row r="2133" spans="1:8" x14ac:dyDescent="0.2">
      <c r="A2133" s="27"/>
      <c r="B2133" s="30"/>
      <c r="G2133" s="27"/>
      <c r="H2133" s="27"/>
    </row>
    <row r="2134" spans="1:8" x14ac:dyDescent="0.2">
      <c r="A2134" s="27"/>
      <c r="B2134" s="30"/>
      <c r="G2134" s="27"/>
      <c r="H2134" s="27"/>
    </row>
    <row r="2135" spans="1:8" x14ac:dyDescent="0.2">
      <c r="A2135" s="27"/>
      <c r="B2135" s="30"/>
      <c r="C2135" s="28"/>
      <c r="D2135" s="28"/>
      <c r="E2135" s="28"/>
      <c r="F2135" s="28"/>
      <c r="G2135" s="27"/>
      <c r="H2135" s="27"/>
    </row>
    <row r="2136" spans="1:8" x14ac:dyDescent="0.2">
      <c r="A2136" s="27"/>
      <c r="B2136" s="30"/>
      <c r="C2136" s="28"/>
      <c r="D2136" s="28"/>
      <c r="E2136" s="28"/>
      <c r="F2136" s="28"/>
      <c r="G2136" s="27"/>
      <c r="H2136" s="27"/>
    </row>
    <row r="2137" spans="1:8" x14ac:dyDescent="0.2">
      <c r="A2137" s="27"/>
      <c r="B2137" s="30"/>
      <c r="G2137" s="27"/>
      <c r="H2137" s="27"/>
    </row>
    <row r="2138" spans="1:8" x14ac:dyDescent="0.2">
      <c r="A2138" s="27"/>
      <c r="B2138" s="30"/>
      <c r="C2138" s="28"/>
      <c r="D2138" s="28"/>
      <c r="E2138" s="28"/>
      <c r="F2138" s="28"/>
      <c r="G2138" s="27"/>
      <c r="H2138" s="27"/>
    </row>
    <row r="2139" spans="1:8" x14ac:dyDescent="0.2">
      <c r="A2139" s="27"/>
      <c r="B2139" s="30"/>
      <c r="G2139" s="27"/>
      <c r="H2139" s="27"/>
    </row>
    <row r="2140" spans="1:8" x14ac:dyDescent="0.2">
      <c r="A2140" s="27"/>
      <c r="B2140" s="30"/>
      <c r="G2140" s="27"/>
      <c r="H2140" s="27"/>
    </row>
    <row r="2141" spans="1:8" x14ac:dyDescent="0.2">
      <c r="A2141" s="27"/>
      <c r="B2141" s="30"/>
      <c r="C2141" s="28"/>
      <c r="D2141" s="28"/>
      <c r="E2141" s="28"/>
      <c r="F2141" s="28"/>
      <c r="G2141" s="27"/>
      <c r="H2141" s="27"/>
    </row>
    <row r="2142" spans="1:8" x14ac:dyDescent="0.2">
      <c r="A2142" s="27"/>
      <c r="B2142" s="30"/>
      <c r="G2142" s="27"/>
      <c r="H2142" s="27"/>
    </row>
    <row r="2143" spans="1:8" x14ac:dyDescent="0.2">
      <c r="A2143" s="27"/>
      <c r="B2143" s="30"/>
      <c r="G2143" s="27"/>
      <c r="H2143" s="27"/>
    </row>
    <row r="2144" spans="1:8" x14ac:dyDescent="0.2">
      <c r="A2144" s="27"/>
      <c r="B2144" s="30"/>
      <c r="C2144" s="28"/>
      <c r="D2144" s="28"/>
      <c r="E2144" s="28"/>
      <c r="F2144" s="28"/>
      <c r="G2144" s="27"/>
      <c r="H2144" s="27"/>
    </row>
    <row r="2145" spans="1:8" x14ac:dyDescent="0.2">
      <c r="A2145" s="27"/>
      <c r="B2145" s="30"/>
      <c r="G2145" s="27"/>
      <c r="H2145" s="27"/>
    </row>
    <row r="2146" spans="1:8" x14ac:dyDescent="0.2">
      <c r="A2146" s="27"/>
      <c r="B2146" s="30"/>
      <c r="G2146" s="27"/>
      <c r="H2146" s="27"/>
    </row>
    <row r="2147" spans="1:8" x14ac:dyDescent="0.2">
      <c r="A2147" s="27"/>
      <c r="B2147" s="30"/>
      <c r="C2147" s="28"/>
      <c r="D2147" s="28"/>
      <c r="E2147" s="28"/>
      <c r="F2147" s="28"/>
      <c r="G2147" s="27"/>
      <c r="H2147" s="27"/>
    </row>
    <row r="2148" spans="1:8" x14ac:dyDescent="0.2">
      <c r="A2148" s="27"/>
      <c r="B2148" s="30"/>
      <c r="C2148" s="28"/>
      <c r="D2148" s="28"/>
      <c r="E2148" s="28"/>
      <c r="F2148" s="28"/>
      <c r="G2148" s="27"/>
      <c r="H2148" s="27"/>
    </row>
    <row r="2149" spans="1:8" x14ac:dyDescent="0.2">
      <c r="A2149" s="27"/>
      <c r="B2149" s="30"/>
      <c r="G2149" s="27"/>
      <c r="H2149" s="27"/>
    </row>
    <row r="2150" spans="1:8" x14ac:dyDescent="0.2">
      <c r="A2150" s="27"/>
      <c r="B2150" s="30"/>
      <c r="G2150" s="27"/>
      <c r="H2150" s="27"/>
    </row>
    <row r="2151" spans="1:8" x14ac:dyDescent="0.2">
      <c r="A2151" s="27"/>
      <c r="B2151" s="30"/>
      <c r="G2151" s="27"/>
      <c r="H2151" s="27"/>
    </row>
    <row r="2152" spans="1:8" x14ac:dyDescent="0.2">
      <c r="A2152" s="27"/>
      <c r="B2152" s="30"/>
      <c r="C2152" s="28"/>
      <c r="D2152" s="28"/>
      <c r="E2152" s="28"/>
      <c r="F2152" s="28"/>
      <c r="G2152" s="27"/>
      <c r="H2152" s="27"/>
    </row>
    <row r="2153" spans="1:8" x14ac:dyDescent="0.2">
      <c r="A2153" s="27"/>
      <c r="B2153" s="30"/>
      <c r="G2153" s="27"/>
      <c r="H2153" s="27"/>
    </row>
    <row r="2154" spans="1:8" x14ac:dyDescent="0.2">
      <c r="A2154" s="27"/>
      <c r="B2154" s="30"/>
      <c r="G2154" s="27"/>
      <c r="H2154" s="27"/>
    </row>
    <row r="2155" spans="1:8" x14ac:dyDescent="0.2">
      <c r="A2155" s="27"/>
      <c r="B2155" s="30"/>
      <c r="G2155" s="27"/>
      <c r="H2155" s="27"/>
    </row>
    <row r="2156" spans="1:8" x14ac:dyDescent="0.2">
      <c r="A2156" s="27"/>
      <c r="B2156" s="30"/>
      <c r="G2156" s="27"/>
      <c r="H2156" s="27"/>
    </row>
    <row r="2157" spans="1:8" x14ac:dyDescent="0.2">
      <c r="A2157" s="27"/>
      <c r="B2157" s="30"/>
      <c r="C2157" s="28"/>
      <c r="D2157" s="28"/>
      <c r="E2157" s="28"/>
      <c r="F2157" s="28"/>
      <c r="G2157" s="27"/>
      <c r="H2157" s="27"/>
    </row>
    <row r="2158" spans="1:8" x14ac:dyDescent="0.2">
      <c r="A2158" s="27"/>
      <c r="B2158" s="30"/>
      <c r="G2158" s="27"/>
      <c r="H2158" s="27"/>
    </row>
    <row r="2159" spans="1:8" x14ac:dyDescent="0.2">
      <c r="A2159" s="27"/>
      <c r="B2159" s="30"/>
      <c r="G2159" s="27"/>
      <c r="H2159" s="27"/>
    </row>
    <row r="2160" spans="1:8" x14ac:dyDescent="0.2">
      <c r="A2160" s="27"/>
      <c r="B2160" s="30"/>
      <c r="G2160" s="27"/>
      <c r="H2160" s="27"/>
    </row>
    <row r="2161" spans="1:8" x14ac:dyDescent="0.2">
      <c r="A2161" s="27"/>
      <c r="B2161" s="30"/>
      <c r="G2161" s="27"/>
      <c r="H2161" s="27"/>
    </row>
    <row r="2162" spans="1:8" x14ac:dyDescent="0.2">
      <c r="A2162" s="27"/>
      <c r="B2162" s="30"/>
      <c r="G2162" s="27"/>
      <c r="H2162" s="27"/>
    </row>
    <row r="2163" spans="1:8" x14ac:dyDescent="0.2">
      <c r="A2163" s="27"/>
      <c r="B2163" s="30"/>
      <c r="G2163" s="27"/>
      <c r="H2163" s="27"/>
    </row>
    <row r="2164" spans="1:8" x14ac:dyDescent="0.2">
      <c r="A2164" s="27"/>
      <c r="B2164" s="30"/>
      <c r="G2164" s="27"/>
      <c r="H2164" s="27"/>
    </row>
    <row r="2165" spans="1:8" x14ac:dyDescent="0.2">
      <c r="A2165" s="27"/>
      <c r="B2165" s="30"/>
      <c r="G2165" s="27"/>
      <c r="H2165" s="27"/>
    </row>
    <row r="2166" spans="1:8" x14ac:dyDescent="0.2">
      <c r="A2166" s="27"/>
      <c r="B2166" s="30"/>
      <c r="G2166" s="27"/>
      <c r="H2166" s="27"/>
    </row>
    <row r="2167" spans="1:8" x14ac:dyDescent="0.2">
      <c r="A2167" s="27"/>
      <c r="B2167" s="30"/>
      <c r="G2167" s="27"/>
      <c r="H2167" s="27"/>
    </row>
    <row r="2168" spans="1:8" x14ac:dyDescent="0.2">
      <c r="A2168" s="27"/>
      <c r="B2168" s="30"/>
      <c r="C2168" s="28"/>
      <c r="D2168" s="28"/>
      <c r="E2168" s="28"/>
      <c r="F2168" s="28"/>
      <c r="G2168" s="27"/>
      <c r="H2168" s="27"/>
    </row>
    <row r="2169" spans="1:8" x14ac:dyDescent="0.2">
      <c r="A2169" s="27"/>
      <c r="B2169" s="30"/>
      <c r="C2169" s="28"/>
      <c r="D2169" s="28"/>
      <c r="E2169" s="28"/>
      <c r="F2169" s="28"/>
      <c r="G2169" s="27"/>
      <c r="H2169" s="27"/>
    </row>
    <row r="2170" spans="1:8" x14ac:dyDescent="0.2">
      <c r="A2170" s="27"/>
      <c r="B2170" s="30"/>
      <c r="G2170" s="27"/>
      <c r="H2170" s="27"/>
    </row>
    <row r="2171" spans="1:8" x14ac:dyDescent="0.2">
      <c r="A2171" s="27"/>
      <c r="B2171" s="30"/>
      <c r="C2171" s="28"/>
      <c r="D2171" s="28"/>
      <c r="E2171" s="28"/>
      <c r="F2171" s="28"/>
      <c r="G2171" s="27"/>
      <c r="H2171" s="27"/>
    </row>
    <row r="2172" spans="1:8" x14ac:dyDescent="0.2">
      <c r="A2172" s="27"/>
      <c r="B2172" s="30"/>
      <c r="C2172" s="28"/>
      <c r="D2172" s="28"/>
      <c r="E2172" s="28"/>
      <c r="F2172" s="28"/>
      <c r="G2172" s="27"/>
      <c r="H2172" s="27"/>
    </row>
    <row r="2173" spans="1:8" x14ac:dyDescent="0.2">
      <c r="A2173" s="27"/>
      <c r="B2173" s="30"/>
      <c r="G2173" s="27"/>
      <c r="H2173" s="27"/>
    </row>
    <row r="2174" spans="1:8" x14ac:dyDescent="0.2">
      <c r="A2174" s="27"/>
      <c r="B2174" s="30"/>
      <c r="G2174" s="27"/>
      <c r="H2174" s="27"/>
    </row>
    <row r="2175" spans="1:8" x14ac:dyDescent="0.2">
      <c r="A2175" s="27"/>
      <c r="B2175" s="30"/>
      <c r="C2175" s="28"/>
      <c r="D2175" s="28"/>
      <c r="E2175" s="28"/>
      <c r="F2175" s="28"/>
      <c r="G2175" s="27"/>
      <c r="H2175" s="27"/>
    </row>
    <row r="2176" spans="1:8" x14ac:dyDescent="0.2">
      <c r="A2176" s="27"/>
      <c r="B2176" s="30"/>
      <c r="C2176" s="28"/>
      <c r="D2176" s="28"/>
      <c r="E2176" s="28"/>
      <c r="F2176" s="28"/>
      <c r="G2176" s="27"/>
      <c r="H2176" s="27"/>
    </row>
    <row r="2177" spans="1:8" x14ac:dyDescent="0.2">
      <c r="A2177" s="27"/>
      <c r="B2177" s="30"/>
      <c r="G2177" s="27"/>
      <c r="H2177" s="27"/>
    </row>
    <row r="2178" spans="1:8" x14ac:dyDescent="0.2">
      <c r="A2178" s="27"/>
      <c r="B2178" s="30"/>
      <c r="G2178" s="27"/>
      <c r="H2178" s="27"/>
    </row>
    <row r="2179" spans="1:8" x14ac:dyDescent="0.2">
      <c r="A2179" s="27"/>
      <c r="B2179" s="30"/>
      <c r="G2179" s="27"/>
      <c r="H2179" s="27"/>
    </row>
    <row r="2180" spans="1:8" x14ac:dyDescent="0.2">
      <c r="A2180" s="27"/>
      <c r="B2180" s="30"/>
      <c r="G2180" s="27"/>
      <c r="H2180" s="27"/>
    </row>
    <row r="2181" spans="1:8" x14ac:dyDescent="0.2">
      <c r="A2181" s="27"/>
      <c r="B2181" s="30"/>
      <c r="C2181" s="28"/>
      <c r="D2181" s="28"/>
      <c r="E2181" s="28"/>
      <c r="F2181" s="28"/>
      <c r="G2181" s="27"/>
      <c r="H2181" s="27"/>
    </row>
    <row r="2182" spans="1:8" x14ac:dyDescent="0.2">
      <c r="A2182" s="27"/>
      <c r="B2182" s="30"/>
      <c r="G2182" s="27"/>
      <c r="H2182" s="27"/>
    </row>
    <row r="2183" spans="1:8" x14ac:dyDescent="0.2">
      <c r="A2183" s="27"/>
      <c r="B2183" s="30"/>
      <c r="G2183" s="27"/>
      <c r="H2183" s="27"/>
    </row>
    <row r="2184" spans="1:8" x14ac:dyDescent="0.2">
      <c r="A2184" s="27"/>
      <c r="B2184" s="30"/>
      <c r="C2184" s="28"/>
      <c r="D2184" s="28"/>
      <c r="E2184" s="28"/>
      <c r="F2184" s="28"/>
      <c r="G2184" s="27"/>
      <c r="H2184" s="27"/>
    </row>
    <row r="2185" spans="1:8" x14ac:dyDescent="0.2">
      <c r="A2185" s="27"/>
      <c r="B2185" s="30"/>
      <c r="C2185" s="28"/>
      <c r="D2185" s="28"/>
      <c r="E2185" s="28"/>
      <c r="F2185" s="28"/>
      <c r="G2185" s="27"/>
      <c r="H2185" s="27"/>
    </row>
    <row r="2186" spans="1:8" x14ac:dyDescent="0.2">
      <c r="A2186" s="27"/>
      <c r="B2186" s="30"/>
      <c r="G2186" s="27"/>
      <c r="H2186" s="27"/>
    </row>
    <row r="2187" spans="1:8" x14ac:dyDescent="0.2">
      <c r="A2187" s="27"/>
      <c r="B2187" s="30"/>
      <c r="G2187" s="27"/>
      <c r="H2187" s="27"/>
    </row>
    <row r="2188" spans="1:8" x14ac:dyDescent="0.2">
      <c r="A2188" s="27"/>
      <c r="B2188" s="30"/>
      <c r="G2188" s="27"/>
      <c r="H2188" s="27"/>
    </row>
    <row r="2189" spans="1:8" x14ac:dyDescent="0.2">
      <c r="A2189" s="27"/>
      <c r="B2189" s="30"/>
      <c r="G2189" s="27"/>
      <c r="H2189" s="27"/>
    </row>
    <row r="2190" spans="1:8" x14ac:dyDescent="0.2">
      <c r="A2190" s="27"/>
      <c r="B2190" s="30"/>
      <c r="G2190" s="27"/>
      <c r="H2190" s="27"/>
    </row>
    <row r="2191" spans="1:8" x14ac:dyDescent="0.2">
      <c r="A2191" s="27"/>
      <c r="B2191" s="30"/>
      <c r="C2191" s="28"/>
      <c r="D2191" s="28"/>
      <c r="E2191" s="28"/>
      <c r="F2191" s="28"/>
      <c r="G2191" s="27"/>
      <c r="H2191" s="27"/>
    </row>
    <row r="2192" spans="1:8" x14ac:dyDescent="0.2">
      <c r="A2192" s="27"/>
      <c r="B2192" s="30"/>
      <c r="G2192" s="27"/>
      <c r="H2192" s="27"/>
    </row>
    <row r="2193" spans="1:8" x14ac:dyDescent="0.2">
      <c r="A2193" s="27"/>
      <c r="B2193" s="30"/>
      <c r="G2193" s="27"/>
      <c r="H2193" s="27"/>
    </row>
    <row r="2194" spans="1:8" x14ac:dyDescent="0.2">
      <c r="A2194" s="27"/>
      <c r="B2194" s="30"/>
      <c r="G2194" s="27"/>
      <c r="H2194" s="27"/>
    </row>
    <row r="2195" spans="1:8" x14ac:dyDescent="0.2">
      <c r="A2195" s="27"/>
      <c r="B2195" s="30"/>
      <c r="C2195" s="28"/>
      <c r="D2195" s="28"/>
      <c r="E2195" s="28"/>
      <c r="F2195" s="28"/>
      <c r="G2195" s="27"/>
      <c r="H2195" s="27"/>
    </row>
    <row r="2196" spans="1:8" x14ac:dyDescent="0.2">
      <c r="A2196" s="27"/>
      <c r="B2196" s="30"/>
      <c r="G2196" s="27"/>
      <c r="H2196" s="27"/>
    </row>
    <row r="2197" spans="1:8" x14ac:dyDescent="0.2">
      <c r="A2197" s="27"/>
      <c r="B2197" s="30"/>
      <c r="G2197" s="27"/>
      <c r="H2197" s="27"/>
    </row>
    <row r="2198" spans="1:8" x14ac:dyDescent="0.2">
      <c r="A2198" s="27"/>
      <c r="B2198" s="30"/>
      <c r="C2198" s="28"/>
      <c r="D2198" s="28"/>
      <c r="E2198" s="28"/>
      <c r="F2198" s="28"/>
      <c r="G2198" s="27"/>
      <c r="H2198" s="27"/>
    </row>
    <row r="2199" spans="1:8" x14ac:dyDescent="0.2">
      <c r="A2199" s="27"/>
      <c r="B2199" s="30"/>
      <c r="C2199" s="28"/>
      <c r="D2199" s="28"/>
      <c r="E2199" s="28"/>
      <c r="F2199" s="28"/>
      <c r="G2199" s="27"/>
      <c r="H2199" s="27"/>
    </row>
    <row r="2200" spans="1:8" x14ac:dyDescent="0.2">
      <c r="A2200" s="27"/>
      <c r="B2200" s="30"/>
      <c r="G2200" s="27"/>
      <c r="H2200" s="27"/>
    </row>
    <row r="2201" spans="1:8" x14ac:dyDescent="0.2">
      <c r="A2201" s="27"/>
      <c r="B2201" s="30"/>
      <c r="C2201" s="28"/>
      <c r="D2201" s="28"/>
      <c r="E2201" s="28"/>
      <c r="F2201" s="28"/>
      <c r="G2201" s="27"/>
      <c r="H2201" s="27"/>
    </row>
    <row r="2202" spans="1:8" x14ac:dyDescent="0.2">
      <c r="A2202" s="27"/>
      <c r="B2202" s="30"/>
      <c r="G2202" s="27"/>
      <c r="H2202" s="27"/>
    </row>
    <row r="2203" spans="1:8" x14ac:dyDescent="0.2">
      <c r="A2203" s="27"/>
      <c r="B2203" s="30"/>
      <c r="C2203" s="28"/>
      <c r="D2203" s="28"/>
      <c r="E2203" s="28"/>
      <c r="F2203" s="28"/>
      <c r="G2203" s="27"/>
      <c r="H2203" s="27"/>
    </row>
    <row r="2204" spans="1:8" x14ac:dyDescent="0.2">
      <c r="A2204" s="27"/>
      <c r="B2204" s="30"/>
      <c r="G2204" s="27"/>
      <c r="H2204" s="27"/>
    </row>
    <row r="2205" spans="1:8" x14ac:dyDescent="0.2">
      <c r="A2205" s="27"/>
      <c r="B2205" s="30"/>
      <c r="G2205" s="27"/>
      <c r="H2205" s="27"/>
    </row>
    <row r="2206" spans="1:8" x14ac:dyDescent="0.2">
      <c r="A2206" s="27"/>
      <c r="B2206" s="30"/>
      <c r="G2206" s="27"/>
      <c r="H2206" s="27"/>
    </row>
    <row r="2207" spans="1:8" x14ac:dyDescent="0.2">
      <c r="A2207" s="27"/>
      <c r="B2207" s="30"/>
      <c r="G2207" s="27"/>
      <c r="H2207" s="27"/>
    </row>
    <row r="2208" spans="1:8" x14ac:dyDescent="0.2">
      <c r="A2208" s="27"/>
      <c r="B2208" s="30"/>
      <c r="G2208" s="27"/>
      <c r="H2208" s="27"/>
    </row>
    <row r="2209" spans="1:8" x14ac:dyDescent="0.2">
      <c r="A2209" s="27"/>
      <c r="B2209" s="30"/>
      <c r="G2209" s="27"/>
      <c r="H2209" s="27"/>
    </row>
    <row r="2210" spans="1:8" x14ac:dyDescent="0.2">
      <c r="A2210" s="27"/>
      <c r="B2210" s="30"/>
      <c r="G2210" s="27"/>
      <c r="H2210" s="27"/>
    </row>
    <row r="2211" spans="1:8" x14ac:dyDescent="0.2">
      <c r="A2211" s="27"/>
      <c r="B2211" s="30"/>
      <c r="G2211" s="27"/>
      <c r="H2211" s="27"/>
    </row>
    <row r="2212" spans="1:8" x14ac:dyDescent="0.2">
      <c r="A2212" s="27"/>
      <c r="B2212" s="30"/>
      <c r="G2212" s="27"/>
      <c r="H2212" s="27"/>
    </row>
    <row r="2213" spans="1:8" x14ac:dyDescent="0.2">
      <c r="A2213" s="27"/>
      <c r="B2213" s="30"/>
      <c r="C2213" s="28"/>
      <c r="D2213" s="28"/>
      <c r="E2213" s="28"/>
      <c r="F2213" s="28"/>
      <c r="G2213" s="27"/>
      <c r="H2213" s="27"/>
    </row>
    <row r="2214" spans="1:8" x14ac:dyDescent="0.2">
      <c r="A2214" s="27"/>
      <c r="B2214" s="30"/>
      <c r="C2214" s="28"/>
      <c r="D2214" s="28"/>
      <c r="E2214" s="28"/>
      <c r="F2214" s="28"/>
      <c r="G2214" s="27"/>
      <c r="H2214" s="27"/>
    </row>
    <row r="2215" spans="1:8" x14ac:dyDescent="0.2">
      <c r="A2215" s="27"/>
      <c r="B2215" s="30"/>
      <c r="G2215" s="27"/>
      <c r="H2215" s="27"/>
    </row>
    <row r="2216" spans="1:8" x14ac:dyDescent="0.2">
      <c r="A2216" s="27"/>
      <c r="B2216" s="30"/>
      <c r="C2216" s="28"/>
      <c r="D2216" s="28"/>
      <c r="E2216" s="28"/>
      <c r="F2216" s="28"/>
      <c r="G2216" s="27"/>
      <c r="H2216" s="27"/>
    </row>
    <row r="2217" spans="1:8" x14ac:dyDescent="0.2">
      <c r="A2217" s="27"/>
      <c r="B2217" s="30"/>
      <c r="G2217" s="27"/>
      <c r="H2217" s="27"/>
    </row>
    <row r="2218" spans="1:8" x14ac:dyDescent="0.2">
      <c r="A2218" s="27"/>
      <c r="B2218" s="30"/>
      <c r="G2218" s="27"/>
      <c r="H2218" s="27"/>
    </row>
    <row r="2219" spans="1:8" x14ac:dyDescent="0.2">
      <c r="A2219" s="27"/>
      <c r="B2219" s="30"/>
      <c r="G2219" s="27"/>
      <c r="H2219" s="27"/>
    </row>
    <row r="2220" spans="1:8" x14ac:dyDescent="0.2">
      <c r="A2220" s="27"/>
      <c r="B2220" s="30"/>
      <c r="G2220" s="27"/>
      <c r="H2220" s="27"/>
    </row>
    <row r="2221" spans="1:8" x14ac:dyDescent="0.2">
      <c r="A2221" s="27"/>
      <c r="B2221" s="30"/>
      <c r="G2221" s="27"/>
      <c r="H2221" s="27"/>
    </row>
    <row r="2222" spans="1:8" x14ac:dyDescent="0.2">
      <c r="A2222" s="27"/>
      <c r="B2222" s="30"/>
      <c r="C2222" s="28"/>
      <c r="D2222" s="28"/>
      <c r="E2222" s="28"/>
      <c r="F2222" s="28"/>
      <c r="G2222" s="27"/>
      <c r="H2222" s="27"/>
    </row>
    <row r="2223" spans="1:8" x14ac:dyDescent="0.2">
      <c r="A2223" s="27"/>
      <c r="B2223" s="30"/>
      <c r="G2223" s="27"/>
      <c r="H2223" s="27"/>
    </row>
    <row r="2224" spans="1:8" x14ac:dyDescent="0.2">
      <c r="A2224" s="27"/>
      <c r="B2224" s="30"/>
      <c r="G2224" s="27"/>
      <c r="H2224" s="27"/>
    </row>
    <row r="2225" spans="1:8" x14ac:dyDescent="0.2">
      <c r="A2225" s="27"/>
      <c r="B2225" s="30"/>
      <c r="C2225" s="28"/>
      <c r="D2225" s="28"/>
      <c r="E2225" s="28"/>
      <c r="F2225" s="28"/>
      <c r="G2225" s="27"/>
      <c r="H2225" s="27"/>
    </row>
    <row r="2226" spans="1:8" x14ac:dyDescent="0.2">
      <c r="A2226" s="27"/>
      <c r="B2226" s="30"/>
      <c r="C2226" s="28"/>
      <c r="D2226" s="28"/>
      <c r="E2226" s="28"/>
      <c r="F2226" s="28"/>
      <c r="G2226" s="27"/>
      <c r="H2226" s="27"/>
    </row>
    <row r="2227" spans="1:8" x14ac:dyDescent="0.2">
      <c r="A2227" s="27"/>
      <c r="B2227" s="30"/>
      <c r="G2227" s="27"/>
      <c r="H2227" s="27"/>
    </row>
    <row r="2228" spans="1:8" x14ac:dyDescent="0.2">
      <c r="A2228" s="27"/>
      <c r="B2228" s="30"/>
      <c r="G2228" s="27"/>
      <c r="H2228" s="27"/>
    </row>
    <row r="2229" spans="1:8" x14ac:dyDescent="0.2">
      <c r="A2229" s="27"/>
      <c r="B2229" s="30"/>
      <c r="C2229" s="28"/>
      <c r="D2229" s="28"/>
      <c r="E2229" s="28"/>
      <c r="F2229" s="28"/>
      <c r="G2229" s="27"/>
      <c r="H2229" s="27"/>
    </row>
    <row r="2230" spans="1:8" x14ac:dyDescent="0.2">
      <c r="A2230" s="27"/>
      <c r="B2230" s="30"/>
      <c r="C2230" s="28"/>
      <c r="D2230" s="28"/>
      <c r="E2230" s="28"/>
      <c r="F2230" s="28"/>
      <c r="G2230" s="27"/>
      <c r="H2230" s="27"/>
    </row>
    <row r="2231" spans="1:8" x14ac:dyDescent="0.2">
      <c r="A2231" s="27"/>
      <c r="B2231" s="30"/>
      <c r="G2231" s="27"/>
      <c r="H2231" s="27"/>
    </row>
    <row r="2232" spans="1:8" x14ac:dyDescent="0.2">
      <c r="A2232" s="27"/>
      <c r="B2232" s="30"/>
      <c r="G2232" s="27"/>
      <c r="H2232" s="27"/>
    </row>
    <row r="2233" spans="1:8" x14ac:dyDescent="0.2">
      <c r="A2233" s="27"/>
      <c r="B2233" s="30"/>
      <c r="G2233" s="27"/>
      <c r="H2233" s="27"/>
    </row>
    <row r="2234" spans="1:8" x14ac:dyDescent="0.2">
      <c r="A2234" s="27"/>
      <c r="B2234" s="30"/>
      <c r="G2234" s="27"/>
      <c r="H2234" s="27"/>
    </row>
    <row r="2235" spans="1:8" x14ac:dyDescent="0.2">
      <c r="A2235" s="27"/>
      <c r="B2235" s="30"/>
      <c r="G2235" s="27"/>
      <c r="H2235" s="27"/>
    </row>
    <row r="2236" spans="1:8" x14ac:dyDescent="0.2">
      <c r="A2236" s="27"/>
      <c r="B2236" s="30"/>
      <c r="C2236" s="28"/>
      <c r="D2236" s="28"/>
      <c r="E2236" s="28"/>
      <c r="F2236" s="28"/>
      <c r="G2236" s="27"/>
      <c r="H2236" s="27"/>
    </row>
    <row r="2237" spans="1:8" x14ac:dyDescent="0.2">
      <c r="A2237" s="27"/>
      <c r="B2237" s="30"/>
      <c r="G2237" s="27"/>
      <c r="H2237" s="27"/>
    </row>
    <row r="2238" spans="1:8" x14ac:dyDescent="0.2">
      <c r="A2238" s="27"/>
      <c r="B2238" s="30"/>
      <c r="G2238" s="27"/>
      <c r="H2238" s="27"/>
    </row>
    <row r="2239" spans="1:8" x14ac:dyDescent="0.2">
      <c r="A2239" s="27"/>
      <c r="B2239" s="30"/>
      <c r="G2239" s="27"/>
      <c r="H2239" s="27"/>
    </row>
    <row r="2240" spans="1:8" x14ac:dyDescent="0.2">
      <c r="A2240" s="27"/>
      <c r="B2240" s="30"/>
      <c r="G2240" s="27"/>
      <c r="H2240" s="27"/>
    </row>
    <row r="2241" spans="1:8" x14ac:dyDescent="0.2">
      <c r="A2241" s="27"/>
      <c r="B2241" s="30"/>
      <c r="G2241" s="27"/>
      <c r="H2241" s="27"/>
    </row>
    <row r="2242" spans="1:8" x14ac:dyDescent="0.2">
      <c r="A2242" s="27"/>
      <c r="B2242" s="30"/>
      <c r="G2242" s="27"/>
      <c r="H2242" s="27"/>
    </row>
    <row r="2243" spans="1:8" x14ac:dyDescent="0.2">
      <c r="A2243" s="27"/>
      <c r="B2243" s="30"/>
      <c r="G2243" s="27"/>
      <c r="H2243" s="27"/>
    </row>
    <row r="2244" spans="1:8" x14ac:dyDescent="0.2">
      <c r="A2244" s="27"/>
      <c r="B2244" s="30"/>
      <c r="G2244" s="27"/>
      <c r="H2244" s="27"/>
    </row>
    <row r="2245" spans="1:8" x14ac:dyDescent="0.2">
      <c r="A2245" s="27"/>
      <c r="B2245" s="30"/>
      <c r="G2245" s="27"/>
      <c r="H2245" s="27"/>
    </row>
    <row r="2246" spans="1:8" x14ac:dyDescent="0.2">
      <c r="A2246" s="27"/>
      <c r="B2246" s="30"/>
      <c r="G2246" s="27"/>
      <c r="H2246" s="27"/>
    </row>
    <row r="2247" spans="1:8" x14ac:dyDescent="0.2">
      <c r="A2247" s="27"/>
      <c r="B2247" s="30"/>
      <c r="G2247" s="27"/>
      <c r="H2247" s="27"/>
    </row>
    <row r="2248" spans="1:8" x14ac:dyDescent="0.2">
      <c r="A2248" s="27"/>
      <c r="B2248" s="30"/>
      <c r="G2248" s="27"/>
      <c r="H2248" s="27"/>
    </row>
    <row r="2249" spans="1:8" x14ac:dyDescent="0.2">
      <c r="A2249" s="27"/>
      <c r="B2249" s="30"/>
      <c r="G2249" s="27"/>
      <c r="H2249" s="27"/>
    </row>
    <row r="2250" spans="1:8" x14ac:dyDescent="0.2">
      <c r="A2250" s="27"/>
      <c r="B2250" s="30"/>
      <c r="G2250" s="27"/>
      <c r="H2250" s="27"/>
    </row>
    <row r="2251" spans="1:8" x14ac:dyDescent="0.2">
      <c r="A2251" s="27"/>
      <c r="B2251" s="30"/>
      <c r="G2251" s="27"/>
      <c r="H2251" s="27"/>
    </row>
    <row r="2252" spans="1:8" x14ac:dyDescent="0.2">
      <c r="A2252" s="27"/>
      <c r="B2252" s="30"/>
      <c r="G2252" s="27"/>
      <c r="H2252" s="27"/>
    </row>
    <row r="2253" spans="1:8" x14ac:dyDescent="0.2">
      <c r="A2253" s="27"/>
      <c r="B2253" s="30"/>
      <c r="G2253" s="27"/>
      <c r="H2253" s="27"/>
    </row>
    <row r="2254" spans="1:8" x14ac:dyDescent="0.2">
      <c r="A2254" s="27"/>
      <c r="B2254" s="30"/>
      <c r="G2254" s="27"/>
      <c r="H2254" s="27"/>
    </row>
    <row r="2255" spans="1:8" x14ac:dyDescent="0.2">
      <c r="A2255" s="27"/>
      <c r="B2255" s="30"/>
      <c r="G2255" s="27"/>
      <c r="H2255" s="27"/>
    </row>
    <row r="2256" spans="1:8" x14ac:dyDescent="0.2">
      <c r="A2256" s="27"/>
      <c r="B2256" s="30"/>
      <c r="G2256" s="27"/>
      <c r="H2256" s="27"/>
    </row>
    <row r="2257" spans="1:8" x14ac:dyDescent="0.2">
      <c r="A2257" s="27"/>
      <c r="B2257" s="30"/>
      <c r="G2257" s="27"/>
      <c r="H2257" s="27"/>
    </row>
    <row r="2258" spans="1:8" x14ac:dyDescent="0.2">
      <c r="A2258" s="27"/>
      <c r="B2258" s="30"/>
      <c r="G2258" s="27"/>
      <c r="H2258" s="27"/>
    </row>
    <row r="2259" spans="1:8" x14ac:dyDescent="0.2">
      <c r="A2259" s="27"/>
      <c r="B2259" s="30"/>
      <c r="G2259" s="27"/>
      <c r="H2259" s="27"/>
    </row>
    <row r="2260" spans="1:8" x14ac:dyDescent="0.2">
      <c r="A2260" s="27"/>
      <c r="B2260" s="30"/>
      <c r="G2260" s="27"/>
      <c r="H2260" s="27"/>
    </row>
    <row r="2261" spans="1:8" x14ac:dyDescent="0.2">
      <c r="A2261" s="27"/>
      <c r="B2261" s="30"/>
      <c r="G2261" s="27"/>
      <c r="H2261" s="27"/>
    </row>
    <row r="2262" spans="1:8" x14ac:dyDescent="0.2">
      <c r="A2262" s="27"/>
      <c r="B2262" s="30"/>
      <c r="G2262" s="27"/>
      <c r="H2262" s="27"/>
    </row>
    <row r="2263" spans="1:8" x14ac:dyDescent="0.2">
      <c r="A2263" s="27"/>
      <c r="B2263" s="30"/>
      <c r="G2263" s="27"/>
      <c r="H2263" s="27"/>
    </row>
    <row r="2264" spans="1:8" x14ac:dyDescent="0.2">
      <c r="A2264" s="27"/>
      <c r="B2264" s="30"/>
      <c r="G2264" s="27"/>
      <c r="H2264" s="27"/>
    </row>
    <row r="2265" spans="1:8" x14ac:dyDescent="0.2">
      <c r="A2265" s="27"/>
      <c r="B2265" s="30"/>
      <c r="G2265" s="27"/>
      <c r="H2265" s="27"/>
    </row>
    <row r="2266" spans="1:8" x14ac:dyDescent="0.2">
      <c r="A2266" s="27"/>
      <c r="B2266" s="30"/>
      <c r="G2266" s="27"/>
      <c r="H2266" s="27"/>
    </row>
    <row r="2267" spans="1:8" x14ac:dyDescent="0.2">
      <c r="A2267" s="27"/>
      <c r="B2267" s="30"/>
      <c r="G2267" s="27"/>
      <c r="H2267" s="27"/>
    </row>
    <row r="2268" spans="1:8" x14ac:dyDescent="0.2">
      <c r="A2268" s="27"/>
      <c r="B2268" s="30"/>
      <c r="G2268" s="27"/>
      <c r="H2268" s="27"/>
    </row>
    <row r="2269" spans="1:8" x14ac:dyDescent="0.2">
      <c r="A2269" s="27"/>
      <c r="B2269" s="30"/>
      <c r="G2269" s="27"/>
      <c r="H2269" s="27"/>
    </row>
    <row r="2270" spans="1:8" x14ac:dyDescent="0.2">
      <c r="A2270" s="27"/>
      <c r="B2270" s="30"/>
      <c r="G2270" s="27"/>
      <c r="H2270" s="27"/>
    </row>
    <row r="2271" spans="1:8" x14ac:dyDescent="0.2">
      <c r="A2271" s="27"/>
      <c r="B2271" s="30"/>
      <c r="G2271" s="27"/>
      <c r="H2271" s="27"/>
    </row>
    <row r="2272" spans="1:8" x14ac:dyDescent="0.2">
      <c r="A2272" s="27"/>
      <c r="B2272" s="30"/>
      <c r="G2272" s="27"/>
      <c r="H2272" s="27"/>
    </row>
    <row r="2273" spans="1:8" x14ac:dyDescent="0.2">
      <c r="A2273" s="27"/>
      <c r="B2273" s="30"/>
      <c r="G2273" s="27"/>
      <c r="H2273" s="27"/>
    </row>
    <row r="2274" spans="1:8" x14ac:dyDescent="0.2">
      <c r="A2274" s="27"/>
      <c r="B2274" s="30"/>
      <c r="G2274" s="27"/>
      <c r="H2274" s="27"/>
    </row>
    <row r="2275" spans="1:8" x14ac:dyDescent="0.2">
      <c r="A2275" s="27"/>
      <c r="B2275" s="30"/>
      <c r="G2275" s="27"/>
      <c r="H2275" s="27"/>
    </row>
    <row r="2276" spans="1:8" x14ac:dyDescent="0.2">
      <c r="A2276" s="27"/>
      <c r="B2276" s="30"/>
      <c r="G2276" s="27"/>
      <c r="H2276" s="27"/>
    </row>
    <row r="2277" spans="1:8" x14ac:dyDescent="0.2">
      <c r="A2277" s="27"/>
      <c r="B2277" s="30"/>
      <c r="G2277" s="27"/>
      <c r="H2277" s="27"/>
    </row>
    <row r="2278" spans="1:8" x14ac:dyDescent="0.2">
      <c r="A2278" s="27"/>
      <c r="B2278" s="30"/>
      <c r="G2278" s="27"/>
      <c r="H2278" s="27"/>
    </row>
    <row r="2279" spans="1:8" x14ac:dyDescent="0.2">
      <c r="A2279" s="27"/>
      <c r="B2279" s="30"/>
      <c r="G2279" s="27"/>
      <c r="H2279" s="27"/>
    </row>
    <row r="2280" spans="1:8" x14ac:dyDescent="0.2">
      <c r="A2280" s="27"/>
      <c r="B2280" s="30"/>
      <c r="G2280" s="27"/>
      <c r="H2280" s="27"/>
    </row>
    <row r="2281" spans="1:8" x14ac:dyDescent="0.2">
      <c r="A2281" s="27"/>
      <c r="B2281" s="30"/>
      <c r="G2281" s="27"/>
      <c r="H2281" s="27"/>
    </row>
    <row r="2282" spans="1:8" x14ac:dyDescent="0.2">
      <c r="A2282" s="27"/>
      <c r="B2282" s="30"/>
      <c r="G2282" s="27"/>
      <c r="H2282" s="27"/>
    </row>
    <row r="2283" spans="1:8" x14ac:dyDescent="0.2">
      <c r="A2283" s="27"/>
      <c r="B2283" s="30"/>
      <c r="G2283" s="27"/>
      <c r="H2283" s="27"/>
    </row>
    <row r="2284" spans="1:8" x14ac:dyDescent="0.2">
      <c r="A2284" s="27"/>
      <c r="B2284" s="30"/>
      <c r="G2284" s="27"/>
      <c r="H2284" s="27"/>
    </row>
    <row r="2285" spans="1:8" x14ac:dyDescent="0.2">
      <c r="A2285" s="27"/>
      <c r="B2285" s="30"/>
      <c r="G2285" s="27"/>
      <c r="H2285" s="27"/>
    </row>
    <row r="2286" spans="1:8" x14ac:dyDescent="0.2">
      <c r="A2286" s="27"/>
      <c r="B2286" s="30"/>
      <c r="G2286" s="27"/>
      <c r="H2286" s="27"/>
    </row>
    <row r="2287" spans="1:8" x14ac:dyDescent="0.2">
      <c r="A2287" s="27"/>
      <c r="B2287" s="30"/>
      <c r="G2287" s="27"/>
      <c r="H2287" s="27"/>
    </row>
    <row r="2288" spans="1:8" x14ac:dyDescent="0.2">
      <c r="A2288" s="27"/>
      <c r="B2288" s="30"/>
      <c r="G2288" s="27"/>
      <c r="H2288" s="27"/>
    </row>
    <row r="2289" spans="1:8" x14ac:dyDescent="0.2">
      <c r="A2289" s="27"/>
      <c r="B2289" s="30"/>
      <c r="G2289" s="27"/>
      <c r="H2289" s="27"/>
    </row>
    <row r="2290" spans="1:8" x14ac:dyDescent="0.2">
      <c r="A2290" s="27"/>
      <c r="B2290" s="30"/>
      <c r="G2290" s="27"/>
      <c r="H2290" s="27"/>
    </row>
    <row r="2291" spans="1:8" x14ac:dyDescent="0.2">
      <c r="A2291" s="27"/>
      <c r="B2291" s="30"/>
      <c r="G2291" s="27"/>
      <c r="H2291" s="27"/>
    </row>
    <row r="2292" spans="1:8" x14ac:dyDescent="0.2">
      <c r="A2292" s="27"/>
      <c r="B2292" s="30"/>
      <c r="G2292" s="27"/>
      <c r="H2292" s="27"/>
    </row>
    <row r="2293" spans="1:8" x14ac:dyDescent="0.2">
      <c r="A2293" s="27"/>
      <c r="B2293" s="30"/>
      <c r="G2293" s="27"/>
      <c r="H2293" s="27"/>
    </row>
    <row r="2294" spans="1:8" x14ac:dyDescent="0.2">
      <c r="A2294" s="27"/>
      <c r="B2294" s="30"/>
      <c r="G2294" s="27"/>
      <c r="H2294" s="27"/>
    </row>
    <row r="2295" spans="1:8" x14ac:dyDescent="0.2">
      <c r="A2295" s="27"/>
      <c r="B2295" s="30"/>
      <c r="G2295" s="27"/>
      <c r="H2295" s="27"/>
    </row>
    <row r="2296" spans="1:8" x14ac:dyDescent="0.2">
      <c r="A2296" s="27"/>
      <c r="B2296" s="30"/>
      <c r="G2296" s="27"/>
      <c r="H2296" s="27"/>
    </row>
    <row r="2297" spans="1:8" x14ac:dyDescent="0.2">
      <c r="A2297" s="27"/>
      <c r="B2297" s="30"/>
      <c r="G2297" s="27"/>
      <c r="H2297" s="27"/>
    </row>
    <row r="2298" spans="1:8" x14ac:dyDescent="0.2">
      <c r="A2298" s="27"/>
      <c r="B2298" s="30"/>
      <c r="G2298" s="27"/>
      <c r="H2298" s="27"/>
    </row>
    <row r="2299" spans="1:8" x14ac:dyDescent="0.2">
      <c r="A2299" s="27"/>
      <c r="B2299" s="30"/>
      <c r="G2299" s="27"/>
      <c r="H2299" s="27"/>
    </row>
    <row r="2300" spans="1:8" x14ac:dyDescent="0.2">
      <c r="A2300" s="27"/>
      <c r="B2300" s="30"/>
      <c r="G2300" s="27"/>
      <c r="H2300" s="27"/>
    </row>
    <row r="2301" spans="1:8" x14ac:dyDescent="0.2">
      <c r="A2301" s="27"/>
      <c r="B2301" s="30"/>
      <c r="G2301" s="27"/>
      <c r="H2301" s="27"/>
    </row>
    <row r="2302" spans="1:8" x14ac:dyDescent="0.2">
      <c r="A2302" s="27"/>
      <c r="B2302" s="30"/>
      <c r="G2302" s="27"/>
      <c r="H2302" s="27"/>
    </row>
    <row r="2303" spans="1:8" x14ac:dyDescent="0.2">
      <c r="A2303" s="27"/>
      <c r="B2303" s="30"/>
      <c r="G2303" s="27"/>
      <c r="H2303" s="27"/>
    </row>
    <row r="2304" spans="1:8" x14ac:dyDescent="0.2">
      <c r="A2304" s="27"/>
      <c r="B2304" s="30"/>
      <c r="G2304" s="27"/>
      <c r="H2304" s="27"/>
    </row>
    <row r="2305" spans="1:8" x14ac:dyDescent="0.2">
      <c r="A2305" s="27"/>
      <c r="B2305" s="30"/>
      <c r="G2305" s="27"/>
      <c r="H2305" s="27"/>
    </row>
    <row r="2306" spans="1:8" x14ac:dyDescent="0.2">
      <c r="A2306" s="27"/>
      <c r="B2306" s="30"/>
      <c r="G2306" s="27"/>
      <c r="H2306" s="27"/>
    </row>
    <row r="2307" spans="1:8" x14ac:dyDescent="0.2">
      <c r="A2307" s="27"/>
      <c r="B2307" s="30"/>
      <c r="G2307" s="27"/>
      <c r="H2307" s="27"/>
    </row>
    <row r="2308" spans="1:8" x14ac:dyDescent="0.2">
      <c r="A2308" s="27"/>
      <c r="B2308" s="30"/>
      <c r="G2308" s="27"/>
      <c r="H2308" s="27"/>
    </row>
    <row r="2309" spans="1:8" x14ac:dyDescent="0.2">
      <c r="A2309" s="27"/>
      <c r="B2309" s="30"/>
      <c r="G2309" s="27"/>
      <c r="H2309" s="27"/>
    </row>
    <row r="2310" spans="1:8" x14ac:dyDescent="0.2">
      <c r="A2310" s="27"/>
      <c r="B2310" s="30"/>
      <c r="G2310" s="27"/>
      <c r="H2310" s="27"/>
    </row>
    <row r="2311" spans="1:8" x14ac:dyDescent="0.2">
      <c r="A2311" s="27"/>
      <c r="B2311" s="30"/>
      <c r="G2311" s="27"/>
      <c r="H2311" s="27"/>
    </row>
    <row r="2312" spans="1:8" x14ac:dyDescent="0.2">
      <c r="A2312" s="27"/>
      <c r="B2312" s="30"/>
      <c r="G2312" s="27"/>
      <c r="H2312" s="27"/>
    </row>
    <row r="2313" spans="1:8" x14ac:dyDescent="0.2">
      <c r="A2313" s="27"/>
      <c r="B2313" s="30"/>
      <c r="G2313" s="27"/>
      <c r="H2313" s="27"/>
    </row>
    <row r="2314" spans="1:8" x14ac:dyDescent="0.2">
      <c r="A2314" s="27"/>
      <c r="B2314" s="30"/>
      <c r="G2314" s="27"/>
      <c r="H2314" s="27"/>
    </row>
    <row r="2315" spans="1:8" x14ac:dyDescent="0.2">
      <c r="A2315" s="27"/>
      <c r="B2315" s="30"/>
      <c r="G2315" s="27"/>
      <c r="H2315" s="27"/>
    </row>
    <row r="2316" spans="1:8" x14ac:dyDescent="0.2">
      <c r="A2316" s="27"/>
      <c r="B2316" s="30"/>
      <c r="G2316" s="27"/>
      <c r="H2316" s="27"/>
    </row>
    <row r="2317" spans="1:8" x14ac:dyDescent="0.2">
      <c r="A2317" s="27"/>
      <c r="B2317" s="30"/>
      <c r="G2317" s="27"/>
      <c r="H2317" s="27"/>
    </row>
    <row r="2318" spans="1:8" x14ac:dyDescent="0.2">
      <c r="A2318" s="27"/>
      <c r="B2318" s="30"/>
      <c r="G2318" s="27"/>
      <c r="H2318" s="27"/>
    </row>
    <row r="2319" spans="1:8" x14ac:dyDescent="0.2">
      <c r="A2319" s="27"/>
      <c r="B2319" s="30"/>
      <c r="G2319" s="27"/>
      <c r="H2319" s="27"/>
    </row>
    <row r="2320" spans="1:8" x14ac:dyDescent="0.2">
      <c r="A2320" s="27"/>
      <c r="B2320" s="30"/>
      <c r="G2320" s="27"/>
      <c r="H2320" s="27"/>
    </row>
    <row r="2321" spans="1:8" x14ac:dyDescent="0.2">
      <c r="A2321" s="27"/>
      <c r="B2321" s="30"/>
      <c r="G2321" s="27"/>
      <c r="H2321" s="27"/>
    </row>
    <row r="2322" spans="1:8" x14ac:dyDescent="0.2">
      <c r="A2322" s="27"/>
      <c r="B2322" s="30"/>
      <c r="G2322" s="27"/>
      <c r="H2322" s="27"/>
    </row>
    <row r="2323" spans="1:8" x14ac:dyDescent="0.2">
      <c r="A2323" s="27"/>
      <c r="B2323" s="30"/>
      <c r="G2323" s="27"/>
      <c r="H2323" s="27"/>
    </row>
    <row r="2324" spans="1:8" x14ac:dyDescent="0.2">
      <c r="A2324" s="27"/>
      <c r="B2324" s="30"/>
      <c r="G2324" s="27"/>
      <c r="H2324" s="27"/>
    </row>
    <row r="2325" spans="1:8" x14ac:dyDescent="0.2">
      <c r="A2325" s="27"/>
      <c r="B2325" s="30"/>
      <c r="G2325" s="27"/>
      <c r="H2325" s="27"/>
    </row>
    <row r="2326" spans="1:8" x14ac:dyDescent="0.2">
      <c r="A2326" s="27"/>
      <c r="B2326" s="30"/>
      <c r="G2326" s="27"/>
      <c r="H2326" s="27"/>
    </row>
    <row r="2327" spans="1:8" x14ac:dyDescent="0.2">
      <c r="A2327" s="27"/>
      <c r="B2327" s="30"/>
      <c r="G2327" s="27"/>
      <c r="H2327" s="27"/>
    </row>
    <row r="2328" spans="1:8" x14ac:dyDescent="0.2">
      <c r="A2328" s="27"/>
      <c r="B2328" s="30"/>
      <c r="G2328" s="27"/>
      <c r="H2328" s="27"/>
    </row>
    <row r="2329" spans="1:8" x14ac:dyDescent="0.2">
      <c r="A2329" s="27"/>
      <c r="B2329" s="30"/>
      <c r="G2329" s="27"/>
      <c r="H2329" s="27"/>
    </row>
    <row r="2330" spans="1:8" x14ac:dyDescent="0.2">
      <c r="A2330" s="27"/>
      <c r="B2330" s="30"/>
      <c r="G2330" s="27"/>
      <c r="H2330" s="27"/>
    </row>
    <row r="2331" spans="1:8" x14ac:dyDescent="0.2">
      <c r="A2331" s="27"/>
      <c r="B2331" s="30"/>
      <c r="G2331" s="27"/>
      <c r="H2331" s="27"/>
    </row>
    <row r="2332" spans="1:8" x14ac:dyDescent="0.2">
      <c r="A2332" s="27"/>
      <c r="B2332" s="30"/>
      <c r="G2332" s="27"/>
      <c r="H2332" s="27"/>
    </row>
    <row r="2333" spans="1:8" x14ac:dyDescent="0.2">
      <c r="A2333" s="27"/>
      <c r="B2333" s="30"/>
      <c r="G2333" s="27"/>
      <c r="H2333" s="27"/>
    </row>
    <row r="2334" spans="1:8" x14ac:dyDescent="0.2">
      <c r="A2334" s="27"/>
      <c r="B2334" s="30"/>
      <c r="G2334" s="27"/>
      <c r="H2334" s="27"/>
    </row>
    <row r="2335" spans="1:8" x14ac:dyDescent="0.2">
      <c r="A2335" s="27"/>
      <c r="B2335" s="30"/>
      <c r="G2335" s="27"/>
      <c r="H2335" s="27"/>
    </row>
    <row r="2336" spans="1:8" x14ac:dyDescent="0.2">
      <c r="A2336" s="27"/>
      <c r="B2336" s="30"/>
      <c r="G2336" s="27"/>
      <c r="H2336" s="27"/>
    </row>
    <row r="2337" spans="1:8" x14ac:dyDescent="0.2">
      <c r="A2337" s="27"/>
      <c r="B2337" s="30"/>
      <c r="G2337" s="27"/>
      <c r="H2337" s="27"/>
    </row>
    <row r="2338" spans="1:8" x14ac:dyDescent="0.2">
      <c r="A2338" s="27"/>
      <c r="B2338" s="30"/>
      <c r="G2338" s="27"/>
      <c r="H2338" s="27"/>
    </row>
    <row r="2339" spans="1:8" x14ac:dyDescent="0.2">
      <c r="A2339" s="27"/>
      <c r="B2339" s="30"/>
      <c r="G2339" s="27"/>
      <c r="H2339" s="27"/>
    </row>
    <row r="2340" spans="1:8" x14ac:dyDescent="0.2">
      <c r="A2340" s="27"/>
      <c r="B2340" s="30"/>
      <c r="G2340" s="27"/>
      <c r="H2340" s="27"/>
    </row>
    <row r="2341" spans="1:8" x14ac:dyDescent="0.2">
      <c r="A2341" s="27"/>
      <c r="B2341" s="30"/>
      <c r="G2341" s="27"/>
      <c r="H2341" s="27"/>
    </row>
    <row r="2342" spans="1:8" x14ac:dyDescent="0.2">
      <c r="A2342" s="27"/>
      <c r="B2342" s="30"/>
      <c r="G2342" s="27"/>
      <c r="H2342" s="27"/>
    </row>
    <row r="2343" spans="1:8" x14ac:dyDescent="0.2">
      <c r="A2343" s="27"/>
      <c r="B2343" s="30"/>
      <c r="G2343" s="27"/>
      <c r="H2343" s="27"/>
    </row>
    <row r="2344" spans="1:8" x14ac:dyDescent="0.2">
      <c r="A2344" s="27"/>
      <c r="B2344" s="30"/>
      <c r="G2344" s="27"/>
      <c r="H2344" s="27"/>
    </row>
    <row r="2345" spans="1:8" x14ac:dyDescent="0.2">
      <c r="A2345" s="27"/>
      <c r="B2345" s="30"/>
      <c r="G2345" s="27"/>
      <c r="H2345" s="27"/>
    </row>
    <row r="2346" spans="1:8" x14ac:dyDescent="0.2">
      <c r="A2346" s="27"/>
      <c r="B2346" s="30"/>
      <c r="G2346" s="27"/>
      <c r="H2346" s="27"/>
    </row>
    <row r="2347" spans="1:8" x14ac:dyDescent="0.2">
      <c r="A2347" s="27"/>
      <c r="B2347" s="30"/>
      <c r="G2347" s="27"/>
      <c r="H2347" s="27"/>
    </row>
    <row r="2348" spans="1:8" x14ac:dyDescent="0.2">
      <c r="A2348" s="27"/>
      <c r="B2348" s="30"/>
      <c r="G2348" s="27"/>
      <c r="H2348" s="27"/>
    </row>
    <row r="2349" spans="1:8" x14ac:dyDescent="0.2">
      <c r="A2349" s="27"/>
      <c r="B2349" s="30"/>
      <c r="G2349" s="27"/>
      <c r="H2349" s="27"/>
    </row>
    <row r="2350" spans="1:8" x14ac:dyDescent="0.2">
      <c r="A2350" s="27"/>
      <c r="B2350" s="30"/>
      <c r="G2350" s="27"/>
      <c r="H2350" s="27"/>
    </row>
    <row r="2351" spans="1:8" x14ac:dyDescent="0.2">
      <c r="A2351" s="27"/>
      <c r="B2351" s="30"/>
      <c r="G2351" s="27"/>
      <c r="H2351" s="27"/>
    </row>
    <row r="2352" spans="1:8" x14ac:dyDescent="0.2">
      <c r="A2352" s="27"/>
      <c r="B2352" s="30"/>
      <c r="G2352" s="27"/>
      <c r="H2352" s="27"/>
    </row>
    <row r="2353" spans="1:8" x14ac:dyDescent="0.2">
      <c r="A2353" s="27"/>
      <c r="B2353" s="30"/>
      <c r="G2353" s="27"/>
      <c r="H2353" s="27"/>
    </row>
    <row r="2354" spans="1:8" x14ac:dyDescent="0.2">
      <c r="A2354" s="27"/>
      <c r="B2354" s="30"/>
      <c r="G2354" s="27"/>
      <c r="H2354" s="27"/>
    </row>
    <row r="2355" spans="1:8" x14ac:dyDescent="0.2">
      <c r="A2355" s="27"/>
      <c r="B2355" s="30"/>
      <c r="G2355" s="27"/>
      <c r="H2355" s="27"/>
    </row>
    <row r="2356" spans="1:8" x14ac:dyDescent="0.2">
      <c r="A2356" s="27"/>
      <c r="B2356" s="30"/>
      <c r="G2356" s="27"/>
      <c r="H2356" s="27"/>
    </row>
    <row r="2357" spans="1:8" x14ac:dyDescent="0.2">
      <c r="A2357" s="27"/>
      <c r="B2357" s="30"/>
      <c r="G2357" s="27"/>
      <c r="H2357" s="27"/>
    </row>
    <row r="2358" spans="1:8" x14ac:dyDescent="0.2">
      <c r="A2358" s="27"/>
      <c r="B2358" s="30"/>
      <c r="G2358" s="27"/>
      <c r="H2358" s="27"/>
    </row>
    <row r="2359" spans="1:8" x14ac:dyDescent="0.2">
      <c r="A2359" s="27"/>
      <c r="B2359" s="30"/>
      <c r="G2359" s="27"/>
      <c r="H2359" s="27"/>
    </row>
    <row r="2360" spans="1:8" x14ac:dyDescent="0.2">
      <c r="A2360" s="27"/>
      <c r="B2360" s="30"/>
      <c r="G2360" s="27"/>
      <c r="H2360" s="27"/>
    </row>
    <row r="2361" spans="1:8" x14ac:dyDescent="0.2">
      <c r="A2361" s="27"/>
      <c r="B2361" s="30"/>
      <c r="G2361" s="27"/>
      <c r="H2361" s="27"/>
    </row>
    <row r="2362" spans="1:8" x14ac:dyDescent="0.2">
      <c r="A2362" s="27"/>
      <c r="B2362" s="30"/>
      <c r="G2362" s="27"/>
      <c r="H2362" s="27"/>
    </row>
    <row r="2363" spans="1:8" x14ac:dyDescent="0.2">
      <c r="A2363" s="27"/>
      <c r="B2363" s="30"/>
      <c r="G2363" s="27"/>
      <c r="H2363" s="27"/>
    </row>
    <row r="2364" spans="1:8" x14ac:dyDescent="0.2">
      <c r="A2364" s="27"/>
      <c r="B2364" s="30"/>
      <c r="G2364" s="27"/>
      <c r="H2364" s="27"/>
    </row>
    <row r="2365" spans="1:8" x14ac:dyDescent="0.2">
      <c r="A2365" s="27"/>
      <c r="B2365" s="30"/>
      <c r="G2365" s="27"/>
      <c r="H2365" s="27"/>
    </row>
    <row r="2366" spans="1:8" x14ac:dyDescent="0.2">
      <c r="A2366" s="27"/>
      <c r="B2366" s="30"/>
      <c r="G2366" s="27"/>
      <c r="H2366" s="27"/>
    </row>
    <row r="2367" spans="1:8" x14ac:dyDescent="0.2">
      <c r="A2367" s="27"/>
      <c r="B2367" s="30"/>
      <c r="G2367" s="27"/>
      <c r="H2367" s="27"/>
    </row>
    <row r="2368" spans="1:8" x14ac:dyDescent="0.2">
      <c r="A2368" s="27"/>
      <c r="B2368" s="30"/>
      <c r="G2368" s="27"/>
      <c r="H2368" s="27"/>
    </row>
    <row r="2369" spans="1:8" x14ac:dyDescent="0.2">
      <c r="A2369" s="27"/>
      <c r="B2369" s="30"/>
      <c r="G2369" s="27"/>
      <c r="H2369" s="27"/>
    </row>
    <row r="2370" spans="1:8" x14ac:dyDescent="0.2">
      <c r="A2370" s="27"/>
      <c r="B2370" s="30"/>
      <c r="G2370" s="27"/>
      <c r="H2370" s="27"/>
    </row>
    <row r="2371" spans="1:8" x14ac:dyDescent="0.2">
      <c r="A2371" s="27"/>
      <c r="B2371" s="30"/>
      <c r="G2371" s="27"/>
      <c r="H2371" s="27"/>
    </row>
    <row r="2372" spans="1:8" x14ac:dyDescent="0.2">
      <c r="A2372" s="27"/>
      <c r="B2372" s="30"/>
      <c r="G2372" s="27"/>
      <c r="H2372" s="27"/>
    </row>
    <row r="2373" spans="1:8" x14ac:dyDescent="0.2">
      <c r="A2373" s="27"/>
      <c r="B2373" s="30"/>
      <c r="G2373" s="27"/>
      <c r="H2373" s="27"/>
    </row>
    <row r="2374" spans="1:8" x14ac:dyDescent="0.2">
      <c r="A2374" s="27"/>
      <c r="B2374" s="30"/>
      <c r="G2374" s="27"/>
      <c r="H2374" s="27"/>
    </row>
    <row r="2375" spans="1:8" x14ac:dyDescent="0.2">
      <c r="A2375" s="27"/>
      <c r="B2375" s="30"/>
      <c r="G2375" s="27"/>
      <c r="H2375" s="27"/>
    </row>
    <row r="2376" spans="1:8" x14ac:dyDescent="0.2">
      <c r="A2376" s="27"/>
      <c r="B2376" s="30"/>
      <c r="G2376" s="27"/>
      <c r="H2376" s="27"/>
    </row>
    <row r="2377" spans="1:8" x14ac:dyDescent="0.2">
      <c r="A2377" s="27"/>
      <c r="B2377" s="30"/>
      <c r="G2377" s="27"/>
      <c r="H2377" s="27"/>
    </row>
    <row r="2378" spans="1:8" x14ac:dyDescent="0.2">
      <c r="A2378" s="27"/>
      <c r="B2378" s="30"/>
      <c r="G2378" s="27"/>
      <c r="H2378" s="27"/>
    </row>
    <row r="2379" spans="1:8" x14ac:dyDescent="0.2">
      <c r="A2379" s="27"/>
      <c r="B2379" s="30"/>
      <c r="G2379" s="27"/>
      <c r="H2379" s="27"/>
    </row>
    <row r="2380" spans="1:8" x14ac:dyDescent="0.2">
      <c r="A2380" s="27"/>
      <c r="B2380" s="30"/>
      <c r="G2380" s="27"/>
      <c r="H2380" s="27"/>
    </row>
    <row r="2381" spans="1:8" x14ac:dyDescent="0.2">
      <c r="A2381" s="27"/>
      <c r="B2381" s="30"/>
      <c r="G2381" s="27"/>
      <c r="H2381" s="27"/>
    </row>
    <row r="2382" spans="1:8" x14ac:dyDescent="0.2">
      <c r="A2382" s="27"/>
      <c r="B2382" s="30"/>
      <c r="G2382" s="27"/>
      <c r="H2382" s="27"/>
    </row>
    <row r="2383" spans="1:8" x14ac:dyDescent="0.2">
      <c r="A2383" s="27"/>
      <c r="B2383" s="30"/>
      <c r="G2383" s="27"/>
      <c r="H2383" s="27"/>
    </row>
    <row r="2384" spans="1:8" x14ac:dyDescent="0.2">
      <c r="A2384" s="27"/>
      <c r="B2384" s="30"/>
      <c r="G2384" s="27"/>
      <c r="H2384" s="27"/>
    </row>
    <row r="2385" spans="1:8" x14ac:dyDescent="0.2">
      <c r="A2385" s="27"/>
      <c r="B2385" s="30"/>
      <c r="G2385" s="27"/>
      <c r="H2385" s="27"/>
    </row>
    <row r="2386" spans="1:8" x14ac:dyDescent="0.2">
      <c r="A2386" s="27"/>
      <c r="B2386" s="30"/>
      <c r="G2386" s="27"/>
      <c r="H2386" s="27"/>
    </row>
    <row r="2387" spans="1:8" x14ac:dyDescent="0.2">
      <c r="A2387" s="27"/>
      <c r="B2387" s="30"/>
      <c r="G2387" s="27"/>
      <c r="H2387" s="27"/>
    </row>
    <row r="2388" spans="1:8" x14ac:dyDescent="0.2">
      <c r="A2388" s="27"/>
      <c r="B2388" s="30"/>
      <c r="G2388" s="27"/>
      <c r="H2388" s="27"/>
    </row>
    <row r="2389" spans="1:8" x14ac:dyDescent="0.2">
      <c r="A2389" s="27"/>
      <c r="B2389" s="30"/>
      <c r="G2389" s="27"/>
      <c r="H2389" s="27"/>
    </row>
    <row r="2390" spans="1:8" x14ac:dyDescent="0.2">
      <c r="A2390" s="27"/>
      <c r="B2390" s="30"/>
      <c r="G2390" s="27"/>
      <c r="H2390" s="27"/>
    </row>
    <row r="2391" spans="1:8" x14ac:dyDescent="0.2">
      <c r="A2391" s="27"/>
      <c r="B2391" s="30"/>
      <c r="G2391" s="27"/>
      <c r="H2391" s="27"/>
    </row>
    <row r="2392" spans="1:8" x14ac:dyDescent="0.2">
      <c r="A2392" s="27"/>
      <c r="B2392" s="30"/>
      <c r="G2392" s="27"/>
      <c r="H2392" s="27"/>
    </row>
    <row r="2393" spans="1:8" x14ac:dyDescent="0.2">
      <c r="A2393" s="27"/>
      <c r="B2393" s="30"/>
      <c r="G2393" s="27"/>
      <c r="H2393" s="27"/>
    </row>
    <row r="2394" spans="1:8" x14ac:dyDescent="0.2">
      <c r="A2394" s="27"/>
      <c r="B2394" s="30"/>
      <c r="G2394" s="27"/>
      <c r="H2394" s="27"/>
    </row>
    <row r="2395" spans="1:8" x14ac:dyDescent="0.2">
      <c r="A2395" s="27"/>
      <c r="B2395" s="30"/>
      <c r="G2395" s="27"/>
      <c r="H2395" s="27"/>
    </row>
    <row r="2396" spans="1:8" x14ac:dyDescent="0.2">
      <c r="A2396" s="27"/>
      <c r="B2396" s="30"/>
      <c r="G2396" s="27"/>
      <c r="H2396" s="27"/>
    </row>
    <row r="2397" spans="1:8" x14ac:dyDescent="0.2">
      <c r="A2397" s="27"/>
      <c r="B2397" s="30"/>
      <c r="G2397" s="27"/>
      <c r="H2397" s="27"/>
    </row>
    <row r="2398" spans="1:8" x14ac:dyDescent="0.2">
      <c r="A2398" s="27"/>
      <c r="B2398" s="30"/>
      <c r="G2398" s="27"/>
      <c r="H2398" s="27"/>
    </row>
    <row r="2399" spans="1:8" x14ac:dyDescent="0.2">
      <c r="A2399" s="27"/>
      <c r="B2399" s="30"/>
      <c r="G2399" s="27"/>
      <c r="H2399" s="27"/>
    </row>
    <row r="2400" spans="1:8" x14ac:dyDescent="0.2">
      <c r="A2400" s="27"/>
      <c r="B2400" s="30"/>
      <c r="G2400" s="27"/>
      <c r="H2400" s="27"/>
    </row>
    <row r="2401" spans="1:8" x14ac:dyDescent="0.2">
      <c r="A2401" s="27"/>
      <c r="B2401" s="30"/>
      <c r="G2401" s="27"/>
      <c r="H2401" s="27"/>
    </row>
    <row r="2402" spans="1:8" x14ac:dyDescent="0.2">
      <c r="A2402" s="27"/>
      <c r="B2402" s="30"/>
      <c r="G2402" s="27"/>
      <c r="H2402" s="27"/>
    </row>
    <row r="2403" spans="1:8" x14ac:dyDescent="0.2">
      <c r="A2403" s="27"/>
      <c r="B2403" s="30"/>
      <c r="G2403" s="27"/>
      <c r="H2403" s="27"/>
    </row>
    <row r="2404" spans="1:8" x14ac:dyDescent="0.2">
      <c r="A2404" s="27"/>
      <c r="B2404" s="30"/>
      <c r="G2404" s="27"/>
      <c r="H2404" s="27"/>
    </row>
    <row r="2405" spans="1:8" x14ac:dyDescent="0.2">
      <c r="A2405" s="27"/>
      <c r="B2405" s="30"/>
      <c r="G2405" s="27"/>
      <c r="H2405" s="27"/>
    </row>
    <row r="2406" spans="1:8" x14ac:dyDescent="0.2">
      <c r="A2406" s="27"/>
      <c r="B2406" s="30"/>
      <c r="G2406" s="27"/>
      <c r="H2406" s="27"/>
    </row>
    <row r="2407" spans="1:8" x14ac:dyDescent="0.2">
      <c r="A2407" s="27"/>
      <c r="B2407" s="30"/>
      <c r="G2407" s="27"/>
      <c r="H2407" s="27"/>
    </row>
    <row r="2408" spans="1:8" x14ac:dyDescent="0.2">
      <c r="A2408" s="27"/>
      <c r="B2408" s="30"/>
      <c r="G2408" s="27"/>
      <c r="H2408" s="27"/>
    </row>
    <row r="2409" spans="1:8" x14ac:dyDescent="0.2">
      <c r="A2409" s="27"/>
      <c r="B2409" s="30"/>
      <c r="G2409" s="27"/>
      <c r="H2409" s="27"/>
    </row>
    <row r="2410" spans="1:8" x14ac:dyDescent="0.2">
      <c r="A2410" s="27"/>
      <c r="B2410" s="30"/>
      <c r="G2410" s="27"/>
      <c r="H2410" s="27"/>
    </row>
    <row r="2411" spans="1:8" x14ac:dyDescent="0.2">
      <c r="A2411" s="27"/>
      <c r="B2411" s="30"/>
      <c r="G2411" s="27"/>
      <c r="H2411" s="27"/>
    </row>
    <row r="2412" spans="1:8" x14ac:dyDescent="0.2">
      <c r="A2412" s="27"/>
      <c r="B2412" s="30"/>
      <c r="G2412" s="27"/>
      <c r="H2412" s="27"/>
    </row>
    <row r="2413" spans="1:8" x14ac:dyDescent="0.2">
      <c r="A2413" s="27"/>
      <c r="B2413" s="30"/>
      <c r="G2413" s="27"/>
      <c r="H2413" s="27"/>
    </row>
    <row r="2414" spans="1:8" x14ac:dyDescent="0.2">
      <c r="A2414" s="27"/>
      <c r="B2414" s="30"/>
      <c r="G2414" s="27"/>
      <c r="H2414" s="27"/>
    </row>
    <row r="2415" spans="1:8" x14ac:dyDescent="0.2">
      <c r="A2415" s="27"/>
      <c r="B2415" s="30"/>
      <c r="G2415" s="27"/>
      <c r="H2415" s="27"/>
    </row>
    <row r="2416" spans="1:8" x14ac:dyDescent="0.2">
      <c r="A2416" s="27"/>
      <c r="B2416" s="30"/>
      <c r="G2416" s="27"/>
      <c r="H2416" s="27"/>
    </row>
    <row r="2417" spans="1:8" x14ac:dyDescent="0.2">
      <c r="A2417" s="27"/>
      <c r="B2417" s="30"/>
      <c r="G2417" s="27"/>
      <c r="H2417" s="27"/>
    </row>
    <row r="2418" spans="1:8" x14ac:dyDescent="0.2">
      <c r="A2418" s="27"/>
      <c r="B2418" s="30"/>
      <c r="G2418" s="27"/>
      <c r="H2418" s="27"/>
    </row>
    <row r="2419" spans="1:8" x14ac:dyDescent="0.2">
      <c r="A2419" s="27"/>
      <c r="B2419" s="30"/>
      <c r="G2419" s="27"/>
      <c r="H2419" s="27"/>
    </row>
    <row r="2420" spans="1:8" x14ac:dyDescent="0.2">
      <c r="A2420" s="27"/>
      <c r="B2420" s="30"/>
      <c r="G2420" s="27"/>
      <c r="H2420" s="27"/>
    </row>
    <row r="2421" spans="1:8" x14ac:dyDescent="0.2">
      <c r="A2421" s="27"/>
      <c r="B2421" s="30"/>
      <c r="G2421" s="27"/>
      <c r="H2421" s="27"/>
    </row>
    <row r="2422" spans="1:8" x14ac:dyDescent="0.2">
      <c r="A2422" s="27"/>
      <c r="B2422" s="30"/>
      <c r="G2422" s="27"/>
      <c r="H2422" s="27"/>
    </row>
    <row r="2423" spans="1:8" x14ac:dyDescent="0.2">
      <c r="A2423" s="27"/>
      <c r="B2423" s="30"/>
      <c r="G2423" s="27"/>
      <c r="H2423" s="27"/>
    </row>
    <row r="2424" spans="1:8" x14ac:dyDescent="0.2">
      <c r="A2424" s="27"/>
      <c r="B2424" s="30"/>
      <c r="G2424" s="27"/>
      <c r="H2424" s="27"/>
    </row>
    <row r="2425" spans="1:8" x14ac:dyDescent="0.2">
      <c r="A2425" s="27"/>
      <c r="B2425" s="30"/>
      <c r="G2425" s="27"/>
      <c r="H2425" s="27"/>
    </row>
    <row r="2426" spans="1:8" x14ac:dyDescent="0.2">
      <c r="A2426" s="27"/>
      <c r="B2426" s="30"/>
      <c r="G2426" s="27"/>
      <c r="H2426" s="27"/>
    </row>
    <row r="2427" spans="1:8" x14ac:dyDescent="0.2">
      <c r="A2427" s="27"/>
      <c r="B2427" s="30"/>
      <c r="G2427" s="27"/>
      <c r="H2427" s="27"/>
    </row>
    <row r="2428" spans="1:8" x14ac:dyDescent="0.2">
      <c r="A2428" s="27"/>
      <c r="B2428" s="30"/>
      <c r="G2428" s="27"/>
      <c r="H2428" s="27"/>
    </row>
    <row r="2429" spans="1:8" x14ac:dyDescent="0.2">
      <c r="A2429" s="27"/>
      <c r="B2429" s="30"/>
      <c r="G2429" s="27"/>
      <c r="H2429" s="27"/>
    </row>
    <row r="2430" spans="1:8" x14ac:dyDescent="0.2">
      <c r="A2430" s="27"/>
      <c r="B2430" s="30"/>
      <c r="G2430" s="27"/>
      <c r="H2430" s="27"/>
    </row>
    <row r="2431" spans="1:8" x14ac:dyDescent="0.2">
      <c r="A2431" s="27"/>
      <c r="B2431" s="30"/>
      <c r="G2431" s="27"/>
      <c r="H2431" s="27"/>
    </row>
    <row r="2432" spans="1:8" x14ac:dyDescent="0.2">
      <c r="A2432" s="27"/>
      <c r="B2432" s="30"/>
      <c r="G2432" s="27"/>
      <c r="H2432" s="27"/>
    </row>
    <row r="2433" spans="1:8" x14ac:dyDescent="0.2">
      <c r="A2433" s="27"/>
      <c r="B2433" s="30"/>
      <c r="G2433" s="27"/>
      <c r="H2433" s="27"/>
    </row>
    <row r="2434" spans="1:8" x14ac:dyDescent="0.2">
      <c r="A2434" s="27"/>
      <c r="B2434" s="30"/>
      <c r="G2434" s="27"/>
      <c r="H2434" s="27"/>
    </row>
    <row r="2435" spans="1:8" x14ac:dyDescent="0.2">
      <c r="A2435" s="27"/>
      <c r="B2435" s="30"/>
      <c r="G2435" s="27"/>
      <c r="H2435" s="27"/>
    </row>
    <row r="2436" spans="1:8" x14ac:dyDescent="0.2">
      <c r="A2436" s="27"/>
      <c r="B2436" s="30"/>
      <c r="G2436" s="27"/>
      <c r="H2436" s="27"/>
    </row>
    <row r="2437" spans="1:8" x14ac:dyDescent="0.2">
      <c r="A2437" s="27"/>
      <c r="B2437" s="30"/>
      <c r="G2437" s="27"/>
      <c r="H2437" s="27"/>
    </row>
    <row r="2438" spans="1:8" x14ac:dyDescent="0.2">
      <c r="A2438" s="27"/>
      <c r="B2438" s="30"/>
      <c r="G2438" s="27"/>
      <c r="H2438" s="27"/>
    </row>
    <row r="2439" spans="1:8" x14ac:dyDescent="0.2">
      <c r="A2439" s="27"/>
      <c r="B2439" s="30"/>
      <c r="G2439" s="27"/>
      <c r="H2439" s="27"/>
    </row>
    <row r="2440" spans="1:8" x14ac:dyDescent="0.2">
      <c r="A2440" s="27"/>
      <c r="B2440" s="30"/>
      <c r="G2440" s="27"/>
      <c r="H2440" s="27"/>
    </row>
    <row r="2441" spans="1:8" x14ac:dyDescent="0.2">
      <c r="A2441" s="27"/>
      <c r="B2441" s="30"/>
      <c r="G2441" s="27"/>
      <c r="H2441" s="27"/>
    </row>
    <row r="2442" spans="1:8" x14ac:dyDescent="0.2">
      <c r="A2442" s="27"/>
      <c r="B2442" s="30"/>
      <c r="G2442" s="27"/>
      <c r="H2442" s="27"/>
    </row>
    <row r="2443" spans="1:8" x14ac:dyDescent="0.2">
      <c r="A2443" s="27"/>
      <c r="B2443" s="30"/>
      <c r="G2443" s="27"/>
      <c r="H2443" s="27"/>
    </row>
    <row r="2444" spans="1:8" x14ac:dyDescent="0.2">
      <c r="A2444" s="27"/>
      <c r="B2444" s="30"/>
      <c r="G2444" s="27"/>
      <c r="H2444" s="27"/>
    </row>
    <row r="2445" spans="1:8" x14ac:dyDescent="0.2">
      <c r="A2445" s="27"/>
      <c r="B2445" s="30"/>
      <c r="G2445" s="27"/>
      <c r="H2445" s="27"/>
    </row>
    <row r="2446" spans="1:8" x14ac:dyDescent="0.2">
      <c r="A2446" s="27"/>
      <c r="B2446" s="30"/>
      <c r="G2446" s="27"/>
      <c r="H2446" s="27"/>
    </row>
    <row r="2447" spans="1:8" x14ac:dyDescent="0.2">
      <c r="A2447" s="27"/>
      <c r="B2447" s="30"/>
      <c r="G2447" s="27"/>
      <c r="H2447" s="27"/>
    </row>
    <row r="2448" spans="1:8" x14ac:dyDescent="0.2">
      <c r="A2448" s="27"/>
      <c r="B2448" s="30"/>
      <c r="G2448" s="27"/>
      <c r="H2448" s="27"/>
    </row>
    <row r="2449" spans="1:8" x14ac:dyDescent="0.2">
      <c r="A2449" s="27"/>
      <c r="B2449" s="30"/>
      <c r="G2449" s="27"/>
      <c r="H2449" s="27"/>
    </row>
    <row r="2450" spans="1:8" x14ac:dyDescent="0.2">
      <c r="A2450" s="27"/>
      <c r="B2450" s="30"/>
      <c r="G2450" s="27"/>
      <c r="H2450" s="27"/>
    </row>
    <row r="2451" spans="1:8" x14ac:dyDescent="0.2">
      <c r="A2451" s="27"/>
      <c r="B2451" s="30"/>
      <c r="G2451" s="27"/>
      <c r="H2451" s="27"/>
    </row>
    <row r="2452" spans="1:8" x14ac:dyDescent="0.2">
      <c r="A2452" s="27"/>
      <c r="B2452" s="30"/>
      <c r="G2452" s="27"/>
      <c r="H2452" s="27"/>
    </row>
    <row r="2453" spans="1:8" x14ac:dyDescent="0.2">
      <c r="A2453" s="27"/>
      <c r="B2453" s="30"/>
      <c r="G2453" s="27"/>
      <c r="H2453" s="27"/>
    </row>
    <row r="2454" spans="1:8" x14ac:dyDescent="0.2">
      <c r="A2454" s="27"/>
      <c r="B2454" s="30"/>
      <c r="G2454" s="27"/>
      <c r="H2454" s="27"/>
    </row>
    <row r="2455" spans="1:8" x14ac:dyDescent="0.2">
      <c r="A2455" s="27"/>
      <c r="B2455" s="30"/>
      <c r="G2455" s="27"/>
      <c r="H2455" s="27"/>
    </row>
    <row r="2456" spans="1:8" x14ac:dyDescent="0.2">
      <c r="A2456" s="27"/>
      <c r="B2456" s="30"/>
      <c r="G2456" s="27"/>
      <c r="H2456" s="27"/>
    </row>
    <row r="2457" spans="1:8" x14ac:dyDescent="0.2">
      <c r="A2457" s="27"/>
      <c r="B2457" s="30"/>
      <c r="G2457" s="27"/>
      <c r="H2457" s="27"/>
    </row>
    <row r="2458" spans="1:8" x14ac:dyDescent="0.2">
      <c r="A2458" s="27"/>
      <c r="B2458" s="30"/>
      <c r="G2458" s="27"/>
      <c r="H2458" s="27"/>
    </row>
    <row r="2459" spans="1:8" x14ac:dyDescent="0.2">
      <c r="A2459" s="27"/>
      <c r="B2459" s="30"/>
      <c r="G2459" s="27"/>
      <c r="H2459" s="27"/>
    </row>
    <row r="2460" spans="1:8" x14ac:dyDescent="0.2">
      <c r="A2460" s="27"/>
      <c r="B2460" s="30"/>
      <c r="G2460" s="27"/>
      <c r="H2460" s="27"/>
    </row>
    <row r="2461" spans="1:8" x14ac:dyDescent="0.2">
      <c r="A2461" s="27"/>
      <c r="B2461" s="30"/>
      <c r="G2461" s="27"/>
      <c r="H2461" s="27"/>
    </row>
    <row r="2462" spans="1:8" x14ac:dyDescent="0.2">
      <c r="A2462" s="27"/>
      <c r="B2462" s="30"/>
      <c r="G2462" s="27"/>
      <c r="H2462" s="27"/>
    </row>
    <row r="2463" spans="1:8" x14ac:dyDescent="0.2">
      <c r="A2463" s="27"/>
      <c r="B2463" s="30"/>
      <c r="G2463" s="27"/>
      <c r="H2463" s="27"/>
    </row>
    <row r="2464" spans="1:8" x14ac:dyDescent="0.2">
      <c r="A2464" s="27"/>
      <c r="B2464" s="30"/>
      <c r="G2464" s="27"/>
      <c r="H2464" s="27"/>
    </row>
    <row r="2465" spans="1:8" x14ac:dyDescent="0.2">
      <c r="A2465" s="27"/>
      <c r="B2465" s="30"/>
      <c r="G2465" s="27"/>
      <c r="H2465" s="27"/>
    </row>
    <row r="2466" spans="1:8" x14ac:dyDescent="0.2">
      <c r="A2466" s="27"/>
      <c r="B2466" s="30"/>
      <c r="G2466" s="27"/>
      <c r="H2466" s="27"/>
    </row>
    <row r="2467" spans="1:8" x14ac:dyDescent="0.2">
      <c r="A2467" s="27"/>
      <c r="B2467" s="30"/>
      <c r="G2467" s="27"/>
      <c r="H2467" s="27"/>
    </row>
    <row r="2468" spans="1:8" x14ac:dyDescent="0.2">
      <c r="A2468" s="27"/>
      <c r="B2468" s="30"/>
      <c r="G2468" s="27"/>
      <c r="H2468" s="27"/>
    </row>
    <row r="2469" spans="1:8" x14ac:dyDescent="0.2">
      <c r="A2469" s="27"/>
      <c r="B2469" s="30"/>
      <c r="G2469" s="27"/>
      <c r="H2469" s="27"/>
    </row>
    <row r="2470" spans="1:8" x14ac:dyDescent="0.2">
      <c r="A2470" s="27"/>
      <c r="B2470" s="30"/>
      <c r="G2470" s="27"/>
      <c r="H2470" s="27"/>
    </row>
    <row r="2471" spans="1:8" x14ac:dyDescent="0.2">
      <c r="A2471" s="27"/>
      <c r="B2471" s="30"/>
      <c r="G2471" s="27"/>
      <c r="H2471" s="27"/>
    </row>
    <row r="2472" spans="1:8" x14ac:dyDescent="0.2">
      <c r="A2472" s="27"/>
      <c r="B2472" s="30"/>
      <c r="G2472" s="27"/>
      <c r="H2472" s="27"/>
    </row>
    <row r="2473" spans="1:8" x14ac:dyDescent="0.2">
      <c r="A2473" s="27"/>
      <c r="B2473" s="30"/>
      <c r="G2473" s="27"/>
      <c r="H2473" s="27"/>
    </row>
    <row r="2474" spans="1:8" x14ac:dyDescent="0.2">
      <c r="A2474" s="27"/>
      <c r="B2474" s="30"/>
      <c r="G2474" s="27"/>
      <c r="H2474" s="27"/>
    </row>
    <row r="2475" spans="1:8" x14ac:dyDescent="0.2">
      <c r="A2475" s="27"/>
      <c r="B2475" s="30"/>
      <c r="G2475" s="27"/>
      <c r="H2475" s="27"/>
    </row>
    <row r="2476" spans="1:8" x14ac:dyDescent="0.2">
      <c r="A2476" s="27"/>
      <c r="B2476" s="30"/>
      <c r="G2476" s="27"/>
      <c r="H2476" s="27"/>
    </row>
    <row r="2477" spans="1:8" x14ac:dyDescent="0.2">
      <c r="A2477" s="27"/>
      <c r="B2477" s="30"/>
      <c r="G2477" s="27"/>
      <c r="H2477" s="27"/>
    </row>
    <row r="2478" spans="1:8" x14ac:dyDescent="0.2">
      <c r="A2478" s="27"/>
      <c r="B2478" s="30"/>
      <c r="G2478" s="27"/>
      <c r="H2478" s="27"/>
    </row>
    <row r="2479" spans="1:8" x14ac:dyDescent="0.2">
      <c r="A2479" s="27"/>
      <c r="B2479" s="30"/>
      <c r="G2479" s="27"/>
      <c r="H2479" s="27"/>
    </row>
    <row r="2480" spans="1:8" x14ac:dyDescent="0.2">
      <c r="A2480" s="27"/>
      <c r="B2480" s="30"/>
      <c r="G2480" s="27"/>
      <c r="H2480" s="27"/>
    </row>
    <row r="2481" spans="1:8" x14ac:dyDescent="0.2">
      <c r="A2481" s="27"/>
      <c r="B2481" s="30"/>
      <c r="G2481" s="27"/>
      <c r="H2481" s="27"/>
    </row>
    <row r="2482" spans="1:8" x14ac:dyDescent="0.2">
      <c r="A2482" s="27"/>
      <c r="B2482" s="30"/>
      <c r="G2482" s="27"/>
      <c r="H2482" s="27"/>
    </row>
    <row r="2483" spans="1:8" x14ac:dyDescent="0.2">
      <c r="A2483" s="27"/>
      <c r="B2483" s="30"/>
      <c r="G2483" s="27"/>
      <c r="H2483" s="27"/>
    </row>
    <row r="2484" spans="1:8" x14ac:dyDescent="0.2">
      <c r="A2484" s="27"/>
      <c r="B2484" s="30"/>
      <c r="G2484" s="27"/>
      <c r="H2484" s="27"/>
    </row>
    <row r="2485" spans="1:8" x14ac:dyDescent="0.2">
      <c r="A2485" s="27"/>
      <c r="B2485" s="30"/>
      <c r="G2485" s="27"/>
      <c r="H2485" s="27"/>
    </row>
    <row r="2486" spans="1:8" x14ac:dyDescent="0.2">
      <c r="A2486" s="27"/>
      <c r="B2486" s="30"/>
      <c r="G2486" s="27"/>
      <c r="H2486" s="27"/>
    </row>
    <row r="2487" spans="1:8" x14ac:dyDescent="0.2">
      <c r="A2487" s="27"/>
      <c r="B2487" s="30"/>
      <c r="G2487" s="27"/>
      <c r="H2487" s="27"/>
    </row>
    <row r="2488" spans="1:8" x14ac:dyDescent="0.2">
      <c r="A2488" s="27"/>
      <c r="B2488" s="30"/>
      <c r="G2488" s="27"/>
      <c r="H2488" s="27"/>
    </row>
    <row r="2489" spans="1:8" x14ac:dyDescent="0.2">
      <c r="A2489" s="27"/>
      <c r="B2489" s="30"/>
      <c r="G2489" s="27"/>
      <c r="H2489" s="27"/>
    </row>
    <row r="2490" spans="1:8" x14ac:dyDescent="0.2">
      <c r="A2490" s="27"/>
      <c r="B2490" s="30"/>
      <c r="G2490" s="27"/>
      <c r="H2490" s="27"/>
    </row>
    <row r="2491" spans="1:8" x14ac:dyDescent="0.2">
      <c r="A2491" s="27"/>
      <c r="B2491" s="30"/>
      <c r="G2491" s="27"/>
      <c r="H2491" s="27"/>
    </row>
    <row r="2492" spans="1:8" x14ac:dyDescent="0.2">
      <c r="A2492" s="27"/>
      <c r="B2492" s="30"/>
      <c r="G2492" s="27"/>
      <c r="H2492" s="27"/>
    </row>
    <row r="2493" spans="1:8" x14ac:dyDescent="0.2">
      <c r="A2493" s="27"/>
      <c r="B2493" s="30"/>
      <c r="G2493" s="27"/>
      <c r="H2493" s="27"/>
    </row>
    <row r="2494" spans="1:8" x14ac:dyDescent="0.2">
      <c r="A2494" s="27"/>
      <c r="B2494" s="30"/>
      <c r="G2494" s="27"/>
      <c r="H2494" s="27"/>
    </row>
    <row r="2495" spans="1:8" x14ac:dyDescent="0.2">
      <c r="A2495" s="27"/>
      <c r="B2495" s="30"/>
      <c r="G2495" s="27"/>
      <c r="H2495" s="27"/>
    </row>
    <row r="2496" spans="1:8" x14ac:dyDescent="0.2">
      <c r="A2496" s="27"/>
      <c r="B2496" s="30"/>
      <c r="G2496" s="27"/>
      <c r="H2496" s="27"/>
    </row>
    <row r="2497" spans="1:8" x14ac:dyDescent="0.2">
      <c r="A2497" s="27"/>
      <c r="B2497" s="30"/>
      <c r="G2497" s="27"/>
      <c r="H2497" s="27"/>
    </row>
    <row r="2498" spans="1:8" x14ac:dyDescent="0.2">
      <c r="A2498" s="27"/>
      <c r="B2498" s="30"/>
      <c r="G2498" s="27"/>
      <c r="H2498" s="27"/>
    </row>
    <row r="2499" spans="1:8" x14ac:dyDescent="0.2">
      <c r="A2499" s="27"/>
      <c r="B2499" s="30"/>
      <c r="G2499" s="27"/>
      <c r="H2499" s="27"/>
    </row>
    <row r="2500" spans="1:8" x14ac:dyDescent="0.2">
      <c r="A2500" s="27"/>
      <c r="B2500" s="30"/>
      <c r="G2500" s="27"/>
      <c r="H2500" s="27"/>
    </row>
    <row r="2501" spans="1:8" x14ac:dyDescent="0.2">
      <c r="A2501" s="27"/>
      <c r="B2501" s="30"/>
      <c r="G2501" s="27"/>
      <c r="H2501" s="27"/>
    </row>
    <row r="2502" spans="1:8" x14ac:dyDescent="0.2">
      <c r="A2502" s="27"/>
      <c r="B2502" s="30"/>
      <c r="G2502" s="27"/>
      <c r="H2502" s="27"/>
    </row>
    <row r="2503" spans="1:8" x14ac:dyDescent="0.2">
      <c r="A2503" s="27"/>
      <c r="B2503" s="30"/>
      <c r="G2503" s="27"/>
      <c r="H2503" s="27"/>
    </row>
    <row r="2504" spans="1:8" x14ac:dyDescent="0.2">
      <c r="A2504" s="27"/>
      <c r="B2504" s="30"/>
      <c r="G2504" s="27"/>
      <c r="H2504" s="27"/>
    </row>
    <row r="2505" spans="1:8" x14ac:dyDescent="0.2">
      <c r="A2505" s="27"/>
      <c r="B2505" s="30"/>
      <c r="G2505" s="27"/>
      <c r="H2505" s="27"/>
    </row>
    <row r="2506" spans="1:8" x14ac:dyDescent="0.2">
      <c r="A2506" s="27"/>
      <c r="B2506" s="30"/>
      <c r="G2506" s="27"/>
      <c r="H2506" s="27"/>
    </row>
    <row r="2507" spans="1:8" x14ac:dyDescent="0.2">
      <c r="A2507" s="27"/>
      <c r="B2507" s="30"/>
      <c r="G2507" s="27"/>
      <c r="H2507" s="27"/>
    </row>
    <row r="2508" spans="1:8" x14ac:dyDescent="0.2">
      <c r="A2508" s="27"/>
      <c r="B2508" s="30"/>
      <c r="G2508" s="27"/>
      <c r="H2508" s="27"/>
    </row>
    <row r="2509" spans="1:8" x14ac:dyDescent="0.2">
      <c r="A2509" s="27"/>
      <c r="B2509" s="30"/>
      <c r="G2509" s="27"/>
      <c r="H2509" s="27"/>
    </row>
    <row r="2510" spans="1:8" x14ac:dyDescent="0.2">
      <c r="A2510" s="27"/>
      <c r="B2510" s="30"/>
      <c r="G2510" s="27"/>
      <c r="H2510" s="27"/>
    </row>
    <row r="2511" spans="1:8" x14ac:dyDescent="0.2">
      <c r="A2511" s="27"/>
      <c r="B2511" s="30"/>
      <c r="G2511" s="27"/>
      <c r="H2511" s="27"/>
    </row>
    <row r="2512" spans="1:8" x14ac:dyDescent="0.2">
      <c r="A2512" s="27"/>
      <c r="B2512" s="30"/>
      <c r="G2512" s="27"/>
      <c r="H2512" s="27"/>
    </row>
    <row r="2513" spans="1:8" x14ac:dyDescent="0.2">
      <c r="A2513" s="27"/>
      <c r="B2513" s="30"/>
      <c r="G2513" s="27"/>
      <c r="H2513" s="27"/>
    </row>
    <row r="2514" spans="1:8" x14ac:dyDescent="0.2">
      <c r="A2514" s="27"/>
      <c r="B2514" s="30"/>
      <c r="G2514" s="27"/>
      <c r="H2514" s="27"/>
    </row>
    <row r="2515" spans="1:8" x14ac:dyDescent="0.2">
      <c r="A2515" s="27"/>
      <c r="B2515" s="30"/>
      <c r="G2515" s="27"/>
      <c r="H2515" s="27"/>
    </row>
    <row r="2516" spans="1:8" x14ac:dyDescent="0.2">
      <c r="A2516" s="27"/>
      <c r="B2516" s="30"/>
      <c r="G2516" s="27"/>
      <c r="H2516" s="27"/>
    </row>
    <row r="2517" spans="1:8" x14ac:dyDescent="0.2">
      <c r="A2517" s="27"/>
      <c r="B2517" s="30"/>
      <c r="G2517" s="27"/>
      <c r="H2517" s="27"/>
    </row>
    <row r="2518" spans="1:8" x14ac:dyDescent="0.2">
      <c r="A2518" s="27"/>
      <c r="B2518" s="30"/>
      <c r="G2518" s="27"/>
      <c r="H2518" s="27"/>
    </row>
    <row r="2519" spans="1:8" x14ac:dyDescent="0.2">
      <c r="A2519" s="27"/>
      <c r="B2519" s="30"/>
      <c r="G2519" s="27"/>
      <c r="H2519" s="27"/>
    </row>
    <row r="2520" spans="1:8" x14ac:dyDescent="0.2">
      <c r="A2520" s="27"/>
      <c r="B2520" s="30"/>
      <c r="G2520" s="27"/>
      <c r="H2520" s="27"/>
    </row>
    <row r="2521" spans="1:8" x14ac:dyDescent="0.2">
      <c r="A2521" s="27"/>
      <c r="B2521" s="30"/>
      <c r="G2521" s="27"/>
      <c r="H2521" s="27"/>
    </row>
    <row r="2522" spans="1:8" x14ac:dyDescent="0.2">
      <c r="A2522" s="27"/>
      <c r="B2522" s="30"/>
      <c r="G2522" s="27"/>
      <c r="H2522" s="27"/>
    </row>
    <row r="2523" spans="1:8" x14ac:dyDescent="0.2">
      <c r="A2523" s="27"/>
      <c r="B2523" s="30"/>
      <c r="G2523" s="27"/>
      <c r="H2523" s="27"/>
    </row>
    <row r="2524" spans="1:8" x14ac:dyDescent="0.2">
      <c r="A2524" s="27"/>
      <c r="B2524" s="30"/>
      <c r="G2524" s="27"/>
      <c r="H2524" s="27"/>
    </row>
    <row r="2525" spans="1:8" x14ac:dyDescent="0.2">
      <c r="A2525" s="27"/>
      <c r="B2525" s="30"/>
      <c r="G2525" s="27"/>
      <c r="H2525" s="27"/>
    </row>
    <row r="2526" spans="1:8" x14ac:dyDescent="0.2">
      <c r="A2526" s="27"/>
      <c r="B2526" s="30"/>
      <c r="G2526" s="27"/>
      <c r="H2526" s="27"/>
    </row>
    <row r="2527" spans="1:8" x14ac:dyDescent="0.2">
      <c r="A2527" s="27"/>
      <c r="B2527" s="30"/>
      <c r="G2527" s="27"/>
      <c r="H2527" s="27"/>
    </row>
    <row r="2528" spans="1:8" x14ac:dyDescent="0.2">
      <c r="A2528" s="27"/>
      <c r="B2528" s="30"/>
      <c r="G2528" s="27"/>
      <c r="H2528" s="27"/>
    </row>
    <row r="2529" spans="1:8" x14ac:dyDescent="0.2">
      <c r="A2529" s="27"/>
      <c r="B2529" s="30"/>
      <c r="G2529" s="27"/>
      <c r="H2529" s="27"/>
    </row>
    <row r="2530" spans="1:8" x14ac:dyDescent="0.2">
      <c r="A2530" s="27"/>
      <c r="B2530" s="30"/>
      <c r="G2530" s="27"/>
      <c r="H2530" s="27"/>
    </row>
    <row r="2531" spans="1:8" x14ac:dyDescent="0.2">
      <c r="A2531" s="27"/>
      <c r="B2531" s="30"/>
      <c r="G2531" s="27"/>
      <c r="H2531" s="27"/>
    </row>
    <row r="2532" spans="1:8" x14ac:dyDescent="0.2">
      <c r="A2532" s="27"/>
      <c r="B2532" s="30"/>
      <c r="G2532" s="27"/>
      <c r="H2532" s="27"/>
    </row>
    <row r="2533" spans="1:8" x14ac:dyDescent="0.2">
      <c r="A2533" s="27"/>
      <c r="B2533" s="30"/>
      <c r="G2533" s="27"/>
      <c r="H2533" s="27"/>
    </row>
    <row r="2534" spans="1:8" x14ac:dyDescent="0.2">
      <c r="A2534" s="27"/>
      <c r="B2534" s="30"/>
      <c r="G2534" s="27"/>
      <c r="H2534" s="27"/>
    </row>
    <row r="2535" spans="1:8" x14ac:dyDescent="0.2">
      <c r="A2535" s="27"/>
      <c r="B2535" s="30"/>
      <c r="G2535" s="27"/>
      <c r="H2535" s="27"/>
    </row>
    <row r="2536" spans="1:8" x14ac:dyDescent="0.2">
      <c r="A2536" s="27"/>
      <c r="B2536" s="30"/>
      <c r="G2536" s="27"/>
      <c r="H2536" s="27"/>
    </row>
    <row r="2537" spans="1:8" x14ac:dyDescent="0.2">
      <c r="A2537" s="27"/>
      <c r="B2537" s="30"/>
      <c r="G2537" s="27"/>
      <c r="H2537" s="27"/>
    </row>
    <row r="2538" spans="1:8" x14ac:dyDescent="0.2">
      <c r="A2538" s="27"/>
      <c r="B2538" s="30"/>
      <c r="G2538" s="27"/>
      <c r="H2538" s="27"/>
    </row>
    <row r="2539" spans="1:8" x14ac:dyDescent="0.2">
      <c r="A2539" s="27"/>
      <c r="B2539" s="30"/>
      <c r="G2539" s="27"/>
      <c r="H2539" s="27"/>
    </row>
    <row r="2540" spans="1:8" x14ac:dyDescent="0.2">
      <c r="A2540" s="27"/>
      <c r="B2540" s="30"/>
      <c r="G2540" s="27"/>
      <c r="H2540" s="27"/>
    </row>
    <row r="2541" spans="1:8" x14ac:dyDescent="0.2">
      <c r="A2541" s="27"/>
      <c r="B2541" s="30"/>
      <c r="G2541" s="27"/>
      <c r="H2541" s="27"/>
    </row>
    <row r="2542" spans="1:8" x14ac:dyDescent="0.2">
      <c r="A2542" s="27"/>
      <c r="B2542" s="30"/>
      <c r="G2542" s="27"/>
      <c r="H2542" s="27"/>
    </row>
    <row r="2543" spans="1:8" x14ac:dyDescent="0.2">
      <c r="A2543" s="27"/>
      <c r="B2543" s="30"/>
      <c r="G2543" s="27"/>
      <c r="H2543" s="27"/>
    </row>
    <row r="2544" spans="1:8" x14ac:dyDescent="0.2">
      <c r="A2544" s="27"/>
      <c r="B2544" s="30"/>
      <c r="G2544" s="27"/>
      <c r="H2544" s="27"/>
    </row>
    <row r="2545" spans="1:8" x14ac:dyDescent="0.2">
      <c r="A2545" s="27"/>
      <c r="B2545" s="30"/>
      <c r="G2545" s="27"/>
      <c r="H2545" s="27"/>
    </row>
    <row r="2546" spans="1:8" x14ac:dyDescent="0.2">
      <c r="A2546" s="27"/>
      <c r="B2546" s="30"/>
      <c r="G2546" s="27"/>
      <c r="H2546" s="27"/>
    </row>
    <row r="2547" spans="1:8" x14ac:dyDescent="0.2">
      <c r="A2547" s="27"/>
      <c r="B2547" s="30"/>
      <c r="G2547" s="27"/>
      <c r="H2547" s="27"/>
    </row>
    <row r="2548" spans="1:8" x14ac:dyDescent="0.2">
      <c r="A2548" s="27"/>
      <c r="B2548" s="30"/>
      <c r="G2548" s="27"/>
      <c r="H2548" s="27"/>
    </row>
    <row r="2549" spans="1:8" x14ac:dyDescent="0.2">
      <c r="A2549" s="27"/>
      <c r="B2549" s="30"/>
      <c r="G2549" s="27"/>
      <c r="H2549" s="27"/>
    </row>
    <row r="2550" spans="1:8" x14ac:dyDescent="0.2">
      <c r="A2550" s="27"/>
      <c r="B2550" s="30"/>
      <c r="G2550" s="27"/>
      <c r="H2550" s="27"/>
    </row>
    <row r="2551" spans="1:8" x14ac:dyDescent="0.2">
      <c r="A2551" s="27"/>
      <c r="B2551" s="30"/>
      <c r="G2551" s="27"/>
      <c r="H2551" s="27"/>
    </row>
    <row r="2552" spans="1:8" x14ac:dyDescent="0.2">
      <c r="A2552" s="27"/>
      <c r="B2552" s="30"/>
      <c r="G2552" s="27"/>
      <c r="H2552" s="27"/>
    </row>
    <row r="2553" spans="1:8" x14ac:dyDescent="0.2">
      <c r="A2553" s="27"/>
      <c r="B2553" s="30"/>
      <c r="G2553" s="27"/>
      <c r="H2553" s="27"/>
    </row>
    <row r="2554" spans="1:8" x14ac:dyDescent="0.2">
      <c r="A2554" s="27"/>
      <c r="B2554" s="30"/>
      <c r="G2554" s="27"/>
      <c r="H2554" s="27"/>
    </row>
    <row r="2555" spans="1:8" x14ac:dyDescent="0.2">
      <c r="A2555" s="27"/>
      <c r="B2555" s="30"/>
      <c r="G2555" s="27"/>
      <c r="H2555" s="27"/>
    </row>
    <row r="2556" spans="1:8" x14ac:dyDescent="0.2">
      <c r="A2556" s="27"/>
      <c r="B2556" s="30"/>
      <c r="G2556" s="27"/>
      <c r="H2556" s="27"/>
    </row>
    <row r="2557" spans="1:8" x14ac:dyDescent="0.2">
      <c r="A2557" s="27"/>
      <c r="B2557" s="30"/>
      <c r="G2557" s="27"/>
      <c r="H2557" s="27"/>
    </row>
    <row r="2558" spans="1:8" x14ac:dyDescent="0.2">
      <c r="A2558" s="27"/>
      <c r="B2558" s="30"/>
      <c r="G2558" s="27"/>
      <c r="H2558" s="27"/>
    </row>
    <row r="2559" spans="1:8" x14ac:dyDescent="0.2">
      <c r="A2559" s="27"/>
      <c r="B2559" s="30"/>
      <c r="G2559" s="27"/>
      <c r="H2559" s="27"/>
    </row>
    <row r="2560" spans="1:8" x14ac:dyDescent="0.2">
      <c r="A2560" s="27"/>
      <c r="B2560" s="30"/>
      <c r="G2560" s="27"/>
      <c r="H2560" s="27"/>
    </row>
    <row r="2561" spans="1:8" x14ac:dyDescent="0.2">
      <c r="A2561" s="27"/>
      <c r="B2561" s="30"/>
      <c r="G2561" s="27"/>
      <c r="H2561" s="27"/>
    </row>
    <row r="2562" spans="1:8" x14ac:dyDescent="0.2">
      <c r="A2562" s="27"/>
      <c r="B2562" s="30"/>
      <c r="G2562" s="27"/>
      <c r="H2562" s="27"/>
    </row>
    <row r="2563" spans="1:8" x14ac:dyDescent="0.2">
      <c r="A2563" s="27"/>
      <c r="B2563" s="30"/>
      <c r="G2563" s="27"/>
      <c r="H2563" s="27"/>
    </row>
    <row r="2564" spans="1:8" x14ac:dyDescent="0.2">
      <c r="A2564" s="27"/>
      <c r="B2564" s="30"/>
      <c r="G2564" s="27"/>
      <c r="H2564" s="27"/>
    </row>
    <row r="2565" spans="1:8" x14ac:dyDescent="0.2">
      <c r="A2565" s="27"/>
      <c r="B2565" s="30"/>
      <c r="G2565" s="27"/>
      <c r="H2565" s="27"/>
    </row>
    <row r="2566" spans="1:8" x14ac:dyDescent="0.2">
      <c r="A2566" s="27"/>
      <c r="B2566" s="30"/>
      <c r="G2566" s="27"/>
      <c r="H2566" s="27"/>
    </row>
    <row r="2567" spans="1:8" x14ac:dyDescent="0.2">
      <c r="A2567" s="27"/>
      <c r="B2567" s="30"/>
      <c r="G2567" s="27"/>
      <c r="H2567" s="27"/>
    </row>
    <row r="2568" spans="1:8" x14ac:dyDescent="0.2">
      <c r="A2568" s="27"/>
      <c r="B2568" s="30"/>
      <c r="G2568" s="27"/>
      <c r="H2568" s="27"/>
    </row>
    <row r="2569" spans="1:8" x14ac:dyDescent="0.2">
      <c r="A2569" s="27"/>
      <c r="B2569" s="30"/>
      <c r="G2569" s="27"/>
      <c r="H2569" s="27"/>
    </row>
    <row r="2570" spans="1:8" x14ac:dyDescent="0.2">
      <c r="A2570" s="27"/>
      <c r="B2570" s="30"/>
      <c r="G2570" s="27"/>
      <c r="H2570" s="27"/>
    </row>
    <row r="2571" spans="1:8" x14ac:dyDescent="0.2">
      <c r="A2571" s="27"/>
      <c r="B2571" s="30"/>
      <c r="G2571" s="27"/>
      <c r="H2571" s="27"/>
    </row>
    <row r="2572" spans="1:8" x14ac:dyDescent="0.2">
      <c r="A2572" s="27"/>
      <c r="B2572" s="30"/>
      <c r="G2572" s="27"/>
      <c r="H2572" s="27"/>
    </row>
    <row r="2573" spans="1:8" x14ac:dyDescent="0.2">
      <c r="A2573" s="27"/>
      <c r="B2573" s="30"/>
      <c r="G2573" s="27"/>
      <c r="H2573" s="27"/>
    </row>
    <row r="2574" spans="1:8" x14ac:dyDescent="0.2">
      <c r="A2574" s="27"/>
      <c r="B2574" s="30"/>
      <c r="G2574" s="27"/>
      <c r="H2574" s="27"/>
    </row>
    <row r="2575" spans="1:8" x14ac:dyDescent="0.2">
      <c r="A2575" s="27"/>
      <c r="B2575" s="30"/>
      <c r="G2575" s="27"/>
      <c r="H2575" s="27"/>
    </row>
    <row r="2576" spans="1:8" x14ac:dyDescent="0.2">
      <c r="A2576" s="27"/>
      <c r="B2576" s="30"/>
      <c r="G2576" s="27"/>
      <c r="H2576" s="27"/>
    </row>
    <row r="2577" spans="1:8" x14ac:dyDescent="0.2">
      <c r="A2577" s="27"/>
      <c r="B2577" s="30"/>
      <c r="G2577" s="27"/>
      <c r="H2577" s="27"/>
    </row>
    <row r="2578" spans="1:8" x14ac:dyDescent="0.2">
      <c r="A2578" s="27"/>
      <c r="B2578" s="30"/>
      <c r="G2578" s="27"/>
      <c r="H2578" s="27"/>
    </row>
    <row r="2579" spans="1:8" x14ac:dyDescent="0.2">
      <c r="A2579" s="27"/>
      <c r="B2579" s="30"/>
      <c r="G2579" s="27"/>
      <c r="H2579" s="27"/>
    </row>
    <row r="2580" spans="1:8" x14ac:dyDescent="0.2">
      <c r="A2580" s="27"/>
      <c r="B2580" s="30"/>
      <c r="G2580" s="27"/>
      <c r="H2580" s="27"/>
    </row>
    <row r="2581" spans="1:8" x14ac:dyDescent="0.2">
      <c r="A2581" s="27"/>
      <c r="B2581" s="30"/>
      <c r="G2581" s="27"/>
      <c r="H2581" s="27"/>
    </row>
    <row r="2582" spans="1:8" x14ac:dyDescent="0.2">
      <c r="A2582" s="27"/>
      <c r="B2582" s="30"/>
      <c r="G2582" s="27"/>
      <c r="H2582" s="27"/>
    </row>
    <row r="2583" spans="1:8" x14ac:dyDescent="0.2">
      <c r="A2583" s="27"/>
      <c r="B2583" s="30"/>
      <c r="G2583" s="27"/>
      <c r="H2583" s="27"/>
    </row>
    <row r="2584" spans="1:8" x14ac:dyDescent="0.2">
      <c r="A2584" s="27"/>
      <c r="B2584" s="30"/>
      <c r="G2584" s="27"/>
      <c r="H2584" s="27"/>
    </row>
    <row r="2585" spans="1:8" x14ac:dyDescent="0.2">
      <c r="A2585" s="27"/>
      <c r="B2585" s="30"/>
      <c r="G2585" s="27"/>
      <c r="H2585" s="27"/>
    </row>
    <row r="2586" spans="1:8" x14ac:dyDescent="0.2">
      <c r="A2586" s="27"/>
      <c r="B2586" s="30"/>
      <c r="G2586" s="27"/>
      <c r="H2586" s="27"/>
    </row>
    <row r="2587" spans="1:8" x14ac:dyDescent="0.2">
      <c r="A2587" s="27"/>
      <c r="B2587" s="30"/>
      <c r="G2587" s="27"/>
      <c r="H2587" s="27"/>
    </row>
    <row r="2588" spans="1:8" x14ac:dyDescent="0.2">
      <c r="A2588" s="27"/>
      <c r="B2588" s="30"/>
      <c r="G2588" s="27"/>
      <c r="H2588" s="27"/>
    </row>
    <row r="2589" spans="1:8" x14ac:dyDescent="0.2">
      <c r="A2589" s="27"/>
      <c r="B2589" s="30"/>
      <c r="G2589" s="27"/>
      <c r="H2589" s="27"/>
    </row>
    <row r="2590" spans="1:8" x14ac:dyDescent="0.2">
      <c r="A2590" s="27"/>
      <c r="B2590" s="30"/>
      <c r="G2590" s="27"/>
      <c r="H2590" s="27"/>
    </row>
    <row r="2591" spans="1:8" x14ac:dyDescent="0.2">
      <c r="A2591" s="27"/>
      <c r="B2591" s="30"/>
      <c r="G2591" s="27"/>
      <c r="H2591" s="27"/>
    </row>
    <row r="2592" spans="1:8" x14ac:dyDescent="0.2">
      <c r="A2592" s="27"/>
      <c r="B2592" s="30"/>
      <c r="G2592" s="27"/>
      <c r="H2592" s="27"/>
    </row>
    <row r="2593" spans="1:8" x14ac:dyDescent="0.2">
      <c r="A2593" s="27"/>
      <c r="B2593" s="30"/>
      <c r="G2593" s="27"/>
      <c r="H2593" s="27"/>
    </row>
    <row r="2594" spans="1:8" x14ac:dyDescent="0.2">
      <c r="A2594" s="27"/>
      <c r="B2594" s="30"/>
      <c r="G2594" s="27"/>
      <c r="H2594" s="27"/>
    </row>
    <row r="2595" spans="1:8" x14ac:dyDescent="0.2">
      <c r="A2595" s="27"/>
      <c r="B2595" s="30"/>
      <c r="G2595" s="27"/>
      <c r="H2595" s="27"/>
    </row>
    <row r="2596" spans="1:8" x14ac:dyDescent="0.2">
      <c r="A2596" s="27"/>
      <c r="B2596" s="30"/>
      <c r="G2596" s="27"/>
      <c r="H2596" s="27"/>
    </row>
    <row r="2597" spans="1:8" x14ac:dyDescent="0.2">
      <c r="A2597" s="27"/>
      <c r="B2597" s="30"/>
      <c r="G2597" s="27"/>
      <c r="H2597" s="27"/>
    </row>
    <row r="2598" spans="1:8" x14ac:dyDescent="0.2">
      <c r="A2598" s="27"/>
      <c r="B2598" s="30"/>
      <c r="G2598" s="27"/>
      <c r="H2598" s="27"/>
    </row>
    <row r="2599" spans="1:8" x14ac:dyDescent="0.2">
      <c r="A2599" s="27"/>
      <c r="B2599" s="30"/>
      <c r="G2599" s="27"/>
      <c r="H2599" s="27"/>
    </row>
    <row r="2600" spans="1:8" x14ac:dyDescent="0.2">
      <c r="A2600" s="27"/>
      <c r="B2600" s="30"/>
      <c r="G2600" s="27"/>
      <c r="H2600" s="27"/>
    </row>
    <row r="2601" spans="1:8" x14ac:dyDescent="0.2">
      <c r="A2601" s="27"/>
      <c r="B2601" s="30"/>
      <c r="G2601" s="27"/>
      <c r="H2601" s="27"/>
    </row>
    <row r="2602" spans="1:8" x14ac:dyDescent="0.2">
      <c r="A2602" s="27"/>
      <c r="B2602" s="30"/>
      <c r="G2602" s="27"/>
      <c r="H2602" s="27"/>
    </row>
    <row r="2603" spans="1:8" x14ac:dyDescent="0.2">
      <c r="A2603" s="27"/>
      <c r="B2603" s="30"/>
      <c r="G2603" s="27"/>
      <c r="H2603" s="27"/>
    </row>
    <row r="2604" spans="1:8" x14ac:dyDescent="0.2">
      <c r="A2604" s="27"/>
      <c r="B2604" s="30"/>
      <c r="G2604" s="27"/>
      <c r="H2604" s="27"/>
    </row>
    <row r="2605" spans="1:8" x14ac:dyDescent="0.2">
      <c r="A2605" s="27"/>
      <c r="B2605" s="30"/>
      <c r="G2605" s="27"/>
      <c r="H2605" s="27"/>
    </row>
    <row r="2606" spans="1:8" x14ac:dyDescent="0.2">
      <c r="A2606" s="27"/>
      <c r="B2606" s="30"/>
      <c r="G2606" s="27"/>
      <c r="H2606" s="27"/>
    </row>
    <row r="2607" spans="1:8" x14ac:dyDescent="0.2">
      <c r="A2607" s="27"/>
      <c r="B2607" s="30"/>
      <c r="G2607" s="27"/>
      <c r="H2607" s="27"/>
    </row>
    <row r="2608" spans="1:8" x14ac:dyDescent="0.2">
      <c r="A2608" s="27"/>
      <c r="B2608" s="30"/>
      <c r="G2608" s="27"/>
      <c r="H2608" s="27"/>
    </row>
    <row r="2609" spans="1:8" x14ac:dyDescent="0.2">
      <c r="A2609" s="27"/>
      <c r="B2609" s="30"/>
      <c r="G2609" s="27"/>
      <c r="H2609" s="27"/>
    </row>
    <row r="2610" spans="1:8" x14ac:dyDescent="0.2">
      <c r="A2610" s="27"/>
      <c r="B2610" s="30"/>
      <c r="G2610" s="27"/>
      <c r="H2610" s="27"/>
    </row>
    <row r="2611" spans="1:8" x14ac:dyDescent="0.2">
      <c r="A2611" s="27"/>
      <c r="B2611" s="30"/>
      <c r="G2611" s="27"/>
      <c r="H2611" s="27"/>
    </row>
    <row r="2612" spans="1:8" x14ac:dyDescent="0.2">
      <c r="A2612" s="27"/>
      <c r="B2612" s="30"/>
      <c r="G2612" s="27"/>
      <c r="H2612" s="27"/>
    </row>
    <row r="2613" spans="1:8" x14ac:dyDescent="0.2">
      <c r="A2613" s="27"/>
      <c r="B2613" s="30"/>
      <c r="G2613" s="27"/>
      <c r="H2613" s="27"/>
    </row>
    <row r="2614" spans="1:8" x14ac:dyDescent="0.2">
      <c r="A2614" s="27"/>
      <c r="B2614" s="30"/>
      <c r="G2614" s="27"/>
      <c r="H2614" s="27"/>
    </row>
    <row r="2615" spans="1:8" x14ac:dyDescent="0.2">
      <c r="A2615" s="27"/>
      <c r="B2615" s="30"/>
      <c r="G2615" s="27"/>
      <c r="H2615" s="27"/>
    </row>
    <row r="2616" spans="1:8" x14ac:dyDescent="0.2">
      <c r="A2616" s="27"/>
      <c r="B2616" s="30"/>
      <c r="G2616" s="27"/>
      <c r="H2616" s="27"/>
    </row>
    <row r="2617" spans="1:8" x14ac:dyDescent="0.2">
      <c r="A2617" s="27"/>
      <c r="B2617" s="30"/>
      <c r="G2617" s="27"/>
      <c r="H2617" s="27"/>
    </row>
    <row r="2618" spans="1:8" x14ac:dyDescent="0.2">
      <c r="A2618" s="27"/>
      <c r="B2618" s="30"/>
      <c r="G2618" s="27"/>
      <c r="H2618" s="27"/>
    </row>
    <row r="2619" spans="1:8" x14ac:dyDescent="0.2">
      <c r="A2619" s="27"/>
      <c r="B2619" s="30"/>
      <c r="G2619" s="27"/>
      <c r="H2619" s="27"/>
    </row>
    <row r="2620" spans="1:8" x14ac:dyDescent="0.2">
      <c r="A2620" s="27"/>
      <c r="B2620" s="30"/>
      <c r="G2620" s="27"/>
      <c r="H2620" s="27"/>
    </row>
    <row r="2621" spans="1:8" x14ac:dyDescent="0.2">
      <c r="A2621" s="27"/>
      <c r="B2621" s="30"/>
      <c r="G2621" s="27"/>
      <c r="H2621" s="27"/>
    </row>
    <row r="2622" spans="1:8" x14ac:dyDescent="0.2">
      <c r="A2622" s="27"/>
      <c r="B2622" s="30"/>
      <c r="G2622" s="27"/>
      <c r="H2622" s="27"/>
    </row>
    <row r="2623" spans="1:8" x14ac:dyDescent="0.2">
      <c r="A2623" s="27"/>
      <c r="B2623" s="30"/>
      <c r="G2623" s="27"/>
      <c r="H2623" s="27"/>
    </row>
    <row r="2624" spans="1:8" x14ac:dyDescent="0.2">
      <c r="A2624" s="27"/>
      <c r="B2624" s="30"/>
      <c r="G2624" s="27"/>
      <c r="H2624" s="27"/>
    </row>
    <row r="2625" spans="1:8" x14ac:dyDescent="0.2">
      <c r="A2625" s="27"/>
      <c r="B2625" s="30"/>
      <c r="G2625" s="27"/>
      <c r="H2625" s="27"/>
    </row>
    <row r="2626" spans="1:8" x14ac:dyDescent="0.2">
      <c r="A2626" s="27"/>
      <c r="B2626" s="30"/>
      <c r="G2626" s="27"/>
      <c r="H2626" s="27"/>
    </row>
    <row r="2627" spans="1:8" x14ac:dyDescent="0.2">
      <c r="A2627" s="27"/>
      <c r="B2627" s="30"/>
      <c r="G2627" s="27"/>
      <c r="H2627" s="27"/>
    </row>
    <row r="2628" spans="1:8" x14ac:dyDescent="0.2">
      <c r="A2628" s="27"/>
      <c r="B2628" s="30"/>
      <c r="G2628" s="27"/>
      <c r="H2628" s="27"/>
    </row>
    <row r="2629" spans="1:8" x14ac:dyDescent="0.2">
      <c r="A2629" s="27"/>
      <c r="B2629" s="30"/>
      <c r="G2629" s="27"/>
      <c r="H2629" s="27"/>
    </row>
    <row r="2630" spans="1:8" x14ac:dyDescent="0.2">
      <c r="A2630" s="27"/>
      <c r="B2630" s="30"/>
      <c r="G2630" s="27"/>
      <c r="H2630" s="27"/>
    </row>
    <row r="2631" spans="1:8" x14ac:dyDescent="0.2">
      <c r="A2631" s="27"/>
      <c r="B2631" s="30"/>
      <c r="G2631" s="27"/>
      <c r="H2631" s="27"/>
    </row>
    <row r="2632" spans="1:8" x14ac:dyDescent="0.2">
      <c r="A2632" s="27"/>
      <c r="B2632" s="30"/>
      <c r="G2632" s="27"/>
      <c r="H2632" s="27"/>
    </row>
    <row r="2633" spans="1:8" x14ac:dyDescent="0.2">
      <c r="A2633" s="27"/>
      <c r="B2633" s="30"/>
      <c r="G2633" s="27"/>
      <c r="H2633" s="27"/>
    </row>
    <row r="2634" spans="1:8" x14ac:dyDescent="0.2">
      <c r="A2634" s="27"/>
      <c r="B2634" s="30"/>
      <c r="G2634" s="27"/>
      <c r="H2634" s="27"/>
    </row>
    <row r="2635" spans="1:8" x14ac:dyDescent="0.2">
      <c r="A2635" s="27"/>
      <c r="B2635" s="30"/>
      <c r="G2635" s="27"/>
      <c r="H2635" s="27"/>
    </row>
    <row r="2636" spans="1:8" x14ac:dyDescent="0.2">
      <c r="A2636" s="27"/>
      <c r="B2636" s="30"/>
      <c r="G2636" s="27"/>
      <c r="H2636" s="27"/>
    </row>
    <row r="2637" spans="1:8" x14ac:dyDescent="0.2">
      <c r="A2637" s="27"/>
      <c r="B2637" s="30"/>
      <c r="G2637" s="27"/>
      <c r="H2637" s="27"/>
    </row>
    <row r="2638" spans="1:8" x14ac:dyDescent="0.2">
      <c r="A2638" s="27"/>
      <c r="B2638" s="30"/>
      <c r="G2638" s="27"/>
      <c r="H2638" s="27"/>
    </row>
    <row r="2639" spans="1:8" x14ac:dyDescent="0.2">
      <c r="A2639" s="27"/>
      <c r="B2639" s="30"/>
      <c r="G2639" s="27"/>
      <c r="H2639" s="27"/>
    </row>
    <row r="2640" spans="1:8" x14ac:dyDescent="0.2">
      <c r="A2640" s="27"/>
      <c r="B2640" s="30"/>
      <c r="G2640" s="27"/>
      <c r="H2640" s="27"/>
    </row>
    <row r="2641" spans="1:8" x14ac:dyDescent="0.2">
      <c r="A2641" s="27"/>
      <c r="B2641" s="30"/>
      <c r="G2641" s="27"/>
      <c r="H2641" s="27"/>
    </row>
    <row r="2642" spans="1:8" x14ac:dyDescent="0.2">
      <c r="A2642" s="27"/>
      <c r="B2642" s="30"/>
      <c r="G2642" s="27"/>
      <c r="H2642" s="27"/>
    </row>
    <row r="2643" spans="1:8" x14ac:dyDescent="0.2">
      <c r="A2643" s="27"/>
      <c r="B2643" s="30"/>
      <c r="G2643" s="27"/>
      <c r="H2643" s="27"/>
    </row>
    <row r="2644" spans="1:8" x14ac:dyDescent="0.2">
      <c r="A2644" s="27"/>
      <c r="B2644" s="30"/>
      <c r="G2644" s="27"/>
      <c r="H2644" s="27"/>
    </row>
    <row r="2645" spans="1:8" x14ac:dyDescent="0.2">
      <c r="A2645" s="27"/>
      <c r="B2645" s="30"/>
      <c r="G2645" s="27"/>
      <c r="H2645" s="27"/>
    </row>
    <row r="2646" spans="1:8" x14ac:dyDescent="0.2">
      <c r="A2646" s="27"/>
      <c r="B2646" s="30"/>
      <c r="G2646" s="27"/>
      <c r="H2646" s="27"/>
    </row>
    <row r="2647" spans="1:8" x14ac:dyDescent="0.2">
      <c r="A2647" s="27"/>
      <c r="B2647" s="30"/>
      <c r="G2647" s="27"/>
      <c r="H2647" s="27"/>
    </row>
    <row r="2648" spans="1:8" x14ac:dyDescent="0.2">
      <c r="A2648" s="27"/>
      <c r="B2648" s="30"/>
      <c r="G2648" s="27"/>
      <c r="H2648" s="27"/>
    </row>
    <row r="2649" spans="1:8" x14ac:dyDescent="0.2">
      <c r="A2649" s="27"/>
      <c r="B2649" s="30"/>
      <c r="G2649" s="27"/>
      <c r="H2649" s="27"/>
    </row>
    <row r="2650" spans="1:8" x14ac:dyDescent="0.2">
      <c r="A2650" s="27"/>
      <c r="B2650" s="30"/>
      <c r="G2650" s="27"/>
      <c r="H2650" s="27"/>
    </row>
    <row r="2651" spans="1:8" x14ac:dyDescent="0.2">
      <c r="A2651" s="27"/>
      <c r="B2651" s="30"/>
      <c r="G2651" s="27"/>
      <c r="H2651" s="27"/>
    </row>
    <row r="2652" spans="1:8" x14ac:dyDescent="0.2">
      <c r="A2652" s="27"/>
      <c r="B2652" s="30"/>
      <c r="G2652" s="27"/>
      <c r="H2652" s="27"/>
    </row>
    <row r="2653" spans="1:8" x14ac:dyDescent="0.2">
      <c r="A2653" s="27"/>
      <c r="B2653" s="30"/>
      <c r="G2653" s="27"/>
      <c r="H2653" s="27"/>
    </row>
    <row r="2654" spans="1:8" x14ac:dyDescent="0.2">
      <c r="A2654" s="27"/>
      <c r="B2654" s="30"/>
      <c r="G2654" s="27"/>
      <c r="H2654" s="27"/>
    </row>
    <row r="2655" spans="1:8" x14ac:dyDescent="0.2">
      <c r="A2655" s="27"/>
      <c r="B2655" s="30"/>
      <c r="G2655" s="27"/>
      <c r="H2655" s="27"/>
    </row>
    <row r="2656" spans="1:8" x14ac:dyDescent="0.2">
      <c r="A2656" s="27"/>
      <c r="B2656" s="30"/>
      <c r="G2656" s="27"/>
      <c r="H2656" s="27"/>
    </row>
    <row r="2657" spans="1:8" x14ac:dyDescent="0.2">
      <c r="A2657" s="27"/>
      <c r="B2657" s="30"/>
      <c r="G2657" s="27"/>
      <c r="H2657" s="27"/>
    </row>
    <row r="2658" spans="1:8" x14ac:dyDescent="0.2">
      <c r="A2658" s="27"/>
      <c r="B2658" s="30"/>
      <c r="G2658" s="27"/>
      <c r="H2658" s="27"/>
    </row>
    <row r="2659" spans="1:8" x14ac:dyDescent="0.2">
      <c r="A2659" s="27"/>
      <c r="B2659" s="30"/>
      <c r="G2659" s="27"/>
      <c r="H2659" s="27"/>
    </row>
    <row r="2660" spans="1:8" x14ac:dyDescent="0.2">
      <c r="A2660" s="27"/>
      <c r="B2660" s="30"/>
      <c r="G2660" s="27"/>
      <c r="H2660" s="27"/>
    </row>
    <row r="2661" spans="1:8" x14ac:dyDescent="0.2">
      <c r="A2661" s="27"/>
      <c r="B2661" s="30"/>
      <c r="G2661" s="27"/>
      <c r="H2661" s="27"/>
    </row>
    <row r="2662" spans="1:8" x14ac:dyDescent="0.2">
      <c r="A2662" s="27"/>
      <c r="B2662" s="30"/>
      <c r="G2662" s="27"/>
      <c r="H2662" s="27"/>
    </row>
    <row r="2663" spans="1:8" x14ac:dyDescent="0.2">
      <c r="A2663" s="27"/>
      <c r="B2663" s="30"/>
      <c r="G2663" s="27"/>
      <c r="H2663" s="27"/>
    </row>
    <row r="2664" spans="1:8" x14ac:dyDescent="0.2">
      <c r="A2664" s="27"/>
      <c r="B2664" s="30"/>
      <c r="G2664" s="27"/>
      <c r="H2664" s="27"/>
    </row>
    <row r="2665" spans="1:8" x14ac:dyDescent="0.2">
      <c r="A2665" s="27"/>
      <c r="B2665" s="30"/>
      <c r="G2665" s="27"/>
      <c r="H2665" s="27"/>
    </row>
    <row r="2666" spans="1:8" x14ac:dyDescent="0.2">
      <c r="A2666" s="27"/>
      <c r="B2666" s="30"/>
      <c r="G2666" s="27"/>
      <c r="H2666" s="27"/>
    </row>
    <row r="2667" spans="1:8" x14ac:dyDescent="0.2">
      <c r="A2667" s="27"/>
      <c r="B2667" s="30"/>
      <c r="G2667" s="27"/>
      <c r="H2667" s="27"/>
    </row>
    <row r="2668" spans="1:8" x14ac:dyDescent="0.2">
      <c r="A2668" s="27"/>
      <c r="B2668" s="30"/>
      <c r="G2668" s="27"/>
      <c r="H2668" s="27"/>
    </row>
    <row r="2669" spans="1:8" x14ac:dyDescent="0.2">
      <c r="A2669" s="27"/>
      <c r="B2669" s="30"/>
      <c r="G2669" s="27"/>
      <c r="H2669" s="27"/>
    </row>
    <row r="2670" spans="1:8" x14ac:dyDescent="0.2">
      <c r="A2670" s="27"/>
      <c r="B2670" s="30"/>
      <c r="G2670" s="27"/>
      <c r="H2670" s="27"/>
    </row>
    <row r="2671" spans="1:8" x14ac:dyDescent="0.2">
      <c r="A2671" s="27"/>
      <c r="B2671" s="30"/>
      <c r="G2671" s="27"/>
      <c r="H2671" s="27"/>
    </row>
    <row r="2672" spans="1:8" x14ac:dyDescent="0.2">
      <c r="A2672" s="27"/>
      <c r="B2672" s="30"/>
      <c r="G2672" s="27"/>
      <c r="H2672" s="27"/>
    </row>
    <row r="2673" spans="1:8" x14ac:dyDescent="0.2">
      <c r="A2673" s="27"/>
      <c r="B2673" s="30"/>
      <c r="G2673" s="27"/>
      <c r="H2673" s="27"/>
    </row>
    <row r="2674" spans="1:8" x14ac:dyDescent="0.2">
      <c r="A2674" s="27"/>
      <c r="B2674" s="30"/>
      <c r="G2674" s="27"/>
      <c r="H2674" s="27"/>
    </row>
    <row r="2675" spans="1:8" x14ac:dyDescent="0.2">
      <c r="A2675" s="27"/>
      <c r="B2675" s="30"/>
      <c r="G2675" s="27"/>
      <c r="H2675" s="27"/>
    </row>
    <row r="2676" spans="1:8" x14ac:dyDescent="0.2">
      <c r="A2676" s="27"/>
      <c r="B2676" s="30"/>
      <c r="G2676" s="27"/>
      <c r="H2676" s="27"/>
    </row>
    <row r="2677" spans="1:8" x14ac:dyDescent="0.2">
      <c r="A2677" s="27"/>
      <c r="B2677" s="30"/>
      <c r="G2677" s="27"/>
      <c r="H2677" s="27"/>
    </row>
    <row r="2678" spans="1:8" x14ac:dyDescent="0.2">
      <c r="A2678" s="27"/>
      <c r="B2678" s="30"/>
      <c r="G2678" s="27"/>
      <c r="H2678" s="27"/>
    </row>
    <row r="2679" spans="1:8" x14ac:dyDescent="0.2">
      <c r="A2679" s="27"/>
      <c r="B2679" s="30"/>
      <c r="G2679" s="27"/>
      <c r="H2679" s="27"/>
    </row>
    <row r="2680" spans="1:8" x14ac:dyDescent="0.2">
      <c r="A2680" s="27"/>
      <c r="B2680" s="30"/>
      <c r="G2680" s="27"/>
      <c r="H2680" s="27"/>
    </row>
    <row r="2681" spans="1:8" x14ac:dyDescent="0.2">
      <c r="A2681" s="27"/>
      <c r="B2681" s="30"/>
      <c r="G2681" s="27"/>
      <c r="H2681" s="27"/>
    </row>
    <row r="2682" spans="1:8" x14ac:dyDescent="0.2">
      <c r="A2682" s="27"/>
      <c r="B2682" s="30"/>
      <c r="G2682" s="27"/>
      <c r="H2682" s="27"/>
    </row>
    <row r="2683" spans="1:8" x14ac:dyDescent="0.2">
      <c r="A2683" s="27"/>
      <c r="B2683" s="30"/>
      <c r="G2683" s="27"/>
      <c r="H2683" s="27"/>
    </row>
    <row r="2684" spans="1:8" x14ac:dyDescent="0.2">
      <c r="A2684" s="27"/>
      <c r="B2684" s="30"/>
      <c r="G2684" s="27"/>
      <c r="H2684" s="27"/>
    </row>
    <row r="2685" spans="1:8" x14ac:dyDescent="0.2">
      <c r="A2685" s="27"/>
      <c r="B2685" s="30"/>
      <c r="G2685" s="27"/>
      <c r="H2685" s="27"/>
    </row>
    <row r="2686" spans="1:8" x14ac:dyDescent="0.2">
      <c r="A2686" s="27"/>
      <c r="B2686" s="30"/>
      <c r="G2686" s="27"/>
      <c r="H2686" s="27"/>
    </row>
    <row r="2687" spans="1:8" x14ac:dyDescent="0.2">
      <c r="A2687" s="27"/>
      <c r="B2687" s="30"/>
      <c r="G2687" s="27"/>
      <c r="H2687" s="27"/>
    </row>
    <row r="2688" spans="1:8" x14ac:dyDescent="0.2">
      <c r="A2688" s="27"/>
      <c r="B2688" s="30"/>
      <c r="G2688" s="27"/>
      <c r="H2688" s="27"/>
    </row>
    <row r="2689" spans="1:8" x14ac:dyDescent="0.2">
      <c r="A2689" s="27"/>
      <c r="B2689" s="30"/>
      <c r="G2689" s="27"/>
      <c r="H2689" s="27"/>
    </row>
    <row r="2690" spans="1:8" x14ac:dyDescent="0.2">
      <c r="A2690" s="27"/>
      <c r="B2690" s="30"/>
      <c r="G2690" s="27"/>
      <c r="H2690" s="27"/>
    </row>
    <row r="2691" spans="1:8" x14ac:dyDescent="0.2">
      <c r="A2691" s="27"/>
      <c r="B2691" s="30"/>
      <c r="G2691" s="27"/>
      <c r="H2691" s="27"/>
    </row>
    <row r="2692" spans="1:8" x14ac:dyDescent="0.2">
      <c r="A2692" s="27"/>
      <c r="B2692" s="30"/>
      <c r="G2692" s="27"/>
      <c r="H2692" s="27"/>
    </row>
    <row r="2693" spans="1:8" x14ac:dyDescent="0.2">
      <c r="A2693" s="27"/>
      <c r="B2693" s="30"/>
      <c r="G2693" s="27"/>
      <c r="H2693" s="27"/>
    </row>
    <row r="2694" spans="1:8" x14ac:dyDescent="0.2">
      <c r="A2694" s="27"/>
      <c r="B2694" s="30"/>
      <c r="G2694" s="27"/>
      <c r="H2694" s="27"/>
    </row>
    <row r="2695" spans="1:8" x14ac:dyDescent="0.2">
      <c r="A2695" s="27"/>
      <c r="B2695" s="30"/>
      <c r="G2695" s="27"/>
      <c r="H2695" s="27"/>
    </row>
    <row r="2696" spans="1:8" x14ac:dyDescent="0.2">
      <c r="A2696" s="27"/>
      <c r="B2696" s="30"/>
      <c r="G2696" s="27"/>
      <c r="H2696" s="27"/>
    </row>
    <row r="2697" spans="1:8" x14ac:dyDescent="0.2">
      <c r="A2697" s="27"/>
      <c r="B2697" s="30"/>
      <c r="G2697" s="27"/>
      <c r="H2697" s="27"/>
    </row>
    <row r="2698" spans="1:8" x14ac:dyDescent="0.2">
      <c r="A2698" s="27"/>
      <c r="B2698" s="30"/>
      <c r="G2698" s="27"/>
      <c r="H2698" s="27"/>
    </row>
    <row r="2699" spans="1:8" x14ac:dyDescent="0.2">
      <c r="A2699" s="27"/>
      <c r="B2699" s="30"/>
      <c r="G2699" s="27"/>
      <c r="H2699" s="27"/>
    </row>
    <row r="2700" spans="1:8" x14ac:dyDescent="0.2">
      <c r="A2700" s="27"/>
      <c r="B2700" s="30"/>
      <c r="G2700" s="27"/>
      <c r="H2700" s="27"/>
    </row>
    <row r="2701" spans="1:8" x14ac:dyDescent="0.2">
      <c r="A2701" s="27"/>
      <c r="B2701" s="30"/>
      <c r="G2701" s="27"/>
      <c r="H2701" s="27"/>
    </row>
    <row r="2702" spans="1:8" x14ac:dyDescent="0.2">
      <c r="A2702" s="27"/>
      <c r="B2702" s="30"/>
      <c r="G2702" s="27"/>
      <c r="H2702" s="27"/>
    </row>
    <row r="2703" spans="1:8" x14ac:dyDescent="0.2">
      <c r="A2703" s="27"/>
      <c r="B2703" s="30"/>
      <c r="G2703" s="27"/>
      <c r="H2703" s="27"/>
    </row>
    <row r="2704" spans="1:8" x14ac:dyDescent="0.2">
      <c r="A2704" s="27"/>
      <c r="B2704" s="30"/>
      <c r="G2704" s="27"/>
      <c r="H2704" s="27"/>
    </row>
    <row r="2705" spans="1:8" x14ac:dyDescent="0.2">
      <c r="A2705" s="27"/>
      <c r="B2705" s="30"/>
      <c r="G2705" s="27"/>
      <c r="H2705" s="27"/>
    </row>
    <row r="2706" spans="1:8" x14ac:dyDescent="0.2">
      <c r="A2706" s="27"/>
      <c r="B2706" s="30"/>
      <c r="G2706" s="27"/>
      <c r="H2706" s="27"/>
    </row>
    <row r="2707" spans="1:8" x14ac:dyDescent="0.2">
      <c r="A2707" s="27"/>
      <c r="B2707" s="30"/>
      <c r="G2707" s="27"/>
      <c r="H2707" s="27"/>
    </row>
    <row r="2708" spans="1:8" x14ac:dyDescent="0.2">
      <c r="A2708" s="27"/>
      <c r="B2708" s="30"/>
      <c r="G2708" s="27"/>
      <c r="H2708" s="27"/>
    </row>
    <row r="2709" spans="1:8" x14ac:dyDescent="0.2">
      <c r="A2709" s="27"/>
      <c r="B2709" s="30"/>
      <c r="G2709" s="27"/>
      <c r="H2709" s="27"/>
    </row>
    <row r="2710" spans="1:8" x14ac:dyDescent="0.2">
      <c r="A2710" s="27"/>
      <c r="B2710" s="30"/>
      <c r="G2710" s="27"/>
      <c r="H2710" s="27"/>
    </row>
    <row r="2711" spans="1:8" x14ac:dyDescent="0.2">
      <c r="A2711" s="27"/>
      <c r="B2711" s="30"/>
      <c r="G2711" s="27"/>
      <c r="H2711" s="27"/>
    </row>
    <row r="2712" spans="1:8" x14ac:dyDescent="0.2">
      <c r="A2712" s="27"/>
      <c r="B2712" s="30"/>
      <c r="G2712" s="27"/>
      <c r="H2712" s="27"/>
    </row>
    <row r="2713" spans="1:8" x14ac:dyDescent="0.2">
      <c r="A2713" s="27"/>
      <c r="B2713" s="30"/>
      <c r="G2713" s="27"/>
      <c r="H2713" s="27"/>
    </row>
    <row r="2714" spans="1:8" x14ac:dyDescent="0.2">
      <c r="A2714" s="27"/>
      <c r="B2714" s="30"/>
      <c r="G2714" s="27"/>
      <c r="H2714" s="27"/>
    </row>
    <row r="2715" spans="1:8" x14ac:dyDescent="0.2">
      <c r="A2715" s="27"/>
      <c r="B2715" s="30"/>
      <c r="G2715" s="27"/>
      <c r="H2715" s="27"/>
    </row>
    <row r="2716" spans="1:8" x14ac:dyDescent="0.2">
      <c r="A2716" s="27"/>
      <c r="B2716" s="30"/>
      <c r="G2716" s="27"/>
      <c r="H2716" s="27"/>
    </row>
    <row r="2717" spans="1:8" x14ac:dyDescent="0.2">
      <c r="A2717" s="27"/>
      <c r="B2717" s="30"/>
      <c r="G2717" s="27"/>
      <c r="H2717" s="27"/>
    </row>
    <row r="2718" spans="1:8" x14ac:dyDescent="0.2">
      <c r="A2718" s="27"/>
      <c r="B2718" s="30"/>
      <c r="G2718" s="27"/>
      <c r="H2718" s="27"/>
    </row>
    <row r="2719" spans="1:8" x14ac:dyDescent="0.2">
      <c r="A2719" s="27"/>
      <c r="B2719" s="30"/>
      <c r="G2719" s="27"/>
      <c r="H2719" s="27"/>
    </row>
    <row r="2720" spans="1:8" x14ac:dyDescent="0.2">
      <c r="A2720" s="27"/>
      <c r="B2720" s="30"/>
      <c r="G2720" s="27"/>
      <c r="H2720" s="27"/>
    </row>
    <row r="2721" spans="1:8" x14ac:dyDescent="0.2">
      <c r="A2721" s="27"/>
      <c r="B2721" s="30"/>
      <c r="G2721" s="27"/>
      <c r="H2721" s="27"/>
    </row>
    <row r="2722" spans="1:8" x14ac:dyDescent="0.2">
      <c r="A2722" s="27"/>
      <c r="B2722" s="30"/>
      <c r="G2722" s="27"/>
      <c r="H2722" s="27"/>
    </row>
    <row r="2723" spans="1:8" x14ac:dyDescent="0.2">
      <c r="A2723" s="27"/>
      <c r="B2723" s="30"/>
      <c r="G2723" s="27"/>
      <c r="H2723" s="27"/>
    </row>
    <row r="2724" spans="1:8" x14ac:dyDescent="0.2">
      <c r="A2724" s="27"/>
      <c r="B2724" s="30"/>
      <c r="G2724" s="27"/>
      <c r="H2724" s="27"/>
    </row>
    <row r="2725" spans="1:8" x14ac:dyDescent="0.2">
      <c r="A2725" s="27"/>
      <c r="B2725" s="30"/>
      <c r="G2725" s="27"/>
      <c r="H2725" s="27"/>
    </row>
    <row r="2726" spans="1:8" x14ac:dyDescent="0.2">
      <c r="A2726" s="27"/>
      <c r="B2726" s="30"/>
      <c r="G2726" s="27"/>
      <c r="H2726" s="27"/>
    </row>
    <row r="2727" spans="1:8" x14ac:dyDescent="0.2">
      <c r="A2727" s="27"/>
      <c r="B2727" s="30"/>
      <c r="G2727" s="27"/>
      <c r="H2727" s="27"/>
    </row>
    <row r="2728" spans="1:8" x14ac:dyDescent="0.2">
      <c r="A2728" s="27"/>
      <c r="B2728" s="30"/>
      <c r="G2728" s="27"/>
      <c r="H2728" s="27"/>
    </row>
    <row r="2729" spans="1:8" x14ac:dyDescent="0.2">
      <c r="A2729" s="27"/>
      <c r="B2729" s="30"/>
      <c r="G2729" s="27"/>
      <c r="H2729" s="27"/>
    </row>
    <row r="2730" spans="1:8" x14ac:dyDescent="0.2">
      <c r="A2730" s="27"/>
      <c r="B2730" s="30"/>
      <c r="G2730" s="27"/>
      <c r="H2730" s="27"/>
    </row>
    <row r="2731" spans="1:8" x14ac:dyDescent="0.2">
      <c r="A2731" s="27"/>
      <c r="B2731" s="30"/>
      <c r="G2731" s="27"/>
      <c r="H2731" s="27"/>
    </row>
    <row r="2732" spans="1:8" x14ac:dyDescent="0.2">
      <c r="A2732" s="27"/>
      <c r="B2732" s="30"/>
      <c r="G2732" s="27"/>
      <c r="H2732" s="27"/>
    </row>
    <row r="2733" spans="1:8" x14ac:dyDescent="0.2">
      <c r="A2733" s="27"/>
      <c r="B2733" s="30"/>
      <c r="G2733" s="27"/>
      <c r="H2733" s="27"/>
    </row>
    <row r="2734" spans="1:8" x14ac:dyDescent="0.2">
      <c r="A2734" s="27"/>
      <c r="B2734" s="30"/>
      <c r="G2734" s="27"/>
      <c r="H2734" s="27"/>
    </row>
    <row r="2735" spans="1:8" x14ac:dyDescent="0.2">
      <c r="A2735" s="27"/>
      <c r="B2735" s="30"/>
      <c r="G2735" s="27"/>
      <c r="H2735" s="27"/>
    </row>
    <row r="2736" spans="1:8" x14ac:dyDescent="0.2">
      <c r="A2736" s="27"/>
      <c r="B2736" s="30"/>
      <c r="G2736" s="27"/>
      <c r="H2736" s="27"/>
    </row>
    <row r="2737" spans="1:8" x14ac:dyDescent="0.2">
      <c r="A2737" s="27"/>
      <c r="B2737" s="30"/>
      <c r="G2737" s="27"/>
      <c r="H2737" s="27"/>
    </row>
    <row r="2738" spans="1:8" x14ac:dyDescent="0.2">
      <c r="A2738" s="27"/>
      <c r="B2738" s="30"/>
      <c r="G2738" s="27"/>
      <c r="H2738" s="27"/>
    </row>
    <row r="2739" spans="1:8" x14ac:dyDescent="0.2">
      <c r="A2739" s="27"/>
      <c r="B2739" s="30"/>
      <c r="G2739" s="27"/>
      <c r="H2739" s="27"/>
    </row>
    <row r="2740" spans="1:8" x14ac:dyDescent="0.2">
      <c r="A2740" s="27"/>
      <c r="B2740" s="30"/>
      <c r="G2740" s="27"/>
      <c r="H2740" s="27"/>
    </row>
    <row r="2741" spans="1:8" x14ac:dyDescent="0.2">
      <c r="A2741" s="27"/>
      <c r="B2741" s="30"/>
      <c r="G2741" s="27"/>
      <c r="H2741" s="27"/>
    </row>
    <row r="2742" spans="1:8" x14ac:dyDescent="0.2">
      <c r="A2742" s="27"/>
      <c r="B2742" s="30"/>
      <c r="G2742" s="27"/>
      <c r="H2742" s="27"/>
    </row>
    <row r="2743" spans="1:8" x14ac:dyDescent="0.2">
      <c r="A2743" s="27"/>
      <c r="B2743" s="30"/>
      <c r="G2743" s="27"/>
      <c r="H2743" s="27"/>
    </row>
    <row r="2744" spans="1:8" x14ac:dyDescent="0.2">
      <c r="A2744" s="27"/>
      <c r="B2744" s="30"/>
      <c r="G2744" s="27"/>
      <c r="H2744" s="27"/>
    </row>
    <row r="2745" spans="1:8" x14ac:dyDescent="0.2">
      <c r="A2745" s="27"/>
      <c r="B2745" s="30"/>
      <c r="G2745" s="27"/>
      <c r="H2745" s="27"/>
    </row>
    <row r="2746" spans="1:8" x14ac:dyDescent="0.2">
      <c r="A2746" s="27"/>
      <c r="B2746" s="30"/>
      <c r="G2746" s="27"/>
      <c r="H2746" s="27"/>
    </row>
    <row r="2747" spans="1:8" x14ac:dyDescent="0.2">
      <c r="A2747" s="27"/>
      <c r="B2747" s="30"/>
      <c r="G2747" s="27"/>
      <c r="H2747" s="27"/>
    </row>
    <row r="2748" spans="1:8" x14ac:dyDescent="0.2">
      <c r="A2748" s="27"/>
      <c r="B2748" s="30"/>
      <c r="G2748" s="27"/>
      <c r="H2748" s="27"/>
    </row>
    <row r="2749" spans="1:8" x14ac:dyDescent="0.2">
      <c r="A2749" s="27"/>
      <c r="B2749" s="30"/>
      <c r="G2749" s="27"/>
      <c r="H2749" s="27"/>
    </row>
    <row r="2750" spans="1:8" x14ac:dyDescent="0.2">
      <c r="A2750" s="27"/>
      <c r="B2750" s="30"/>
      <c r="G2750" s="27"/>
      <c r="H2750" s="27"/>
    </row>
    <row r="2751" spans="1:8" x14ac:dyDescent="0.2">
      <c r="A2751" s="27"/>
      <c r="B2751" s="30"/>
      <c r="G2751" s="27"/>
      <c r="H2751" s="27"/>
    </row>
    <row r="2752" spans="1:8" x14ac:dyDescent="0.2">
      <c r="A2752" s="27"/>
      <c r="B2752" s="30"/>
      <c r="G2752" s="27"/>
      <c r="H2752" s="27"/>
    </row>
    <row r="2753" spans="1:8" x14ac:dyDescent="0.2">
      <c r="A2753" s="27"/>
      <c r="B2753" s="30"/>
      <c r="G2753" s="27"/>
      <c r="H2753" s="27"/>
    </row>
    <row r="2754" spans="1:8" x14ac:dyDescent="0.2">
      <c r="A2754" s="27"/>
      <c r="B2754" s="30"/>
      <c r="G2754" s="27"/>
      <c r="H2754" s="27"/>
    </row>
    <row r="2755" spans="1:8" x14ac:dyDescent="0.2">
      <c r="A2755" s="27"/>
      <c r="B2755" s="30"/>
      <c r="G2755" s="27"/>
      <c r="H2755" s="27"/>
    </row>
    <row r="2756" spans="1:8" x14ac:dyDescent="0.2">
      <c r="A2756" s="27"/>
      <c r="B2756" s="30"/>
      <c r="G2756" s="27"/>
      <c r="H2756" s="27"/>
    </row>
    <row r="2757" spans="1:8" x14ac:dyDescent="0.2">
      <c r="A2757" s="27"/>
      <c r="B2757" s="30"/>
      <c r="G2757" s="27"/>
      <c r="H2757" s="27"/>
    </row>
    <row r="2758" spans="1:8" x14ac:dyDescent="0.2">
      <c r="A2758" s="27"/>
      <c r="B2758" s="30"/>
      <c r="G2758" s="27"/>
      <c r="H2758" s="27"/>
    </row>
    <row r="2759" spans="1:8" x14ac:dyDescent="0.2">
      <c r="A2759" s="27"/>
      <c r="B2759" s="30"/>
      <c r="G2759" s="27"/>
      <c r="H2759" s="27"/>
    </row>
    <row r="2760" spans="1:8" x14ac:dyDescent="0.2">
      <c r="A2760" s="27"/>
      <c r="B2760" s="30"/>
      <c r="G2760" s="27"/>
      <c r="H2760" s="27"/>
    </row>
    <row r="2761" spans="1:8" x14ac:dyDescent="0.2">
      <c r="A2761" s="27"/>
      <c r="B2761" s="30"/>
      <c r="G2761" s="27"/>
      <c r="H2761" s="27"/>
    </row>
    <row r="2762" spans="1:8" x14ac:dyDescent="0.2">
      <c r="A2762" s="27"/>
      <c r="B2762" s="30"/>
      <c r="G2762" s="27"/>
      <c r="H2762" s="27"/>
    </row>
    <row r="2763" spans="1:8" x14ac:dyDescent="0.2">
      <c r="A2763" s="27"/>
      <c r="B2763" s="30"/>
      <c r="G2763" s="27"/>
      <c r="H2763" s="27"/>
    </row>
    <row r="2764" spans="1:8" x14ac:dyDescent="0.2">
      <c r="A2764" s="27"/>
      <c r="B2764" s="30"/>
      <c r="G2764" s="27"/>
      <c r="H2764" s="27"/>
    </row>
    <row r="2765" spans="1:8" x14ac:dyDescent="0.2">
      <c r="A2765" s="27"/>
      <c r="B2765" s="30"/>
      <c r="G2765" s="27"/>
      <c r="H2765" s="27"/>
    </row>
    <row r="2766" spans="1:8" x14ac:dyDescent="0.2">
      <c r="A2766" s="27"/>
      <c r="B2766" s="30"/>
      <c r="G2766" s="27"/>
      <c r="H2766" s="27"/>
    </row>
    <row r="2767" spans="1:8" x14ac:dyDescent="0.2">
      <c r="A2767" s="27"/>
      <c r="B2767" s="30"/>
      <c r="G2767" s="27"/>
      <c r="H2767" s="27"/>
    </row>
    <row r="2768" spans="1:8" x14ac:dyDescent="0.2">
      <c r="A2768" s="27"/>
      <c r="B2768" s="30"/>
      <c r="G2768" s="27"/>
      <c r="H2768" s="27"/>
    </row>
    <row r="2769" spans="1:8" x14ac:dyDescent="0.2">
      <c r="A2769" s="27"/>
      <c r="B2769" s="30"/>
      <c r="G2769" s="27"/>
      <c r="H2769" s="27"/>
    </row>
    <row r="2770" spans="1:8" x14ac:dyDescent="0.2">
      <c r="A2770" s="27"/>
      <c r="B2770" s="30"/>
      <c r="G2770" s="27"/>
      <c r="H2770" s="27"/>
    </row>
    <row r="2771" spans="1:8" x14ac:dyDescent="0.2">
      <c r="A2771" s="27"/>
      <c r="B2771" s="30"/>
      <c r="G2771" s="27"/>
      <c r="H2771" s="27"/>
    </row>
    <row r="2772" spans="1:8" x14ac:dyDescent="0.2">
      <c r="A2772" s="27"/>
      <c r="B2772" s="30"/>
      <c r="G2772" s="27"/>
      <c r="H2772" s="27"/>
    </row>
    <row r="2773" spans="1:8" x14ac:dyDescent="0.2">
      <c r="A2773" s="27"/>
      <c r="B2773" s="30"/>
      <c r="G2773" s="27"/>
      <c r="H2773" s="27"/>
    </row>
    <row r="2774" spans="1:8" x14ac:dyDescent="0.2">
      <c r="A2774" s="27"/>
      <c r="B2774" s="30"/>
      <c r="G2774" s="27"/>
      <c r="H2774" s="27"/>
    </row>
    <row r="2775" spans="1:8" x14ac:dyDescent="0.2">
      <c r="A2775" s="27"/>
      <c r="B2775" s="30"/>
      <c r="G2775" s="27"/>
      <c r="H2775" s="27"/>
    </row>
    <row r="2776" spans="1:8" x14ac:dyDescent="0.2">
      <c r="A2776" s="27"/>
      <c r="B2776" s="30"/>
      <c r="G2776" s="27"/>
      <c r="H2776" s="27"/>
    </row>
    <row r="2777" spans="1:8" x14ac:dyDescent="0.2">
      <c r="A2777" s="27"/>
      <c r="B2777" s="30"/>
      <c r="G2777" s="27"/>
      <c r="H2777" s="27"/>
    </row>
    <row r="2778" spans="1:8" x14ac:dyDescent="0.2">
      <c r="A2778" s="27"/>
      <c r="B2778" s="30"/>
      <c r="G2778" s="27"/>
      <c r="H2778" s="27"/>
    </row>
    <row r="2779" spans="1:8" x14ac:dyDescent="0.2">
      <c r="A2779" s="27"/>
      <c r="B2779" s="30"/>
      <c r="G2779" s="27"/>
      <c r="H2779" s="27"/>
    </row>
    <row r="2780" spans="1:8" x14ac:dyDescent="0.2">
      <c r="A2780" s="27"/>
      <c r="B2780" s="30"/>
      <c r="G2780" s="27"/>
      <c r="H2780" s="27"/>
    </row>
    <row r="2781" spans="1:8" x14ac:dyDescent="0.2">
      <c r="A2781" s="27"/>
      <c r="B2781" s="30"/>
      <c r="G2781" s="27"/>
      <c r="H2781" s="27"/>
    </row>
    <row r="2782" spans="1:8" x14ac:dyDescent="0.2">
      <c r="A2782" s="27"/>
      <c r="B2782" s="30"/>
      <c r="G2782" s="27"/>
      <c r="H2782" s="27"/>
    </row>
    <row r="2783" spans="1:8" x14ac:dyDescent="0.2">
      <c r="A2783" s="27"/>
      <c r="B2783" s="30"/>
      <c r="G2783" s="27"/>
      <c r="H2783" s="27"/>
    </row>
    <row r="2784" spans="1:8" x14ac:dyDescent="0.2">
      <c r="A2784" s="27"/>
      <c r="B2784" s="30"/>
      <c r="G2784" s="27"/>
      <c r="H2784" s="27"/>
    </row>
    <row r="2785" spans="1:8" x14ac:dyDescent="0.2">
      <c r="A2785" s="27"/>
      <c r="B2785" s="30"/>
      <c r="G2785" s="27"/>
      <c r="H2785" s="27"/>
    </row>
    <row r="2786" spans="1:8" x14ac:dyDescent="0.2">
      <c r="A2786" s="27"/>
      <c r="B2786" s="30"/>
      <c r="G2786" s="27"/>
      <c r="H2786" s="27"/>
    </row>
    <row r="2787" spans="1:8" x14ac:dyDescent="0.2">
      <c r="A2787" s="27"/>
      <c r="B2787" s="30"/>
      <c r="G2787" s="27"/>
      <c r="H2787" s="27"/>
    </row>
    <row r="2788" spans="1:8" x14ac:dyDescent="0.2">
      <c r="A2788" s="27"/>
      <c r="B2788" s="30"/>
      <c r="G2788" s="27"/>
      <c r="H2788" s="27"/>
    </row>
    <row r="2789" spans="1:8" x14ac:dyDescent="0.2">
      <c r="A2789" s="27"/>
      <c r="B2789" s="30"/>
      <c r="G2789" s="27"/>
      <c r="H2789" s="27"/>
    </row>
    <row r="2790" spans="1:8" x14ac:dyDescent="0.2">
      <c r="A2790" s="27"/>
      <c r="B2790" s="30"/>
      <c r="G2790" s="27"/>
      <c r="H2790" s="27"/>
    </row>
    <row r="2791" spans="1:8" x14ac:dyDescent="0.2">
      <c r="A2791" s="27"/>
      <c r="B2791" s="30"/>
      <c r="G2791" s="27"/>
      <c r="H2791" s="27"/>
    </row>
    <row r="2792" spans="1:8" x14ac:dyDescent="0.2">
      <c r="A2792" s="27"/>
      <c r="B2792" s="30"/>
      <c r="G2792" s="27"/>
      <c r="H2792" s="27"/>
    </row>
    <row r="2793" spans="1:8" x14ac:dyDescent="0.2">
      <c r="A2793" s="27"/>
      <c r="B2793" s="30"/>
      <c r="G2793" s="27"/>
      <c r="H2793" s="27"/>
    </row>
    <row r="2794" spans="1:8" x14ac:dyDescent="0.2">
      <c r="A2794" s="27"/>
      <c r="B2794" s="30"/>
      <c r="G2794" s="27"/>
      <c r="H2794" s="27"/>
    </row>
    <row r="2795" spans="1:8" x14ac:dyDescent="0.2">
      <c r="A2795" s="27"/>
      <c r="B2795" s="30"/>
      <c r="G2795" s="27"/>
      <c r="H2795" s="27"/>
    </row>
    <row r="2796" spans="1:8" x14ac:dyDescent="0.2">
      <c r="A2796" s="27"/>
      <c r="B2796" s="30"/>
      <c r="G2796" s="27"/>
      <c r="H2796" s="27"/>
    </row>
    <row r="2797" spans="1:8" x14ac:dyDescent="0.2">
      <c r="A2797" s="27"/>
      <c r="B2797" s="30"/>
      <c r="G2797" s="27"/>
      <c r="H2797" s="27"/>
    </row>
    <row r="2798" spans="1:8" x14ac:dyDescent="0.2">
      <c r="A2798" s="27"/>
      <c r="B2798" s="30"/>
      <c r="G2798" s="27"/>
      <c r="H2798" s="27"/>
    </row>
    <row r="2799" spans="1:8" x14ac:dyDescent="0.2">
      <c r="A2799" s="27"/>
      <c r="B2799" s="30"/>
      <c r="G2799" s="27"/>
      <c r="H2799" s="27"/>
    </row>
    <row r="2800" spans="1:8" x14ac:dyDescent="0.2">
      <c r="A2800" s="27"/>
      <c r="B2800" s="30"/>
      <c r="G2800" s="27"/>
      <c r="H2800" s="27"/>
    </row>
    <row r="2801" spans="1:8" x14ac:dyDescent="0.2">
      <c r="A2801" s="27"/>
      <c r="B2801" s="30"/>
      <c r="G2801" s="27"/>
      <c r="H2801" s="27"/>
    </row>
    <row r="2802" spans="1:8" x14ac:dyDescent="0.2">
      <c r="A2802" s="27"/>
      <c r="B2802" s="30"/>
      <c r="G2802" s="27"/>
      <c r="H2802" s="27"/>
    </row>
    <row r="2803" spans="1:8" x14ac:dyDescent="0.2">
      <c r="A2803" s="27"/>
      <c r="B2803" s="30"/>
      <c r="G2803" s="27"/>
      <c r="H2803" s="27"/>
    </row>
    <row r="2804" spans="1:8" x14ac:dyDescent="0.2">
      <c r="A2804" s="27"/>
      <c r="B2804" s="30"/>
      <c r="G2804" s="27"/>
      <c r="H2804" s="27"/>
    </row>
    <row r="2805" spans="1:8" x14ac:dyDescent="0.2">
      <c r="A2805" s="27"/>
      <c r="B2805" s="30"/>
      <c r="G2805" s="27"/>
      <c r="H2805" s="27"/>
    </row>
    <row r="2806" spans="1:8" x14ac:dyDescent="0.2">
      <c r="A2806" s="27"/>
      <c r="B2806" s="30"/>
      <c r="G2806" s="27"/>
      <c r="H2806" s="27"/>
    </row>
    <row r="2807" spans="1:8" x14ac:dyDescent="0.2">
      <c r="A2807" s="27"/>
      <c r="B2807" s="30"/>
      <c r="G2807" s="27"/>
      <c r="H2807" s="27"/>
    </row>
    <row r="2808" spans="1:8" x14ac:dyDescent="0.2">
      <c r="A2808" s="27"/>
      <c r="B2808" s="30"/>
      <c r="G2808" s="27"/>
      <c r="H2808" s="27"/>
    </row>
    <row r="2809" spans="1:8" x14ac:dyDescent="0.2">
      <c r="A2809" s="27"/>
      <c r="B2809" s="30"/>
      <c r="G2809" s="27"/>
      <c r="H2809" s="27"/>
    </row>
    <row r="2810" spans="1:8" x14ac:dyDescent="0.2">
      <c r="A2810" s="27"/>
      <c r="B2810" s="30"/>
      <c r="G2810" s="27"/>
      <c r="H2810" s="27"/>
    </row>
    <row r="2811" spans="1:8" x14ac:dyDescent="0.2">
      <c r="A2811" s="27"/>
      <c r="B2811" s="30"/>
      <c r="G2811" s="27"/>
      <c r="H2811" s="27"/>
    </row>
    <row r="2812" spans="1:8" x14ac:dyDescent="0.2">
      <c r="A2812" s="27"/>
      <c r="B2812" s="30"/>
      <c r="G2812" s="27"/>
      <c r="H2812" s="27"/>
    </row>
    <row r="2813" spans="1:8" x14ac:dyDescent="0.2">
      <c r="A2813" s="27"/>
      <c r="B2813" s="30"/>
      <c r="G2813" s="27"/>
      <c r="H2813" s="27"/>
    </row>
    <row r="2814" spans="1:8" x14ac:dyDescent="0.2">
      <c r="A2814" s="27"/>
      <c r="B2814" s="30"/>
      <c r="G2814" s="27"/>
      <c r="H2814" s="27"/>
    </row>
    <row r="2815" spans="1:8" x14ac:dyDescent="0.2">
      <c r="A2815" s="27"/>
      <c r="B2815" s="30"/>
      <c r="G2815" s="27"/>
      <c r="H2815" s="27"/>
    </row>
    <row r="2816" spans="1:8" x14ac:dyDescent="0.2">
      <c r="A2816" s="27"/>
      <c r="B2816" s="30"/>
      <c r="G2816" s="27"/>
      <c r="H2816" s="27"/>
    </row>
    <row r="2817" spans="1:8" x14ac:dyDescent="0.2">
      <c r="A2817" s="27"/>
      <c r="B2817" s="30"/>
      <c r="G2817" s="27"/>
      <c r="H2817" s="27"/>
    </row>
    <row r="2818" spans="1:8" x14ac:dyDescent="0.2">
      <c r="A2818" s="27"/>
      <c r="B2818" s="30"/>
      <c r="G2818" s="27"/>
      <c r="H2818" s="27"/>
    </row>
    <row r="2819" spans="1:8" x14ac:dyDescent="0.2">
      <c r="A2819" s="27"/>
      <c r="B2819" s="30"/>
      <c r="G2819" s="27"/>
      <c r="H2819" s="27"/>
    </row>
    <row r="2820" spans="1:8" x14ac:dyDescent="0.2">
      <c r="A2820" s="27"/>
      <c r="B2820" s="30"/>
      <c r="G2820" s="27"/>
      <c r="H2820" s="27"/>
    </row>
    <row r="2821" spans="1:8" x14ac:dyDescent="0.2">
      <c r="A2821" s="27"/>
      <c r="B2821" s="30"/>
      <c r="G2821" s="27"/>
      <c r="H2821" s="27"/>
    </row>
    <row r="2822" spans="1:8" x14ac:dyDescent="0.2">
      <c r="A2822" s="27"/>
      <c r="B2822" s="30"/>
      <c r="G2822" s="27"/>
      <c r="H2822" s="27"/>
    </row>
    <row r="2823" spans="1:8" x14ac:dyDescent="0.2">
      <c r="A2823" s="27"/>
      <c r="B2823" s="30"/>
      <c r="G2823" s="27"/>
      <c r="H2823" s="27"/>
    </row>
    <row r="2824" spans="1:8" x14ac:dyDescent="0.2">
      <c r="A2824" s="27"/>
      <c r="B2824" s="30"/>
      <c r="G2824" s="27"/>
      <c r="H2824" s="27"/>
    </row>
    <row r="2825" spans="1:8" x14ac:dyDescent="0.2">
      <c r="A2825" s="27"/>
      <c r="B2825" s="30"/>
      <c r="G2825" s="27"/>
      <c r="H2825" s="27"/>
    </row>
    <row r="2826" spans="1:8" x14ac:dyDescent="0.2">
      <c r="A2826" s="27"/>
      <c r="B2826" s="30"/>
      <c r="G2826" s="27"/>
      <c r="H2826" s="27"/>
    </row>
    <row r="2827" spans="1:8" x14ac:dyDescent="0.2">
      <c r="A2827" s="27"/>
      <c r="B2827" s="30"/>
      <c r="G2827" s="27"/>
      <c r="H2827" s="27"/>
    </row>
    <row r="2828" spans="1:8" x14ac:dyDescent="0.2">
      <c r="A2828" s="27"/>
      <c r="B2828" s="30"/>
      <c r="G2828" s="27"/>
      <c r="H2828" s="27"/>
    </row>
    <row r="2829" spans="1:8" x14ac:dyDescent="0.2">
      <c r="A2829" s="27"/>
      <c r="B2829" s="30"/>
      <c r="G2829" s="27"/>
      <c r="H2829" s="27"/>
    </row>
    <row r="2830" spans="1:8" x14ac:dyDescent="0.2">
      <c r="A2830" s="27"/>
      <c r="B2830" s="30"/>
      <c r="G2830" s="27"/>
      <c r="H2830" s="27"/>
    </row>
    <row r="2831" spans="1:8" x14ac:dyDescent="0.2">
      <c r="A2831" s="27"/>
      <c r="B2831" s="30"/>
      <c r="G2831" s="27"/>
      <c r="H2831" s="27"/>
    </row>
    <row r="2832" spans="1:8" x14ac:dyDescent="0.2">
      <c r="A2832" s="27"/>
      <c r="B2832" s="30"/>
      <c r="G2832" s="27"/>
      <c r="H2832" s="27"/>
    </row>
    <row r="2833" spans="1:8" x14ac:dyDescent="0.2">
      <c r="A2833" s="27"/>
      <c r="B2833" s="30"/>
      <c r="G2833" s="27"/>
      <c r="H2833" s="27"/>
    </row>
    <row r="2834" spans="1:8" x14ac:dyDescent="0.2">
      <c r="A2834" s="27"/>
      <c r="B2834" s="30"/>
      <c r="G2834" s="27"/>
      <c r="H2834" s="27"/>
    </row>
    <row r="2835" spans="1:8" x14ac:dyDescent="0.2">
      <c r="A2835" s="27"/>
      <c r="B2835" s="30"/>
      <c r="G2835" s="27"/>
      <c r="H2835" s="27"/>
    </row>
    <row r="2836" spans="1:8" x14ac:dyDescent="0.2">
      <c r="A2836" s="27"/>
      <c r="B2836" s="30"/>
      <c r="G2836" s="27"/>
      <c r="H2836" s="27"/>
    </row>
    <row r="2837" spans="1:8" x14ac:dyDescent="0.2">
      <c r="A2837" s="27"/>
      <c r="B2837" s="30"/>
      <c r="G2837" s="27"/>
      <c r="H2837" s="27"/>
    </row>
    <row r="2838" spans="1:8" x14ac:dyDescent="0.2">
      <c r="A2838" s="27"/>
      <c r="B2838" s="30"/>
      <c r="G2838" s="27"/>
      <c r="H2838" s="27"/>
    </row>
    <row r="2839" spans="1:8" x14ac:dyDescent="0.2">
      <c r="A2839" s="27"/>
      <c r="B2839" s="30"/>
      <c r="G2839" s="27"/>
      <c r="H2839" s="27"/>
    </row>
    <row r="2840" spans="1:8" x14ac:dyDescent="0.2">
      <c r="A2840" s="27"/>
      <c r="B2840" s="30"/>
      <c r="G2840" s="27"/>
      <c r="H2840" s="27"/>
    </row>
    <row r="2841" spans="1:8" x14ac:dyDescent="0.2">
      <c r="A2841" s="27"/>
      <c r="B2841" s="30"/>
      <c r="G2841" s="27"/>
      <c r="H2841" s="27"/>
    </row>
    <row r="2842" spans="1:8" x14ac:dyDescent="0.2">
      <c r="A2842" s="27"/>
      <c r="B2842" s="30"/>
      <c r="G2842" s="27"/>
      <c r="H2842" s="27"/>
    </row>
    <row r="2843" spans="1:8" x14ac:dyDescent="0.2">
      <c r="A2843" s="27"/>
      <c r="B2843" s="30"/>
      <c r="G2843" s="27"/>
      <c r="H2843" s="27"/>
    </row>
    <row r="2844" spans="1:8" x14ac:dyDescent="0.2">
      <c r="A2844" s="27"/>
      <c r="B2844" s="30"/>
      <c r="G2844" s="27"/>
      <c r="H2844" s="27"/>
    </row>
    <row r="2845" spans="1:8" x14ac:dyDescent="0.2">
      <c r="A2845" s="27"/>
      <c r="B2845" s="30"/>
      <c r="G2845" s="27"/>
      <c r="H2845" s="27"/>
    </row>
    <row r="2846" spans="1:8" x14ac:dyDescent="0.2">
      <c r="A2846" s="27"/>
      <c r="B2846" s="30"/>
      <c r="G2846" s="27"/>
      <c r="H2846" s="27"/>
    </row>
    <row r="2847" spans="1:8" x14ac:dyDescent="0.2">
      <c r="A2847" s="27"/>
      <c r="B2847" s="30"/>
      <c r="G2847" s="27"/>
      <c r="H2847" s="27"/>
    </row>
    <row r="2848" spans="1:8" x14ac:dyDescent="0.2">
      <c r="A2848" s="27"/>
      <c r="B2848" s="30"/>
      <c r="G2848" s="27"/>
      <c r="H2848" s="27"/>
    </row>
    <row r="2849" spans="1:8" x14ac:dyDescent="0.2">
      <c r="A2849" s="27"/>
      <c r="B2849" s="30"/>
      <c r="G2849" s="27"/>
      <c r="H2849" s="27"/>
    </row>
    <row r="2850" spans="1:8" x14ac:dyDescent="0.2">
      <c r="A2850" s="27"/>
      <c r="B2850" s="30"/>
      <c r="G2850" s="27"/>
      <c r="H2850" s="27"/>
    </row>
    <row r="2851" spans="1:8" x14ac:dyDescent="0.2">
      <c r="A2851" s="27"/>
      <c r="B2851" s="30"/>
      <c r="G2851" s="27"/>
      <c r="H2851" s="27"/>
    </row>
    <row r="2852" spans="1:8" x14ac:dyDescent="0.2">
      <c r="A2852" s="27"/>
      <c r="B2852" s="30"/>
      <c r="G2852" s="27"/>
      <c r="H2852" s="27"/>
    </row>
    <row r="2853" spans="1:8" x14ac:dyDescent="0.2">
      <c r="A2853" s="27"/>
      <c r="B2853" s="30"/>
      <c r="G2853" s="27"/>
      <c r="H2853" s="27"/>
    </row>
    <row r="2854" spans="1:8" x14ac:dyDescent="0.2">
      <c r="A2854" s="27"/>
      <c r="B2854" s="30"/>
      <c r="G2854" s="27"/>
      <c r="H2854" s="27"/>
    </row>
    <row r="2855" spans="1:8" x14ac:dyDescent="0.2">
      <c r="A2855" s="27"/>
      <c r="B2855" s="30"/>
      <c r="G2855" s="27"/>
      <c r="H2855" s="27"/>
    </row>
    <row r="2856" spans="1:8" x14ac:dyDescent="0.2">
      <c r="A2856" s="27"/>
      <c r="B2856" s="30"/>
      <c r="G2856" s="27"/>
      <c r="H2856" s="27"/>
    </row>
    <row r="2857" spans="1:8" x14ac:dyDescent="0.2">
      <c r="A2857" s="27"/>
      <c r="B2857" s="30"/>
      <c r="G2857" s="27"/>
      <c r="H2857" s="27"/>
    </row>
    <row r="2858" spans="1:8" x14ac:dyDescent="0.2">
      <c r="A2858" s="27"/>
      <c r="B2858" s="30"/>
      <c r="G2858" s="27"/>
      <c r="H2858" s="27"/>
    </row>
    <row r="2859" spans="1:8" x14ac:dyDescent="0.2">
      <c r="A2859" s="27"/>
      <c r="B2859" s="30"/>
      <c r="G2859" s="27"/>
      <c r="H2859" s="27"/>
    </row>
    <row r="2860" spans="1:8" x14ac:dyDescent="0.2">
      <c r="A2860" s="27"/>
      <c r="B2860" s="30"/>
      <c r="G2860" s="27"/>
      <c r="H2860" s="27"/>
    </row>
    <row r="2861" spans="1:8" x14ac:dyDescent="0.2">
      <c r="A2861" s="27"/>
      <c r="B2861" s="30"/>
      <c r="G2861" s="27"/>
      <c r="H2861" s="27"/>
    </row>
    <row r="2862" spans="1:8" x14ac:dyDescent="0.2">
      <c r="A2862" s="27"/>
      <c r="B2862" s="30"/>
      <c r="G2862" s="27"/>
      <c r="H2862" s="27"/>
    </row>
    <row r="2863" spans="1:8" x14ac:dyDescent="0.2">
      <c r="A2863" s="27"/>
      <c r="B2863" s="30"/>
      <c r="G2863" s="27"/>
      <c r="H2863" s="27"/>
    </row>
    <row r="2864" spans="1:8" x14ac:dyDescent="0.2">
      <c r="A2864" s="27"/>
      <c r="B2864" s="30"/>
      <c r="G2864" s="27"/>
      <c r="H2864" s="27"/>
    </row>
    <row r="2865" spans="1:8" x14ac:dyDescent="0.2">
      <c r="A2865" s="27"/>
      <c r="B2865" s="30"/>
      <c r="G2865" s="27"/>
      <c r="H2865" s="27"/>
    </row>
    <row r="2866" spans="1:8" x14ac:dyDescent="0.2">
      <c r="A2866" s="27"/>
      <c r="B2866" s="30"/>
      <c r="G2866" s="27"/>
      <c r="H2866" s="27"/>
    </row>
    <row r="2867" spans="1:8" x14ac:dyDescent="0.2">
      <c r="A2867" s="27"/>
      <c r="B2867" s="30"/>
      <c r="G2867" s="27"/>
      <c r="H2867" s="27"/>
    </row>
    <row r="2868" spans="1:8" x14ac:dyDescent="0.2">
      <c r="A2868" s="27"/>
      <c r="B2868" s="30"/>
      <c r="G2868" s="27"/>
      <c r="H2868" s="27"/>
    </row>
    <row r="2869" spans="1:8" x14ac:dyDescent="0.2">
      <c r="A2869" s="27"/>
      <c r="B2869" s="30"/>
      <c r="G2869" s="27"/>
      <c r="H2869" s="27"/>
    </row>
    <row r="2870" spans="1:8" x14ac:dyDescent="0.2">
      <c r="A2870" s="27"/>
      <c r="B2870" s="30"/>
      <c r="G2870" s="27"/>
      <c r="H2870" s="27"/>
    </row>
    <row r="2871" spans="1:8" x14ac:dyDescent="0.2">
      <c r="A2871" s="27"/>
      <c r="B2871" s="30"/>
      <c r="G2871" s="27"/>
      <c r="H2871" s="27"/>
    </row>
    <row r="2872" spans="1:8" x14ac:dyDescent="0.2">
      <c r="A2872" s="27"/>
      <c r="B2872" s="30"/>
      <c r="G2872" s="27"/>
      <c r="H2872" s="27"/>
    </row>
    <row r="2873" spans="1:8" x14ac:dyDescent="0.2">
      <c r="A2873" s="27"/>
      <c r="B2873" s="30"/>
      <c r="G2873" s="27"/>
      <c r="H2873" s="27"/>
    </row>
    <row r="2874" spans="1:8" x14ac:dyDescent="0.2">
      <c r="A2874" s="27"/>
      <c r="B2874" s="30"/>
      <c r="G2874" s="27"/>
      <c r="H2874" s="27"/>
    </row>
    <row r="2875" spans="1:8" x14ac:dyDescent="0.2">
      <c r="A2875" s="27"/>
      <c r="B2875" s="30"/>
      <c r="G2875" s="27"/>
      <c r="H2875" s="27"/>
    </row>
    <row r="2876" spans="1:8" x14ac:dyDescent="0.2">
      <c r="A2876" s="27"/>
      <c r="B2876" s="30"/>
      <c r="G2876" s="27"/>
      <c r="H2876" s="27"/>
    </row>
    <row r="2877" spans="1:8" x14ac:dyDescent="0.2">
      <c r="A2877" s="27"/>
      <c r="B2877" s="30"/>
      <c r="G2877" s="27"/>
      <c r="H2877" s="27"/>
    </row>
    <row r="2878" spans="1:8" x14ac:dyDescent="0.2">
      <c r="A2878" s="27"/>
      <c r="B2878" s="30"/>
      <c r="G2878" s="27"/>
      <c r="H2878" s="27"/>
    </row>
    <row r="2879" spans="1:8" x14ac:dyDescent="0.2">
      <c r="A2879" s="27"/>
      <c r="B2879" s="30"/>
      <c r="G2879" s="27"/>
      <c r="H2879" s="27"/>
    </row>
    <row r="2880" spans="1:8" x14ac:dyDescent="0.2">
      <c r="A2880" s="27"/>
      <c r="B2880" s="30"/>
      <c r="G2880" s="27"/>
      <c r="H2880" s="27"/>
    </row>
    <row r="2881" spans="1:8" x14ac:dyDescent="0.2">
      <c r="A2881" s="27"/>
      <c r="B2881" s="30"/>
      <c r="G2881" s="27"/>
      <c r="H2881" s="27"/>
    </row>
    <row r="2882" spans="1:8" x14ac:dyDescent="0.2">
      <c r="A2882" s="27"/>
      <c r="B2882" s="30"/>
      <c r="G2882" s="27"/>
      <c r="H2882" s="27"/>
    </row>
    <row r="2883" spans="1:8" x14ac:dyDescent="0.2">
      <c r="A2883" s="27"/>
      <c r="B2883" s="30"/>
      <c r="G2883" s="27"/>
      <c r="H2883" s="27"/>
    </row>
    <row r="2884" spans="1:8" x14ac:dyDescent="0.2">
      <c r="A2884" s="27"/>
      <c r="B2884" s="30"/>
      <c r="G2884" s="27"/>
      <c r="H2884" s="27"/>
    </row>
    <row r="2885" spans="1:8" x14ac:dyDescent="0.2">
      <c r="A2885" s="27"/>
      <c r="B2885" s="30"/>
      <c r="G2885" s="27"/>
      <c r="H2885" s="27"/>
    </row>
    <row r="2886" spans="1:8" x14ac:dyDescent="0.2">
      <c r="A2886" s="27"/>
      <c r="B2886" s="30"/>
      <c r="G2886" s="27"/>
      <c r="H2886" s="27"/>
    </row>
    <row r="2887" spans="1:8" x14ac:dyDescent="0.2">
      <c r="A2887" s="27"/>
      <c r="B2887" s="30"/>
      <c r="G2887" s="27"/>
      <c r="H2887" s="27"/>
    </row>
    <row r="2888" spans="1:8" x14ac:dyDescent="0.2">
      <c r="A2888" s="27"/>
      <c r="B2888" s="30"/>
      <c r="G2888" s="27"/>
      <c r="H2888" s="27"/>
    </row>
    <row r="2889" spans="1:8" x14ac:dyDescent="0.2">
      <c r="A2889" s="27"/>
      <c r="B2889" s="30"/>
      <c r="G2889" s="27"/>
      <c r="H2889" s="27"/>
    </row>
    <row r="2890" spans="1:8" x14ac:dyDescent="0.2">
      <c r="A2890" s="27"/>
      <c r="B2890" s="30"/>
      <c r="G2890" s="27"/>
      <c r="H2890" s="27"/>
    </row>
    <row r="2891" spans="1:8" x14ac:dyDescent="0.2">
      <c r="A2891" s="27"/>
      <c r="B2891" s="30"/>
      <c r="G2891" s="27"/>
      <c r="H2891" s="27"/>
    </row>
    <row r="2892" spans="1:8" x14ac:dyDescent="0.2">
      <c r="A2892" s="27"/>
      <c r="B2892" s="30"/>
      <c r="G2892" s="27"/>
      <c r="H2892" s="27"/>
    </row>
    <row r="2893" spans="1:8" x14ac:dyDescent="0.2">
      <c r="A2893" s="27"/>
      <c r="B2893" s="30"/>
      <c r="G2893" s="27"/>
      <c r="H2893" s="27"/>
    </row>
    <row r="2894" spans="1:8" x14ac:dyDescent="0.2">
      <c r="A2894" s="27"/>
      <c r="B2894" s="30"/>
      <c r="G2894" s="27"/>
      <c r="H2894" s="27"/>
    </row>
    <row r="2895" spans="1:8" x14ac:dyDescent="0.2">
      <c r="A2895" s="27"/>
      <c r="B2895" s="30"/>
      <c r="G2895" s="27"/>
      <c r="H2895" s="27"/>
    </row>
    <row r="2896" spans="1:8" x14ac:dyDescent="0.2">
      <c r="A2896" s="27"/>
      <c r="B2896" s="30"/>
      <c r="G2896" s="27"/>
      <c r="H2896" s="27"/>
    </row>
    <row r="2897" spans="1:8" x14ac:dyDescent="0.2">
      <c r="A2897" s="27"/>
      <c r="B2897" s="30"/>
      <c r="G2897" s="27"/>
      <c r="H2897" s="27"/>
    </row>
    <row r="2898" spans="1:8" x14ac:dyDescent="0.2">
      <c r="A2898" s="27"/>
      <c r="B2898" s="30"/>
      <c r="G2898" s="27"/>
      <c r="H2898" s="27"/>
    </row>
    <row r="2899" spans="1:8" x14ac:dyDescent="0.2">
      <c r="A2899" s="27"/>
      <c r="B2899" s="30"/>
      <c r="G2899" s="27"/>
      <c r="H2899" s="27"/>
    </row>
    <row r="2900" spans="1:8" x14ac:dyDescent="0.2">
      <c r="A2900" s="27"/>
      <c r="B2900" s="30"/>
      <c r="G2900" s="27"/>
      <c r="H2900" s="27"/>
    </row>
    <row r="2901" spans="1:8" x14ac:dyDescent="0.2">
      <c r="A2901" s="27"/>
      <c r="B2901" s="30"/>
      <c r="G2901" s="27"/>
      <c r="H2901" s="27"/>
    </row>
    <row r="2902" spans="1:8" x14ac:dyDescent="0.2">
      <c r="A2902" s="27"/>
      <c r="B2902" s="30"/>
      <c r="G2902" s="27"/>
      <c r="H2902" s="27"/>
    </row>
    <row r="2903" spans="1:8" x14ac:dyDescent="0.2">
      <c r="A2903" s="27"/>
      <c r="B2903" s="30"/>
      <c r="G2903" s="27"/>
      <c r="H2903" s="27"/>
    </row>
    <row r="2904" spans="1:8" x14ac:dyDescent="0.2">
      <c r="A2904" s="27"/>
      <c r="B2904" s="30"/>
      <c r="G2904" s="27"/>
      <c r="H2904" s="27"/>
    </row>
    <row r="2905" spans="1:8" x14ac:dyDescent="0.2">
      <c r="A2905" s="27"/>
      <c r="B2905" s="30"/>
      <c r="G2905" s="27"/>
      <c r="H2905" s="27"/>
    </row>
    <row r="2906" spans="1:8" x14ac:dyDescent="0.2">
      <c r="A2906" s="27"/>
      <c r="B2906" s="30"/>
      <c r="G2906" s="27"/>
      <c r="H2906" s="27"/>
    </row>
    <row r="2907" spans="1:8" x14ac:dyDescent="0.2">
      <c r="A2907" s="27"/>
      <c r="B2907" s="30"/>
      <c r="G2907" s="27"/>
      <c r="H2907" s="27"/>
    </row>
    <row r="2908" spans="1:8" x14ac:dyDescent="0.2">
      <c r="A2908" s="27"/>
      <c r="B2908" s="30"/>
      <c r="G2908" s="27"/>
      <c r="H2908" s="27"/>
    </row>
    <row r="2909" spans="1:8" x14ac:dyDescent="0.2">
      <c r="A2909" s="27"/>
      <c r="B2909" s="30"/>
      <c r="G2909" s="27"/>
      <c r="H2909" s="27"/>
    </row>
    <row r="2910" spans="1:8" x14ac:dyDescent="0.2">
      <c r="A2910" s="27"/>
      <c r="B2910" s="30"/>
      <c r="G2910" s="27"/>
      <c r="H2910" s="27"/>
    </row>
    <row r="2911" spans="1:8" x14ac:dyDescent="0.2">
      <c r="A2911" s="27"/>
      <c r="B2911" s="30"/>
      <c r="G2911" s="27"/>
      <c r="H2911" s="27"/>
    </row>
    <row r="2912" spans="1:8" x14ac:dyDescent="0.2">
      <c r="A2912" s="27"/>
      <c r="B2912" s="30"/>
      <c r="G2912" s="27"/>
      <c r="H2912" s="27"/>
    </row>
    <row r="2913" spans="1:8" x14ac:dyDescent="0.2">
      <c r="A2913" s="27"/>
      <c r="B2913" s="30"/>
      <c r="G2913" s="27"/>
      <c r="H2913" s="27"/>
    </row>
    <row r="2914" spans="1:8" x14ac:dyDescent="0.2">
      <c r="A2914" s="27"/>
      <c r="B2914" s="30"/>
      <c r="G2914" s="27"/>
      <c r="H2914" s="27"/>
    </row>
    <row r="2915" spans="1:8" x14ac:dyDescent="0.2">
      <c r="A2915" s="27"/>
      <c r="B2915" s="30"/>
      <c r="G2915" s="27"/>
      <c r="H2915" s="27"/>
    </row>
    <row r="2916" spans="1:8" x14ac:dyDescent="0.2">
      <c r="A2916" s="27"/>
      <c r="B2916" s="30"/>
      <c r="G2916" s="27"/>
      <c r="H2916" s="27"/>
    </row>
    <row r="2917" spans="1:8" x14ac:dyDescent="0.2">
      <c r="A2917" s="27"/>
      <c r="B2917" s="30"/>
      <c r="G2917" s="27"/>
      <c r="H2917" s="27"/>
    </row>
    <row r="2918" spans="1:8" x14ac:dyDescent="0.2">
      <c r="A2918" s="27"/>
      <c r="B2918" s="30"/>
      <c r="G2918" s="27"/>
      <c r="H2918" s="27"/>
    </row>
    <row r="2919" spans="1:8" x14ac:dyDescent="0.2">
      <c r="A2919" s="27"/>
      <c r="B2919" s="30"/>
      <c r="G2919" s="27"/>
      <c r="H2919" s="27"/>
    </row>
    <row r="2920" spans="1:8" x14ac:dyDescent="0.2">
      <c r="A2920" s="27"/>
      <c r="B2920" s="30"/>
      <c r="G2920" s="27"/>
      <c r="H2920" s="27"/>
    </row>
    <row r="2921" spans="1:8" x14ac:dyDescent="0.2">
      <c r="A2921" s="27"/>
      <c r="B2921" s="30"/>
      <c r="G2921" s="27"/>
      <c r="H2921" s="27"/>
    </row>
    <row r="2922" spans="1:8" x14ac:dyDescent="0.2">
      <c r="A2922" s="27"/>
      <c r="B2922" s="30"/>
      <c r="G2922" s="27"/>
      <c r="H2922" s="27"/>
    </row>
    <row r="2923" spans="1:8" x14ac:dyDescent="0.2">
      <c r="A2923" s="27"/>
      <c r="B2923" s="30"/>
      <c r="G2923" s="27"/>
      <c r="H2923" s="27"/>
    </row>
    <row r="2924" spans="1:8" x14ac:dyDescent="0.2">
      <c r="A2924" s="27"/>
      <c r="B2924" s="30"/>
      <c r="G2924" s="27"/>
      <c r="H2924" s="27"/>
    </row>
    <row r="2925" spans="1:8" x14ac:dyDescent="0.2">
      <c r="A2925" s="27"/>
      <c r="B2925" s="30"/>
      <c r="G2925" s="27"/>
      <c r="H2925" s="27"/>
    </row>
    <row r="2926" spans="1:8" x14ac:dyDescent="0.2">
      <c r="A2926" s="27"/>
      <c r="B2926" s="30"/>
      <c r="G2926" s="27"/>
      <c r="H2926" s="27"/>
    </row>
    <row r="2927" spans="1:8" x14ac:dyDescent="0.2">
      <c r="A2927" s="27"/>
      <c r="B2927" s="30"/>
      <c r="G2927" s="27"/>
      <c r="H2927" s="27"/>
    </row>
    <row r="2928" spans="1:8" x14ac:dyDescent="0.2">
      <c r="A2928" s="27"/>
      <c r="B2928" s="30"/>
      <c r="G2928" s="27"/>
      <c r="H2928" s="27"/>
    </row>
    <row r="2929" spans="1:8" x14ac:dyDescent="0.2">
      <c r="A2929" s="27"/>
      <c r="B2929" s="30"/>
      <c r="G2929" s="27"/>
      <c r="H2929" s="27"/>
    </row>
    <row r="2930" spans="1:8" x14ac:dyDescent="0.2">
      <c r="A2930" s="27"/>
      <c r="B2930" s="30"/>
      <c r="G2930" s="27"/>
      <c r="H2930" s="27"/>
    </row>
    <row r="2931" spans="1:8" x14ac:dyDescent="0.2">
      <c r="A2931" s="27"/>
      <c r="B2931" s="30"/>
      <c r="G2931" s="27"/>
      <c r="H2931" s="27"/>
    </row>
    <row r="2932" spans="1:8" x14ac:dyDescent="0.2">
      <c r="A2932" s="27"/>
      <c r="B2932" s="30"/>
      <c r="G2932" s="27"/>
      <c r="H2932" s="27"/>
    </row>
    <row r="2933" spans="1:8" x14ac:dyDescent="0.2">
      <c r="A2933" s="27"/>
      <c r="B2933" s="30"/>
      <c r="G2933" s="27"/>
      <c r="H2933" s="27"/>
    </row>
    <row r="2934" spans="1:8" x14ac:dyDescent="0.2">
      <c r="A2934" s="27"/>
      <c r="B2934" s="30"/>
      <c r="G2934" s="27"/>
      <c r="H2934" s="27"/>
    </row>
    <row r="2935" spans="1:8" x14ac:dyDescent="0.2">
      <c r="A2935" s="27"/>
      <c r="B2935" s="30"/>
      <c r="G2935" s="27"/>
      <c r="H2935" s="27"/>
    </row>
    <row r="2936" spans="1:8" x14ac:dyDescent="0.2">
      <c r="A2936" s="27"/>
      <c r="B2936" s="30"/>
      <c r="G2936" s="27"/>
      <c r="H2936" s="27"/>
    </row>
    <row r="2937" spans="1:8" x14ac:dyDescent="0.2">
      <c r="A2937" s="27"/>
      <c r="B2937" s="30"/>
      <c r="G2937" s="27"/>
      <c r="H2937" s="27"/>
    </row>
    <row r="2938" spans="1:8" x14ac:dyDescent="0.2">
      <c r="A2938" s="27"/>
      <c r="B2938" s="30"/>
      <c r="G2938" s="27"/>
      <c r="H2938" s="27"/>
    </row>
    <row r="2939" spans="1:8" x14ac:dyDescent="0.2">
      <c r="A2939" s="27"/>
      <c r="B2939" s="30"/>
      <c r="G2939" s="27"/>
      <c r="H2939" s="27"/>
    </row>
    <row r="2940" spans="1:8" x14ac:dyDescent="0.2">
      <c r="A2940" s="27"/>
      <c r="B2940" s="30"/>
      <c r="G2940" s="27"/>
      <c r="H2940" s="27"/>
    </row>
    <row r="2941" spans="1:8" x14ac:dyDescent="0.2">
      <c r="A2941" s="27"/>
      <c r="B2941" s="30"/>
      <c r="G2941" s="27"/>
      <c r="H2941" s="27"/>
    </row>
    <row r="2942" spans="1:8" x14ac:dyDescent="0.2">
      <c r="A2942" s="27"/>
      <c r="B2942" s="30"/>
      <c r="G2942" s="27"/>
      <c r="H2942" s="27"/>
    </row>
    <row r="2943" spans="1:8" x14ac:dyDescent="0.2">
      <c r="A2943" s="27"/>
      <c r="B2943" s="30"/>
      <c r="G2943" s="27"/>
      <c r="H2943" s="27"/>
    </row>
    <row r="2944" spans="1:8" x14ac:dyDescent="0.2">
      <c r="A2944" s="27"/>
      <c r="B2944" s="30"/>
      <c r="G2944" s="27"/>
      <c r="H2944" s="27"/>
    </row>
    <row r="2945" spans="1:8" x14ac:dyDescent="0.2">
      <c r="A2945" s="27"/>
      <c r="B2945" s="30"/>
      <c r="G2945" s="27"/>
      <c r="H2945" s="27"/>
    </row>
    <row r="2946" spans="1:8" x14ac:dyDescent="0.2">
      <c r="A2946" s="27"/>
      <c r="B2946" s="30"/>
      <c r="G2946" s="27"/>
      <c r="H2946" s="27"/>
    </row>
    <row r="2947" spans="1:8" x14ac:dyDescent="0.2">
      <c r="A2947" s="27"/>
      <c r="B2947" s="30"/>
      <c r="G2947" s="27"/>
      <c r="H2947" s="27"/>
    </row>
    <row r="2948" spans="1:8" x14ac:dyDescent="0.2">
      <c r="A2948" s="27"/>
      <c r="B2948" s="30"/>
      <c r="G2948" s="27"/>
      <c r="H2948" s="27"/>
    </row>
    <row r="2949" spans="1:8" x14ac:dyDescent="0.2">
      <c r="A2949" s="27"/>
      <c r="B2949" s="30"/>
      <c r="G2949" s="27"/>
      <c r="H2949" s="27"/>
    </row>
    <row r="2950" spans="1:8" x14ac:dyDescent="0.2">
      <c r="A2950" s="27"/>
      <c r="B2950" s="30"/>
      <c r="G2950" s="27"/>
      <c r="H2950" s="27"/>
    </row>
    <row r="2951" spans="1:8" x14ac:dyDescent="0.2">
      <c r="A2951" s="27"/>
      <c r="B2951" s="30"/>
      <c r="G2951" s="27"/>
      <c r="H2951" s="27"/>
    </row>
    <row r="2952" spans="1:8" x14ac:dyDescent="0.2">
      <c r="A2952" s="27"/>
      <c r="B2952" s="30"/>
      <c r="G2952" s="27"/>
      <c r="H2952" s="27"/>
    </row>
    <row r="2953" spans="1:8" x14ac:dyDescent="0.2">
      <c r="A2953" s="27"/>
      <c r="B2953" s="30"/>
      <c r="G2953" s="27"/>
      <c r="H2953" s="27"/>
    </row>
    <row r="2954" spans="1:8" x14ac:dyDescent="0.2">
      <c r="A2954" s="27"/>
      <c r="B2954" s="30"/>
      <c r="G2954" s="27"/>
      <c r="H2954" s="27"/>
    </row>
    <row r="2955" spans="1:8" x14ac:dyDescent="0.2">
      <c r="A2955" s="27"/>
      <c r="B2955" s="30"/>
      <c r="G2955" s="27"/>
      <c r="H2955" s="27"/>
    </row>
    <row r="2956" spans="1:8" x14ac:dyDescent="0.2">
      <c r="A2956" s="27"/>
      <c r="B2956" s="30"/>
      <c r="G2956" s="27"/>
      <c r="H2956" s="27"/>
    </row>
    <row r="2957" spans="1:8" x14ac:dyDescent="0.2">
      <c r="A2957" s="27"/>
      <c r="B2957" s="30"/>
      <c r="G2957" s="27"/>
      <c r="H2957" s="27"/>
    </row>
    <row r="2958" spans="1:8" x14ac:dyDescent="0.2">
      <c r="A2958" s="27"/>
      <c r="B2958" s="30"/>
      <c r="G2958" s="27"/>
      <c r="H2958" s="27"/>
    </row>
    <row r="2959" spans="1:8" x14ac:dyDescent="0.2">
      <c r="A2959" s="27"/>
      <c r="B2959" s="30"/>
      <c r="G2959" s="27"/>
      <c r="H2959" s="27"/>
    </row>
    <row r="2960" spans="1:8" x14ac:dyDescent="0.2">
      <c r="A2960" s="27"/>
      <c r="B2960" s="30"/>
      <c r="G2960" s="27"/>
      <c r="H2960" s="27"/>
    </row>
    <row r="2961" spans="1:8" x14ac:dyDescent="0.2">
      <c r="A2961" s="27"/>
      <c r="B2961" s="30"/>
      <c r="G2961" s="27"/>
      <c r="H2961" s="27"/>
    </row>
    <row r="2962" spans="1:8" x14ac:dyDescent="0.2">
      <c r="A2962" s="27"/>
      <c r="B2962" s="30"/>
      <c r="G2962" s="27"/>
      <c r="H2962" s="27"/>
    </row>
    <row r="2963" spans="1:8" x14ac:dyDescent="0.2">
      <c r="A2963" s="27"/>
      <c r="B2963" s="30"/>
      <c r="G2963" s="27"/>
      <c r="H2963" s="27"/>
    </row>
    <row r="2964" spans="1:8" x14ac:dyDescent="0.2">
      <c r="A2964" s="27"/>
      <c r="B2964" s="30"/>
      <c r="G2964" s="27"/>
      <c r="H2964" s="27"/>
    </row>
    <row r="2965" spans="1:8" x14ac:dyDescent="0.2">
      <c r="A2965" s="27"/>
      <c r="B2965" s="30"/>
      <c r="G2965" s="27"/>
      <c r="H2965" s="27"/>
    </row>
    <row r="2966" spans="1:8" x14ac:dyDescent="0.2">
      <c r="A2966" s="27"/>
      <c r="B2966" s="30"/>
      <c r="G2966" s="27"/>
      <c r="H2966" s="27"/>
    </row>
    <row r="2967" spans="1:8" x14ac:dyDescent="0.2">
      <c r="A2967" s="27"/>
      <c r="B2967" s="30"/>
      <c r="G2967" s="27"/>
      <c r="H2967" s="27"/>
    </row>
    <row r="2968" spans="1:8" x14ac:dyDescent="0.2">
      <c r="A2968" s="27"/>
      <c r="B2968" s="30"/>
      <c r="G2968" s="27"/>
      <c r="H2968" s="27"/>
    </row>
    <row r="2969" spans="1:8" x14ac:dyDescent="0.2">
      <c r="A2969" s="27"/>
      <c r="B2969" s="30"/>
      <c r="G2969" s="27"/>
      <c r="H2969" s="27"/>
    </row>
    <row r="2970" spans="1:8" x14ac:dyDescent="0.2">
      <c r="A2970" s="27"/>
      <c r="B2970" s="30"/>
      <c r="G2970" s="27"/>
      <c r="H2970" s="27"/>
    </row>
    <row r="2971" spans="1:8" x14ac:dyDescent="0.2">
      <c r="A2971" s="27"/>
      <c r="B2971" s="30"/>
      <c r="G2971" s="27"/>
      <c r="H2971" s="27"/>
    </row>
    <row r="2972" spans="1:8" x14ac:dyDescent="0.2">
      <c r="A2972" s="27"/>
      <c r="B2972" s="30"/>
      <c r="G2972" s="27"/>
      <c r="H2972" s="27"/>
    </row>
    <row r="2973" spans="1:8" x14ac:dyDescent="0.2">
      <c r="A2973" s="27"/>
      <c r="B2973" s="30"/>
      <c r="G2973" s="27"/>
      <c r="H2973" s="27"/>
    </row>
    <row r="2974" spans="1:8" x14ac:dyDescent="0.2">
      <c r="A2974" s="27"/>
      <c r="B2974" s="30"/>
      <c r="G2974" s="27"/>
      <c r="H2974" s="27"/>
    </row>
    <row r="2975" spans="1:8" x14ac:dyDescent="0.2">
      <c r="A2975" s="27"/>
      <c r="B2975" s="30"/>
      <c r="G2975" s="27"/>
      <c r="H2975" s="27"/>
    </row>
    <row r="2976" spans="1:8" x14ac:dyDescent="0.2">
      <c r="A2976" s="27"/>
      <c r="B2976" s="30"/>
      <c r="G2976" s="27"/>
      <c r="H2976" s="27"/>
    </row>
    <row r="2977" spans="1:8" x14ac:dyDescent="0.2">
      <c r="A2977" s="27"/>
      <c r="B2977" s="30"/>
      <c r="G2977" s="27"/>
      <c r="H2977" s="27"/>
    </row>
    <row r="2978" spans="1:8" x14ac:dyDescent="0.2">
      <c r="A2978" s="27"/>
      <c r="B2978" s="30"/>
      <c r="G2978" s="27"/>
      <c r="H2978" s="27"/>
    </row>
    <row r="2979" spans="1:8" x14ac:dyDescent="0.2">
      <c r="A2979" s="27"/>
      <c r="B2979" s="30"/>
      <c r="G2979" s="27"/>
      <c r="H2979" s="27"/>
    </row>
    <row r="2980" spans="1:8" x14ac:dyDescent="0.2">
      <c r="A2980" s="27"/>
      <c r="B2980" s="30"/>
      <c r="G2980" s="27"/>
      <c r="H2980" s="27"/>
    </row>
    <row r="2981" spans="1:8" x14ac:dyDescent="0.2">
      <c r="A2981" s="27"/>
      <c r="B2981" s="30"/>
      <c r="G2981" s="27"/>
      <c r="H2981" s="27"/>
    </row>
    <row r="2982" spans="1:8" x14ac:dyDescent="0.2">
      <c r="A2982" s="27"/>
      <c r="B2982" s="30"/>
      <c r="G2982" s="27"/>
      <c r="H2982" s="27"/>
    </row>
    <row r="2983" spans="1:8" x14ac:dyDescent="0.2">
      <c r="A2983" s="27"/>
      <c r="B2983" s="30"/>
      <c r="G2983" s="27"/>
      <c r="H2983" s="27"/>
    </row>
    <row r="2984" spans="1:8" x14ac:dyDescent="0.2">
      <c r="A2984" s="27"/>
      <c r="B2984" s="30"/>
      <c r="G2984" s="27"/>
      <c r="H2984" s="27"/>
    </row>
    <row r="2985" spans="1:8" x14ac:dyDescent="0.2">
      <c r="A2985" s="27"/>
      <c r="B2985" s="30"/>
      <c r="G2985" s="27"/>
      <c r="H2985" s="27"/>
    </row>
    <row r="2986" spans="1:8" x14ac:dyDescent="0.2">
      <c r="A2986" s="27"/>
      <c r="B2986" s="30"/>
      <c r="G2986" s="27"/>
      <c r="H2986" s="27"/>
    </row>
    <row r="2987" spans="1:8" x14ac:dyDescent="0.2">
      <c r="A2987" s="27"/>
      <c r="B2987" s="30"/>
      <c r="G2987" s="27"/>
      <c r="H2987" s="27"/>
    </row>
    <row r="2988" spans="1:8" x14ac:dyDescent="0.2">
      <c r="A2988" s="27"/>
      <c r="B2988" s="30"/>
      <c r="G2988" s="27"/>
      <c r="H2988" s="27"/>
    </row>
    <row r="2989" spans="1:8" x14ac:dyDescent="0.2">
      <c r="A2989" s="27"/>
      <c r="B2989" s="30"/>
      <c r="G2989" s="27"/>
      <c r="H2989" s="27"/>
    </row>
    <row r="2990" spans="1:8" x14ac:dyDescent="0.2">
      <c r="A2990" s="27"/>
      <c r="B2990" s="30"/>
      <c r="G2990" s="27"/>
      <c r="H2990" s="27"/>
    </row>
    <row r="2991" spans="1:8" x14ac:dyDescent="0.2">
      <c r="A2991" s="27"/>
      <c r="B2991" s="30"/>
      <c r="G2991" s="27"/>
      <c r="H2991" s="27"/>
    </row>
    <row r="2992" spans="1:8" x14ac:dyDescent="0.2">
      <c r="A2992" s="27"/>
      <c r="B2992" s="30"/>
      <c r="G2992" s="27"/>
      <c r="H2992" s="27"/>
    </row>
    <row r="2993" spans="1:8" x14ac:dyDescent="0.2">
      <c r="A2993" s="27"/>
      <c r="B2993" s="30"/>
      <c r="G2993" s="27"/>
      <c r="H2993" s="27"/>
    </row>
    <row r="2994" spans="1:8" x14ac:dyDescent="0.2">
      <c r="A2994" s="27"/>
      <c r="B2994" s="30"/>
      <c r="G2994" s="27"/>
      <c r="H2994" s="27"/>
    </row>
    <row r="2995" spans="1:8" x14ac:dyDescent="0.2">
      <c r="A2995" s="27"/>
      <c r="B2995" s="30"/>
      <c r="G2995" s="27"/>
      <c r="H2995" s="27"/>
    </row>
    <row r="2996" spans="1:8" x14ac:dyDescent="0.2">
      <c r="A2996" s="27"/>
      <c r="B2996" s="30"/>
      <c r="G2996" s="27"/>
      <c r="H2996" s="27"/>
    </row>
    <row r="2997" spans="1:8" x14ac:dyDescent="0.2">
      <c r="A2997" s="27"/>
      <c r="B2997" s="30"/>
      <c r="G2997" s="27"/>
      <c r="H2997" s="27"/>
    </row>
    <row r="2998" spans="1:8" x14ac:dyDescent="0.2">
      <c r="A2998" s="27"/>
      <c r="B2998" s="30"/>
      <c r="G2998" s="27"/>
      <c r="H2998" s="27"/>
    </row>
    <row r="2999" spans="1:8" x14ac:dyDescent="0.2">
      <c r="A2999" s="27"/>
      <c r="B2999" s="30"/>
      <c r="G2999" s="27"/>
      <c r="H2999" s="27"/>
    </row>
    <row r="3000" spans="1:8" x14ac:dyDescent="0.2">
      <c r="A3000" s="27"/>
      <c r="B3000" s="30"/>
      <c r="G3000" s="27"/>
      <c r="H3000" s="27"/>
    </row>
    <row r="3001" spans="1:8" x14ac:dyDescent="0.2">
      <c r="A3001" s="27"/>
      <c r="B3001" s="30"/>
      <c r="G3001" s="27"/>
      <c r="H3001" s="27"/>
    </row>
    <row r="3002" spans="1:8" x14ac:dyDescent="0.2">
      <c r="A3002" s="27"/>
      <c r="B3002" s="30"/>
      <c r="G3002" s="27"/>
      <c r="H3002" s="27"/>
    </row>
    <row r="3003" spans="1:8" x14ac:dyDescent="0.2">
      <c r="A3003" s="27"/>
      <c r="B3003" s="30"/>
      <c r="G3003" s="27"/>
      <c r="H3003" s="27"/>
    </row>
    <row r="3004" spans="1:8" x14ac:dyDescent="0.2">
      <c r="A3004" s="27"/>
      <c r="B3004" s="30"/>
      <c r="G3004" s="27"/>
      <c r="H3004" s="27"/>
    </row>
    <row r="3005" spans="1:8" x14ac:dyDescent="0.2">
      <c r="A3005" s="27"/>
      <c r="B3005" s="30"/>
      <c r="G3005" s="27"/>
      <c r="H3005" s="27"/>
    </row>
    <row r="3006" spans="1:8" x14ac:dyDescent="0.2">
      <c r="A3006" s="27"/>
      <c r="B3006" s="30"/>
      <c r="G3006" s="27"/>
      <c r="H3006" s="27"/>
    </row>
    <row r="3007" spans="1:8" x14ac:dyDescent="0.2">
      <c r="A3007" s="27"/>
      <c r="B3007" s="30"/>
      <c r="G3007" s="27"/>
      <c r="H3007" s="27"/>
    </row>
    <row r="3008" spans="1:8" x14ac:dyDescent="0.2">
      <c r="A3008" s="27"/>
      <c r="B3008" s="30"/>
      <c r="G3008" s="27"/>
      <c r="H3008" s="27"/>
    </row>
    <row r="3009" spans="1:8" x14ac:dyDescent="0.2">
      <c r="A3009" s="27"/>
      <c r="B3009" s="30"/>
      <c r="G3009" s="27"/>
      <c r="H3009" s="27"/>
    </row>
    <row r="3010" spans="1:8" x14ac:dyDescent="0.2">
      <c r="A3010" s="27"/>
      <c r="B3010" s="30"/>
      <c r="G3010" s="27"/>
      <c r="H3010" s="27"/>
    </row>
    <row r="3011" spans="1:8" x14ac:dyDescent="0.2">
      <c r="A3011" s="27"/>
      <c r="B3011" s="30"/>
      <c r="G3011" s="27"/>
      <c r="H3011" s="27"/>
    </row>
    <row r="3012" spans="1:8" x14ac:dyDescent="0.2">
      <c r="A3012" s="27"/>
      <c r="B3012" s="30"/>
      <c r="G3012" s="27"/>
      <c r="H3012" s="27"/>
    </row>
    <row r="3013" spans="1:8" x14ac:dyDescent="0.2">
      <c r="A3013" s="27"/>
      <c r="B3013" s="30"/>
      <c r="G3013" s="27"/>
      <c r="H3013" s="27"/>
    </row>
    <row r="3014" spans="1:8" x14ac:dyDescent="0.2">
      <c r="A3014" s="27"/>
      <c r="B3014" s="30"/>
      <c r="G3014" s="27"/>
      <c r="H3014" s="27"/>
    </row>
    <row r="3015" spans="1:8" x14ac:dyDescent="0.2">
      <c r="A3015" s="27"/>
      <c r="B3015" s="30"/>
      <c r="G3015" s="27"/>
      <c r="H3015" s="27"/>
    </row>
    <row r="3016" spans="1:8" x14ac:dyDescent="0.2">
      <c r="A3016" s="27"/>
      <c r="B3016" s="30"/>
      <c r="G3016" s="27"/>
      <c r="H3016" s="27"/>
    </row>
    <row r="3017" spans="1:8" x14ac:dyDescent="0.2">
      <c r="A3017" s="27"/>
      <c r="B3017" s="30"/>
      <c r="G3017" s="27"/>
      <c r="H3017" s="27"/>
    </row>
    <row r="3018" spans="1:8" x14ac:dyDescent="0.2">
      <c r="A3018" s="27"/>
      <c r="B3018" s="30"/>
      <c r="G3018" s="27"/>
      <c r="H3018" s="27"/>
    </row>
    <row r="3019" spans="1:8" x14ac:dyDescent="0.2">
      <c r="A3019" s="27"/>
      <c r="B3019" s="30"/>
      <c r="G3019" s="27"/>
      <c r="H3019" s="27"/>
    </row>
    <row r="3020" spans="1:8" x14ac:dyDescent="0.2">
      <c r="A3020" s="27"/>
      <c r="B3020" s="30"/>
      <c r="G3020" s="27"/>
      <c r="H3020" s="27"/>
    </row>
    <row r="3021" spans="1:8" x14ac:dyDescent="0.2">
      <c r="A3021" s="27"/>
      <c r="B3021" s="30"/>
      <c r="G3021" s="27"/>
      <c r="H3021" s="27"/>
    </row>
    <row r="3022" spans="1:8" x14ac:dyDescent="0.2">
      <c r="A3022" s="27"/>
      <c r="B3022" s="30"/>
      <c r="G3022" s="27"/>
      <c r="H3022" s="27"/>
    </row>
    <row r="3023" spans="1:8" x14ac:dyDescent="0.2">
      <c r="A3023" s="27"/>
      <c r="B3023" s="30"/>
      <c r="G3023" s="27"/>
      <c r="H3023" s="27"/>
    </row>
    <row r="3024" spans="1:8" x14ac:dyDescent="0.2">
      <c r="A3024" s="27"/>
      <c r="B3024" s="30"/>
      <c r="G3024" s="27"/>
      <c r="H3024" s="27"/>
    </row>
    <row r="3025" spans="1:8" x14ac:dyDescent="0.2">
      <c r="A3025" s="27"/>
      <c r="B3025" s="30"/>
      <c r="G3025" s="27"/>
      <c r="H3025" s="27"/>
    </row>
    <row r="3026" spans="1:8" x14ac:dyDescent="0.2">
      <c r="A3026" s="27"/>
      <c r="B3026" s="30"/>
      <c r="G3026" s="27"/>
      <c r="H3026" s="27"/>
    </row>
    <row r="3027" spans="1:8" x14ac:dyDescent="0.2">
      <c r="A3027" s="27"/>
      <c r="B3027" s="30"/>
      <c r="G3027" s="27"/>
      <c r="H3027" s="27"/>
    </row>
    <row r="3028" spans="1:8" x14ac:dyDescent="0.2">
      <c r="A3028" s="27"/>
      <c r="B3028" s="30"/>
      <c r="G3028" s="27"/>
      <c r="H3028" s="27"/>
    </row>
    <row r="3029" spans="1:8" x14ac:dyDescent="0.2">
      <c r="A3029" s="27"/>
      <c r="B3029" s="30"/>
      <c r="G3029" s="27"/>
      <c r="H3029" s="27"/>
    </row>
    <row r="3030" spans="1:8" x14ac:dyDescent="0.2">
      <c r="A3030" s="27"/>
      <c r="B3030" s="30"/>
      <c r="G3030" s="27"/>
      <c r="H3030" s="27"/>
    </row>
    <row r="3031" spans="1:8" x14ac:dyDescent="0.2">
      <c r="A3031" s="27"/>
      <c r="B3031" s="30"/>
      <c r="G3031" s="27"/>
      <c r="H3031" s="27"/>
    </row>
    <row r="3032" spans="1:8" x14ac:dyDescent="0.2">
      <c r="A3032" s="27"/>
      <c r="B3032" s="30"/>
      <c r="G3032" s="27"/>
      <c r="H3032" s="27"/>
    </row>
    <row r="3033" spans="1:8" x14ac:dyDescent="0.2">
      <c r="A3033" s="27"/>
      <c r="B3033" s="30"/>
      <c r="G3033" s="27"/>
      <c r="H3033" s="27"/>
    </row>
    <row r="3034" spans="1:8" x14ac:dyDescent="0.2">
      <c r="A3034" s="27"/>
      <c r="B3034" s="30"/>
      <c r="G3034" s="27"/>
      <c r="H3034" s="27"/>
    </row>
    <row r="3035" spans="1:8" x14ac:dyDescent="0.2">
      <c r="A3035" s="27"/>
      <c r="B3035" s="30"/>
      <c r="G3035" s="27"/>
      <c r="H3035" s="27"/>
    </row>
    <row r="3036" spans="1:8" x14ac:dyDescent="0.2">
      <c r="A3036" s="27"/>
      <c r="B3036" s="30"/>
      <c r="G3036" s="27"/>
      <c r="H3036" s="27"/>
    </row>
    <row r="3037" spans="1:8" x14ac:dyDescent="0.2">
      <c r="A3037" s="27"/>
      <c r="B3037" s="30"/>
      <c r="G3037" s="27"/>
      <c r="H3037" s="27"/>
    </row>
    <row r="3038" spans="1:8" x14ac:dyDescent="0.2">
      <c r="A3038" s="27"/>
      <c r="B3038" s="30"/>
      <c r="G3038" s="27"/>
      <c r="H3038" s="27"/>
    </row>
    <row r="3039" spans="1:8" x14ac:dyDescent="0.2">
      <c r="A3039" s="27"/>
      <c r="B3039" s="30"/>
      <c r="G3039" s="27"/>
      <c r="H3039" s="27"/>
    </row>
    <row r="3040" spans="1:8" x14ac:dyDescent="0.2">
      <c r="A3040" s="27"/>
      <c r="B3040" s="30"/>
      <c r="G3040" s="27"/>
      <c r="H3040" s="27"/>
    </row>
    <row r="3041" spans="1:8" x14ac:dyDescent="0.2">
      <c r="A3041" s="27"/>
      <c r="B3041" s="30"/>
      <c r="G3041" s="27"/>
      <c r="H3041" s="27"/>
    </row>
    <row r="3042" spans="1:8" x14ac:dyDescent="0.2">
      <c r="A3042" s="27"/>
      <c r="B3042" s="30"/>
      <c r="G3042" s="27"/>
      <c r="H3042" s="27"/>
    </row>
    <row r="3043" spans="1:8" x14ac:dyDescent="0.2">
      <c r="A3043" s="27"/>
      <c r="B3043" s="30"/>
      <c r="G3043" s="27"/>
      <c r="H3043" s="27"/>
    </row>
    <row r="3044" spans="1:8" x14ac:dyDescent="0.2">
      <c r="A3044" s="27"/>
      <c r="B3044" s="30"/>
      <c r="G3044" s="27"/>
      <c r="H3044" s="27"/>
    </row>
    <row r="3045" spans="1:8" x14ac:dyDescent="0.2">
      <c r="A3045" s="27"/>
      <c r="B3045" s="30"/>
      <c r="G3045" s="27"/>
      <c r="H3045" s="27"/>
    </row>
    <row r="3046" spans="1:8" x14ac:dyDescent="0.2">
      <c r="A3046" s="27"/>
      <c r="B3046" s="30"/>
      <c r="G3046" s="27"/>
      <c r="H3046" s="27"/>
    </row>
    <row r="3047" spans="1:8" x14ac:dyDescent="0.2">
      <c r="A3047" s="27"/>
      <c r="B3047" s="30"/>
      <c r="G3047" s="27"/>
      <c r="H3047" s="27"/>
    </row>
    <row r="3048" spans="1:8" x14ac:dyDescent="0.2">
      <c r="A3048" s="27"/>
      <c r="B3048" s="30"/>
      <c r="G3048" s="27"/>
      <c r="H3048" s="27"/>
    </row>
    <row r="3049" spans="1:8" x14ac:dyDescent="0.2">
      <c r="A3049" s="27"/>
      <c r="B3049" s="30"/>
      <c r="G3049" s="27"/>
      <c r="H3049" s="27"/>
    </row>
    <row r="3050" spans="1:8" x14ac:dyDescent="0.2">
      <c r="A3050" s="27"/>
      <c r="B3050" s="30"/>
      <c r="G3050" s="27"/>
      <c r="H3050" s="27"/>
    </row>
    <row r="3051" spans="1:8" x14ac:dyDescent="0.2">
      <c r="A3051" s="27"/>
      <c r="B3051" s="30"/>
      <c r="G3051" s="27"/>
      <c r="H3051" s="27"/>
    </row>
    <row r="3052" spans="1:8" x14ac:dyDescent="0.2">
      <c r="A3052" s="27"/>
      <c r="B3052" s="30"/>
      <c r="G3052" s="27"/>
      <c r="H3052" s="27"/>
    </row>
    <row r="3053" spans="1:8" x14ac:dyDescent="0.2">
      <c r="A3053" s="27"/>
      <c r="B3053" s="30"/>
      <c r="G3053" s="27"/>
      <c r="H3053" s="27"/>
    </row>
    <row r="3054" spans="1:8" x14ac:dyDescent="0.2">
      <c r="A3054" s="27"/>
      <c r="B3054" s="30"/>
      <c r="G3054" s="27"/>
      <c r="H3054" s="27"/>
    </row>
    <row r="3055" spans="1:8" x14ac:dyDescent="0.2">
      <c r="A3055" s="27"/>
      <c r="B3055" s="30"/>
      <c r="G3055" s="27"/>
      <c r="H3055" s="27"/>
    </row>
    <row r="3056" spans="1:8" x14ac:dyDescent="0.2">
      <c r="A3056" s="27"/>
      <c r="B3056" s="30"/>
      <c r="G3056" s="27"/>
      <c r="H3056" s="27"/>
    </row>
    <row r="3057" spans="1:8" x14ac:dyDescent="0.2">
      <c r="A3057" s="27"/>
      <c r="B3057" s="30"/>
      <c r="G3057" s="27"/>
      <c r="H3057" s="27"/>
    </row>
    <row r="3058" spans="1:8" x14ac:dyDescent="0.2">
      <c r="A3058" s="27"/>
      <c r="B3058" s="30"/>
      <c r="G3058" s="27"/>
      <c r="H3058" s="27"/>
    </row>
    <row r="3059" spans="1:8" x14ac:dyDescent="0.2">
      <c r="A3059" s="27"/>
      <c r="B3059" s="30"/>
      <c r="G3059" s="27"/>
      <c r="H3059" s="27"/>
    </row>
    <row r="3060" spans="1:8" x14ac:dyDescent="0.2">
      <c r="A3060" s="27"/>
      <c r="B3060" s="30"/>
      <c r="G3060" s="27"/>
      <c r="H3060" s="27"/>
    </row>
    <row r="3061" spans="1:8" x14ac:dyDescent="0.2">
      <c r="A3061" s="27"/>
      <c r="B3061" s="30"/>
      <c r="G3061" s="27"/>
      <c r="H3061" s="27"/>
    </row>
    <row r="3062" spans="1:8" x14ac:dyDescent="0.2">
      <c r="A3062" s="27"/>
      <c r="B3062" s="30"/>
      <c r="G3062" s="27"/>
      <c r="H3062" s="27"/>
    </row>
    <row r="3063" spans="1:8" x14ac:dyDescent="0.2">
      <c r="A3063" s="27"/>
      <c r="B3063" s="30"/>
      <c r="G3063" s="27"/>
      <c r="H3063" s="27"/>
    </row>
    <row r="3064" spans="1:8" x14ac:dyDescent="0.2">
      <c r="A3064" s="27"/>
      <c r="B3064" s="30"/>
      <c r="G3064" s="27"/>
      <c r="H3064" s="27"/>
    </row>
    <row r="3065" spans="1:8" x14ac:dyDescent="0.2">
      <c r="A3065" s="27"/>
      <c r="B3065" s="30"/>
      <c r="G3065" s="27"/>
      <c r="H3065" s="27"/>
    </row>
    <row r="3066" spans="1:8" x14ac:dyDescent="0.2">
      <c r="A3066" s="27"/>
      <c r="B3066" s="30"/>
      <c r="G3066" s="27"/>
      <c r="H3066" s="27"/>
    </row>
    <row r="3067" spans="1:8" x14ac:dyDescent="0.2">
      <c r="A3067" s="27"/>
      <c r="B3067" s="30"/>
      <c r="G3067" s="27"/>
      <c r="H3067" s="27"/>
    </row>
    <row r="3068" spans="1:8" x14ac:dyDescent="0.2">
      <c r="A3068" s="27"/>
      <c r="B3068" s="30"/>
      <c r="G3068" s="27"/>
      <c r="H3068" s="27"/>
    </row>
    <row r="3069" spans="1:8" x14ac:dyDescent="0.2">
      <c r="A3069" s="27"/>
      <c r="B3069" s="30"/>
      <c r="G3069" s="27"/>
      <c r="H3069" s="27"/>
    </row>
    <row r="3070" spans="1:8" x14ac:dyDescent="0.2">
      <c r="A3070" s="27"/>
      <c r="B3070" s="30"/>
      <c r="G3070" s="27"/>
      <c r="H3070" s="27"/>
    </row>
    <row r="3071" spans="1:8" x14ac:dyDescent="0.2">
      <c r="A3071" s="27"/>
      <c r="B3071" s="30"/>
      <c r="G3071" s="27"/>
      <c r="H3071" s="27"/>
    </row>
    <row r="3072" spans="1:8" x14ac:dyDescent="0.2">
      <c r="A3072" s="27"/>
      <c r="B3072" s="30"/>
      <c r="G3072" s="27"/>
      <c r="H3072" s="27"/>
    </row>
    <row r="3073" spans="1:8" x14ac:dyDescent="0.2">
      <c r="A3073" s="27"/>
      <c r="B3073" s="30"/>
      <c r="G3073" s="27"/>
      <c r="H3073" s="27"/>
    </row>
    <row r="3074" spans="1:8" x14ac:dyDescent="0.2">
      <c r="A3074" s="27"/>
      <c r="B3074" s="30"/>
      <c r="G3074" s="27"/>
      <c r="H3074" s="27"/>
    </row>
    <row r="3075" spans="1:8" x14ac:dyDescent="0.2">
      <c r="A3075" s="27"/>
      <c r="B3075" s="30"/>
      <c r="G3075" s="27"/>
      <c r="H3075" s="27"/>
    </row>
    <row r="3076" spans="1:8" x14ac:dyDescent="0.2">
      <c r="A3076" s="27"/>
      <c r="B3076" s="30"/>
      <c r="G3076" s="27"/>
      <c r="H3076" s="27"/>
    </row>
    <row r="3077" spans="1:8" x14ac:dyDescent="0.2">
      <c r="A3077" s="27"/>
      <c r="B3077" s="30"/>
      <c r="G3077" s="27"/>
      <c r="H3077" s="27"/>
    </row>
    <row r="3078" spans="1:8" x14ac:dyDescent="0.2">
      <c r="A3078" s="27"/>
      <c r="B3078" s="30"/>
      <c r="G3078" s="27"/>
      <c r="H3078" s="27"/>
    </row>
    <row r="3079" spans="1:8" x14ac:dyDescent="0.2">
      <c r="A3079" s="27"/>
      <c r="B3079" s="30"/>
      <c r="G3079" s="27"/>
      <c r="H3079" s="27"/>
    </row>
    <row r="3080" spans="1:8" x14ac:dyDescent="0.2">
      <c r="A3080" s="27"/>
      <c r="B3080" s="30"/>
      <c r="G3080" s="27"/>
      <c r="H3080" s="27"/>
    </row>
    <row r="3081" spans="1:8" x14ac:dyDescent="0.2">
      <c r="A3081" s="27"/>
      <c r="B3081" s="30"/>
      <c r="G3081" s="27"/>
      <c r="H3081" s="27"/>
    </row>
    <row r="3082" spans="1:8" x14ac:dyDescent="0.2">
      <c r="A3082" s="27"/>
      <c r="B3082" s="30"/>
      <c r="G3082" s="27"/>
      <c r="H3082" s="27"/>
    </row>
    <row r="3083" spans="1:8" x14ac:dyDescent="0.2">
      <c r="A3083" s="27"/>
      <c r="B3083" s="30"/>
      <c r="G3083" s="27"/>
      <c r="H3083" s="27"/>
    </row>
    <row r="3084" spans="1:8" x14ac:dyDescent="0.2">
      <c r="A3084" s="27"/>
      <c r="B3084" s="30"/>
      <c r="G3084" s="27"/>
      <c r="H3084" s="27"/>
    </row>
    <row r="3085" spans="1:8" x14ac:dyDescent="0.2">
      <c r="A3085" s="27"/>
      <c r="B3085" s="30"/>
      <c r="G3085" s="27"/>
      <c r="H3085" s="27"/>
    </row>
    <row r="3086" spans="1:8" x14ac:dyDescent="0.2">
      <c r="A3086" s="27"/>
      <c r="B3086" s="30"/>
      <c r="G3086" s="27"/>
      <c r="H3086" s="27"/>
    </row>
    <row r="3087" spans="1:8" x14ac:dyDescent="0.2">
      <c r="A3087" s="27"/>
      <c r="B3087" s="30"/>
      <c r="G3087" s="27"/>
      <c r="H3087" s="27"/>
    </row>
    <row r="3088" spans="1:8" x14ac:dyDescent="0.2">
      <c r="A3088" s="27"/>
      <c r="B3088" s="30"/>
      <c r="G3088" s="27"/>
      <c r="H3088" s="27"/>
    </row>
    <row r="3089" spans="1:8" x14ac:dyDescent="0.2">
      <c r="A3089" s="27"/>
      <c r="B3089" s="30"/>
      <c r="G3089" s="27"/>
      <c r="H3089" s="27"/>
    </row>
    <row r="3090" spans="1:8" x14ac:dyDescent="0.2">
      <c r="A3090" s="27"/>
      <c r="B3090" s="30"/>
      <c r="G3090" s="27"/>
      <c r="H3090" s="27"/>
    </row>
    <row r="3091" spans="1:8" x14ac:dyDescent="0.2">
      <c r="A3091" s="27"/>
      <c r="B3091" s="30"/>
      <c r="G3091" s="27"/>
      <c r="H3091" s="27"/>
    </row>
    <row r="3092" spans="1:8" x14ac:dyDescent="0.2">
      <c r="A3092" s="27"/>
      <c r="B3092" s="30"/>
      <c r="G3092" s="27"/>
      <c r="H3092" s="27"/>
    </row>
    <row r="3093" spans="1:8" x14ac:dyDescent="0.2">
      <c r="A3093" s="27"/>
      <c r="B3093" s="30"/>
      <c r="G3093" s="27"/>
      <c r="H3093" s="27"/>
    </row>
    <row r="3094" spans="1:8" x14ac:dyDescent="0.2">
      <c r="A3094" s="27"/>
      <c r="B3094" s="30"/>
      <c r="G3094" s="27"/>
      <c r="H3094" s="27"/>
    </row>
    <row r="3095" spans="1:8" x14ac:dyDescent="0.2">
      <c r="A3095" s="27"/>
      <c r="B3095" s="30"/>
      <c r="G3095" s="27"/>
      <c r="H3095" s="27"/>
    </row>
    <row r="3096" spans="1:8" x14ac:dyDescent="0.2">
      <c r="A3096" s="27"/>
      <c r="B3096" s="30"/>
      <c r="G3096" s="27"/>
      <c r="H3096" s="27"/>
    </row>
    <row r="3097" spans="1:8" x14ac:dyDescent="0.2">
      <c r="A3097" s="27"/>
      <c r="B3097" s="30"/>
      <c r="G3097" s="27"/>
      <c r="H3097" s="27"/>
    </row>
    <row r="3098" spans="1:8" x14ac:dyDescent="0.2">
      <c r="A3098" s="27"/>
      <c r="B3098" s="30"/>
      <c r="G3098" s="27"/>
      <c r="H3098" s="27"/>
    </row>
    <row r="3099" spans="1:8" x14ac:dyDescent="0.2">
      <c r="A3099" s="27"/>
      <c r="B3099" s="30"/>
      <c r="G3099" s="27"/>
      <c r="H3099" s="27"/>
    </row>
    <row r="3100" spans="1:8" x14ac:dyDescent="0.2">
      <c r="A3100" s="27"/>
      <c r="B3100" s="30"/>
      <c r="G3100" s="27"/>
      <c r="H3100" s="27"/>
    </row>
    <row r="3101" spans="1:8" x14ac:dyDescent="0.2">
      <c r="A3101" s="27"/>
      <c r="B3101" s="30"/>
      <c r="G3101" s="27"/>
      <c r="H3101" s="27"/>
    </row>
    <row r="3102" spans="1:8" x14ac:dyDescent="0.2">
      <c r="A3102" s="27"/>
      <c r="B3102" s="30"/>
      <c r="G3102" s="27"/>
      <c r="H3102" s="27"/>
    </row>
    <row r="3103" spans="1:8" x14ac:dyDescent="0.2">
      <c r="A3103" s="27"/>
      <c r="B3103" s="30"/>
      <c r="G3103" s="27"/>
      <c r="H3103" s="27"/>
    </row>
    <row r="3104" spans="1:8" x14ac:dyDescent="0.2">
      <c r="A3104" s="27"/>
      <c r="B3104" s="30"/>
      <c r="G3104" s="27"/>
      <c r="H3104" s="27"/>
    </row>
    <row r="3105" spans="1:8" x14ac:dyDescent="0.2">
      <c r="A3105" s="27"/>
      <c r="B3105" s="30"/>
      <c r="G3105" s="27"/>
      <c r="H3105" s="27"/>
    </row>
    <row r="3106" spans="1:8" x14ac:dyDescent="0.2">
      <c r="A3106" s="27"/>
      <c r="B3106" s="30"/>
      <c r="G3106" s="27"/>
      <c r="H3106" s="27"/>
    </row>
    <row r="3107" spans="1:8" x14ac:dyDescent="0.2">
      <c r="A3107" s="27"/>
      <c r="B3107" s="30"/>
      <c r="G3107" s="27"/>
      <c r="H3107" s="27"/>
    </row>
    <row r="3108" spans="1:8" x14ac:dyDescent="0.2">
      <c r="A3108" s="27"/>
      <c r="B3108" s="30"/>
      <c r="G3108" s="27"/>
      <c r="H3108" s="27"/>
    </row>
    <row r="3109" spans="1:8" x14ac:dyDescent="0.2">
      <c r="A3109" s="27"/>
      <c r="B3109" s="30"/>
      <c r="G3109" s="27"/>
      <c r="H3109" s="27"/>
    </row>
    <row r="3110" spans="1:8" x14ac:dyDescent="0.2">
      <c r="A3110" s="27"/>
      <c r="B3110" s="30"/>
      <c r="G3110" s="27"/>
      <c r="H3110" s="27"/>
    </row>
    <row r="3111" spans="1:8" x14ac:dyDescent="0.2">
      <c r="A3111" s="27"/>
      <c r="B3111" s="30"/>
      <c r="G3111" s="27"/>
      <c r="H3111" s="27"/>
    </row>
    <row r="3112" spans="1:8" x14ac:dyDescent="0.2">
      <c r="A3112" s="27"/>
      <c r="B3112" s="30"/>
      <c r="G3112" s="27"/>
      <c r="H3112" s="27"/>
    </row>
    <row r="3113" spans="1:8" x14ac:dyDescent="0.2">
      <c r="A3113" s="27"/>
      <c r="B3113" s="30"/>
      <c r="G3113" s="27"/>
      <c r="H3113" s="27"/>
    </row>
    <row r="3114" spans="1:8" x14ac:dyDescent="0.2">
      <c r="A3114" s="27"/>
      <c r="B3114" s="30"/>
      <c r="G3114" s="27"/>
      <c r="H3114" s="27"/>
    </row>
    <row r="3115" spans="1:8" x14ac:dyDescent="0.2">
      <c r="A3115" s="27"/>
      <c r="B3115" s="30"/>
      <c r="G3115" s="27"/>
      <c r="H3115" s="27"/>
    </row>
    <row r="3116" spans="1:8" x14ac:dyDescent="0.2">
      <c r="A3116" s="27"/>
      <c r="B3116" s="30"/>
      <c r="G3116" s="27"/>
      <c r="H3116" s="27"/>
    </row>
    <row r="3117" spans="1:8" x14ac:dyDescent="0.2">
      <c r="A3117" s="27"/>
      <c r="B3117" s="30"/>
      <c r="G3117" s="27"/>
      <c r="H3117" s="27"/>
    </row>
    <row r="3118" spans="1:8" x14ac:dyDescent="0.2">
      <c r="A3118" s="27"/>
      <c r="B3118" s="30"/>
      <c r="G3118" s="27"/>
      <c r="H3118" s="27"/>
    </row>
    <row r="3119" spans="1:8" x14ac:dyDescent="0.2">
      <c r="A3119" s="27"/>
      <c r="B3119" s="30"/>
      <c r="G3119" s="27"/>
      <c r="H3119" s="27"/>
    </row>
    <row r="3120" spans="1:8" x14ac:dyDescent="0.2">
      <c r="A3120" s="27"/>
      <c r="B3120" s="30"/>
      <c r="G3120" s="27"/>
      <c r="H3120" s="27"/>
    </row>
    <row r="3121" spans="1:8" x14ac:dyDescent="0.2">
      <c r="A3121" s="27"/>
      <c r="B3121" s="30"/>
      <c r="G3121" s="27"/>
      <c r="H3121" s="27"/>
    </row>
    <row r="3122" spans="1:8" x14ac:dyDescent="0.2">
      <c r="A3122" s="27"/>
      <c r="B3122" s="30"/>
      <c r="G3122" s="27"/>
      <c r="H3122" s="27"/>
    </row>
    <row r="3123" spans="1:8" x14ac:dyDescent="0.2">
      <c r="A3123" s="27"/>
      <c r="B3123" s="30"/>
      <c r="G3123" s="27"/>
      <c r="H3123" s="27"/>
    </row>
    <row r="3124" spans="1:8" x14ac:dyDescent="0.2">
      <c r="A3124" s="27"/>
      <c r="B3124" s="30"/>
      <c r="G3124" s="27"/>
      <c r="H3124" s="27"/>
    </row>
    <row r="3125" spans="1:8" x14ac:dyDescent="0.2">
      <c r="A3125" s="27"/>
      <c r="B3125" s="30"/>
      <c r="G3125" s="27"/>
      <c r="H3125" s="27"/>
    </row>
    <row r="3126" spans="1:8" x14ac:dyDescent="0.2">
      <c r="A3126" s="27"/>
      <c r="B3126" s="30"/>
      <c r="G3126" s="27"/>
      <c r="H3126" s="27"/>
    </row>
    <row r="3127" spans="1:8" x14ac:dyDescent="0.2">
      <c r="A3127" s="27"/>
      <c r="B3127" s="30"/>
      <c r="G3127" s="27"/>
      <c r="H3127" s="27"/>
    </row>
    <row r="3128" spans="1:8" x14ac:dyDescent="0.2">
      <c r="A3128" s="27"/>
      <c r="B3128" s="30"/>
      <c r="G3128" s="27"/>
      <c r="H3128" s="27"/>
    </row>
    <row r="3129" spans="1:8" x14ac:dyDescent="0.2">
      <c r="A3129" s="27"/>
      <c r="B3129" s="30"/>
      <c r="G3129" s="27"/>
      <c r="H3129" s="27"/>
    </row>
    <row r="3130" spans="1:8" x14ac:dyDescent="0.2">
      <c r="A3130" s="27"/>
      <c r="B3130" s="30"/>
      <c r="G3130" s="27"/>
      <c r="H3130" s="27"/>
    </row>
    <row r="3131" spans="1:8" x14ac:dyDescent="0.2">
      <c r="A3131" s="27"/>
      <c r="B3131" s="30"/>
      <c r="G3131" s="27"/>
      <c r="H3131" s="27"/>
    </row>
    <row r="3132" spans="1:8" x14ac:dyDescent="0.2">
      <c r="A3132" s="27"/>
      <c r="B3132" s="30"/>
      <c r="G3132" s="27"/>
      <c r="H3132" s="27"/>
    </row>
    <row r="3133" spans="1:8" x14ac:dyDescent="0.2">
      <c r="A3133" s="27"/>
      <c r="B3133" s="30"/>
      <c r="G3133" s="27"/>
      <c r="H3133" s="27"/>
    </row>
    <row r="3134" spans="1:8" x14ac:dyDescent="0.2">
      <c r="A3134" s="27"/>
      <c r="B3134" s="30"/>
      <c r="G3134" s="27"/>
      <c r="H3134" s="27"/>
    </row>
    <row r="3135" spans="1:8" x14ac:dyDescent="0.2">
      <c r="A3135" s="27"/>
      <c r="B3135" s="30"/>
      <c r="G3135" s="27"/>
      <c r="H3135" s="27"/>
    </row>
    <row r="3136" spans="1:8" x14ac:dyDescent="0.2">
      <c r="A3136" s="27"/>
      <c r="B3136" s="30"/>
      <c r="G3136" s="27"/>
      <c r="H3136" s="27"/>
    </row>
    <row r="3137" spans="1:8" x14ac:dyDescent="0.2">
      <c r="A3137" s="27"/>
      <c r="B3137" s="30"/>
      <c r="G3137" s="27"/>
      <c r="H3137" s="27"/>
    </row>
    <row r="3138" spans="1:8" x14ac:dyDescent="0.2">
      <c r="A3138" s="27"/>
      <c r="B3138" s="30"/>
      <c r="G3138" s="27"/>
      <c r="H3138" s="27"/>
    </row>
    <row r="3139" spans="1:8" x14ac:dyDescent="0.2">
      <c r="A3139" s="27"/>
      <c r="B3139" s="30"/>
      <c r="G3139" s="27"/>
      <c r="H3139" s="27"/>
    </row>
    <row r="3140" spans="1:8" x14ac:dyDescent="0.2">
      <c r="A3140" s="27"/>
      <c r="B3140" s="30"/>
      <c r="G3140" s="27"/>
      <c r="H3140" s="27"/>
    </row>
    <row r="3141" spans="1:8" x14ac:dyDescent="0.2">
      <c r="A3141" s="27"/>
      <c r="B3141" s="30"/>
      <c r="G3141" s="27"/>
      <c r="H3141" s="27"/>
    </row>
    <row r="3142" spans="1:8" x14ac:dyDescent="0.2">
      <c r="A3142" s="27"/>
      <c r="B3142" s="30"/>
      <c r="G3142" s="27"/>
      <c r="H3142" s="27"/>
    </row>
    <row r="3143" spans="1:8" x14ac:dyDescent="0.2">
      <c r="A3143" s="27"/>
      <c r="B3143" s="30"/>
      <c r="G3143" s="27"/>
      <c r="H3143" s="27"/>
    </row>
    <row r="3144" spans="1:8" x14ac:dyDescent="0.2">
      <c r="A3144" s="27"/>
      <c r="B3144" s="30"/>
      <c r="G3144" s="27"/>
      <c r="H3144" s="27"/>
    </row>
    <row r="3145" spans="1:8" x14ac:dyDescent="0.2">
      <c r="A3145" s="27"/>
      <c r="B3145" s="30"/>
      <c r="G3145" s="27"/>
      <c r="H3145" s="27"/>
    </row>
    <row r="3146" spans="1:8" x14ac:dyDescent="0.2">
      <c r="A3146" s="27"/>
      <c r="B3146" s="30"/>
      <c r="G3146" s="27"/>
      <c r="H3146" s="27"/>
    </row>
    <row r="3147" spans="1:8" x14ac:dyDescent="0.2">
      <c r="A3147" s="27"/>
      <c r="B3147" s="30"/>
      <c r="G3147" s="27"/>
      <c r="H3147" s="27"/>
    </row>
    <row r="3148" spans="1:8" x14ac:dyDescent="0.2">
      <c r="A3148" s="27"/>
      <c r="B3148" s="30"/>
      <c r="G3148" s="27"/>
      <c r="H3148" s="27"/>
    </row>
    <row r="3149" spans="1:8" x14ac:dyDescent="0.2">
      <c r="A3149" s="27"/>
      <c r="B3149" s="30"/>
      <c r="G3149" s="27"/>
      <c r="H3149" s="27"/>
    </row>
    <row r="3150" spans="1:8" x14ac:dyDescent="0.2">
      <c r="A3150" s="27"/>
      <c r="B3150" s="30"/>
      <c r="G3150" s="27"/>
      <c r="H3150" s="27"/>
    </row>
    <row r="3151" spans="1:8" x14ac:dyDescent="0.2">
      <c r="A3151" s="27"/>
      <c r="B3151" s="30"/>
      <c r="G3151" s="27"/>
      <c r="H3151" s="27"/>
    </row>
    <row r="3152" spans="1:8" x14ac:dyDescent="0.2">
      <c r="A3152" s="27"/>
      <c r="B3152" s="30"/>
      <c r="G3152" s="27"/>
      <c r="H3152" s="27"/>
    </row>
    <row r="3153" spans="1:8" x14ac:dyDescent="0.2">
      <c r="A3153" s="27"/>
      <c r="B3153" s="30"/>
      <c r="G3153" s="27"/>
      <c r="H3153" s="27"/>
    </row>
    <row r="3154" spans="1:8" x14ac:dyDescent="0.2">
      <c r="A3154" s="27"/>
      <c r="B3154" s="30"/>
      <c r="G3154" s="27"/>
      <c r="H3154" s="27"/>
    </row>
    <row r="3155" spans="1:8" x14ac:dyDescent="0.2">
      <c r="A3155" s="27"/>
      <c r="B3155" s="30"/>
      <c r="G3155" s="27"/>
      <c r="H3155" s="27"/>
    </row>
    <row r="3156" spans="1:8" x14ac:dyDescent="0.2">
      <c r="A3156" s="27"/>
      <c r="B3156" s="30"/>
      <c r="G3156" s="27"/>
      <c r="H3156" s="27"/>
    </row>
    <row r="3157" spans="1:8" x14ac:dyDescent="0.2">
      <c r="A3157" s="27"/>
      <c r="B3157" s="30"/>
      <c r="G3157" s="27"/>
      <c r="H3157" s="27"/>
    </row>
    <row r="3158" spans="1:8" x14ac:dyDescent="0.2">
      <c r="A3158" s="27"/>
      <c r="B3158" s="30"/>
      <c r="G3158" s="27"/>
      <c r="H3158" s="27"/>
    </row>
    <row r="3159" spans="1:8" x14ac:dyDescent="0.2">
      <c r="A3159" s="27"/>
      <c r="B3159" s="30"/>
      <c r="G3159" s="27"/>
      <c r="H3159" s="27"/>
    </row>
    <row r="3160" spans="1:8" x14ac:dyDescent="0.2">
      <c r="A3160" s="27"/>
      <c r="B3160" s="30"/>
      <c r="G3160" s="27"/>
      <c r="H3160" s="27"/>
    </row>
    <row r="3161" spans="1:8" x14ac:dyDescent="0.2">
      <c r="A3161" s="27"/>
      <c r="B3161" s="30"/>
      <c r="G3161" s="27"/>
      <c r="H3161" s="27"/>
    </row>
    <row r="3162" spans="1:8" x14ac:dyDescent="0.2">
      <c r="A3162" s="27"/>
      <c r="B3162" s="30"/>
      <c r="G3162" s="27"/>
      <c r="H3162" s="27"/>
    </row>
    <row r="3163" spans="1:8" x14ac:dyDescent="0.2">
      <c r="A3163" s="27"/>
      <c r="B3163" s="30"/>
      <c r="G3163" s="27"/>
      <c r="H3163" s="27"/>
    </row>
    <row r="3164" spans="1:8" x14ac:dyDescent="0.2">
      <c r="A3164" s="27"/>
      <c r="B3164" s="30"/>
      <c r="G3164" s="27"/>
      <c r="H3164" s="27"/>
    </row>
    <row r="3165" spans="1:8" x14ac:dyDescent="0.2">
      <c r="A3165" s="27"/>
      <c r="B3165" s="30"/>
      <c r="G3165" s="27"/>
      <c r="H3165" s="27"/>
    </row>
    <row r="3166" spans="1:8" x14ac:dyDescent="0.2">
      <c r="A3166" s="27"/>
      <c r="B3166" s="30"/>
      <c r="G3166" s="27"/>
      <c r="H3166" s="27"/>
    </row>
    <row r="3167" spans="1:8" x14ac:dyDescent="0.2">
      <c r="A3167" s="27"/>
      <c r="B3167" s="30"/>
      <c r="G3167" s="27"/>
      <c r="H3167" s="27"/>
    </row>
    <row r="3168" spans="1:8" x14ac:dyDescent="0.2">
      <c r="A3168" s="27"/>
      <c r="B3168" s="30"/>
      <c r="G3168" s="27"/>
      <c r="H3168" s="27"/>
    </row>
    <row r="3169" spans="1:8" x14ac:dyDescent="0.2">
      <c r="A3169" s="27"/>
      <c r="B3169" s="30"/>
      <c r="G3169" s="27"/>
      <c r="H3169" s="27"/>
    </row>
    <row r="3170" spans="1:8" x14ac:dyDescent="0.2">
      <c r="A3170" s="27"/>
      <c r="B3170" s="30"/>
      <c r="G3170" s="27"/>
      <c r="H3170" s="27"/>
    </row>
    <row r="3171" spans="1:8" x14ac:dyDescent="0.2">
      <c r="A3171" s="27"/>
      <c r="B3171" s="30"/>
      <c r="G3171" s="27"/>
      <c r="H3171" s="27"/>
    </row>
    <row r="3172" spans="1:8" x14ac:dyDescent="0.2">
      <c r="A3172" s="27"/>
      <c r="B3172" s="30"/>
      <c r="G3172" s="27"/>
      <c r="H3172" s="27"/>
    </row>
    <row r="3173" spans="1:8" x14ac:dyDescent="0.2">
      <c r="A3173" s="27"/>
      <c r="B3173" s="30"/>
      <c r="G3173" s="27"/>
      <c r="H3173" s="27"/>
    </row>
    <row r="3174" spans="1:8" x14ac:dyDescent="0.2">
      <c r="A3174" s="27"/>
      <c r="B3174" s="30"/>
      <c r="G3174" s="27"/>
      <c r="H3174" s="27"/>
    </row>
    <row r="3175" spans="1:8" x14ac:dyDescent="0.2">
      <c r="A3175" s="27"/>
      <c r="B3175" s="30"/>
      <c r="G3175" s="27"/>
      <c r="H3175" s="27"/>
    </row>
    <row r="3176" spans="1:8" x14ac:dyDescent="0.2">
      <c r="A3176" s="27"/>
      <c r="B3176" s="30"/>
      <c r="G3176" s="27"/>
      <c r="H3176" s="27"/>
    </row>
    <row r="3177" spans="1:8" x14ac:dyDescent="0.2">
      <c r="A3177" s="27"/>
      <c r="B3177" s="30"/>
      <c r="G3177" s="27"/>
      <c r="H3177" s="27"/>
    </row>
    <row r="3178" spans="1:8" x14ac:dyDescent="0.2">
      <c r="A3178" s="27"/>
      <c r="B3178" s="30"/>
      <c r="G3178" s="27"/>
      <c r="H3178" s="27"/>
    </row>
    <row r="3179" spans="1:8" x14ac:dyDescent="0.2">
      <c r="A3179" s="27"/>
      <c r="B3179" s="30"/>
      <c r="G3179" s="27"/>
      <c r="H3179" s="27"/>
    </row>
    <row r="3180" spans="1:8" x14ac:dyDescent="0.2">
      <c r="A3180" s="27"/>
      <c r="B3180" s="30"/>
      <c r="G3180" s="27"/>
      <c r="H3180" s="27"/>
    </row>
    <row r="3181" spans="1:8" x14ac:dyDescent="0.2">
      <c r="A3181" s="27"/>
      <c r="B3181" s="30"/>
      <c r="G3181" s="27"/>
      <c r="H3181" s="27"/>
    </row>
    <row r="3182" spans="1:8" x14ac:dyDescent="0.2">
      <c r="A3182" s="27"/>
      <c r="B3182" s="30"/>
      <c r="G3182" s="27"/>
      <c r="H3182" s="27"/>
    </row>
    <row r="3183" spans="1:8" x14ac:dyDescent="0.2">
      <c r="A3183" s="27"/>
      <c r="B3183" s="30"/>
      <c r="G3183" s="27"/>
      <c r="H3183" s="27"/>
    </row>
    <row r="3184" spans="1:8" x14ac:dyDescent="0.2">
      <c r="A3184" s="27"/>
      <c r="B3184" s="30"/>
      <c r="G3184" s="27"/>
      <c r="H3184" s="27"/>
    </row>
    <row r="3185" spans="1:8" x14ac:dyDescent="0.2">
      <c r="A3185" s="27"/>
      <c r="B3185" s="30"/>
      <c r="G3185" s="27"/>
      <c r="H3185" s="27"/>
    </row>
    <row r="3186" spans="1:8" x14ac:dyDescent="0.2">
      <c r="A3186" s="27"/>
      <c r="B3186" s="30"/>
      <c r="G3186" s="27"/>
      <c r="H3186" s="27"/>
    </row>
    <row r="3187" spans="1:8" x14ac:dyDescent="0.2">
      <c r="A3187" s="27"/>
      <c r="B3187" s="30"/>
      <c r="G3187" s="27"/>
      <c r="H3187" s="27"/>
    </row>
    <row r="3188" spans="1:8" x14ac:dyDescent="0.2">
      <c r="A3188" s="27"/>
      <c r="B3188" s="30"/>
      <c r="G3188" s="27"/>
      <c r="H3188" s="27"/>
    </row>
    <row r="3189" spans="1:8" x14ac:dyDescent="0.2">
      <c r="A3189" s="27"/>
      <c r="B3189" s="30"/>
      <c r="G3189" s="27"/>
      <c r="H3189" s="27"/>
    </row>
    <row r="3190" spans="1:8" x14ac:dyDescent="0.2">
      <c r="A3190" s="27"/>
      <c r="B3190" s="30"/>
      <c r="G3190" s="27"/>
      <c r="H3190" s="27"/>
    </row>
    <row r="3191" spans="1:8" x14ac:dyDescent="0.2">
      <c r="A3191" s="27"/>
      <c r="B3191" s="30"/>
      <c r="G3191" s="27"/>
      <c r="H3191" s="27"/>
    </row>
    <row r="3192" spans="1:8" x14ac:dyDescent="0.2">
      <c r="A3192" s="27"/>
      <c r="B3192" s="30"/>
      <c r="G3192" s="27"/>
      <c r="H3192" s="27"/>
    </row>
    <row r="3193" spans="1:8" x14ac:dyDescent="0.2">
      <c r="A3193" s="27"/>
      <c r="B3193" s="30"/>
      <c r="G3193" s="27"/>
      <c r="H3193" s="27"/>
    </row>
    <row r="3194" spans="1:8" x14ac:dyDescent="0.2">
      <c r="A3194" s="27"/>
      <c r="B3194" s="30"/>
      <c r="G3194" s="27"/>
      <c r="H3194" s="27"/>
    </row>
    <row r="3195" spans="1:8" x14ac:dyDescent="0.2">
      <c r="A3195" s="27"/>
      <c r="B3195" s="30"/>
      <c r="G3195" s="27"/>
      <c r="H3195" s="27"/>
    </row>
    <row r="3196" spans="1:8" x14ac:dyDescent="0.2">
      <c r="A3196" s="27"/>
      <c r="B3196" s="30"/>
      <c r="G3196" s="27"/>
      <c r="H3196" s="27"/>
    </row>
    <row r="3197" spans="1:8" x14ac:dyDescent="0.2">
      <c r="A3197" s="27"/>
      <c r="B3197" s="30"/>
      <c r="G3197" s="27"/>
      <c r="H3197" s="27"/>
    </row>
    <row r="3198" spans="1:8" x14ac:dyDescent="0.2">
      <c r="A3198" s="27"/>
      <c r="B3198" s="30"/>
      <c r="G3198" s="27"/>
      <c r="H3198" s="27"/>
    </row>
    <row r="3199" spans="1:8" x14ac:dyDescent="0.2">
      <c r="A3199" s="27"/>
      <c r="B3199" s="30"/>
      <c r="G3199" s="27"/>
      <c r="H3199" s="27"/>
    </row>
    <row r="3200" spans="1:8" x14ac:dyDescent="0.2">
      <c r="A3200" s="27"/>
      <c r="B3200" s="30"/>
      <c r="G3200" s="27"/>
      <c r="H3200" s="27"/>
    </row>
    <row r="3201" spans="1:8" x14ac:dyDescent="0.2">
      <c r="A3201" s="27"/>
      <c r="B3201" s="30"/>
      <c r="G3201" s="27"/>
      <c r="H3201" s="27"/>
    </row>
    <row r="3202" spans="1:8" x14ac:dyDescent="0.2">
      <c r="A3202" s="27"/>
      <c r="B3202" s="30"/>
      <c r="G3202" s="27"/>
      <c r="H3202" s="27"/>
    </row>
    <row r="3203" spans="1:8" x14ac:dyDescent="0.2">
      <c r="A3203" s="27"/>
      <c r="B3203" s="30"/>
      <c r="G3203" s="27"/>
      <c r="H3203" s="27"/>
    </row>
    <row r="3204" spans="1:8" x14ac:dyDescent="0.2">
      <c r="A3204" s="27"/>
      <c r="B3204" s="30"/>
      <c r="G3204" s="27"/>
      <c r="H3204" s="27"/>
    </row>
    <row r="3205" spans="1:8" x14ac:dyDescent="0.2">
      <c r="A3205" s="27"/>
      <c r="B3205" s="30"/>
      <c r="G3205" s="27"/>
      <c r="H3205" s="27"/>
    </row>
    <row r="3206" spans="1:8" x14ac:dyDescent="0.2">
      <c r="A3206" s="27"/>
      <c r="B3206" s="30"/>
      <c r="G3206" s="27"/>
      <c r="H3206" s="27"/>
    </row>
    <row r="3207" spans="1:8" x14ac:dyDescent="0.2">
      <c r="A3207" s="27"/>
      <c r="B3207" s="30"/>
      <c r="G3207" s="27"/>
      <c r="H3207" s="27"/>
    </row>
    <row r="3208" spans="1:8" x14ac:dyDescent="0.2">
      <c r="A3208" s="27"/>
      <c r="B3208" s="30"/>
      <c r="G3208" s="27"/>
      <c r="H3208" s="27"/>
    </row>
    <row r="3209" spans="1:8" x14ac:dyDescent="0.2">
      <c r="A3209" s="27"/>
      <c r="B3209" s="30"/>
      <c r="G3209" s="27"/>
      <c r="H3209" s="27"/>
    </row>
    <row r="3210" spans="1:8" x14ac:dyDescent="0.2">
      <c r="A3210" s="27"/>
      <c r="B3210" s="30"/>
      <c r="G3210" s="27"/>
      <c r="H3210" s="27"/>
    </row>
    <row r="3211" spans="1:8" x14ac:dyDescent="0.2">
      <c r="A3211" s="27"/>
      <c r="B3211" s="30"/>
      <c r="G3211" s="27"/>
      <c r="H3211" s="27"/>
    </row>
    <row r="3212" spans="1:8" x14ac:dyDescent="0.2">
      <c r="A3212" s="27"/>
      <c r="B3212" s="30"/>
      <c r="G3212" s="27"/>
      <c r="H3212" s="27"/>
    </row>
    <row r="3213" spans="1:8" x14ac:dyDescent="0.2">
      <c r="A3213" s="27"/>
      <c r="B3213" s="30"/>
      <c r="G3213" s="27"/>
      <c r="H3213" s="27"/>
    </row>
    <row r="3214" spans="1:8" x14ac:dyDescent="0.2">
      <c r="A3214" s="27"/>
      <c r="B3214" s="30"/>
      <c r="G3214" s="27"/>
      <c r="H3214" s="27"/>
    </row>
    <row r="3215" spans="1:8" x14ac:dyDescent="0.2">
      <c r="A3215" s="27"/>
      <c r="B3215" s="30"/>
      <c r="G3215" s="27"/>
      <c r="H3215" s="27"/>
    </row>
    <row r="3216" spans="1:8" x14ac:dyDescent="0.2">
      <c r="A3216" s="27"/>
      <c r="B3216" s="30"/>
      <c r="G3216" s="27"/>
      <c r="H3216" s="27"/>
    </row>
    <row r="3217" spans="1:8" x14ac:dyDescent="0.2">
      <c r="A3217" s="27"/>
      <c r="B3217" s="30"/>
      <c r="G3217" s="27"/>
      <c r="H3217" s="27"/>
    </row>
    <row r="3218" spans="1:8" x14ac:dyDescent="0.2">
      <c r="A3218" s="27"/>
      <c r="B3218" s="30"/>
      <c r="G3218" s="27"/>
      <c r="H3218" s="27"/>
    </row>
    <row r="3219" spans="1:8" x14ac:dyDescent="0.2">
      <c r="A3219" s="27"/>
      <c r="B3219" s="30"/>
      <c r="G3219" s="27"/>
      <c r="H3219" s="27"/>
    </row>
    <row r="3220" spans="1:8" x14ac:dyDescent="0.2">
      <c r="A3220" s="27"/>
      <c r="B3220" s="30"/>
      <c r="G3220" s="27"/>
      <c r="H3220" s="27"/>
    </row>
    <row r="3221" spans="1:8" x14ac:dyDescent="0.2">
      <c r="A3221" s="27"/>
      <c r="B3221" s="30"/>
      <c r="G3221" s="27"/>
      <c r="H3221" s="27"/>
    </row>
    <row r="3222" spans="1:8" x14ac:dyDescent="0.2">
      <c r="A3222" s="27"/>
      <c r="B3222" s="30"/>
      <c r="G3222" s="27"/>
      <c r="H3222" s="27"/>
    </row>
    <row r="3223" spans="1:8" x14ac:dyDescent="0.2">
      <c r="A3223" s="27"/>
      <c r="B3223" s="30"/>
      <c r="G3223" s="27"/>
      <c r="H3223" s="27"/>
    </row>
    <row r="3224" spans="1:8" x14ac:dyDescent="0.2">
      <c r="A3224" s="27"/>
      <c r="B3224" s="30"/>
      <c r="G3224" s="27"/>
      <c r="H3224" s="27"/>
    </row>
    <row r="3225" spans="1:8" x14ac:dyDescent="0.2">
      <c r="A3225" s="27"/>
      <c r="B3225" s="30"/>
      <c r="G3225" s="27"/>
      <c r="H3225" s="27"/>
    </row>
    <row r="3226" spans="1:8" x14ac:dyDescent="0.2">
      <c r="A3226" s="27"/>
      <c r="B3226" s="30"/>
      <c r="G3226" s="27"/>
      <c r="H3226" s="27"/>
    </row>
    <row r="3227" spans="1:8" x14ac:dyDescent="0.2">
      <c r="A3227" s="27"/>
      <c r="B3227" s="30"/>
      <c r="G3227" s="27"/>
      <c r="H3227" s="27"/>
    </row>
    <row r="3228" spans="1:8" x14ac:dyDescent="0.2">
      <c r="A3228" s="27"/>
      <c r="B3228" s="30"/>
      <c r="G3228" s="27"/>
      <c r="H3228" s="27"/>
    </row>
    <row r="3229" spans="1:8" x14ac:dyDescent="0.2">
      <c r="A3229" s="27"/>
      <c r="B3229" s="30"/>
      <c r="G3229" s="27"/>
      <c r="H3229" s="27"/>
    </row>
    <row r="3230" spans="1:8" x14ac:dyDescent="0.2">
      <c r="A3230" s="27"/>
      <c r="B3230" s="30"/>
      <c r="G3230" s="27"/>
      <c r="H3230" s="27"/>
    </row>
    <row r="3231" spans="1:8" x14ac:dyDescent="0.2">
      <c r="A3231" s="27"/>
      <c r="B3231" s="30"/>
      <c r="G3231" s="27"/>
      <c r="H3231" s="27"/>
    </row>
    <row r="3232" spans="1:8" x14ac:dyDescent="0.2">
      <c r="A3232" s="27"/>
      <c r="B3232" s="30"/>
      <c r="G3232" s="27"/>
      <c r="H3232" s="27"/>
    </row>
    <row r="3233" spans="1:8" x14ac:dyDescent="0.2">
      <c r="A3233" s="27"/>
      <c r="B3233" s="30"/>
      <c r="G3233" s="27"/>
      <c r="H3233" s="27"/>
    </row>
    <row r="3234" spans="1:8" x14ac:dyDescent="0.2">
      <c r="A3234" s="27"/>
      <c r="B3234" s="30"/>
      <c r="G3234" s="27"/>
      <c r="H3234" s="27"/>
    </row>
    <row r="3235" spans="1:8" x14ac:dyDescent="0.2">
      <c r="A3235" s="27"/>
      <c r="B3235" s="30"/>
      <c r="G3235" s="27"/>
      <c r="H3235" s="27"/>
    </row>
    <row r="3236" spans="1:8" x14ac:dyDescent="0.2">
      <c r="A3236" s="27"/>
      <c r="B3236" s="30"/>
      <c r="G3236" s="27"/>
      <c r="H3236" s="27"/>
    </row>
    <row r="3237" spans="1:8" x14ac:dyDescent="0.2">
      <c r="A3237" s="27"/>
      <c r="B3237" s="30"/>
      <c r="G3237" s="27"/>
      <c r="H3237" s="27"/>
    </row>
    <row r="3238" spans="1:8" x14ac:dyDescent="0.2">
      <c r="A3238" s="27"/>
      <c r="B3238" s="30"/>
      <c r="G3238" s="27"/>
      <c r="H3238" s="27"/>
    </row>
    <row r="3239" spans="1:8" x14ac:dyDescent="0.2">
      <c r="A3239" s="27"/>
      <c r="B3239" s="30"/>
      <c r="G3239" s="27"/>
      <c r="H3239" s="27"/>
    </row>
    <row r="3240" spans="1:8" x14ac:dyDescent="0.2">
      <c r="A3240" s="27"/>
      <c r="B3240" s="30"/>
      <c r="G3240" s="27"/>
      <c r="H3240" s="27"/>
    </row>
    <row r="3241" spans="1:8" x14ac:dyDescent="0.2">
      <c r="A3241" s="27"/>
      <c r="B3241" s="30"/>
      <c r="G3241" s="27"/>
      <c r="H3241" s="27"/>
    </row>
    <row r="3242" spans="1:8" x14ac:dyDescent="0.2">
      <c r="A3242" s="27"/>
      <c r="B3242" s="30"/>
      <c r="G3242" s="27"/>
      <c r="H3242" s="27"/>
    </row>
    <row r="3243" spans="1:8" x14ac:dyDescent="0.2">
      <c r="A3243" s="27"/>
      <c r="B3243" s="30"/>
      <c r="G3243" s="27"/>
      <c r="H3243" s="27"/>
    </row>
    <row r="3244" spans="1:8" x14ac:dyDescent="0.2">
      <c r="A3244" s="27"/>
      <c r="B3244" s="30"/>
      <c r="G3244" s="27"/>
      <c r="H3244" s="27"/>
    </row>
    <row r="3245" spans="1:8" x14ac:dyDescent="0.2">
      <c r="A3245" s="27"/>
      <c r="B3245" s="30"/>
      <c r="G3245" s="27"/>
      <c r="H3245" s="27"/>
    </row>
    <row r="3246" spans="1:8" x14ac:dyDescent="0.2">
      <c r="A3246" s="27"/>
      <c r="B3246" s="30"/>
      <c r="G3246" s="27"/>
      <c r="H3246" s="27"/>
    </row>
    <row r="3247" spans="1:8" x14ac:dyDescent="0.2">
      <c r="A3247" s="27"/>
      <c r="B3247" s="30"/>
      <c r="G3247" s="27"/>
      <c r="H3247" s="27"/>
    </row>
    <row r="3248" spans="1:8" x14ac:dyDescent="0.2">
      <c r="A3248" s="27"/>
      <c r="B3248" s="30"/>
      <c r="G3248" s="27"/>
      <c r="H3248" s="27"/>
    </row>
    <row r="3249" spans="1:8" x14ac:dyDescent="0.2">
      <c r="A3249" s="27"/>
      <c r="B3249" s="30"/>
      <c r="G3249" s="27"/>
      <c r="H3249" s="27"/>
    </row>
    <row r="3250" spans="1:8" x14ac:dyDescent="0.2">
      <c r="A3250" s="27"/>
      <c r="B3250" s="30"/>
      <c r="G3250" s="27"/>
      <c r="H3250" s="27"/>
    </row>
    <row r="3251" spans="1:8" x14ac:dyDescent="0.2">
      <c r="A3251" s="27"/>
      <c r="B3251" s="30"/>
      <c r="G3251" s="27"/>
      <c r="H3251" s="27"/>
    </row>
    <row r="3252" spans="1:8" x14ac:dyDescent="0.2">
      <c r="A3252" s="27"/>
      <c r="B3252" s="30"/>
      <c r="G3252" s="27"/>
      <c r="H3252" s="27"/>
    </row>
    <row r="3253" spans="1:8" x14ac:dyDescent="0.2">
      <c r="A3253" s="27"/>
      <c r="B3253" s="30"/>
      <c r="G3253" s="27"/>
      <c r="H3253" s="27"/>
    </row>
    <row r="3254" spans="1:8" x14ac:dyDescent="0.2">
      <c r="A3254" s="27"/>
      <c r="B3254" s="30"/>
      <c r="G3254" s="27"/>
      <c r="H3254" s="27"/>
    </row>
    <row r="3255" spans="1:8" x14ac:dyDescent="0.2">
      <c r="A3255" s="27"/>
      <c r="B3255" s="30"/>
      <c r="G3255" s="27"/>
      <c r="H3255" s="27"/>
    </row>
    <row r="3256" spans="1:8" x14ac:dyDescent="0.2">
      <c r="A3256" s="27"/>
      <c r="B3256" s="30"/>
      <c r="G3256" s="27"/>
      <c r="H3256" s="27"/>
    </row>
    <row r="3257" spans="1:8" x14ac:dyDescent="0.2">
      <c r="A3257" s="27"/>
      <c r="B3257" s="30"/>
      <c r="G3257" s="27"/>
      <c r="H3257" s="27"/>
    </row>
    <row r="3258" spans="1:8" x14ac:dyDescent="0.2">
      <c r="A3258" s="27"/>
      <c r="B3258" s="30"/>
      <c r="G3258" s="27"/>
      <c r="H3258" s="27"/>
    </row>
    <row r="3259" spans="1:8" x14ac:dyDescent="0.2">
      <c r="A3259" s="27"/>
      <c r="B3259" s="30"/>
      <c r="G3259" s="27"/>
      <c r="H3259" s="27"/>
    </row>
    <row r="3260" spans="1:8" x14ac:dyDescent="0.2">
      <c r="A3260" s="27"/>
      <c r="B3260" s="30"/>
      <c r="G3260" s="27"/>
      <c r="H3260" s="27"/>
    </row>
    <row r="3261" spans="1:8" x14ac:dyDescent="0.2">
      <c r="A3261" s="27"/>
      <c r="B3261" s="30"/>
      <c r="G3261" s="27"/>
      <c r="H3261" s="27"/>
    </row>
    <row r="3262" spans="1:8" x14ac:dyDescent="0.2">
      <c r="A3262" s="27"/>
      <c r="B3262" s="30"/>
      <c r="G3262" s="27"/>
      <c r="H3262" s="27"/>
    </row>
    <row r="3263" spans="1:8" x14ac:dyDescent="0.2">
      <c r="A3263" s="27"/>
      <c r="B3263" s="30"/>
      <c r="G3263" s="27"/>
      <c r="H3263" s="27"/>
    </row>
    <row r="3264" spans="1:8" x14ac:dyDescent="0.2">
      <c r="A3264" s="27"/>
      <c r="B3264" s="30"/>
      <c r="G3264" s="27"/>
      <c r="H3264" s="27"/>
    </row>
    <row r="3265" spans="1:8" x14ac:dyDescent="0.2">
      <c r="A3265" s="27"/>
      <c r="B3265" s="30"/>
      <c r="G3265" s="27"/>
      <c r="H3265" s="27"/>
    </row>
    <row r="3266" spans="1:8" x14ac:dyDescent="0.2">
      <c r="A3266" s="27"/>
      <c r="B3266" s="30"/>
      <c r="G3266" s="27"/>
      <c r="H3266" s="27"/>
    </row>
    <row r="3267" spans="1:8" x14ac:dyDescent="0.2">
      <c r="A3267" s="27"/>
      <c r="B3267" s="30"/>
      <c r="G3267" s="27"/>
      <c r="H3267" s="27"/>
    </row>
    <row r="3268" spans="1:8" x14ac:dyDescent="0.2">
      <c r="A3268" s="27"/>
      <c r="B3268" s="30"/>
      <c r="G3268" s="27"/>
      <c r="H3268" s="27"/>
    </row>
    <row r="3269" spans="1:8" x14ac:dyDescent="0.2">
      <c r="A3269" s="27"/>
      <c r="B3269" s="30"/>
      <c r="G3269" s="27"/>
      <c r="H3269" s="27"/>
    </row>
    <row r="3270" spans="1:8" x14ac:dyDescent="0.2">
      <c r="A3270" s="27"/>
      <c r="B3270" s="30"/>
      <c r="G3270" s="27"/>
      <c r="H3270" s="27"/>
    </row>
    <row r="3271" spans="1:8" x14ac:dyDescent="0.2">
      <c r="A3271" s="27"/>
      <c r="B3271" s="30"/>
      <c r="G3271" s="27"/>
      <c r="H3271" s="27"/>
    </row>
    <row r="3272" spans="1:8" x14ac:dyDescent="0.2">
      <c r="A3272" s="27"/>
      <c r="B3272" s="30"/>
      <c r="G3272" s="27"/>
      <c r="H3272" s="27"/>
    </row>
    <row r="3273" spans="1:8" x14ac:dyDescent="0.2">
      <c r="A3273" s="27"/>
      <c r="B3273" s="30"/>
      <c r="G3273" s="27"/>
      <c r="H3273" s="27"/>
    </row>
    <row r="3274" spans="1:8" x14ac:dyDescent="0.2">
      <c r="A3274" s="27"/>
      <c r="B3274" s="30"/>
      <c r="G3274" s="27"/>
      <c r="H3274" s="27"/>
    </row>
    <row r="3275" spans="1:8" x14ac:dyDescent="0.2">
      <c r="A3275" s="27"/>
      <c r="B3275" s="30"/>
      <c r="G3275" s="27"/>
      <c r="H3275" s="27"/>
    </row>
    <row r="3276" spans="1:8" x14ac:dyDescent="0.2">
      <c r="A3276" s="27"/>
      <c r="B3276" s="30"/>
      <c r="G3276" s="27"/>
      <c r="H3276" s="27"/>
    </row>
    <row r="3277" spans="1:8" x14ac:dyDescent="0.2">
      <c r="A3277" s="27"/>
      <c r="B3277" s="30"/>
      <c r="G3277" s="27"/>
      <c r="H3277" s="27"/>
    </row>
    <row r="3278" spans="1:8" x14ac:dyDescent="0.2">
      <c r="A3278" s="27"/>
      <c r="B3278" s="30"/>
      <c r="G3278" s="27"/>
      <c r="H3278" s="27"/>
    </row>
    <row r="3279" spans="1:8" x14ac:dyDescent="0.2">
      <c r="A3279" s="27"/>
      <c r="B3279" s="30"/>
      <c r="G3279" s="27"/>
      <c r="H3279" s="27"/>
    </row>
    <row r="3280" spans="1:8" x14ac:dyDescent="0.2">
      <c r="A3280" s="27"/>
      <c r="B3280" s="30"/>
      <c r="G3280" s="27"/>
      <c r="H3280" s="27"/>
    </row>
    <row r="3281" spans="1:8" x14ac:dyDescent="0.2">
      <c r="A3281" s="27"/>
      <c r="B3281" s="30"/>
      <c r="G3281" s="27"/>
      <c r="H3281" s="27"/>
    </row>
    <row r="3282" spans="1:8" x14ac:dyDescent="0.2">
      <c r="A3282" s="27"/>
      <c r="B3282" s="30"/>
      <c r="G3282" s="27"/>
      <c r="H3282" s="27"/>
    </row>
    <row r="3283" spans="1:8" x14ac:dyDescent="0.2">
      <c r="A3283" s="27"/>
      <c r="B3283" s="30"/>
      <c r="G3283" s="27"/>
      <c r="H3283" s="27"/>
    </row>
    <row r="3284" spans="1:8" x14ac:dyDescent="0.2">
      <c r="A3284" s="27"/>
      <c r="B3284" s="30"/>
      <c r="G3284" s="27"/>
      <c r="H3284" s="27"/>
    </row>
    <row r="3285" spans="1:8" x14ac:dyDescent="0.2">
      <c r="A3285" s="27"/>
      <c r="B3285" s="30"/>
      <c r="G3285" s="27"/>
      <c r="H3285" s="27"/>
    </row>
    <row r="3286" spans="1:8" x14ac:dyDescent="0.2">
      <c r="A3286" s="27"/>
      <c r="B3286" s="30"/>
      <c r="G3286" s="27"/>
      <c r="H3286" s="27"/>
    </row>
    <row r="3287" spans="1:8" x14ac:dyDescent="0.2">
      <c r="A3287" s="27"/>
      <c r="B3287" s="30"/>
      <c r="G3287" s="27"/>
      <c r="H3287" s="27"/>
    </row>
    <row r="3288" spans="1:8" x14ac:dyDescent="0.2">
      <c r="A3288" s="27"/>
      <c r="B3288" s="30"/>
      <c r="G3288" s="27"/>
      <c r="H3288" s="27"/>
    </row>
    <row r="3289" spans="1:8" x14ac:dyDescent="0.2">
      <c r="A3289" s="27"/>
      <c r="B3289" s="30"/>
      <c r="G3289" s="27"/>
      <c r="H3289" s="27"/>
    </row>
    <row r="3290" spans="1:8" x14ac:dyDescent="0.2">
      <c r="A3290" s="27"/>
      <c r="B3290" s="30"/>
      <c r="G3290" s="27"/>
      <c r="H3290" s="27"/>
    </row>
    <row r="3291" spans="1:8" x14ac:dyDescent="0.2">
      <c r="A3291" s="27"/>
      <c r="B3291" s="30"/>
      <c r="G3291" s="27"/>
      <c r="H3291" s="27"/>
    </row>
    <row r="3292" spans="1:8" x14ac:dyDescent="0.2">
      <c r="A3292" s="27"/>
      <c r="B3292" s="30"/>
      <c r="G3292" s="27"/>
      <c r="H3292" s="27"/>
    </row>
    <row r="3293" spans="1:8" x14ac:dyDescent="0.2">
      <c r="A3293" s="27"/>
      <c r="B3293" s="30"/>
      <c r="G3293" s="27"/>
      <c r="H3293" s="27"/>
    </row>
    <row r="3294" spans="1:8" x14ac:dyDescent="0.2">
      <c r="A3294" s="27"/>
      <c r="B3294" s="30"/>
      <c r="G3294" s="27"/>
      <c r="H3294" s="27"/>
    </row>
    <row r="3295" spans="1:8" x14ac:dyDescent="0.2">
      <c r="A3295" s="27"/>
      <c r="B3295" s="30"/>
      <c r="G3295" s="27"/>
      <c r="H3295" s="27"/>
    </row>
    <row r="3296" spans="1:8" x14ac:dyDescent="0.2">
      <c r="A3296" s="27"/>
      <c r="B3296" s="30"/>
      <c r="G3296" s="27"/>
      <c r="H3296" s="27"/>
    </row>
    <row r="3297" spans="1:8" x14ac:dyDescent="0.2">
      <c r="A3297" s="27"/>
      <c r="B3297" s="30"/>
      <c r="G3297" s="27"/>
      <c r="H3297" s="27"/>
    </row>
    <row r="3298" spans="1:8" x14ac:dyDescent="0.2">
      <c r="A3298" s="27"/>
      <c r="B3298" s="30"/>
      <c r="G3298" s="27"/>
      <c r="H3298" s="27"/>
    </row>
    <row r="3299" spans="1:8" x14ac:dyDescent="0.2">
      <c r="A3299" s="27"/>
      <c r="B3299" s="30"/>
      <c r="G3299" s="27"/>
      <c r="H3299" s="27"/>
    </row>
    <row r="3300" spans="1:8" x14ac:dyDescent="0.2">
      <c r="A3300" s="27"/>
      <c r="B3300" s="30"/>
      <c r="G3300" s="27"/>
      <c r="H3300" s="27"/>
    </row>
    <row r="3301" spans="1:8" x14ac:dyDescent="0.2">
      <c r="A3301" s="27"/>
      <c r="B3301" s="30"/>
      <c r="G3301" s="27"/>
      <c r="H3301" s="27"/>
    </row>
    <row r="3302" spans="1:8" x14ac:dyDescent="0.2">
      <c r="A3302" s="27"/>
      <c r="B3302" s="30"/>
      <c r="G3302" s="27"/>
      <c r="H3302" s="27"/>
    </row>
    <row r="3303" spans="1:8" x14ac:dyDescent="0.2">
      <c r="A3303" s="27"/>
      <c r="B3303" s="30"/>
      <c r="G3303" s="27"/>
      <c r="H3303" s="27"/>
    </row>
    <row r="3304" spans="1:8" x14ac:dyDescent="0.2">
      <c r="A3304" s="27"/>
      <c r="B3304" s="30"/>
      <c r="G3304" s="27"/>
      <c r="H3304" s="27"/>
    </row>
    <row r="3305" spans="1:8" x14ac:dyDescent="0.2">
      <c r="A3305" s="27"/>
      <c r="B3305" s="30"/>
      <c r="G3305" s="27"/>
      <c r="H3305" s="27"/>
    </row>
    <row r="3306" spans="1:8" x14ac:dyDescent="0.2">
      <c r="A3306" s="27"/>
      <c r="B3306" s="30"/>
      <c r="G3306" s="27"/>
      <c r="H3306" s="27"/>
    </row>
    <row r="3307" spans="1:8" x14ac:dyDescent="0.2">
      <c r="A3307" s="27"/>
      <c r="B3307" s="30"/>
      <c r="G3307" s="27"/>
      <c r="H3307" s="27"/>
    </row>
    <row r="3308" spans="1:8" x14ac:dyDescent="0.2">
      <c r="A3308" s="27"/>
      <c r="B3308" s="30"/>
      <c r="G3308" s="27"/>
      <c r="H3308" s="27"/>
    </row>
    <row r="3309" spans="1:8" x14ac:dyDescent="0.2">
      <c r="A3309" s="27"/>
      <c r="B3309" s="30"/>
      <c r="G3309" s="27"/>
      <c r="H3309" s="27"/>
    </row>
    <row r="3310" spans="1:8" x14ac:dyDescent="0.2">
      <c r="A3310" s="27"/>
      <c r="B3310" s="30"/>
      <c r="G3310" s="27"/>
      <c r="H3310" s="27"/>
    </row>
    <row r="3311" spans="1:8" x14ac:dyDescent="0.2">
      <c r="A3311" s="27"/>
      <c r="B3311" s="30"/>
      <c r="G3311" s="27"/>
      <c r="H3311" s="27"/>
    </row>
    <row r="3312" spans="1:8" x14ac:dyDescent="0.2">
      <c r="A3312" s="27"/>
      <c r="B3312" s="30"/>
      <c r="G3312" s="27"/>
      <c r="H3312" s="27"/>
    </row>
    <row r="3313" spans="1:8" x14ac:dyDescent="0.2">
      <c r="A3313" s="27"/>
      <c r="B3313" s="30"/>
      <c r="G3313" s="27"/>
      <c r="H3313" s="27"/>
    </row>
    <row r="3314" spans="1:8" x14ac:dyDescent="0.2">
      <c r="A3314" s="27"/>
      <c r="B3314" s="30"/>
      <c r="G3314" s="27"/>
      <c r="H3314" s="27"/>
    </row>
    <row r="3315" spans="1:8" x14ac:dyDescent="0.2">
      <c r="A3315" s="27"/>
      <c r="B3315" s="30"/>
      <c r="G3315" s="27"/>
      <c r="H3315" s="27"/>
    </row>
    <row r="3316" spans="1:8" x14ac:dyDescent="0.2">
      <c r="A3316" s="27"/>
      <c r="B3316" s="30"/>
      <c r="G3316" s="27"/>
      <c r="H3316" s="27"/>
    </row>
    <row r="3317" spans="1:8" x14ac:dyDescent="0.2">
      <c r="A3317" s="27"/>
      <c r="B3317" s="30"/>
      <c r="G3317" s="27"/>
      <c r="H3317" s="27"/>
    </row>
    <row r="3318" spans="1:8" x14ac:dyDescent="0.2">
      <c r="A3318" s="27"/>
      <c r="B3318" s="30"/>
      <c r="G3318" s="27"/>
      <c r="H3318" s="27"/>
    </row>
    <row r="3319" spans="1:8" x14ac:dyDescent="0.2">
      <c r="A3319" s="27"/>
      <c r="B3319" s="30"/>
      <c r="G3319" s="27"/>
      <c r="H3319" s="27"/>
    </row>
    <row r="3320" spans="1:8" x14ac:dyDescent="0.2">
      <c r="A3320" s="27"/>
      <c r="B3320" s="30"/>
      <c r="G3320" s="27"/>
      <c r="H3320" s="27"/>
    </row>
    <row r="3321" spans="1:8" x14ac:dyDescent="0.2">
      <c r="A3321" s="27"/>
      <c r="B3321" s="30"/>
      <c r="G3321" s="27"/>
      <c r="H3321" s="27"/>
    </row>
    <row r="3322" spans="1:8" x14ac:dyDescent="0.2">
      <c r="A3322" s="27"/>
      <c r="B3322" s="30"/>
      <c r="G3322" s="27"/>
      <c r="H3322" s="27"/>
    </row>
    <row r="3323" spans="1:8" x14ac:dyDescent="0.2">
      <c r="A3323" s="27"/>
      <c r="B3323" s="30"/>
      <c r="G3323" s="27"/>
      <c r="H3323" s="27"/>
    </row>
    <row r="3324" spans="1:8" x14ac:dyDescent="0.2">
      <c r="A3324" s="27"/>
      <c r="B3324" s="30"/>
      <c r="G3324" s="27"/>
      <c r="H3324" s="27"/>
    </row>
    <row r="3325" spans="1:8" x14ac:dyDescent="0.2">
      <c r="A3325" s="27"/>
      <c r="B3325" s="30"/>
      <c r="G3325" s="27"/>
      <c r="H3325" s="27"/>
    </row>
    <row r="3326" spans="1:8" x14ac:dyDescent="0.2">
      <c r="A3326" s="27"/>
      <c r="B3326" s="30"/>
      <c r="G3326" s="27"/>
      <c r="H3326" s="27"/>
    </row>
    <row r="3327" spans="1:8" x14ac:dyDescent="0.2">
      <c r="A3327" s="27"/>
      <c r="B3327" s="30"/>
      <c r="G3327" s="27"/>
      <c r="H3327" s="27"/>
    </row>
    <row r="3328" spans="1:8" x14ac:dyDescent="0.2">
      <c r="A3328" s="27"/>
      <c r="B3328" s="30"/>
      <c r="G3328" s="27"/>
      <c r="H3328" s="27"/>
    </row>
    <row r="3329" spans="1:8" x14ac:dyDescent="0.2">
      <c r="A3329" s="27"/>
      <c r="B3329" s="30"/>
      <c r="G3329" s="27"/>
      <c r="H3329" s="27"/>
    </row>
    <row r="3330" spans="1:8" x14ac:dyDescent="0.2">
      <c r="A3330" s="27"/>
      <c r="B3330" s="30"/>
      <c r="G3330" s="27"/>
      <c r="H3330" s="27"/>
    </row>
    <row r="3331" spans="1:8" x14ac:dyDescent="0.2">
      <c r="A3331" s="27"/>
      <c r="B3331" s="30"/>
      <c r="G3331" s="27"/>
      <c r="H3331" s="27"/>
    </row>
    <row r="3332" spans="1:8" x14ac:dyDescent="0.2">
      <c r="A3332" s="27"/>
      <c r="B3332" s="30"/>
      <c r="G3332" s="27"/>
      <c r="H3332" s="27"/>
    </row>
    <row r="3333" spans="1:8" x14ac:dyDescent="0.2">
      <c r="A3333" s="27"/>
      <c r="B3333" s="30"/>
      <c r="G3333" s="27"/>
      <c r="H3333" s="27"/>
    </row>
    <row r="3334" spans="1:8" x14ac:dyDescent="0.2">
      <c r="A3334" s="27"/>
      <c r="B3334" s="30"/>
      <c r="G3334" s="27"/>
      <c r="H3334" s="27"/>
    </row>
    <row r="3335" spans="1:8" x14ac:dyDescent="0.2">
      <c r="A3335" s="27"/>
      <c r="B3335" s="30"/>
      <c r="G3335" s="27"/>
      <c r="H3335" s="27"/>
    </row>
    <row r="3336" spans="1:8" x14ac:dyDescent="0.2">
      <c r="A3336" s="27"/>
      <c r="B3336" s="30"/>
      <c r="G3336" s="27"/>
      <c r="H3336" s="27"/>
    </row>
    <row r="3337" spans="1:8" x14ac:dyDescent="0.2">
      <c r="A3337" s="27"/>
      <c r="B3337" s="30"/>
      <c r="G3337" s="27"/>
      <c r="H3337" s="27"/>
    </row>
    <row r="3338" spans="1:8" x14ac:dyDescent="0.2">
      <c r="A3338" s="27"/>
      <c r="B3338" s="30"/>
      <c r="G3338" s="27"/>
      <c r="H3338" s="27"/>
    </row>
    <row r="3339" spans="1:8" x14ac:dyDescent="0.2">
      <c r="A3339" s="27"/>
      <c r="B3339" s="30"/>
      <c r="G3339" s="27"/>
      <c r="H3339" s="27"/>
    </row>
    <row r="3340" spans="1:8" x14ac:dyDescent="0.2">
      <c r="A3340" s="27"/>
      <c r="B3340" s="30"/>
      <c r="G3340" s="27"/>
      <c r="H3340" s="27"/>
    </row>
    <row r="3341" spans="1:8" x14ac:dyDescent="0.2">
      <c r="A3341" s="27"/>
      <c r="B3341" s="30"/>
      <c r="G3341" s="27"/>
      <c r="H3341" s="27"/>
    </row>
    <row r="3342" spans="1:8" x14ac:dyDescent="0.2">
      <c r="A3342" s="27"/>
      <c r="B3342" s="30"/>
      <c r="G3342" s="27"/>
      <c r="H3342" s="27"/>
    </row>
    <row r="3343" spans="1:8" x14ac:dyDescent="0.2">
      <c r="A3343" s="27"/>
      <c r="B3343" s="30"/>
      <c r="G3343" s="27"/>
      <c r="H3343" s="27"/>
    </row>
    <row r="3344" spans="1:8" x14ac:dyDescent="0.2">
      <c r="A3344" s="27"/>
      <c r="B3344" s="30"/>
      <c r="G3344" s="27"/>
      <c r="H3344" s="27"/>
    </row>
    <row r="3345" spans="1:8" x14ac:dyDescent="0.2">
      <c r="A3345" s="27"/>
      <c r="B3345" s="30"/>
      <c r="G3345" s="27"/>
      <c r="H3345" s="27"/>
    </row>
    <row r="3346" spans="1:8" x14ac:dyDescent="0.2">
      <c r="A3346" s="27"/>
      <c r="B3346" s="30"/>
      <c r="G3346" s="27"/>
      <c r="H3346" s="27"/>
    </row>
    <row r="3347" spans="1:8" x14ac:dyDescent="0.2">
      <c r="A3347" s="27"/>
      <c r="B3347" s="30"/>
      <c r="G3347" s="27"/>
      <c r="H3347" s="27"/>
    </row>
    <row r="3348" spans="1:8" x14ac:dyDescent="0.2">
      <c r="A3348" s="27"/>
      <c r="B3348" s="30"/>
      <c r="G3348" s="27"/>
      <c r="H3348" s="27"/>
    </row>
    <row r="3349" spans="1:8" x14ac:dyDescent="0.2">
      <c r="A3349" s="27"/>
      <c r="B3349" s="30"/>
      <c r="G3349" s="27"/>
      <c r="H3349" s="27"/>
    </row>
    <row r="3350" spans="1:8" x14ac:dyDescent="0.2">
      <c r="A3350" s="27"/>
      <c r="B3350" s="30"/>
      <c r="G3350" s="27"/>
      <c r="H3350" s="27"/>
    </row>
    <row r="3351" spans="1:8" x14ac:dyDescent="0.2">
      <c r="A3351" s="27"/>
      <c r="B3351" s="30"/>
      <c r="G3351" s="27"/>
      <c r="H3351" s="27"/>
    </row>
    <row r="3352" spans="1:8" x14ac:dyDescent="0.2">
      <c r="A3352" s="27"/>
      <c r="B3352" s="30"/>
      <c r="G3352" s="27"/>
      <c r="H3352" s="27"/>
    </row>
    <row r="3353" spans="1:8" x14ac:dyDescent="0.2">
      <c r="A3353" s="27"/>
      <c r="B3353" s="30"/>
      <c r="G3353" s="27"/>
      <c r="H3353" s="27"/>
    </row>
    <row r="3354" spans="1:8" x14ac:dyDescent="0.2">
      <c r="A3354" s="27"/>
      <c r="B3354" s="30"/>
      <c r="G3354" s="27"/>
      <c r="H3354" s="27"/>
    </row>
    <row r="3355" spans="1:8" x14ac:dyDescent="0.2">
      <c r="A3355" s="27"/>
      <c r="B3355" s="30"/>
      <c r="G3355" s="27"/>
      <c r="H3355" s="27"/>
    </row>
    <row r="3356" spans="1:8" x14ac:dyDescent="0.2">
      <c r="A3356" s="27"/>
      <c r="B3356" s="30"/>
      <c r="G3356" s="27"/>
      <c r="H3356" s="27"/>
    </row>
    <row r="3357" spans="1:8" x14ac:dyDescent="0.2">
      <c r="A3357" s="27"/>
      <c r="B3357" s="30"/>
      <c r="G3357" s="27"/>
      <c r="H3357" s="27"/>
    </row>
    <row r="3358" spans="1:8" x14ac:dyDescent="0.2">
      <c r="A3358" s="27"/>
      <c r="B3358" s="30"/>
      <c r="G3358" s="27"/>
      <c r="H3358" s="27"/>
    </row>
    <row r="3359" spans="1:8" x14ac:dyDescent="0.2">
      <c r="A3359" s="27"/>
      <c r="B3359" s="30"/>
      <c r="G3359" s="27"/>
      <c r="H3359" s="27"/>
    </row>
    <row r="3360" spans="1:8" x14ac:dyDescent="0.2">
      <c r="A3360" s="27"/>
      <c r="B3360" s="30"/>
      <c r="G3360" s="27"/>
      <c r="H3360" s="27"/>
    </row>
    <row r="3361" spans="1:8" x14ac:dyDescent="0.2">
      <c r="A3361" s="27"/>
      <c r="B3361" s="30"/>
      <c r="G3361" s="27"/>
      <c r="H3361" s="27"/>
    </row>
    <row r="3362" spans="1:8" x14ac:dyDescent="0.2">
      <c r="A3362" s="27"/>
      <c r="B3362" s="30"/>
      <c r="G3362" s="27"/>
      <c r="H3362" s="27"/>
    </row>
    <row r="3363" spans="1:8" x14ac:dyDescent="0.2">
      <c r="A3363" s="27"/>
      <c r="B3363" s="30"/>
      <c r="G3363" s="27"/>
      <c r="H3363" s="27"/>
    </row>
    <row r="3364" spans="1:8" x14ac:dyDescent="0.2">
      <c r="A3364" s="27"/>
      <c r="B3364" s="30"/>
      <c r="G3364" s="27"/>
      <c r="H3364" s="27"/>
    </row>
    <row r="3365" spans="1:8" x14ac:dyDescent="0.2">
      <c r="A3365" s="27"/>
      <c r="B3365" s="30"/>
      <c r="G3365" s="27"/>
      <c r="H3365" s="27"/>
    </row>
    <row r="3366" spans="1:8" x14ac:dyDescent="0.2">
      <c r="A3366" s="27"/>
      <c r="B3366" s="30"/>
      <c r="G3366" s="27"/>
      <c r="H3366" s="27"/>
    </row>
    <row r="3367" spans="1:8" x14ac:dyDescent="0.2">
      <c r="A3367" s="27"/>
      <c r="B3367" s="30"/>
      <c r="G3367" s="27"/>
      <c r="H3367" s="27"/>
    </row>
    <row r="3368" spans="1:8" x14ac:dyDescent="0.2">
      <c r="A3368" s="27"/>
      <c r="B3368" s="30"/>
      <c r="G3368" s="27"/>
      <c r="H3368" s="27"/>
    </row>
    <row r="3369" spans="1:8" x14ac:dyDescent="0.2">
      <c r="A3369" s="27"/>
      <c r="B3369" s="30"/>
      <c r="G3369" s="27"/>
      <c r="H3369" s="27"/>
    </row>
    <row r="3370" spans="1:8" x14ac:dyDescent="0.2">
      <c r="A3370" s="27"/>
      <c r="B3370" s="30"/>
      <c r="G3370" s="27"/>
      <c r="H3370" s="27"/>
    </row>
    <row r="3371" spans="1:8" x14ac:dyDescent="0.2">
      <c r="A3371" s="27"/>
      <c r="B3371" s="30"/>
      <c r="G3371" s="27"/>
      <c r="H3371" s="27"/>
    </row>
    <row r="3372" spans="1:8" x14ac:dyDescent="0.2">
      <c r="A3372" s="27"/>
      <c r="B3372" s="30"/>
      <c r="G3372" s="27"/>
      <c r="H3372" s="27"/>
    </row>
    <row r="3373" spans="1:8" x14ac:dyDescent="0.2">
      <c r="A3373" s="27"/>
      <c r="B3373" s="30"/>
      <c r="G3373" s="27"/>
      <c r="H3373" s="27"/>
    </row>
    <row r="3374" spans="1:8" x14ac:dyDescent="0.2">
      <c r="A3374" s="27"/>
      <c r="B3374" s="30"/>
      <c r="G3374" s="27"/>
      <c r="H3374" s="27"/>
    </row>
    <row r="3375" spans="1:8" x14ac:dyDescent="0.2">
      <c r="A3375" s="27"/>
      <c r="B3375" s="30"/>
      <c r="G3375" s="27"/>
      <c r="H3375" s="27"/>
    </row>
    <row r="3376" spans="1:8" x14ac:dyDescent="0.2">
      <c r="A3376" s="27"/>
      <c r="B3376" s="30"/>
      <c r="G3376" s="27"/>
      <c r="H3376" s="27"/>
    </row>
    <row r="3377" spans="1:8" x14ac:dyDescent="0.2">
      <c r="A3377" s="27"/>
      <c r="B3377" s="30"/>
      <c r="G3377" s="27"/>
      <c r="H3377" s="27"/>
    </row>
    <row r="3378" spans="1:8" x14ac:dyDescent="0.2">
      <c r="A3378" s="27"/>
      <c r="B3378" s="30"/>
      <c r="G3378" s="27"/>
      <c r="H3378" s="27"/>
    </row>
    <row r="3379" spans="1:8" x14ac:dyDescent="0.2">
      <c r="A3379" s="27"/>
      <c r="B3379" s="30"/>
      <c r="G3379" s="27"/>
      <c r="H3379" s="27"/>
    </row>
    <row r="3380" spans="1:8" x14ac:dyDescent="0.2">
      <c r="A3380" s="27"/>
      <c r="B3380" s="30"/>
      <c r="G3380" s="27"/>
      <c r="H3380" s="27"/>
    </row>
    <row r="3381" spans="1:8" x14ac:dyDescent="0.2">
      <c r="A3381" s="27"/>
      <c r="B3381" s="30"/>
      <c r="G3381" s="27"/>
      <c r="H3381" s="27"/>
    </row>
    <row r="3382" spans="1:8" x14ac:dyDescent="0.2">
      <c r="A3382" s="27"/>
      <c r="B3382" s="30"/>
      <c r="G3382" s="27"/>
      <c r="H3382" s="27"/>
    </row>
    <row r="3383" spans="1:8" x14ac:dyDescent="0.2">
      <c r="A3383" s="27"/>
      <c r="B3383" s="30"/>
      <c r="G3383" s="27"/>
      <c r="H3383" s="27"/>
    </row>
    <row r="3384" spans="1:8" x14ac:dyDescent="0.2">
      <c r="A3384" s="27"/>
      <c r="B3384" s="30"/>
      <c r="G3384" s="27"/>
      <c r="H3384" s="27"/>
    </row>
    <row r="3385" spans="1:8" x14ac:dyDescent="0.2">
      <c r="A3385" s="27"/>
      <c r="B3385" s="30"/>
      <c r="G3385" s="27"/>
      <c r="H3385" s="27"/>
    </row>
    <row r="3386" spans="1:8" x14ac:dyDescent="0.2">
      <c r="A3386" s="27"/>
      <c r="B3386" s="30"/>
      <c r="G3386" s="27"/>
      <c r="H3386" s="27"/>
    </row>
    <row r="3387" spans="1:8" x14ac:dyDescent="0.2">
      <c r="A3387" s="27"/>
      <c r="B3387" s="30"/>
      <c r="G3387" s="27"/>
      <c r="H3387" s="27"/>
    </row>
    <row r="3388" spans="1:8" x14ac:dyDescent="0.2">
      <c r="A3388" s="27"/>
      <c r="B3388" s="30"/>
      <c r="G3388" s="27"/>
      <c r="H3388" s="27"/>
    </row>
    <row r="3389" spans="1:8" x14ac:dyDescent="0.2">
      <c r="A3389" s="27"/>
      <c r="B3389" s="30"/>
      <c r="G3389" s="27"/>
      <c r="H3389" s="27"/>
    </row>
    <row r="3390" spans="1:8" x14ac:dyDescent="0.2">
      <c r="A3390" s="27"/>
      <c r="B3390" s="30"/>
      <c r="G3390" s="27"/>
      <c r="H3390" s="27"/>
    </row>
    <row r="3391" spans="1:8" x14ac:dyDescent="0.2">
      <c r="A3391" s="27"/>
      <c r="B3391" s="30"/>
      <c r="G3391" s="27"/>
      <c r="H3391" s="27"/>
    </row>
    <row r="3392" spans="1:8" x14ac:dyDescent="0.2">
      <c r="A3392" s="27"/>
      <c r="B3392" s="30"/>
      <c r="G3392" s="27"/>
      <c r="H3392" s="27"/>
    </row>
    <row r="3393" spans="1:8" x14ac:dyDescent="0.2">
      <c r="A3393" s="27"/>
      <c r="B3393" s="30"/>
      <c r="G3393" s="27"/>
      <c r="H3393" s="27"/>
    </row>
    <row r="3394" spans="1:8" x14ac:dyDescent="0.2">
      <c r="A3394" s="27"/>
      <c r="B3394" s="30"/>
      <c r="G3394" s="27"/>
      <c r="H3394" s="27"/>
    </row>
    <row r="3395" spans="1:8" x14ac:dyDescent="0.2">
      <c r="A3395" s="27"/>
      <c r="B3395" s="30"/>
      <c r="G3395" s="27"/>
      <c r="H3395" s="27"/>
    </row>
    <row r="3396" spans="1:8" x14ac:dyDescent="0.2">
      <c r="A3396" s="27"/>
      <c r="B3396" s="30"/>
      <c r="G3396" s="27"/>
      <c r="H3396" s="27"/>
    </row>
    <row r="3397" spans="1:8" x14ac:dyDescent="0.2">
      <c r="A3397" s="27"/>
      <c r="B3397" s="30"/>
      <c r="G3397" s="27"/>
      <c r="H3397" s="27"/>
    </row>
    <row r="3398" spans="1:8" x14ac:dyDescent="0.2">
      <c r="A3398" s="27"/>
      <c r="B3398" s="30"/>
      <c r="G3398" s="27"/>
      <c r="H3398" s="27"/>
    </row>
    <row r="3399" spans="1:8" x14ac:dyDescent="0.2">
      <c r="A3399" s="27"/>
      <c r="B3399" s="30"/>
      <c r="G3399" s="27"/>
      <c r="H3399" s="27"/>
    </row>
    <row r="3400" spans="1:8" x14ac:dyDescent="0.2">
      <c r="A3400" s="27"/>
      <c r="B3400" s="30"/>
      <c r="G3400" s="27"/>
      <c r="H3400" s="27"/>
    </row>
    <row r="3401" spans="1:8" x14ac:dyDescent="0.2">
      <c r="A3401" s="27"/>
      <c r="B3401" s="30"/>
      <c r="G3401" s="27"/>
      <c r="H3401" s="27"/>
    </row>
    <row r="3402" spans="1:8" x14ac:dyDescent="0.2">
      <c r="A3402" s="27"/>
      <c r="B3402" s="30"/>
      <c r="G3402" s="27"/>
      <c r="H3402" s="27"/>
    </row>
    <row r="3403" spans="1:8" x14ac:dyDescent="0.2">
      <c r="A3403" s="27"/>
      <c r="B3403" s="30"/>
      <c r="G3403" s="27"/>
      <c r="H3403" s="27"/>
    </row>
    <row r="3404" spans="1:8" x14ac:dyDescent="0.2">
      <c r="A3404" s="27"/>
      <c r="B3404" s="30"/>
      <c r="G3404" s="27"/>
      <c r="H3404" s="27"/>
    </row>
    <row r="3405" spans="1:8" x14ac:dyDescent="0.2">
      <c r="A3405" s="27"/>
      <c r="B3405" s="30"/>
      <c r="G3405" s="27"/>
      <c r="H3405" s="27"/>
    </row>
    <row r="3406" spans="1:8" x14ac:dyDescent="0.2">
      <c r="A3406" s="27"/>
      <c r="B3406" s="30"/>
      <c r="G3406" s="27"/>
      <c r="H3406" s="27"/>
    </row>
    <row r="3407" spans="1:8" x14ac:dyDescent="0.2">
      <c r="A3407" s="27"/>
      <c r="B3407" s="30"/>
      <c r="G3407" s="27"/>
      <c r="H3407" s="27"/>
    </row>
    <row r="3408" spans="1:8" x14ac:dyDescent="0.2">
      <c r="A3408" s="27"/>
      <c r="B3408" s="30"/>
      <c r="G3408" s="27"/>
      <c r="H3408" s="27"/>
    </row>
    <row r="3409" spans="1:8" x14ac:dyDescent="0.2">
      <c r="A3409" s="27"/>
      <c r="B3409" s="30"/>
      <c r="G3409" s="27"/>
      <c r="H3409" s="27"/>
    </row>
    <row r="3410" spans="1:8" x14ac:dyDescent="0.2">
      <c r="A3410" s="27"/>
      <c r="B3410" s="30"/>
      <c r="G3410" s="27"/>
      <c r="H3410" s="27"/>
    </row>
    <row r="3411" spans="1:8" x14ac:dyDescent="0.2">
      <c r="A3411" s="27"/>
      <c r="B3411" s="30"/>
      <c r="G3411" s="27"/>
      <c r="H3411" s="27"/>
    </row>
    <row r="3412" spans="1:8" x14ac:dyDescent="0.2">
      <c r="A3412" s="27"/>
      <c r="B3412" s="30"/>
      <c r="G3412" s="27"/>
      <c r="H3412" s="27"/>
    </row>
    <row r="3413" spans="1:8" x14ac:dyDescent="0.2">
      <c r="A3413" s="27"/>
      <c r="B3413" s="30"/>
      <c r="G3413" s="27"/>
      <c r="H3413" s="27"/>
    </row>
    <row r="3414" spans="1:8" x14ac:dyDescent="0.2">
      <c r="A3414" s="27"/>
      <c r="B3414" s="30"/>
      <c r="G3414" s="27"/>
      <c r="H3414" s="27"/>
    </row>
    <row r="3415" spans="1:8" x14ac:dyDescent="0.2">
      <c r="A3415" s="27"/>
      <c r="B3415" s="30"/>
      <c r="G3415" s="27"/>
      <c r="H3415" s="27"/>
    </row>
    <row r="3416" spans="1:8" x14ac:dyDescent="0.2">
      <c r="A3416" s="27"/>
      <c r="B3416" s="30"/>
      <c r="G3416" s="27"/>
      <c r="H3416" s="27"/>
    </row>
    <row r="3417" spans="1:8" x14ac:dyDescent="0.2">
      <c r="A3417" s="27"/>
      <c r="B3417" s="30"/>
      <c r="G3417" s="27"/>
      <c r="H3417" s="27"/>
    </row>
    <row r="3418" spans="1:8" x14ac:dyDescent="0.2">
      <c r="A3418" s="27"/>
      <c r="B3418" s="30"/>
      <c r="G3418" s="27"/>
      <c r="H3418" s="27"/>
    </row>
    <row r="3419" spans="1:8" x14ac:dyDescent="0.2">
      <c r="A3419" s="27"/>
      <c r="B3419" s="30"/>
      <c r="G3419" s="27"/>
      <c r="H3419" s="27"/>
    </row>
    <row r="3420" spans="1:8" x14ac:dyDescent="0.2">
      <c r="A3420" s="27"/>
      <c r="B3420" s="30"/>
      <c r="G3420" s="27"/>
      <c r="H3420" s="27"/>
    </row>
    <row r="3421" spans="1:8" x14ac:dyDescent="0.2">
      <c r="A3421" s="27"/>
      <c r="B3421" s="30"/>
      <c r="G3421" s="27"/>
      <c r="H3421" s="27"/>
    </row>
    <row r="3422" spans="1:8" x14ac:dyDescent="0.2">
      <c r="A3422" s="27"/>
      <c r="B3422" s="30"/>
      <c r="G3422" s="27"/>
      <c r="H3422" s="27"/>
    </row>
    <row r="3423" spans="1:8" x14ac:dyDescent="0.2">
      <c r="A3423" s="27"/>
      <c r="B3423" s="30"/>
      <c r="G3423" s="27"/>
      <c r="H3423" s="27"/>
    </row>
    <row r="3424" spans="1:8" x14ac:dyDescent="0.2">
      <c r="A3424" s="27"/>
      <c r="B3424" s="30"/>
      <c r="G3424" s="27"/>
      <c r="H3424" s="27"/>
    </row>
    <row r="3425" spans="1:8" x14ac:dyDescent="0.2">
      <c r="A3425" s="27"/>
      <c r="B3425" s="30"/>
      <c r="G3425" s="27"/>
      <c r="H3425" s="27"/>
    </row>
    <row r="3426" spans="1:8" x14ac:dyDescent="0.2">
      <c r="A3426" s="27"/>
      <c r="B3426" s="30"/>
      <c r="G3426" s="27"/>
      <c r="H3426" s="27"/>
    </row>
    <row r="3427" spans="1:8" x14ac:dyDescent="0.2">
      <c r="A3427" s="27"/>
      <c r="B3427" s="30"/>
      <c r="G3427" s="27"/>
      <c r="H3427" s="27"/>
    </row>
    <row r="3428" spans="1:8" x14ac:dyDescent="0.2">
      <c r="A3428" s="27"/>
      <c r="B3428" s="30"/>
      <c r="G3428" s="27"/>
      <c r="H3428" s="27"/>
    </row>
    <row r="3429" spans="1:8" x14ac:dyDescent="0.2">
      <c r="A3429" s="27"/>
      <c r="B3429" s="30"/>
      <c r="G3429" s="27"/>
      <c r="H3429" s="27"/>
    </row>
    <row r="3430" spans="1:8" x14ac:dyDescent="0.2">
      <c r="A3430" s="27"/>
      <c r="B3430" s="30"/>
      <c r="G3430" s="27"/>
      <c r="H3430" s="27"/>
    </row>
    <row r="3431" spans="1:8" x14ac:dyDescent="0.2">
      <c r="A3431" s="27"/>
      <c r="B3431" s="30"/>
      <c r="G3431" s="27"/>
      <c r="H3431" s="27"/>
    </row>
    <row r="3432" spans="1:8" x14ac:dyDescent="0.2">
      <c r="A3432" s="27"/>
      <c r="B3432" s="30"/>
      <c r="G3432" s="27"/>
      <c r="H3432" s="27"/>
    </row>
    <row r="3433" spans="1:8" x14ac:dyDescent="0.2">
      <c r="A3433" s="27"/>
      <c r="B3433" s="30"/>
      <c r="G3433" s="27"/>
      <c r="H3433" s="27"/>
    </row>
    <row r="3434" spans="1:8" x14ac:dyDescent="0.2">
      <c r="A3434" s="27"/>
      <c r="B3434" s="30"/>
      <c r="G3434" s="27"/>
      <c r="H3434" s="27"/>
    </row>
    <row r="3435" spans="1:8" x14ac:dyDescent="0.2">
      <c r="A3435" s="27"/>
      <c r="B3435" s="30"/>
      <c r="G3435" s="27"/>
      <c r="H3435" s="27"/>
    </row>
    <row r="3436" spans="1:8" x14ac:dyDescent="0.2">
      <c r="A3436" s="27"/>
      <c r="B3436" s="30"/>
      <c r="G3436" s="27"/>
      <c r="H3436" s="27"/>
    </row>
    <row r="3437" spans="1:8" x14ac:dyDescent="0.2">
      <c r="A3437" s="27"/>
      <c r="B3437" s="30"/>
      <c r="G3437" s="27"/>
      <c r="H3437" s="27"/>
    </row>
    <row r="3438" spans="1:8" x14ac:dyDescent="0.2">
      <c r="A3438" s="27"/>
      <c r="B3438" s="30"/>
      <c r="G3438" s="27"/>
      <c r="H3438" s="27"/>
    </row>
    <row r="3439" spans="1:8" x14ac:dyDescent="0.2">
      <c r="A3439" s="27"/>
      <c r="B3439" s="30"/>
      <c r="G3439" s="27"/>
      <c r="H3439" s="27"/>
    </row>
    <row r="3440" spans="1:8" x14ac:dyDescent="0.2">
      <c r="A3440" s="27"/>
      <c r="B3440" s="30"/>
      <c r="G3440" s="27"/>
      <c r="H3440" s="27"/>
    </row>
    <row r="3441" spans="1:8" x14ac:dyDescent="0.2">
      <c r="A3441" s="27"/>
      <c r="B3441" s="30"/>
      <c r="G3441" s="27"/>
      <c r="H3441" s="27"/>
    </row>
    <row r="3442" spans="1:8" x14ac:dyDescent="0.2">
      <c r="A3442" s="27"/>
      <c r="B3442" s="30"/>
      <c r="G3442" s="27"/>
      <c r="H3442" s="27"/>
    </row>
    <row r="3443" spans="1:8" x14ac:dyDescent="0.2">
      <c r="A3443" s="27"/>
      <c r="B3443" s="30"/>
      <c r="G3443" s="27"/>
      <c r="H3443" s="27"/>
    </row>
    <row r="3444" spans="1:8" x14ac:dyDescent="0.2">
      <c r="A3444" s="27"/>
      <c r="B3444" s="30"/>
      <c r="G3444" s="27"/>
      <c r="H3444" s="27"/>
    </row>
    <row r="3445" spans="1:8" x14ac:dyDescent="0.2">
      <c r="A3445" s="27"/>
      <c r="B3445" s="30"/>
      <c r="G3445" s="27"/>
      <c r="H3445" s="27"/>
    </row>
    <row r="3446" spans="1:8" x14ac:dyDescent="0.2">
      <c r="A3446" s="27"/>
      <c r="B3446" s="30"/>
      <c r="G3446" s="27"/>
      <c r="H3446" s="27"/>
    </row>
    <row r="3447" spans="1:8" x14ac:dyDescent="0.2">
      <c r="A3447" s="27"/>
      <c r="B3447" s="30"/>
      <c r="G3447" s="27"/>
      <c r="H3447" s="27"/>
    </row>
    <row r="3448" spans="1:8" x14ac:dyDescent="0.2">
      <c r="A3448" s="27"/>
      <c r="B3448" s="30"/>
      <c r="G3448" s="27"/>
      <c r="H3448" s="27"/>
    </row>
    <row r="3449" spans="1:8" x14ac:dyDescent="0.2">
      <c r="A3449" s="27"/>
      <c r="B3449" s="30"/>
      <c r="G3449" s="27"/>
      <c r="H3449" s="27"/>
    </row>
    <row r="3450" spans="1:8" x14ac:dyDescent="0.2">
      <c r="A3450" s="27"/>
      <c r="B3450" s="30"/>
      <c r="G3450" s="27"/>
      <c r="H3450" s="27"/>
    </row>
    <row r="3451" spans="1:8" x14ac:dyDescent="0.2">
      <c r="A3451" s="27"/>
      <c r="B3451" s="30"/>
      <c r="G3451" s="27"/>
      <c r="H3451" s="27"/>
    </row>
    <row r="3452" spans="1:8" x14ac:dyDescent="0.2">
      <c r="A3452" s="27"/>
      <c r="B3452" s="30"/>
      <c r="G3452" s="27"/>
      <c r="H3452" s="27"/>
    </row>
    <row r="3453" spans="1:8" x14ac:dyDescent="0.2">
      <c r="A3453" s="27"/>
      <c r="B3453" s="30"/>
      <c r="G3453" s="27"/>
      <c r="H3453" s="27"/>
    </row>
    <row r="3454" spans="1:8" x14ac:dyDescent="0.2">
      <c r="A3454" s="27"/>
      <c r="B3454" s="30"/>
      <c r="G3454" s="27"/>
      <c r="H3454" s="27"/>
    </row>
    <row r="3455" spans="1:8" x14ac:dyDescent="0.2">
      <c r="A3455" s="27"/>
      <c r="B3455" s="30"/>
      <c r="G3455" s="27"/>
      <c r="H3455" s="27"/>
    </row>
    <row r="3456" spans="1:8" x14ac:dyDescent="0.2">
      <c r="A3456" s="27"/>
      <c r="B3456" s="30"/>
      <c r="G3456" s="27"/>
      <c r="H3456" s="27"/>
    </row>
    <row r="3457" spans="1:8" x14ac:dyDescent="0.2">
      <c r="A3457" s="27"/>
      <c r="B3457" s="30"/>
      <c r="G3457" s="27"/>
      <c r="H3457" s="27"/>
    </row>
    <row r="3458" spans="1:8" x14ac:dyDescent="0.2">
      <c r="A3458" s="27"/>
      <c r="B3458" s="30"/>
      <c r="G3458" s="27"/>
      <c r="H3458" s="27"/>
    </row>
    <row r="3459" spans="1:8" x14ac:dyDescent="0.2">
      <c r="A3459" s="27"/>
      <c r="B3459" s="30"/>
      <c r="G3459" s="27"/>
      <c r="H3459" s="27"/>
    </row>
    <row r="3460" spans="1:8" x14ac:dyDescent="0.2">
      <c r="A3460" s="27"/>
      <c r="B3460" s="30"/>
      <c r="G3460" s="27"/>
      <c r="H3460" s="27"/>
    </row>
    <row r="3461" spans="1:8" x14ac:dyDescent="0.2">
      <c r="A3461" s="27"/>
      <c r="B3461" s="30"/>
      <c r="G3461" s="27"/>
      <c r="H3461" s="27"/>
    </row>
    <row r="3462" spans="1:8" x14ac:dyDescent="0.2">
      <c r="A3462" s="27"/>
      <c r="B3462" s="30"/>
      <c r="G3462" s="27"/>
      <c r="H3462" s="27"/>
    </row>
    <row r="3463" spans="1:8" x14ac:dyDescent="0.2">
      <c r="A3463" s="27"/>
      <c r="B3463" s="30"/>
      <c r="G3463" s="27"/>
      <c r="H3463" s="27"/>
    </row>
    <row r="3464" spans="1:8" x14ac:dyDescent="0.2">
      <c r="A3464" s="27"/>
      <c r="B3464" s="30"/>
      <c r="G3464" s="27"/>
      <c r="H3464" s="27"/>
    </row>
    <row r="3465" spans="1:8" x14ac:dyDescent="0.2">
      <c r="A3465" s="27"/>
      <c r="B3465" s="30"/>
      <c r="G3465" s="27"/>
      <c r="H3465" s="27"/>
    </row>
    <row r="3466" spans="1:8" x14ac:dyDescent="0.2">
      <c r="A3466" s="27"/>
      <c r="B3466" s="30"/>
      <c r="G3466" s="27"/>
      <c r="H3466" s="27"/>
    </row>
    <row r="3467" spans="1:8" x14ac:dyDescent="0.2">
      <c r="A3467" s="27"/>
      <c r="B3467" s="30"/>
      <c r="G3467" s="27"/>
      <c r="H3467" s="27"/>
    </row>
    <row r="3468" spans="1:8" x14ac:dyDescent="0.2">
      <c r="A3468" s="27"/>
      <c r="B3468" s="30"/>
      <c r="G3468" s="27"/>
      <c r="H3468" s="27"/>
    </row>
    <row r="3469" spans="1:8" x14ac:dyDescent="0.2">
      <c r="A3469" s="27"/>
      <c r="B3469" s="30"/>
      <c r="G3469" s="27"/>
      <c r="H3469" s="27"/>
    </row>
    <row r="3470" spans="1:8" x14ac:dyDescent="0.2">
      <c r="A3470" s="27"/>
      <c r="B3470" s="30"/>
      <c r="G3470" s="27"/>
      <c r="H3470" s="27"/>
    </row>
    <row r="3471" spans="1:8" x14ac:dyDescent="0.2">
      <c r="A3471" s="27"/>
      <c r="B3471" s="30"/>
      <c r="G3471" s="27"/>
      <c r="H3471" s="27"/>
    </row>
    <row r="3472" spans="1:8" x14ac:dyDescent="0.2">
      <c r="A3472" s="27"/>
      <c r="B3472" s="30"/>
      <c r="G3472" s="27"/>
      <c r="H3472" s="27"/>
    </row>
    <row r="3473" spans="1:8" x14ac:dyDescent="0.2">
      <c r="A3473" s="27"/>
      <c r="B3473" s="30"/>
      <c r="G3473" s="27"/>
      <c r="H3473" s="27"/>
    </row>
    <row r="3474" spans="1:8" x14ac:dyDescent="0.2">
      <c r="A3474" s="27"/>
      <c r="B3474" s="30"/>
      <c r="G3474" s="27"/>
      <c r="H3474" s="27"/>
    </row>
    <row r="3475" spans="1:8" x14ac:dyDescent="0.2">
      <c r="A3475" s="27"/>
      <c r="B3475" s="30"/>
      <c r="G3475" s="27"/>
      <c r="H3475" s="27"/>
    </row>
    <row r="3476" spans="1:8" x14ac:dyDescent="0.2">
      <c r="A3476" s="27"/>
      <c r="B3476" s="30"/>
      <c r="G3476" s="27"/>
      <c r="H3476" s="27"/>
    </row>
    <row r="3477" spans="1:8" x14ac:dyDescent="0.2">
      <c r="A3477" s="27"/>
      <c r="B3477" s="30"/>
      <c r="G3477" s="27"/>
      <c r="H3477" s="27"/>
    </row>
    <row r="3478" spans="1:8" x14ac:dyDescent="0.2">
      <c r="A3478" s="27"/>
      <c r="B3478" s="30"/>
      <c r="G3478" s="27"/>
      <c r="H3478" s="27"/>
    </row>
    <row r="3479" spans="1:8" x14ac:dyDescent="0.2">
      <c r="A3479" s="27"/>
      <c r="B3479" s="30"/>
      <c r="G3479" s="27"/>
      <c r="H3479" s="27"/>
    </row>
    <row r="3480" spans="1:8" x14ac:dyDescent="0.2">
      <c r="A3480" s="27"/>
      <c r="B3480" s="30"/>
      <c r="G3480" s="27"/>
      <c r="H3480" s="27"/>
    </row>
    <row r="3481" spans="1:8" x14ac:dyDescent="0.2">
      <c r="A3481" s="27"/>
      <c r="B3481" s="30"/>
      <c r="G3481" s="27"/>
      <c r="H3481" s="27"/>
    </row>
    <row r="3482" spans="1:8" x14ac:dyDescent="0.2">
      <c r="A3482" s="27"/>
      <c r="B3482" s="30"/>
      <c r="G3482" s="27"/>
      <c r="H3482" s="27"/>
    </row>
    <row r="3483" spans="1:8" x14ac:dyDescent="0.2">
      <c r="A3483" s="27"/>
      <c r="B3483" s="30"/>
      <c r="G3483" s="27"/>
      <c r="H3483" s="27"/>
    </row>
    <row r="3484" spans="1:8" x14ac:dyDescent="0.2">
      <c r="A3484" s="27"/>
      <c r="B3484" s="30"/>
      <c r="G3484" s="27"/>
      <c r="H3484" s="27"/>
    </row>
    <row r="3485" spans="1:8" x14ac:dyDescent="0.2">
      <c r="A3485" s="27"/>
      <c r="B3485" s="30"/>
      <c r="G3485" s="27"/>
      <c r="H3485" s="27"/>
    </row>
    <row r="3486" spans="1:8" x14ac:dyDescent="0.2">
      <c r="A3486" s="27"/>
      <c r="B3486" s="30"/>
      <c r="G3486" s="27"/>
      <c r="H3486" s="27"/>
    </row>
    <row r="3487" spans="1:8" x14ac:dyDescent="0.2">
      <c r="A3487" s="27"/>
      <c r="B3487" s="30"/>
      <c r="G3487" s="27"/>
      <c r="H3487" s="27"/>
    </row>
    <row r="3488" spans="1:8" x14ac:dyDescent="0.2">
      <c r="A3488" s="27"/>
      <c r="B3488" s="30"/>
      <c r="G3488" s="27"/>
      <c r="H3488" s="27"/>
    </row>
    <row r="3489" spans="1:8" x14ac:dyDescent="0.2">
      <c r="A3489" s="27"/>
      <c r="B3489" s="30"/>
      <c r="G3489" s="27"/>
      <c r="H3489" s="27"/>
    </row>
    <row r="3490" spans="1:8" x14ac:dyDescent="0.2">
      <c r="A3490" s="27"/>
      <c r="B3490" s="30"/>
      <c r="G3490" s="27"/>
      <c r="H3490" s="27"/>
    </row>
    <row r="3491" spans="1:8" x14ac:dyDescent="0.2">
      <c r="A3491" s="27"/>
      <c r="B3491" s="30"/>
      <c r="G3491" s="27"/>
      <c r="H3491" s="27"/>
    </row>
    <row r="3492" spans="1:8" x14ac:dyDescent="0.2">
      <c r="A3492" s="27"/>
      <c r="B3492" s="30"/>
      <c r="G3492" s="27"/>
      <c r="H3492" s="27"/>
    </row>
    <row r="3493" spans="1:8" x14ac:dyDescent="0.2">
      <c r="A3493" s="27"/>
      <c r="B3493" s="30"/>
      <c r="G3493" s="27"/>
      <c r="H3493" s="27"/>
    </row>
    <row r="3494" spans="1:8" x14ac:dyDescent="0.2">
      <c r="A3494" s="27"/>
      <c r="B3494" s="30"/>
      <c r="G3494" s="27"/>
      <c r="H3494" s="27"/>
    </row>
    <row r="3495" spans="1:8" x14ac:dyDescent="0.2">
      <c r="A3495" s="27"/>
      <c r="B3495" s="30"/>
      <c r="G3495" s="27"/>
      <c r="H3495" s="27"/>
    </row>
    <row r="3496" spans="1:8" x14ac:dyDescent="0.2">
      <c r="A3496" s="27"/>
      <c r="B3496" s="30"/>
      <c r="G3496" s="27"/>
      <c r="H3496" s="27"/>
    </row>
    <row r="3497" spans="1:8" x14ac:dyDescent="0.2">
      <c r="A3497" s="27"/>
      <c r="B3497" s="30"/>
      <c r="G3497" s="27"/>
      <c r="H3497" s="27"/>
    </row>
    <row r="3498" spans="1:8" x14ac:dyDescent="0.2">
      <c r="A3498" s="27"/>
      <c r="B3498" s="30"/>
      <c r="G3498" s="27"/>
      <c r="H3498" s="27"/>
    </row>
    <row r="3499" spans="1:8" x14ac:dyDescent="0.2">
      <c r="A3499" s="27"/>
      <c r="B3499" s="30"/>
      <c r="G3499" s="27"/>
      <c r="H3499" s="27"/>
    </row>
    <row r="3500" spans="1:8" x14ac:dyDescent="0.2">
      <c r="A3500" s="27"/>
      <c r="B3500" s="30"/>
      <c r="G3500" s="27"/>
      <c r="H3500" s="27"/>
    </row>
    <row r="3501" spans="1:8" x14ac:dyDescent="0.2">
      <c r="A3501" s="27"/>
      <c r="B3501" s="30"/>
      <c r="G3501" s="27"/>
      <c r="H3501" s="27"/>
    </row>
    <row r="3502" spans="1:8" x14ac:dyDescent="0.2">
      <c r="A3502" s="27"/>
      <c r="B3502" s="30"/>
      <c r="G3502" s="27"/>
      <c r="H3502" s="27"/>
    </row>
    <row r="3503" spans="1:8" x14ac:dyDescent="0.2">
      <c r="A3503" s="27"/>
      <c r="B3503" s="30"/>
      <c r="G3503" s="27"/>
      <c r="H3503" s="27"/>
    </row>
    <row r="3504" spans="1:8" x14ac:dyDescent="0.2">
      <c r="A3504" s="27"/>
      <c r="B3504" s="30"/>
      <c r="G3504" s="27"/>
      <c r="H3504" s="27"/>
    </row>
    <row r="3505" spans="1:8" x14ac:dyDescent="0.2">
      <c r="A3505" s="27"/>
      <c r="B3505" s="30"/>
      <c r="G3505" s="27"/>
      <c r="H3505" s="27"/>
    </row>
    <row r="3506" spans="1:8" x14ac:dyDescent="0.2">
      <c r="A3506" s="27"/>
      <c r="B3506" s="30"/>
      <c r="G3506" s="27"/>
      <c r="H3506" s="27"/>
    </row>
    <row r="3507" spans="1:8" x14ac:dyDescent="0.2">
      <c r="A3507" s="27"/>
      <c r="B3507" s="30"/>
      <c r="G3507" s="27"/>
      <c r="H3507" s="27"/>
    </row>
    <row r="3508" spans="1:8" x14ac:dyDescent="0.2">
      <c r="A3508" s="27"/>
      <c r="B3508" s="30"/>
      <c r="G3508" s="27"/>
      <c r="H3508" s="27"/>
    </row>
    <row r="3509" spans="1:8" x14ac:dyDescent="0.2">
      <c r="A3509" s="27"/>
      <c r="B3509" s="30"/>
      <c r="G3509" s="27"/>
      <c r="H3509" s="27"/>
    </row>
    <row r="3510" spans="1:8" x14ac:dyDescent="0.2">
      <c r="A3510" s="27"/>
      <c r="B3510" s="30"/>
      <c r="G3510" s="27"/>
      <c r="H3510" s="27"/>
    </row>
    <row r="3511" spans="1:8" x14ac:dyDescent="0.2">
      <c r="A3511" s="27"/>
      <c r="B3511" s="30"/>
      <c r="G3511" s="27"/>
      <c r="H3511" s="27"/>
    </row>
    <row r="3512" spans="1:8" x14ac:dyDescent="0.2">
      <c r="A3512" s="27"/>
      <c r="B3512" s="30"/>
      <c r="G3512" s="27"/>
      <c r="H3512" s="27"/>
    </row>
    <row r="3513" spans="1:8" x14ac:dyDescent="0.2">
      <c r="A3513" s="27"/>
      <c r="B3513" s="30"/>
      <c r="G3513" s="27"/>
      <c r="H3513" s="27"/>
    </row>
    <row r="3514" spans="1:8" x14ac:dyDescent="0.2">
      <c r="A3514" s="27"/>
      <c r="B3514" s="30"/>
      <c r="G3514" s="27"/>
      <c r="H3514" s="27"/>
    </row>
    <row r="3515" spans="1:8" x14ac:dyDescent="0.2">
      <c r="A3515" s="27"/>
      <c r="B3515" s="30"/>
      <c r="G3515" s="27"/>
      <c r="H3515" s="27"/>
    </row>
    <row r="3516" spans="1:8" x14ac:dyDescent="0.2">
      <c r="A3516" s="27"/>
      <c r="B3516" s="30"/>
      <c r="G3516" s="27"/>
      <c r="H3516" s="27"/>
    </row>
    <row r="3517" spans="1:8" x14ac:dyDescent="0.2">
      <c r="A3517" s="27"/>
      <c r="B3517" s="30"/>
      <c r="G3517" s="27"/>
      <c r="H3517" s="27"/>
    </row>
    <row r="3518" spans="1:8" x14ac:dyDescent="0.2">
      <c r="A3518" s="27"/>
      <c r="B3518" s="30"/>
      <c r="G3518" s="27"/>
      <c r="H3518" s="27"/>
    </row>
    <row r="3519" spans="1:8" x14ac:dyDescent="0.2">
      <c r="A3519" s="27"/>
      <c r="B3519" s="30"/>
      <c r="G3519" s="27"/>
      <c r="H3519" s="27"/>
    </row>
    <row r="3520" spans="1:8" x14ac:dyDescent="0.2">
      <c r="A3520" s="27"/>
      <c r="B3520" s="30"/>
      <c r="G3520" s="27"/>
      <c r="H3520" s="27"/>
    </row>
    <row r="3521" spans="1:8" x14ac:dyDescent="0.2">
      <c r="A3521" s="27"/>
      <c r="B3521" s="30"/>
      <c r="G3521" s="27"/>
      <c r="H3521" s="27"/>
    </row>
    <row r="3522" spans="1:8" x14ac:dyDescent="0.2">
      <c r="A3522" s="27"/>
      <c r="B3522" s="30"/>
      <c r="G3522" s="27"/>
      <c r="H3522" s="27"/>
    </row>
    <row r="3523" spans="1:8" x14ac:dyDescent="0.2">
      <c r="A3523" s="27"/>
      <c r="B3523" s="30"/>
      <c r="G3523" s="27"/>
      <c r="H3523" s="27"/>
    </row>
    <row r="3524" spans="1:8" x14ac:dyDescent="0.2">
      <c r="A3524" s="27"/>
      <c r="B3524" s="30"/>
      <c r="G3524" s="27"/>
      <c r="H3524" s="27"/>
    </row>
    <row r="3525" spans="1:8" x14ac:dyDescent="0.2">
      <c r="A3525" s="27"/>
      <c r="B3525" s="30"/>
      <c r="G3525" s="27"/>
      <c r="H3525" s="27"/>
    </row>
    <row r="3526" spans="1:8" x14ac:dyDescent="0.2">
      <c r="A3526" s="27"/>
      <c r="B3526" s="30"/>
      <c r="G3526" s="27"/>
      <c r="H3526" s="27"/>
    </row>
    <row r="3527" spans="1:8" x14ac:dyDescent="0.2">
      <c r="A3527" s="27"/>
      <c r="B3527" s="30"/>
      <c r="G3527" s="27"/>
      <c r="H3527" s="27"/>
    </row>
    <row r="3528" spans="1:8" x14ac:dyDescent="0.2">
      <c r="A3528" s="27"/>
      <c r="B3528" s="30"/>
      <c r="G3528" s="27"/>
      <c r="H3528" s="27"/>
    </row>
    <row r="3529" spans="1:8" x14ac:dyDescent="0.2">
      <c r="A3529" s="27"/>
      <c r="B3529" s="30"/>
      <c r="G3529" s="27"/>
      <c r="H3529" s="27"/>
    </row>
    <row r="3530" spans="1:8" x14ac:dyDescent="0.2">
      <c r="A3530" s="27"/>
      <c r="B3530" s="30"/>
      <c r="G3530" s="27"/>
      <c r="H3530" s="27"/>
    </row>
    <row r="3531" spans="1:8" x14ac:dyDescent="0.2">
      <c r="A3531" s="27"/>
      <c r="B3531" s="30"/>
      <c r="G3531" s="27"/>
      <c r="H3531" s="27"/>
    </row>
    <row r="3532" spans="1:8" x14ac:dyDescent="0.2">
      <c r="A3532" s="27"/>
      <c r="B3532" s="30"/>
      <c r="G3532" s="27"/>
      <c r="H3532" s="27"/>
    </row>
    <row r="3533" spans="1:8" x14ac:dyDescent="0.2">
      <c r="A3533" s="27"/>
      <c r="B3533" s="30"/>
      <c r="G3533" s="27"/>
      <c r="H3533" s="27"/>
    </row>
    <row r="3534" spans="1:8" x14ac:dyDescent="0.2">
      <c r="A3534" s="27"/>
      <c r="B3534" s="30"/>
      <c r="G3534" s="27"/>
      <c r="H3534" s="27"/>
    </row>
    <row r="3535" spans="1:8" x14ac:dyDescent="0.2">
      <c r="A3535" s="27"/>
      <c r="B3535" s="30"/>
      <c r="G3535" s="27"/>
      <c r="H3535" s="27"/>
    </row>
    <row r="3536" spans="1:8" x14ac:dyDescent="0.2">
      <c r="A3536" s="27"/>
      <c r="B3536" s="30"/>
      <c r="G3536" s="27"/>
      <c r="H3536" s="27"/>
    </row>
    <row r="3537" spans="1:8" x14ac:dyDescent="0.2">
      <c r="A3537" s="27"/>
      <c r="B3537" s="30"/>
      <c r="G3537" s="27"/>
      <c r="H3537" s="27"/>
    </row>
    <row r="3538" spans="1:8" x14ac:dyDescent="0.2">
      <c r="A3538" s="27"/>
      <c r="B3538" s="30"/>
      <c r="G3538" s="27"/>
      <c r="H3538" s="27"/>
    </row>
    <row r="3539" spans="1:8" x14ac:dyDescent="0.2">
      <c r="A3539" s="27"/>
      <c r="B3539" s="30"/>
      <c r="G3539" s="27"/>
      <c r="H3539" s="27"/>
    </row>
    <row r="3540" spans="1:8" x14ac:dyDescent="0.2">
      <c r="A3540" s="27"/>
      <c r="B3540" s="30"/>
      <c r="G3540" s="27"/>
      <c r="H3540" s="27"/>
    </row>
    <row r="3541" spans="1:8" x14ac:dyDescent="0.2">
      <c r="A3541" s="27"/>
      <c r="B3541" s="30"/>
      <c r="G3541" s="27"/>
      <c r="H3541" s="27"/>
    </row>
    <row r="3542" spans="1:8" x14ac:dyDescent="0.2">
      <c r="A3542" s="27"/>
      <c r="B3542" s="30"/>
      <c r="G3542" s="27"/>
      <c r="H3542" s="27"/>
    </row>
    <row r="3543" spans="1:8" x14ac:dyDescent="0.2">
      <c r="A3543" s="27"/>
      <c r="B3543" s="30"/>
      <c r="G3543" s="27"/>
      <c r="H3543" s="27"/>
    </row>
    <row r="3544" spans="1:8" x14ac:dyDescent="0.2">
      <c r="A3544" s="27"/>
      <c r="B3544" s="30"/>
      <c r="G3544" s="27"/>
      <c r="H3544" s="27"/>
    </row>
    <row r="3545" spans="1:8" x14ac:dyDescent="0.2">
      <c r="A3545" s="27"/>
      <c r="B3545" s="30"/>
      <c r="G3545" s="27"/>
      <c r="H3545" s="27"/>
    </row>
    <row r="3546" spans="1:8" x14ac:dyDescent="0.2">
      <c r="A3546" s="27"/>
      <c r="B3546" s="30"/>
      <c r="G3546" s="27"/>
      <c r="H3546" s="27"/>
    </row>
    <row r="3547" spans="1:8" x14ac:dyDescent="0.2">
      <c r="A3547" s="27"/>
      <c r="B3547" s="30"/>
      <c r="G3547" s="27"/>
      <c r="H3547" s="27"/>
    </row>
    <row r="3548" spans="1:8" x14ac:dyDescent="0.2">
      <c r="A3548" s="27"/>
      <c r="B3548" s="30"/>
      <c r="G3548" s="27"/>
      <c r="H3548" s="27"/>
    </row>
    <row r="3549" spans="1:8" x14ac:dyDescent="0.2">
      <c r="A3549" s="27"/>
      <c r="B3549" s="30"/>
      <c r="G3549" s="27"/>
      <c r="H3549" s="27"/>
    </row>
    <row r="3550" spans="1:8" x14ac:dyDescent="0.2">
      <c r="A3550" s="27"/>
      <c r="B3550" s="30"/>
      <c r="G3550" s="27"/>
      <c r="H3550" s="27"/>
    </row>
    <row r="3551" spans="1:8" x14ac:dyDescent="0.2">
      <c r="A3551" s="27"/>
      <c r="B3551" s="30"/>
      <c r="G3551" s="27"/>
      <c r="H3551" s="27"/>
    </row>
    <row r="3552" spans="1:8" x14ac:dyDescent="0.2">
      <c r="A3552" s="27"/>
      <c r="B3552" s="30"/>
      <c r="G3552" s="27"/>
      <c r="H3552" s="27"/>
    </row>
    <row r="3553" spans="1:8" x14ac:dyDescent="0.2">
      <c r="A3553" s="27"/>
      <c r="B3553" s="30"/>
      <c r="G3553" s="27"/>
      <c r="H3553" s="27"/>
    </row>
    <row r="3554" spans="1:8" x14ac:dyDescent="0.2">
      <c r="A3554" s="27"/>
      <c r="B3554" s="30"/>
      <c r="G3554" s="27"/>
      <c r="H3554" s="27"/>
    </row>
    <row r="3555" spans="1:8" x14ac:dyDescent="0.2">
      <c r="A3555" s="27"/>
      <c r="B3555" s="30"/>
      <c r="G3555" s="27"/>
      <c r="H3555" s="27"/>
    </row>
    <row r="3556" spans="1:8" x14ac:dyDescent="0.2">
      <c r="A3556" s="27"/>
      <c r="B3556" s="30"/>
      <c r="G3556" s="27"/>
      <c r="H3556" s="27"/>
    </row>
    <row r="3557" spans="1:8" x14ac:dyDescent="0.2">
      <c r="A3557" s="27"/>
      <c r="B3557" s="30"/>
      <c r="G3557" s="27"/>
      <c r="H3557" s="27"/>
    </row>
    <row r="3558" spans="1:8" x14ac:dyDescent="0.2">
      <c r="A3558" s="27"/>
      <c r="B3558" s="30"/>
      <c r="G3558" s="27"/>
      <c r="H3558" s="27"/>
    </row>
    <row r="3559" spans="1:8" x14ac:dyDescent="0.2">
      <c r="A3559" s="27"/>
      <c r="B3559" s="30"/>
      <c r="G3559" s="27"/>
      <c r="H3559" s="27"/>
    </row>
    <row r="3560" spans="1:8" x14ac:dyDescent="0.2">
      <c r="A3560" s="27"/>
      <c r="B3560" s="30"/>
      <c r="G3560" s="27"/>
      <c r="H3560" s="27"/>
    </row>
    <row r="3561" spans="1:8" x14ac:dyDescent="0.2">
      <c r="A3561" s="27"/>
      <c r="B3561" s="30"/>
      <c r="G3561" s="27"/>
      <c r="H3561" s="27"/>
    </row>
    <row r="3562" spans="1:8" x14ac:dyDescent="0.2">
      <c r="A3562" s="27"/>
      <c r="B3562" s="30"/>
      <c r="G3562" s="27"/>
      <c r="H3562" s="27"/>
    </row>
    <row r="3563" spans="1:8" x14ac:dyDescent="0.2">
      <c r="A3563" s="27"/>
      <c r="B3563" s="30"/>
      <c r="G3563" s="27"/>
      <c r="H3563" s="27"/>
    </row>
    <row r="3564" spans="1:8" x14ac:dyDescent="0.2">
      <c r="A3564" s="27"/>
      <c r="B3564" s="30"/>
      <c r="G3564" s="27"/>
      <c r="H3564" s="27"/>
    </row>
    <row r="3565" spans="1:8" x14ac:dyDescent="0.2">
      <c r="A3565" s="27"/>
      <c r="B3565" s="30"/>
      <c r="G3565" s="27"/>
      <c r="H3565" s="27"/>
    </row>
    <row r="3566" spans="1:8" x14ac:dyDescent="0.2">
      <c r="A3566" s="27"/>
      <c r="B3566" s="30"/>
      <c r="G3566" s="27"/>
      <c r="H3566" s="27"/>
    </row>
    <row r="3567" spans="1:8" x14ac:dyDescent="0.2">
      <c r="A3567" s="27"/>
      <c r="B3567" s="30"/>
      <c r="G3567" s="27"/>
      <c r="H3567" s="27"/>
    </row>
    <row r="3568" spans="1:8" x14ac:dyDescent="0.2">
      <c r="A3568" s="27"/>
      <c r="B3568" s="30"/>
      <c r="G3568" s="27"/>
      <c r="H3568" s="27"/>
    </row>
    <row r="3569" spans="1:8" x14ac:dyDescent="0.2">
      <c r="A3569" s="27"/>
      <c r="B3569" s="30"/>
      <c r="G3569" s="27"/>
      <c r="H3569" s="27"/>
    </row>
    <row r="3570" spans="1:8" x14ac:dyDescent="0.2">
      <c r="A3570" s="27"/>
      <c r="B3570" s="30"/>
      <c r="G3570" s="27"/>
      <c r="H3570" s="27"/>
    </row>
    <row r="3571" spans="1:8" x14ac:dyDescent="0.2">
      <c r="A3571" s="27"/>
      <c r="B3571" s="30"/>
      <c r="G3571" s="27"/>
      <c r="H3571" s="27"/>
    </row>
    <row r="3572" spans="1:8" x14ac:dyDescent="0.2">
      <c r="A3572" s="27"/>
      <c r="B3572" s="30"/>
      <c r="G3572" s="27"/>
      <c r="H3572" s="27"/>
    </row>
    <row r="3573" spans="1:8" x14ac:dyDescent="0.2">
      <c r="A3573" s="27"/>
      <c r="B3573" s="30"/>
      <c r="G3573" s="27"/>
      <c r="H3573" s="27"/>
    </row>
    <row r="3574" spans="1:8" x14ac:dyDescent="0.2">
      <c r="A3574" s="27"/>
      <c r="B3574" s="30"/>
      <c r="G3574" s="27"/>
      <c r="H3574" s="27"/>
    </row>
    <row r="3575" spans="1:8" x14ac:dyDescent="0.2">
      <c r="A3575" s="27"/>
      <c r="B3575" s="30"/>
      <c r="G3575" s="27"/>
      <c r="H3575" s="27"/>
    </row>
    <row r="3576" spans="1:8" x14ac:dyDescent="0.2">
      <c r="A3576" s="27"/>
      <c r="B3576" s="30"/>
      <c r="G3576" s="27"/>
      <c r="H3576" s="27"/>
    </row>
    <row r="3577" spans="1:8" x14ac:dyDescent="0.2">
      <c r="A3577" s="27"/>
      <c r="B3577" s="30"/>
      <c r="G3577" s="27"/>
      <c r="H3577" s="27"/>
    </row>
    <row r="3578" spans="1:8" x14ac:dyDescent="0.2">
      <c r="A3578" s="27"/>
      <c r="B3578" s="30"/>
      <c r="G3578" s="27"/>
      <c r="H3578" s="27"/>
    </row>
    <row r="3579" spans="1:8" x14ac:dyDescent="0.2">
      <c r="A3579" s="27"/>
      <c r="B3579" s="30"/>
      <c r="G3579" s="27"/>
      <c r="H3579" s="27"/>
    </row>
    <row r="3580" spans="1:8" x14ac:dyDescent="0.2">
      <c r="A3580" s="27"/>
      <c r="B3580" s="30"/>
      <c r="G3580" s="27"/>
      <c r="H3580" s="27"/>
    </row>
    <row r="3581" spans="1:8" x14ac:dyDescent="0.2">
      <c r="A3581" s="27"/>
      <c r="B3581" s="30"/>
      <c r="G3581" s="27"/>
      <c r="H3581" s="27"/>
    </row>
    <row r="3582" spans="1:8" x14ac:dyDescent="0.2">
      <c r="A3582" s="27"/>
      <c r="B3582" s="30"/>
      <c r="G3582" s="27"/>
      <c r="H3582" s="27"/>
    </row>
    <row r="3583" spans="1:8" x14ac:dyDescent="0.2">
      <c r="A3583" s="27"/>
      <c r="B3583" s="30"/>
      <c r="G3583" s="27"/>
      <c r="H3583" s="27"/>
    </row>
    <row r="3584" spans="1:8" x14ac:dyDescent="0.2">
      <c r="A3584" s="27"/>
      <c r="B3584" s="30"/>
      <c r="G3584" s="27"/>
      <c r="H3584" s="27"/>
    </row>
    <row r="3585" spans="1:8" x14ac:dyDescent="0.2">
      <c r="A3585" s="27"/>
      <c r="B3585" s="30"/>
      <c r="G3585" s="27"/>
      <c r="H3585" s="27"/>
    </row>
    <row r="3586" spans="1:8" x14ac:dyDescent="0.2">
      <c r="A3586" s="27"/>
      <c r="B3586" s="30"/>
      <c r="G3586" s="27"/>
      <c r="H3586" s="27"/>
    </row>
    <row r="3587" spans="1:8" x14ac:dyDescent="0.2">
      <c r="A3587" s="27"/>
      <c r="B3587" s="30"/>
      <c r="G3587" s="27"/>
      <c r="H3587" s="27"/>
    </row>
    <row r="3588" spans="1:8" x14ac:dyDescent="0.2">
      <c r="A3588" s="27"/>
      <c r="B3588" s="30"/>
      <c r="G3588" s="27"/>
      <c r="H3588" s="27"/>
    </row>
    <row r="3589" spans="1:8" x14ac:dyDescent="0.2">
      <c r="A3589" s="27"/>
      <c r="B3589" s="30"/>
      <c r="G3589" s="27"/>
      <c r="H3589" s="27"/>
    </row>
    <row r="3590" spans="1:8" x14ac:dyDescent="0.2">
      <c r="A3590" s="27"/>
      <c r="B3590" s="30"/>
      <c r="G3590" s="27"/>
      <c r="H3590" s="27"/>
    </row>
    <row r="3591" spans="1:8" x14ac:dyDescent="0.2">
      <c r="A3591" s="27"/>
      <c r="B3591" s="30"/>
      <c r="G3591" s="27"/>
      <c r="H3591" s="27"/>
    </row>
    <row r="3592" spans="1:8" x14ac:dyDescent="0.2">
      <c r="A3592" s="27"/>
      <c r="B3592" s="30"/>
      <c r="G3592" s="27"/>
      <c r="H3592" s="27"/>
    </row>
    <row r="3593" spans="1:8" x14ac:dyDescent="0.2">
      <c r="A3593" s="27"/>
      <c r="B3593" s="30"/>
      <c r="G3593" s="27"/>
      <c r="H3593" s="27"/>
    </row>
    <row r="3594" spans="1:8" x14ac:dyDescent="0.2">
      <c r="A3594" s="27"/>
      <c r="B3594" s="30"/>
      <c r="G3594" s="27"/>
      <c r="H3594" s="27"/>
    </row>
    <row r="3595" spans="1:8" x14ac:dyDescent="0.2">
      <c r="A3595" s="27"/>
      <c r="B3595" s="30"/>
      <c r="G3595" s="27"/>
      <c r="H3595" s="27"/>
    </row>
    <row r="3596" spans="1:8" x14ac:dyDescent="0.2">
      <c r="A3596" s="27"/>
      <c r="B3596" s="30"/>
      <c r="G3596" s="27"/>
      <c r="H3596" s="27"/>
    </row>
    <row r="3597" spans="1:8" x14ac:dyDescent="0.2">
      <c r="A3597" s="27"/>
      <c r="B3597" s="30"/>
      <c r="G3597" s="27"/>
      <c r="H3597" s="27"/>
    </row>
    <row r="3598" spans="1:8" x14ac:dyDescent="0.2">
      <c r="A3598" s="27"/>
      <c r="B3598" s="30"/>
      <c r="G3598" s="27"/>
      <c r="H3598" s="27"/>
    </row>
    <row r="3599" spans="1:8" x14ac:dyDescent="0.2">
      <c r="A3599" s="27"/>
      <c r="B3599" s="30"/>
      <c r="G3599" s="27"/>
      <c r="H3599" s="27"/>
    </row>
    <row r="3600" spans="1:8" x14ac:dyDescent="0.2">
      <c r="A3600" s="27"/>
      <c r="B3600" s="30"/>
      <c r="G3600" s="27"/>
      <c r="H3600" s="27"/>
    </row>
    <row r="3601" spans="1:8" x14ac:dyDescent="0.2">
      <c r="A3601" s="27"/>
      <c r="B3601" s="30"/>
      <c r="G3601" s="27"/>
      <c r="H3601" s="27"/>
    </row>
    <row r="3602" spans="1:8" x14ac:dyDescent="0.2">
      <c r="A3602" s="27"/>
      <c r="B3602" s="30"/>
      <c r="G3602" s="27"/>
      <c r="H3602" s="27"/>
    </row>
    <row r="3603" spans="1:8" x14ac:dyDescent="0.2">
      <c r="A3603" s="27"/>
      <c r="B3603" s="30"/>
      <c r="G3603" s="27"/>
      <c r="H3603" s="27"/>
    </row>
    <row r="3604" spans="1:8" x14ac:dyDescent="0.2">
      <c r="A3604" s="27"/>
      <c r="B3604" s="30"/>
      <c r="G3604" s="27"/>
      <c r="H3604" s="27"/>
    </row>
    <row r="3605" spans="1:8" x14ac:dyDescent="0.2">
      <c r="A3605" s="27"/>
      <c r="B3605" s="30"/>
      <c r="G3605" s="27"/>
      <c r="H3605" s="27"/>
    </row>
    <row r="3606" spans="1:8" x14ac:dyDescent="0.2">
      <c r="A3606" s="27"/>
      <c r="B3606" s="30"/>
      <c r="G3606" s="27"/>
      <c r="H3606" s="27"/>
    </row>
    <row r="3607" spans="1:8" x14ac:dyDescent="0.2">
      <c r="A3607" s="27"/>
      <c r="B3607" s="30"/>
      <c r="G3607" s="27"/>
      <c r="H3607" s="27"/>
    </row>
    <row r="3608" spans="1:8" x14ac:dyDescent="0.2">
      <c r="A3608" s="27"/>
      <c r="B3608" s="30"/>
      <c r="G3608" s="27"/>
      <c r="H3608" s="27"/>
    </row>
    <row r="3609" spans="1:8" x14ac:dyDescent="0.2">
      <c r="A3609" s="27"/>
      <c r="B3609" s="30"/>
      <c r="G3609" s="27"/>
      <c r="H3609" s="27"/>
    </row>
    <row r="3610" spans="1:8" x14ac:dyDescent="0.2">
      <c r="A3610" s="27"/>
      <c r="B3610" s="30"/>
      <c r="G3610" s="27"/>
      <c r="H3610" s="27"/>
    </row>
    <row r="3611" spans="1:8" x14ac:dyDescent="0.2">
      <c r="A3611" s="27"/>
      <c r="B3611" s="30"/>
      <c r="G3611" s="27"/>
      <c r="H3611" s="27"/>
    </row>
    <row r="3612" spans="1:8" x14ac:dyDescent="0.2">
      <c r="A3612" s="27"/>
      <c r="B3612" s="30"/>
      <c r="G3612" s="27"/>
      <c r="H3612" s="27"/>
    </row>
    <row r="3613" spans="1:8" x14ac:dyDescent="0.2">
      <c r="A3613" s="27"/>
      <c r="B3613" s="30"/>
      <c r="G3613" s="27"/>
      <c r="H3613" s="27"/>
    </row>
    <row r="3614" spans="1:8" x14ac:dyDescent="0.2">
      <c r="A3614" s="27"/>
      <c r="B3614" s="30"/>
      <c r="G3614" s="27"/>
      <c r="H3614" s="27"/>
    </row>
    <row r="3615" spans="1:8" x14ac:dyDescent="0.2">
      <c r="A3615" s="27"/>
      <c r="B3615" s="30"/>
      <c r="G3615" s="27"/>
      <c r="H3615" s="27"/>
    </row>
    <row r="3616" spans="1:8" x14ac:dyDescent="0.2">
      <c r="A3616" s="27"/>
      <c r="B3616" s="30"/>
      <c r="G3616" s="27"/>
      <c r="H3616" s="27"/>
    </row>
    <row r="3617" spans="1:8" x14ac:dyDescent="0.2">
      <c r="A3617" s="27"/>
      <c r="B3617" s="30"/>
      <c r="G3617" s="27"/>
      <c r="H3617" s="27"/>
    </row>
    <row r="3618" spans="1:8" x14ac:dyDescent="0.2">
      <c r="A3618" s="27"/>
      <c r="B3618" s="30"/>
      <c r="G3618" s="27"/>
      <c r="H3618" s="27"/>
    </row>
    <row r="3619" spans="1:8" x14ac:dyDescent="0.2">
      <c r="A3619" s="27"/>
      <c r="B3619" s="30"/>
      <c r="G3619" s="27"/>
      <c r="H3619" s="27"/>
    </row>
    <row r="3620" spans="1:8" x14ac:dyDescent="0.2">
      <c r="A3620" s="27"/>
      <c r="B3620" s="30"/>
      <c r="G3620" s="27"/>
      <c r="H3620" s="27"/>
    </row>
    <row r="3621" spans="1:8" x14ac:dyDescent="0.2">
      <c r="A3621" s="27"/>
      <c r="B3621" s="30"/>
      <c r="G3621" s="27"/>
      <c r="H3621" s="27"/>
    </row>
    <row r="3622" spans="1:8" x14ac:dyDescent="0.2">
      <c r="A3622" s="27"/>
      <c r="B3622" s="30"/>
      <c r="G3622" s="27"/>
      <c r="H3622" s="27"/>
    </row>
    <row r="3623" spans="1:8" x14ac:dyDescent="0.2">
      <c r="A3623" s="27"/>
      <c r="B3623" s="30"/>
      <c r="G3623" s="27"/>
      <c r="H3623" s="27"/>
    </row>
    <row r="3624" spans="1:8" x14ac:dyDescent="0.2">
      <c r="A3624" s="27"/>
      <c r="B3624" s="30"/>
      <c r="G3624" s="27"/>
      <c r="H3624" s="27"/>
    </row>
    <row r="3625" spans="1:8" x14ac:dyDescent="0.2">
      <c r="A3625" s="27"/>
      <c r="B3625" s="30"/>
      <c r="G3625" s="27"/>
      <c r="H3625" s="27"/>
    </row>
    <row r="3626" spans="1:8" x14ac:dyDescent="0.2">
      <c r="A3626" s="27"/>
      <c r="B3626" s="30"/>
      <c r="G3626" s="27"/>
      <c r="H3626" s="27"/>
    </row>
    <row r="3627" spans="1:8" x14ac:dyDescent="0.2">
      <c r="A3627" s="27"/>
      <c r="B3627" s="30"/>
      <c r="G3627" s="27"/>
      <c r="H3627" s="27"/>
    </row>
    <row r="3628" spans="1:8" x14ac:dyDescent="0.2">
      <c r="A3628" s="27"/>
      <c r="B3628" s="30"/>
      <c r="G3628" s="27"/>
      <c r="H3628" s="27"/>
    </row>
    <row r="3629" spans="1:8" x14ac:dyDescent="0.2">
      <c r="A3629" s="27"/>
      <c r="B3629" s="30"/>
      <c r="G3629" s="27"/>
      <c r="H3629" s="27"/>
    </row>
    <row r="3630" spans="1:8" x14ac:dyDescent="0.2">
      <c r="A3630" s="27"/>
      <c r="B3630" s="30"/>
      <c r="G3630" s="27"/>
      <c r="H3630" s="27"/>
    </row>
    <row r="3631" spans="1:8" x14ac:dyDescent="0.2">
      <c r="A3631" s="27"/>
      <c r="B3631" s="30"/>
      <c r="G3631" s="27"/>
      <c r="H3631" s="27"/>
    </row>
    <row r="3632" spans="1:8" x14ac:dyDescent="0.2">
      <c r="A3632" s="27"/>
      <c r="B3632" s="30"/>
      <c r="G3632" s="27"/>
      <c r="H3632" s="27"/>
    </row>
    <row r="3633" spans="1:8" x14ac:dyDescent="0.2">
      <c r="A3633" s="27"/>
      <c r="B3633" s="30"/>
      <c r="G3633" s="27"/>
      <c r="H3633" s="27"/>
    </row>
    <row r="3634" spans="1:8" x14ac:dyDescent="0.2">
      <c r="A3634" s="27"/>
      <c r="B3634" s="30"/>
      <c r="G3634" s="27"/>
      <c r="H3634" s="27"/>
    </row>
    <row r="3635" spans="1:8" x14ac:dyDescent="0.2">
      <c r="A3635" s="27"/>
      <c r="B3635" s="30"/>
      <c r="G3635" s="27"/>
      <c r="H3635" s="27"/>
    </row>
    <row r="3636" spans="1:8" x14ac:dyDescent="0.2">
      <c r="A3636" s="27"/>
      <c r="B3636" s="30"/>
      <c r="G3636" s="27"/>
      <c r="H3636" s="27"/>
    </row>
    <row r="3637" spans="1:8" x14ac:dyDescent="0.2">
      <c r="A3637" s="27"/>
      <c r="B3637" s="30"/>
      <c r="G3637" s="27"/>
      <c r="H3637" s="27"/>
    </row>
    <row r="3638" spans="1:8" x14ac:dyDescent="0.2">
      <c r="A3638" s="27"/>
      <c r="B3638" s="30"/>
      <c r="G3638" s="27"/>
      <c r="H3638" s="27"/>
    </row>
    <row r="3639" spans="1:8" x14ac:dyDescent="0.2">
      <c r="A3639" s="27"/>
      <c r="B3639" s="30"/>
      <c r="G3639" s="27"/>
      <c r="H3639" s="27"/>
    </row>
    <row r="3640" spans="1:8" x14ac:dyDescent="0.2">
      <c r="A3640" s="27"/>
      <c r="B3640" s="30"/>
      <c r="G3640" s="27"/>
      <c r="H3640" s="27"/>
    </row>
    <row r="3641" spans="1:8" x14ac:dyDescent="0.2">
      <c r="A3641" s="27"/>
      <c r="B3641" s="30"/>
      <c r="G3641" s="27"/>
      <c r="H3641" s="27"/>
    </row>
    <row r="3642" spans="1:8" x14ac:dyDescent="0.2">
      <c r="A3642" s="27"/>
      <c r="B3642" s="30"/>
      <c r="G3642" s="27"/>
      <c r="H3642" s="27"/>
    </row>
    <row r="3643" spans="1:8" x14ac:dyDescent="0.2">
      <c r="A3643" s="27"/>
      <c r="B3643" s="30"/>
      <c r="G3643" s="27"/>
      <c r="H3643" s="27"/>
    </row>
    <row r="3644" spans="1:8" x14ac:dyDescent="0.2">
      <c r="A3644" s="27"/>
      <c r="B3644" s="30"/>
      <c r="G3644" s="27"/>
      <c r="H3644" s="27"/>
    </row>
    <row r="3645" spans="1:8" x14ac:dyDescent="0.2">
      <c r="A3645" s="27"/>
      <c r="B3645" s="30"/>
      <c r="G3645" s="27"/>
      <c r="H3645" s="27"/>
    </row>
    <row r="3646" spans="1:8" x14ac:dyDescent="0.2">
      <c r="A3646" s="27"/>
      <c r="B3646" s="30"/>
      <c r="G3646" s="27"/>
      <c r="H3646" s="27"/>
    </row>
    <row r="3647" spans="1:8" x14ac:dyDescent="0.2">
      <c r="A3647" s="27"/>
      <c r="B3647" s="30"/>
      <c r="G3647" s="27"/>
      <c r="H3647" s="27"/>
    </row>
    <row r="3648" spans="1:8" x14ac:dyDescent="0.2">
      <c r="A3648" s="27"/>
      <c r="B3648" s="30"/>
      <c r="G3648" s="27"/>
      <c r="H3648" s="27"/>
    </row>
    <row r="3649" spans="1:8" x14ac:dyDescent="0.2">
      <c r="A3649" s="27"/>
      <c r="B3649" s="30"/>
      <c r="G3649" s="27"/>
      <c r="H3649" s="27"/>
    </row>
    <row r="3650" spans="1:8" x14ac:dyDescent="0.2">
      <c r="A3650" s="27"/>
      <c r="B3650" s="30"/>
      <c r="G3650" s="27"/>
      <c r="H3650" s="27"/>
    </row>
    <row r="3651" spans="1:8" x14ac:dyDescent="0.2">
      <c r="A3651" s="27"/>
      <c r="B3651" s="30"/>
      <c r="G3651" s="27"/>
      <c r="H3651" s="27"/>
    </row>
    <row r="3652" spans="1:8" x14ac:dyDescent="0.2">
      <c r="A3652" s="27"/>
      <c r="B3652" s="30"/>
      <c r="G3652" s="27"/>
      <c r="H3652" s="27"/>
    </row>
    <row r="3653" spans="1:8" x14ac:dyDescent="0.2">
      <c r="A3653" s="27"/>
      <c r="B3653" s="30"/>
      <c r="G3653" s="27"/>
      <c r="H3653" s="27"/>
    </row>
    <row r="3654" spans="1:8" x14ac:dyDescent="0.2">
      <c r="A3654" s="27"/>
      <c r="B3654" s="30"/>
      <c r="G3654" s="27"/>
      <c r="H3654" s="27"/>
    </row>
    <row r="3655" spans="1:8" x14ac:dyDescent="0.2">
      <c r="A3655" s="27"/>
      <c r="B3655" s="30"/>
      <c r="G3655" s="27"/>
      <c r="H3655" s="27"/>
    </row>
    <row r="3656" spans="1:8" x14ac:dyDescent="0.2">
      <c r="A3656" s="27"/>
      <c r="B3656" s="30"/>
      <c r="G3656" s="27"/>
      <c r="H3656" s="27"/>
    </row>
    <row r="3657" spans="1:8" x14ac:dyDescent="0.2">
      <c r="A3657" s="27"/>
      <c r="B3657" s="30"/>
      <c r="G3657" s="27"/>
      <c r="H3657" s="27"/>
    </row>
    <row r="3658" spans="1:8" x14ac:dyDescent="0.2">
      <c r="A3658" s="27"/>
      <c r="B3658" s="30"/>
      <c r="G3658" s="27"/>
      <c r="H3658" s="27"/>
    </row>
    <row r="3659" spans="1:8" x14ac:dyDescent="0.2">
      <c r="A3659" s="27"/>
      <c r="B3659" s="30"/>
      <c r="G3659" s="27"/>
      <c r="H3659" s="27"/>
    </row>
    <row r="3660" spans="1:8" x14ac:dyDescent="0.2">
      <c r="A3660" s="27"/>
      <c r="B3660" s="30"/>
      <c r="G3660" s="27"/>
      <c r="H3660" s="27"/>
    </row>
    <row r="3661" spans="1:8" x14ac:dyDescent="0.2">
      <c r="A3661" s="27"/>
      <c r="B3661" s="30"/>
      <c r="G3661" s="27"/>
      <c r="H3661" s="27"/>
    </row>
    <row r="3662" spans="1:8" x14ac:dyDescent="0.2">
      <c r="A3662" s="27"/>
      <c r="B3662" s="30"/>
      <c r="G3662" s="27"/>
      <c r="H3662" s="27"/>
    </row>
    <row r="3663" spans="1:8" x14ac:dyDescent="0.2">
      <c r="A3663" s="27"/>
      <c r="B3663" s="30"/>
      <c r="G3663" s="27"/>
      <c r="H3663" s="27"/>
    </row>
    <row r="3664" spans="1:8" x14ac:dyDescent="0.2">
      <c r="A3664" s="27"/>
      <c r="B3664" s="30"/>
      <c r="G3664" s="27"/>
      <c r="H3664" s="27"/>
    </row>
    <row r="3665" spans="1:8" x14ac:dyDescent="0.2">
      <c r="A3665" s="27"/>
      <c r="B3665" s="30"/>
      <c r="G3665" s="27"/>
      <c r="H3665" s="27"/>
    </row>
    <row r="3666" spans="1:8" x14ac:dyDescent="0.2">
      <c r="A3666" s="27"/>
      <c r="B3666" s="30"/>
      <c r="G3666" s="27"/>
      <c r="H3666" s="27"/>
    </row>
    <row r="3667" spans="1:8" x14ac:dyDescent="0.2">
      <c r="A3667" s="27"/>
      <c r="B3667" s="30"/>
      <c r="G3667" s="27"/>
      <c r="H3667" s="27"/>
    </row>
    <row r="3668" spans="1:8" x14ac:dyDescent="0.2">
      <c r="A3668" s="27"/>
      <c r="B3668" s="30"/>
      <c r="G3668" s="27"/>
      <c r="H3668" s="27"/>
    </row>
    <row r="3669" spans="1:8" x14ac:dyDescent="0.2">
      <c r="A3669" s="27"/>
      <c r="B3669" s="30"/>
      <c r="G3669" s="27"/>
      <c r="H3669" s="27"/>
    </row>
    <row r="3670" spans="1:8" x14ac:dyDescent="0.2">
      <c r="A3670" s="27"/>
      <c r="B3670" s="30"/>
      <c r="G3670" s="27"/>
      <c r="H3670" s="27"/>
    </row>
    <row r="3671" spans="1:8" x14ac:dyDescent="0.2">
      <c r="A3671" s="27"/>
      <c r="B3671" s="30"/>
      <c r="G3671" s="27"/>
      <c r="H3671" s="27"/>
    </row>
    <row r="3672" spans="1:8" x14ac:dyDescent="0.2">
      <c r="A3672" s="27"/>
      <c r="B3672" s="30"/>
      <c r="G3672" s="27"/>
      <c r="H3672" s="27"/>
    </row>
    <row r="3673" spans="1:8" x14ac:dyDescent="0.2">
      <c r="A3673" s="27"/>
      <c r="B3673" s="30"/>
      <c r="G3673" s="27"/>
      <c r="H3673" s="27"/>
    </row>
    <row r="3674" spans="1:8" x14ac:dyDescent="0.2">
      <c r="A3674" s="27"/>
      <c r="B3674" s="30"/>
      <c r="G3674" s="27"/>
      <c r="H3674" s="27"/>
    </row>
    <row r="3675" spans="1:8" x14ac:dyDescent="0.2">
      <c r="A3675" s="27"/>
      <c r="B3675" s="30"/>
      <c r="G3675" s="27"/>
      <c r="H3675" s="27"/>
    </row>
    <row r="3676" spans="1:8" x14ac:dyDescent="0.2">
      <c r="A3676" s="27"/>
      <c r="B3676" s="30"/>
      <c r="G3676" s="27"/>
      <c r="H3676" s="27"/>
    </row>
    <row r="3677" spans="1:8" x14ac:dyDescent="0.2">
      <c r="A3677" s="27"/>
      <c r="B3677" s="30"/>
      <c r="G3677" s="27"/>
      <c r="H3677" s="27"/>
    </row>
    <row r="3678" spans="1:8" x14ac:dyDescent="0.2">
      <c r="A3678" s="27"/>
      <c r="B3678" s="30"/>
      <c r="G3678" s="27"/>
      <c r="H3678" s="27"/>
    </row>
    <row r="3679" spans="1:8" x14ac:dyDescent="0.2">
      <c r="A3679" s="27"/>
      <c r="B3679" s="30"/>
      <c r="G3679" s="27"/>
      <c r="H3679" s="27"/>
    </row>
    <row r="3680" spans="1:8" x14ac:dyDescent="0.2">
      <c r="A3680" s="27"/>
      <c r="B3680" s="30"/>
      <c r="G3680" s="27"/>
      <c r="H3680" s="27"/>
    </row>
    <row r="3681" spans="1:8" x14ac:dyDescent="0.2">
      <c r="A3681" s="27"/>
      <c r="B3681" s="30"/>
      <c r="G3681" s="27"/>
      <c r="H3681" s="27"/>
    </row>
    <row r="3682" spans="1:8" x14ac:dyDescent="0.2">
      <c r="A3682" s="27"/>
      <c r="B3682" s="30"/>
      <c r="G3682" s="27"/>
      <c r="H3682" s="27"/>
    </row>
    <row r="3683" spans="1:8" x14ac:dyDescent="0.2">
      <c r="A3683" s="27"/>
      <c r="B3683" s="30"/>
      <c r="G3683" s="27"/>
      <c r="H3683" s="27"/>
    </row>
    <row r="3684" spans="1:8" x14ac:dyDescent="0.2">
      <c r="A3684" s="27"/>
      <c r="B3684" s="30"/>
      <c r="G3684" s="27"/>
      <c r="H3684" s="27"/>
    </row>
    <row r="3685" spans="1:8" x14ac:dyDescent="0.2">
      <c r="A3685" s="27"/>
      <c r="B3685" s="30"/>
      <c r="G3685" s="27"/>
      <c r="H3685" s="27"/>
    </row>
    <row r="3686" spans="1:8" x14ac:dyDescent="0.2">
      <c r="A3686" s="27"/>
      <c r="B3686" s="30"/>
      <c r="G3686" s="27"/>
      <c r="H3686" s="27"/>
    </row>
    <row r="3687" spans="1:8" x14ac:dyDescent="0.2">
      <c r="A3687" s="27"/>
      <c r="B3687" s="30"/>
      <c r="G3687" s="27"/>
      <c r="H3687" s="27"/>
    </row>
    <row r="3688" spans="1:8" x14ac:dyDescent="0.2">
      <c r="A3688" s="27"/>
      <c r="B3688" s="30"/>
      <c r="G3688" s="27"/>
      <c r="H3688" s="27"/>
    </row>
    <row r="3689" spans="1:8" x14ac:dyDescent="0.2">
      <c r="A3689" s="27"/>
      <c r="B3689" s="30"/>
      <c r="G3689" s="27"/>
      <c r="H3689" s="27"/>
    </row>
    <row r="3690" spans="1:8" x14ac:dyDescent="0.2">
      <c r="A3690" s="27"/>
      <c r="B3690" s="30"/>
      <c r="G3690" s="27"/>
      <c r="H3690" s="27"/>
    </row>
    <row r="3691" spans="1:8" x14ac:dyDescent="0.2">
      <c r="A3691" s="27"/>
      <c r="B3691" s="30"/>
      <c r="G3691" s="27"/>
      <c r="H3691" s="27"/>
    </row>
    <row r="3692" spans="1:8" x14ac:dyDescent="0.2">
      <c r="A3692" s="27"/>
      <c r="B3692" s="30"/>
      <c r="G3692" s="27"/>
      <c r="H3692" s="27"/>
    </row>
    <row r="3693" spans="1:8" x14ac:dyDescent="0.2">
      <c r="A3693" s="27"/>
      <c r="B3693" s="30"/>
      <c r="G3693" s="27"/>
      <c r="H3693" s="27"/>
    </row>
    <row r="3694" spans="1:8" x14ac:dyDescent="0.2">
      <c r="A3694" s="27"/>
      <c r="B3694" s="30"/>
      <c r="G3694" s="27"/>
      <c r="H3694" s="27"/>
    </row>
    <row r="3695" spans="1:8" x14ac:dyDescent="0.2">
      <c r="A3695" s="27"/>
      <c r="B3695" s="30"/>
      <c r="G3695" s="27"/>
      <c r="H3695" s="27"/>
    </row>
    <row r="3696" spans="1:8" x14ac:dyDescent="0.2">
      <c r="A3696" s="27"/>
      <c r="B3696" s="30"/>
      <c r="G3696" s="27"/>
      <c r="H3696" s="27"/>
    </row>
    <row r="3697" spans="1:8" x14ac:dyDescent="0.2">
      <c r="A3697" s="27"/>
      <c r="B3697" s="30"/>
      <c r="G3697" s="27"/>
      <c r="H3697" s="27"/>
    </row>
    <row r="3698" spans="1:8" x14ac:dyDescent="0.2">
      <c r="A3698" s="27"/>
      <c r="B3698" s="30"/>
      <c r="G3698" s="27"/>
      <c r="H3698" s="27"/>
    </row>
    <row r="3699" spans="1:8" x14ac:dyDescent="0.2">
      <c r="A3699" s="27"/>
      <c r="B3699" s="30"/>
      <c r="G3699" s="27"/>
      <c r="H3699" s="27"/>
    </row>
    <row r="3700" spans="1:8" x14ac:dyDescent="0.2">
      <c r="A3700" s="27"/>
      <c r="B3700" s="30"/>
      <c r="G3700" s="27"/>
      <c r="H3700" s="27"/>
    </row>
    <row r="3701" spans="1:8" x14ac:dyDescent="0.2">
      <c r="A3701" s="27"/>
      <c r="B3701" s="30"/>
      <c r="G3701" s="27"/>
      <c r="H3701" s="27"/>
    </row>
    <row r="3702" spans="1:8" x14ac:dyDescent="0.2">
      <c r="A3702" s="27"/>
      <c r="B3702" s="30"/>
      <c r="G3702" s="27"/>
      <c r="H3702" s="27"/>
    </row>
    <row r="3703" spans="1:8" x14ac:dyDescent="0.2">
      <c r="A3703" s="27"/>
      <c r="B3703" s="30"/>
      <c r="G3703" s="27"/>
      <c r="H3703" s="27"/>
    </row>
    <row r="3704" spans="1:8" x14ac:dyDescent="0.2">
      <c r="A3704" s="27"/>
      <c r="B3704" s="30"/>
      <c r="G3704" s="27"/>
      <c r="H3704" s="27"/>
    </row>
    <row r="3705" spans="1:8" x14ac:dyDescent="0.2">
      <c r="A3705" s="27"/>
      <c r="B3705" s="30"/>
      <c r="G3705" s="27"/>
      <c r="H3705" s="27"/>
    </row>
    <row r="3706" spans="1:8" x14ac:dyDescent="0.2">
      <c r="A3706" s="27"/>
      <c r="B3706" s="30"/>
      <c r="G3706" s="27"/>
      <c r="H3706" s="27"/>
    </row>
    <row r="3707" spans="1:8" x14ac:dyDescent="0.2">
      <c r="A3707" s="27"/>
      <c r="B3707" s="30"/>
      <c r="G3707" s="27"/>
      <c r="H3707" s="27"/>
    </row>
    <row r="3708" spans="1:8" x14ac:dyDescent="0.2">
      <c r="A3708" s="27"/>
      <c r="B3708" s="30"/>
      <c r="G3708" s="27"/>
      <c r="H3708" s="27"/>
    </row>
    <row r="3709" spans="1:8" x14ac:dyDescent="0.2">
      <c r="A3709" s="27"/>
      <c r="B3709" s="30"/>
      <c r="G3709" s="27"/>
      <c r="H3709" s="27"/>
    </row>
    <row r="3710" spans="1:8" x14ac:dyDescent="0.2">
      <c r="A3710" s="27"/>
      <c r="B3710" s="30"/>
      <c r="G3710" s="27"/>
      <c r="H3710" s="27"/>
    </row>
    <row r="3711" spans="1:8" x14ac:dyDescent="0.2">
      <c r="A3711" s="27"/>
      <c r="B3711" s="30"/>
      <c r="G3711" s="27"/>
      <c r="H3711" s="27"/>
    </row>
    <row r="3712" spans="1:8" x14ac:dyDescent="0.2">
      <c r="A3712" s="27"/>
      <c r="B3712" s="30"/>
      <c r="G3712" s="27"/>
      <c r="H3712" s="27"/>
    </row>
    <row r="3713" spans="1:8" x14ac:dyDescent="0.2">
      <c r="A3713" s="27"/>
      <c r="B3713" s="30"/>
      <c r="G3713" s="27"/>
      <c r="H3713" s="27"/>
    </row>
    <row r="3714" spans="1:8" x14ac:dyDescent="0.2">
      <c r="A3714" s="27"/>
      <c r="B3714" s="30"/>
      <c r="G3714" s="27"/>
      <c r="H3714" s="27"/>
    </row>
    <row r="3715" spans="1:8" x14ac:dyDescent="0.2">
      <c r="A3715" s="27"/>
      <c r="B3715" s="30"/>
      <c r="G3715" s="27"/>
      <c r="H3715" s="27"/>
    </row>
    <row r="3716" spans="1:8" x14ac:dyDescent="0.2">
      <c r="A3716" s="27"/>
      <c r="B3716" s="30"/>
      <c r="G3716" s="27"/>
      <c r="H3716" s="27"/>
    </row>
    <row r="3717" spans="1:8" x14ac:dyDescent="0.2">
      <c r="A3717" s="27"/>
      <c r="B3717" s="30"/>
      <c r="G3717" s="27"/>
      <c r="H3717" s="27"/>
    </row>
    <row r="3718" spans="1:8" x14ac:dyDescent="0.2">
      <c r="A3718" s="27"/>
      <c r="B3718" s="30"/>
      <c r="G3718" s="27"/>
      <c r="H3718" s="27"/>
    </row>
    <row r="3719" spans="1:8" x14ac:dyDescent="0.2">
      <c r="A3719" s="27"/>
      <c r="B3719" s="30"/>
      <c r="G3719" s="27"/>
      <c r="H3719" s="27"/>
    </row>
    <row r="3720" spans="1:8" x14ac:dyDescent="0.2">
      <c r="A3720" s="27"/>
      <c r="B3720" s="30"/>
      <c r="G3720" s="27"/>
      <c r="H3720" s="27"/>
    </row>
    <row r="3721" spans="1:8" x14ac:dyDescent="0.2">
      <c r="A3721" s="27"/>
      <c r="B3721" s="30"/>
      <c r="G3721" s="27"/>
      <c r="H3721" s="27"/>
    </row>
    <row r="3722" spans="1:8" x14ac:dyDescent="0.2">
      <c r="A3722" s="27"/>
      <c r="B3722" s="30"/>
      <c r="G3722" s="27"/>
      <c r="H3722" s="27"/>
    </row>
    <row r="3723" spans="1:8" x14ac:dyDescent="0.2">
      <c r="A3723" s="27"/>
      <c r="B3723" s="30"/>
      <c r="G3723" s="27"/>
      <c r="H3723" s="27"/>
    </row>
    <row r="3724" spans="1:8" x14ac:dyDescent="0.2">
      <c r="A3724" s="27"/>
      <c r="B3724" s="30"/>
      <c r="G3724" s="27"/>
      <c r="H3724" s="27"/>
    </row>
    <row r="3725" spans="1:8" x14ac:dyDescent="0.2">
      <c r="A3725" s="27"/>
      <c r="B3725" s="30"/>
      <c r="G3725" s="27"/>
      <c r="H3725" s="27"/>
    </row>
    <row r="3726" spans="1:8" x14ac:dyDescent="0.2">
      <c r="A3726" s="27"/>
      <c r="B3726" s="30"/>
      <c r="G3726" s="27"/>
      <c r="H3726" s="27"/>
    </row>
    <row r="3727" spans="1:8" x14ac:dyDescent="0.2">
      <c r="A3727" s="27"/>
      <c r="B3727" s="30"/>
      <c r="G3727" s="27"/>
      <c r="H3727" s="27"/>
    </row>
    <row r="3728" spans="1:8" x14ac:dyDescent="0.2">
      <c r="A3728" s="27"/>
      <c r="B3728" s="30"/>
      <c r="G3728" s="27"/>
      <c r="H3728" s="27"/>
    </row>
    <row r="3729" spans="1:8" x14ac:dyDescent="0.2">
      <c r="A3729" s="27"/>
      <c r="B3729" s="30"/>
      <c r="G3729" s="27"/>
      <c r="H3729" s="27"/>
    </row>
    <row r="3730" spans="1:8" x14ac:dyDescent="0.2">
      <c r="A3730" s="27"/>
      <c r="B3730" s="30"/>
      <c r="G3730" s="27"/>
      <c r="H3730" s="27"/>
    </row>
    <row r="3731" spans="1:8" x14ac:dyDescent="0.2">
      <c r="A3731" s="27"/>
      <c r="B3731" s="30"/>
      <c r="G3731" s="27"/>
      <c r="H3731" s="27"/>
    </row>
    <row r="3732" spans="1:8" x14ac:dyDescent="0.2">
      <c r="A3732" s="27"/>
      <c r="B3732" s="30"/>
      <c r="G3732" s="27"/>
      <c r="H3732" s="27"/>
    </row>
    <row r="3733" spans="1:8" x14ac:dyDescent="0.2">
      <c r="A3733" s="27"/>
      <c r="B3733" s="30"/>
      <c r="G3733" s="27"/>
      <c r="H3733" s="27"/>
    </row>
    <row r="3734" spans="1:8" x14ac:dyDescent="0.2">
      <c r="A3734" s="27"/>
      <c r="B3734" s="30"/>
      <c r="G3734" s="27"/>
      <c r="H3734" s="27"/>
    </row>
    <row r="3735" spans="1:8" x14ac:dyDescent="0.2">
      <c r="A3735" s="27"/>
      <c r="B3735" s="30"/>
      <c r="G3735" s="27"/>
      <c r="H3735" s="27"/>
    </row>
    <row r="3736" spans="1:8" x14ac:dyDescent="0.2">
      <c r="A3736" s="27"/>
      <c r="B3736" s="30"/>
      <c r="G3736" s="27"/>
      <c r="H3736" s="27"/>
    </row>
    <row r="3737" spans="1:8" x14ac:dyDescent="0.2">
      <c r="A3737" s="27"/>
      <c r="B3737" s="30"/>
      <c r="G3737" s="27"/>
      <c r="H3737" s="27"/>
    </row>
    <row r="3738" spans="1:8" x14ac:dyDescent="0.2">
      <c r="A3738" s="27"/>
      <c r="B3738" s="30"/>
      <c r="G3738" s="27"/>
      <c r="H3738" s="27"/>
    </row>
    <row r="3739" spans="1:8" x14ac:dyDescent="0.2">
      <c r="A3739" s="27"/>
      <c r="B3739" s="30"/>
      <c r="G3739" s="27"/>
      <c r="H3739" s="27"/>
    </row>
    <row r="3740" spans="1:8" x14ac:dyDescent="0.2">
      <c r="A3740" s="27"/>
      <c r="B3740" s="30"/>
      <c r="G3740" s="27"/>
      <c r="H3740" s="27"/>
    </row>
    <row r="3741" spans="1:8" x14ac:dyDescent="0.2">
      <c r="A3741" s="27"/>
      <c r="B3741" s="30"/>
      <c r="G3741" s="27"/>
      <c r="H3741" s="27"/>
    </row>
    <row r="3742" spans="1:8" x14ac:dyDescent="0.2">
      <c r="A3742" s="27"/>
      <c r="B3742" s="30"/>
      <c r="G3742" s="27"/>
      <c r="H3742" s="27"/>
    </row>
    <row r="3743" spans="1:8" x14ac:dyDescent="0.2">
      <c r="A3743" s="27"/>
      <c r="B3743" s="30"/>
      <c r="G3743" s="27"/>
      <c r="H3743" s="27"/>
    </row>
    <row r="3744" spans="1:8" x14ac:dyDescent="0.2">
      <c r="A3744" s="27"/>
      <c r="B3744" s="30"/>
      <c r="G3744" s="27"/>
      <c r="H3744" s="27"/>
    </row>
    <row r="3745" spans="1:8" x14ac:dyDescent="0.2">
      <c r="A3745" s="27"/>
      <c r="B3745" s="30"/>
      <c r="G3745" s="27"/>
      <c r="H3745" s="27"/>
    </row>
    <row r="3746" spans="1:8" x14ac:dyDescent="0.2">
      <c r="A3746" s="27"/>
      <c r="B3746" s="30"/>
      <c r="G3746" s="27"/>
      <c r="H3746" s="27"/>
    </row>
    <row r="3747" spans="1:8" x14ac:dyDescent="0.2">
      <c r="A3747" s="27"/>
      <c r="B3747" s="30"/>
      <c r="G3747" s="27"/>
      <c r="H3747" s="27"/>
    </row>
    <row r="3748" spans="1:8" x14ac:dyDescent="0.2">
      <c r="A3748" s="27"/>
      <c r="B3748" s="30"/>
      <c r="G3748" s="27"/>
      <c r="H3748" s="27"/>
    </row>
    <row r="3749" spans="1:8" x14ac:dyDescent="0.2">
      <c r="A3749" s="27"/>
      <c r="B3749" s="30"/>
      <c r="G3749" s="27"/>
      <c r="H3749" s="27"/>
    </row>
    <row r="3750" spans="1:8" x14ac:dyDescent="0.2">
      <c r="A3750" s="27"/>
      <c r="B3750" s="30"/>
      <c r="G3750" s="27"/>
      <c r="H3750" s="27"/>
    </row>
    <row r="3751" spans="1:8" x14ac:dyDescent="0.2">
      <c r="A3751" s="27"/>
      <c r="B3751" s="30"/>
      <c r="G3751" s="27"/>
      <c r="H3751" s="27"/>
    </row>
    <row r="3752" spans="1:8" x14ac:dyDescent="0.2">
      <c r="A3752" s="27"/>
      <c r="B3752" s="30"/>
      <c r="G3752" s="27"/>
      <c r="H3752" s="27"/>
    </row>
    <row r="3753" spans="1:8" x14ac:dyDescent="0.2">
      <c r="A3753" s="27"/>
      <c r="B3753" s="30"/>
    </row>
    <row r="3754" spans="1:8" x14ac:dyDescent="0.2">
      <c r="A3754" s="27"/>
      <c r="B3754" s="30"/>
    </row>
    <row r="3755" spans="1:8" x14ac:dyDescent="0.2">
      <c r="A3755" s="27"/>
      <c r="B3755" s="30"/>
    </row>
    <row r="3756" spans="1:8" x14ac:dyDescent="0.2">
      <c r="A3756" s="27"/>
      <c r="B3756" s="30"/>
    </row>
    <row r="3757" spans="1:8" x14ac:dyDescent="0.2">
      <c r="A3757" s="27"/>
      <c r="B3757" s="30"/>
    </row>
    <row r="3758" spans="1:8" x14ac:dyDescent="0.2">
      <c r="A3758" s="27"/>
      <c r="B3758" s="30"/>
    </row>
    <row r="3759" spans="1:8" x14ac:dyDescent="0.2">
      <c r="A3759" s="27"/>
      <c r="B3759" s="30"/>
    </row>
    <row r="3760" spans="1:8" x14ac:dyDescent="0.2">
      <c r="A3760" s="27"/>
      <c r="B3760" s="30"/>
    </row>
    <row r="3761" spans="1:2" x14ac:dyDescent="0.2">
      <c r="A3761" s="27"/>
      <c r="B3761" s="30"/>
    </row>
    <row r="3762" spans="1:2" x14ac:dyDescent="0.2">
      <c r="A3762" s="27"/>
      <c r="B3762" s="30"/>
    </row>
    <row r="3763" spans="1:2" x14ac:dyDescent="0.2">
      <c r="A3763" s="27"/>
      <c r="B3763" s="30"/>
    </row>
    <row r="3764" spans="1:2" x14ac:dyDescent="0.2">
      <c r="A3764" s="27"/>
      <c r="B3764" s="30"/>
    </row>
    <row r="3765" spans="1:2" x14ac:dyDescent="0.2">
      <c r="A3765" s="27"/>
      <c r="B3765" s="30"/>
    </row>
    <row r="3766" spans="1:2" x14ac:dyDescent="0.2">
      <c r="A3766" s="27"/>
      <c r="B3766" s="30"/>
    </row>
    <row r="3767" spans="1:2" x14ac:dyDescent="0.2">
      <c r="A3767" s="27"/>
      <c r="B3767" s="30"/>
    </row>
    <row r="3768" spans="1:2" x14ac:dyDescent="0.2">
      <c r="A3768" s="27"/>
      <c r="B3768" s="30"/>
    </row>
    <row r="3769" spans="1:2" x14ac:dyDescent="0.2">
      <c r="A3769" s="27"/>
      <c r="B3769" s="30"/>
    </row>
    <row r="3770" spans="1:2" x14ac:dyDescent="0.2">
      <c r="A3770" s="27"/>
      <c r="B3770" s="30"/>
    </row>
    <row r="3771" spans="1:2" x14ac:dyDescent="0.2">
      <c r="A3771" s="27"/>
      <c r="B3771" s="30"/>
    </row>
    <row r="3772" spans="1:2" x14ac:dyDescent="0.2">
      <c r="A3772" s="27"/>
      <c r="B3772" s="30"/>
    </row>
    <row r="3773" spans="1:2" x14ac:dyDescent="0.2">
      <c r="A3773" s="27"/>
      <c r="B3773" s="30"/>
    </row>
    <row r="3774" spans="1:2" x14ac:dyDescent="0.2">
      <c r="A3774" s="27"/>
      <c r="B3774" s="30"/>
    </row>
    <row r="3775" spans="1:2" x14ac:dyDescent="0.2">
      <c r="A3775" s="27"/>
      <c r="B3775" s="30"/>
    </row>
    <row r="3776" spans="1:2" x14ac:dyDescent="0.2">
      <c r="A3776" s="27"/>
      <c r="B3776" s="30"/>
    </row>
    <row r="3777" spans="1:2" x14ac:dyDescent="0.2">
      <c r="A3777" s="27"/>
      <c r="B3777" s="30"/>
    </row>
    <row r="3778" spans="1:2" x14ac:dyDescent="0.2">
      <c r="A3778" s="27"/>
      <c r="B3778" s="30"/>
    </row>
    <row r="3779" spans="1:2" x14ac:dyDescent="0.2">
      <c r="A3779" s="27"/>
      <c r="B3779" s="30"/>
    </row>
    <row r="3780" spans="1:2" x14ac:dyDescent="0.2">
      <c r="A3780" s="27"/>
      <c r="B3780" s="30"/>
    </row>
    <row r="3781" spans="1:2" x14ac:dyDescent="0.2">
      <c r="A3781" s="27"/>
      <c r="B3781" s="30"/>
    </row>
    <row r="3782" spans="1:2" x14ac:dyDescent="0.2">
      <c r="A3782" s="27"/>
      <c r="B3782" s="30"/>
    </row>
    <row r="3783" spans="1:2" x14ac:dyDescent="0.2">
      <c r="A3783" s="27"/>
      <c r="B3783" s="30"/>
    </row>
    <row r="3784" spans="1:2" x14ac:dyDescent="0.2">
      <c r="A3784" s="27"/>
      <c r="B3784" s="30"/>
    </row>
    <row r="3785" spans="1:2" x14ac:dyDescent="0.2">
      <c r="A3785" s="27"/>
      <c r="B3785" s="30"/>
    </row>
    <row r="3786" spans="1:2" x14ac:dyDescent="0.2">
      <c r="A3786" s="27"/>
      <c r="B3786" s="30"/>
    </row>
    <row r="3787" spans="1:2" x14ac:dyDescent="0.2">
      <c r="A3787" s="27"/>
      <c r="B3787" s="30"/>
    </row>
    <row r="3788" spans="1:2" x14ac:dyDescent="0.2">
      <c r="A3788" s="27"/>
      <c r="B3788" s="30"/>
    </row>
    <row r="3789" spans="1:2" x14ac:dyDescent="0.2">
      <c r="A3789" s="27"/>
      <c r="B3789" s="30"/>
    </row>
    <row r="3790" spans="1:2" x14ac:dyDescent="0.2">
      <c r="A3790" s="27"/>
      <c r="B3790" s="30"/>
    </row>
    <row r="3791" spans="1:2" x14ac:dyDescent="0.2">
      <c r="A3791" s="27"/>
      <c r="B3791" s="30"/>
    </row>
    <row r="3792" spans="1:2" x14ac:dyDescent="0.2">
      <c r="A3792" s="27"/>
      <c r="B3792" s="30"/>
    </row>
    <row r="3793" spans="1:2" x14ac:dyDescent="0.2">
      <c r="A3793" s="27"/>
      <c r="B3793" s="30"/>
    </row>
    <row r="3794" spans="1:2" x14ac:dyDescent="0.2">
      <c r="A3794" s="27"/>
      <c r="B3794" s="30"/>
    </row>
    <row r="3795" spans="1:2" x14ac:dyDescent="0.2">
      <c r="A3795" s="27"/>
      <c r="B3795" s="30"/>
    </row>
    <row r="3796" spans="1:2" x14ac:dyDescent="0.2">
      <c r="A3796" s="27"/>
      <c r="B3796" s="30"/>
    </row>
    <row r="3797" spans="1:2" x14ac:dyDescent="0.2">
      <c r="A3797" s="27"/>
      <c r="B3797" s="30"/>
    </row>
    <row r="3798" spans="1:2" x14ac:dyDescent="0.2">
      <c r="A3798" s="27"/>
      <c r="B3798" s="30"/>
    </row>
    <row r="3799" spans="1:2" x14ac:dyDescent="0.2">
      <c r="A3799" s="27"/>
      <c r="B3799" s="30"/>
    </row>
    <row r="3800" spans="1:2" x14ac:dyDescent="0.2">
      <c r="A3800" s="27"/>
      <c r="B3800" s="30"/>
    </row>
    <row r="3801" spans="1:2" x14ac:dyDescent="0.2">
      <c r="A3801" s="27"/>
      <c r="B3801" s="30"/>
    </row>
    <row r="3802" spans="1:2" x14ac:dyDescent="0.2">
      <c r="A3802" s="27"/>
      <c r="B3802" s="30"/>
    </row>
    <row r="3803" spans="1:2" x14ac:dyDescent="0.2">
      <c r="A3803" s="27"/>
      <c r="B3803" s="30"/>
    </row>
    <row r="3804" spans="1:2" x14ac:dyDescent="0.2">
      <c r="A3804" s="27"/>
      <c r="B3804" s="30"/>
    </row>
    <row r="3805" spans="1:2" x14ac:dyDescent="0.2">
      <c r="A3805" s="27"/>
      <c r="B3805" s="30"/>
    </row>
    <row r="3806" spans="1:2" x14ac:dyDescent="0.2">
      <c r="A3806" s="27"/>
      <c r="B3806" s="30"/>
    </row>
    <row r="3807" spans="1:2" x14ac:dyDescent="0.2">
      <c r="A3807" s="27"/>
      <c r="B3807" s="30"/>
    </row>
    <row r="3808" spans="1:2" x14ac:dyDescent="0.2">
      <c r="A3808" s="27"/>
      <c r="B3808" s="30"/>
    </row>
    <row r="3809" spans="1:2" x14ac:dyDescent="0.2">
      <c r="A3809" s="27"/>
      <c r="B3809" s="30"/>
    </row>
    <row r="3810" spans="1:2" x14ac:dyDescent="0.2">
      <c r="A3810" s="27"/>
      <c r="B3810" s="30"/>
    </row>
    <row r="3811" spans="1:2" x14ac:dyDescent="0.2">
      <c r="A3811" s="27"/>
      <c r="B3811" s="30"/>
    </row>
    <row r="3812" spans="1:2" x14ac:dyDescent="0.2">
      <c r="A3812" s="27"/>
      <c r="B3812" s="30"/>
    </row>
    <row r="3813" spans="1:2" x14ac:dyDescent="0.2">
      <c r="A3813" s="27"/>
      <c r="B3813" s="30"/>
    </row>
  </sheetData>
  <autoFilter ref="B2:F3813" xr:uid="{6253B36A-76F8-3743-B7EF-D263D3B5EDBB}">
    <sortState ref="B3:F3813">
      <sortCondition ref="B2:B3813"/>
    </sortState>
  </autoFilter>
  <sortState ref="A3:F3813">
    <sortCondition descending="1" ref="A3:A3813"/>
    <sortCondition ref="C3:C3813"/>
    <sortCondition ref="B3:B381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E1571-2709-934F-8DB5-5058F8CA7510}">
  <sheetPr codeName="Sheet4">
    <tabColor rgb="FF00B050"/>
  </sheetPr>
  <dimension ref="B2:J5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56" sqref="D56"/>
    </sheetView>
  </sheetViews>
  <sheetFormatPr baseColWidth="10" defaultRowHeight="16" x14ac:dyDescent="0.2"/>
  <cols>
    <col min="1" max="1" width="3.5" customWidth="1"/>
    <col min="2" max="2" width="33.5" bestFit="1" customWidth="1"/>
    <col min="3" max="3" width="8.33203125" bestFit="1" customWidth="1"/>
    <col min="4" max="6" width="10" customWidth="1"/>
    <col min="7" max="7" width="3.1640625" customWidth="1"/>
    <col min="8" max="8" width="25.1640625" bestFit="1" customWidth="1"/>
    <col min="9" max="9" width="16" customWidth="1"/>
    <col min="10" max="10" width="17.6640625" customWidth="1"/>
  </cols>
  <sheetData>
    <row r="2" spans="2:10" x14ac:dyDescent="0.2">
      <c r="B2" s="33" t="s">
        <v>111</v>
      </c>
      <c r="C2" s="33" t="s">
        <v>112</v>
      </c>
      <c r="D2" s="32" t="s">
        <v>114</v>
      </c>
      <c r="E2" s="32"/>
      <c r="F2" s="32"/>
      <c r="H2" s="35" t="s">
        <v>117</v>
      </c>
      <c r="I2" s="35"/>
      <c r="J2" s="35"/>
    </row>
    <row r="3" spans="2:10" x14ac:dyDescent="0.2">
      <c r="B3" s="33"/>
      <c r="C3" s="33"/>
      <c r="D3" s="12" t="s">
        <v>113</v>
      </c>
      <c r="E3" s="12" t="s">
        <v>115</v>
      </c>
      <c r="F3" s="12" t="s">
        <v>116</v>
      </c>
      <c r="H3" s="16" t="s">
        <v>111</v>
      </c>
      <c r="I3" s="34" t="s">
        <v>51</v>
      </c>
      <c r="J3" s="34"/>
    </row>
    <row r="4" spans="2:10" x14ac:dyDescent="0.2">
      <c r="B4" t="s">
        <v>68</v>
      </c>
      <c r="C4">
        <v>200</v>
      </c>
      <c r="D4">
        <v>0</v>
      </c>
      <c r="E4">
        <v>0</v>
      </c>
      <c r="F4">
        <v>0</v>
      </c>
    </row>
    <row r="5" spans="2:10" x14ac:dyDescent="0.2">
      <c r="B5" t="s">
        <v>85</v>
      </c>
      <c r="C5">
        <v>200</v>
      </c>
      <c r="D5">
        <v>0</v>
      </c>
      <c r="E5">
        <v>0</v>
      </c>
      <c r="F5">
        <v>0</v>
      </c>
      <c r="H5" s="13" t="s">
        <v>123</v>
      </c>
      <c r="I5" s="13" t="s">
        <v>121</v>
      </c>
      <c r="J5" s="13" t="s">
        <v>122</v>
      </c>
    </row>
    <row r="6" spans="2:10" x14ac:dyDescent="0.2">
      <c r="B6" t="s">
        <v>110</v>
      </c>
      <c r="C6">
        <v>300</v>
      </c>
      <c r="D6">
        <v>0</v>
      </c>
      <c r="E6">
        <v>0</v>
      </c>
      <c r="F6">
        <v>0</v>
      </c>
      <c r="H6" s="14" t="s">
        <v>118</v>
      </c>
      <c r="I6" s="15">
        <f>VLOOKUP(I$3,$B$4:$F$103,2,FALSE)</f>
        <v>20000</v>
      </c>
      <c r="J6" s="15">
        <f>I6</f>
        <v>20000</v>
      </c>
    </row>
    <row r="7" spans="2:10" x14ac:dyDescent="0.2">
      <c r="B7" t="s">
        <v>93</v>
      </c>
      <c r="C7">
        <v>300</v>
      </c>
      <c r="D7">
        <v>0</v>
      </c>
      <c r="E7">
        <v>0</v>
      </c>
      <c r="F7">
        <v>0</v>
      </c>
      <c r="H7" s="14" t="s">
        <v>113</v>
      </c>
      <c r="I7" s="15">
        <f>I$6*VLOOKUP(I$3,$B$4:$F$103,3,FALSE)</f>
        <v>21000</v>
      </c>
      <c r="J7" s="15">
        <f>I7/2</f>
        <v>10500</v>
      </c>
    </row>
    <row r="8" spans="2:10" x14ac:dyDescent="0.2">
      <c r="B8" t="s">
        <v>83</v>
      </c>
      <c r="C8">
        <v>300</v>
      </c>
      <c r="D8">
        <v>0</v>
      </c>
      <c r="E8">
        <v>0</v>
      </c>
      <c r="F8">
        <v>0</v>
      </c>
      <c r="H8" s="14" t="s">
        <v>119</v>
      </c>
      <c r="I8" s="15">
        <f>I$6*VLOOKUP(I$3,$B$4:$F$103,4,FALSE)</f>
        <v>22000</v>
      </c>
      <c r="J8" s="15">
        <f>I8/3</f>
        <v>7333.333333333333</v>
      </c>
    </row>
    <row r="9" spans="2:10" x14ac:dyDescent="0.2">
      <c r="B9" t="s">
        <v>94</v>
      </c>
      <c r="C9">
        <v>400</v>
      </c>
      <c r="D9">
        <v>0</v>
      </c>
      <c r="E9">
        <v>0</v>
      </c>
      <c r="F9">
        <v>0</v>
      </c>
      <c r="H9" s="14" t="s">
        <v>120</v>
      </c>
      <c r="I9" s="15">
        <f>I$6*VLOOKUP(I$3,$B$4:$F$103,5,FALSE)</f>
        <v>26600</v>
      </c>
      <c r="J9" s="15">
        <f>I9/6</f>
        <v>4433.333333333333</v>
      </c>
    </row>
    <row r="10" spans="2:10" x14ac:dyDescent="0.2">
      <c r="B10" t="s">
        <v>92</v>
      </c>
      <c r="C10">
        <v>500</v>
      </c>
      <c r="D10">
        <v>0</v>
      </c>
      <c r="E10">
        <v>0</v>
      </c>
      <c r="F10">
        <v>0</v>
      </c>
    </row>
    <row r="11" spans="2:10" x14ac:dyDescent="0.2">
      <c r="B11" t="s">
        <v>99</v>
      </c>
      <c r="C11">
        <v>500</v>
      </c>
      <c r="D11">
        <v>0</v>
      </c>
      <c r="E11">
        <v>0</v>
      </c>
      <c r="F11">
        <v>0</v>
      </c>
    </row>
    <row r="12" spans="2:10" x14ac:dyDescent="0.2">
      <c r="B12" t="s">
        <v>69</v>
      </c>
      <c r="C12">
        <v>500</v>
      </c>
      <c r="D12">
        <v>0</v>
      </c>
      <c r="E12">
        <v>0</v>
      </c>
      <c r="F12">
        <v>0</v>
      </c>
    </row>
    <row r="13" spans="2:10" x14ac:dyDescent="0.2">
      <c r="B13" t="s">
        <v>95</v>
      </c>
      <c r="C13">
        <v>500</v>
      </c>
      <c r="D13">
        <v>0</v>
      </c>
      <c r="E13">
        <v>0</v>
      </c>
      <c r="F13">
        <v>0</v>
      </c>
    </row>
    <row r="14" spans="2:10" x14ac:dyDescent="0.2">
      <c r="B14" t="s">
        <v>109</v>
      </c>
      <c r="C14">
        <v>500</v>
      </c>
      <c r="D14">
        <v>0</v>
      </c>
      <c r="E14">
        <v>0</v>
      </c>
      <c r="F14">
        <v>0</v>
      </c>
    </row>
    <row r="15" spans="2:10" x14ac:dyDescent="0.2">
      <c r="B15" t="s">
        <v>72</v>
      </c>
      <c r="C15">
        <v>500</v>
      </c>
      <c r="D15">
        <v>0</v>
      </c>
      <c r="E15">
        <v>0</v>
      </c>
      <c r="F15">
        <v>0</v>
      </c>
    </row>
    <row r="16" spans="2:10" x14ac:dyDescent="0.2">
      <c r="B16" t="s">
        <v>89</v>
      </c>
      <c r="C16">
        <v>1000</v>
      </c>
      <c r="D16">
        <v>1.25</v>
      </c>
      <c r="E16">
        <v>1.5</v>
      </c>
      <c r="F16">
        <v>2</v>
      </c>
    </row>
    <row r="17" spans="2:6" x14ac:dyDescent="0.2">
      <c r="B17" t="s">
        <v>90</v>
      </c>
      <c r="C17">
        <v>1000</v>
      </c>
      <c r="D17">
        <v>1.25</v>
      </c>
      <c r="E17">
        <v>1.5</v>
      </c>
      <c r="F17">
        <v>2</v>
      </c>
    </row>
    <row r="18" spans="2:6" x14ac:dyDescent="0.2">
      <c r="B18" t="s">
        <v>88</v>
      </c>
      <c r="C18">
        <v>1000</v>
      </c>
      <c r="D18">
        <v>1.25</v>
      </c>
      <c r="E18">
        <v>1.5</v>
      </c>
      <c r="F18">
        <v>2</v>
      </c>
    </row>
    <row r="19" spans="2:6" x14ac:dyDescent="0.2">
      <c r="B19" t="s">
        <v>91</v>
      </c>
      <c r="C19">
        <v>1500</v>
      </c>
      <c r="D19">
        <v>1.25</v>
      </c>
      <c r="E19">
        <v>1.5</v>
      </c>
      <c r="F19">
        <v>2</v>
      </c>
    </row>
    <row r="20" spans="2:6" x14ac:dyDescent="0.2">
      <c r="B20" t="s">
        <v>87</v>
      </c>
      <c r="C20">
        <v>1500</v>
      </c>
      <c r="D20">
        <v>1.25</v>
      </c>
      <c r="E20">
        <v>1.5</v>
      </c>
      <c r="F20">
        <v>2</v>
      </c>
    </row>
    <row r="21" spans="2:6" x14ac:dyDescent="0.2">
      <c r="B21" t="s">
        <v>79</v>
      </c>
      <c r="C21">
        <v>2000</v>
      </c>
      <c r="D21">
        <v>1.25</v>
      </c>
      <c r="E21">
        <v>1.5</v>
      </c>
      <c r="F21">
        <v>2</v>
      </c>
    </row>
    <row r="22" spans="2:6" x14ac:dyDescent="0.2">
      <c r="B22" t="s">
        <v>81</v>
      </c>
      <c r="C22">
        <v>2000</v>
      </c>
      <c r="D22">
        <v>1.25</v>
      </c>
      <c r="E22">
        <v>1.5</v>
      </c>
      <c r="F22">
        <v>2</v>
      </c>
    </row>
    <row r="23" spans="2:6" x14ac:dyDescent="0.2">
      <c r="B23" t="s">
        <v>78</v>
      </c>
      <c r="C23">
        <v>2000</v>
      </c>
      <c r="D23">
        <v>1.25</v>
      </c>
      <c r="E23">
        <v>1.5</v>
      </c>
      <c r="F23">
        <v>2</v>
      </c>
    </row>
    <row r="24" spans="2:6" x14ac:dyDescent="0.2">
      <c r="B24" t="s">
        <v>57</v>
      </c>
      <c r="C24">
        <v>2500</v>
      </c>
      <c r="D24">
        <v>1.25</v>
      </c>
      <c r="E24">
        <v>1.5</v>
      </c>
      <c r="F24">
        <v>2</v>
      </c>
    </row>
    <row r="25" spans="2:6" x14ac:dyDescent="0.2">
      <c r="B25" t="s">
        <v>56</v>
      </c>
      <c r="C25">
        <v>2500</v>
      </c>
      <c r="D25">
        <v>1.25</v>
      </c>
      <c r="E25">
        <v>1.5</v>
      </c>
      <c r="F25">
        <v>2</v>
      </c>
    </row>
    <row r="26" spans="2:6" x14ac:dyDescent="0.2">
      <c r="B26" t="s">
        <v>58</v>
      </c>
      <c r="C26">
        <v>2500</v>
      </c>
      <c r="D26">
        <v>1.25</v>
      </c>
      <c r="E26">
        <v>1.5</v>
      </c>
      <c r="F26">
        <v>2</v>
      </c>
    </row>
    <row r="27" spans="2:6" x14ac:dyDescent="0.2">
      <c r="B27" t="s">
        <v>98</v>
      </c>
      <c r="C27">
        <v>3000</v>
      </c>
      <c r="D27">
        <v>1.25</v>
      </c>
      <c r="E27">
        <v>1.5</v>
      </c>
      <c r="F27">
        <v>2</v>
      </c>
    </row>
    <row r="28" spans="2:6" x14ac:dyDescent="0.2">
      <c r="B28" t="s">
        <v>86</v>
      </c>
      <c r="C28">
        <v>4000</v>
      </c>
      <c r="D28">
        <v>1.25</v>
      </c>
      <c r="E28">
        <v>1.5</v>
      </c>
      <c r="F28">
        <v>2</v>
      </c>
    </row>
    <row r="29" spans="2:6" x14ac:dyDescent="0.2">
      <c r="B29" t="s">
        <v>102</v>
      </c>
      <c r="C29">
        <v>4000</v>
      </c>
      <c r="D29">
        <v>1.25</v>
      </c>
      <c r="E29">
        <v>1.5</v>
      </c>
      <c r="F29">
        <v>2</v>
      </c>
    </row>
    <row r="30" spans="2:6" x14ac:dyDescent="0.2">
      <c r="B30" t="s">
        <v>73</v>
      </c>
      <c r="C30">
        <v>4000</v>
      </c>
      <c r="D30">
        <v>1.25</v>
      </c>
      <c r="E30">
        <v>1.5</v>
      </c>
      <c r="F30">
        <v>2</v>
      </c>
    </row>
    <row r="31" spans="2:6" x14ac:dyDescent="0.2">
      <c r="B31" t="s">
        <v>82</v>
      </c>
      <c r="C31">
        <v>4000</v>
      </c>
      <c r="D31">
        <v>1.25</v>
      </c>
      <c r="E31">
        <v>1.5</v>
      </c>
      <c r="F31">
        <v>2</v>
      </c>
    </row>
    <row r="32" spans="2:6" x14ac:dyDescent="0.2">
      <c r="B32" t="s">
        <v>75</v>
      </c>
      <c r="C32">
        <v>4000</v>
      </c>
      <c r="D32">
        <v>1.25</v>
      </c>
      <c r="E32">
        <v>1.5</v>
      </c>
      <c r="F32">
        <v>2</v>
      </c>
    </row>
    <row r="33" spans="2:6" x14ac:dyDescent="0.2">
      <c r="B33" t="s">
        <v>76</v>
      </c>
      <c r="C33">
        <v>4000</v>
      </c>
      <c r="D33">
        <v>1.25</v>
      </c>
      <c r="E33">
        <v>1.5</v>
      </c>
      <c r="F33">
        <v>2</v>
      </c>
    </row>
    <row r="34" spans="2:6" x14ac:dyDescent="0.2">
      <c r="B34" t="s">
        <v>74</v>
      </c>
      <c r="C34">
        <v>4000</v>
      </c>
      <c r="D34">
        <v>1.25</v>
      </c>
      <c r="E34">
        <v>1.5</v>
      </c>
      <c r="F34">
        <v>2</v>
      </c>
    </row>
    <row r="35" spans="2:6" x14ac:dyDescent="0.2">
      <c r="B35" t="s">
        <v>71</v>
      </c>
      <c r="C35">
        <v>4000</v>
      </c>
      <c r="D35">
        <v>1.25</v>
      </c>
      <c r="E35">
        <v>1.5</v>
      </c>
      <c r="F35">
        <v>2</v>
      </c>
    </row>
    <row r="36" spans="2:6" x14ac:dyDescent="0.2">
      <c r="B36" t="s">
        <v>77</v>
      </c>
      <c r="C36">
        <v>4000</v>
      </c>
      <c r="D36">
        <v>1.25</v>
      </c>
      <c r="E36">
        <v>1.5</v>
      </c>
      <c r="F36">
        <v>2</v>
      </c>
    </row>
    <row r="37" spans="2:6" x14ac:dyDescent="0.2">
      <c r="B37" t="s">
        <v>100</v>
      </c>
      <c r="C37">
        <v>4000</v>
      </c>
      <c r="D37">
        <v>1.25</v>
      </c>
      <c r="E37">
        <v>1.5</v>
      </c>
      <c r="F37">
        <v>2</v>
      </c>
    </row>
    <row r="38" spans="2:6" x14ac:dyDescent="0.2">
      <c r="B38" t="s">
        <v>101</v>
      </c>
      <c r="C38">
        <v>4000</v>
      </c>
      <c r="D38">
        <v>1.25</v>
      </c>
      <c r="E38">
        <v>1.5</v>
      </c>
      <c r="F38">
        <v>2</v>
      </c>
    </row>
    <row r="39" spans="2:6" x14ac:dyDescent="0.2">
      <c r="B39" t="s">
        <v>84</v>
      </c>
      <c r="C39">
        <v>5000</v>
      </c>
      <c r="D39">
        <v>1.1000000000000001</v>
      </c>
      <c r="E39">
        <v>1.25</v>
      </c>
      <c r="F39">
        <v>1.5</v>
      </c>
    </row>
    <row r="40" spans="2:6" x14ac:dyDescent="0.2">
      <c r="B40" t="s">
        <v>70</v>
      </c>
      <c r="C40">
        <v>5000</v>
      </c>
      <c r="D40">
        <v>1.1000000000000001</v>
      </c>
      <c r="E40">
        <v>1.25</v>
      </c>
      <c r="F40">
        <v>1.5</v>
      </c>
    </row>
    <row r="41" spans="2:6" x14ac:dyDescent="0.2">
      <c r="B41" t="s">
        <v>60</v>
      </c>
      <c r="C41">
        <v>5000</v>
      </c>
      <c r="D41">
        <v>1.1000000000000001</v>
      </c>
      <c r="E41">
        <v>1.25</v>
      </c>
      <c r="F41">
        <v>1.5</v>
      </c>
    </row>
    <row r="42" spans="2:6" x14ac:dyDescent="0.2">
      <c r="B42" t="s">
        <v>96</v>
      </c>
      <c r="C42">
        <v>5000</v>
      </c>
      <c r="D42">
        <v>1.1000000000000001</v>
      </c>
      <c r="E42">
        <v>1.25</v>
      </c>
      <c r="F42">
        <v>1.5</v>
      </c>
    </row>
    <row r="43" spans="2:6" x14ac:dyDescent="0.2">
      <c r="B43" t="s">
        <v>63</v>
      </c>
      <c r="C43">
        <v>6000</v>
      </c>
      <c r="D43">
        <v>1.1000000000000001</v>
      </c>
      <c r="E43">
        <v>1.25</v>
      </c>
      <c r="F43">
        <v>1.5</v>
      </c>
    </row>
    <row r="44" spans="2:6" x14ac:dyDescent="0.2">
      <c r="B44" t="s">
        <v>66</v>
      </c>
      <c r="C44">
        <v>7000</v>
      </c>
      <c r="D44">
        <v>1.1000000000000001</v>
      </c>
      <c r="E44">
        <v>1.25</v>
      </c>
      <c r="F44">
        <v>1.5</v>
      </c>
    </row>
    <row r="45" spans="2:6" x14ac:dyDescent="0.2">
      <c r="B45" t="s">
        <v>97</v>
      </c>
      <c r="C45">
        <v>7000</v>
      </c>
      <c r="D45">
        <v>1.1000000000000001</v>
      </c>
      <c r="E45">
        <v>1.25</v>
      </c>
      <c r="F45">
        <v>1.5</v>
      </c>
    </row>
    <row r="46" spans="2:6" x14ac:dyDescent="0.2">
      <c r="B46" t="s">
        <v>103</v>
      </c>
      <c r="C46">
        <v>7500</v>
      </c>
      <c r="D46">
        <v>1.1000000000000001</v>
      </c>
      <c r="E46">
        <v>1.25</v>
      </c>
      <c r="F46">
        <v>1.5</v>
      </c>
    </row>
    <row r="47" spans="2:6" x14ac:dyDescent="0.2">
      <c r="B47" t="s">
        <v>65</v>
      </c>
      <c r="C47">
        <v>8000</v>
      </c>
      <c r="D47">
        <v>1.1000000000000001</v>
      </c>
      <c r="E47">
        <v>1.25</v>
      </c>
      <c r="F47">
        <v>1.5</v>
      </c>
    </row>
    <row r="48" spans="2:6" x14ac:dyDescent="0.2">
      <c r="B48" t="s">
        <v>80</v>
      </c>
      <c r="C48">
        <v>8000</v>
      </c>
      <c r="D48">
        <v>1.1000000000000001</v>
      </c>
      <c r="E48">
        <v>1.25</v>
      </c>
      <c r="F48">
        <v>1.5</v>
      </c>
    </row>
    <row r="49" spans="2:6" x14ac:dyDescent="0.2">
      <c r="B49" t="s">
        <v>104</v>
      </c>
      <c r="C49">
        <v>10000</v>
      </c>
      <c r="D49">
        <v>1.1000000000000001</v>
      </c>
      <c r="E49">
        <v>1.25</v>
      </c>
      <c r="F49">
        <v>1.5</v>
      </c>
    </row>
    <row r="50" spans="2:6" x14ac:dyDescent="0.2">
      <c r="B50" t="s">
        <v>64</v>
      </c>
      <c r="C50">
        <v>10000</v>
      </c>
      <c r="D50">
        <v>1.1000000000000001</v>
      </c>
      <c r="E50">
        <v>1.25</v>
      </c>
      <c r="F50">
        <v>1.5</v>
      </c>
    </row>
    <row r="51" spans="2:6" x14ac:dyDescent="0.2">
      <c r="B51" t="s">
        <v>67</v>
      </c>
      <c r="C51">
        <v>10000</v>
      </c>
      <c r="D51">
        <v>1.1000000000000001</v>
      </c>
      <c r="E51">
        <v>1.25</v>
      </c>
      <c r="F51">
        <v>1.5</v>
      </c>
    </row>
    <row r="52" spans="2:6" x14ac:dyDescent="0.2">
      <c r="B52" t="s">
        <v>59</v>
      </c>
      <c r="C52">
        <v>12000</v>
      </c>
      <c r="D52">
        <v>1.1000000000000001</v>
      </c>
      <c r="E52">
        <v>1.25</v>
      </c>
      <c r="F52">
        <v>1.5</v>
      </c>
    </row>
    <row r="53" spans="2:6" x14ac:dyDescent="0.2">
      <c r="B53" t="s">
        <v>61</v>
      </c>
      <c r="C53">
        <v>15000</v>
      </c>
      <c r="D53">
        <v>1.1000000000000001</v>
      </c>
      <c r="E53">
        <v>1.25</v>
      </c>
      <c r="F53">
        <v>1.5</v>
      </c>
    </row>
    <row r="54" spans="2:6" x14ac:dyDescent="0.2">
      <c r="B54" t="s">
        <v>108</v>
      </c>
      <c r="C54">
        <v>17000</v>
      </c>
      <c r="D54">
        <v>1.1000000000000001</v>
      </c>
      <c r="E54">
        <v>1.25</v>
      </c>
      <c r="F54">
        <v>1.5</v>
      </c>
    </row>
    <row r="55" spans="2:6" x14ac:dyDescent="0.2">
      <c r="B55" t="s">
        <v>53</v>
      </c>
      <c r="C55">
        <v>20000</v>
      </c>
      <c r="D55">
        <v>1.05</v>
      </c>
      <c r="E55">
        <v>1.1000000000000001</v>
      </c>
      <c r="F55">
        <v>1.33</v>
      </c>
    </row>
    <row r="56" spans="2:6" x14ac:dyDescent="0.2">
      <c r="B56" t="s">
        <v>51</v>
      </c>
      <c r="C56">
        <v>20000</v>
      </c>
      <c r="D56">
        <v>1.05</v>
      </c>
      <c r="E56">
        <v>1.1000000000000001</v>
      </c>
      <c r="F56">
        <v>1.33</v>
      </c>
    </row>
  </sheetData>
  <sortState ref="B4:C56">
    <sortCondition ref="C4:C56"/>
  </sortState>
  <mergeCells count="5">
    <mergeCell ref="D2:F2"/>
    <mergeCell ref="C2:C3"/>
    <mergeCell ref="B2:B3"/>
    <mergeCell ref="I3:J3"/>
    <mergeCell ref="H2:J2"/>
  </mergeCells>
  <conditionalFormatting sqref="B4:F103">
    <cfRule type="expression" dxfId="1" priority="2">
      <formula>ISODD(ROW())</formula>
    </cfRule>
  </conditionalFormatting>
  <conditionalFormatting sqref="I6:J9">
    <cfRule type="expression" dxfId="0" priority="1">
      <formula>ISODD(ROW())</formula>
    </cfRule>
  </conditionalFormatting>
  <dataValidations count="1">
    <dataValidation type="list" allowBlank="1" showInputMessage="1" showErrorMessage="1" sqref="I3" xr:uid="{81561977-159E-CE4A-B636-B0E5A99A37CE}">
      <formula1>$B$4:$B$103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88BE-63AF-D447-997E-6FF445602853}">
  <sheetPr codeName="Sheet3">
    <tabColor theme="0" tint="-0.499984740745262"/>
  </sheetPr>
  <dimension ref="B2:AC52"/>
  <sheetViews>
    <sheetView workbookViewId="0">
      <selection activeCell="N7" sqref="N7"/>
    </sheetView>
  </sheetViews>
  <sheetFormatPr baseColWidth="10" defaultRowHeight="16" x14ac:dyDescent="0.2"/>
  <cols>
    <col min="1" max="1" width="3.33203125" customWidth="1"/>
    <col min="2" max="2" width="5.5" bestFit="1" customWidth="1"/>
    <col min="3" max="3" width="32.6640625" bestFit="1" customWidth="1"/>
    <col min="4" max="4" width="3.33203125" customWidth="1"/>
    <col min="5" max="5" width="20.33203125" bestFit="1" customWidth="1"/>
    <col min="6" max="6" width="11.33203125" bestFit="1" customWidth="1"/>
    <col min="7" max="15" width="10.5" customWidth="1"/>
  </cols>
  <sheetData>
    <row r="2" spans="2:29" x14ac:dyDescent="0.2">
      <c r="B2" s="36" t="s">
        <v>6</v>
      </c>
      <c r="C2" s="36"/>
      <c r="E2" s="36" t="s">
        <v>144</v>
      </c>
      <c r="F2" s="36"/>
      <c r="G2" s="36"/>
      <c r="H2" s="36"/>
      <c r="I2" s="36"/>
      <c r="J2" s="36"/>
      <c r="K2" s="36"/>
      <c r="L2" s="36"/>
      <c r="M2" s="36"/>
      <c r="N2" s="36"/>
      <c r="O2" s="36"/>
    </row>
    <row r="3" spans="2:29" x14ac:dyDescent="0.2">
      <c r="B3" s="9">
        <v>1</v>
      </c>
      <c r="C3" s="24" t="s">
        <v>3</v>
      </c>
      <c r="E3" s="20" t="s">
        <v>145</v>
      </c>
      <c r="F3" s="38" t="s">
        <v>146</v>
      </c>
      <c r="G3" s="38"/>
      <c r="H3" s="38"/>
      <c r="I3" s="38"/>
      <c r="J3" s="38"/>
      <c r="K3" s="38"/>
      <c r="L3" s="38"/>
      <c r="M3" s="38"/>
      <c r="N3" s="38"/>
      <c r="O3" s="38"/>
    </row>
    <row r="4" spans="2:29" x14ac:dyDescent="0.2">
      <c r="B4" s="9">
        <v>2</v>
      </c>
      <c r="C4" s="24" t="s">
        <v>4</v>
      </c>
      <c r="E4" s="21" t="s">
        <v>4</v>
      </c>
      <c r="F4" s="21" t="s">
        <v>11</v>
      </c>
      <c r="G4" s="21"/>
      <c r="H4" s="21"/>
      <c r="I4" s="21"/>
      <c r="J4" s="21"/>
      <c r="K4" s="21"/>
      <c r="L4" s="21"/>
      <c r="M4" s="21"/>
      <c r="N4" s="21"/>
      <c r="O4" s="21"/>
    </row>
    <row r="5" spans="2:29" x14ac:dyDescent="0.2">
      <c r="B5" s="9">
        <v>3</v>
      </c>
      <c r="C5" s="24"/>
      <c r="E5" s="22" t="s">
        <v>17</v>
      </c>
      <c r="F5" s="19" t="s">
        <v>55</v>
      </c>
      <c r="G5" s="19"/>
      <c r="H5" s="19"/>
      <c r="I5" s="19"/>
      <c r="J5" s="19"/>
      <c r="K5" s="19"/>
      <c r="L5" s="19"/>
      <c r="M5" s="19"/>
      <c r="N5" s="19"/>
      <c r="O5" s="19"/>
    </row>
    <row r="6" spans="2:29" x14ac:dyDescent="0.2">
      <c r="B6" s="9">
        <v>4</v>
      </c>
      <c r="C6" s="24"/>
      <c r="E6" s="22" t="s">
        <v>34</v>
      </c>
      <c r="F6" s="19" t="s">
        <v>128</v>
      </c>
      <c r="G6" s="19" t="s">
        <v>149</v>
      </c>
      <c r="H6" s="19" t="s">
        <v>150</v>
      </c>
      <c r="I6" s="19" t="s">
        <v>166</v>
      </c>
      <c r="J6" s="19" t="s">
        <v>155</v>
      </c>
      <c r="K6" s="19">
        <v>0</v>
      </c>
      <c r="L6" s="19" t="s">
        <v>178</v>
      </c>
      <c r="M6" s="19" t="s">
        <v>179</v>
      </c>
      <c r="N6" s="19" t="s">
        <v>180</v>
      </c>
      <c r="O6" s="19"/>
    </row>
    <row r="7" spans="2:29" x14ac:dyDescent="0.2">
      <c r="B7" s="9">
        <v>5</v>
      </c>
      <c r="C7" s="24"/>
      <c r="E7" s="22" t="s">
        <v>41</v>
      </c>
      <c r="F7" s="19" t="s">
        <v>157</v>
      </c>
      <c r="G7" s="19"/>
      <c r="H7" s="19"/>
      <c r="I7" s="19"/>
      <c r="J7" s="19"/>
      <c r="K7" s="19"/>
      <c r="L7" s="19"/>
      <c r="M7" s="19"/>
      <c r="N7" s="19"/>
      <c r="O7" s="19"/>
    </row>
    <row r="8" spans="2:29" x14ac:dyDescent="0.2">
      <c r="B8" s="9">
        <v>6</v>
      </c>
      <c r="C8" s="24"/>
      <c r="E8" s="22" t="s">
        <v>20</v>
      </c>
      <c r="F8" s="19" t="s">
        <v>44</v>
      </c>
      <c r="G8" s="19" t="s">
        <v>52</v>
      </c>
      <c r="H8" s="19" t="s">
        <v>151</v>
      </c>
      <c r="I8" s="19" t="s">
        <v>158</v>
      </c>
      <c r="J8" s="19" t="s">
        <v>45</v>
      </c>
      <c r="K8" s="19" t="s">
        <v>159</v>
      </c>
      <c r="L8" s="19" t="s">
        <v>160</v>
      </c>
      <c r="M8" s="19" t="s">
        <v>62</v>
      </c>
      <c r="N8" s="19" t="s">
        <v>48</v>
      </c>
      <c r="O8" s="19" t="s">
        <v>48</v>
      </c>
      <c r="P8" t="s">
        <v>161</v>
      </c>
      <c r="Q8" t="s">
        <v>156</v>
      </c>
      <c r="R8" t="s">
        <v>46</v>
      </c>
      <c r="S8" t="s">
        <v>154</v>
      </c>
      <c r="T8" t="s">
        <v>162</v>
      </c>
      <c r="U8" t="s">
        <v>153</v>
      </c>
      <c r="V8" t="s">
        <v>163</v>
      </c>
      <c r="W8" t="s">
        <v>164</v>
      </c>
      <c r="X8" t="s">
        <v>47</v>
      </c>
      <c r="Y8" t="s">
        <v>165</v>
      </c>
      <c r="Z8" t="s">
        <v>50</v>
      </c>
      <c r="AA8" t="s">
        <v>54</v>
      </c>
      <c r="AB8" t="s">
        <v>49</v>
      </c>
      <c r="AC8" t="s">
        <v>152</v>
      </c>
    </row>
    <row r="9" spans="2:29" x14ac:dyDescent="0.2">
      <c r="E9" s="22" t="s">
        <v>38</v>
      </c>
      <c r="F9" s="19" t="s">
        <v>177</v>
      </c>
      <c r="G9" s="19"/>
      <c r="H9" s="19"/>
      <c r="I9" s="19"/>
      <c r="J9" s="19"/>
      <c r="K9" s="19"/>
      <c r="L9" s="19"/>
      <c r="M9" s="19"/>
      <c r="N9" s="19"/>
      <c r="O9" s="19"/>
    </row>
    <row r="10" spans="2:29" x14ac:dyDescent="0.2">
      <c r="B10" s="37" t="s">
        <v>9</v>
      </c>
      <c r="C10" s="37" t="s">
        <v>7</v>
      </c>
      <c r="E10" s="22"/>
      <c r="F10" s="19"/>
      <c r="G10" s="19"/>
      <c r="H10" s="19"/>
      <c r="I10" s="19"/>
      <c r="J10" s="19"/>
      <c r="K10" s="19"/>
      <c r="L10" s="19"/>
      <c r="M10" s="19"/>
      <c r="N10" s="19"/>
      <c r="O10" s="19"/>
    </row>
    <row r="11" spans="2:29" x14ac:dyDescent="0.2">
      <c r="B11" s="23" t="s">
        <v>8</v>
      </c>
      <c r="C11" s="20" t="s">
        <v>105</v>
      </c>
      <c r="E11" s="22"/>
      <c r="F11" s="19"/>
      <c r="G11" s="19"/>
      <c r="H11" s="19"/>
      <c r="I11" s="19"/>
      <c r="J11" s="19"/>
      <c r="K11" s="19"/>
      <c r="L11" s="19"/>
      <c r="M11" s="19"/>
      <c r="N11" s="19"/>
      <c r="O11" s="19"/>
    </row>
    <row r="12" spans="2:29" x14ac:dyDescent="0.2">
      <c r="B12" s="23" t="s">
        <v>10</v>
      </c>
      <c r="C12" s="20" t="s">
        <v>106</v>
      </c>
      <c r="E12" s="22"/>
      <c r="F12" s="19"/>
      <c r="G12" s="19"/>
      <c r="H12" s="19"/>
      <c r="I12" s="19"/>
      <c r="J12" s="19"/>
      <c r="K12" s="19"/>
      <c r="L12" s="19"/>
      <c r="M12" s="19"/>
      <c r="N12" s="19"/>
      <c r="O12" s="19"/>
    </row>
    <row r="13" spans="2:29" x14ac:dyDescent="0.2">
      <c r="B13" s="23" t="s">
        <v>8</v>
      </c>
      <c r="C13" s="20" t="s">
        <v>107</v>
      </c>
      <c r="E13" s="22"/>
      <c r="F13" s="19"/>
      <c r="G13" s="19"/>
      <c r="H13" s="19"/>
      <c r="I13" s="19"/>
      <c r="J13" s="19"/>
      <c r="K13" s="19"/>
      <c r="L13" s="19"/>
      <c r="M13" s="19"/>
      <c r="N13" s="19"/>
      <c r="O13" s="19"/>
    </row>
    <row r="14" spans="2:29" x14ac:dyDescent="0.2">
      <c r="B14" s="23" t="s">
        <v>10</v>
      </c>
      <c r="C14" s="20" t="s">
        <v>172</v>
      </c>
      <c r="E14" s="22"/>
      <c r="F14" s="19"/>
      <c r="G14" s="19"/>
      <c r="H14" s="19"/>
      <c r="I14" s="19"/>
      <c r="J14" s="19"/>
      <c r="K14" s="19"/>
      <c r="L14" s="19"/>
      <c r="M14" s="19"/>
      <c r="N14" s="19"/>
      <c r="O14" s="19"/>
    </row>
    <row r="15" spans="2:29" x14ac:dyDescent="0.2">
      <c r="B15" s="24"/>
      <c r="C15" s="20"/>
      <c r="E15" s="22"/>
      <c r="F15" s="19"/>
      <c r="G15" s="19"/>
      <c r="H15" s="19"/>
      <c r="I15" s="19"/>
      <c r="J15" s="19"/>
      <c r="K15" s="19"/>
      <c r="L15" s="19"/>
      <c r="M15" s="19"/>
      <c r="N15" s="19"/>
      <c r="O15" s="19"/>
    </row>
    <row r="16" spans="2:29" x14ac:dyDescent="0.2">
      <c r="B16" s="24"/>
      <c r="C16" s="20"/>
      <c r="E16" s="22"/>
      <c r="F16" s="19"/>
      <c r="G16" s="19"/>
      <c r="H16" s="19"/>
      <c r="I16" s="19"/>
      <c r="J16" s="19"/>
      <c r="K16" s="19"/>
      <c r="L16" s="19"/>
      <c r="M16" s="19"/>
      <c r="N16" s="19"/>
      <c r="O16" s="19"/>
    </row>
    <row r="17" spans="2:15" x14ac:dyDescent="0.2">
      <c r="B17" s="24"/>
      <c r="C17" s="20"/>
      <c r="E17" s="22"/>
      <c r="F17" s="19"/>
      <c r="G17" s="19"/>
      <c r="H17" s="19"/>
      <c r="I17" s="19"/>
      <c r="J17" s="19"/>
      <c r="K17" s="19"/>
      <c r="L17" s="19"/>
      <c r="M17" s="19"/>
      <c r="N17" s="19"/>
      <c r="O17" s="19"/>
    </row>
    <row r="18" spans="2:15" x14ac:dyDescent="0.2">
      <c r="B18" s="24"/>
      <c r="C18" s="20"/>
      <c r="E18" s="22"/>
      <c r="F18" s="19"/>
      <c r="G18" s="19"/>
      <c r="H18" s="19"/>
      <c r="I18" s="19"/>
      <c r="J18" s="19"/>
      <c r="K18" s="19"/>
      <c r="L18" s="19"/>
      <c r="M18" s="19"/>
      <c r="N18" s="19"/>
      <c r="O18" s="19"/>
    </row>
    <row r="19" spans="2:15" x14ac:dyDescent="0.2">
      <c r="B19" s="24"/>
      <c r="C19" s="20"/>
    </row>
    <row r="20" spans="2:15" x14ac:dyDescent="0.2">
      <c r="B20" s="24"/>
      <c r="C20" s="20"/>
    </row>
    <row r="21" spans="2:15" x14ac:dyDescent="0.2">
      <c r="B21" s="24"/>
      <c r="C21" s="20"/>
    </row>
    <row r="22" spans="2:15" x14ac:dyDescent="0.2">
      <c r="B22" s="24"/>
      <c r="C22" s="20"/>
    </row>
    <row r="23" spans="2:15" x14ac:dyDescent="0.2">
      <c r="B23" s="24"/>
      <c r="C23" s="20"/>
    </row>
    <row r="24" spans="2:15" x14ac:dyDescent="0.2">
      <c r="B24" s="24"/>
      <c r="C24" s="20"/>
    </row>
    <row r="25" spans="2:15" x14ac:dyDescent="0.2">
      <c r="B25" s="24"/>
      <c r="C25" s="20"/>
    </row>
    <row r="26" spans="2:15" x14ac:dyDescent="0.2">
      <c r="B26" s="24"/>
      <c r="C26" s="20"/>
    </row>
    <row r="27" spans="2:15" x14ac:dyDescent="0.2">
      <c r="B27" s="24"/>
      <c r="C27" s="20"/>
    </row>
    <row r="28" spans="2:15" x14ac:dyDescent="0.2">
      <c r="B28" s="24"/>
      <c r="C28" s="20"/>
    </row>
    <row r="29" spans="2:15" x14ac:dyDescent="0.2">
      <c r="B29" s="24"/>
      <c r="C29" s="20"/>
    </row>
    <row r="30" spans="2:15" x14ac:dyDescent="0.2">
      <c r="B30" s="24"/>
      <c r="C30" s="20"/>
    </row>
    <row r="31" spans="2:15" x14ac:dyDescent="0.2">
      <c r="B31" s="24"/>
      <c r="C31" s="20"/>
    </row>
    <row r="32" spans="2:15" x14ac:dyDescent="0.2">
      <c r="B32" s="24"/>
      <c r="C32" s="20"/>
    </row>
    <row r="33" spans="2:3" x14ac:dyDescent="0.2">
      <c r="B33" s="24"/>
      <c r="C33" s="20"/>
    </row>
    <row r="34" spans="2:3" x14ac:dyDescent="0.2">
      <c r="B34" s="24"/>
      <c r="C34" s="20"/>
    </row>
    <row r="35" spans="2:3" x14ac:dyDescent="0.2">
      <c r="B35" s="24"/>
      <c r="C35" s="20"/>
    </row>
    <row r="36" spans="2:3" x14ac:dyDescent="0.2">
      <c r="B36" s="24"/>
      <c r="C36" s="20"/>
    </row>
    <row r="37" spans="2:3" x14ac:dyDescent="0.2">
      <c r="B37" s="24"/>
      <c r="C37" s="20"/>
    </row>
    <row r="38" spans="2:3" x14ac:dyDescent="0.2">
      <c r="B38" s="24"/>
      <c r="C38" s="20"/>
    </row>
    <row r="39" spans="2:3" x14ac:dyDescent="0.2">
      <c r="B39" s="24"/>
      <c r="C39" s="20"/>
    </row>
    <row r="40" spans="2:3" x14ac:dyDescent="0.2">
      <c r="B40" s="24"/>
      <c r="C40" s="20"/>
    </row>
    <row r="41" spans="2:3" x14ac:dyDescent="0.2">
      <c r="B41" s="24"/>
      <c r="C41" s="20"/>
    </row>
    <row r="42" spans="2:3" x14ac:dyDescent="0.2">
      <c r="B42" s="24"/>
      <c r="C42" s="20"/>
    </row>
    <row r="43" spans="2:3" x14ac:dyDescent="0.2">
      <c r="B43" s="24"/>
      <c r="C43" s="20"/>
    </row>
    <row r="44" spans="2:3" x14ac:dyDescent="0.2">
      <c r="B44" s="24"/>
      <c r="C44" s="20"/>
    </row>
    <row r="45" spans="2:3" x14ac:dyDescent="0.2">
      <c r="B45" s="24"/>
      <c r="C45" s="20"/>
    </row>
    <row r="46" spans="2:3" x14ac:dyDescent="0.2">
      <c r="B46" s="24"/>
      <c r="C46" s="20"/>
    </row>
    <row r="47" spans="2:3" x14ac:dyDescent="0.2">
      <c r="B47" s="24"/>
      <c r="C47" s="20"/>
    </row>
    <row r="48" spans="2:3" x14ac:dyDescent="0.2">
      <c r="B48" s="24"/>
      <c r="C48" s="20"/>
    </row>
    <row r="49" spans="2:3" x14ac:dyDescent="0.2">
      <c r="B49" s="24"/>
      <c r="C49" s="20"/>
    </row>
    <row r="50" spans="2:3" x14ac:dyDescent="0.2">
      <c r="B50" s="24"/>
      <c r="C50" s="20"/>
    </row>
    <row r="51" spans="2:3" x14ac:dyDescent="0.2">
      <c r="B51" s="24"/>
      <c r="C51" s="20"/>
    </row>
    <row r="52" spans="2:3" x14ac:dyDescent="0.2">
      <c r="B52" s="24"/>
      <c r="C52" s="20"/>
    </row>
  </sheetData>
  <sortState ref="E3:E101">
    <sortCondition ref="E3:E101"/>
  </sortState>
  <mergeCells count="4">
    <mergeCell ref="B2:C2"/>
    <mergeCell ref="B10:C10"/>
    <mergeCell ref="E2:O2"/>
    <mergeCell ref="F3:O3"/>
  </mergeCells>
  <dataValidations count="1">
    <dataValidation type="list" allowBlank="1" showInputMessage="1" showErrorMessage="1" sqref="B11:B14" xr:uid="{EAEE7DDF-4A1B-6349-8293-A4DBE6AAB7C3}">
      <formula1>"yes,no"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0BD8086-3791-1A42-8B87-3CBE4A386C4E}">
          <x14:formula1>
            <xm:f>data_web!$B$2:$G$2</xm:f>
          </x14:formula1>
          <xm:sqref>C3:C8</xm:sqref>
        </x14:dataValidation>
        <x14:dataValidation type="list" allowBlank="1" showInputMessage="1" showErrorMessage="1" xr:uid="{E8A387C4-A358-F149-BF10-9A6C1F68D485}">
          <x14:formula1>
            <xm:f>import_data!$B$2:$AG$2</xm:f>
          </x14:formula1>
          <xm:sqref>E5:E18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96BF8-F88F-3046-95F1-8521C9C1C6E8}">
  <sheetPr codeName="Sheet7"/>
  <dimension ref="B2:G10"/>
  <sheetViews>
    <sheetView workbookViewId="0">
      <selection activeCell="C11" sqref="C11"/>
    </sheetView>
  </sheetViews>
  <sheetFormatPr baseColWidth="10" defaultRowHeight="16" x14ac:dyDescent="0.2"/>
  <cols>
    <col min="1" max="1" width="3" customWidth="1"/>
    <col min="3" max="3" width="10.1640625" bestFit="1" customWidth="1"/>
    <col min="4" max="4" width="34.5" customWidth="1"/>
    <col min="5" max="5" width="34" bestFit="1" customWidth="1"/>
    <col min="6" max="6" width="3.5" customWidth="1"/>
  </cols>
  <sheetData>
    <row r="2" spans="2:7" x14ac:dyDescent="0.2">
      <c r="B2" s="39" t="s">
        <v>141</v>
      </c>
      <c r="C2" s="39"/>
      <c r="D2" s="39"/>
      <c r="E2" s="39"/>
      <c r="G2" t="s">
        <v>142</v>
      </c>
    </row>
    <row r="3" spans="2:7" x14ac:dyDescent="0.2">
      <c r="B3" s="18" t="s">
        <v>129</v>
      </c>
      <c r="C3" s="18" t="s">
        <v>130</v>
      </c>
      <c r="D3" s="18" t="s">
        <v>143</v>
      </c>
      <c r="E3" s="18" t="s">
        <v>131</v>
      </c>
      <c r="G3" s="7" t="str">
        <f>HYPERLINK("https://mobile.hcdistrictclerk.com/CaseDetails/SearchPrinting.aspx","mobile link")</f>
        <v>mobile link</v>
      </c>
    </row>
    <row r="4" spans="2:7" x14ac:dyDescent="0.2">
      <c r="B4" s="17" t="s">
        <v>132</v>
      </c>
      <c r="C4" t="s">
        <v>173</v>
      </c>
      <c r="D4" t="s">
        <v>124</v>
      </c>
      <c r="G4" s="7" t="str">
        <f>HYPERLINK("https://www.hcdistrictclerk.com/Edocs/Public/Search.aspx?NewSuits=1","desktop link")</f>
        <v>desktop link</v>
      </c>
    </row>
    <row r="5" spans="2:7" x14ac:dyDescent="0.2">
      <c r="B5" s="17" t="s">
        <v>133</v>
      </c>
      <c r="C5" t="s">
        <v>173</v>
      </c>
      <c r="D5" t="s">
        <v>125</v>
      </c>
      <c r="E5" t="s">
        <v>137</v>
      </c>
      <c r="G5" s="7" t="str">
        <f>HYPERLINK("https://www.hcdistrictclerk.com/Common/e-services/PublicDatasets.aspx","full daily dataset")</f>
        <v>full daily dataset</v>
      </c>
    </row>
    <row r="6" spans="2:7" x14ac:dyDescent="0.2">
      <c r="B6" s="17" t="s">
        <v>134</v>
      </c>
      <c r="C6" t="s">
        <v>173</v>
      </c>
      <c r="D6" t="s">
        <v>126</v>
      </c>
    </row>
    <row r="7" spans="2:7" x14ac:dyDescent="0.2">
      <c r="B7" s="17" t="s">
        <v>135</v>
      </c>
      <c r="C7" t="s">
        <v>173</v>
      </c>
      <c r="D7" t="s">
        <v>127</v>
      </c>
      <c r="E7" t="s">
        <v>138</v>
      </c>
    </row>
    <row r="8" spans="2:7" x14ac:dyDescent="0.2">
      <c r="B8" s="17" t="s">
        <v>136</v>
      </c>
      <c r="C8" t="s">
        <v>173</v>
      </c>
      <c r="D8" t="s">
        <v>139</v>
      </c>
      <c r="E8" t="s">
        <v>140</v>
      </c>
    </row>
    <row r="9" spans="2:7" x14ac:dyDescent="0.2">
      <c r="B9" s="17" t="s">
        <v>147</v>
      </c>
      <c r="C9" t="s">
        <v>173</v>
      </c>
      <c r="D9" t="s">
        <v>148</v>
      </c>
    </row>
    <row r="10" spans="2:7" x14ac:dyDescent="0.2">
      <c r="B10" s="17" t="s">
        <v>174</v>
      </c>
      <c r="C10" t="s">
        <v>173</v>
      </c>
      <c r="D10" t="s">
        <v>175</v>
      </c>
    </row>
  </sheetData>
  <mergeCells count="1">
    <mergeCell ref="B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import_data</vt:lpstr>
      <vt:lpstr>import_web</vt:lpstr>
      <vt:lpstr>data_web</vt:lpstr>
      <vt:lpstr>Mailer</vt:lpstr>
      <vt:lpstr>Pricebook</vt:lpstr>
      <vt:lpstr>Settings</vt:lpstr>
      <vt:lpstr>dev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Stephanos Zunez</dc:creator>
  <cp:lastModifiedBy>Stephanos Zunez</cp:lastModifiedBy>
  <dcterms:created xsi:type="dcterms:W3CDTF">2021-01-06T12:03:16Z</dcterms:created>
  <dcterms:modified xsi:type="dcterms:W3CDTF">2021-01-31T15:18:22Z</dcterms:modified>
</cp:coreProperties>
</file>