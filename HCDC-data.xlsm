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2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zunez/src/ms-excel/"/>
    </mc:Choice>
  </mc:AlternateContent>
  <xr:revisionPtr revIDLastSave="0" documentId="13_ncr:1_{A1E3F23D-CE50-684F-B330-335693CB1DDD}" xr6:coauthVersionLast="36" xr6:coauthVersionMax="36" xr10:uidLastSave="{00000000-0000-0000-0000-000000000000}"/>
  <bookViews>
    <workbookView xWindow="720" yWindow="520" windowWidth="28040" windowHeight="17440" activeTab="1" xr2:uid="{3556E5E8-A781-8E47-B72C-6CA21AAD2856}"/>
  </bookViews>
  <sheets>
    <sheet name="import" sheetId="4" r:id="rId1"/>
    <sheet name="data" sheetId="3" r:id="rId2"/>
    <sheet name="Settings" sheetId="1" r:id="rId3"/>
    <sheet name="testBkupData" sheetId="5" r:id="rId4"/>
  </sheets>
  <definedNames>
    <definedName name="_xlnm._FilterDatabase" localSheetId="1" hidden="1">data!$B$2:$G$2</definedName>
  </definedNames>
  <calcPr calcId="181029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5" l="1"/>
  <c r="J3" i="1"/>
  <c r="J2" i="1"/>
  <c r="A1" i="4"/>
  <c r="H5" i="1"/>
  <c r="H4" i="1"/>
  <c r="H3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2" i="1" l="1"/>
</calcChain>
</file>

<file path=xl/sharedStrings.xml><?xml version="1.0" encoding="utf-8"?>
<sst xmlns="http://schemas.openxmlformats.org/spreadsheetml/2006/main" count="1279" uniqueCount="252">
  <si>
    <t>Case(Cause)#</t>
  </si>
  <si>
    <t>Style</t>
  </si>
  <si>
    <t>File Date</t>
  </si>
  <si>
    <t>Court</t>
  </si>
  <si>
    <t>Type of Action/Offense</t>
  </si>
  <si>
    <t>THEFT &lt;$2,500 2 / MORE PREV CONVS (F)</t>
  </si>
  <si>
    <t>AGG ASSAULT-FAMILY MEMBER (F)</t>
  </si>
  <si>
    <t>EVADING ARREST / DETENTION W / VEHICLE (F)</t>
  </si>
  <si>
    <t>ASSLT FAM / HOUSEHOLD MEM W / PREV CONV (F)</t>
  </si>
  <si>
    <t>POSS W / INT DEL / MAN / DEL PG1 &gt;=4&lt;200G (F)</t>
  </si>
  <si>
    <t>DWI 2ND (M)</t>
  </si>
  <si>
    <t>CRIMINAL TRESSPASS (M)</t>
  </si>
  <si>
    <t>DRIVING WHILE INTOXICATED (M)</t>
  </si>
  <si>
    <t>ASSAULT-FAMILY MEMBER (M)</t>
  </si>
  <si>
    <t>CARRYING HANDGUN IN MOTOR VEHICLE (M)</t>
  </si>
  <si>
    <t>INTERFERE DUTIES PUB SERVANT (M)</t>
  </si>
  <si>
    <t>TERRORISTIC THREAT FAMILY / HOUSEHOL (M)</t>
  </si>
  <si>
    <t>EVADING ARREST / DETENTION (M)</t>
  </si>
  <si>
    <t>ASSAULT-BODILY INJURY (M)</t>
  </si>
  <si>
    <t>DWI 1ST OFFENDER BAC&gt;=0.15 (M)</t>
  </si>
  <si>
    <t>BURGLARY OF HABITATION (F)</t>
  </si>
  <si>
    <t>ROBBERY-BODILY INJURY (F)</t>
  </si>
  <si>
    <t>POSS CS PG 1 &lt;1G (F)</t>
  </si>
  <si>
    <t>POSS CS PG 1 4G - 200G (F)</t>
  </si>
  <si>
    <t>POSS CS PG 1 1 - 4 GRAMS (F)</t>
  </si>
  <si>
    <t>AGG ASSAULT W / DEADLY WEAPON (F)</t>
  </si>
  <si>
    <t>DWI THIRD (F)</t>
  </si>
  <si>
    <t>FELON POSS WPN (F)</t>
  </si>
  <si>
    <t>AGG ROBBERY-DEADLY WPN (F)</t>
  </si>
  <si>
    <t>POSS W / INT MAN / DEL CS PG1 &gt;= 400G (F)</t>
  </si>
  <si>
    <t>UNAUTH USE OF VEHICLE (F)</t>
  </si>
  <si>
    <t>THEFT &gt;=$100&lt;$750 (M)</t>
  </si>
  <si>
    <t>FSGI ACC ATTEND DAMAGE VEH&gt;=$200 (M)</t>
  </si>
  <si>
    <t>DWI 2ND OFFENDER BAC&gt;=0.15 (M)</t>
  </si>
  <si>
    <t>MURDER (F)</t>
  </si>
  <si>
    <t>DEADLY COND-DISCH F-ARM HAB / BLD / VEH (F)</t>
  </si>
  <si>
    <t>UNLAW CARRY WPN (M)</t>
  </si>
  <si>
    <t>INTERFERENCE W / EMERGENCY TELEP CALL (M)</t>
  </si>
  <si>
    <t>BURGLARY OF VEHICLE (M)</t>
  </si>
  <si>
    <t>Case Region</t>
  </si>
  <si>
    <t>234026001010-2</t>
  </si>
  <si>
    <t>Criminal</t>
  </si>
  <si>
    <t>234025901010-2</t>
  </si>
  <si>
    <t>234025801010-2</t>
  </si>
  <si>
    <t>234025101010-2</t>
  </si>
  <si>
    <t>234024801010-2</t>
  </si>
  <si>
    <t>234024701010-2</t>
  </si>
  <si>
    <t>234024601010-2</t>
  </si>
  <si>
    <t>234024501010-2</t>
  </si>
  <si>
    <t>234024401010-2</t>
  </si>
  <si>
    <t>234024301010-2</t>
  </si>
  <si>
    <t>234024201010-2</t>
  </si>
  <si>
    <t>234024001010-2</t>
  </si>
  <si>
    <t>234023901010-2</t>
  </si>
  <si>
    <t>234023701010-2</t>
  </si>
  <si>
    <t>234023601010-2</t>
  </si>
  <si>
    <t>234023401010-2</t>
  </si>
  <si>
    <t>234023301010-2</t>
  </si>
  <si>
    <t>234023201010-2</t>
  </si>
  <si>
    <t>234023101010-2</t>
  </si>
  <si>
    <t>234022801010-2</t>
  </si>
  <si>
    <t>234022701010-2</t>
  </si>
  <si>
    <t>234022601010-2</t>
  </si>
  <si>
    <t>234022501010-2</t>
  </si>
  <si>
    <t>234022401010-2</t>
  </si>
  <si>
    <t>234022301010-2</t>
  </si>
  <si>
    <t>234022201010-2</t>
  </si>
  <si>
    <t>234022101010-2</t>
  </si>
  <si>
    <t>234022001010-2</t>
  </si>
  <si>
    <t>234021601010-2</t>
  </si>
  <si>
    <t>234021001010-2</t>
  </si>
  <si>
    <t>234020601010-2</t>
  </si>
  <si>
    <t>170537101010-3</t>
  </si>
  <si>
    <t>170537001010-3</t>
  </si>
  <si>
    <t>170536901010-3</t>
  </si>
  <si>
    <t>170536801010-3</t>
  </si>
  <si>
    <t>170536701010-3</t>
  </si>
  <si>
    <t>170536601010-3</t>
  </si>
  <si>
    <t>170536501010-3</t>
  </si>
  <si>
    <t>170536401010-3</t>
  </si>
  <si>
    <t>170536301010-3</t>
  </si>
  <si>
    <t>170536201010-3</t>
  </si>
  <si>
    <t>170536101010-3</t>
  </si>
  <si>
    <t>170536001010-3</t>
  </si>
  <si>
    <t>170535801010-3</t>
  </si>
  <si>
    <t>DWI W / CHILD UNDER 15 YOA (F)</t>
  </si>
  <si>
    <t>170535701010-3</t>
  </si>
  <si>
    <t>170534601010-3</t>
  </si>
  <si>
    <t>170534201010-3</t>
  </si>
  <si>
    <t>170534101010-3</t>
  </si>
  <si>
    <t>170534001010-3</t>
  </si>
  <si>
    <t>170533901010-3</t>
  </si>
  <si>
    <t>170533801010-3</t>
  </si>
  <si>
    <t>170533701010-3</t>
  </si>
  <si>
    <t>170533601010-3</t>
  </si>
  <si>
    <t>170533501010-3</t>
  </si>
  <si>
    <t>170533401010-3</t>
  </si>
  <si>
    <t>170533301010-3</t>
  </si>
  <si>
    <t>170533201010-3</t>
  </si>
  <si>
    <t>170533101010-3</t>
  </si>
  <si>
    <t>170533001010-3</t>
  </si>
  <si>
    <t>MAN / DEL CS PG I &lt;1GRAM (F)</t>
  </si>
  <si>
    <t>170532901010-3</t>
  </si>
  <si>
    <t>170532801010-3</t>
  </si>
  <si>
    <t>170532701010-3</t>
  </si>
  <si>
    <t>170532101010-3</t>
  </si>
  <si>
    <t>MAN / DEL CS PG III / IV &lt;28 GRAMS (F)</t>
  </si>
  <si>
    <t>170532001010-3</t>
  </si>
  <si>
    <t>TRADEMARK COUNTERFEITING&gt;=$30K&lt;150K (F)</t>
  </si>
  <si>
    <t>170531901010-3</t>
  </si>
  <si>
    <t>170531701010-3</t>
  </si>
  <si>
    <t>BURGLARY OF A BUILDING (F)</t>
  </si>
  <si>
    <t>170531601010-3</t>
  </si>
  <si>
    <t>170531501010-3</t>
  </si>
  <si>
    <t>170531401010-3</t>
  </si>
  <si>
    <t>INJURY CHILD UNDER 15 B / INJURY (F)</t>
  </si>
  <si>
    <t>170531301010-3</t>
  </si>
  <si>
    <t>170531201010-3</t>
  </si>
  <si>
    <t>170531101010-3</t>
  </si>
  <si>
    <t>MAN / DEL CS PG I 1-4 GRAMS (F)</t>
  </si>
  <si>
    <t>BURG COIN OPERATED MACHINE (M)</t>
  </si>
  <si>
    <t>Sort Order</t>
  </si>
  <si>
    <t>Offense keyword filter (exclusive)</t>
  </si>
  <si>
    <t>Test library of offenses</t>
  </si>
  <si>
    <t>DWI</t>
  </si>
  <si>
    <t>BURG</t>
  </si>
  <si>
    <t>ASSAULT - SECURITY OFFICER (F)</t>
  </si>
  <si>
    <t>CRIMINAL MISCHIEF &gt;=$750&lt;$2,500 (M)</t>
  </si>
  <si>
    <t>VIOL PROTECTIVE ORDER (M)</t>
  </si>
  <si>
    <t>POSS CS PG 2 &lt;1GRAM (F)</t>
  </si>
  <si>
    <t>ASSAULT OF PREGNANT PERSON (F)</t>
  </si>
  <si>
    <t>POSS CS PG 2 4G - 400G (F)</t>
  </si>
  <si>
    <t>dwi</t>
  </si>
  <si>
    <t>Civil Search Results</t>
  </si>
  <si>
    <t>234027701010-2</t>
  </si>
  <si>
    <t>The State of Texas vs. MAYFIELD, CLARENCE</t>
  </si>
  <si>
    <t>234027101010-2</t>
  </si>
  <si>
    <t>The State of Texas vs. MARKS, VINCENT U</t>
  </si>
  <si>
    <t>234026601010-2</t>
  </si>
  <si>
    <t>The State of Texas vs. HAMILTON, MARTELL O.</t>
  </si>
  <si>
    <t>234026501010-2</t>
  </si>
  <si>
    <t>The State of Texas vs. HART, CHARLES EDWARD</t>
  </si>
  <si>
    <t>The State of Texas vs. CAVAZOS, CHRISTOPHER CASEY</t>
  </si>
  <si>
    <t>The State of Texas vs. ALLEN, DAVON LYNELL</t>
  </si>
  <si>
    <t>The State of Texas vs. BATTLEY, CHANZ</t>
  </si>
  <si>
    <t>234025701010-2</t>
  </si>
  <si>
    <t>The State of Texas vs. PIERCE, ERNEST</t>
  </si>
  <si>
    <t>234025601010-2</t>
  </si>
  <si>
    <t>The State of Texas vs. SMAILE, RICHARD MICHAEL</t>
  </si>
  <si>
    <t>234024901010-2</t>
  </si>
  <si>
    <t>The State of Texas vs. IBARRA, ALBERT</t>
  </si>
  <si>
    <t>The State of Texas vs. TISDOM, TOMMY LYNN</t>
  </si>
  <si>
    <t>The State of Texas vs. HERNANDEZ, AMANDA</t>
  </si>
  <si>
    <t>The State of Texas vs. GARCIA, GABRIELA</t>
  </si>
  <si>
    <t>The State of Texas vs. ALCAZAR, ANGEL CAYETANO</t>
  </si>
  <si>
    <t>The State of Texas vs. BUHNERKEMPER, LEE ANTHONY</t>
  </si>
  <si>
    <t>The State of Texas vs. BLANCHARD, QUENTIN</t>
  </si>
  <si>
    <t>234024101010-2</t>
  </si>
  <si>
    <t>The State of Texas vs. PENA, PAMELA</t>
  </si>
  <si>
    <t>The State of Texas vs. KHAN, SAAD M</t>
  </si>
  <si>
    <t>The State of Texas vs. KHAN, KALEEM ULLAH</t>
  </si>
  <si>
    <t>The State of Texas vs. LIMON, JESUS JAIME</t>
  </si>
  <si>
    <t>The State of Texas vs. ANDRADE, CESAR</t>
  </si>
  <si>
    <t>State Of Texas vs. TRAN, TERESA T</t>
  </si>
  <si>
    <t>The State of Texas vs. HOGAN, SHERRITA</t>
  </si>
  <si>
    <t>The State of Texas vs. GARZA, IVAN ADOLFO</t>
  </si>
  <si>
    <t>State Of Texas vs. NGUYEN, THY Q</t>
  </si>
  <si>
    <t>The State of Texas vs. JOHNSON, MICHAEL WAYNE</t>
  </si>
  <si>
    <t>The State of Texas vs. RENTERIA, DIMAS</t>
  </si>
  <si>
    <t>The State of Texas vs. DAVIS, WANDA LANISE</t>
  </si>
  <si>
    <t>The State of Texas vs. BENITEZ, DAVID REYES</t>
  </si>
  <si>
    <t>The State of Texas vs. LARA, ROMAN</t>
  </si>
  <si>
    <t>The State of Texas vs. LONGORIA, FRANCISCO</t>
  </si>
  <si>
    <t>The State of Texas vs. WILLIAMS, KEITHTRICK DESHAWN</t>
  </si>
  <si>
    <t>The State of Texas vs. HAMMONS, MICHELLE</t>
  </si>
  <si>
    <t>The State of Texas vs. ALFONSO, MICHAEL RANDOLPH</t>
  </si>
  <si>
    <t>234021301010-2</t>
  </si>
  <si>
    <t>The State of Texas vs. CHOATE, STEVEN</t>
  </si>
  <si>
    <t>The State of Texas vs. WHITE, SAMANI</t>
  </si>
  <si>
    <t>234020801010-2</t>
  </si>
  <si>
    <t>The State of Texas vs. JOHNSON, CLAUDIE RATHEL</t>
  </si>
  <si>
    <t>The State of Texas vs. LONG, DANA BULLOCK</t>
  </si>
  <si>
    <t>170540001010-3</t>
  </si>
  <si>
    <t>The State of Texas vs. RUSSELL, CHRISTIAN CHASE</t>
  </si>
  <si>
    <t>170539901010-3</t>
  </si>
  <si>
    <t>170539801010-3</t>
  </si>
  <si>
    <t>The State of Texas vs. BERRY, CURTIS ALAN</t>
  </si>
  <si>
    <t>170539501010-3</t>
  </si>
  <si>
    <t>The State of Texas vs. TILLMAN, MATTHEW</t>
  </si>
  <si>
    <t>170539301010-3</t>
  </si>
  <si>
    <t>The State of Texas vs. GIPSON, JOE ELBERT</t>
  </si>
  <si>
    <t>170538901010-3</t>
  </si>
  <si>
    <t>The State of Texas vs. BUSH, GARY ARNOLD</t>
  </si>
  <si>
    <t>170538801010-3</t>
  </si>
  <si>
    <t>The State of Texas vs. AUZENNE, HAROLD VINCENT</t>
  </si>
  <si>
    <t>170538701010-3</t>
  </si>
  <si>
    <t>170537801010-3</t>
  </si>
  <si>
    <t>The State of Texas vs. GARZA, IVAN</t>
  </si>
  <si>
    <t>170537701010-3</t>
  </si>
  <si>
    <t>The State of Texas vs. COHN, JAZZLYNN TATIANA</t>
  </si>
  <si>
    <t>170537601010-3</t>
  </si>
  <si>
    <t>The State of Texas vs. SAVOIE, DONAVON</t>
  </si>
  <si>
    <t>170537501010-3</t>
  </si>
  <si>
    <t>The State of Texas vs. QUINTANA, ALEJANDRO</t>
  </si>
  <si>
    <t>170537201010-3</t>
  </si>
  <si>
    <t>The State of Texas vs. CISNEROS, RICK</t>
  </si>
  <si>
    <t>The State of Texas vs. RILEY, DEANDRE TREVION</t>
  </si>
  <si>
    <t>The State of Texas vs. CISNEROS-CASTILLO, JOSE VICTOR</t>
  </si>
  <si>
    <t>The State of Texas vs. WILLIAMS, ANTHONY</t>
  </si>
  <si>
    <t>The State of Texas vs. JOHNSON, DURRELL PERCY</t>
  </si>
  <si>
    <t>The State of Texas vs. HANDY, ROBERT PERCY</t>
  </si>
  <si>
    <t>The State of Texas vs. WILLIAMS, TY</t>
  </si>
  <si>
    <t>State Of Texas vs. HANDY, ROBERT PERCY</t>
  </si>
  <si>
    <t>The State of Texas vs. ACOSTA, RICHARD JR.</t>
  </si>
  <si>
    <t>The State of Texas vs. JENKINS, STEVEN ANTHONY</t>
  </si>
  <si>
    <t>170535901010-3</t>
  </si>
  <si>
    <t>The State of Texas vs. SIMPSON, GARY</t>
  </si>
  <si>
    <t>The State of Texas vs. PANIZO, JUSTIN RYAN</t>
  </si>
  <si>
    <t>The State of Texas vs. SISA GONZALEZ, JOSE GUADALUPE</t>
  </si>
  <si>
    <t>The State of Texas vs. DENHAM, SOMMAR KAE</t>
  </si>
  <si>
    <t>170534501010-3</t>
  </si>
  <si>
    <t>170534401010-3</t>
  </si>
  <si>
    <t>The State of Texas vs. CUFFY, MALIK RAHEEM</t>
  </si>
  <si>
    <t>170534301010-3</t>
  </si>
  <si>
    <t>The State of Texas vs. ARRINGTON, SCOTT PATRICK</t>
  </si>
  <si>
    <t>The State of Texas vs. DEARBORN, ROBYN NICOLE</t>
  </si>
  <si>
    <t>The State of Texas vs. MCKINNEY, ARTHUR FRAZIER</t>
  </si>
  <si>
    <t>The State of Texas vs. RIVENBARK, JONATHAN PAUL</t>
  </si>
  <si>
    <t>The State of Texas vs. GRON, BRIAN JOHN</t>
  </si>
  <si>
    <t>The State of Texas vs. MOORE, VINCENT EDWARD</t>
  </si>
  <si>
    <t>The State of Texas vs. MALDONADO, IRENE NATALIA</t>
  </si>
  <si>
    <t>The State of Texas vs. CLIFTON, TOMMY</t>
  </si>
  <si>
    <t>The State of Texas vs. GOMEZ, MARVIN</t>
  </si>
  <si>
    <t>The State of Texas vs. PEREIRA, CRISTIAN</t>
  </si>
  <si>
    <t>The State of Texas vs. VELEZ, ROY</t>
  </si>
  <si>
    <t>The State of Texas vs. HERNANDEZ, EULALIO ANGELO</t>
  </si>
  <si>
    <t>The State of Texas vs. TORRES, TOMMY R.</t>
  </si>
  <si>
    <t>The State of Texas vs. ALONSO, JULIAN</t>
  </si>
  <si>
    <t>The State of Texas vs. SWAIN, TOREY JAMOD</t>
  </si>
  <si>
    <t>The State of Texas vs. DAWKINS, ANTOINNE</t>
  </si>
  <si>
    <t>The State of Texas vs. RUBIO ZAMORA, ROBERTO</t>
  </si>
  <si>
    <t>The State of Texas vs. VALERO, RICHARD</t>
  </si>
  <si>
    <t>The State of Texas vs. CURRY, TONYA LASHELL</t>
  </si>
  <si>
    <t>Total records generated for printing is 100 (limit of 5,000, search results may vary)</t>
  </si>
  <si>
    <t>170540501010-3</t>
  </si>
  <si>
    <t>The State of Texas vs. WASHINGTON, WESLEY</t>
  </si>
  <si>
    <t>THEFT-MAIL =10&lt;30 ADDRESSES (F)</t>
  </si>
  <si>
    <t>Configurations</t>
  </si>
  <si>
    <t>Prompt to append data?</t>
  </si>
  <si>
    <t>no</t>
  </si>
  <si>
    <t>Automatically remove raw data?</t>
  </si>
  <si>
    <t>Configuration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</si>
</sst>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name val="Calibri"/>
    </font>
    <font>
      <sz val="12"/>
      <name val="Calibri"/>
      <family val="2"/>
    </font>
    <font>
      <sz val="14"/>
      <color rgb="FF000000"/>
      <name val="Times"/>
      <family val="1"/>
    </font>
    <font>
      <b/>
      <sz val="18"/>
      <color rgb="FF000000"/>
      <name val="Times"/>
      <family val="1"/>
    </font>
    <font>
      <sz val="12"/>
      <color rgb="FF000000"/>
      <name val="Times"/>
      <family val="1"/>
    </font>
    <font>
      <u/>
      <sz val="12"/>
      <color theme="10"/>
      <name val="Calibri"/>
      <family val="2"/>
      <scheme val="minor"/>
    </font>
    <font>
      <sz val="12"/>
      <color rgb="FF0070C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17">
    <xf numFmtId="0" fontId="0" fillId="0" borderId="0" xfId="0"/>
    <xf numFmtId="14" fontId="0" fillId="0" borderId="0" xfId="0" applyNumberFormat="1"/>
    <xf numFmtId="0" fontId="1" fillId="2" borderId="0" xfId="0" applyFont="1" applyFill="1"/>
    <xf numFmtId="0" fontId="5" fillId="0" borderId="0" xfId="0" applyFont="1"/>
    <xf numFmtId="0" fontId="4" fillId="0" borderId="0" xfId="0" applyFont="1"/>
    <xf numFmtId="0" fontId="6" fillId="0" borderId="0" xfId="0" applyFont="1"/>
    <xf numFmtId="0" fontId="0" fillId="0" borderId="0" xfId="0" applyNumberFormat="1"/>
    <xf numFmtId="0" fontId="0" fillId="3" borderId="0" xfId="0" applyFill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6" borderId="1" xfId="0" applyFill="1" applyBorder="1"/>
    <xf numFmtId="0" fontId="7" fillId="0" borderId="0" xfId="1"/>
    <xf numFmtId="14" fontId="6" fillId="0" borderId="0" xfId="0" applyNumberFormat="1" applyFont="1"/>
    <xf numFmtId="0" fontId="0" fillId="5" borderId="1" xfId="0" applyFill="1" applyBorder="1" applyAlignment="1">
      <alignment horizontal="center"/>
    </xf>
    <xf numFmtId="0" fontId="0" fillId="3" borderId="1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0" fillId="0" borderId="1" xfId="0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101600</xdr:colOff>
          <xdr:row>5</xdr:row>
          <xdr:rowOff>25400</xdr:rowOff>
        </xdr:from>
        <xdr:to>
          <xdr:col>8</xdr:col>
          <xdr:colOff>698500</xdr:colOff>
          <xdr:row>7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F6B643CA-3111-2745-9125-AB710DFA71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charset="0"/>
                  <a:cs typeface="Calibri" charset="0"/>
                </a:rPr>
                <a:t>Filter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101600</xdr:colOff>
          <xdr:row>1</xdr:row>
          <xdr:rowOff>12700</xdr:rowOff>
        </xdr:from>
        <xdr:to>
          <xdr:col>8</xdr:col>
          <xdr:colOff>698500</xdr:colOff>
          <xdr:row>2</xdr:row>
          <xdr:rowOff>190500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17BCB937-35A0-A743-B625-C984CDDD63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101600</xdr:colOff>
          <xdr:row>3</xdr:row>
          <xdr:rowOff>12700</xdr:rowOff>
        </xdr:from>
        <xdr:to>
          <xdr:col>8</xdr:col>
          <xdr:colOff>698500</xdr:colOff>
          <xdr:row>4</xdr:row>
          <xdr:rowOff>190500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4F2216AD-CFE3-2540-A820-E4BB360980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Apply 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787400</xdr:colOff>
          <xdr:row>1</xdr:row>
          <xdr:rowOff>12700</xdr:rowOff>
        </xdr:from>
        <xdr:to>
          <xdr:col>10</xdr:col>
          <xdr:colOff>596900</xdr:colOff>
          <xdr:row>2</xdr:row>
          <xdr:rowOff>190500</xdr:rowOff>
        </xdr:to>
        <xdr:sp macro="" textlink="">
          <xdr:nvSpPr>
            <xdr:cNvPr id="2053" name="Button 5" descr="Upload data to server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40C95EDA-D914-B345-8C8A-99DFEC207A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Upload data to server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D915C-5305-F947-A99A-E1B89D2CC83D}">
  <sheetPr codeName="Sheet1"/>
  <dimension ref="A1:F205"/>
  <sheetViews>
    <sheetView workbookViewId="0">
      <selection activeCell="A2" sqref="A2:F204"/>
    </sheetView>
  </sheetViews>
  <sheetFormatPr baseColWidth="10" defaultRowHeight="16"/>
  <sheetData>
    <row r="1" spans="1:6">
      <c r="A1" s="11" t="str">
        <f>HYPERLINK("https://mobile.hcdistrictclerk.com/CaseDetails/SearchPrinting.aspx","link")</f>
        <v>link</v>
      </c>
    </row>
    <row r="2" spans="1:6" ht="24">
      <c r="A2" s="3" t="s">
        <v>133</v>
      </c>
    </row>
    <row r="3" spans="1:6" ht="16" customHeight="1"/>
    <row r="4" spans="1:6" ht="19">
      <c r="A4" s="4" t="s">
        <v>243</v>
      </c>
    </row>
    <row r="5" spans="1:6" ht="19">
      <c r="A5" s="4" t="s">
        <v>0</v>
      </c>
      <c r="B5" s="4" t="s">
        <v>1</v>
      </c>
      <c r="C5" s="4" t="s">
        <v>2</v>
      </c>
      <c r="D5" s="4" t="s">
        <v>3</v>
      </c>
      <c r="E5" s="4" t="s">
        <v>39</v>
      </c>
      <c r="F5" s="4" t="s">
        <v>4</v>
      </c>
    </row>
    <row r="6" spans="1:6">
      <c r="A6" s="5" t="s">
        <v>134</v>
      </c>
      <c r="B6" s="5" t="s">
        <v>135</v>
      </c>
      <c r="C6" s="12">
        <v>44348</v>
      </c>
      <c r="D6" s="5">
        <v>7</v>
      </c>
      <c r="E6" s="5" t="s">
        <v>41</v>
      </c>
      <c r="F6" s="5" t="s">
        <v>13</v>
      </c>
    </row>
    <row r="7" spans="1:6" ht="19">
      <c r="A7" s="4"/>
    </row>
    <row r="8" spans="1:6">
      <c r="A8" s="5" t="s">
        <v>136</v>
      </c>
      <c r="B8" s="5" t="s">
        <v>137</v>
      </c>
      <c r="C8" s="12">
        <v>44348</v>
      </c>
      <c r="D8" s="5">
        <v>15</v>
      </c>
      <c r="E8" s="5" t="s">
        <v>41</v>
      </c>
      <c r="F8" s="5" t="s">
        <v>13</v>
      </c>
    </row>
    <row r="9" spans="1:6" ht="19">
      <c r="A9" s="4"/>
    </row>
    <row r="10" spans="1:6">
      <c r="A10" s="5" t="s">
        <v>138</v>
      </c>
      <c r="B10" s="5" t="s">
        <v>139</v>
      </c>
      <c r="C10" s="12">
        <v>44348</v>
      </c>
      <c r="D10" s="5">
        <v>5</v>
      </c>
      <c r="E10" s="5" t="s">
        <v>41</v>
      </c>
      <c r="F10" s="5" t="s">
        <v>127</v>
      </c>
    </row>
    <row r="11" spans="1:6" ht="19">
      <c r="A11" s="4"/>
    </row>
    <row r="12" spans="1:6">
      <c r="A12" s="5" t="s">
        <v>140</v>
      </c>
      <c r="B12" s="5" t="s">
        <v>141</v>
      </c>
      <c r="C12" s="12">
        <v>44348</v>
      </c>
      <c r="D12" s="5">
        <v>12</v>
      </c>
      <c r="E12" s="5" t="s">
        <v>41</v>
      </c>
      <c r="F12" s="5" t="s">
        <v>36</v>
      </c>
    </row>
    <row r="13" spans="1:6" ht="19">
      <c r="A13" s="4"/>
    </row>
    <row r="14" spans="1:6">
      <c r="A14" s="5" t="s">
        <v>40</v>
      </c>
      <c r="B14" s="5" t="s">
        <v>142</v>
      </c>
      <c r="C14" s="12">
        <v>44348</v>
      </c>
      <c r="D14" s="5">
        <v>9</v>
      </c>
      <c r="E14" s="5" t="s">
        <v>41</v>
      </c>
      <c r="F14" s="5" t="s">
        <v>19</v>
      </c>
    </row>
    <row r="15" spans="1:6" ht="19">
      <c r="A15" s="4"/>
    </row>
    <row r="16" spans="1:6">
      <c r="A16" s="5" t="s">
        <v>42</v>
      </c>
      <c r="B16" s="5" t="s">
        <v>143</v>
      </c>
      <c r="C16" s="12">
        <v>44348</v>
      </c>
      <c r="D16" s="5">
        <v>1</v>
      </c>
      <c r="E16" s="5" t="s">
        <v>41</v>
      </c>
      <c r="F16" s="5" t="s">
        <v>14</v>
      </c>
    </row>
    <row r="17" spans="1:6" ht="19">
      <c r="A17" s="4"/>
    </row>
    <row r="18" spans="1:6">
      <c r="A18" s="5" t="s">
        <v>43</v>
      </c>
      <c r="B18" s="5" t="s">
        <v>144</v>
      </c>
      <c r="C18" s="12">
        <v>44348</v>
      </c>
      <c r="D18" s="5">
        <v>8</v>
      </c>
      <c r="E18" s="5" t="s">
        <v>41</v>
      </c>
      <c r="F18" s="5" t="s">
        <v>14</v>
      </c>
    </row>
    <row r="19" spans="1:6" ht="19">
      <c r="A19" s="4"/>
    </row>
    <row r="20" spans="1:6">
      <c r="A20" s="5" t="s">
        <v>145</v>
      </c>
      <c r="B20" s="5" t="s">
        <v>146</v>
      </c>
      <c r="C20" s="12">
        <v>44348</v>
      </c>
      <c r="D20" s="5">
        <v>7</v>
      </c>
      <c r="E20" s="5" t="s">
        <v>41</v>
      </c>
      <c r="F20" s="5" t="s">
        <v>14</v>
      </c>
    </row>
    <row r="21" spans="1:6" ht="19">
      <c r="A21" s="4"/>
    </row>
    <row r="22" spans="1:6">
      <c r="A22" s="5" t="s">
        <v>147</v>
      </c>
      <c r="B22" s="5" t="s">
        <v>146</v>
      </c>
      <c r="C22" s="12">
        <v>44348</v>
      </c>
      <c r="D22" s="5">
        <v>7</v>
      </c>
      <c r="E22" s="5" t="s">
        <v>41</v>
      </c>
      <c r="F22" s="5" t="s">
        <v>19</v>
      </c>
    </row>
    <row r="23" spans="1:6" ht="19">
      <c r="A23" s="4"/>
    </row>
    <row r="24" spans="1:6">
      <c r="A24" s="5" t="s">
        <v>44</v>
      </c>
      <c r="B24" s="5" t="s">
        <v>148</v>
      </c>
      <c r="C24" s="12">
        <v>44348</v>
      </c>
      <c r="D24" s="5">
        <v>3</v>
      </c>
      <c r="E24" s="5" t="s">
        <v>41</v>
      </c>
      <c r="F24" s="5" t="s">
        <v>19</v>
      </c>
    </row>
    <row r="25" spans="1:6" ht="19">
      <c r="A25" s="4"/>
    </row>
    <row r="26" spans="1:6">
      <c r="A26" s="5" t="s">
        <v>149</v>
      </c>
      <c r="B26" s="5" t="s">
        <v>150</v>
      </c>
      <c r="C26" s="12">
        <v>44348</v>
      </c>
      <c r="D26" s="5">
        <v>16</v>
      </c>
      <c r="E26" s="5" t="s">
        <v>41</v>
      </c>
      <c r="F26" s="5" t="s">
        <v>17</v>
      </c>
    </row>
    <row r="27" spans="1:6" ht="19">
      <c r="A27" s="4"/>
    </row>
    <row r="28" spans="1:6">
      <c r="A28" s="5" t="s">
        <v>45</v>
      </c>
      <c r="B28" s="5" t="s">
        <v>151</v>
      </c>
      <c r="C28" s="12">
        <v>44348</v>
      </c>
      <c r="D28" s="5">
        <v>15</v>
      </c>
      <c r="E28" s="5" t="s">
        <v>41</v>
      </c>
      <c r="F28" s="5" t="s">
        <v>16</v>
      </c>
    </row>
    <row r="29" spans="1:6" ht="19">
      <c r="A29" s="4"/>
    </row>
    <row r="30" spans="1:6">
      <c r="A30" s="5" t="s">
        <v>46</v>
      </c>
      <c r="B30" s="5" t="s">
        <v>152</v>
      </c>
      <c r="C30" s="12">
        <v>44348</v>
      </c>
      <c r="D30" s="5">
        <v>11</v>
      </c>
      <c r="E30" s="5" t="s">
        <v>41</v>
      </c>
      <c r="F30" s="5" t="s">
        <v>10</v>
      </c>
    </row>
    <row r="31" spans="1:6" ht="19">
      <c r="A31" s="4"/>
    </row>
    <row r="32" spans="1:6">
      <c r="A32" s="5" t="s">
        <v>47</v>
      </c>
      <c r="B32" s="5" t="s">
        <v>153</v>
      </c>
      <c r="C32" s="12">
        <v>44348</v>
      </c>
      <c r="D32" s="5">
        <v>10</v>
      </c>
      <c r="E32" s="5" t="s">
        <v>41</v>
      </c>
      <c r="F32" s="5" t="s">
        <v>33</v>
      </c>
    </row>
    <row r="33" spans="1:6" ht="19">
      <c r="A33" s="4"/>
    </row>
    <row r="34" spans="1:6">
      <c r="A34" s="5" t="s">
        <v>48</v>
      </c>
      <c r="B34" s="5" t="s">
        <v>154</v>
      </c>
      <c r="C34" s="12">
        <v>44348</v>
      </c>
      <c r="D34" s="5">
        <v>9</v>
      </c>
      <c r="E34" s="5" t="s">
        <v>41</v>
      </c>
      <c r="F34" s="5" t="s">
        <v>12</v>
      </c>
    </row>
    <row r="35" spans="1:6" ht="19">
      <c r="A35" s="4"/>
    </row>
    <row r="36" spans="1:6">
      <c r="A36" s="5" t="s">
        <v>49</v>
      </c>
      <c r="B36" s="5" t="s">
        <v>155</v>
      </c>
      <c r="C36" s="12">
        <v>44348</v>
      </c>
      <c r="D36" s="5">
        <v>8</v>
      </c>
      <c r="E36" s="5" t="s">
        <v>41</v>
      </c>
      <c r="F36" s="5" t="s">
        <v>19</v>
      </c>
    </row>
    <row r="37" spans="1:6" ht="19">
      <c r="A37" s="4"/>
    </row>
    <row r="38" spans="1:6">
      <c r="A38" s="5" t="s">
        <v>50</v>
      </c>
      <c r="B38" s="5" t="s">
        <v>155</v>
      </c>
      <c r="C38" s="12">
        <v>44348</v>
      </c>
      <c r="D38" s="5">
        <v>8</v>
      </c>
      <c r="E38" s="5" t="s">
        <v>41</v>
      </c>
      <c r="F38" s="5" t="s">
        <v>32</v>
      </c>
    </row>
    <row r="39" spans="1:6" ht="19">
      <c r="A39" s="4"/>
    </row>
    <row r="40" spans="1:6">
      <c r="A40" s="5" t="s">
        <v>51</v>
      </c>
      <c r="B40" s="5" t="s">
        <v>156</v>
      </c>
      <c r="C40" s="12">
        <v>44348</v>
      </c>
      <c r="D40" s="5">
        <v>6</v>
      </c>
      <c r="E40" s="5" t="s">
        <v>41</v>
      </c>
      <c r="F40" s="5" t="s">
        <v>10</v>
      </c>
    </row>
    <row r="41" spans="1:6" ht="19">
      <c r="A41" s="4"/>
    </row>
    <row r="42" spans="1:6">
      <c r="A42" s="5" t="s">
        <v>157</v>
      </c>
      <c r="B42" s="5" t="s">
        <v>158</v>
      </c>
      <c r="C42" s="12">
        <v>44348</v>
      </c>
      <c r="D42" s="5">
        <v>5</v>
      </c>
      <c r="E42" s="5" t="s">
        <v>41</v>
      </c>
      <c r="F42" s="5" t="s">
        <v>12</v>
      </c>
    </row>
    <row r="43" spans="1:6" ht="19">
      <c r="A43" s="4"/>
    </row>
    <row r="44" spans="1:6">
      <c r="A44" s="5" t="s">
        <v>52</v>
      </c>
      <c r="B44" s="5" t="s">
        <v>159</v>
      </c>
      <c r="C44" s="12">
        <v>44348</v>
      </c>
      <c r="D44" s="5">
        <v>4</v>
      </c>
      <c r="E44" s="5" t="s">
        <v>41</v>
      </c>
      <c r="F44" s="5" t="s">
        <v>36</v>
      </c>
    </row>
    <row r="45" spans="1:6" ht="19">
      <c r="A45" s="4"/>
    </row>
    <row r="46" spans="1:6">
      <c r="A46" s="5" t="s">
        <v>53</v>
      </c>
      <c r="B46" s="5" t="s">
        <v>160</v>
      </c>
      <c r="C46" s="12">
        <v>44348</v>
      </c>
      <c r="D46" s="5">
        <v>3</v>
      </c>
      <c r="E46" s="5" t="s">
        <v>41</v>
      </c>
      <c r="F46" s="5" t="s">
        <v>14</v>
      </c>
    </row>
    <row r="47" spans="1:6" ht="19">
      <c r="A47" s="4"/>
    </row>
    <row r="48" spans="1:6">
      <c r="A48" s="5" t="s">
        <v>54</v>
      </c>
      <c r="B48" s="5" t="s">
        <v>161</v>
      </c>
      <c r="C48" s="12">
        <v>44348</v>
      </c>
      <c r="D48" s="5">
        <v>1</v>
      </c>
      <c r="E48" s="5" t="s">
        <v>41</v>
      </c>
      <c r="F48" s="5" t="s">
        <v>14</v>
      </c>
    </row>
    <row r="49" spans="1:6" ht="19">
      <c r="A49" s="4"/>
    </row>
    <row r="50" spans="1:6">
      <c r="A50" s="5" t="s">
        <v>55</v>
      </c>
      <c r="B50" s="5" t="s">
        <v>162</v>
      </c>
      <c r="C50" s="12">
        <v>44348</v>
      </c>
      <c r="D50" s="5">
        <v>16</v>
      </c>
      <c r="E50" s="5" t="s">
        <v>41</v>
      </c>
      <c r="F50" s="5" t="s">
        <v>14</v>
      </c>
    </row>
    <row r="51" spans="1:6" ht="19">
      <c r="A51" s="4"/>
    </row>
    <row r="52" spans="1:6">
      <c r="A52" s="5" t="s">
        <v>56</v>
      </c>
      <c r="B52" s="5" t="s">
        <v>163</v>
      </c>
      <c r="C52" s="12">
        <v>44348</v>
      </c>
      <c r="D52" s="5">
        <v>12</v>
      </c>
      <c r="E52" s="5" t="s">
        <v>41</v>
      </c>
      <c r="F52" s="5" t="s">
        <v>31</v>
      </c>
    </row>
    <row r="53" spans="1:6" ht="19">
      <c r="A53" s="4"/>
    </row>
    <row r="54" spans="1:6">
      <c r="A54" s="5" t="s">
        <v>57</v>
      </c>
      <c r="B54" s="5" t="s">
        <v>164</v>
      </c>
      <c r="C54" s="12">
        <v>44348</v>
      </c>
      <c r="D54" s="5">
        <v>15</v>
      </c>
      <c r="E54" s="5" t="s">
        <v>41</v>
      </c>
      <c r="F54" s="5" t="s">
        <v>12</v>
      </c>
    </row>
    <row r="55" spans="1:6" ht="19">
      <c r="A55" s="4"/>
    </row>
    <row r="56" spans="1:6">
      <c r="A56" s="5" t="s">
        <v>58</v>
      </c>
      <c r="B56" s="5" t="s">
        <v>165</v>
      </c>
      <c r="C56" s="12">
        <v>44348</v>
      </c>
      <c r="D56" s="5">
        <v>14</v>
      </c>
      <c r="E56" s="5" t="s">
        <v>41</v>
      </c>
      <c r="F56" s="5" t="s">
        <v>17</v>
      </c>
    </row>
    <row r="57" spans="1:6" ht="19">
      <c r="A57" s="4"/>
    </row>
    <row r="58" spans="1:6">
      <c r="A58" s="5" t="s">
        <v>59</v>
      </c>
      <c r="B58" s="5" t="s">
        <v>165</v>
      </c>
      <c r="C58" s="12">
        <v>44348</v>
      </c>
      <c r="D58" s="5">
        <v>14</v>
      </c>
      <c r="E58" s="5" t="s">
        <v>41</v>
      </c>
      <c r="F58" s="5" t="s">
        <v>36</v>
      </c>
    </row>
    <row r="59" spans="1:6" ht="19">
      <c r="A59" s="4"/>
    </row>
    <row r="60" spans="1:6">
      <c r="A60" s="5" t="s">
        <v>60</v>
      </c>
      <c r="B60" s="5" t="s">
        <v>166</v>
      </c>
      <c r="C60" s="12">
        <v>44348</v>
      </c>
      <c r="D60" s="5">
        <v>12</v>
      </c>
      <c r="E60" s="5" t="s">
        <v>41</v>
      </c>
      <c r="F60" s="5" t="s">
        <v>31</v>
      </c>
    </row>
    <row r="61" spans="1:6" ht="19">
      <c r="A61" s="4"/>
    </row>
    <row r="62" spans="1:6">
      <c r="A62" s="5" t="s">
        <v>61</v>
      </c>
      <c r="B62" s="5" t="s">
        <v>167</v>
      </c>
      <c r="C62" s="12">
        <v>44348</v>
      </c>
      <c r="D62" s="5">
        <v>11</v>
      </c>
      <c r="E62" s="5" t="s">
        <v>41</v>
      </c>
      <c r="F62" s="5" t="s">
        <v>31</v>
      </c>
    </row>
    <row r="63" spans="1:6" ht="19">
      <c r="A63" s="4"/>
    </row>
    <row r="64" spans="1:6">
      <c r="A64" s="5" t="s">
        <v>62</v>
      </c>
      <c r="B64" s="5" t="s">
        <v>168</v>
      </c>
      <c r="C64" s="12">
        <v>44348</v>
      </c>
      <c r="D64" s="5">
        <v>10</v>
      </c>
      <c r="E64" s="5" t="s">
        <v>41</v>
      </c>
      <c r="F64" s="5" t="s">
        <v>13</v>
      </c>
    </row>
    <row r="65" spans="1:6" ht="19">
      <c r="A65" s="4"/>
    </row>
    <row r="66" spans="1:6">
      <c r="A66" s="5" t="s">
        <v>63</v>
      </c>
      <c r="B66" s="5" t="s">
        <v>169</v>
      </c>
      <c r="C66" s="12">
        <v>44348</v>
      </c>
      <c r="D66" s="5">
        <v>7</v>
      </c>
      <c r="E66" s="5" t="s">
        <v>41</v>
      </c>
      <c r="F66" s="5" t="s">
        <v>18</v>
      </c>
    </row>
    <row r="67" spans="1:6" ht="19">
      <c r="A67" s="4"/>
    </row>
    <row r="68" spans="1:6">
      <c r="A68" s="5" t="s">
        <v>64</v>
      </c>
      <c r="B68" s="5" t="s">
        <v>170</v>
      </c>
      <c r="C68" s="12">
        <v>44348</v>
      </c>
      <c r="D68" s="5">
        <v>9</v>
      </c>
      <c r="E68" s="5" t="s">
        <v>41</v>
      </c>
      <c r="F68" s="5" t="s">
        <v>18</v>
      </c>
    </row>
    <row r="69" spans="1:6" ht="19">
      <c r="A69" s="4"/>
    </row>
    <row r="70" spans="1:6">
      <c r="A70" s="5" t="s">
        <v>65</v>
      </c>
      <c r="B70" s="5" t="s">
        <v>171</v>
      </c>
      <c r="C70" s="12">
        <v>44348</v>
      </c>
      <c r="D70" s="5">
        <v>8</v>
      </c>
      <c r="E70" s="5" t="s">
        <v>41</v>
      </c>
      <c r="F70" s="5" t="s">
        <v>10</v>
      </c>
    </row>
    <row r="71" spans="1:6" ht="19">
      <c r="A71" s="4"/>
    </row>
    <row r="72" spans="1:6">
      <c r="A72" s="5" t="s">
        <v>66</v>
      </c>
      <c r="B72" s="5" t="s">
        <v>172</v>
      </c>
      <c r="C72" s="12">
        <v>44348</v>
      </c>
      <c r="D72" s="5">
        <v>7</v>
      </c>
      <c r="E72" s="5" t="s">
        <v>41</v>
      </c>
      <c r="F72" s="5" t="s">
        <v>14</v>
      </c>
    </row>
    <row r="73" spans="1:6" ht="19">
      <c r="A73" s="4"/>
    </row>
    <row r="74" spans="1:6">
      <c r="A74" s="5" t="s">
        <v>67</v>
      </c>
      <c r="B74" s="5" t="s">
        <v>173</v>
      </c>
      <c r="C74" s="12">
        <v>44348</v>
      </c>
      <c r="D74" s="5">
        <v>6</v>
      </c>
      <c r="E74" s="5" t="s">
        <v>41</v>
      </c>
      <c r="F74" s="5" t="s">
        <v>36</v>
      </c>
    </row>
    <row r="75" spans="1:6" ht="19">
      <c r="A75" s="4"/>
    </row>
    <row r="76" spans="1:6">
      <c r="A76" s="5" t="s">
        <v>68</v>
      </c>
      <c r="B76" s="5" t="s">
        <v>174</v>
      </c>
      <c r="C76" s="12">
        <v>44348</v>
      </c>
      <c r="D76" s="5">
        <v>5</v>
      </c>
      <c r="E76" s="5" t="s">
        <v>41</v>
      </c>
      <c r="F76" s="5" t="s">
        <v>31</v>
      </c>
    </row>
    <row r="77" spans="1:6" ht="19">
      <c r="A77" s="4"/>
    </row>
    <row r="78" spans="1:6">
      <c r="A78" s="5" t="s">
        <v>69</v>
      </c>
      <c r="B78" s="5" t="s">
        <v>175</v>
      </c>
      <c r="C78" s="12">
        <v>44348</v>
      </c>
      <c r="D78" s="5">
        <v>15</v>
      </c>
      <c r="E78" s="5" t="s">
        <v>41</v>
      </c>
      <c r="F78" s="5" t="s">
        <v>15</v>
      </c>
    </row>
    <row r="79" spans="1:6" ht="19">
      <c r="A79" s="4"/>
    </row>
    <row r="80" spans="1:6">
      <c r="A80" s="5" t="s">
        <v>176</v>
      </c>
      <c r="B80" s="5" t="s">
        <v>177</v>
      </c>
      <c r="C80" s="12">
        <v>44348</v>
      </c>
      <c r="D80" s="5">
        <v>4</v>
      </c>
      <c r="E80" s="5" t="s">
        <v>41</v>
      </c>
      <c r="F80" s="5" t="s">
        <v>128</v>
      </c>
    </row>
    <row r="81" spans="1:6" ht="19">
      <c r="A81" s="4"/>
    </row>
    <row r="82" spans="1:6">
      <c r="A82" s="5" t="s">
        <v>70</v>
      </c>
      <c r="B82" s="5" t="s">
        <v>178</v>
      </c>
      <c r="C82" s="12">
        <v>44348</v>
      </c>
      <c r="D82" s="5">
        <v>7</v>
      </c>
      <c r="E82" s="5" t="s">
        <v>41</v>
      </c>
      <c r="F82" s="5" t="s">
        <v>14</v>
      </c>
    </row>
    <row r="83" spans="1:6" ht="19">
      <c r="A83" s="4"/>
    </row>
    <row r="84" spans="1:6">
      <c r="A84" s="5" t="s">
        <v>179</v>
      </c>
      <c r="B84" s="5" t="s">
        <v>180</v>
      </c>
      <c r="C84" s="12">
        <v>44348</v>
      </c>
      <c r="D84" s="5">
        <v>9</v>
      </c>
      <c r="E84" s="5" t="s">
        <v>41</v>
      </c>
      <c r="F84" s="5" t="s">
        <v>13</v>
      </c>
    </row>
    <row r="85" spans="1:6" ht="19">
      <c r="A85" s="4"/>
    </row>
    <row r="86" spans="1:6">
      <c r="A86" s="5" t="s">
        <v>71</v>
      </c>
      <c r="B86" s="5" t="s">
        <v>181</v>
      </c>
      <c r="C86" s="12">
        <v>44348</v>
      </c>
      <c r="D86" s="5">
        <v>4</v>
      </c>
      <c r="E86" s="5" t="s">
        <v>41</v>
      </c>
      <c r="F86" s="5" t="s">
        <v>18</v>
      </c>
    </row>
    <row r="87" spans="1:6" ht="19">
      <c r="A87" s="4"/>
    </row>
    <row r="88" spans="1:6">
      <c r="A88" s="5" t="s">
        <v>244</v>
      </c>
      <c r="B88" s="5" t="s">
        <v>245</v>
      </c>
      <c r="C88" s="12">
        <v>44348</v>
      </c>
      <c r="D88" s="5">
        <v>262</v>
      </c>
      <c r="E88" s="5" t="s">
        <v>41</v>
      </c>
      <c r="F88" s="5" t="s">
        <v>246</v>
      </c>
    </row>
    <row r="89" spans="1:6" ht="19">
      <c r="A89" s="4"/>
    </row>
    <row r="90" spans="1:6">
      <c r="A90" s="5" t="s">
        <v>182</v>
      </c>
      <c r="B90" s="5" t="s">
        <v>183</v>
      </c>
      <c r="C90" s="12">
        <v>44348</v>
      </c>
      <c r="D90" s="5">
        <v>183</v>
      </c>
      <c r="E90" s="5" t="s">
        <v>41</v>
      </c>
      <c r="F90" s="5" t="s">
        <v>130</v>
      </c>
    </row>
    <row r="91" spans="1:6" ht="19">
      <c r="A91" s="4"/>
    </row>
    <row r="92" spans="1:6">
      <c r="A92" s="5" t="s">
        <v>184</v>
      </c>
      <c r="B92" s="5" t="s">
        <v>183</v>
      </c>
      <c r="C92" s="12">
        <v>44348</v>
      </c>
      <c r="D92" s="5">
        <v>183</v>
      </c>
      <c r="E92" s="5" t="s">
        <v>41</v>
      </c>
      <c r="F92" s="5" t="s">
        <v>115</v>
      </c>
    </row>
    <row r="93" spans="1:6" ht="19">
      <c r="A93" s="4"/>
    </row>
    <row r="94" spans="1:6">
      <c r="A94" s="5" t="s">
        <v>185</v>
      </c>
      <c r="B94" s="5" t="s">
        <v>186</v>
      </c>
      <c r="C94" s="12">
        <v>44348</v>
      </c>
      <c r="D94" s="5">
        <v>339</v>
      </c>
      <c r="E94" s="5" t="s">
        <v>41</v>
      </c>
      <c r="F94" s="5" t="s">
        <v>6</v>
      </c>
    </row>
    <row r="95" spans="1:6" ht="19">
      <c r="A95" s="4"/>
    </row>
    <row r="96" spans="1:6">
      <c r="A96" s="5" t="s">
        <v>187</v>
      </c>
      <c r="B96" s="5" t="s">
        <v>188</v>
      </c>
      <c r="C96" s="12">
        <v>44348</v>
      </c>
      <c r="D96" s="5">
        <v>176</v>
      </c>
      <c r="E96" s="5" t="s">
        <v>41</v>
      </c>
      <c r="F96" s="5" t="s">
        <v>129</v>
      </c>
    </row>
    <row r="97" spans="1:6" ht="19">
      <c r="A97" s="4"/>
    </row>
    <row r="98" spans="1:6">
      <c r="A98" s="5" t="s">
        <v>189</v>
      </c>
      <c r="B98" s="5" t="s">
        <v>190</v>
      </c>
      <c r="C98" s="12">
        <v>44348</v>
      </c>
      <c r="D98" s="5">
        <v>230</v>
      </c>
      <c r="E98" s="5" t="s">
        <v>41</v>
      </c>
      <c r="F98" s="5" t="s">
        <v>8</v>
      </c>
    </row>
    <row r="99" spans="1:6" ht="19">
      <c r="A99" s="4"/>
    </row>
    <row r="100" spans="1:6">
      <c r="A100" s="5" t="s">
        <v>191</v>
      </c>
      <c r="B100" s="5" t="s">
        <v>192</v>
      </c>
      <c r="C100" s="12">
        <v>44348</v>
      </c>
      <c r="D100" s="5">
        <v>180</v>
      </c>
      <c r="E100" s="5" t="s">
        <v>41</v>
      </c>
      <c r="F100" s="5" t="s">
        <v>5</v>
      </c>
    </row>
    <row r="101" spans="1:6" ht="19">
      <c r="A101" s="4"/>
    </row>
    <row r="102" spans="1:6">
      <c r="A102" s="5" t="s">
        <v>193</v>
      </c>
      <c r="B102" s="5" t="s">
        <v>194</v>
      </c>
      <c r="C102" s="12">
        <v>44348</v>
      </c>
      <c r="D102" s="5">
        <v>263</v>
      </c>
      <c r="E102" s="5" t="s">
        <v>41</v>
      </c>
      <c r="F102" s="5" t="s">
        <v>7</v>
      </c>
    </row>
    <row r="103" spans="1:6" ht="19">
      <c r="A103" s="4"/>
    </row>
    <row r="104" spans="1:6">
      <c r="A104" s="5" t="s">
        <v>195</v>
      </c>
      <c r="B104" s="5" t="s">
        <v>194</v>
      </c>
      <c r="C104" s="12">
        <v>44348</v>
      </c>
      <c r="D104" s="5">
        <v>263</v>
      </c>
      <c r="E104" s="5" t="s">
        <v>41</v>
      </c>
      <c r="F104" s="5" t="s">
        <v>30</v>
      </c>
    </row>
    <row r="105" spans="1:6" ht="19">
      <c r="A105" s="4"/>
    </row>
    <row r="106" spans="1:6">
      <c r="A106" s="5" t="s">
        <v>196</v>
      </c>
      <c r="B106" s="5" t="s">
        <v>197</v>
      </c>
      <c r="C106" s="12">
        <v>44348</v>
      </c>
      <c r="D106" s="5">
        <v>185</v>
      </c>
      <c r="E106" s="5" t="s">
        <v>41</v>
      </c>
      <c r="F106" s="5" t="s">
        <v>28</v>
      </c>
    </row>
    <row r="107" spans="1:6" ht="19">
      <c r="A107" s="4"/>
    </row>
    <row r="108" spans="1:6">
      <c r="A108" s="5" t="s">
        <v>198</v>
      </c>
      <c r="B108" s="5" t="s">
        <v>199</v>
      </c>
      <c r="C108" s="12">
        <v>44348</v>
      </c>
      <c r="D108" s="5">
        <v>351</v>
      </c>
      <c r="E108" s="5" t="s">
        <v>41</v>
      </c>
      <c r="F108" s="5" t="s">
        <v>126</v>
      </c>
    </row>
    <row r="109" spans="1:6" ht="19">
      <c r="A109" s="4"/>
    </row>
    <row r="110" spans="1:6">
      <c r="A110" s="5" t="s">
        <v>200</v>
      </c>
      <c r="B110" s="5" t="s">
        <v>201</v>
      </c>
      <c r="C110" s="12">
        <v>44348</v>
      </c>
      <c r="D110" s="5">
        <v>248</v>
      </c>
      <c r="E110" s="5" t="s">
        <v>41</v>
      </c>
      <c r="F110" s="5" t="s">
        <v>22</v>
      </c>
    </row>
    <row r="111" spans="1:6" ht="19">
      <c r="A111" s="4"/>
    </row>
    <row r="112" spans="1:6">
      <c r="A112" s="5" t="s">
        <v>202</v>
      </c>
      <c r="B112" s="5" t="s">
        <v>203</v>
      </c>
      <c r="C112" s="12">
        <v>44348</v>
      </c>
      <c r="D112" s="5">
        <v>184</v>
      </c>
      <c r="E112" s="5" t="s">
        <v>41</v>
      </c>
      <c r="F112" s="5" t="s">
        <v>28</v>
      </c>
    </row>
    <row r="113" spans="1:6" ht="19">
      <c r="A113" s="4"/>
    </row>
    <row r="114" spans="1:6">
      <c r="A114" s="5" t="s">
        <v>204</v>
      </c>
      <c r="B114" s="5" t="s">
        <v>205</v>
      </c>
      <c r="C114" s="12">
        <v>44348</v>
      </c>
      <c r="D114" s="5">
        <v>263</v>
      </c>
      <c r="E114" s="5" t="s">
        <v>41</v>
      </c>
      <c r="F114" s="5" t="s">
        <v>7</v>
      </c>
    </row>
    <row r="115" spans="1:6" ht="19">
      <c r="A115" s="4"/>
    </row>
    <row r="116" spans="1:6">
      <c r="A116" s="5" t="s">
        <v>72</v>
      </c>
      <c r="B116" s="5" t="s">
        <v>206</v>
      </c>
      <c r="C116" s="12">
        <v>44348</v>
      </c>
      <c r="D116" s="5">
        <v>262</v>
      </c>
      <c r="E116" s="5" t="s">
        <v>41</v>
      </c>
      <c r="F116" s="5" t="s">
        <v>25</v>
      </c>
    </row>
    <row r="117" spans="1:6" ht="19">
      <c r="A117" s="4"/>
    </row>
    <row r="118" spans="1:6">
      <c r="A118" s="5" t="s">
        <v>73</v>
      </c>
      <c r="B118" s="5" t="s">
        <v>206</v>
      </c>
      <c r="C118" s="12">
        <v>44348</v>
      </c>
      <c r="D118" s="5">
        <v>262</v>
      </c>
      <c r="E118" s="5" t="s">
        <v>41</v>
      </c>
      <c r="F118" s="5" t="s">
        <v>25</v>
      </c>
    </row>
    <row r="119" spans="1:6" ht="19">
      <c r="A119" s="4"/>
    </row>
    <row r="120" spans="1:6">
      <c r="A120" s="5" t="s">
        <v>74</v>
      </c>
      <c r="B120" s="5" t="s">
        <v>207</v>
      </c>
      <c r="C120" s="12">
        <v>44348</v>
      </c>
      <c r="D120" s="5">
        <v>209</v>
      </c>
      <c r="E120" s="5" t="s">
        <v>41</v>
      </c>
      <c r="F120" s="5" t="s">
        <v>25</v>
      </c>
    </row>
    <row r="121" spans="1:6" ht="19">
      <c r="A121" s="4"/>
    </row>
    <row r="122" spans="1:6">
      <c r="A122" s="5" t="s">
        <v>75</v>
      </c>
      <c r="B122" s="5" t="s">
        <v>208</v>
      </c>
      <c r="C122" s="12">
        <v>44348</v>
      </c>
      <c r="D122" s="5">
        <v>185</v>
      </c>
      <c r="E122" s="5" t="s">
        <v>41</v>
      </c>
      <c r="F122" s="5" t="s">
        <v>30</v>
      </c>
    </row>
    <row r="123" spans="1:6" ht="19">
      <c r="A123" s="4"/>
    </row>
    <row r="124" spans="1:6">
      <c r="A124" s="5" t="s">
        <v>76</v>
      </c>
      <c r="B124" s="5" t="s">
        <v>209</v>
      </c>
      <c r="C124" s="12">
        <v>44348</v>
      </c>
      <c r="D124" s="5">
        <v>337</v>
      </c>
      <c r="E124" s="5" t="s">
        <v>41</v>
      </c>
      <c r="F124" s="5" t="s">
        <v>22</v>
      </c>
    </row>
    <row r="125" spans="1:6" ht="19">
      <c r="A125" s="4"/>
    </row>
    <row r="126" spans="1:6">
      <c r="A126" s="5" t="s">
        <v>77</v>
      </c>
      <c r="B126" s="5" t="s">
        <v>210</v>
      </c>
      <c r="C126" s="12">
        <v>44348</v>
      </c>
      <c r="D126" s="5">
        <v>174</v>
      </c>
      <c r="E126" s="5" t="s">
        <v>41</v>
      </c>
      <c r="F126" s="5" t="s">
        <v>27</v>
      </c>
    </row>
    <row r="127" spans="1:6" ht="19">
      <c r="A127" s="4"/>
    </row>
    <row r="128" spans="1:6">
      <c r="A128" s="5" t="s">
        <v>78</v>
      </c>
      <c r="B128" s="5" t="s">
        <v>211</v>
      </c>
      <c r="C128" s="12">
        <v>44348</v>
      </c>
      <c r="D128" s="5">
        <v>183</v>
      </c>
      <c r="E128" s="5" t="s">
        <v>41</v>
      </c>
      <c r="F128" s="5" t="s">
        <v>30</v>
      </c>
    </row>
    <row r="129" spans="1:6" ht="19">
      <c r="A129" s="4"/>
    </row>
    <row r="130" spans="1:6">
      <c r="A130" s="5" t="s">
        <v>79</v>
      </c>
      <c r="B130" s="5" t="s">
        <v>212</v>
      </c>
      <c r="C130" s="12">
        <v>44348</v>
      </c>
      <c r="D130" s="5">
        <v>174</v>
      </c>
      <c r="E130" s="5" t="s">
        <v>41</v>
      </c>
      <c r="F130" s="5" t="s">
        <v>9</v>
      </c>
    </row>
    <row r="131" spans="1:6" ht="19">
      <c r="A131" s="4"/>
    </row>
    <row r="132" spans="1:6">
      <c r="A132" s="5" t="s">
        <v>80</v>
      </c>
      <c r="B132" s="5" t="s">
        <v>203</v>
      </c>
      <c r="C132" s="12">
        <v>44348</v>
      </c>
      <c r="D132" s="5">
        <v>184</v>
      </c>
      <c r="E132" s="5" t="s">
        <v>41</v>
      </c>
      <c r="F132" s="5" t="s">
        <v>28</v>
      </c>
    </row>
    <row r="133" spans="1:6" ht="19">
      <c r="A133" s="4"/>
    </row>
    <row r="134" spans="1:6">
      <c r="A134" s="5" t="s">
        <v>81</v>
      </c>
      <c r="B134" s="5" t="s">
        <v>144</v>
      </c>
      <c r="C134" s="12">
        <v>44348</v>
      </c>
      <c r="D134" s="5">
        <v>179</v>
      </c>
      <c r="E134" s="5" t="s">
        <v>41</v>
      </c>
      <c r="F134" s="5" t="s">
        <v>22</v>
      </c>
    </row>
    <row r="135" spans="1:6" ht="19">
      <c r="A135" s="4"/>
    </row>
    <row r="136" spans="1:6">
      <c r="A136" s="5" t="s">
        <v>82</v>
      </c>
      <c r="B136" s="5" t="s">
        <v>213</v>
      </c>
      <c r="C136" s="12">
        <v>44348</v>
      </c>
      <c r="D136" s="5">
        <v>182</v>
      </c>
      <c r="E136" s="5" t="s">
        <v>41</v>
      </c>
      <c r="F136" s="5" t="s">
        <v>27</v>
      </c>
    </row>
    <row r="137" spans="1:6" ht="19">
      <c r="A137" s="4"/>
    </row>
    <row r="138" spans="1:6">
      <c r="A138" s="5" t="s">
        <v>83</v>
      </c>
      <c r="B138" s="5" t="s">
        <v>214</v>
      </c>
      <c r="C138" s="12">
        <v>44348</v>
      </c>
      <c r="D138" s="5">
        <v>248</v>
      </c>
      <c r="E138" s="5" t="s">
        <v>41</v>
      </c>
      <c r="F138" s="5" t="s">
        <v>23</v>
      </c>
    </row>
    <row r="139" spans="1:6" ht="19">
      <c r="A139" s="4"/>
    </row>
    <row r="140" spans="1:6">
      <c r="A140" s="5" t="s">
        <v>215</v>
      </c>
      <c r="B140" s="5" t="s">
        <v>216</v>
      </c>
      <c r="C140" s="12">
        <v>44348</v>
      </c>
      <c r="D140" s="5">
        <v>178</v>
      </c>
      <c r="E140" s="5" t="s">
        <v>41</v>
      </c>
      <c r="F140" s="5" t="s">
        <v>22</v>
      </c>
    </row>
    <row r="141" spans="1:6" ht="19">
      <c r="A141" s="4"/>
    </row>
    <row r="142" spans="1:6">
      <c r="A142" s="5" t="s">
        <v>84</v>
      </c>
      <c r="B142" s="5" t="s">
        <v>217</v>
      </c>
      <c r="C142" s="12">
        <v>44348</v>
      </c>
      <c r="D142" s="5">
        <v>176</v>
      </c>
      <c r="E142" s="5" t="s">
        <v>41</v>
      </c>
      <c r="F142" s="5" t="s">
        <v>85</v>
      </c>
    </row>
    <row r="143" spans="1:6" ht="19">
      <c r="A143" s="4"/>
    </row>
    <row r="144" spans="1:6">
      <c r="A144" s="5" t="s">
        <v>86</v>
      </c>
      <c r="B144" s="5" t="s">
        <v>218</v>
      </c>
      <c r="C144" s="12">
        <v>44348</v>
      </c>
      <c r="D144" s="5">
        <v>180</v>
      </c>
      <c r="E144" s="5" t="s">
        <v>41</v>
      </c>
      <c r="F144" s="5" t="s">
        <v>5</v>
      </c>
    </row>
    <row r="145" spans="1:6" ht="19">
      <c r="A145" s="4"/>
    </row>
    <row r="146" spans="1:6">
      <c r="A146" s="5" t="s">
        <v>87</v>
      </c>
      <c r="B146" s="5" t="s">
        <v>219</v>
      </c>
      <c r="C146" s="12">
        <v>44348</v>
      </c>
      <c r="D146" s="5">
        <v>183</v>
      </c>
      <c r="E146" s="5" t="s">
        <v>41</v>
      </c>
      <c r="F146" s="5" t="s">
        <v>26</v>
      </c>
    </row>
    <row r="147" spans="1:6" ht="19">
      <c r="A147" s="4"/>
    </row>
    <row r="148" spans="1:6">
      <c r="A148" s="5" t="s">
        <v>220</v>
      </c>
      <c r="B148" s="5" t="s">
        <v>150</v>
      </c>
      <c r="C148" s="12">
        <v>44348</v>
      </c>
      <c r="D148" s="5">
        <v>263</v>
      </c>
      <c r="E148" s="5" t="s">
        <v>41</v>
      </c>
      <c r="F148" s="5" t="s">
        <v>22</v>
      </c>
    </row>
    <row r="149" spans="1:6" ht="19">
      <c r="A149" s="4"/>
    </row>
    <row r="150" spans="1:6">
      <c r="A150" s="5" t="s">
        <v>221</v>
      </c>
      <c r="B150" s="5" t="s">
        <v>222</v>
      </c>
      <c r="C150" s="12">
        <v>44348</v>
      </c>
      <c r="D150" s="5">
        <v>184</v>
      </c>
      <c r="E150" s="5" t="s">
        <v>41</v>
      </c>
      <c r="F150" s="5" t="s">
        <v>23</v>
      </c>
    </row>
    <row r="151" spans="1:6" ht="19">
      <c r="A151" s="4"/>
    </row>
    <row r="152" spans="1:6">
      <c r="A152" s="5" t="s">
        <v>223</v>
      </c>
      <c r="B152" s="5" t="s">
        <v>222</v>
      </c>
      <c r="C152" s="12">
        <v>44348</v>
      </c>
      <c r="D152" s="5">
        <v>184</v>
      </c>
      <c r="E152" s="5" t="s">
        <v>41</v>
      </c>
      <c r="F152" s="5" t="s">
        <v>131</v>
      </c>
    </row>
    <row r="153" spans="1:6" ht="19">
      <c r="A153" s="4"/>
    </row>
    <row r="154" spans="1:6">
      <c r="A154" s="5" t="s">
        <v>88</v>
      </c>
      <c r="B154" s="5" t="s">
        <v>224</v>
      </c>
      <c r="C154" s="12">
        <v>44348</v>
      </c>
      <c r="D154" s="5">
        <v>339</v>
      </c>
      <c r="E154" s="5" t="s">
        <v>41</v>
      </c>
      <c r="F154" s="5" t="s">
        <v>8</v>
      </c>
    </row>
    <row r="155" spans="1:6" ht="19">
      <c r="A155" s="4"/>
    </row>
    <row r="156" spans="1:6">
      <c r="A156" s="5" t="s">
        <v>89</v>
      </c>
      <c r="B156" s="5" t="s">
        <v>154</v>
      </c>
      <c r="C156" s="12">
        <v>44348</v>
      </c>
      <c r="D156" s="5">
        <v>182</v>
      </c>
      <c r="E156" s="5" t="s">
        <v>41</v>
      </c>
      <c r="F156" s="5" t="s">
        <v>22</v>
      </c>
    </row>
    <row r="157" spans="1:6" ht="19">
      <c r="A157" s="4"/>
    </row>
    <row r="158" spans="1:6">
      <c r="A158" s="5" t="s">
        <v>90</v>
      </c>
      <c r="B158" s="5" t="s">
        <v>225</v>
      </c>
      <c r="C158" s="12">
        <v>44348</v>
      </c>
      <c r="D158" s="5">
        <v>209</v>
      </c>
      <c r="E158" s="5" t="s">
        <v>41</v>
      </c>
      <c r="F158" s="5" t="s">
        <v>22</v>
      </c>
    </row>
    <row r="159" spans="1:6" ht="19">
      <c r="A159" s="4"/>
    </row>
    <row r="160" spans="1:6">
      <c r="A160" s="5" t="s">
        <v>91</v>
      </c>
      <c r="B160" s="5" t="s">
        <v>226</v>
      </c>
      <c r="C160" s="12">
        <v>44348</v>
      </c>
      <c r="D160" s="5">
        <v>177</v>
      </c>
      <c r="E160" s="5" t="s">
        <v>41</v>
      </c>
      <c r="F160" s="5" t="s">
        <v>8</v>
      </c>
    </row>
    <row r="161" spans="1:6" ht="19">
      <c r="A161" s="4"/>
    </row>
    <row r="162" spans="1:6">
      <c r="A162" s="5" t="s">
        <v>92</v>
      </c>
      <c r="B162" s="5" t="s">
        <v>227</v>
      </c>
      <c r="C162" s="12">
        <v>44348</v>
      </c>
      <c r="D162" s="5">
        <v>208</v>
      </c>
      <c r="E162" s="5" t="s">
        <v>41</v>
      </c>
      <c r="F162" s="5" t="s">
        <v>30</v>
      </c>
    </row>
    <row r="163" spans="1:6" ht="19">
      <c r="A163" s="4"/>
    </row>
    <row r="164" spans="1:6">
      <c r="A164" s="5" t="s">
        <v>93</v>
      </c>
      <c r="B164" s="5" t="s">
        <v>227</v>
      </c>
      <c r="C164" s="12">
        <v>44348</v>
      </c>
      <c r="D164" s="5">
        <v>208</v>
      </c>
      <c r="E164" s="5" t="s">
        <v>41</v>
      </c>
      <c r="F164" s="5" t="s">
        <v>24</v>
      </c>
    </row>
    <row r="165" spans="1:6" ht="19">
      <c r="A165" s="4"/>
    </row>
    <row r="166" spans="1:6">
      <c r="A166" s="5" t="s">
        <v>94</v>
      </c>
      <c r="B166" s="5" t="s">
        <v>227</v>
      </c>
      <c r="C166" s="12">
        <v>44348</v>
      </c>
      <c r="D166" s="5">
        <v>208</v>
      </c>
      <c r="E166" s="5" t="s">
        <v>41</v>
      </c>
      <c r="F166" s="5" t="s">
        <v>27</v>
      </c>
    </row>
    <row r="167" spans="1:6" ht="19">
      <c r="A167" s="4"/>
    </row>
    <row r="168" spans="1:6">
      <c r="A168" s="5" t="s">
        <v>95</v>
      </c>
      <c r="B168" s="5" t="s">
        <v>161</v>
      </c>
      <c r="C168" s="12">
        <v>44348</v>
      </c>
      <c r="D168" s="5">
        <v>179</v>
      </c>
      <c r="E168" s="5" t="s">
        <v>41</v>
      </c>
      <c r="F168" s="5" t="s">
        <v>9</v>
      </c>
    </row>
    <row r="169" spans="1:6" ht="19">
      <c r="A169" s="4"/>
    </row>
    <row r="170" spans="1:6">
      <c r="A170" s="5" t="s">
        <v>96</v>
      </c>
      <c r="B170" s="5" t="s">
        <v>228</v>
      </c>
      <c r="C170" s="12">
        <v>44348</v>
      </c>
      <c r="D170" s="5">
        <v>338</v>
      </c>
      <c r="E170" s="5" t="s">
        <v>41</v>
      </c>
      <c r="F170" s="5" t="s">
        <v>34</v>
      </c>
    </row>
    <row r="171" spans="1:6" ht="19">
      <c r="A171" s="4"/>
    </row>
    <row r="172" spans="1:6">
      <c r="A172" s="5" t="s">
        <v>97</v>
      </c>
      <c r="B172" s="5" t="s">
        <v>162</v>
      </c>
      <c r="C172" s="12">
        <v>44348</v>
      </c>
      <c r="D172" s="5">
        <v>176</v>
      </c>
      <c r="E172" s="5" t="s">
        <v>41</v>
      </c>
      <c r="F172" s="5" t="s">
        <v>24</v>
      </c>
    </row>
    <row r="173" spans="1:6" ht="19">
      <c r="A173" s="4"/>
    </row>
    <row r="174" spans="1:6">
      <c r="A174" s="5" t="s">
        <v>98</v>
      </c>
      <c r="B174" s="5" t="s">
        <v>229</v>
      </c>
      <c r="C174" s="12">
        <v>44348</v>
      </c>
      <c r="D174" s="5">
        <v>228</v>
      </c>
      <c r="E174" s="5" t="s">
        <v>41</v>
      </c>
      <c r="F174" s="5" t="s">
        <v>27</v>
      </c>
    </row>
    <row r="175" spans="1:6" ht="19">
      <c r="A175" s="4"/>
    </row>
    <row r="176" spans="1:6">
      <c r="A176" s="5" t="s">
        <v>99</v>
      </c>
      <c r="B176" s="5" t="s">
        <v>229</v>
      </c>
      <c r="C176" s="12">
        <v>44348</v>
      </c>
      <c r="D176" s="5">
        <v>228</v>
      </c>
      <c r="E176" s="5" t="s">
        <v>41</v>
      </c>
      <c r="F176" s="5" t="s">
        <v>9</v>
      </c>
    </row>
    <row r="177" spans="1:6" ht="19">
      <c r="A177" s="4"/>
    </row>
    <row r="178" spans="1:6">
      <c r="A178" s="5" t="s">
        <v>100</v>
      </c>
      <c r="B178" s="5" t="s">
        <v>229</v>
      </c>
      <c r="C178" s="12">
        <v>44348</v>
      </c>
      <c r="D178" s="5">
        <v>228</v>
      </c>
      <c r="E178" s="5" t="s">
        <v>41</v>
      </c>
      <c r="F178" s="5" t="s">
        <v>101</v>
      </c>
    </row>
    <row r="179" spans="1:6" ht="19">
      <c r="A179" s="4"/>
    </row>
    <row r="180" spans="1:6">
      <c r="A180" s="5" t="s">
        <v>102</v>
      </c>
      <c r="B180" s="5" t="s">
        <v>230</v>
      </c>
      <c r="C180" s="12">
        <v>44348</v>
      </c>
      <c r="D180" s="5">
        <v>179</v>
      </c>
      <c r="E180" s="5" t="s">
        <v>41</v>
      </c>
      <c r="F180" s="5" t="s">
        <v>85</v>
      </c>
    </row>
    <row r="181" spans="1:6" ht="19">
      <c r="A181" s="4"/>
    </row>
    <row r="182" spans="1:6">
      <c r="A182" s="5" t="s">
        <v>103</v>
      </c>
      <c r="B182" s="5" t="s">
        <v>231</v>
      </c>
      <c r="C182" s="12">
        <v>44348</v>
      </c>
      <c r="D182" s="5">
        <v>230</v>
      </c>
      <c r="E182" s="5" t="s">
        <v>41</v>
      </c>
      <c r="F182" s="5" t="s">
        <v>25</v>
      </c>
    </row>
    <row r="183" spans="1:6" ht="19">
      <c r="A183" s="4"/>
    </row>
    <row r="184" spans="1:6">
      <c r="A184" s="5" t="s">
        <v>104</v>
      </c>
      <c r="B184" s="5" t="s">
        <v>232</v>
      </c>
      <c r="C184" s="12">
        <v>44348</v>
      </c>
      <c r="D184" s="5">
        <v>262</v>
      </c>
      <c r="E184" s="5" t="s">
        <v>41</v>
      </c>
      <c r="F184" s="5" t="s">
        <v>20</v>
      </c>
    </row>
    <row r="185" spans="1:6" ht="19">
      <c r="A185" s="4"/>
    </row>
    <row r="186" spans="1:6">
      <c r="A186" s="5" t="s">
        <v>105</v>
      </c>
      <c r="B186" s="5" t="s">
        <v>233</v>
      </c>
      <c r="C186" s="12">
        <v>44348</v>
      </c>
      <c r="D186" s="5">
        <v>339</v>
      </c>
      <c r="E186" s="5" t="s">
        <v>41</v>
      </c>
      <c r="F186" s="5" t="s">
        <v>106</v>
      </c>
    </row>
    <row r="187" spans="1:6" ht="19">
      <c r="A187" s="4"/>
    </row>
    <row r="188" spans="1:6">
      <c r="A188" s="5" t="s">
        <v>107</v>
      </c>
      <c r="B188" s="5" t="s">
        <v>234</v>
      </c>
      <c r="C188" s="12">
        <v>44348</v>
      </c>
      <c r="D188" s="5">
        <v>177</v>
      </c>
      <c r="E188" s="5" t="s">
        <v>41</v>
      </c>
      <c r="F188" s="5" t="s">
        <v>108</v>
      </c>
    </row>
    <row r="189" spans="1:6" ht="19">
      <c r="A189" s="4"/>
    </row>
    <row r="190" spans="1:6">
      <c r="A190" s="5" t="s">
        <v>109</v>
      </c>
      <c r="B190" s="5" t="s">
        <v>235</v>
      </c>
      <c r="C190" s="12">
        <v>44348</v>
      </c>
      <c r="D190" s="5">
        <v>176</v>
      </c>
      <c r="E190" s="5" t="s">
        <v>41</v>
      </c>
      <c r="F190" s="5" t="s">
        <v>6</v>
      </c>
    </row>
    <row r="191" spans="1:6" ht="19">
      <c r="A191" s="4"/>
    </row>
    <row r="192" spans="1:6">
      <c r="A192" s="5" t="s">
        <v>110</v>
      </c>
      <c r="B192" s="5" t="s">
        <v>236</v>
      </c>
      <c r="C192" s="12">
        <v>44348</v>
      </c>
      <c r="D192" s="5">
        <v>180</v>
      </c>
      <c r="E192" s="5" t="s">
        <v>41</v>
      </c>
      <c r="F192" s="5" t="s">
        <v>111</v>
      </c>
    </row>
    <row r="193" spans="1:6" ht="19">
      <c r="A193" s="4"/>
    </row>
    <row r="194" spans="1:6">
      <c r="A194" s="5" t="s">
        <v>112</v>
      </c>
      <c r="B194" s="5" t="s">
        <v>237</v>
      </c>
      <c r="C194" s="12">
        <v>44348</v>
      </c>
      <c r="D194" s="5">
        <v>180</v>
      </c>
      <c r="E194" s="5" t="s">
        <v>41</v>
      </c>
      <c r="F194" s="5" t="s">
        <v>111</v>
      </c>
    </row>
    <row r="195" spans="1:6" ht="19">
      <c r="A195" s="4"/>
    </row>
    <row r="196" spans="1:6">
      <c r="A196" s="5" t="s">
        <v>113</v>
      </c>
      <c r="B196" s="5" t="s">
        <v>238</v>
      </c>
      <c r="C196" s="12">
        <v>44348</v>
      </c>
      <c r="D196" s="5">
        <v>184</v>
      </c>
      <c r="E196" s="5" t="s">
        <v>41</v>
      </c>
      <c r="F196" s="5" t="s">
        <v>101</v>
      </c>
    </row>
    <row r="197" spans="1:6" ht="19">
      <c r="A197" s="4"/>
    </row>
    <row r="198" spans="1:6">
      <c r="A198" s="5" t="s">
        <v>114</v>
      </c>
      <c r="B198" s="5" t="s">
        <v>239</v>
      </c>
      <c r="C198" s="12">
        <v>44348</v>
      </c>
      <c r="D198" s="5">
        <v>174</v>
      </c>
      <c r="E198" s="5" t="s">
        <v>41</v>
      </c>
      <c r="F198" s="5" t="s">
        <v>115</v>
      </c>
    </row>
    <row r="199" spans="1:6" ht="19">
      <c r="A199" s="4"/>
    </row>
    <row r="200" spans="1:6">
      <c r="A200" s="5" t="s">
        <v>116</v>
      </c>
      <c r="B200" s="5" t="s">
        <v>240</v>
      </c>
      <c r="C200" s="12">
        <v>44348</v>
      </c>
      <c r="D200" s="5">
        <v>230</v>
      </c>
      <c r="E200" s="5" t="s">
        <v>41</v>
      </c>
      <c r="F200" s="5" t="s">
        <v>25</v>
      </c>
    </row>
    <row r="201" spans="1:6" ht="19">
      <c r="A201" s="4"/>
    </row>
    <row r="202" spans="1:6">
      <c r="A202" s="5" t="s">
        <v>117</v>
      </c>
      <c r="B202" s="5" t="s">
        <v>241</v>
      </c>
      <c r="C202" s="12">
        <v>44348</v>
      </c>
      <c r="D202" s="5">
        <v>262</v>
      </c>
      <c r="E202" s="5" t="s">
        <v>41</v>
      </c>
      <c r="F202" s="5" t="s">
        <v>21</v>
      </c>
    </row>
    <row r="203" spans="1:6" ht="19">
      <c r="A203" s="4"/>
    </row>
    <row r="204" spans="1:6">
      <c r="A204" s="5" t="s">
        <v>118</v>
      </c>
      <c r="B204" s="5" t="s">
        <v>242</v>
      </c>
      <c r="C204" s="12">
        <v>44348</v>
      </c>
      <c r="D204" s="5">
        <v>263</v>
      </c>
      <c r="E204" s="5" t="s">
        <v>41</v>
      </c>
      <c r="F204" s="5" t="s">
        <v>119</v>
      </c>
    </row>
    <row r="205" spans="1:6" ht="19">
      <c r="A205" s="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79592-D5BF-0C43-9E01-0437DC9C6826}">
  <sheetPr codeName="Sheet2"/>
  <dimension ref="B1:G399"/>
  <sheetViews>
    <sheetView tabSelected="1" zoomScaleNormal="100"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N4" sqref="N4"/>
    </sheetView>
  </sheetViews>
  <sheetFormatPr baseColWidth="10" defaultRowHeight="16"/>
  <cols>
    <col min="1" max="1" width="3" customWidth="1"/>
    <col min="2" max="2" width="14.83203125" bestFit="1" customWidth="1"/>
    <col min="3" max="3" width="49.6640625" bestFit="1" customWidth="1"/>
    <col min="4" max="4" width="11.1640625" bestFit="1" customWidth="1"/>
    <col min="5" max="5" width="10.83203125" style="6" bestFit="1" customWidth="1"/>
    <col min="6" max="6" width="13.6640625" bestFit="1" customWidth="1"/>
    <col min="7" max="7" width="45.1640625" bestFit="1" customWidth="1"/>
    <col min="8" max="8" width="3.5" customWidth="1"/>
    <col min="9" max="9" width="11.6640625" customWidth="1"/>
  </cols>
  <sheetData>
    <row r="1" spans="2:7">
      <c r="E1"/>
    </row>
    <row r="2" spans="2:7">
      <c r="B2" s="2" t="s">
        <v>0</v>
      </c>
      <c r="C2" s="2" t="s">
        <v>1</v>
      </c>
      <c r="D2" s="2" t="s">
        <v>2</v>
      </c>
      <c r="E2" s="2" t="s">
        <v>3</v>
      </c>
      <c r="F2" s="2" t="s">
        <v>39</v>
      </c>
      <c r="G2" s="2" t="s">
        <v>4</v>
      </c>
    </row>
    <row r="3" spans="2:7">
      <c r="B3" t="s">
        <v>134</v>
      </c>
      <c r="C3" t="s">
        <v>135</v>
      </c>
      <c r="D3" s="1">
        <v>44348</v>
      </c>
      <c r="E3" s="6">
        <v>7</v>
      </c>
      <c r="F3" t="s">
        <v>41</v>
      </c>
      <c r="G3" s="1" t="s">
        <v>13</v>
      </c>
    </row>
    <row r="4" spans="2:7">
      <c r="B4" t="s">
        <v>136</v>
      </c>
      <c r="C4" t="s">
        <v>137</v>
      </c>
      <c r="D4" s="1">
        <v>44348</v>
      </c>
      <c r="E4" s="6">
        <v>15</v>
      </c>
      <c r="F4" t="s">
        <v>41</v>
      </c>
      <c r="G4" s="1" t="s">
        <v>13</v>
      </c>
    </row>
    <row r="5" spans="2:7">
      <c r="B5" t="s">
        <v>138</v>
      </c>
      <c r="C5" s="1" t="s">
        <v>139</v>
      </c>
      <c r="D5" s="1">
        <v>44348</v>
      </c>
      <c r="E5" s="6">
        <v>5</v>
      </c>
      <c r="F5" t="s">
        <v>41</v>
      </c>
      <c r="G5" s="1" t="s">
        <v>127</v>
      </c>
    </row>
    <row r="6" spans="2:7">
      <c r="B6" t="s">
        <v>140</v>
      </c>
      <c r="C6" t="s">
        <v>141</v>
      </c>
      <c r="D6" s="1">
        <v>44348</v>
      </c>
      <c r="E6" s="6">
        <v>12</v>
      </c>
      <c r="F6" t="s">
        <v>41</v>
      </c>
      <c r="G6" s="1" t="s">
        <v>36</v>
      </c>
    </row>
    <row r="7" spans="2:7">
      <c r="B7" t="s">
        <v>40</v>
      </c>
      <c r="C7" t="s">
        <v>142</v>
      </c>
      <c r="D7" s="1">
        <v>44348</v>
      </c>
      <c r="E7" s="6">
        <v>9</v>
      </c>
      <c r="F7" t="s">
        <v>41</v>
      </c>
      <c r="G7" s="1" t="s">
        <v>19</v>
      </c>
    </row>
    <row r="8" spans="2:7">
      <c r="B8" t="s">
        <v>42</v>
      </c>
      <c r="C8" t="s">
        <v>143</v>
      </c>
      <c r="D8" s="1">
        <v>44348</v>
      </c>
      <c r="E8" s="6">
        <v>1</v>
      </c>
      <c r="F8" t="s">
        <v>41</v>
      </c>
      <c r="G8" s="1" t="s">
        <v>14</v>
      </c>
    </row>
    <row r="9" spans="2:7">
      <c r="B9" t="s">
        <v>43</v>
      </c>
      <c r="C9" t="s">
        <v>144</v>
      </c>
      <c r="D9" s="1">
        <v>44348</v>
      </c>
      <c r="E9" s="6">
        <v>8</v>
      </c>
      <c r="F9" t="s">
        <v>41</v>
      </c>
      <c r="G9" s="1" t="s">
        <v>14</v>
      </c>
    </row>
    <row r="10" spans="2:7">
      <c r="B10" t="s">
        <v>145</v>
      </c>
      <c r="C10" t="s">
        <v>146</v>
      </c>
      <c r="D10" s="1">
        <v>44348</v>
      </c>
      <c r="E10" s="6">
        <v>7</v>
      </c>
      <c r="F10" t="s">
        <v>41</v>
      </c>
      <c r="G10" s="1" t="s">
        <v>14</v>
      </c>
    </row>
    <row r="11" spans="2:7">
      <c r="B11" t="s">
        <v>147</v>
      </c>
      <c r="C11" t="s">
        <v>146</v>
      </c>
      <c r="D11" s="1">
        <v>44348</v>
      </c>
      <c r="E11" s="6">
        <v>7</v>
      </c>
      <c r="F11" t="s">
        <v>41</v>
      </c>
      <c r="G11" s="1" t="s">
        <v>19</v>
      </c>
    </row>
    <row r="12" spans="2:7">
      <c r="B12" t="s">
        <v>44</v>
      </c>
      <c r="C12" s="1" t="s">
        <v>148</v>
      </c>
      <c r="D12" s="1">
        <v>44348</v>
      </c>
      <c r="E12" s="6">
        <v>3</v>
      </c>
      <c r="F12" t="s">
        <v>41</v>
      </c>
      <c r="G12" s="1" t="s">
        <v>19</v>
      </c>
    </row>
    <row r="13" spans="2:7">
      <c r="B13" t="s">
        <v>149</v>
      </c>
      <c r="C13" t="s">
        <v>150</v>
      </c>
      <c r="D13" s="1">
        <v>44348</v>
      </c>
      <c r="E13" s="6">
        <v>16</v>
      </c>
      <c r="F13" t="s">
        <v>41</v>
      </c>
      <c r="G13" s="1" t="s">
        <v>17</v>
      </c>
    </row>
    <row r="14" spans="2:7">
      <c r="B14" t="s">
        <v>45</v>
      </c>
      <c r="C14" s="1" t="s">
        <v>151</v>
      </c>
      <c r="D14" s="1">
        <v>44348</v>
      </c>
      <c r="E14" s="6">
        <v>15</v>
      </c>
      <c r="F14" t="s">
        <v>41</v>
      </c>
      <c r="G14" s="1" t="s">
        <v>16</v>
      </c>
    </row>
    <row r="15" spans="2:7">
      <c r="B15" t="s">
        <v>46</v>
      </c>
      <c r="C15" t="s">
        <v>152</v>
      </c>
      <c r="D15" s="1">
        <v>44348</v>
      </c>
      <c r="E15" s="6">
        <v>11</v>
      </c>
      <c r="F15" t="s">
        <v>41</v>
      </c>
      <c r="G15" s="1" t="s">
        <v>10</v>
      </c>
    </row>
    <row r="16" spans="2:7">
      <c r="B16" t="s">
        <v>47</v>
      </c>
      <c r="C16" t="s">
        <v>153</v>
      </c>
      <c r="D16" s="1">
        <v>44348</v>
      </c>
      <c r="E16" s="6">
        <v>10</v>
      </c>
      <c r="F16" t="s">
        <v>41</v>
      </c>
      <c r="G16" s="1" t="s">
        <v>33</v>
      </c>
    </row>
    <row r="17" spans="2:7">
      <c r="B17" t="s">
        <v>48</v>
      </c>
      <c r="C17" s="1" t="s">
        <v>154</v>
      </c>
      <c r="D17" s="1">
        <v>44348</v>
      </c>
      <c r="E17" s="6">
        <v>9</v>
      </c>
      <c r="F17" t="s">
        <v>41</v>
      </c>
      <c r="G17" s="1" t="s">
        <v>12</v>
      </c>
    </row>
    <row r="18" spans="2:7">
      <c r="B18" t="s">
        <v>49</v>
      </c>
      <c r="C18" t="s">
        <v>155</v>
      </c>
      <c r="D18" s="1">
        <v>44348</v>
      </c>
      <c r="E18" s="6">
        <v>8</v>
      </c>
      <c r="F18" t="s">
        <v>41</v>
      </c>
      <c r="G18" s="1" t="s">
        <v>19</v>
      </c>
    </row>
    <row r="19" spans="2:7">
      <c r="B19" t="s">
        <v>50</v>
      </c>
      <c r="C19" t="s">
        <v>155</v>
      </c>
      <c r="D19" s="1">
        <v>44348</v>
      </c>
      <c r="E19" s="6">
        <v>8</v>
      </c>
      <c r="F19" t="s">
        <v>41</v>
      </c>
      <c r="G19" s="1" t="s">
        <v>32</v>
      </c>
    </row>
    <row r="20" spans="2:7">
      <c r="B20" t="s">
        <v>51</v>
      </c>
      <c r="C20" t="s">
        <v>156</v>
      </c>
      <c r="D20" s="1">
        <v>44348</v>
      </c>
      <c r="E20" s="6">
        <v>6</v>
      </c>
      <c r="F20" t="s">
        <v>41</v>
      </c>
      <c r="G20" s="1" t="s">
        <v>10</v>
      </c>
    </row>
    <row r="21" spans="2:7">
      <c r="B21" t="s">
        <v>157</v>
      </c>
      <c r="C21" t="s">
        <v>158</v>
      </c>
      <c r="D21" s="1">
        <v>44348</v>
      </c>
      <c r="E21" s="6">
        <v>5</v>
      </c>
      <c r="F21" t="s">
        <v>41</v>
      </c>
      <c r="G21" s="1" t="s">
        <v>12</v>
      </c>
    </row>
    <row r="22" spans="2:7">
      <c r="B22" t="s">
        <v>52</v>
      </c>
      <c r="C22" t="s">
        <v>159</v>
      </c>
      <c r="D22" s="1">
        <v>44348</v>
      </c>
      <c r="E22" s="6">
        <v>4</v>
      </c>
      <c r="F22" t="s">
        <v>41</v>
      </c>
      <c r="G22" s="1" t="s">
        <v>36</v>
      </c>
    </row>
    <row r="23" spans="2:7">
      <c r="B23" t="s">
        <v>53</v>
      </c>
      <c r="C23" s="1" t="s">
        <v>160</v>
      </c>
      <c r="D23" s="1">
        <v>44348</v>
      </c>
      <c r="E23" s="6">
        <v>3</v>
      </c>
      <c r="F23" t="s">
        <v>41</v>
      </c>
      <c r="G23" s="1" t="s">
        <v>14</v>
      </c>
    </row>
    <row r="24" spans="2:7">
      <c r="B24" t="s">
        <v>54</v>
      </c>
      <c r="C24" s="1" t="s">
        <v>161</v>
      </c>
      <c r="D24" s="1">
        <v>44348</v>
      </c>
      <c r="E24" s="6">
        <v>1</v>
      </c>
      <c r="F24" t="s">
        <v>41</v>
      </c>
      <c r="G24" s="1" t="s">
        <v>14</v>
      </c>
    </row>
    <row r="25" spans="2:7">
      <c r="B25" t="s">
        <v>55</v>
      </c>
      <c r="C25" s="1" t="s">
        <v>162</v>
      </c>
      <c r="D25" s="1">
        <v>44348</v>
      </c>
      <c r="E25" s="6">
        <v>16</v>
      </c>
      <c r="F25" t="s">
        <v>41</v>
      </c>
      <c r="G25" s="1" t="s">
        <v>14</v>
      </c>
    </row>
    <row r="26" spans="2:7">
      <c r="B26" t="s">
        <v>56</v>
      </c>
      <c r="C26" t="s">
        <v>163</v>
      </c>
      <c r="D26" s="1">
        <v>44348</v>
      </c>
      <c r="E26" s="6">
        <v>12</v>
      </c>
      <c r="F26" t="s">
        <v>41</v>
      </c>
      <c r="G26" s="1" t="s">
        <v>31</v>
      </c>
    </row>
    <row r="27" spans="2:7">
      <c r="B27" t="s">
        <v>57</v>
      </c>
      <c r="C27" s="1" t="s">
        <v>164</v>
      </c>
      <c r="D27" s="1">
        <v>44348</v>
      </c>
      <c r="E27" s="6">
        <v>15</v>
      </c>
      <c r="F27" t="s">
        <v>41</v>
      </c>
      <c r="G27" s="1" t="s">
        <v>12</v>
      </c>
    </row>
    <row r="28" spans="2:7">
      <c r="B28" t="s">
        <v>58</v>
      </c>
      <c r="C28" t="s">
        <v>165</v>
      </c>
      <c r="D28" s="1">
        <v>44348</v>
      </c>
      <c r="E28" s="6">
        <v>14</v>
      </c>
      <c r="F28" t="s">
        <v>41</v>
      </c>
      <c r="G28" s="1" t="s">
        <v>17</v>
      </c>
    </row>
    <row r="29" spans="2:7">
      <c r="B29" t="s">
        <v>59</v>
      </c>
      <c r="C29" t="s">
        <v>165</v>
      </c>
      <c r="D29" s="1">
        <v>44348</v>
      </c>
      <c r="E29" s="6">
        <v>14</v>
      </c>
      <c r="F29" t="s">
        <v>41</v>
      </c>
      <c r="G29" s="1" t="s">
        <v>36</v>
      </c>
    </row>
    <row r="30" spans="2:7">
      <c r="B30" t="s">
        <v>60</v>
      </c>
      <c r="C30" t="s">
        <v>166</v>
      </c>
      <c r="D30" s="1">
        <v>44348</v>
      </c>
      <c r="E30" s="6">
        <v>12</v>
      </c>
      <c r="F30" t="s">
        <v>41</v>
      </c>
      <c r="G30" t="s">
        <v>31</v>
      </c>
    </row>
    <row r="31" spans="2:7">
      <c r="B31" t="s">
        <v>61</v>
      </c>
      <c r="C31" t="s">
        <v>167</v>
      </c>
      <c r="D31" s="1">
        <v>44348</v>
      </c>
      <c r="E31" s="6">
        <v>11</v>
      </c>
      <c r="F31" t="s">
        <v>41</v>
      </c>
      <c r="G31" s="1" t="s">
        <v>31</v>
      </c>
    </row>
    <row r="32" spans="2:7">
      <c r="B32" t="s">
        <v>62</v>
      </c>
      <c r="C32" s="1" t="s">
        <v>168</v>
      </c>
      <c r="D32" s="1">
        <v>44348</v>
      </c>
      <c r="E32" s="6">
        <v>10</v>
      </c>
      <c r="F32" t="s">
        <v>41</v>
      </c>
      <c r="G32" s="1" t="s">
        <v>13</v>
      </c>
    </row>
    <row r="33" spans="2:7">
      <c r="B33" t="s">
        <v>63</v>
      </c>
      <c r="C33" t="s">
        <v>169</v>
      </c>
      <c r="D33" s="1">
        <v>44348</v>
      </c>
      <c r="E33" s="6">
        <v>7</v>
      </c>
      <c r="F33" t="s">
        <v>41</v>
      </c>
      <c r="G33" s="1" t="s">
        <v>18</v>
      </c>
    </row>
    <row r="34" spans="2:7">
      <c r="B34" t="s">
        <v>64</v>
      </c>
      <c r="C34" s="1" t="s">
        <v>170</v>
      </c>
      <c r="D34" s="1">
        <v>44348</v>
      </c>
      <c r="E34" s="6">
        <v>9</v>
      </c>
      <c r="F34" t="s">
        <v>41</v>
      </c>
      <c r="G34" s="1" t="s">
        <v>18</v>
      </c>
    </row>
    <row r="35" spans="2:7">
      <c r="B35" t="s">
        <v>65</v>
      </c>
      <c r="C35" t="s">
        <v>171</v>
      </c>
      <c r="D35" s="1">
        <v>44348</v>
      </c>
      <c r="E35" s="6">
        <v>8</v>
      </c>
      <c r="F35" t="s">
        <v>41</v>
      </c>
      <c r="G35" s="1" t="s">
        <v>10</v>
      </c>
    </row>
    <row r="36" spans="2:7">
      <c r="B36" t="s">
        <v>66</v>
      </c>
      <c r="C36" s="1" t="s">
        <v>172</v>
      </c>
      <c r="D36" s="1">
        <v>44348</v>
      </c>
      <c r="E36" s="6">
        <v>7</v>
      </c>
      <c r="F36" t="s">
        <v>41</v>
      </c>
      <c r="G36" s="1" t="s">
        <v>14</v>
      </c>
    </row>
    <row r="37" spans="2:7">
      <c r="B37" t="s">
        <v>67</v>
      </c>
      <c r="C37" s="1" t="s">
        <v>173</v>
      </c>
      <c r="D37" s="1">
        <v>44348</v>
      </c>
      <c r="E37" s="6">
        <v>6</v>
      </c>
      <c r="F37" t="s">
        <v>41</v>
      </c>
      <c r="G37" s="1" t="s">
        <v>36</v>
      </c>
    </row>
    <row r="38" spans="2:7">
      <c r="B38" t="s">
        <v>68</v>
      </c>
      <c r="C38" s="1" t="s">
        <v>174</v>
      </c>
      <c r="D38" s="1">
        <v>44348</v>
      </c>
      <c r="E38" s="6">
        <v>5</v>
      </c>
      <c r="F38" t="s">
        <v>41</v>
      </c>
      <c r="G38" s="1" t="s">
        <v>31</v>
      </c>
    </row>
    <row r="39" spans="2:7">
      <c r="B39" t="s">
        <v>69</v>
      </c>
      <c r="C39" s="1" t="s">
        <v>175</v>
      </c>
      <c r="D39" s="1">
        <v>44348</v>
      </c>
      <c r="E39" s="6">
        <v>15</v>
      </c>
      <c r="F39" t="s">
        <v>41</v>
      </c>
      <c r="G39" s="1" t="s">
        <v>15</v>
      </c>
    </row>
    <row r="40" spans="2:7">
      <c r="B40" t="s">
        <v>176</v>
      </c>
      <c r="C40" t="s">
        <v>177</v>
      </c>
      <c r="D40" s="1">
        <v>44348</v>
      </c>
      <c r="E40" s="6">
        <v>4</v>
      </c>
      <c r="F40" t="s">
        <v>41</v>
      </c>
      <c r="G40" s="1" t="s">
        <v>128</v>
      </c>
    </row>
    <row r="41" spans="2:7">
      <c r="B41" t="s">
        <v>70</v>
      </c>
      <c r="C41" t="s">
        <v>178</v>
      </c>
      <c r="D41" s="1">
        <v>44348</v>
      </c>
      <c r="E41" s="6">
        <v>7</v>
      </c>
      <c r="F41" t="s">
        <v>41</v>
      </c>
      <c r="G41" s="1" t="s">
        <v>14</v>
      </c>
    </row>
    <row r="42" spans="2:7">
      <c r="B42" t="s">
        <v>179</v>
      </c>
      <c r="C42" t="s">
        <v>180</v>
      </c>
      <c r="D42" s="1">
        <v>44348</v>
      </c>
      <c r="E42" s="6">
        <v>9</v>
      </c>
      <c r="F42" t="s">
        <v>41</v>
      </c>
      <c r="G42" s="1" t="s">
        <v>13</v>
      </c>
    </row>
    <row r="43" spans="2:7">
      <c r="B43" t="s">
        <v>71</v>
      </c>
      <c r="C43" s="1" t="s">
        <v>181</v>
      </c>
      <c r="D43" s="1">
        <v>44348</v>
      </c>
      <c r="E43" s="6">
        <v>4</v>
      </c>
      <c r="F43" t="s">
        <v>41</v>
      </c>
      <c r="G43" s="1" t="s">
        <v>18</v>
      </c>
    </row>
    <row r="44" spans="2:7">
      <c r="B44" t="s">
        <v>244</v>
      </c>
      <c r="C44" t="s">
        <v>245</v>
      </c>
      <c r="D44" s="1">
        <v>44348</v>
      </c>
      <c r="E44" s="6">
        <v>262</v>
      </c>
      <c r="F44" t="s">
        <v>41</v>
      </c>
      <c r="G44" s="1" t="s">
        <v>246</v>
      </c>
    </row>
    <row r="45" spans="2:7">
      <c r="B45" t="s">
        <v>182</v>
      </c>
      <c r="C45" t="s">
        <v>183</v>
      </c>
      <c r="D45" s="1">
        <v>44348</v>
      </c>
      <c r="E45" s="6">
        <v>183</v>
      </c>
      <c r="F45" t="s">
        <v>41</v>
      </c>
      <c r="G45" s="1" t="s">
        <v>130</v>
      </c>
    </row>
    <row r="46" spans="2:7">
      <c r="B46" t="s">
        <v>184</v>
      </c>
      <c r="C46" t="s">
        <v>183</v>
      </c>
      <c r="D46" s="1">
        <v>44348</v>
      </c>
      <c r="E46" s="6">
        <v>183</v>
      </c>
      <c r="F46" t="s">
        <v>41</v>
      </c>
      <c r="G46" s="1" t="s">
        <v>115</v>
      </c>
    </row>
    <row r="47" spans="2:7">
      <c r="B47" t="s">
        <v>185</v>
      </c>
      <c r="C47" t="s">
        <v>186</v>
      </c>
      <c r="D47" s="1">
        <v>44348</v>
      </c>
      <c r="E47" s="6">
        <v>339</v>
      </c>
      <c r="F47" t="s">
        <v>41</v>
      </c>
      <c r="G47" s="1" t="s">
        <v>6</v>
      </c>
    </row>
    <row r="48" spans="2:7">
      <c r="B48" t="s">
        <v>187</v>
      </c>
      <c r="C48" t="s">
        <v>188</v>
      </c>
      <c r="D48" s="1">
        <v>44348</v>
      </c>
      <c r="E48" s="6">
        <v>176</v>
      </c>
      <c r="F48" t="s">
        <v>41</v>
      </c>
      <c r="G48" s="1" t="s">
        <v>129</v>
      </c>
    </row>
    <row r="49" spans="2:7">
      <c r="B49" t="s">
        <v>189</v>
      </c>
      <c r="C49" s="1" t="s">
        <v>190</v>
      </c>
      <c r="D49" s="1">
        <v>44348</v>
      </c>
      <c r="E49" s="6">
        <v>230</v>
      </c>
      <c r="F49" t="s">
        <v>41</v>
      </c>
      <c r="G49" s="1" t="s">
        <v>8</v>
      </c>
    </row>
    <row r="50" spans="2:7">
      <c r="B50" t="s">
        <v>191</v>
      </c>
      <c r="C50" s="1" t="s">
        <v>192</v>
      </c>
      <c r="D50" s="1">
        <v>44348</v>
      </c>
      <c r="E50" s="6">
        <v>180</v>
      </c>
      <c r="F50" t="s">
        <v>41</v>
      </c>
      <c r="G50" s="1" t="s">
        <v>5</v>
      </c>
    </row>
    <row r="51" spans="2:7">
      <c r="B51" t="s">
        <v>193</v>
      </c>
      <c r="C51" t="s">
        <v>194</v>
      </c>
      <c r="D51" s="1">
        <v>44348</v>
      </c>
      <c r="E51" s="6">
        <v>263</v>
      </c>
      <c r="F51" t="s">
        <v>41</v>
      </c>
      <c r="G51" s="1" t="s">
        <v>7</v>
      </c>
    </row>
    <row r="52" spans="2:7">
      <c r="B52" t="s">
        <v>195</v>
      </c>
      <c r="C52" t="s">
        <v>194</v>
      </c>
      <c r="D52" s="1">
        <v>44348</v>
      </c>
      <c r="E52" s="6">
        <v>263</v>
      </c>
      <c r="F52" t="s">
        <v>41</v>
      </c>
      <c r="G52" s="1" t="s">
        <v>30</v>
      </c>
    </row>
    <row r="53" spans="2:7">
      <c r="B53" t="s">
        <v>196</v>
      </c>
      <c r="C53" s="1" t="s">
        <v>197</v>
      </c>
      <c r="D53" s="1">
        <v>44348</v>
      </c>
      <c r="E53" s="6">
        <v>185</v>
      </c>
      <c r="F53" t="s">
        <v>41</v>
      </c>
      <c r="G53" s="1" t="s">
        <v>28</v>
      </c>
    </row>
    <row r="54" spans="2:7">
      <c r="B54" t="s">
        <v>198</v>
      </c>
      <c r="C54" t="s">
        <v>199</v>
      </c>
      <c r="D54" s="1">
        <v>44348</v>
      </c>
      <c r="E54" s="6">
        <v>351</v>
      </c>
      <c r="F54" t="s">
        <v>41</v>
      </c>
      <c r="G54" s="1" t="s">
        <v>126</v>
      </c>
    </row>
    <row r="55" spans="2:7">
      <c r="B55" t="s">
        <v>200</v>
      </c>
      <c r="C55" s="1" t="s">
        <v>201</v>
      </c>
      <c r="D55" s="1">
        <v>44348</v>
      </c>
      <c r="E55" s="6">
        <v>248</v>
      </c>
      <c r="F55" t="s">
        <v>41</v>
      </c>
      <c r="G55" s="1" t="s">
        <v>22</v>
      </c>
    </row>
    <row r="56" spans="2:7">
      <c r="B56" t="s">
        <v>202</v>
      </c>
      <c r="C56" s="1" t="s">
        <v>203</v>
      </c>
      <c r="D56" s="1">
        <v>44348</v>
      </c>
      <c r="E56" s="6">
        <v>184</v>
      </c>
      <c r="F56" t="s">
        <v>41</v>
      </c>
      <c r="G56" s="1" t="s">
        <v>28</v>
      </c>
    </row>
    <row r="57" spans="2:7">
      <c r="B57" t="s">
        <v>204</v>
      </c>
      <c r="C57" s="1" t="s">
        <v>205</v>
      </c>
      <c r="D57" s="1">
        <v>44348</v>
      </c>
      <c r="E57" s="6">
        <v>263</v>
      </c>
      <c r="F57" t="s">
        <v>41</v>
      </c>
      <c r="G57" s="1" t="s">
        <v>7</v>
      </c>
    </row>
    <row r="58" spans="2:7">
      <c r="B58" t="s">
        <v>72</v>
      </c>
      <c r="C58" s="1" t="s">
        <v>206</v>
      </c>
      <c r="D58" s="1">
        <v>44348</v>
      </c>
      <c r="E58" s="6">
        <v>262</v>
      </c>
      <c r="F58" t="s">
        <v>41</v>
      </c>
      <c r="G58" s="1" t="s">
        <v>25</v>
      </c>
    </row>
    <row r="59" spans="2:7">
      <c r="B59" t="s">
        <v>73</v>
      </c>
      <c r="C59" t="s">
        <v>206</v>
      </c>
      <c r="D59" s="1">
        <v>44348</v>
      </c>
      <c r="E59" s="6">
        <v>262</v>
      </c>
      <c r="F59" t="s">
        <v>41</v>
      </c>
      <c r="G59" s="1" t="s">
        <v>25</v>
      </c>
    </row>
    <row r="60" spans="2:7">
      <c r="B60" t="s">
        <v>74</v>
      </c>
      <c r="C60" s="1" t="s">
        <v>207</v>
      </c>
      <c r="D60" s="1">
        <v>44348</v>
      </c>
      <c r="E60" s="6">
        <v>209</v>
      </c>
      <c r="F60" t="s">
        <v>41</v>
      </c>
      <c r="G60" s="1" t="s">
        <v>25</v>
      </c>
    </row>
    <row r="61" spans="2:7">
      <c r="B61" t="s">
        <v>75</v>
      </c>
      <c r="C61" t="s">
        <v>208</v>
      </c>
      <c r="D61" s="1">
        <v>44348</v>
      </c>
      <c r="E61" s="6">
        <v>185</v>
      </c>
      <c r="F61" t="s">
        <v>41</v>
      </c>
      <c r="G61" s="1" t="s">
        <v>30</v>
      </c>
    </row>
    <row r="62" spans="2:7">
      <c r="B62" t="s">
        <v>76</v>
      </c>
      <c r="C62" t="s">
        <v>209</v>
      </c>
      <c r="D62" s="1">
        <v>44348</v>
      </c>
      <c r="E62" s="6">
        <v>337</v>
      </c>
      <c r="F62" t="s">
        <v>41</v>
      </c>
      <c r="G62" s="1" t="s">
        <v>22</v>
      </c>
    </row>
    <row r="63" spans="2:7">
      <c r="B63" t="s">
        <v>77</v>
      </c>
      <c r="C63" t="s">
        <v>210</v>
      </c>
      <c r="D63" s="1">
        <v>44348</v>
      </c>
      <c r="E63" s="6">
        <v>174</v>
      </c>
      <c r="F63" t="s">
        <v>41</v>
      </c>
      <c r="G63" s="1" t="s">
        <v>27</v>
      </c>
    </row>
    <row r="64" spans="2:7">
      <c r="B64" t="s">
        <v>78</v>
      </c>
      <c r="C64" t="s">
        <v>211</v>
      </c>
      <c r="D64" s="1">
        <v>44348</v>
      </c>
      <c r="E64" s="6">
        <v>183</v>
      </c>
      <c r="F64" t="s">
        <v>41</v>
      </c>
      <c r="G64" s="1" t="s">
        <v>30</v>
      </c>
    </row>
    <row r="65" spans="2:7">
      <c r="B65" t="s">
        <v>79</v>
      </c>
      <c r="C65" t="s">
        <v>212</v>
      </c>
      <c r="D65" s="1">
        <v>44348</v>
      </c>
      <c r="E65" s="6">
        <v>174</v>
      </c>
      <c r="F65" t="s">
        <v>41</v>
      </c>
      <c r="G65" s="1" t="s">
        <v>9</v>
      </c>
    </row>
    <row r="66" spans="2:7">
      <c r="B66" t="s">
        <v>80</v>
      </c>
      <c r="C66" t="s">
        <v>203</v>
      </c>
      <c r="D66" s="1">
        <v>44348</v>
      </c>
      <c r="E66" s="6">
        <v>184</v>
      </c>
      <c r="F66" t="s">
        <v>41</v>
      </c>
      <c r="G66" s="1" t="s">
        <v>28</v>
      </c>
    </row>
    <row r="67" spans="2:7">
      <c r="B67" t="s">
        <v>81</v>
      </c>
      <c r="C67" t="s">
        <v>144</v>
      </c>
      <c r="D67" s="1">
        <v>44348</v>
      </c>
      <c r="E67" s="6">
        <v>179</v>
      </c>
      <c r="F67" t="s">
        <v>41</v>
      </c>
      <c r="G67" s="1" t="s">
        <v>22</v>
      </c>
    </row>
    <row r="68" spans="2:7">
      <c r="B68" t="s">
        <v>82</v>
      </c>
      <c r="C68" s="1" t="s">
        <v>213</v>
      </c>
      <c r="D68" s="1">
        <v>44348</v>
      </c>
      <c r="E68" s="6">
        <v>182</v>
      </c>
      <c r="F68" t="s">
        <v>41</v>
      </c>
      <c r="G68" s="1" t="s">
        <v>27</v>
      </c>
    </row>
    <row r="69" spans="2:7">
      <c r="B69" t="s">
        <v>83</v>
      </c>
      <c r="C69" t="s">
        <v>214</v>
      </c>
      <c r="D69" s="1">
        <v>44348</v>
      </c>
      <c r="E69" s="6">
        <v>248</v>
      </c>
      <c r="F69" t="s">
        <v>41</v>
      </c>
      <c r="G69" s="1" t="s">
        <v>23</v>
      </c>
    </row>
    <row r="70" spans="2:7">
      <c r="B70" t="s">
        <v>215</v>
      </c>
      <c r="C70" s="1" t="s">
        <v>216</v>
      </c>
      <c r="D70" s="1">
        <v>44348</v>
      </c>
      <c r="E70" s="6">
        <v>178</v>
      </c>
      <c r="F70" t="s">
        <v>41</v>
      </c>
      <c r="G70" s="1" t="s">
        <v>22</v>
      </c>
    </row>
    <row r="71" spans="2:7">
      <c r="B71" t="s">
        <v>84</v>
      </c>
      <c r="C71" t="s">
        <v>217</v>
      </c>
      <c r="D71" s="1">
        <v>44348</v>
      </c>
      <c r="E71" s="6">
        <v>176</v>
      </c>
      <c r="F71" t="s">
        <v>41</v>
      </c>
      <c r="G71" s="1" t="s">
        <v>85</v>
      </c>
    </row>
    <row r="72" spans="2:7">
      <c r="B72" t="s">
        <v>86</v>
      </c>
      <c r="C72" t="s">
        <v>218</v>
      </c>
      <c r="D72" s="1">
        <v>44348</v>
      </c>
      <c r="E72" s="6">
        <v>180</v>
      </c>
      <c r="F72" t="s">
        <v>41</v>
      </c>
      <c r="G72" s="1" t="s">
        <v>5</v>
      </c>
    </row>
    <row r="73" spans="2:7">
      <c r="B73" t="s">
        <v>87</v>
      </c>
      <c r="C73" s="1" t="s">
        <v>219</v>
      </c>
      <c r="D73" s="1">
        <v>44348</v>
      </c>
      <c r="E73" s="6">
        <v>183</v>
      </c>
      <c r="F73" t="s">
        <v>41</v>
      </c>
      <c r="G73" s="1" t="s">
        <v>26</v>
      </c>
    </row>
    <row r="74" spans="2:7">
      <c r="B74" t="s">
        <v>220</v>
      </c>
      <c r="C74" s="1" t="s">
        <v>150</v>
      </c>
      <c r="D74" s="1">
        <v>44348</v>
      </c>
      <c r="E74" s="6">
        <v>263</v>
      </c>
      <c r="F74" t="s">
        <v>41</v>
      </c>
      <c r="G74" s="1" t="s">
        <v>22</v>
      </c>
    </row>
    <row r="75" spans="2:7">
      <c r="B75" t="s">
        <v>221</v>
      </c>
      <c r="C75" s="1" t="s">
        <v>222</v>
      </c>
      <c r="D75" s="1">
        <v>44348</v>
      </c>
      <c r="E75" s="6">
        <v>184</v>
      </c>
      <c r="F75" t="s">
        <v>41</v>
      </c>
      <c r="G75" s="1" t="s">
        <v>23</v>
      </c>
    </row>
    <row r="76" spans="2:7">
      <c r="B76" t="s">
        <v>223</v>
      </c>
      <c r="C76" t="s">
        <v>222</v>
      </c>
      <c r="D76" s="1">
        <v>44348</v>
      </c>
      <c r="E76" s="6">
        <v>184</v>
      </c>
      <c r="F76" s="1" t="s">
        <v>41</v>
      </c>
      <c r="G76" t="s">
        <v>131</v>
      </c>
    </row>
    <row r="77" spans="2:7">
      <c r="B77" t="s">
        <v>88</v>
      </c>
      <c r="C77" s="1" t="s">
        <v>224</v>
      </c>
      <c r="D77" s="1">
        <v>44348</v>
      </c>
      <c r="E77" s="6">
        <v>339</v>
      </c>
      <c r="F77" t="s">
        <v>41</v>
      </c>
      <c r="G77" s="1" t="s">
        <v>8</v>
      </c>
    </row>
    <row r="78" spans="2:7">
      <c r="B78" t="s">
        <v>89</v>
      </c>
      <c r="C78" t="s">
        <v>154</v>
      </c>
      <c r="D78" s="1">
        <v>44348</v>
      </c>
      <c r="E78" s="6">
        <v>182</v>
      </c>
      <c r="F78" t="s">
        <v>41</v>
      </c>
      <c r="G78" s="1" t="s">
        <v>22</v>
      </c>
    </row>
    <row r="79" spans="2:7">
      <c r="B79" t="s">
        <v>90</v>
      </c>
      <c r="C79" t="s">
        <v>225</v>
      </c>
      <c r="D79" s="1">
        <v>44348</v>
      </c>
      <c r="E79" s="6">
        <v>209</v>
      </c>
      <c r="F79" t="s">
        <v>41</v>
      </c>
      <c r="G79" s="1" t="s">
        <v>22</v>
      </c>
    </row>
    <row r="80" spans="2:7">
      <c r="B80" t="s">
        <v>91</v>
      </c>
      <c r="C80" s="1" t="s">
        <v>226</v>
      </c>
      <c r="D80" s="1">
        <v>44348</v>
      </c>
      <c r="E80" s="6">
        <v>177</v>
      </c>
      <c r="F80" t="s">
        <v>41</v>
      </c>
      <c r="G80" s="1" t="s">
        <v>8</v>
      </c>
    </row>
    <row r="81" spans="2:7">
      <c r="B81" t="s">
        <v>92</v>
      </c>
      <c r="C81" t="s">
        <v>227</v>
      </c>
      <c r="D81" s="1">
        <v>44348</v>
      </c>
      <c r="E81" s="6">
        <v>208</v>
      </c>
      <c r="F81" t="s">
        <v>41</v>
      </c>
      <c r="G81" s="1" t="s">
        <v>30</v>
      </c>
    </row>
    <row r="82" spans="2:7">
      <c r="B82" t="s">
        <v>93</v>
      </c>
      <c r="C82" t="s">
        <v>227</v>
      </c>
      <c r="D82" s="1">
        <v>44348</v>
      </c>
      <c r="E82" s="6">
        <v>208</v>
      </c>
      <c r="F82" t="s">
        <v>41</v>
      </c>
      <c r="G82" s="1" t="s">
        <v>24</v>
      </c>
    </row>
    <row r="83" spans="2:7">
      <c r="B83" t="s">
        <v>94</v>
      </c>
      <c r="C83" s="1" t="s">
        <v>227</v>
      </c>
      <c r="D83" s="1">
        <v>44348</v>
      </c>
      <c r="E83" s="6">
        <v>208</v>
      </c>
      <c r="F83" t="s">
        <v>41</v>
      </c>
      <c r="G83" s="1" t="s">
        <v>27</v>
      </c>
    </row>
    <row r="84" spans="2:7">
      <c r="B84" t="s">
        <v>95</v>
      </c>
      <c r="C84" t="s">
        <v>161</v>
      </c>
      <c r="D84" s="1">
        <v>44348</v>
      </c>
      <c r="E84" s="6">
        <v>179</v>
      </c>
      <c r="F84" t="s">
        <v>41</v>
      </c>
      <c r="G84" s="1" t="s">
        <v>9</v>
      </c>
    </row>
    <row r="85" spans="2:7">
      <c r="B85" t="s">
        <v>96</v>
      </c>
      <c r="C85" t="s">
        <v>228</v>
      </c>
      <c r="D85" s="1">
        <v>44348</v>
      </c>
      <c r="E85" s="6">
        <v>338</v>
      </c>
      <c r="F85" t="s">
        <v>41</v>
      </c>
      <c r="G85" s="1" t="s">
        <v>34</v>
      </c>
    </row>
    <row r="86" spans="2:7">
      <c r="B86" t="s">
        <v>97</v>
      </c>
      <c r="C86" s="1" t="s">
        <v>162</v>
      </c>
      <c r="D86" s="1">
        <v>44348</v>
      </c>
      <c r="E86" s="6">
        <v>176</v>
      </c>
      <c r="F86" t="s">
        <v>41</v>
      </c>
      <c r="G86" s="1" t="s">
        <v>24</v>
      </c>
    </row>
    <row r="87" spans="2:7">
      <c r="B87" t="s">
        <v>98</v>
      </c>
      <c r="C87" t="s">
        <v>229</v>
      </c>
      <c r="D87" s="1">
        <v>44348</v>
      </c>
      <c r="E87" s="6">
        <v>228</v>
      </c>
      <c r="F87" t="s">
        <v>41</v>
      </c>
      <c r="G87" s="1" t="s">
        <v>27</v>
      </c>
    </row>
    <row r="88" spans="2:7">
      <c r="B88" t="s">
        <v>99</v>
      </c>
      <c r="C88" s="1" t="s">
        <v>229</v>
      </c>
      <c r="D88" s="1">
        <v>44348</v>
      </c>
      <c r="E88" s="6">
        <v>228</v>
      </c>
      <c r="F88" t="s">
        <v>41</v>
      </c>
      <c r="G88" s="1" t="s">
        <v>9</v>
      </c>
    </row>
    <row r="89" spans="2:7">
      <c r="B89" t="s">
        <v>100</v>
      </c>
      <c r="C89" t="s">
        <v>229</v>
      </c>
      <c r="D89" s="1">
        <v>44348</v>
      </c>
      <c r="E89" s="6">
        <v>228</v>
      </c>
      <c r="F89" t="s">
        <v>41</v>
      </c>
      <c r="G89" s="1" t="s">
        <v>101</v>
      </c>
    </row>
    <row r="90" spans="2:7">
      <c r="B90" t="s">
        <v>102</v>
      </c>
      <c r="C90" t="s">
        <v>230</v>
      </c>
      <c r="D90" s="1">
        <v>44348</v>
      </c>
      <c r="E90" s="6">
        <v>179</v>
      </c>
      <c r="F90" t="s">
        <v>41</v>
      </c>
      <c r="G90" s="1" t="s">
        <v>85</v>
      </c>
    </row>
    <row r="91" spans="2:7">
      <c r="B91" t="s">
        <v>103</v>
      </c>
      <c r="C91" s="1" t="s">
        <v>231</v>
      </c>
      <c r="D91" s="1">
        <v>44348</v>
      </c>
      <c r="E91" s="6">
        <v>230</v>
      </c>
      <c r="F91" t="s">
        <v>41</v>
      </c>
      <c r="G91" s="1" t="s">
        <v>25</v>
      </c>
    </row>
    <row r="92" spans="2:7">
      <c r="B92" t="s">
        <v>104</v>
      </c>
      <c r="C92" t="s">
        <v>232</v>
      </c>
      <c r="D92" s="1">
        <v>44348</v>
      </c>
      <c r="E92" s="6">
        <v>262</v>
      </c>
      <c r="F92" t="s">
        <v>41</v>
      </c>
      <c r="G92" s="1" t="s">
        <v>20</v>
      </c>
    </row>
    <row r="93" spans="2:7">
      <c r="B93" t="s">
        <v>105</v>
      </c>
      <c r="C93" t="s">
        <v>233</v>
      </c>
      <c r="D93" s="1">
        <v>44348</v>
      </c>
      <c r="E93" s="6">
        <v>339</v>
      </c>
      <c r="F93" t="s">
        <v>41</v>
      </c>
      <c r="G93" s="1" t="s">
        <v>106</v>
      </c>
    </row>
    <row r="94" spans="2:7">
      <c r="B94" t="s">
        <v>107</v>
      </c>
      <c r="C94" s="1" t="s">
        <v>234</v>
      </c>
      <c r="D94" s="1">
        <v>44348</v>
      </c>
      <c r="E94" s="6">
        <v>177</v>
      </c>
      <c r="F94" t="s">
        <v>41</v>
      </c>
      <c r="G94" s="1" t="s">
        <v>108</v>
      </c>
    </row>
    <row r="95" spans="2:7">
      <c r="B95" t="s">
        <v>109</v>
      </c>
      <c r="C95" s="1" t="s">
        <v>235</v>
      </c>
      <c r="D95" s="1">
        <v>44348</v>
      </c>
      <c r="E95" s="6">
        <v>176</v>
      </c>
      <c r="F95" t="s">
        <v>41</v>
      </c>
      <c r="G95" s="1" t="s">
        <v>6</v>
      </c>
    </row>
    <row r="96" spans="2:7">
      <c r="B96" t="s">
        <v>110</v>
      </c>
      <c r="C96" t="s">
        <v>236</v>
      </c>
      <c r="D96" s="1">
        <v>44348</v>
      </c>
      <c r="E96" s="6">
        <v>180</v>
      </c>
      <c r="F96" t="s">
        <v>41</v>
      </c>
      <c r="G96" s="1" t="s">
        <v>111</v>
      </c>
    </row>
    <row r="97" spans="2:7">
      <c r="B97" t="s">
        <v>112</v>
      </c>
      <c r="C97" s="1" t="s">
        <v>237</v>
      </c>
      <c r="D97" s="1">
        <v>44348</v>
      </c>
      <c r="E97" s="6">
        <v>180</v>
      </c>
      <c r="F97" t="s">
        <v>41</v>
      </c>
      <c r="G97" s="1" t="s">
        <v>111</v>
      </c>
    </row>
    <row r="98" spans="2:7">
      <c r="B98" t="s">
        <v>113</v>
      </c>
      <c r="C98" s="1" t="s">
        <v>238</v>
      </c>
      <c r="D98" s="1">
        <v>44348</v>
      </c>
      <c r="E98" s="6">
        <v>184</v>
      </c>
      <c r="F98" t="s">
        <v>41</v>
      </c>
      <c r="G98" s="1" t="s">
        <v>101</v>
      </c>
    </row>
    <row r="99" spans="2:7">
      <c r="B99" t="s">
        <v>114</v>
      </c>
      <c r="C99" s="1" t="s">
        <v>239</v>
      </c>
      <c r="D99" s="1">
        <v>44348</v>
      </c>
      <c r="E99" s="6">
        <v>174</v>
      </c>
      <c r="F99" t="s">
        <v>41</v>
      </c>
      <c r="G99" s="1" t="s">
        <v>115</v>
      </c>
    </row>
    <row r="100" spans="2:7">
      <c r="B100" t="s">
        <v>116</v>
      </c>
      <c r="C100" s="1" t="s">
        <v>240</v>
      </c>
      <c r="D100" s="1">
        <v>44348</v>
      </c>
      <c r="E100" s="6">
        <v>230</v>
      </c>
      <c r="F100" t="s">
        <v>41</v>
      </c>
      <c r="G100" s="1" t="s">
        <v>25</v>
      </c>
    </row>
    <row r="101" spans="2:7">
      <c r="B101" t="s">
        <v>117</v>
      </c>
      <c r="C101" t="s">
        <v>241</v>
      </c>
      <c r="D101" s="1">
        <v>44348</v>
      </c>
      <c r="E101" s="6">
        <v>262</v>
      </c>
      <c r="F101" t="s">
        <v>41</v>
      </c>
      <c r="G101" s="1" t="s">
        <v>21</v>
      </c>
    </row>
    <row r="102" spans="2:7">
      <c r="B102" t="s">
        <v>118</v>
      </c>
      <c r="C102" s="1" t="s">
        <v>242</v>
      </c>
      <c r="D102" s="1">
        <v>44348</v>
      </c>
      <c r="E102" s="6">
        <v>263</v>
      </c>
      <c r="F102" t="s">
        <v>41</v>
      </c>
      <c r="G102" s="1" t="s">
        <v>119</v>
      </c>
    </row>
    <row r="103" spans="2:7">
      <c r="D103" s="1"/>
      <c r="G103" s="1"/>
    </row>
    <row r="104" spans="2:7">
      <c r="D104" s="1"/>
      <c r="G104" s="1"/>
    </row>
    <row r="105" spans="2:7">
      <c r="D105" s="1"/>
      <c r="G105" s="1"/>
    </row>
    <row r="106" spans="2:7">
      <c r="D106" s="1"/>
      <c r="G106" s="1"/>
    </row>
    <row r="107" spans="2:7">
      <c r="D107" s="1"/>
      <c r="G107" s="1"/>
    </row>
    <row r="108" spans="2:7">
      <c r="D108" s="1"/>
      <c r="G108" s="1"/>
    </row>
    <row r="109" spans="2:7">
      <c r="D109" s="1"/>
      <c r="G109" s="1"/>
    </row>
    <row r="110" spans="2:7">
      <c r="D110" s="1"/>
      <c r="G110" s="1"/>
    </row>
    <row r="111" spans="2:7">
      <c r="D111" s="1"/>
      <c r="G111" s="1"/>
    </row>
    <row r="112" spans="2:7">
      <c r="D112" s="1"/>
      <c r="G112" s="1"/>
    </row>
    <row r="113" spans="4:7">
      <c r="D113" s="1"/>
      <c r="G113" s="1"/>
    </row>
    <row r="114" spans="4:7">
      <c r="D114" s="1"/>
      <c r="G114" s="1"/>
    </row>
    <row r="115" spans="4:7">
      <c r="D115" s="1"/>
      <c r="G115" s="1"/>
    </row>
    <row r="116" spans="4:7">
      <c r="D116" s="1"/>
      <c r="G116" s="1"/>
    </row>
    <row r="117" spans="4:7">
      <c r="D117" s="1"/>
      <c r="G117" s="1"/>
    </row>
    <row r="118" spans="4:7">
      <c r="D118" s="1"/>
      <c r="G118" s="1"/>
    </row>
    <row r="119" spans="4:7">
      <c r="D119" s="1"/>
      <c r="G119" s="1"/>
    </row>
    <row r="120" spans="4:7">
      <c r="D120" s="1"/>
      <c r="G120" s="1"/>
    </row>
    <row r="121" spans="4:7">
      <c r="D121" s="1"/>
      <c r="G121" s="1"/>
    </row>
    <row r="122" spans="4:7">
      <c r="D122" s="1"/>
      <c r="G122" s="1"/>
    </row>
    <row r="123" spans="4:7">
      <c r="D123" s="1"/>
      <c r="G123" s="1"/>
    </row>
    <row r="124" spans="4:7">
      <c r="D124" s="1"/>
      <c r="G124" s="1"/>
    </row>
    <row r="125" spans="4:7">
      <c r="D125" s="1"/>
      <c r="G125" s="1"/>
    </row>
    <row r="126" spans="4:7">
      <c r="D126" s="1"/>
      <c r="G126" s="1"/>
    </row>
    <row r="127" spans="4:7">
      <c r="D127" s="1"/>
      <c r="G127" s="1"/>
    </row>
    <row r="128" spans="4:7">
      <c r="D128" s="1"/>
      <c r="G128" s="1"/>
    </row>
    <row r="129" spans="4:7">
      <c r="D129" s="1"/>
      <c r="G129" s="1"/>
    </row>
    <row r="130" spans="4:7">
      <c r="D130" s="1"/>
      <c r="G130" s="1"/>
    </row>
    <row r="131" spans="4:7">
      <c r="D131" s="1"/>
      <c r="G131" s="1"/>
    </row>
    <row r="132" spans="4:7">
      <c r="D132" s="1"/>
      <c r="G132" s="1"/>
    </row>
    <row r="133" spans="4:7">
      <c r="D133" s="1"/>
      <c r="G133" s="1"/>
    </row>
    <row r="134" spans="4:7">
      <c r="D134" s="1"/>
      <c r="G134" s="1"/>
    </row>
    <row r="135" spans="4:7">
      <c r="D135" s="1"/>
      <c r="G135" s="1"/>
    </row>
    <row r="136" spans="4:7">
      <c r="D136" s="1"/>
      <c r="G136" s="1"/>
    </row>
    <row r="137" spans="4:7">
      <c r="D137" s="1"/>
      <c r="G137" s="1"/>
    </row>
    <row r="138" spans="4:7">
      <c r="D138" s="1"/>
      <c r="G138" s="1"/>
    </row>
    <row r="139" spans="4:7">
      <c r="D139" s="1"/>
      <c r="G139" s="1"/>
    </row>
    <row r="140" spans="4:7">
      <c r="D140" s="1"/>
      <c r="G140" s="1"/>
    </row>
    <row r="141" spans="4:7">
      <c r="D141" s="1"/>
      <c r="G141" s="1"/>
    </row>
    <row r="142" spans="4:7">
      <c r="D142" s="1"/>
      <c r="G142" s="1"/>
    </row>
    <row r="143" spans="4:7">
      <c r="D143" s="1"/>
      <c r="G143" s="1"/>
    </row>
    <row r="144" spans="4:7">
      <c r="D144" s="1"/>
      <c r="G144" s="1"/>
    </row>
    <row r="145" spans="4:7">
      <c r="D145" s="1"/>
      <c r="G145" s="1"/>
    </row>
    <row r="146" spans="4:7">
      <c r="D146" s="1"/>
      <c r="G146" s="1"/>
    </row>
    <row r="147" spans="4:7">
      <c r="D147" s="1"/>
      <c r="G147" s="1"/>
    </row>
    <row r="148" spans="4:7">
      <c r="D148" s="1"/>
      <c r="G148" s="1"/>
    </row>
    <row r="149" spans="4:7">
      <c r="D149" s="1"/>
      <c r="G149" s="1"/>
    </row>
    <row r="150" spans="4:7">
      <c r="D150" s="1"/>
      <c r="G150" s="1"/>
    </row>
    <row r="151" spans="4:7">
      <c r="D151" s="1"/>
      <c r="G151" s="1"/>
    </row>
    <row r="152" spans="4:7">
      <c r="D152" s="1"/>
      <c r="G152" s="1"/>
    </row>
    <row r="153" spans="4:7">
      <c r="D153" s="1"/>
      <c r="G153" s="1"/>
    </row>
    <row r="154" spans="4:7">
      <c r="D154" s="1"/>
      <c r="G154" s="1"/>
    </row>
    <row r="155" spans="4:7">
      <c r="D155" s="1"/>
      <c r="G155" s="1"/>
    </row>
    <row r="156" spans="4:7">
      <c r="D156" s="1"/>
      <c r="G156" s="1"/>
    </row>
    <row r="157" spans="4:7">
      <c r="D157" s="1"/>
      <c r="G157" s="1"/>
    </row>
    <row r="158" spans="4:7">
      <c r="D158" s="1"/>
      <c r="G158" s="1"/>
    </row>
    <row r="159" spans="4:7">
      <c r="D159" s="1"/>
      <c r="G159" s="1"/>
    </row>
    <row r="160" spans="4:7">
      <c r="D160" s="1"/>
      <c r="G160" s="1"/>
    </row>
    <row r="161" spans="4:7">
      <c r="D161" s="1"/>
      <c r="G161" s="1"/>
    </row>
    <row r="162" spans="4:7">
      <c r="D162" s="1"/>
      <c r="G162" s="1"/>
    </row>
    <row r="163" spans="4:7">
      <c r="D163" s="1"/>
      <c r="G163" s="1"/>
    </row>
    <row r="164" spans="4:7">
      <c r="D164" s="1"/>
      <c r="G164" s="1"/>
    </row>
    <row r="165" spans="4:7">
      <c r="D165" s="1"/>
      <c r="G165" s="1"/>
    </row>
    <row r="166" spans="4:7">
      <c r="D166" s="1"/>
      <c r="G166" s="1"/>
    </row>
    <row r="167" spans="4:7">
      <c r="D167" s="1"/>
      <c r="G167" s="1"/>
    </row>
    <row r="168" spans="4:7">
      <c r="D168" s="1"/>
      <c r="G168" s="1"/>
    </row>
    <row r="169" spans="4:7">
      <c r="D169" s="1"/>
      <c r="G169" s="1"/>
    </row>
    <row r="170" spans="4:7">
      <c r="D170" s="1"/>
      <c r="G170" s="1"/>
    </row>
    <row r="171" spans="4:7">
      <c r="D171" s="1"/>
      <c r="G171" s="1"/>
    </row>
    <row r="172" spans="4:7">
      <c r="D172" s="1"/>
      <c r="G172" s="1"/>
    </row>
    <row r="173" spans="4:7">
      <c r="D173" s="1"/>
      <c r="G173" s="1"/>
    </row>
    <row r="174" spans="4:7">
      <c r="D174" s="1"/>
      <c r="G174" s="1"/>
    </row>
    <row r="175" spans="4:7">
      <c r="D175" s="1"/>
      <c r="G175" s="1"/>
    </row>
    <row r="176" spans="4:7">
      <c r="D176" s="1"/>
      <c r="G176" s="1"/>
    </row>
    <row r="177" spans="4:7">
      <c r="D177" s="1"/>
      <c r="G177" s="1"/>
    </row>
    <row r="178" spans="4:7">
      <c r="D178" s="1"/>
      <c r="G178" s="1"/>
    </row>
    <row r="179" spans="4:7">
      <c r="D179" s="1"/>
      <c r="G179" s="1"/>
    </row>
    <row r="180" spans="4:7">
      <c r="D180" s="1"/>
      <c r="G180" s="1"/>
    </row>
    <row r="181" spans="4:7">
      <c r="D181" s="1"/>
      <c r="G181" s="1"/>
    </row>
    <row r="182" spans="4:7">
      <c r="D182" s="1"/>
      <c r="G182" s="1"/>
    </row>
    <row r="183" spans="4:7">
      <c r="D183" s="1"/>
      <c r="G183" s="1"/>
    </row>
    <row r="184" spans="4:7">
      <c r="D184" s="1"/>
      <c r="G184" s="1"/>
    </row>
    <row r="185" spans="4:7">
      <c r="D185" s="1"/>
      <c r="G185" s="1"/>
    </row>
    <row r="186" spans="4:7">
      <c r="D186" s="1"/>
      <c r="F186" s="1"/>
    </row>
    <row r="187" spans="4:7">
      <c r="D187" s="1"/>
      <c r="F187" s="1"/>
    </row>
    <row r="188" spans="4:7">
      <c r="D188" s="1"/>
      <c r="F188" s="1"/>
    </row>
    <row r="189" spans="4:7">
      <c r="D189" s="1"/>
      <c r="F189" s="1"/>
    </row>
    <row r="190" spans="4:7">
      <c r="D190" s="1"/>
      <c r="F190" s="1"/>
    </row>
    <row r="191" spans="4:7">
      <c r="D191" s="1"/>
      <c r="F191" s="1"/>
    </row>
    <row r="192" spans="4:7">
      <c r="D192" s="1"/>
      <c r="F192" s="1"/>
    </row>
    <row r="193" spans="4:7">
      <c r="D193" s="1"/>
      <c r="G193" s="1"/>
    </row>
    <row r="194" spans="4:7">
      <c r="D194" s="1"/>
      <c r="G194" s="1"/>
    </row>
    <row r="195" spans="4:7">
      <c r="D195" s="1"/>
      <c r="G195" s="1"/>
    </row>
    <row r="196" spans="4:7">
      <c r="D196" s="1"/>
      <c r="G196" s="1"/>
    </row>
    <row r="197" spans="4:7">
      <c r="D197" s="1"/>
      <c r="G197" s="1"/>
    </row>
    <row r="198" spans="4:7">
      <c r="D198" s="1"/>
      <c r="G198" s="1"/>
    </row>
    <row r="199" spans="4:7">
      <c r="D199" s="1"/>
      <c r="G199" s="1"/>
    </row>
    <row r="200" spans="4:7">
      <c r="D200" s="1"/>
      <c r="G200" s="1"/>
    </row>
    <row r="201" spans="4:7">
      <c r="D201" s="1"/>
      <c r="G201" s="1"/>
    </row>
    <row r="202" spans="4:7">
      <c r="D202" s="1"/>
      <c r="G202" s="1"/>
    </row>
    <row r="203" spans="4:7">
      <c r="D203" s="1"/>
      <c r="G203" s="1"/>
    </row>
    <row r="204" spans="4:7">
      <c r="D204" s="1"/>
      <c r="G204" s="1"/>
    </row>
    <row r="205" spans="4:7">
      <c r="D205" s="1"/>
      <c r="G205" s="1"/>
    </row>
    <row r="206" spans="4:7">
      <c r="D206" s="1"/>
      <c r="G206" s="1"/>
    </row>
    <row r="207" spans="4:7">
      <c r="D207" s="1"/>
      <c r="G207" s="1"/>
    </row>
    <row r="208" spans="4:7">
      <c r="D208" s="1"/>
      <c r="G208" s="1"/>
    </row>
    <row r="209" spans="4:7">
      <c r="D209" s="1"/>
      <c r="G209" s="1"/>
    </row>
    <row r="210" spans="4:7">
      <c r="D210" s="1"/>
      <c r="G210" s="1"/>
    </row>
    <row r="211" spans="4:7">
      <c r="D211" s="1"/>
      <c r="G211" s="1"/>
    </row>
    <row r="212" spans="4:7">
      <c r="D212" s="1"/>
      <c r="G212" s="1"/>
    </row>
    <row r="213" spans="4:7">
      <c r="D213" s="1"/>
      <c r="G213" s="1"/>
    </row>
    <row r="214" spans="4:7">
      <c r="D214" s="1"/>
      <c r="G214" s="1"/>
    </row>
    <row r="215" spans="4:7">
      <c r="D215" s="1"/>
      <c r="G215" s="1"/>
    </row>
    <row r="216" spans="4:7">
      <c r="D216" s="1"/>
      <c r="G216" s="1"/>
    </row>
    <row r="217" spans="4:7">
      <c r="D217" s="1"/>
      <c r="G217" s="1"/>
    </row>
    <row r="218" spans="4:7">
      <c r="D218" s="1"/>
      <c r="G218" s="1"/>
    </row>
    <row r="219" spans="4:7">
      <c r="D219" s="1"/>
      <c r="G219" s="1"/>
    </row>
    <row r="220" spans="4:7">
      <c r="D220" s="1"/>
      <c r="G220" s="1"/>
    </row>
    <row r="221" spans="4:7">
      <c r="D221" s="1"/>
      <c r="G221" s="1"/>
    </row>
    <row r="222" spans="4:7">
      <c r="D222" s="1"/>
      <c r="G222" s="1"/>
    </row>
    <row r="223" spans="4:7">
      <c r="D223" s="1"/>
      <c r="G223" s="1"/>
    </row>
    <row r="224" spans="4:7">
      <c r="D224" s="1"/>
      <c r="G224" s="1"/>
    </row>
    <row r="225" spans="4:7">
      <c r="D225" s="1"/>
      <c r="G225" s="1"/>
    </row>
    <row r="226" spans="4:7">
      <c r="D226" s="1"/>
      <c r="G226" s="1"/>
    </row>
    <row r="227" spans="4:7">
      <c r="D227" s="1"/>
      <c r="G227" s="1"/>
    </row>
    <row r="228" spans="4:7">
      <c r="D228" s="1"/>
      <c r="G228" s="1"/>
    </row>
    <row r="229" spans="4:7">
      <c r="D229" s="1"/>
      <c r="G229" s="1"/>
    </row>
    <row r="230" spans="4:7">
      <c r="D230" s="1"/>
      <c r="G230" s="1"/>
    </row>
    <row r="231" spans="4:7">
      <c r="D231" s="1"/>
      <c r="G231" s="1"/>
    </row>
    <row r="232" spans="4:7">
      <c r="D232" s="1"/>
      <c r="G232" s="1"/>
    </row>
    <row r="233" spans="4:7">
      <c r="D233" s="1"/>
      <c r="G233" s="1"/>
    </row>
    <row r="234" spans="4:7">
      <c r="D234" s="1"/>
      <c r="G234" s="1"/>
    </row>
    <row r="235" spans="4:7">
      <c r="D235" s="1"/>
      <c r="G235" s="1"/>
    </row>
    <row r="236" spans="4:7">
      <c r="D236" s="1"/>
      <c r="G236" s="1"/>
    </row>
    <row r="237" spans="4:7">
      <c r="D237" s="1"/>
      <c r="G237" s="1"/>
    </row>
    <row r="238" spans="4:7">
      <c r="D238" s="1"/>
      <c r="G238" s="1"/>
    </row>
    <row r="239" spans="4:7">
      <c r="D239" s="1"/>
      <c r="G239" s="1"/>
    </row>
    <row r="240" spans="4:7">
      <c r="D240" s="1"/>
      <c r="G240" s="1"/>
    </row>
    <row r="241" spans="4:7">
      <c r="D241" s="1"/>
      <c r="G241" s="1"/>
    </row>
    <row r="242" spans="4:7">
      <c r="D242" s="1"/>
      <c r="G242" s="1"/>
    </row>
    <row r="243" spans="4:7">
      <c r="D243" s="1"/>
      <c r="G243" s="1"/>
    </row>
    <row r="244" spans="4:7">
      <c r="D244" s="1"/>
      <c r="G244" s="1"/>
    </row>
    <row r="245" spans="4:7">
      <c r="D245" s="1"/>
      <c r="G245" s="1"/>
    </row>
    <row r="246" spans="4:7">
      <c r="D246" s="1"/>
      <c r="G246" s="1"/>
    </row>
    <row r="247" spans="4:7">
      <c r="D247" s="1"/>
      <c r="G247" s="1"/>
    </row>
    <row r="248" spans="4:7">
      <c r="D248" s="1"/>
      <c r="G248" s="1"/>
    </row>
    <row r="249" spans="4:7">
      <c r="D249" s="1"/>
      <c r="G249" s="1"/>
    </row>
    <row r="250" spans="4:7">
      <c r="D250" s="1"/>
      <c r="G250" s="1"/>
    </row>
    <row r="251" spans="4:7">
      <c r="D251" s="1"/>
      <c r="G251" s="1"/>
    </row>
    <row r="252" spans="4:7">
      <c r="D252" s="1"/>
      <c r="G252" s="1"/>
    </row>
    <row r="253" spans="4:7">
      <c r="D253" s="1"/>
      <c r="G253" s="1"/>
    </row>
    <row r="254" spans="4:7">
      <c r="D254" s="1"/>
      <c r="G254" s="1"/>
    </row>
    <row r="255" spans="4:7">
      <c r="D255" s="1"/>
      <c r="G255" s="1"/>
    </row>
    <row r="256" spans="4:7">
      <c r="D256" s="1"/>
      <c r="G256" s="1"/>
    </row>
    <row r="257" spans="4:7">
      <c r="D257" s="1"/>
      <c r="G257" s="1"/>
    </row>
    <row r="258" spans="4:7">
      <c r="D258" s="1"/>
      <c r="G258" s="1"/>
    </row>
    <row r="259" spans="4:7">
      <c r="D259" s="1"/>
      <c r="G259" s="1"/>
    </row>
    <row r="260" spans="4:7">
      <c r="D260" s="1"/>
      <c r="G260" s="1"/>
    </row>
    <row r="261" spans="4:7">
      <c r="D261" s="1"/>
      <c r="G261" s="1"/>
    </row>
    <row r="262" spans="4:7">
      <c r="D262" s="1"/>
      <c r="G262" s="1"/>
    </row>
    <row r="263" spans="4:7">
      <c r="D263" s="1"/>
      <c r="G263" s="1"/>
    </row>
    <row r="264" spans="4:7">
      <c r="D264" s="1"/>
      <c r="G264" s="1"/>
    </row>
    <row r="265" spans="4:7">
      <c r="D265" s="1"/>
      <c r="G265" s="1"/>
    </row>
    <row r="266" spans="4:7">
      <c r="D266" s="1"/>
      <c r="G266" s="1"/>
    </row>
    <row r="267" spans="4:7">
      <c r="D267" s="1"/>
      <c r="G267" s="1"/>
    </row>
    <row r="268" spans="4:7">
      <c r="D268" s="1"/>
      <c r="G268" s="1"/>
    </row>
    <row r="269" spans="4:7">
      <c r="D269" s="1"/>
      <c r="G269" s="1"/>
    </row>
    <row r="270" spans="4:7">
      <c r="D270" s="1"/>
      <c r="G270" s="1"/>
    </row>
    <row r="271" spans="4:7">
      <c r="D271" s="1"/>
      <c r="G271" s="1"/>
    </row>
    <row r="272" spans="4:7">
      <c r="D272" s="1"/>
      <c r="G272" s="1"/>
    </row>
    <row r="273" spans="4:7">
      <c r="D273" s="1"/>
      <c r="G273" s="1"/>
    </row>
    <row r="274" spans="4:7">
      <c r="D274" s="1"/>
      <c r="G274" s="1"/>
    </row>
    <row r="275" spans="4:7">
      <c r="D275" s="1"/>
      <c r="G275" s="1"/>
    </row>
    <row r="276" spans="4:7">
      <c r="D276" s="1"/>
      <c r="G276" s="1"/>
    </row>
    <row r="277" spans="4:7">
      <c r="D277" s="1"/>
      <c r="G277" s="1"/>
    </row>
    <row r="278" spans="4:7">
      <c r="D278" s="1"/>
      <c r="G278" s="1"/>
    </row>
    <row r="279" spans="4:7">
      <c r="D279" s="1"/>
      <c r="G279" s="1"/>
    </row>
    <row r="280" spans="4:7">
      <c r="D280" s="1"/>
      <c r="G280" s="1"/>
    </row>
    <row r="281" spans="4:7">
      <c r="D281" s="1"/>
      <c r="G281" s="1"/>
    </row>
    <row r="282" spans="4:7">
      <c r="D282" s="1"/>
      <c r="G282" s="1"/>
    </row>
    <row r="283" spans="4:7">
      <c r="D283" s="1"/>
      <c r="G283" s="1"/>
    </row>
    <row r="284" spans="4:7">
      <c r="D284" s="1"/>
      <c r="G284" s="1"/>
    </row>
    <row r="285" spans="4:7">
      <c r="D285" s="1"/>
      <c r="G285" s="1"/>
    </row>
    <row r="286" spans="4:7">
      <c r="D286" s="1"/>
      <c r="G286" s="1"/>
    </row>
    <row r="287" spans="4:7">
      <c r="D287" s="1"/>
      <c r="G287" s="1"/>
    </row>
    <row r="288" spans="4:7">
      <c r="D288" s="1"/>
      <c r="G288" s="1"/>
    </row>
    <row r="289" spans="4:7">
      <c r="D289" s="1"/>
      <c r="G289" s="1"/>
    </row>
    <row r="290" spans="4:7">
      <c r="D290" s="1"/>
      <c r="G290" s="1"/>
    </row>
    <row r="291" spans="4:7">
      <c r="D291" s="1"/>
      <c r="G291" s="1"/>
    </row>
    <row r="292" spans="4:7">
      <c r="D292" s="1"/>
      <c r="G292" s="1"/>
    </row>
    <row r="293" spans="4:7">
      <c r="D293" s="1"/>
      <c r="G293" s="1"/>
    </row>
    <row r="294" spans="4:7">
      <c r="D294" s="1"/>
      <c r="G294" s="1"/>
    </row>
    <row r="295" spans="4:7">
      <c r="D295" s="1"/>
      <c r="G295" s="1"/>
    </row>
    <row r="296" spans="4:7">
      <c r="D296" s="1"/>
      <c r="G296" s="1"/>
    </row>
    <row r="297" spans="4:7">
      <c r="D297" s="1"/>
      <c r="G297" s="1"/>
    </row>
    <row r="298" spans="4:7">
      <c r="D298" s="1"/>
      <c r="G298" s="1"/>
    </row>
    <row r="299" spans="4:7">
      <c r="D299" s="1"/>
      <c r="G299" s="1"/>
    </row>
    <row r="300" spans="4:7">
      <c r="D300" s="1"/>
      <c r="G300" s="1"/>
    </row>
    <row r="301" spans="4:7">
      <c r="D301" s="1"/>
      <c r="F301" s="1"/>
    </row>
    <row r="302" spans="4:7">
      <c r="D302" s="1"/>
      <c r="F302" s="1"/>
    </row>
    <row r="303" spans="4:7">
      <c r="F303" s="1"/>
    </row>
    <row r="304" spans="4:7">
      <c r="F304" s="1"/>
    </row>
    <row r="305" spans="6:7">
      <c r="F305" s="1"/>
    </row>
    <row r="306" spans="6:7">
      <c r="F306" s="1"/>
    </row>
    <row r="307" spans="6:7">
      <c r="F307" s="1"/>
    </row>
    <row r="308" spans="6:7">
      <c r="F308" s="1"/>
    </row>
    <row r="309" spans="6:7">
      <c r="G309" s="1"/>
    </row>
    <row r="310" spans="6:7">
      <c r="G310" s="1"/>
    </row>
    <row r="311" spans="6:7">
      <c r="G311" s="1"/>
    </row>
    <row r="312" spans="6:7">
      <c r="G312" s="1"/>
    </row>
    <row r="313" spans="6:7">
      <c r="G313" s="1"/>
    </row>
    <row r="314" spans="6:7">
      <c r="G314" s="1"/>
    </row>
    <row r="315" spans="6:7">
      <c r="G315" s="1"/>
    </row>
    <row r="316" spans="6:7">
      <c r="G316" s="1"/>
    </row>
    <row r="317" spans="6:7">
      <c r="G317" s="1"/>
    </row>
    <row r="318" spans="6:7">
      <c r="G318" s="1"/>
    </row>
    <row r="319" spans="6:7">
      <c r="G319" s="1"/>
    </row>
    <row r="320" spans="6:7">
      <c r="G320" s="1"/>
    </row>
    <row r="321" spans="7:7">
      <c r="G321" s="1"/>
    </row>
    <row r="322" spans="7:7">
      <c r="G322" s="1"/>
    </row>
    <row r="323" spans="7:7">
      <c r="G323" s="1"/>
    </row>
    <row r="324" spans="7:7">
      <c r="G324" s="1"/>
    </row>
    <row r="325" spans="7:7">
      <c r="G325" s="1"/>
    </row>
    <row r="326" spans="7:7">
      <c r="G326" s="1"/>
    </row>
    <row r="327" spans="7:7">
      <c r="G327" s="1"/>
    </row>
    <row r="328" spans="7:7">
      <c r="G328" s="1"/>
    </row>
    <row r="329" spans="7:7">
      <c r="G329" s="1"/>
    </row>
    <row r="330" spans="7:7">
      <c r="G330" s="1"/>
    </row>
    <row r="331" spans="7:7">
      <c r="G331" s="1"/>
    </row>
    <row r="332" spans="7:7">
      <c r="G332" s="1"/>
    </row>
    <row r="333" spans="7:7">
      <c r="G333" s="1"/>
    </row>
    <row r="334" spans="7:7">
      <c r="G334" s="1"/>
    </row>
    <row r="335" spans="7:7">
      <c r="G335" s="1"/>
    </row>
    <row r="336" spans="7:7">
      <c r="G336" s="1"/>
    </row>
    <row r="337" spans="7:7">
      <c r="G337" s="1"/>
    </row>
    <row r="338" spans="7:7">
      <c r="G338" s="1"/>
    </row>
    <row r="339" spans="7:7">
      <c r="G339" s="1"/>
    </row>
    <row r="340" spans="7:7">
      <c r="G340" s="1"/>
    </row>
    <row r="341" spans="7:7">
      <c r="G341" s="1"/>
    </row>
    <row r="342" spans="7:7">
      <c r="G342" s="1"/>
    </row>
    <row r="343" spans="7:7">
      <c r="G343" s="1"/>
    </row>
    <row r="344" spans="7:7">
      <c r="G344" s="1"/>
    </row>
    <row r="345" spans="7:7">
      <c r="G345" s="1"/>
    </row>
    <row r="346" spans="7:7">
      <c r="G346" s="1"/>
    </row>
    <row r="347" spans="7:7">
      <c r="G347" s="1"/>
    </row>
    <row r="348" spans="7:7">
      <c r="G348" s="1"/>
    </row>
    <row r="349" spans="7:7">
      <c r="G349" s="1"/>
    </row>
    <row r="350" spans="7:7">
      <c r="G350" s="1"/>
    </row>
    <row r="351" spans="7:7">
      <c r="G351" s="1"/>
    </row>
    <row r="352" spans="7:7">
      <c r="G352" s="1"/>
    </row>
    <row r="353" spans="7:7">
      <c r="G353" s="1"/>
    </row>
    <row r="354" spans="7:7">
      <c r="G354" s="1"/>
    </row>
    <row r="355" spans="7:7">
      <c r="G355" s="1"/>
    </row>
    <row r="356" spans="7:7">
      <c r="G356" s="1"/>
    </row>
    <row r="357" spans="7:7">
      <c r="G357" s="1"/>
    </row>
    <row r="358" spans="7:7">
      <c r="G358" s="1"/>
    </row>
    <row r="359" spans="7:7">
      <c r="G359" s="1"/>
    </row>
    <row r="360" spans="7:7">
      <c r="G360" s="1"/>
    </row>
    <row r="361" spans="7:7">
      <c r="G361" s="1"/>
    </row>
    <row r="362" spans="7:7">
      <c r="G362" s="1"/>
    </row>
    <row r="363" spans="7:7">
      <c r="G363" s="1"/>
    </row>
    <row r="364" spans="7:7">
      <c r="G364" s="1"/>
    </row>
    <row r="365" spans="7:7">
      <c r="G365" s="1"/>
    </row>
    <row r="366" spans="7:7">
      <c r="G366" s="1"/>
    </row>
    <row r="367" spans="7:7">
      <c r="G367" s="1"/>
    </row>
    <row r="368" spans="7:7">
      <c r="G368" s="1"/>
    </row>
    <row r="369" spans="7:7">
      <c r="G369" s="1"/>
    </row>
    <row r="370" spans="7:7">
      <c r="G370" s="1"/>
    </row>
    <row r="371" spans="7:7">
      <c r="G371" s="1"/>
    </row>
    <row r="372" spans="7:7">
      <c r="G372" s="1"/>
    </row>
    <row r="373" spans="7:7">
      <c r="G373" s="1"/>
    </row>
    <row r="374" spans="7:7">
      <c r="G374" s="1"/>
    </row>
    <row r="375" spans="7:7">
      <c r="G375" s="1"/>
    </row>
    <row r="376" spans="7:7">
      <c r="G376" s="1"/>
    </row>
    <row r="377" spans="7:7">
      <c r="G377" s="1"/>
    </row>
    <row r="378" spans="7:7">
      <c r="G378" s="1"/>
    </row>
    <row r="379" spans="7:7">
      <c r="G379" s="1"/>
    </row>
    <row r="380" spans="7:7">
      <c r="G380" s="1"/>
    </row>
    <row r="381" spans="7:7">
      <c r="G381" s="1"/>
    </row>
    <row r="382" spans="7:7">
      <c r="G382" s="1"/>
    </row>
    <row r="383" spans="7:7">
      <c r="G383" s="1"/>
    </row>
    <row r="384" spans="7:7">
      <c r="G384" s="1"/>
    </row>
    <row r="385" spans="7:7">
      <c r="G385" s="1"/>
    </row>
    <row r="386" spans="7:7">
      <c r="G386" s="1"/>
    </row>
    <row r="387" spans="7:7">
      <c r="G387" s="1"/>
    </row>
    <row r="388" spans="7:7">
      <c r="G388" s="1"/>
    </row>
    <row r="389" spans="7:7">
      <c r="G389" s="1"/>
    </row>
    <row r="390" spans="7:7">
      <c r="G390" s="1"/>
    </row>
    <row r="391" spans="7:7">
      <c r="G391" s="1"/>
    </row>
    <row r="392" spans="7:7">
      <c r="G392" s="1"/>
    </row>
    <row r="393" spans="7:7">
      <c r="G393" s="1"/>
    </row>
    <row r="394" spans="7:7">
      <c r="G394" s="1"/>
    </row>
    <row r="395" spans="7:7">
      <c r="G395" s="1"/>
    </row>
    <row r="396" spans="7:7">
      <c r="G396" s="1"/>
    </row>
    <row r="397" spans="7:7">
      <c r="G397" s="1"/>
    </row>
    <row r="398" spans="7:7">
      <c r="G398" s="1"/>
    </row>
    <row r="399" spans="7:7">
      <c r="G399" s="1"/>
    </row>
  </sheetData>
  <autoFilter ref="B2:G2" xr:uid="{9312E6AC-C8B4-4D4D-88D2-D9AE740381DA}">
    <sortState ref="B3:G102">
      <sortCondition ref="E2"/>
    </sortState>
  </autoFilter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filterData">
                <anchor>
                  <from>
                    <xdr:col>7</xdr:col>
                    <xdr:colOff>101600</xdr:colOff>
                    <xdr:row>5</xdr:row>
                    <xdr:rowOff>25400</xdr:rowOff>
                  </from>
                  <to>
                    <xdr:col>8</xdr:col>
                    <xdr:colOff>698500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buildDataTable">
                <anchor>
                  <from>
                    <xdr:col>7</xdr:col>
                    <xdr:colOff>101600</xdr:colOff>
                    <xdr:row>1</xdr:row>
                    <xdr:rowOff>12700</xdr:rowOff>
                  </from>
                  <to>
                    <xdr:col>8</xdr:col>
                    <xdr:colOff>698500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sortData">
                <anchor>
                  <from>
                    <xdr:col>7</xdr:col>
                    <xdr:colOff>101600</xdr:colOff>
                    <xdr:row>3</xdr:row>
                    <xdr:rowOff>12700</xdr:rowOff>
                  </from>
                  <to>
                    <xdr:col>8</xdr:col>
                    <xdr:colOff>698500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Button5_Click" altText="Upload data to server">
                <anchor>
                  <from>
                    <xdr:col>8</xdr:col>
                    <xdr:colOff>787400</xdr:colOff>
                    <xdr:row>1</xdr:row>
                    <xdr:rowOff>12700</xdr:rowOff>
                  </from>
                  <to>
                    <xdr:col>10</xdr:col>
                    <xdr:colOff>596900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288BE-63AF-D447-997E-6FF445602853}">
  <sheetPr codeName="Sheet3">
    <tabColor theme="0" tint="-0.499984740745262"/>
  </sheetPr>
  <dimension ref="B2:J52"/>
  <sheetViews>
    <sheetView workbookViewId="0">
      <selection activeCell="C14" sqref="C14"/>
    </sheetView>
  </sheetViews>
  <sheetFormatPr baseColWidth="10" defaultRowHeight="16"/>
  <cols>
    <col min="1" max="1" width="3.33203125" customWidth="1"/>
    <col min="2" max="2" width="5.5" bestFit="1" customWidth="1"/>
    <col min="3" max="3" width="28.5" bestFit="1" customWidth="1"/>
    <col min="4" max="4" width="3.33203125" customWidth="1"/>
    <col min="5" max="5" width="45.1640625" bestFit="1" customWidth="1"/>
    <col min="6" max="6" width="3.1640625" customWidth="1"/>
    <col min="7" max="7" width="45.1640625" bestFit="1" customWidth="1"/>
  </cols>
  <sheetData>
    <row r="2" spans="2:10">
      <c r="B2" s="8" t="s">
        <v>121</v>
      </c>
      <c r="C2" s="8"/>
      <c r="E2" s="7" t="s">
        <v>122</v>
      </c>
      <c r="G2" t="s">
        <v>123</v>
      </c>
      <c r="H2">
        <f>SUM(H3:H44)</f>
        <v>93</v>
      </c>
      <c r="J2" s="11" t="str">
        <f>HYPERLINK("https://mobile.hcdistrictclerk.com/CaseDetails/SearchPrinting.aspx","mobile link")</f>
        <v>mobile link</v>
      </c>
    </row>
    <row r="3" spans="2:10">
      <c r="B3" s="13">
        <v>1</v>
      </c>
      <c r="C3" s="9" t="s">
        <v>3</v>
      </c>
      <c r="E3" s="10" t="s">
        <v>125</v>
      </c>
      <c r="G3" t="s">
        <v>25</v>
      </c>
      <c r="H3">
        <f>COUNTIF(data!G:G,G3)</f>
        <v>5</v>
      </c>
      <c r="J3" s="11" t="str">
        <f>HYPERLINK("https://www.hcdistrictclerk.com/Edocs/Public/Search.aspx?NewSuits=1","desktop link")</f>
        <v>desktop link</v>
      </c>
    </row>
    <row r="4" spans="2:10">
      <c r="B4" s="13">
        <v>2</v>
      </c>
      <c r="C4" s="9" t="s">
        <v>4</v>
      </c>
      <c r="E4" s="10" t="s">
        <v>132</v>
      </c>
      <c r="G4" t="s">
        <v>6</v>
      </c>
      <c r="H4">
        <f>COUNTIF(data!G:G,G4)</f>
        <v>2</v>
      </c>
    </row>
    <row r="5" spans="2:10">
      <c r="B5" s="13">
        <v>3</v>
      </c>
      <c r="C5" s="9"/>
      <c r="E5" s="10" t="s">
        <v>124</v>
      </c>
      <c r="G5" t="s">
        <v>28</v>
      </c>
      <c r="H5">
        <f>COUNTIF(data!G:G,G5)</f>
        <v>3</v>
      </c>
    </row>
    <row r="6" spans="2:10">
      <c r="B6" s="13">
        <v>4</v>
      </c>
      <c r="C6" s="9"/>
      <c r="E6" s="10" t="s">
        <v>12</v>
      </c>
      <c r="G6" t="s">
        <v>18</v>
      </c>
      <c r="H6">
        <f>COUNTIF(data!G:G,G6)</f>
        <v>3</v>
      </c>
    </row>
    <row r="7" spans="2:10">
      <c r="B7" s="13">
        <v>5</v>
      </c>
      <c r="C7" s="9"/>
      <c r="E7" s="10"/>
      <c r="G7" t="s">
        <v>13</v>
      </c>
      <c r="H7">
        <f>COUNTIF(data!G:G,G7)</f>
        <v>4</v>
      </c>
    </row>
    <row r="8" spans="2:10">
      <c r="B8" s="13">
        <v>6</v>
      </c>
      <c r="C8" s="9"/>
      <c r="E8" s="10"/>
      <c r="G8" t="s">
        <v>8</v>
      </c>
      <c r="H8">
        <f>COUNTIF(data!G:G,G8)</f>
        <v>3</v>
      </c>
    </row>
    <row r="9" spans="2:10">
      <c r="E9" s="10"/>
      <c r="G9" t="s">
        <v>120</v>
      </c>
      <c r="H9">
        <f>COUNTIF(data!G:G,G9)</f>
        <v>0</v>
      </c>
    </row>
    <row r="10" spans="2:10">
      <c r="B10" s="14" t="s">
        <v>251</v>
      </c>
      <c r="C10" s="14" t="s">
        <v>247</v>
      </c>
      <c r="E10" s="10"/>
      <c r="G10" t="s">
        <v>111</v>
      </c>
      <c r="H10">
        <f>COUNTIF(data!G:G,G10)</f>
        <v>2</v>
      </c>
    </row>
    <row r="11" spans="2:10">
      <c r="B11" s="15" t="s">
        <v>249</v>
      </c>
      <c r="C11" s="10" t="s">
        <v>248</v>
      </c>
      <c r="E11" s="10"/>
      <c r="G11" t="s">
        <v>20</v>
      </c>
      <c r="H11">
        <f>COUNTIF(data!G:G,G11)</f>
        <v>1</v>
      </c>
    </row>
    <row r="12" spans="2:10">
      <c r="B12" s="15" t="s">
        <v>249</v>
      </c>
      <c r="C12" s="10" t="s">
        <v>250</v>
      </c>
      <c r="E12" s="10"/>
      <c r="G12" t="s">
        <v>38</v>
      </c>
      <c r="H12">
        <f>COUNTIF(data!G:G,G12)</f>
        <v>0</v>
      </c>
    </row>
    <row r="13" spans="2:10">
      <c r="B13" s="16"/>
      <c r="C13" s="10"/>
      <c r="E13" s="10"/>
      <c r="G13" t="s">
        <v>14</v>
      </c>
      <c r="H13">
        <f>COUNTIF(data!G:G,G13)</f>
        <v>8</v>
      </c>
    </row>
    <row r="14" spans="2:10">
      <c r="B14" s="16"/>
      <c r="C14" s="10"/>
      <c r="E14" s="10"/>
      <c r="G14" t="s">
        <v>11</v>
      </c>
      <c r="H14">
        <f>COUNTIF(data!G:G,G14)</f>
        <v>0</v>
      </c>
    </row>
    <row r="15" spans="2:10">
      <c r="B15" s="16"/>
      <c r="C15" s="10"/>
      <c r="E15" s="10"/>
      <c r="G15" t="s">
        <v>35</v>
      </c>
      <c r="H15">
        <f>COUNTIF(data!G:G,G15)</f>
        <v>0</v>
      </c>
    </row>
    <row r="16" spans="2:10">
      <c r="B16" s="16"/>
      <c r="C16" s="10"/>
      <c r="E16" s="10"/>
      <c r="G16" t="s">
        <v>12</v>
      </c>
      <c r="H16">
        <f>COUNTIF(data!G:G,G16)</f>
        <v>3</v>
      </c>
    </row>
    <row r="17" spans="2:8">
      <c r="B17" s="16"/>
      <c r="C17" s="10"/>
      <c r="E17" s="10"/>
      <c r="G17" t="s">
        <v>19</v>
      </c>
      <c r="H17">
        <f>COUNTIF(data!G:G,G17)</f>
        <v>4</v>
      </c>
    </row>
    <row r="18" spans="2:8">
      <c r="B18" s="16"/>
      <c r="C18" s="10"/>
      <c r="E18" s="10"/>
      <c r="G18" t="s">
        <v>10</v>
      </c>
      <c r="H18">
        <f>COUNTIF(data!G:G,G18)</f>
        <v>3</v>
      </c>
    </row>
    <row r="19" spans="2:8">
      <c r="B19" s="16"/>
      <c r="C19" s="10"/>
      <c r="E19" s="10"/>
      <c r="G19" t="s">
        <v>33</v>
      </c>
      <c r="H19">
        <f>COUNTIF(data!G:G,G19)</f>
        <v>1</v>
      </c>
    </row>
    <row r="20" spans="2:8">
      <c r="B20" s="16"/>
      <c r="C20" s="10"/>
      <c r="E20" s="10"/>
      <c r="G20" t="s">
        <v>26</v>
      </c>
      <c r="H20">
        <f>COUNTIF(data!G:G,G20)</f>
        <v>1</v>
      </c>
    </row>
    <row r="21" spans="2:8">
      <c r="B21" s="16"/>
      <c r="C21" s="10"/>
      <c r="E21" s="10"/>
      <c r="G21" t="s">
        <v>85</v>
      </c>
      <c r="H21">
        <f>COUNTIF(data!G:G,G21)</f>
        <v>2</v>
      </c>
    </row>
    <row r="22" spans="2:8">
      <c r="B22" s="16"/>
      <c r="C22" s="10"/>
      <c r="E22" s="10"/>
      <c r="G22" t="s">
        <v>17</v>
      </c>
      <c r="H22">
        <f>COUNTIF(data!G:G,G22)</f>
        <v>2</v>
      </c>
    </row>
    <row r="23" spans="2:8">
      <c r="B23" s="16"/>
      <c r="C23" s="10"/>
      <c r="E23" s="10"/>
      <c r="G23" t="s">
        <v>7</v>
      </c>
      <c r="H23">
        <f>COUNTIF(data!G:G,G23)</f>
        <v>2</v>
      </c>
    </row>
    <row r="24" spans="2:8">
      <c r="B24" s="16"/>
      <c r="C24" s="10"/>
      <c r="E24" s="10"/>
      <c r="G24" t="s">
        <v>27</v>
      </c>
      <c r="H24">
        <f>COUNTIF(data!G:G,G24)</f>
        <v>4</v>
      </c>
    </row>
    <row r="25" spans="2:8">
      <c r="B25" s="16"/>
      <c r="C25" s="10"/>
      <c r="E25" s="10"/>
      <c r="G25" t="s">
        <v>32</v>
      </c>
      <c r="H25">
        <f>COUNTIF(data!G:G,G25)</f>
        <v>1</v>
      </c>
    </row>
    <row r="26" spans="2:8">
      <c r="B26" s="16"/>
      <c r="C26" s="10"/>
      <c r="E26" s="10"/>
      <c r="G26" t="s">
        <v>115</v>
      </c>
      <c r="H26">
        <f>COUNTIF(data!G:G,G26)</f>
        <v>2</v>
      </c>
    </row>
    <row r="27" spans="2:8">
      <c r="B27" s="16"/>
      <c r="C27" s="10"/>
      <c r="E27" s="10"/>
      <c r="G27" t="s">
        <v>15</v>
      </c>
      <c r="H27">
        <f>COUNTIF(data!G:G,G27)</f>
        <v>1</v>
      </c>
    </row>
    <row r="28" spans="2:8">
      <c r="B28" s="16"/>
      <c r="C28" s="10"/>
      <c r="E28" s="10"/>
      <c r="G28" t="s">
        <v>37</v>
      </c>
      <c r="H28">
        <f>COUNTIF(data!G:G,G28)</f>
        <v>0</v>
      </c>
    </row>
    <row r="29" spans="2:8">
      <c r="B29" s="16"/>
      <c r="C29" s="10"/>
      <c r="E29" s="10"/>
      <c r="G29" t="s">
        <v>101</v>
      </c>
      <c r="H29">
        <f>COUNTIF(data!G:G,G29)</f>
        <v>2</v>
      </c>
    </row>
    <row r="30" spans="2:8">
      <c r="B30" s="16"/>
      <c r="C30" s="10"/>
      <c r="E30" s="10"/>
      <c r="G30" t="s">
        <v>119</v>
      </c>
      <c r="H30">
        <f>COUNTIF(data!G:G,G30)</f>
        <v>1</v>
      </c>
    </row>
    <row r="31" spans="2:8">
      <c r="B31" s="16"/>
      <c r="C31" s="10"/>
      <c r="E31" s="10"/>
      <c r="G31" t="s">
        <v>106</v>
      </c>
      <c r="H31">
        <f>COUNTIF(data!G:G,G31)</f>
        <v>1</v>
      </c>
    </row>
    <row r="32" spans="2:8">
      <c r="B32" s="16"/>
      <c r="C32" s="10"/>
      <c r="E32" s="10"/>
      <c r="G32" t="s">
        <v>34</v>
      </c>
      <c r="H32">
        <f>COUNTIF(data!G:G,G32)</f>
        <v>1</v>
      </c>
    </row>
    <row r="33" spans="2:8">
      <c r="B33" s="16"/>
      <c r="C33" s="10"/>
      <c r="E33" s="10"/>
      <c r="G33" t="s">
        <v>22</v>
      </c>
      <c r="H33">
        <f>COUNTIF(data!G:G,G33)</f>
        <v>7</v>
      </c>
    </row>
    <row r="34" spans="2:8">
      <c r="B34" s="16"/>
      <c r="C34" s="10"/>
      <c r="E34" s="10"/>
      <c r="G34" t="s">
        <v>24</v>
      </c>
      <c r="H34">
        <f>COUNTIF(data!G:G,G34)</f>
        <v>2</v>
      </c>
    </row>
    <row r="35" spans="2:8">
      <c r="B35" s="16"/>
      <c r="C35" s="10"/>
      <c r="E35" s="10"/>
      <c r="G35" t="s">
        <v>23</v>
      </c>
      <c r="H35">
        <f>COUNTIF(data!G:G,G35)</f>
        <v>2</v>
      </c>
    </row>
    <row r="36" spans="2:8">
      <c r="B36" s="16"/>
      <c r="C36" s="10"/>
      <c r="E36" s="10"/>
      <c r="G36" t="s">
        <v>9</v>
      </c>
      <c r="H36">
        <f>COUNTIF(data!G:G,G36)</f>
        <v>3</v>
      </c>
    </row>
    <row r="37" spans="2:8">
      <c r="B37" s="16"/>
      <c r="C37" s="10"/>
      <c r="E37" s="10"/>
      <c r="G37" t="s">
        <v>29</v>
      </c>
      <c r="H37">
        <f>COUNTIF(data!G:G,G37)</f>
        <v>0</v>
      </c>
    </row>
    <row r="38" spans="2:8">
      <c r="B38" s="16"/>
      <c r="C38" s="10"/>
      <c r="E38" s="10"/>
      <c r="G38" t="s">
        <v>21</v>
      </c>
      <c r="H38">
        <f>COUNTIF(data!G:G,G38)</f>
        <v>1</v>
      </c>
    </row>
    <row r="39" spans="2:8">
      <c r="B39" s="16"/>
      <c r="C39" s="10"/>
      <c r="E39" s="10"/>
      <c r="G39" t="s">
        <v>16</v>
      </c>
      <c r="H39">
        <f>COUNTIF(data!G:G,G39)</f>
        <v>1</v>
      </c>
    </row>
    <row r="40" spans="2:8">
      <c r="B40" s="16"/>
      <c r="C40" s="10"/>
      <c r="E40" s="10"/>
      <c r="G40" t="s">
        <v>5</v>
      </c>
      <c r="H40">
        <f>COUNTIF(data!G:G,G40)</f>
        <v>2</v>
      </c>
    </row>
    <row r="41" spans="2:8">
      <c r="B41" s="16"/>
      <c r="C41" s="10"/>
      <c r="E41" s="10"/>
      <c r="G41" t="s">
        <v>31</v>
      </c>
      <c r="H41">
        <f>COUNTIF(data!G:G,G41)</f>
        <v>4</v>
      </c>
    </row>
    <row r="42" spans="2:8">
      <c r="B42" s="16"/>
      <c r="C42" s="10"/>
      <c r="E42" s="10"/>
      <c r="G42" t="s">
        <v>108</v>
      </c>
      <c r="H42">
        <f>COUNTIF(data!G:G,G42)</f>
        <v>1</v>
      </c>
    </row>
    <row r="43" spans="2:8">
      <c r="B43" s="16"/>
      <c r="C43" s="10"/>
      <c r="E43" s="10"/>
      <c r="G43" t="s">
        <v>30</v>
      </c>
      <c r="H43">
        <f>COUNTIF(data!G:G,G43)</f>
        <v>4</v>
      </c>
    </row>
    <row r="44" spans="2:8">
      <c r="B44" s="16"/>
      <c r="C44" s="10"/>
      <c r="E44" s="10"/>
      <c r="G44" t="s">
        <v>36</v>
      </c>
      <c r="H44">
        <f>COUNTIF(data!G:G,G44)</f>
        <v>4</v>
      </c>
    </row>
    <row r="45" spans="2:8">
      <c r="B45" s="16"/>
      <c r="C45" s="10"/>
      <c r="E45" s="10"/>
    </row>
    <row r="46" spans="2:8">
      <c r="B46" s="16"/>
      <c r="C46" s="10"/>
      <c r="E46" s="10"/>
    </row>
    <row r="47" spans="2:8">
      <c r="B47" s="16"/>
      <c r="C47" s="10"/>
      <c r="E47" s="10"/>
    </row>
    <row r="48" spans="2:8">
      <c r="B48" s="16"/>
      <c r="C48" s="10"/>
      <c r="E48" s="10"/>
    </row>
    <row r="49" spans="2:5">
      <c r="B49" s="16"/>
      <c r="C49" s="10"/>
      <c r="E49" s="10"/>
    </row>
    <row r="50" spans="2:5">
      <c r="B50" s="16"/>
      <c r="C50" s="10"/>
      <c r="E50" s="10"/>
    </row>
    <row r="51" spans="2:5">
      <c r="B51" s="16"/>
      <c r="C51" s="10"/>
      <c r="E51" s="10"/>
    </row>
    <row r="52" spans="2:5">
      <c r="B52" s="16"/>
      <c r="C52" s="10"/>
      <c r="E52" s="10"/>
    </row>
  </sheetData>
  <sortState ref="E3:E101">
    <sortCondition ref="E3:E101"/>
  </sortState>
  <mergeCells count="2">
    <mergeCell ref="B2:C2"/>
    <mergeCell ref="B10:C10"/>
  </mergeCells>
  <dataValidations count="1">
    <dataValidation type="list" allowBlank="1" showInputMessage="1" showErrorMessage="1" sqref="B11:B12" xr:uid="{EAEE7DDF-4A1B-6349-8293-A4DBE6AAB7C3}">
      <formula1>"yes,no"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0BD8086-3791-1A42-8B87-3CBE4A386C4E}">
          <x14:formula1>
            <xm:f>data!$B$2:$G$2</xm:f>
          </x14:formula1>
          <xm:sqref>C3:C8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C30B21-0F90-B54B-A8B7-49E1C8CF0839}">
  <sheetPr codeName="Sheet4"/>
  <dimension ref="A1:F205"/>
  <sheetViews>
    <sheetView workbookViewId="0">
      <selection activeCell="A2" sqref="A2:F204"/>
    </sheetView>
  </sheetViews>
  <sheetFormatPr baseColWidth="10" defaultRowHeight="16"/>
  <sheetData>
    <row r="1" spans="1:6">
      <c r="A1" s="11" t="str">
        <f>HYPERLINK("https://mobile.hcdistrictclerk.com/CaseDetails/SearchPrinting.aspx","link")</f>
        <v>link</v>
      </c>
    </row>
    <row r="2" spans="1:6" ht="24">
      <c r="A2" s="3" t="s">
        <v>133</v>
      </c>
    </row>
    <row r="3" spans="1:6" ht="16" customHeight="1"/>
    <row r="4" spans="1:6" ht="19">
      <c r="A4" s="4" t="s">
        <v>243</v>
      </c>
    </row>
    <row r="5" spans="1:6" ht="19">
      <c r="A5" s="4" t="s">
        <v>0</v>
      </c>
      <c r="B5" s="4" t="s">
        <v>1</v>
      </c>
      <c r="C5" s="4" t="s">
        <v>2</v>
      </c>
      <c r="D5" s="4" t="s">
        <v>3</v>
      </c>
      <c r="E5" s="4" t="s">
        <v>39</v>
      </c>
      <c r="F5" s="4" t="s">
        <v>4</v>
      </c>
    </row>
    <row r="6" spans="1:6">
      <c r="A6" s="5" t="s">
        <v>134</v>
      </c>
      <c r="B6" s="5" t="s">
        <v>135</v>
      </c>
      <c r="C6" s="12">
        <v>44348</v>
      </c>
      <c r="D6" s="5">
        <v>7</v>
      </c>
      <c r="E6" s="5" t="s">
        <v>41</v>
      </c>
      <c r="F6" s="5" t="s">
        <v>13</v>
      </c>
    </row>
    <row r="7" spans="1:6" ht="19">
      <c r="A7" s="4"/>
    </row>
    <row r="8" spans="1:6">
      <c r="A8" s="5" t="s">
        <v>136</v>
      </c>
      <c r="B8" s="5" t="s">
        <v>137</v>
      </c>
      <c r="C8" s="12">
        <v>44348</v>
      </c>
      <c r="D8" s="5">
        <v>15</v>
      </c>
      <c r="E8" s="5" t="s">
        <v>41</v>
      </c>
      <c r="F8" s="5" t="s">
        <v>13</v>
      </c>
    </row>
    <row r="9" spans="1:6" ht="19">
      <c r="A9" s="4"/>
    </row>
    <row r="10" spans="1:6">
      <c r="A10" s="5" t="s">
        <v>138</v>
      </c>
      <c r="B10" s="5" t="s">
        <v>139</v>
      </c>
      <c r="C10" s="12">
        <v>44348</v>
      </c>
      <c r="D10" s="5">
        <v>5</v>
      </c>
      <c r="E10" s="5" t="s">
        <v>41</v>
      </c>
      <c r="F10" s="5" t="s">
        <v>127</v>
      </c>
    </row>
    <row r="11" spans="1:6" ht="19">
      <c r="A11" s="4"/>
    </row>
    <row r="12" spans="1:6">
      <c r="A12" s="5" t="s">
        <v>140</v>
      </c>
      <c r="B12" s="5" t="s">
        <v>141</v>
      </c>
      <c r="C12" s="12">
        <v>44348</v>
      </c>
      <c r="D12" s="5">
        <v>12</v>
      </c>
      <c r="E12" s="5" t="s">
        <v>41</v>
      </c>
      <c r="F12" s="5" t="s">
        <v>36</v>
      </c>
    </row>
    <row r="13" spans="1:6" ht="19">
      <c r="A13" s="4"/>
    </row>
    <row r="14" spans="1:6">
      <c r="A14" s="5" t="s">
        <v>40</v>
      </c>
      <c r="B14" s="5" t="s">
        <v>142</v>
      </c>
      <c r="C14" s="12">
        <v>44348</v>
      </c>
      <c r="D14" s="5">
        <v>9</v>
      </c>
      <c r="E14" s="5" t="s">
        <v>41</v>
      </c>
      <c r="F14" s="5" t="s">
        <v>19</v>
      </c>
    </row>
    <row r="15" spans="1:6" ht="19">
      <c r="A15" s="4"/>
    </row>
    <row r="16" spans="1:6">
      <c r="A16" s="5" t="s">
        <v>42</v>
      </c>
      <c r="B16" s="5" t="s">
        <v>143</v>
      </c>
      <c r="C16" s="12">
        <v>44348</v>
      </c>
      <c r="D16" s="5">
        <v>1</v>
      </c>
      <c r="E16" s="5" t="s">
        <v>41</v>
      </c>
      <c r="F16" s="5" t="s">
        <v>14</v>
      </c>
    </row>
    <row r="17" spans="1:6" ht="19">
      <c r="A17" s="4"/>
    </row>
    <row r="18" spans="1:6">
      <c r="A18" s="5" t="s">
        <v>43</v>
      </c>
      <c r="B18" s="5" t="s">
        <v>144</v>
      </c>
      <c r="C18" s="12">
        <v>44348</v>
      </c>
      <c r="D18" s="5">
        <v>8</v>
      </c>
      <c r="E18" s="5" t="s">
        <v>41</v>
      </c>
      <c r="F18" s="5" t="s">
        <v>14</v>
      </c>
    </row>
    <row r="19" spans="1:6" ht="19">
      <c r="A19" s="4"/>
    </row>
    <row r="20" spans="1:6">
      <c r="A20" s="5" t="s">
        <v>145</v>
      </c>
      <c r="B20" s="5" t="s">
        <v>146</v>
      </c>
      <c r="C20" s="12">
        <v>44348</v>
      </c>
      <c r="D20" s="5">
        <v>7</v>
      </c>
      <c r="E20" s="5" t="s">
        <v>41</v>
      </c>
      <c r="F20" s="5" t="s">
        <v>14</v>
      </c>
    </row>
    <row r="21" spans="1:6" ht="19">
      <c r="A21" s="4"/>
    </row>
    <row r="22" spans="1:6">
      <c r="A22" s="5" t="s">
        <v>147</v>
      </c>
      <c r="B22" s="5" t="s">
        <v>146</v>
      </c>
      <c r="C22" s="12">
        <v>44348</v>
      </c>
      <c r="D22" s="5">
        <v>7</v>
      </c>
      <c r="E22" s="5" t="s">
        <v>41</v>
      </c>
      <c r="F22" s="5" t="s">
        <v>19</v>
      </c>
    </row>
    <row r="23" spans="1:6" ht="19">
      <c r="A23" s="4"/>
    </row>
    <row r="24" spans="1:6">
      <c r="A24" s="5" t="s">
        <v>44</v>
      </c>
      <c r="B24" s="5" t="s">
        <v>148</v>
      </c>
      <c r="C24" s="12">
        <v>44348</v>
      </c>
      <c r="D24" s="5">
        <v>3</v>
      </c>
      <c r="E24" s="5" t="s">
        <v>41</v>
      </c>
      <c r="F24" s="5" t="s">
        <v>19</v>
      </c>
    </row>
    <row r="25" spans="1:6" ht="19">
      <c r="A25" s="4"/>
    </row>
    <row r="26" spans="1:6">
      <c r="A26" s="5" t="s">
        <v>149</v>
      </c>
      <c r="B26" s="5" t="s">
        <v>150</v>
      </c>
      <c r="C26" s="12">
        <v>44348</v>
      </c>
      <c r="D26" s="5">
        <v>16</v>
      </c>
      <c r="E26" s="5" t="s">
        <v>41</v>
      </c>
      <c r="F26" s="5" t="s">
        <v>17</v>
      </c>
    </row>
    <row r="27" spans="1:6" ht="19">
      <c r="A27" s="4"/>
    </row>
    <row r="28" spans="1:6">
      <c r="A28" s="5" t="s">
        <v>45</v>
      </c>
      <c r="B28" s="5" t="s">
        <v>151</v>
      </c>
      <c r="C28" s="12">
        <v>44348</v>
      </c>
      <c r="D28" s="5">
        <v>15</v>
      </c>
      <c r="E28" s="5" t="s">
        <v>41</v>
      </c>
      <c r="F28" s="5" t="s">
        <v>16</v>
      </c>
    </row>
    <row r="29" spans="1:6" ht="19">
      <c r="A29" s="4"/>
    </row>
    <row r="30" spans="1:6">
      <c r="A30" s="5" t="s">
        <v>46</v>
      </c>
      <c r="B30" s="5" t="s">
        <v>152</v>
      </c>
      <c r="C30" s="12">
        <v>44348</v>
      </c>
      <c r="D30" s="5">
        <v>11</v>
      </c>
      <c r="E30" s="5" t="s">
        <v>41</v>
      </c>
      <c r="F30" s="5" t="s">
        <v>10</v>
      </c>
    </row>
    <row r="31" spans="1:6" ht="19">
      <c r="A31" s="4"/>
    </row>
    <row r="32" spans="1:6">
      <c r="A32" s="5" t="s">
        <v>47</v>
      </c>
      <c r="B32" s="5" t="s">
        <v>153</v>
      </c>
      <c r="C32" s="12">
        <v>44348</v>
      </c>
      <c r="D32" s="5">
        <v>10</v>
      </c>
      <c r="E32" s="5" t="s">
        <v>41</v>
      </c>
      <c r="F32" s="5" t="s">
        <v>33</v>
      </c>
    </row>
    <row r="33" spans="1:6" ht="19">
      <c r="A33" s="4"/>
    </row>
    <row r="34" spans="1:6">
      <c r="A34" s="5" t="s">
        <v>48</v>
      </c>
      <c r="B34" s="5" t="s">
        <v>154</v>
      </c>
      <c r="C34" s="12">
        <v>44348</v>
      </c>
      <c r="D34" s="5">
        <v>9</v>
      </c>
      <c r="E34" s="5" t="s">
        <v>41</v>
      </c>
      <c r="F34" s="5" t="s">
        <v>12</v>
      </c>
    </row>
    <row r="35" spans="1:6" ht="19">
      <c r="A35" s="4"/>
    </row>
    <row r="36" spans="1:6">
      <c r="A36" s="5" t="s">
        <v>49</v>
      </c>
      <c r="B36" s="5" t="s">
        <v>155</v>
      </c>
      <c r="C36" s="12">
        <v>44348</v>
      </c>
      <c r="D36" s="5">
        <v>8</v>
      </c>
      <c r="E36" s="5" t="s">
        <v>41</v>
      </c>
      <c r="F36" s="5" t="s">
        <v>19</v>
      </c>
    </row>
    <row r="37" spans="1:6" ht="19">
      <c r="A37" s="4"/>
    </row>
    <row r="38" spans="1:6">
      <c r="A38" s="5" t="s">
        <v>50</v>
      </c>
      <c r="B38" s="5" t="s">
        <v>155</v>
      </c>
      <c r="C38" s="12">
        <v>44348</v>
      </c>
      <c r="D38" s="5">
        <v>8</v>
      </c>
      <c r="E38" s="5" t="s">
        <v>41</v>
      </c>
      <c r="F38" s="5" t="s">
        <v>32</v>
      </c>
    </row>
    <row r="39" spans="1:6" ht="19">
      <c r="A39" s="4"/>
    </row>
    <row r="40" spans="1:6">
      <c r="A40" s="5" t="s">
        <v>51</v>
      </c>
      <c r="B40" s="5" t="s">
        <v>156</v>
      </c>
      <c r="C40" s="12">
        <v>44348</v>
      </c>
      <c r="D40" s="5">
        <v>6</v>
      </c>
      <c r="E40" s="5" t="s">
        <v>41</v>
      </c>
      <c r="F40" s="5" t="s">
        <v>10</v>
      </c>
    </row>
    <row r="41" spans="1:6" ht="19">
      <c r="A41" s="4"/>
    </row>
    <row r="42" spans="1:6">
      <c r="A42" s="5" t="s">
        <v>157</v>
      </c>
      <c r="B42" s="5" t="s">
        <v>158</v>
      </c>
      <c r="C42" s="12">
        <v>44348</v>
      </c>
      <c r="D42" s="5">
        <v>5</v>
      </c>
      <c r="E42" s="5" t="s">
        <v>41</v>
      </c>
      <c r="F42" s="5" t="s">
        <v>12</v>
      </c>
    </row>
    <row r="43" spans="1:6" ht="19">
      <c r="A43" s="4"/>
    </row>
    <row r="44" spans="1:6">
      <c r="A44" s="5" t="s">
        <v>52</v>
      </c>
      <c r="B44" s="5" t="s">
        <v>159</v>
      </c>
      <c r="C44" s="12">
        <v>44348</v>
      </c>
      <c r="D44" s="5">
        <v>4</v>
      </c>
      <c r="E44" s="5" t="s">
        <v>41</v>
      </c>
      <c r="F44" s="5" t="s">
        <v>36</v>
      </c>
    </row>
    <row r="45" spans="1:6" ht="19">
      <c r="A45" s="4"/>
    </row>
    <row r="46" spans="1:6">
      <c r="A46" s="5" t="s">
        <v>53</v>
      </c>
      <c r="B46" s="5" t="s">
        <v>160</v>
      </c>
      <c r="C46" s="12">
        <v>44348</v>
      </c>
      <c r="D46" s="5">
        <v>3</v>
      </c>
      <c r="E46" s="5" t="s">
        <v>41</v>
      </c>
      <c r="F46" s="5" t="s">
        <v>14</v>
      </c>
    </row>
    <row r="47" spans="1:6" ht="19">
      <c r="A47" s="4"/>
    </row>
    <row r="48" spans="1:6">
      <c r="A48" s="5" t="s">
        <v>54</v>
      </c>
      <c r="B48" s="5" t="s">
        <v>161</v>
      </c>
      <c r="C48" s="12">
        <v>44348</v>
      </c>
      <c r="D48" s="5">
        <v>1</v>
      </c>
      <c r="E48" s="5" t="s">
        <v>41</v>
      </c>
      <c r="F48" s="5" t="s">
        <v>14</v>
      </c>
    </row>
    <row r="49" spans="1:6" ht="19">
      <c r="A49" s="4"/>
    </row>
    <row r="50" spans="1:6">
      <c r="A50" s="5" t="s">
        <v>55</v>
      </c>
      <c r="B50" s="5" t="s">
        <v>162</v>
      </c>
      <c r="C50" s="12">
        <v>44348</v>
      </c>
      <c r="D50" s="5">
        <v>16</v>
      </c>
      <c r="E50" s="5" t="s">
        <v>41</v>
      </c>
      <c r="F50" s="5" t="s">
        <v>14</v>
      </c>
    </row>
    <row r="51" spans="1:6" ht="19">
      <c r="A51" s="4"/>
    </row>
    <row r="52" spans="1:6">
      <c r="A52" s="5" t="s">
        <v>56</v>
      </c>
      <c r="B52" s="5" t="s">
        <v>163</v>
      </c>
      <c r="C52" s="12">
        <v>44348</v>
      </c>
      <c r="D52" s="5">
        <v>12</v>
      </c>
      <c r="E52" s="5" t="s">
        <v>41</v>
      </c>
      <c r="F52" s="5" t="s">
        <v>31</v>
      </c>
    </row>
    <row r="53" spans="1:6" ht="19">
      <c r="A53" s="4"/>
    </row>
    <row r="54" spans="1:6">
      <c r="A54" s="5" t="s">
        <v>57</v>
      </c>
      <c r="B54" s="5" t="s">
        <v>164</v>
      </c>
      <c r="C54" s="12">
        <v>44348</v>
      </c>
      <c r="D54" s="5">
        <v>15</v>
      </c>
      <c r="E54" s="5" t="s">
        <v>41</v>
      </c>
      <c r="F54" s="5" t="s">
        <v>12</v>
      </c>
    </row>
    <row r="55" spans="1:6" ht="19">
      <c r="A55" s="4"/>
    </row>
    <row r="56" spans="1:6">
      <c r="A56" s="5" t="s">
        <v>58</v>
      </c>
      <c r="B56" s="5" t="s">
        <v>165</v>
      </c>
      <c r="C56" s="12">
        <v>44348</v>
      </c>
      <c r="D56" s="5">
        <v>14</v>
      </c>
      <c r="E56" s="5" t="s">
        <v>41</v>
      </c>
      <c r="F56" s="5" t="s">
        <v>17</v>
      </c>
    </row>
    <row r="57" spans="1:6" ht="19">
      <c r="A57" s="4"/>
    </row>
    <row r="58" spans="1:6">
      <c r="A58" s="5" t="s">
        <v>59</v>
      </c>
      <c r="B58" s="5" t="s">
        <v>165</v>
      </c>
      <c r="C58" s="12">
        <v>44348</v>
      </c>
      <c r="D58" s="5">
        <v>14</v>
      </c>
      <c r="E58" s="5" t="s">
        <v>41</v>
      </c>
      <c r="F58" s="5" t="s">
        <v>36</v>
      </c>
    </row>
    <row r="59" spans="1:6" ht="19">
      <c r="A59" s="4"/>
    </row>
    <row r="60" spans="1:6">
      <c r="A60" s="5" t="s">
        <v>60</v>
      </c>
      <c r="B60" s="5" t="s">
        <v>166</v>
      </c>
      <c r="C60" s="12">
        <v>44348</v>
      </c>
      <c r="D60" s="5">
        <v>12</v>
      </c>
      <c r="E60" s="5" t="s">
        <v>41</v>
      </c>
      <c r="F60" s="5" t="s">
        <v>31</v>
      </c>
    </row>
    <row r="61" spans="1:6" ht="19">
      <c r="A61" s="4"/>
    </row>
    <row r="62" spans="1:6">
      <c r="A62" s="5" t="s">
        <v>61</v>
      </c>
      <c r="B62" s="5" t="s">
        <v>167</v>
      </c>
      <c r="C62" s="12">
        <v>44348</v>
      </c>
      <c r="D62" s="5">
        <v>11</v>
      </c>
      <c r="E62" s="5" t="s">
        <v>41</v>
      </c>
      <c r="F62" s="5" t="s">
        <v>31</v>
      </c>
    </row>
    <row r="63" spans="1:6" ht="19">
      <c r="A63" s="4"/>
    </row>
    <row r="64" spans="1:6">
      <c r="A64" s="5" t="s">
        <v>62</v>
      </c>
      <c r="B64" s="5" t="s">
        <v>168</v>
      </c>
      <c r="C64" s="12">
        <v>44348</v>
      </c>
      <c r="D64" s="5">
        <v>10</v>
      </c>
      <c r="E64" s="5" t="s">
        <v>41</v>
      </c>
      <c r="F64" s="5" t="s">
        <v>13</v>
      </c>
    </row>
    <row r="65" spans="1:6" ht="19">
      <c r="A65" s="4"/>
    </row>
    <row r="66" spans="1:6">
      <c r="A66" s="5" t="s">
        <v>63</v>
      </c>
      <c r="B66" s="5" t="s">
        <v>169</v>
      </c>
      <c r="C66" s="12">
        <v>44348</v>
      </c>
      <c r="D66" s="5">
        <v>7</v>
      </c>
      <c r="E66" s="5" t="s">
        <v>41</v>
      </c>
      <c r="F66" s="5" t="s">
        <v>18</v>
      </c>
    </row>
    <row r="67" spans="1:6" ht="19">
      <c r="A67" s="4"/>
    </row>
    <row r="68" spans="1:6">
      <c r="A68" s="5" t="s">
        <v>64</v>
      </c>
      <c r="B68" s="5" t="s">
        <v>170</v>
      </c>
      <c r="C68" s="12">
        <v>44348</v>
      </c>
      <c r="D68" s="5">
        <v>9</v>
      </c>
      <c r="E68" s="5" t="s">
        <v>41</v>
      </c>
      <c r="F68" s="5" t="s">
        <v>18</v>
      </c>
    </row>
    <row r="69" spans="1:6" ht="19">
      <c r="A69" s="4"/>
    </row>
    <row r="70" spans="1:6">
      <c r="A70" s="5" t="s">
        <v>65</v>
      </c>
      <c r="B70" s="5" t="s">
        <v>171</v>
      </c>
      <c r="C70" s="12">
        <v>44348</v>
      </c>
      <c r="D70" s="5">
        <v>8</v>
      </c>
      <c r="E70" s="5" t="s">
        <v>41</v>
      </c>
      <c r="F70" s="5" t="s">
        <v>10</v>
      </c>
    </row>
    <row r="71" spans="1:6" ht="19">
      <c r="A71" s="4"/>
    </row>
    <row r="72" spans="1:6">
      <c r="A72" s="5" t="s">
        <v>66</v>
      </c>
      <c r="B72" s="5" t="s">
        <v>172</v>
      </c>
      <c r="C72" s="12">
        <v>44348</v>
      </c>
      <c r="D72" s="5">
        <v>7</v>
      </c>
      <c r="E72" s="5" t="s">
        <v>41</v>
      </c>
      <c r="F72" s="5" t="s">
        <v>14</v>
      </c>
    </row>
    <row r="73" spans="1:6" ht="19">
      <c r="A73" s="4"/>
    </row>
    <row r="74" spans="1:6">
      <c r="A74" s="5" t="s">
        <v>67</v>
      </c>
      <c r="B74" s="5" t="s">
        <v>173</v>
      </c>
      <c r="C74" s="12">
        <v>44348</v>
      </c>
      <c r="D74" s="5">
        <v>6</v>
      </c>
      <c r="E74" s="5" t="s">
        <v>41</v>
      </c>
      <c r="F74" s="5" t="s">
        <v>36</v>
      </c>
    </row>
    <row r="75" spans="1:6" ht="19">
      <c r="A75" s="4"/>
    </row>
    <row r="76" spans="1:6">
      <c r="A76" s="5" t="s">
        <v>68</v>
      </c>
      <c r="B76" s="5" t="s">
        <v>174</v>
      </c>
      <c r="C76" s="12">
        <v>44348</v>
      </c>
      <c r="D76" s="5">
        <v>5</v>
      </c>
      <c r="E76" s="5" t="s">
        <v>41</v>
      </c>
      <c r="F76" s="5" t="s">
        <v>31</v>
      </c>
    </row>
    <row r="77" spans="1:6" ht="19">
      <c r="A77" s="4"/>
    </row>
    <row r="78" spans="1:6">
      <c r="A78" s="5" t="s">
        <v>69</v>
      </c>
      <c r="B78" s="5" t="s">
        <v>175</v>
      </c>
      <c r="C78" s="12">
        <v>44348</v>
      </c>
      <c r="D78" s="5">
        <v>15</v>
      </c>
      <c r="E78" s="5" t="s">
        <v>41</v>
      </c>
      <c r="F78" s="5" t="s">
        <v>15</v>
      </c>
    </row>
    <row r="79" spans="1:6" ht="19">
      <c r="A79" s="4"/>
    </row>
    <row r="80" spans="1:6">
      <c r="A80" s="5" t="s">
        <v>176</v>
      </c>
      <c r="B80" s="5" t="s">
        <v>177</v>
      </c>
      <c r="C80" s="12">
        <v>44348</v>
      </c>
      <c r="D80" s="5">
        <v>4</v>
      </c>
      <c r="E80" s="5" t="s">
        <v>41</v>
      </c>
      <c r="F80" s="5" t="s">
        <v>128</v>
      </c>
    </row>
    <row r="81" spans="1:6" ht="19">
      <c r="A81" s="4"/>
    </row>
    <row r="82" spans="1:6">
      <c r="A82" s="5" t="s">
        <v>70</v>
      </c>
      <c r="B82" s="5" t="s">
        <v>178</v>
      </c>
      <c r="C82" s="12">
        <v>44348</v>
      </c>
      <c r="D82" s="5">
        <v>7</v>
      </c>
      <c r="E82" s="5" t="s">
        <v>41</v>
      </c>
      <c r="F82" s="5" t="s">
        <v>14</v>
      </c>
    </row>
    <row r="83" spans="1:6" ht="19">
      <c r="A83" s="4"/>
    </row>
    <row r="84" spans="1:6">
      <c r="A84" s="5" t="s">
        <v>179</v>
      </c>
      <c r="B84" s="5" t="s">
        <v>180</v>
      </c>
      <c r="C84" s="12">
        <v>44348</v>
      </c>
      <c r="D84" s="5">
        <v>9</v>
      </c>
      <c r="E84" s="5" t="s">
        <v>41</v>
      </c>
      <c r="F84" s="5" t="s">
        <v>13</v>
      </c>
    </row>
    <row r="85" spans="1:6" ht="19">
      <c r="A85" s="4"/>
    </row>
    <row r="86" spans="1:6">
      <c r="A86" s="5" t="s">
        <v>71</v>
      </c>
      <c r="B86" s="5" t="s">
        <v>181</v>
      </c>
      <c r="C86" s="12">
        <v>44348</v>
      </c>
      <c r="D86" s="5">
        <v>4</v>
      </c>
      <c r="E86" s="5" t="s">
        <v>41</v>
      </c>
      <c r="F86" s="5" t="s">
        <v>18</v>
      </c>
    </row>
    <row r="87" spans="1:6" ht="19">
      <c r="A87" s="4"/>
    </row>
    <row r="88" spans="1:6">
      <c r="A88" s="5" t="s">
        <v>244</v>
      </c>
      <c r="B88" s="5" t="s">
        <v>245</v>
      </c>
      <c r="C88" s="12">
        <v>44348</v>
      </c>
      <c r="D88" s="5">
        <v>262</v>
      </c>
      <c r="E88" s="5" t="s">
        <v>41</v>
      </c>
      <c r="F88" s="5" t="s">
        <v>246</v>
      </c>
    </row>
    <row r="89" spans="1:6" ht="19">
      <c r="A89" s="4"/>
    </row>
    <row r="90" spans="1:6">
      <c r="A90" s="5" t="s">
        <v>182</v>
      </c>
      <c r="B90" s="5" t="s">
        <v>183</v>
      </c>
      <c r="C90" s="12">
        <v>44348</v>
      </c>
      <c r="D90" s="5">
        <v>183</v>
      </c>
      <c r="E90" s="5" t="s">
        <v>41</v>
      </c>
      <c r="F90" s="5" t="s">
        <v>130</v>
      </c>
    </row>
    <row r="91" spans="1:6" ht="19">
      <c r="A91" s="4"/>
    </row>
    <row r="92" spans="1:6">
      <c r="A92" s="5" t="s">
        <v>184</v>
      </c>
      <c r="B92" s="5" t="s">
        <v>183</v>
      </c>
      <c r="C92" s="12">
        <v>44348</v>
      </c>
      <c r="D92" s="5">
        <v>183</v>
      </c>
      <c r="E92" s="5" t="s">
        <v>41</v>
      </c>
      <c r="F92" s="5" t="s">
        <v>115</v>
      </c>
    </row>
    <row r="93" spans="1:6" ht="19">
      <c r="A93" s="4"/>
    </row>
    <row r="94" spans="1:6">
      <c r="A94" s="5" t="s">
        <v>185</v>
      </c>
      <c r="B94" s="5" t="s">
        <v>186</v>
      </c>
      <c r="C94" s="12">
        <v>44348</v>
      </c>
      <c r="D94" s="5">
        <v>339</v>
      </c>
      <c r="E94" s="5" t="s">
        <v>41</v>
      </c>
      <c r="F94" s="5" t="s">
        <v>6</v>
      </c>
    </row>
    <row r="95" spans="1:6" ht="19">
      <c r="A95" s="4"/>
    </row>
    <row r="96" spans="1:6">
      <c r="A96" s="5" t="s">
        <v>187</v>
      </c>
      <c r="B96" s="5" t="s">
        <v>188</v>
      </c>
      <c r="C96" s="12">
        <v>44348</v>
      </c>
      <c r="D96" s="5">
        <v>176</v>
      </c>
      <c r="E96" s="5" t="s">
        <v>41</v>
      </c>
      <c r="F96" s="5" t="s">
        <v>129</v>
      </c>
    </row>
    <row r="97" spans="1:6" ht="19">
      <c r="A97" s="4"/>
    </row>
    <row r="98" spans="1:6">
      <c r="A98" s="5" t="s">
        <v>189</v>
      </c>
      <c r="B98" s="5" t="s">
        <v>190</v>
      </c>
      <c r="C98" s="12">
        <v>44348</v>
      </c>
      <c r="D98" s="5">
        <v>230</v>
      </c>
      <c r="E98" s="5" t="s">
        <v>41</v>
      </c>
      <c r="F98" s="5" t="s">
        <v>8</v>
      </c>
    </row>
    <row r="99" spans="1:6" ht="19">
      <c r="A99" s="4"/>
    </row>
    <row r="100" spans="1:6">
      <c r="A100" s="5" t="s">
        <v>191</v>
      </c>
      <c r="B100" s="5" t="s">
        <v>192</v>
      </c>
      <c r="C100" s="12">
        <v>44348</v>
      </c>
      <c r="D100" s="5">
        <v>180</v>
      </c>
      <c r="E100" s="5" t="s">
        <v>41</v>
      </c>
      <c r="F100" s="5" t="s">
        <v>5</v>
      </c>
    </row>
    <row r="101" spans="1:6" ht="19">
      <c r="A101" s="4"/>
    </row>
    <row r="102" spans="1:6">
      <c r="A102" s="5" t="s">
        <v>193</v>
      </c>
      <c r="B102" s="5" t="s">
        <v>194</v>
      </c>
      <c r="C102" s="12">
        <v>44348</v>
      </c>
      <c r="D102" s="5">
        <v>263</v>
      </c>
      <c r="E102" s="5" t="s">
        <v>41</v>
      </c>
      <c r="F102" s="5" t="s">
        <v>7</v>
      </c>
    </row>
    <row r="103" spans="1:6" ht="19">
      <c r="A103" s="4"/>
    </row>
    <row r="104" spans="1:6">
      <c r="A104" s="5" t="s">
        <v>195</v>
      </c>
      <c r="B104" s="5" t="s">
        <v>194</v>
      </c>
      <c r="C104" s="12">
        <v>44348</v>
      </c>
      <c r="D104" s="5">
        <v>263</v>
      </c>
      <c r="E104" s="5" t="s">
        <v>41</v>
      </c>
      <c r="F104" s="5" t="s">
        <v>30</v>
      </c>
    </row>
    <row r="105" spans="1:6" ht="19">
      <c r="A105" s="4"/>
    </row>
    <row r="106" spans="1:6">
      <c r="A106" s="5" t="s">
        <v>196</v>
      </c>
      <c r="B106" s="5" t="s">
        <v>197</v>
      </c>
      <c r="C106" s="12">
        <v>44348</v>
      </c>
      <c r="D106" s="5">
        <v>185</v>
      </c>
      <c r="E106" s="5" t="s">
        <v>41</v>
      </c>
      <c r="F106" s="5" t="s">
        <v>28</v>
      </c>
    </row>
    <row r="107" spans="1:6" ht="19">
      <c r="A107" s="4"/>
    </row>
    <row r="108" spans="1:6">
      <c r="A108" s="5" t="s">
        <v>198</v>
      </c>
      <c r="B108" s="5" t="s">
        <v>199</v>
      </c>
      <c r="C108" s="12">
        <v>44348</v>
      </c>
      <c r="D108" s="5">
        <v>351</v>
      </c>
      <c r="E108" s="5" t="s">
        <v>41</v>
      </c>
      <c r="F108" s="5" t="s">
        <v>126</v>
      </c>
    </row>
    <row r="109" spans="1:6" ht="19">
      <c r="A109" s="4"/>
    </row>
    <row r="110" spans="1:6">
      <c r="A110" s="5" t="s">
        <v>200</v>
      </c>
      <c r="B110" s="5" t="s">
        <v>201</v>
      </c>
      <c r="C110" s="12">
        <v>44348</v>
      </c>
      <c r="D110" s="5">
        <v>248</v>
      </c>
      <c r="E110" s="5" t="s">
        <v>41</v>
      </c>
      <c r="F110" s="5" t="s">
        <v>22</v>
      </c>
    </row>
    <row r="111" spans="1:6" ht="19">
      <c r="A111" s="4"/>
    </row>
    <row r="112" spans="1:6">
      <c r="A112" s="5" t="s">
        <v>202</v>
      </c>
      <c r="B112" s="5" t="s">
        <v>203</v>
      </c>
      <c r="C112" s="12">
        <v>44348</v>
      </c>
      <c r="D112" s="5">
        <v>184</v>
      </c>
      <c r="E112" s="5" t="s">
        <v>41</v>
      </c>
      <c r="F112" s="5" t="s">
        <v>28</v>
      </c>
    </row>
    <row r="113" spans="1:6" ht="19">
      <c r="A113" s="4"/>
    </row>
    <row r="114" spans="1:6">
      <c r="A114" s="5" t="s">
        <v>204</v>
      </c>
      <c r="B114" s="5" t="s">
        <v>205</v>
      </c>
      <c r="C114" s="12">
        <v>44348</v>
      </c>
      <c r="D114" s="5">
        <v>263</v>
      </c>
      <c r="E114" s="5" t="s">
        <v>41</v>
      </c>
      <c r="F114" s="5" t="s">
        <v>7</v>
      </c>
    </row>
    <row r="115" spans="1:6" ht="19">
      <c r="A115" s="4"/>
    </row>
    <row r="116" spans="1:6">
      <c r="A116" s="5" t="s">
        <v>72</v>
      </c>
      <c r="B116" s="5" t="s">
        <v>206</v>
      </c>
      <c r="C116" s="12">
        <v>44348</v>
      </c>
      <c r="D116" s="5">
        <v>262</v>
      </c>
      <c r="E116" s="5" t="s">
        <v>41</v>
      </c>
      <c r="F116" s="5" t="s">
        <v>25</v>
      </c>
    </row>
    <row r="117" spans="1:6" ht="19">
      <c r="A117" s="4"/>
    </row>
    <row r="118" spans="1:6">
      <c r="A118" s="5" t="s">
        <v>73</v>
      </c>
      <c r="B118" s="5" t="s">
        <v>206</v>
      </c>
      <c r="C118" s="12">
        <v>44348</v>
      </c>
      <c r="D118" s="5">
        <v>262</v>
      </c>
      <c r="E118" s="5" t="s">
        <v>41</v>
      </c>
      <c r="F118" s="5" t="s">
        <v>25</v>
      </c>
    </row>
    <row r="119" spans="1:6" ht="19">
      <c r="A119" s="4"/>
    </row>
    <row r="120" spans="1:6">
      <c r="A120" s="5" t="s">
        <v>74</v>
      </c>
      <c r="B120" s="5" t="s">
        <v>207</v>
      </c>
      <c r="C120" s="12">
        <v>44348</v>
      </c>
      <c r="D120" s="5">
        <v>209</v>
      </c>
      <c r="E120" s="5" t="s">
        <v>41</v>
      </c>
      <c r="F120" s="5" t="s">
        <v>25</v>
      </c>
    </row>
    <row r="121" spans="1:6" ht="19">
      <c r="A121" s="4"/>
    </row>
    <row r="122" spans="1:6">
      <c r="A122" s="5" t="s">
        <v>75</v>
      </c>
      <c r="B122" s="5" t="s">
        <v>208</v>
      </c>
      <c r="C122" s="12">
        <v>44348</v>
      </c>
      <c r="D122" s="5">
        <v>185</v>
      </c>
      <c r="E122" s="5" t="s">
        <v>41</v>
      </c>
      <c r="F122" s="5" t="s">
        <v>30</v>
      </c>
    </row>
    <row r="123" spans="1:6" ht="19">
      <c r="A123" s="4"/>
    </row>
    <row r="124" spans="1:6">
      <c r="A124" s="5" t="s">
        <v>76</v>
      </c>
      <c r="B124" s="5" t="s">
        <v>209</v>
      </c>
      <c r="C124" s="12">
        <v>44348</v>
      </c>
      <c r="D124" s="5">
        <v>337</v>
      </c>
      <c r="E124" s="5" t="s">
        <v>41</v>
      </c>
      <c r="F124" s="5" t="s">
        <v>22</v>
      </c>
    </row>
    <row r="125" spans="1:6" ht="19">
      <c r="A125" s="4"/>
    </row>
    <row r="126" spans="1:6">
      <c r="A126" s="5" t="s">
        <v>77</v>
      </c>
      <c r="B126" s="5" t="s">
        <v>210</v>
      </c>
      <c r="C126" s="12">
        <v>44348</v>
      </c>
      <c r="D126" s="5">
        <v>174</v>
      </c>
      <c r="E126" s="5" t="s">
        <v>41</v>
      </c>
      <c r="F126" s="5" t="s">
        <v>27</v>
      </c>
    </row>
    <row r="127" spans="1:6" ht="19">
      <c r="A127" s="4"/>
    </row>
    <row r="128" spans="1:6">
      <c r="A128" s="5" t="s">
        <v>78</v>
      </c>
      <c r="B128" s="5" t="s">
        <v>211</v>
      </c>
      <c r="C128" s="12">
        <v>44348</v>
      </c>
      <c r="D128" s="5">
        <v>183</v>
      </c>
      <c r="E128" s="5" t="s">
        <v>41</v>
      </c>
      <c r="F128" s="5" t="s">
        <v>30</v>
      </c>
    </row>
    <row r="129" spans="1:6" ht="19">
      <c r="A129" s="4"/>
    </row>
    <row r="130" spans="1:6">
      <c r="A130" s="5" t="s">
        <v>79</v>
      </c>
      <c r="B130" s="5" t="s">
        <v>212</v>
      </c>
      <c r="C130" s="12">
        <v>44348</v>
      </c>
      <c r="D130" s="5">
        <v>174</v>
      </c>
      <c r="E130" s="5" t="s">
        <v>41</v>
      </c>
      <c r="F130" s="5" t="s">
        <v>9</v>
      </c>
    </row>
    <row r="131" spans="1:6" ht="19">
      <c r="A131" s="4"/>
    </row>
    <row r="132" spans="1:6">
      <c r="A132" s="5" t="s">
        <v>80</v>
      </c>
      <c r="B132" s="5" t="s">
        <v>203</v>
      </c>
      <c r="C132" s="12">
        <v>44348</v>
      </c>
      <c r="D132" s="5">
        <v>184</v>
      </c>
      <c r="E132" s="5" t="s">
        <v>41</v>
      </c>
      <c r="F132" s="5" t="s">
        <v>28</v>
      </c>
    </row>
    <row r="133" spans="1:6" ht="19">
      <c r="A133" s="4"/>
    </row>
    <row r="134" spans="1:6">
      <c r="A134" s="5" t="s">
        <v>81</v>
      </c>
      <c r="B134" s="5" t="s">
        <v>144</v>
      </c>
      <c r="C134" s="12">
        <v>44348</v>
      </c>
      <c r="D134" s="5">
        <v>179</v>
      </c>
      <c r="E134" s="5" t="s">
        <v>41</v>
      </c>
      <c r="F134" s="5" t="s">
        <v>22</v>
      </c>
    </row>
    <row r="135" spans="1:6" ht="19">
      <c r="A135" s="4"/>
    </row>
    <row r="136" spans="1:6">
      <c r="A136" s="5" t="s">
        <v>82</v>
      </c>
      <c r="B136" s="5" t="s">
        <v>213</v>
      </c>
      <c r="C136" s="12">
        <v>44348</v>
      </c>
      <c r="D136" s="5">
        <v>182</v>
      </c>
      <c r="E136" s="5" t="s">
        <v>41</v>
      </c>
      <c r="F136" s="5" t="s">
        <v>27</v>
      </c>
    </row>
    <row r="137" spans="1:6" ht="19">
      <c r="A137" s="4"/>
    </row>
    <row r="138" spans="1:6">
      <c r="A138" s="5" t="s">
        <v>83</v>
      </c>
      <c r="B138" s="5" t="s">
        <v>214</v>
      </c>
      <c r="C138" s="12">
        <v>44348</v>
      </c>
      <c r="D138" s="5">
        <v>248</v>
      </c>
      <c r="E138" s="5" t="s">
        <v>41</v>
      </c>
      <c r="F138" s="5" t="s">
        <v>23</v>
      </c>
    </row>
    <row r="139" spans="1:6" ht="19">
      <c r="A139" s="4"/>
    </row>
    <row r="140" spans="1:6">
      <c r="A140" s="5" t="s">
        <v>215</v>
      </c>
      <c r="B140" s="5" t="s">
        <v>216</v>
      </c>
      <c r="C140" s="12">
        <v>44348</v>
      </c>
      <c r="D140" s="5">
        <v>178</v>
      </c>
      <c r="E140" s="5" t="s">
        <v>41</v>
      </c>
      <c r="F140" s="5" t="s">
        <v>22</v>
      </c>
    </row>
    <row r="141" spans="1:6" ht="19">
      <c r="A141" s="4"/>
    </row>
    <row r="142" spans="1:6">
      <c r="A142" s="5" t="s">
        <v>84</v>
      </c>
      <c r="B142" s="5" t="s">
        <v>217</v>
      </c>
      <c r="C142" s="12">
        <v>44348</v>
      </c>
      <c r="D142" s="5">
        <v>176</v>
      </c>
      <c r="E142" s="5" t="s">
        <v>41</v>
      </c>
      <c r="F142" s="5" t="s">
        <v>85</v>
      </c>
    </row>
    <row r="143" spans="1:6" ht="19">
      <c r="A143" s="4"/>
    </row>
    <row r="144" spans="1:6">
      <c r="A144" s="5" t="s">
        <v>86</v>
      </c>
      <c r="B144" s="5" t="s">
        <v>218</v>
      </c>
      <c r="C144" s="12">
        <v>44348</v>
      </c>
      <c r="D144" s="5">
        <v>180</v>
      </c>
      <c r="E144" s="5" t="s">
        <v>41</v>
      </c>
      <c r="F144" s="5" t="s">
        <v>5</v>
      </c>
    </row>
    <row r="145" spans="1:6" ht="19">
      <c r="A145" s="4"/>
    </row>
    <row r="146" spans="1:6">
      <c r="A146" s="5" t="s">
        <v>87</v>
      </c>
      <c r="B146" s="5" t="s">
        <v>219</v>
      </c>
      <c r="C146" s="12">
        <v>44348</v>
      </c>
      <c r="D146" s="5">
        <v>183</v>
      </c>
      <c r="E146" s="5" t="s">
        <v>41</v>
      </c>
      <c r="F146" s="5" t="s">
        <v>26</v>
      </c>
    </row>
    <row r="147" spans="1:6" ht="19">
      <c r="A147" s="4"/>
    </row>
    <row r="148" spans="1:6">
      <c r="A148" s="5" t="s">
        <v>220</v>
      </c>
      <c r="B148" s="5" t="s">
        <v>150</v>
      </c>
      <c r="C148" s="12">
        <v>44348</v>
      </c>
      <c r="D148" s="5">
        <v>263</v>
      </c>
      <c r="E148" s="5" t="s">
        <v>41</v>
      </c>
      <c r="F148" s="5" t="s">
        <v>22</v>
      </c>
    </row>
    <row r="149" spans="1:6" ht="19">
      <c r="A149" s="4"/>
    </row>
    <row r="150" spans="1:6">
      <c r="A150" s="5" t="s">
        <v>221</v>
      </c>
      <c r="B150" s="5" t="s">
        <v>222</v>
      </c>
      <c r="C150" s="12">
        <v>44348</v>
      </c>
      <c r="D150" s="5">
        <v>184</v>
      </c>
      <c r="E150" s="5" t="s">
        <v>41</v>
      </c>
      <c r="F150" s="5" t="s">
        <v>23</v>
      </c>
    </row>
    <row r="151" spans="1:6" ht="19">
      <c r="A151" s="4"/>
    </row>
    <row r="152" spans="1:6">
      <c r="A152" s="5" t="s">
        <v>223</v>
      </c>
      <c r="B152" s="5" t="s">
        <v>222</v>
      </c>
      <c r="C152" s="12">
        <v>44348</v>
      </c>
      <c r="D152" s="5">
        <v>184</v>
      </c>
      <c r="E152" s="5" t="s">
        <v>41</v>
      </c>
      <c r="F152" s="5" t="s">
        <v>131</v>
      </c>
    </row>
    <row r="153" spans="1:6" ht="19">
      <c r="A153" s="4"/>
    </row>
    <row r="154" spans="1:6">
      <c r="A154" s="5" t="s">
        <v>88</v>
      </c>
      <c r="B154" s="5" t="s">
        <v>224</v>
      </c>
      <c r="C154" s="12">
        <v>44348</v>
      </c>
      <c r="D154" s="5">
        <v>339</v>
      </c>
      <c r="E154" s="5" t="s">
        <v>41</v>
      </c>
      <c r="F154" s="5" t="s">
        <v>8</v>
      </c>
    </row>
    <row r="155" spans="1:6" ht="19">
      <c r="A155" s="4"/>
    </row>
    <row r="156" spans="1:6">
      <c r="A156" s="5" t="s">
        <v>89</v>
      </c>
      <c r="B156" s="5" t="s">
        <v>154</v>
      </c>
      <c r="C156" s="12">
        <v>44348</v>
      </c>
      <c r="D156" s="5">
        <v>182</v>
      </c>
      <c r="E156" s="5" t="s">
        <v>41</v>
      </c>
      <c r="F156" s="5" t="s">
        <v>22</v>
      </c>
    </row>
    <row r="157" spans="1:6" ht="19">
      <c r="A157" s="4"/>
    </row>
    <row r="158" spans="1:6">
      <c r="A158" s="5" t="s">
        <v>90</v>
      </c>
      <c r="B158" s="5" t="s">
        <v>225</v>
      </c>
      <c r="C158" s="12">
        <v>44348</v>
      </c>
      <c r="D158" s="5">
        <v>209</v>
      </c>
      <c r="E158" s="5" t="s">
        <v>41</v>
      </c>
      <c r="F158" s="5" t="s">
        <v>22</v>
      </c>
    </row>
    <row r="159" spans="1:6" ht="19">
      <c r="A159" s="4"/>
    </row>
    <row r="160" spans="1:6">
      <c r="A160" s="5" t="s">
        <v>91</v>
      </c>
      <c r="B160" s="5" t="s">
        <v>226</v>
      </c>
      <c r="C160" s="12">
        <v>44348</v>
      </c>
      <c r="D160" s="5">
        <v>177</v>
      </c>
      <c r="E160" s="5" t="s">
        <v>41</v>
      </c>
      <c r="F160" s="5" t="s">
        <v>8</v>
      </c>
    </row>
    <row r="161" spans="1:6" ht="19">
      <c r="A161" s="4"/>
    </row>
    <row r="162" spans="1:6">
      <c r="A162" s="5" t="s">
        <v>92</v>
      </c>
      <c r="B162" s="5" t="s">
        <v>227</v>
      </c>
      <c r="C162" s="12">
        <v>44348</v>
      </c>
      <c r="D162" s="5">
        <v>208</v>
      </c>
      <c r="E162" s="5" t="s">
        <v>41</v>
      </c>
      <c r="F162" s="5" t="s">
        <v>30</v>
      </c>
    </row>
    <row r="163" spans="1:6" ht="19">
      <c r="A163" s="4"/>
    </row>
    <row r="164" spans="1:6">
      <c r="A164" s="5" t="s">
        <v>93</v>
      </c>
      <c r="B164" s="5" t="s">
        <v>227</v>
      </c>
      <c r="C164" s="12">
        <v>44348</v>
      </c>
      <c r="D164" s="5">
        <v>208</v>
      </c>
      <c r="E164" s="5" t="s">
        <v>41</v>
      </c>
      <c r="F164" s="5" t="s">
        <v>24</v>
      </c>
    </row>
    <row r="165" spans="1:6" ht="19">
      <c r="A165" s="4"/>
    </row>
    <row r="166" spans="1:6">
      <c r="A166" s="5" t="s">
        <v>94</v>
      </c>
      <c r="B166" s="5" t="s">
        <v>227</v>
      </c>
      <c r="C166" s="12">
        <v>44348</v>
      </c>
      <c r="D166" s="5">
        <v>208</v>
      </c>
      <c r="E166" s="5" t="s">
        <v>41</v>
      </c>
      <c r="F166" s="5" t="s">
        <v>27</v>
      </c>
    </row>
    <row r="167" spans="1:6" ht="19">
      <c r="A167" s="4"/>
    </row>
    <row r="168" spans="1:6">
      <c r="A168" s="5" t="s">
        <v>95</v>
      </c>
      <c r="B168" s="5" t="s">
        <v>161</v>
      </c>
      <c r="C168" s="12">
        <v>44348</v>
      </c>
      <c r="D168" s="5">
        <v>179</v>
      </c>
      <c r="E168" s="5" t="s">
        <v>41</v>
      </c>
      <c r="F168" s="5" t="s">
        <v>9</v>
      </c>
    </row>
    <row r="169" spans="1:6" ht="19">
      <c r="A169" s="4"/>
    </row>
    <row r="170" spans="1:6">
      <c r="A170" s="5" t="s">
        <v>96</v>
      </c>
      <c r="B170" s="5" t="s">
        <v>228</v>
      </c>
      <c r="C170" s="12">
        <v>44348</v>
      </c>
      <c r="D170" s="5">
        <v>338</v>
      </c>
      <c r="E170" s="5" t="s">
        <v>41</v>
      </c>
      <c r="F170" s="5" t="s">
        <v>34</v>
      </c>
    </row>
    <row r="171" spans="1:6" ht="19">
      <c r="A171" s="4"/>
    </row>
    <row r="172" spans="1:6">
      <c r="A172" s="5" t="s">
        <v>97</v>
      </c>
      <c r="B172" s="5" t="s">
        <v>162</v>
      </c>
      <c r="C172" s="12">
        <v>44348</v>
      </c>
      <c r="D172" s="5">
        <v>176</v>
      </c>
      <c r="E172" s="5" t="s">
        <v>41</v>
      </c>
      <c r="F172" s="5" t="s">
        <v>24</v>
      </c>
    </row>
    <row r="173" spans="1:6" ht="19">
      <c r="A173" s="4"/>
    </row>
    <row r="174" spans="1:6">
      <c r="A174" s="5" t="s">
        <v>98</v>
      </c>
      <c r="B174" s="5" t="s">
        <v>229</v>
      </c>
      <c r="C174" s="12">
        <v>44348</v>
      </c>
      <c r="D174" s="5">
        <v>228</v>
      </c>
      <c r="E174" s="5" t="s">
        <v>41</v>
      </c>
      <c r="F174" s="5" t="s">
        <v>27</v>
      </c>
    </row>
    <row r="175" spans="1:6" ht="19">
      <c r="A175" s="4"/>
    </row>
    <row r="176" spans="1:6">
      <c r="A176" s="5" t="s">
        <v>99</v>
      </c>
      <c r="B176" s="5" t="s">
        <v>229</v>
      </c>
      <c r="C176" s="12">
        <v>44348</v>
      </c>
      <c r="D176" s="5">
        <v>228</v>
      </c>
      <c r="E176" s="5" t="s">
        <v>41</v>
      </c>
      <c r="F176" s="5" t="s">
        <v>9</v>
      </c>
    </row>
    <row r="177" spans="1:6" ht="19">
      <c r="A177" s="4"/>
    </row>
    <row r="178" spans="1:6">
      <c r="A178" s="5" t="s">
        <v>100</v>
      </c>
      <c r="B178" s="5" t="s">
        <v>229</v>
      </c>
      <c r="C178" s="12">
        <v>44348</v>
      </c>
      <c r="D178" s="5">
        <v>228</v>
      </c>
      <c r="E178" s="5" t="s">
        <v>41</v>
      </c>
      <c r="F178" s="5" t="s">
        <v>101</v>
      </c>
    </row>
    <row r="179" spans="1:6" ht="19">
      <c r="A179" s="4"/>
    </row>
    <row r="180" spans="1:6">
      <c r="A180" s="5" t="s">
        <v>102</v>
      </c>
      <c r="B180" s="5" t="s">
        <v>230</v>
      </c>
      <c r="C180" s="12">
        <v>44348</v>
      </c>
      <c r="D180" s="5">
        <v>179</v>
      </c>
      <c r="E180" s="5" t="s">
        <v>41</v>
      </c>
      <c r="F180" s="5" t="s">
        <v>85</v>
      </c>
    </row>
    <row r="181" spans="1:6" ht="19">
      <c r="A181" s="4"/>
    </row>
    <row r="182" spans="1:6">
      <c r="A182" s="5" t="s">
        <v>103</v>
      </c>
      <c r="B182" s="5" t="s">
        <v>231</v>
      </c>
      <c r="C182" s="12">
        <v>44348</v>
      </c>
      <c r="D182" s="5">
        <v>230</v>
      </c>
      <c r="E182" s="5" t="s">
        <v>41</v>
      </c>
      <c r="F182" s="5" t="s">
        <v>25</v>
      </c>
    </row>
    <row r="183" spans="1:6" ht="19">
      <c r="A183" s="4"/>
    </row>
    <row r="184" spans="1:6">
      <c r="A184" s="5" t="s">
        <v>104</v>
      </c>
      <c r="B184" s="5" t="s">
        <v>232</v>
      </c>
      <c r="C184" s="12">
        <v>44348</v>
      </c>
      <c r="D184" s="5">
        <v>262</v>
      </c>
      <c r="E184" s="5" t="s">
        <v>41</v>
      </c>
      <c r="F184" s="5" t="s">
        <v>20</v>
      </c>
    </row>
    <row r="185" spans="1:6" ht="19">
      <c r="A185" s="4"/>
    </row>
    <row r="186" spans="1:6">
      <c r="A186" s="5" t="s">
        <v>105</v>
      </c>
      <c r="B186" s="5" t="s">
        <v>233</v>
      </c>
      <c r="C186" s="12">
        <v>44348</v>
      </c>
      <c r="D186" s="5">
        <v>339</v>
      </c>
      <c r="E186" s="5" t="s">
        <v>41</v>
      </c>
      <c r="F186" s="5" t="s">
        <v>106</v>
      </c>
    </row>
    <row r="187" spans="1:6" ht="19">
      <c r="A187" s="4"/>
    </row>
    <row r="188" spans="1:6">
      <c r="A188" s="5" t="s">
        <v>107</v>
      </c>
      <c r="B188" s="5" t="s">
        <v>234</v>
      </c>
      <c r="C188" s="12">
        <v>44348</v>
      </c>
      <c r="D188" s="5">
        <v>177</v>
      </c>
      <c r="E188" s="5" t="s">
        <v>41</v>
      </c>
      <c r="F188" s="5" t="s">
        <v>108</v>
      </c>
    </row>
    <row r="189" spans="1:6" ht="19">
      <c r="A189" s="4"/>
    </row>
    <row r="190" spans="1:6">
      <c r="A190" s="5" t="s">
        <v>109</v>
      </c>
      <c r="B190" s="5" t="s">
        <v>235</v>
      </c>
      <c r="C190" s="12">
        <v>44348</v>
      </c>
      <c r="D190" s="5">
        <v>176</v>
      </c>
      <c r="E190" s="5" t="s">
        <v>41</v>
      </c>
      <c r="F190" s="5" t="s">
        <v>6</v>
      </c>
    </row>
    <row r="191" spans="1:6" ht="19">
      <c r="A191" s="4"/>
    </row>
    <row r="192" spans="1:6">
      <c r="A192" s="5" t="s">
        <v>110</v>
      </c>
      <c r="B192" s="5" t="s">
        <v>236</v>
      </c>
      <c r="C192" s="12">
        <v>44348</v>
      </c>
      <c r="D192" s="5">
        <v>180</v>
      </c>
      <c r="E192" s="5" t="s">
        <v>41</v>
      </c>
      <c r="F192" s="5" t="s">
        <v>111</v>
      </c>
    </row>
    <row r="193" spans="1:6" ht="19">
      <c r="A193" s="4"/>
    </row>
    <row r="194" spans="1:6">
      <c r="A194" s="5" t="s">
        <v>112</v>
      </c>
      <c r="B194" s="5" t="s">
        <v>237</v>
      </c>
      <c r="C194" s="12">
        <v>44348</v>
      </c>
      <c r="D194" s="5">
        <v>180</v>
      </c>
      <c r="E194" s="5" t="s">
        <v>41</v>
      </c>
      <c r="F194" s="5" t="s">
        <v>111</v>
      </c>
    </row>
    <row r="195" spans="1:6" ht="19">
      <c r="A195" s="4"/>
    </row>
    <row r="196" spans="1:6">
      <c r="A196" s="5" t="s">
        <v>113</v>
      </c>
      <c r="B196" s="5" t="s">
        <v>238</v>
      </c>
      <c r="C196" s="12">
        <v>44348</v>
      </c>
      <c r="D196" s="5">
        <v>184</v>
      </c>
      <c r="E196" s="5" t="s">
        <v>41</v>
      </c>
      <c r="F196" s="5" t="s">
        <v>101</v>
      </c>
    </row>
    <row r="197" spans="1:6" ht="19">
      <c r="A197" s="4"/>
    </row>
    <row r="198" spans="1:6">
      <c r="A198" s="5" t="s">
        <v>114</v>
      </c>
      <c r="B198" s="5" t="s">
        <v>239</v>
      </c>
      <c r="C198" s="12">
        <v>44348</v>
      </c>
      <c r="D198" s="5">
        <v>174</v>
      </c>
      <c r="E198" s="5" t="s">
        <v>41</v>
      </c>
      <c r="F198" s="5" t="s">
        <v>115</v>
      </c>
    </row>
    <row r="199" spans="1:6" ht="19">
      <c r="A199" s="4"/>
    </row>
    <row r="200" spans="1:6">
      <c r="A200" s="5" t="s">
        <v>116</v>
      </c>
      <c r="B200" s="5" t="s">
        <v>240</v>
      </c>
      <c r="C200" s="12">
        <v>44348</v>
      </c>
      <c r="D200" s="5">
        <v>230</v>
      </c>
      <c r="E200" s="5" t="s">
        <v>41</v>
      </c>
      <c r="F200" s="5" t="s">
        <v>25</v>
      </c>
    </row>
    <row r="201" spans="1:6" ht="19">
      <c r="A201" s="4"/>
    </row>
    <row r="202" spans="1:6">
      <c r="A202" s="5" t="s">
        <v>117</v>
      </c>
      <c r="B202" s="5" t="s">
        <v>241</v>
      </c>
      <c r="C202" s="12">
        <v>44348</v>
      </c>
      <c r="D202" s="5">
        <v>262</v>
      </c>
      <c r="E202" s="5" t="s">
        <v>41</v>
      </c>
      <c r="F202" s="5" t="s">
        <v>21</v>
      </c>
    </row>
    <row r="203" spans="1:6" ht="19">
      <c r="A203" s="4"/>
    </row>
    <row r="204" spans="1:6">
      <c r="A204" s="5" t="s">
        <v>118</v>
      </c>
      <c r="B204" s="5" t="s">
        <v>242</v>
      </c>
      <c r="C204" s="12">
        <v>44348</v>
      </c>
      <c r="D204" s="5">
        <v>263</v>
      </c>
      <c r="E204" s="5" t="s">
        <v>41</v>
      </c>
      <c r="F204" s="5" t="s">
        <v>119</v>
      </c>
    </row>
    <row r="205" spans="1:6" ht="19">
      <c r="A205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import</vt:lpstr>
      <vt:lpstr>data</vt:lpstr>
      <vt:lpstr>Settings</vt:lpstr>
      <vt:lpstr>testBkupData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Stephanos Zunez</dc:creator>
  <cp:lastModifiedBy>Stephanos Zunez</cp:lastModifiedBy>
  <dcterms:created xsi:type="dcterms:W3CDTF">2021-01-06T12:03:16Z</dcterms:created>
  <dcterms:modified xsi:type="dcterms:W3CDTF">2021-01-07T18:37:49Z</dcterms:modified>
</cp:coreProperties>
</file>